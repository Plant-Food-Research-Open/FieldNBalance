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229D34C9-BC43-4D2A-8E03-510B73A9E719}" xr6:coauthVersionLast="47" xr6:coauthVersionMax="47" xr10:uidLastSave="{00000000-0000-0000-0000-000000000000}"/>
  <bookViews>
    <workbookView xWindow="11532" yWindow="0" windowWidth="11520" windowHeight="12384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" l="1"/>
  <c r="B6" i="3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47" i="1"/>
  <c r="D48" i="1"/>
  <c r="D49" i="1"/>
  <c r="D59" i="1"/>
  <c r="D61" i="1" s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D52" i="1" l="1"/>
  <c r="D50" i="1"/>
  <c r="D54" i="1" s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8" i="3" s="1"/>
  <c r="J8" i="3" s="1"/>
  <c r="B21" i="1"/>
  <c r="B44" i="1"/>
  <c r="D44" i="1"/>
  <c r="B36" i="3"/>
  <c r="R14" i="1"/>
  <c r="B29" i="3"/>
  <c r="D18" i="3"/>
  <c r="D9" i="3"/>
  <c r="AI9" i="3" a="1"/>
  <c r="AI10" i="3" a="1"/>
  <c r="AI11" i="3" a="1"/>
  <c r="G52" i="1" l="1"/>
  <c r="AI9" i="3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B17" i="3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AG10" i="3" a="1"/>
  <c r="AH9" i="3" a="1"/>
  <c r="AG11" i="3" a="1"/>
  <c r="AG5" i="3" a="1"/>
  <c r="I1" i="3" a="1"/>
  <c r="AG9" i="3" a="1"/>
  <c r="AH11" i="3" a="1"/>
  <c r="AH10" i="3" a="1"/>
  <c r="J10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R2" i="3" s="1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Q8" i="3" l="1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K10" i="3" a="1"/>
  <c r="AJ11" i="3" a="1"/>
  <c r="AJ10" i="3" a="1"/>
  <c r="AL10" i="3" a="1"/>
  <c r="AO10" i="3" a="1"/>
  <c r="AM9" i="3" a="1"/>
  <c r="AK9" i="3" a="1"/>
  <c r="AL11" i="3" a="1"/>
  <c r="AN9" i="3" a="1"/>
  <c r="AN10" i="3" a="1"/>
  <c r="AK11" i="3" a="1"/>
  <c r="AN11" i="3" a="1"/>
  <c r="AO11" i="3" a="1"/>
  <c r="AJ9" i="3" a="1"/>
  <c r="AO9" i="3" a="1"/>
  <c r="AM11" i="3" a="1"/>
  <c r="AL9" i="3" a="1"/>
  <c r="AM10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D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7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<sst xmlns="http://schemas.openxmlformats.org/spreadsheetml/2006/main" count="485" uniqueCount="284">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</sst>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5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1</c:v>
                </c:pt>
                <c:pt idx="1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66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Residues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24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Soil 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79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50</c:v>
                </c:pt>
                <c:pt idx="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210.00000000000003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1.3386898147826627</c:v>
                </c:pt>
                <c:pt idx="43">
                  <c:v>1.3386898147826627</c:v>
                </c:pt>
                <c:pt idx="44">
                  <c:v>1.3386898147826627</c:v>
                </c:pt>
                <c:pt idx="45">
                  <c:v>1.3386898147826627</c:v>
                </c:pt>
                <c:pt idx="46">
                  <c:v>1.3386898147826627</c:v>
                </c:pt>
                <c:pt idx="47">
                  <c:v>1.3386898147826627</c:v>
                </c:pt>
                <c:pt idx="48">
                  <c:v>1.3386898147826627</c:v>
                </c:pt>
                <c:pt idx="49">
                  <c:v>1.3386898147826627</c:v>
                </c:pt>
                <c:pt idx="50">
                  <c:v>1.3386898147826627</c:v>
                </c:pt>
                <c:pt idx="51">
                  <c:v>1.3386898147826627</c:v>
                </c:pt>
                <c:pt idx="52">
                  <c:v>1.3386898147826627</c:v>
                </c:pt>
                <c:pt idx="53">
                  <c:v>1.3386898147826627</c:v>
                </c:pt>
                <c:pt idx="54">
                  <c:v>1.3386898147826627</c:v>
                </c:pt>
                <c:pt idx="55">
                  <c:v>1.3386898147826627</c:v>
                </c:pt>
                <c:pt idx="56">
                  <c:v>1.3386898147826627</c:v>
                </c:pt>
                <c:pt idx="57">
                  <c:v>1.3386898147826627</c:v>
                </c:pt>
                <c:pt idx="58">
                  <c:v>1.3386898147826627</c:v>
                </c:pt>
                <c:pt idx="59">
                  <c:v>1.3386898147826627</c:v>
                </c:pt>
                <c:pt idx="60">
                  <c:v>1.3386898147826627</c:v>
                </c:pt>
                <c:pt idx="61">
                  <c:v>1.3386898147826627</c:v>
                </c:pt>
                <c:pt idx="62">
                  <c:v>1.3386898147826627</c:v>
                </c:pt>
                <c:pt idx="63">
                  <c:v>1.3386898147826627</c:v>
                </c:pt>
                <c:pt idx="64">
                  <c:v>1.3386898147826627</c:v>
                </c:pt>
                <c:pt idx="65">
                  <c:v>1.3386898147826627</c:v>
                </c:pt>
                <c:pt idx="66">
                  <c:v>1.3386898147826627</c:v>
                </c:pt>
                <c:pt idx="67">
                  <c:v>1.3386898147826627</c:v>
                </c:pt>
                <c:pt idx="68">
                  <c:v>1.3386898147826627</c:v>
                </c:pt>
                <c:pt idx="69">
                  <c:v>1.3386898147826627</c:v>
                </c:pt>
                <c:pt idx="70">
                  <c:v>1.3386898147826627</c:v>
                </c:pt>
                <c:pt idx="71">
                  <c:v>1.3386898147826627</c:v>
                </c:pt>
                <c:pt idx="72">
                  <c:v>1.3386898147826627</c:v>
                </c:pt>
                <c:pt idx="73">
                  <c:v>1.3386898147826627</c:v>
                </c:pt>
                <c:pt idx="74">
                  <c:v>1.3386898147826627</c:v>
                </c:pt>
                <c:pt idx="75">
                  <c:v>1.3386898147826627</c:v>
                </c:pt>
                <c:pt idx="76">
                  <c:v>1.3386898147826627</c:v>
                </c:pt>
                <c:pt idx="77">
                  <c:v>1.3386898147826627</c:v>
                </c:pt>
                <c:pt idx="78">
                  <c:v>1.3386898147826627</c:v>
                </c:pt>
                <c:pt idx="79">
                  <c:v>1.3386898147826627</c:v>
                </c:pt>
                <c:pt idx="80">
                  <c:v>1.3386898147826627</c:v>
                </c:pt>
                <c:pt idx="81">
                  <c:v>1.3386898147826627</c:v>
                </c:pt>
                <c:pt idx="82">
                  <c:v>1.3386898147826627</c:v>
                </c:pt>
                <c:pt idx="83">
                  <c:v>1.3386898147826627</c:v>
                </c:pt>
                <c:pt idx="84">
                  <c:v>1.3386898147826627</c:v>
                </c:pt>
                <c:pt idx="85">
                  <c:v>1.3386898147826627</c:v>
                </c:pt>
                <c:pt idx="86">
                  <c:v>1.3386898147826627</c:v>
                </c:pt>
                <c:pt idx="87">
                  <c:v>1.3386898147826627</c:v>
                </c:pt>
                <c:pt idx="88">
                  <c:v>1.3386898147826627</c:v>
                </c:pt>
                <c:pt idx="89">
                  <c:v>1.3386898147826627</c:v>
                </c:pt>
                <c:pt idx="90">
                  <c:v>1.3386898147826627</c:v>
                </c:pt>
                <c:pt idx="91">
                  <c:v>1.3386898147826627</c:v>
                </c:pt>
                <c:pt idx="92">
                  <c:v>1.3386898147826627</c:v>
                </c:pt>
                <c:pt idx="93">
                  <c:v>1.3386898147826627</c:v>
                </c:pt>
                <c:pt idx="94">
                  <c:v>1.3386898147826627</c:v>
                </c:pt>
                <c:pt idx="95">
                  <c:v>1.3386898147826627</c:v>
                </c:pt>
                <c:pt idx="96">
                  <c:v>1.3386898147826627</c:v>
                </c:pt>
                <c:pt idx="97">
                  <c:v>1.3386898147826627</c:v>
                </c:pt>
                <c:pt idx="98">
                  <c:v>1.3386898147826627</c:v>
                </c:pt>
                <c:pt idx="99">
                  <c:v>1.3386898147826627</c:v>
                </c:pt>
                <c:pt idx="100">
                  <c:v>1.3386898147826627</c:v>
                </c:pt>
                <c:pt idx="101">
                  <c:v>1.3386898147826627</c:v>
                </c:pt>
                <c:pt idx="102">
                  <c:v>1.3386898147826627</c:v>
                </c:pt>
                <c:pt idx="103">
                  <c:v>1.3386898147826627</c:v>
                </c:pt>
                <c:pt idx="104">
                  <c:v>1.3386898147826627</c:v>
                </c:pt>
                <c:pt idx="105">
                  <c:v>1.3386898147826627</c:v>
                </c:pt>
                <c:pt idx="106">
                  <c:v>1.3386898147826627</c:v>
                </c:pt>
                <c:pt idx="107">
                  <c:v>1.3386898147826627</c:v>
                </c:pt>
                <c:pt idx="108">
                  <c:v>1.3386898147826627</c:v>
                </c:pt>
                <c:pt idx="109">
                  <c:v>1.3386898147826627</c:v>
                </c:pt>
                <c:pt idx="110">
                  <c:v>1.3386898147826627</c:v>
                </c:pt>
                <c:pt idx="111">
                  <c:v>1.3386898147826627</c:v>
                </c:pt>
                <c:pt idx="112">
                  <c:v>1.3386898147826627</c:v>
                </c:pt>
                <c:pt idx="113">
                  <c:v>1.3386898147826627</c:v>
                </c:pt>
                <c:pt idx="114">
                  <c:v>1.3386898147826627</c:v>
                </c:pt>
                <c:pt idx="115">
                  <c:v>1.3386898147826627</c:v>
                </c:pt>
                <c:pt idx="116">
                  <c:v>1.3386898147826627</c:v>
                </c:pt>
                <c:pt idx="117">
                  <c:v>1.3386898147826627</c:v>
                </c:pt>
                <c:pt idx="118">
                  <c:v>1.3386898147826627</c:v>
                </c:pt>
                <c:pt idx="119">
                  <c:v>1.3386898147826627</c:v>
                </c:pt>
                <c:pt idx="120">
                  <c:v>1.3386898147826627</c:v>
                </c:pt>
                <c:pt idx="121">
                  <c:v>1.3386898147826627</c:v>
                </c:pt>
                <c:pt idx="122">
                  <c:v>1.3386898147826627</c:v>
                </c:pt>
                <c:pt idx="123">
                  <c:v>1.3386898147826627</c:v>
                </c:pt>
                <c:pt idx="124">
                  <c:v>1.3386898147826627</c:v>
                </c:pt>
                <c:pt idx="125">
                  <c:v>1.3386898147826627</c:v>
                </c:pt>
                <c:pt idx="126">
                  <c:v>1.3386898147826627</c:v>
                </c:pt>
                <c:pt idx="127">
                  <c:v>1.3386898147826627</c:v>
                </c:pt>
                <c:pt idx="128">
                  <c:v>1.3386898147826627</c:v>
                </c:pt>
                <c:pt idx="129">
                  <c:v>1.3386898147826627</c:v>
                </c:pt>
                <c:pt idx="130">
                  <c:v>1.3386898147826627</c:v>
                </c:pt>
                <c:pt idx="131">
                  <c:v>1.3386898147826627</c:v>
                </c:pt>
                <c:pt idx="132">
                  <c:v>1.3386898147826627</c:v>
                </c:pt>
                <c:pt idx="133">
                  <c:v>1.3386898147826627</c:v>
                </c:pt>
                <c:pt idx="134">
                  <c:v>1.3386898147826627</c:v>
                </c:pt>
                <c:pt idx="135">
                  <c:v>1.3386898147826627</c:v>
                </c:pt>
                <c:pt idx="136">
                  <c:v>1.3386898147826627</c:v>
                </c:pt>
                <c:pt idx="137">
                  <c:v>1.3386898147826627</c:v>
                </c:pt>
                <c:pt idx="138">
                  <c:v>1.3386898147826627</c:v>
                </c:pt>
                <c:pt idx="139">
                  <c:v>1.3386898147826627</c:v>
                </c:pt>
                <c:pt idx="140">
                  <c:v>1.3386898147826627</c:v>
                </c:pt>
                <c:pt idx="141">
                  <c:v>1.3386898147826627</c:v>
                </c:pt>
                <c:pt idx="142">
                  <c:v>1.3386898147826627</c:v>
                </c:pt>
                <c:pt idx="143">
                  <c:v>1.3386898147826627</c:v>
                </c:pt>
                <c:pt idx="144">
                  <c:v>1.3386898147826627</c:v>
                </c:pt>
                <c:pt idx="145">
                  <c:v>1.3386898147826627</c:v>
                </c:pt>
                <c:pt idx="146">
                  <c:v>1.3386898147826627</c:v>
                </c:pt>
                <c:pt idx="147">
                  <c:v>1.3386898147826627</c:v>
                </c:pt>
                <c:pt idx="148">
                  <c:v>1.3386898147826627</c:v>
                </c:pt>
                <c:pt idx="149">
                  <c:v>1.3386898147826627</c:v>
                </c:pt>
                <c:pt idx="150">
                  <c:v>1.3386898147826627</c:v>
                </c:pt>
                <c:pt idx="151">
                  <c:v>1.3386898147826627</c:v>
                </c:pt>
                <c:pt idx="152">
                  <c:v>1.3386898147826627</c:v>
                </c:pt>
                <c:pt idx="153">
                  <c:v>1.3386898147826627</c:v>
                </c:pt>
                <c:pt idx="154">
                  <c:v>1.3386898147826627</c:v>
                </c:pt>
                <c:pt idx="155">
                  <c:v>1.3386898147826627</c:v>
                </c:pt>
                <c:pt idx="156">
                  <c:v>1.3386898147826627</c:v>
                </c:pt>
                <c:pt idx="157">
                  <c:v>1.3386898147826627</c:v>
                </c:pt>
                <c:pt idx="158">
                  <c:v>1.3386898147826627</c:v>
                </c:pt>
                <c:pt idx="159">
                  <c:v>1.3386898147826627</c:v>
                </c:pt>
                <c:pt idx="160">
                  <c:v>1.3386898147826627</c:v>
                </c:pt>
                <c:pt idx="161">
                  <c:v>1.3386898147826627</c:v>
                </c:pt>
                <c:pt idx="162">
                  <c:v>2.3740187071640033</c:v>
                </c:pt>
                <c:pt idx="163">
                  <c:v>6.1273137131684887</c:v>
                </c:pt>
                <c:pt idx="164">
                  <c:v>15.889323052464961</c:v>
                </c:pt>
                <c:pt idx="165">
                  <c:v>35.900009908888997</c:v>
                </c:pt>
                <c:pt idx="166">
                  <c:v>84.388500311436175</c:v>
                </c:pt>
                <c:pt idx="167">
                  <c:v>140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22.113177802205897</c:v>
                </c:pt>
                <c:pt idx="165">
                  <c:v>22.131087564046105</c:v>
                </c:pt>
                <c:pt idx="166">
                  <c:v>22.086949813811849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49.113614223126362</c:v>
                </c:pt>
                <c:pt idx="2">
                  <c:v>48.322014434618893</c:v>
                </c:pt>
                <c:pt idx="3">
                  <c:v>47.652489686759409</c:v>
                </c:pt>
                <c:pt idx="4">
                  <c:v>47.147903972636676</c:v>
                </c:pt>
                <c:pt idx="5">
                  <c:v>46.756432188894664</c:v>
                </c:pt>
                <c:pt idx="6">
                  <c:v>46.453418324433933</c:v>
                </c:pt>
                <c:pt idx="7">
                  <c:v>46.234586896752234</c:v>
                </c:pt>
                <c:pt idx="8">
                  <c:v>46.042400353830999</c:v>
                </c:pt>
                <c:pt idx="9">
                  <c:v>45.964596067675316</c:v>
                </c:pt>
                <c:pt idx="10">
                  <c:v>45.718409876060406</c:v>
                </c:pt>
                <c:pt idx="11">
                  <c:v>45.629353221842742</c:v>
                </c:pt>
                <c:pt idx="12">
                  <c:v>45.316794884736595</c:v>
                </c:pt>
                <c:pt idx="13">
                  <c:v>45.212160004713219</c:v>
                </c:pt>
                <c:pt idx="14">
                  <c:v>45.359915682209014</c:v>
                </c:pt>
                <c:pt idx="15">
                  <c:v>45.437402803184128</c:v>
                </c:pt>
                <c:pt idx="16">
                  <c:v>45.537053046138361</c:v>
                </c:pt>
                <c:pt idx="17">
                  <c:v>45.900375786019666</c:v>
                </c:pt>
                <c:pt idx="18">
                  <c:v>45.928230022870821</c:v>
                </c:pt>
                <c:pt idx="19">
                  <c:v>46.007372944369635</c:v>
                </c:pt>
                <c:pt idx="20">
                  <c:v>46.204577883737223</c:v>
                </c:pt>
                <c:pt idx="21">
                  <c:v>46.361686013685819</c:v>
                </c:pt>
                <c:pt idx="22">
                  <c:v>46.524199483591765</c:v>
                </c:pt>
                <c:pt idx="23">
                  <c:v>46.904176844464466</c:v>
                </c:pt>
                <c:pt idx="24">
                  <c:v>47.170905246833819</c:v>
                </c:pt>
                <c:pt idx="25">
                  <c:v>47.708454059641902</c:v>
                </c:pt>
                <c:pt idx="26">
                  <c:v>48.21026881917637</c:v>
                </c:pt>
                <c:pt idx="27">
                  <c:v>48.902936655982451</c:v>
                </c:pt>
                <c:pt idx="28">
                  <c:v>49.482725901704498</c:v>
                </c:pt>
                <c:pt idx="29">
                  <c:v>49.972820197013895</c:v>
                </c:pt>
                <c:pt idx="30">
                  <c:v>49.838489313891188</c:v>
                </c:pt>
                <c:pt idx="31">
                  <c:v>50.201374815081564</c:v>
                </c:pt>
                <c:pt idx="32">
                  <c:v>50.411912369503106</c:v>
                </c:pt>
                <c:pt idx="33">
                  <c:v>50.028221727867582</c:v>
                </c:pt>
                <c:pt idx="34">
                  <c:v>49.651935645540128</c:v>
                </c:pt>
                <c:pt idx="35">
                  <c:v>50.016557910988077</c:v>
                </c:pt>
                <c:pt idx="36">
                  <c:v>50.347892267724824</c:v>
                </c:pt>
                <c:pt idx="37">
                  <c:v>50.120607956421352</c:v>
                </c:pt>
                <c:pt idx="38">
                  <c:v>50.337339364512204</c:v>
                </c:pt>
                <c:pt idx="39">
                  <c:v>50.868126946769003</c:v>
                </c:pt>
                <c:pt idx="40">
                  <c:v>50.791488807632426</c:v>
                </c:pt>
                <c:pt idx="41">
                  <c:v>51.412431025642029</c:v>
                </c:pt>
                <c:pt idx="42">
                  <c:v>51.389471158837516</c:v>
                </c:pt>
                <c:pt idx="43">
                  <c:v>51.007424802811599</c:v>
                </c:pt>
                <c:pt idx="44">
                  <c:v>51.186721329650375</c:v>
                </c:pt>
                <c:pt idx="45">
                  <c:v>51.552339241910218</c:v>
                </c:pt>
                <c:pt idx="46">
                  <c:v>51.695377128159869</c:v>
                </c:pt>
                <c:pt idx="47">
                  <c:v>52.040791766576987</c:v>
                </c:pt>
                <c:pt idx="48">
                  <c:v>52.031075670428827</c:v>
                </c:pt>
                <c:pt idx="49">
                  <c:v>51.652486282674047</c:v>
                </c:pt>
                <c:pt idx="50">
                  <c:v>51.042852543209108</c:v>
                </c:pt>
                <c:pt idx="51">
                  <c:v>51.344548359067133</c:v>
                </c:pt>
                <c:pt idx="52">
                  <c:v>51.496614884888629</c:v>
                </c:pt>
                <c:pt idx="53">
                  <c:v>52.019677815811825</c:v>
                </c:pt>
                <c:pt idx="54">
                  <c:v>52.418986235566713</c:v>
                </c:pt>
                <c:pt idx="55">
                  <c:v>52.703649714130471</c:v>
                </c:pt>
                <c:pt idx="56">
                  <c:v>52.900262073567262</c:v>
                </c:pt>
                <c:pt idx="57">
                  <c:v>52.894012512090242</c:v>
                </c:pt>
                <c:pt idx="58">
                  <c:v>53.193147323405277</c:v>
                </c:pt>
                <c:pt idx="59">
                  <c:v>53.617376294326291</c:v>
                </c:pt>
                <c:pt idx="60">
                  <c:v>53.588307581498384</c:v>
                </c:pt>
                <c:pt idx="61">
                  <c:v>53.986397721787405</c:v>
                </c:pt>
                <c:pt idx="62">
                  <c:v>54.507006788868637</c:v>
                </c:pt>
                <c:pt idx="63">
                  <c:v>54.595724739989905</c:v>
                </c:pt>
                <c:pt idx="64">
                  <c:v>54.84167550964024</c:v>
                </c:pt>
                <c:pt idx="65">
                  <c:v>54.640043522145994</c:v>
                </c:pt>
                <c:pt idx="66">
                  <c:v>54.779395352694493</c:v>
                </c:pt>
                <c:pt idx="67">
                  <c:v>54.347185502131346</c:v>
                </c:pt>
                <c:pt idx="68">
                  <c:v>54.818011520803374</c:v>
                </c:pt>
                <c:pt idx="69">
                  <c:v>55.00964776643962</c:v>
                </c:pt>
                <c:pt idx="70">
                  <c:v>55.083795750755549</c:v>
                </c:pt>
                <c:pt idx="71">
                  <c:v>55.226414686697929</c:v>
                </c:pt>
                <c:pt idx="72">
                  <c:v>55.12757488617617</c:v>
                </c:pt>
                <c:pt idx="73">
                  <c:v>54.616486387822476</c:v>
                </c:pt>
                <c:pt idx="74">
                  <c:v>54.861356711473611</c:v>
                </c:pt>
                <c:pt idx="75">
                  <c:v>54.859918405937663</c:v>
                </c:pt>
                <c:pt idx="76">
                  <c:v>55.048528856975366</c:v>
                </c:pt>
                <c:pt idx="77">
                  <c:v>55.051605463799206</c:v>
                </c:pt>
                <c:pt idx="78">
                  <c:v>55.414630390356564</c:v>
                </c:pt>
                <c:pt idx="79">
                  <c:v>55.953154991540622</c:v>
                </c:pt>
                <c:pt idx="80">
                  <c:v>55.772889187190977</c:v>
                </c:pt>
                <c:pt idx="81">
                  <c:v>55.840115902158956</c:v>
                </c:pt>
                <c:pt idx="82">
                  <c:v>56.051289137875763</c:v>
                </c:pt>
                <c:pt idx="83">
                  <c:v>56.139709720125083</c:v>
                </c:pt>
                <c:pt idx="84">
                  <c:v>56.468173324175062</c:v>
                </c:pt>
                <c:pt idx="85">
                  <c:v>56.480965993783499</c:v>
                </c:pt>
                <c:pt idx="86">
                  <c:v>56.375918208120808</c:v>
                </c:pt>
                <c:pt idx="87">
                  <c:v>56.402125283098961</c:v>
                </c:pt>
                <c:pt idx="88">
                  <c:v>56.503010104033152</c:v>
                </c:pt>
                <c:pt idx="89">
                  <c:v>56.871012731699572</c:v>
                </c:pt>
                <c:pt idx="90">
                  <c:v>57.080307813265115</c:v>
                </c:pt>
                <c:pt idx="91">
                  <c:v>57.715003393147128</c:v>
                </c:pt>
                <c:pt idx="92">
                  <c:v>58.36600247145028</c:v>
                </c:pt>
                <c:pt idx="93">
                  <c:v>59.058937988303825</c:v>
                </c:pt>
                <c:pt idx="94">
                  <c:v>59.139055948486956</c:v>
                </c:pt>
                <c:pt idx="95">
                  <c:v>59.827846935305182</c:v>
                </c:pt>
                <c:pt idx="96">
                  <c:v>60.309766306566004</c:v>
                </c:pt>
                <c:pt idx="97">
                  <c:v>60.917683536953326</c:v>
                </c:pt>
                <c:pt idx="98">
                  <c:v>61.448992671807112</c:v>
                </c:pt>
                <c:pt idx="99">
                  <c:v>61.779948459839616</c:v>
                </c:pt>
                <c:pt idx="100">
                  <c:v>62.180102031125543</c:v>
                </c:pt>
                <c:pt idx="101">
                  <c:v>62.641801064958102</c:v>
                </c:pt>
                <c:pt idx="102">
                  <c:v>62.967809720248106</c:v>
                </c:pt>
                <c:pt idx="103">
                  <c:v>62.688654424619905</c:v>
                </c:pt>
                <c:pt idx="104">
                  <c:v>63.225428580684941</c:v>
                </c:pt>
                <c:pt idx="105">
                  <c:v>63.916426099410188</c:v>
                </c:pt>
                <c:pt idx="106">
                  <c:v>64.642119651938771</c:v>
                </c:pt>
                <c:pt idx="107">
                  <c:v>65.31874479258714</c:v>
                </c:pt>
                <c:pt idx="108">
                  <c:v>65.742139052842987</c:v>
                </c:pt>
                <c:pt idx="109">
                  <c:v>66.442706090083064</c:v>
                </c:pt>
                <c:pt idx="110">
                  <c:v>66.947581910304976</c:v>
                </c:pt>
                <c:pt idx="111">
                  <c:v>66.788218872714467</c:v>
                </c:pt>
                <c:pt idx="112">
                  <c:v>67.483492754081567</c:v>
                </c:pt>
                <c:pt idx="113">
                  <c:v>68.129077402225008</c:v>
                </c:pt>
                <c:pt idx="114">
                  <c:v>68.862173668689422</c:v>
                </c:pt>
                <c:pt idx="115">
                  <c:v>69.578463991311921</c:v>
                </c:pt>
                <c:pt idx="116">
                  <c:v>70.138424586931933</c:v>
                </c:pt>
                <c:pt idx="117">
                  <c:v>70.747414503969665</c:v>
                </c:pt>
                <c:pt idx="118">
                  <c:v>71.18850814489376</c:v>
                </c:pt>
                <c:pt idx="119">
                  <c:v>71.505787104507078</c:v>
                </c:pt>
                <c:pt idx="120">
                  <c:v>72.172497385738012</c:v>
                </c:pt>
                <c:pt idx="121">
                  <c:v>72.434944116108184</c:v>
                </c:pt>
                <c:pt idx="122">
                  <c:v>72.456231392277331</c:v>
                </c:pt>
                <c:pt idx="123">
                  <c:v>72.703066516031896</c:v>
                </c:pt>
                <c:pt idx="124">
                  <c:v>72.885279066877928</c:v>
                </c:pt>
                <c:pt idx="125">
                  <c:v>73.554229876471595</c:v>
                </c:pt>
                <c:pt idx="126">
                  <c:v>73.559755147510927</c:v>
                </c:pt>
                <c:pt idx="127">
                  <c:v>73.722358634294764</c:v>
                </c:pt>
                <c:pt idx="128">
                  <c:v>74.390325824838996</c:v>
                </c:pt>
                <c:pt idx="129">
                  <c:v>75.067444996290391</c:v>
                </c:pt>
                <c:pt idx="130">
                  <c:v>75.723552978172293</c:v>
                </c:pt>
                <c:pt idx="131">
                  <c:v>76.371908508594004</c:v>
                </c:pt>
                <c:pt idx="132">
                  <c:v>77.047582828645034</c:v>
                </c:pt>
                <c:pt idx="133">
                  <c:v>77.745918555835743</c:v>
                </c:pt>
                <c:pt idx="134">
                  <c:v>78.470190587114018</c:v>
                </c:pt>
                <c:pt idx="135">
                  <c:v>79.216749293715452</c:v>
                </c:pt>
                <c:pt idx="136">
                  <c:v>79.918507665347079</c:v>
                </c:pt>
                <c:pt idx="137">
                  <c:v>80.649799438382928</c:v>
                </c:pt>
                <c:pt idx="138">
                  <c:v>81.382962286532745</c:v>
                </c:pt>
                <c:pt idx="139">
                  <c:v>82.128672067893206</c:v>
                </c:pt>
                <c:pt idx="140">
                  <c:v>82.799375180804716</c:v>
                </c:pt>
                <c:pt idx="141">
                  <c:v>83.461861099668099</c:v>
                </c:pt>
                <c:pt idx="142">
                  <c:v>84.175785178808766</c:v>
                </c:pt>
                <c:pt idx="143">
                  <c:v>84.896161042003754</c:v>
                </c:pt>
                <c:pt idx="144">
                  <c:v>85.6240658775383</c:v>
                </c:pt>
                <c:pt idx="145">
                  <c:v>86.37071498582263</c:v>
                </c:pt>
                <c:pt idx="146">
                  <c:v>87.107250436147524</c:v>
                </c:pt>
                <c:pt idx="147">
                  <c:v>87.844644769679576</c:v>
                </c:pt>
                <c:pt idx="148">
                  <c:v>88.518814164261556</c:v>
                </c:pt>
                <c:pt idx="149">
                  <c:v>89.192492651883938</c:v>
                </c:pt>
                <c:pt idx="150">
                  <c:v>89.938583648560666</c:v>
                </c:pt>
                <c:pt idx="151">
                  <c:v>90.696176590052744</c:v>
                </c:pt>
                <c:pt idx="152">
                  <c:v>91.426004375509748</c:v>
                </c:pt>
                <c:pt idx="153">
                  <c:v>92.168910328459077</c:v>
                </c:pt>
                <c:pt idx="154">
                  <c:v>92.886822861301397</c:v>
                </c:pt>
                <c:pt idx="155">
                  <c:v>93.630857137818637</c:v>
                </c:pt>
                <c:pt idx="156">
                  <c:v>94.334062717133989</c:v>
                </c:pt>
                <c:pt idx="157">
                  <c:v>95.020108385231907</c:v>
                </c:pt>
                <c:pt idx="158">
                  <c:v>95.670678638123661</c:v>
                </c:pt>
                <c:pt idx="159">
                  <c:v>96.367936144834573</c:v>
                </c:pt>
                <c:pt idx="160">
                  <c:v>97.067708654858947</c:v>
                </c:pt>
                <c:pt idx="161">
                  <c:v>97.736648346864982</c:v>
                </c:pt>
                <c:pt idx="162">
                  <c:v>97.338766122887321</c:v>
                </c:pt>
                <c:pt idx="163">
                  <c:v>94.247451328965724</c:v>
                </c:pt>
                <c:pt idx="164">
                  <c:v>107.26472529051328</c:v>
                </c:pt>
                <c:pt idx="165">
                  <c:v>110.01541197309308</c:v>
                </c:pt>
                <c:pt idx="166">
                  <c:v>84.288295109549708</c:v>
                </c:pt>
                <c:pt idx="167">
                  <c:v>29.325576274808029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-4.265679580600773E-2</c:v>
                </c:pt>
                <c:pt idx="9">
                  <c:v>-4.265679580600773E-2</c:v>
                </c:pt>
                <c:pt idx="10">
                  <c:v>-0.28200377186184622</c:v>
                </c:pt>
                <c:pt idx="11">
                  <c:v>-0.43612958718896078</c:v>
                </c:pt>
                <c:pt idx="12">
                  <c:v>-0.87620601751407023</c:v>
                </c:pt>
                <c:pt idx="13">
                  <c:v>-1.1689128904334734</c:v>
                </c:pt>
                <c:pt idx="14">
                  <c:v>-1.2806326827618775</c:v>
                </c:pt>
                <c:pt idx="15">
                  <c:v>-1.5268360912843146</c:v>
                </c:pt>
                <c:pt idx="16">
                  <c:v>-1.7831928343588703</c:v>
                </c:pt>
                <c:pt idx="17">
                  <c:v>-1.7831928343588703</c:v>
                </c:pt>
                <c:pt idx="18">
                  <c:v>-2.1364453739608287</c:v>
                </c:pt>
                <c:pt idx="19">
                  <c:v>-2.4958140759596268</c:v>
                </c:pt>
                <c:pt idx="20">
                  <c:v>-2.8307117015836041</c:v>
                </c:pt>
                <c:pt idx="21">
                  <c:v>-3.2222103834769493</c:v>
                </c:pt>
                <c:pt idx="22">
                  <c:v>-3.6510945779756905</c:v>
                </c:pt>
                <c:pt idx="23">
                  <c:v>-3.8920430716174383</c:v>
                </c:pt>
                <c:pt idx="24">
                  <c:v>-4.2571808196392267</c:v>
                </c:pt>
                <c:pt idx="25">
                  <c:v>-4.3813994981722937</c:v>
                </c:pt>
                <c:pt idx="26">
                  <c:v>-4.5917391154648497</c:v>
                </c:pt>
                <c:pt idx="27">
                  <c:v>-4.5917391154648497</c:v>
                </c:pt>
                <c:pt idx="28">
                  <c:v>-4.7493055884273598</c:v>
                </c:pt>
                <c:pt idx="29">
                  <c:v>-5.065800116341781</c:v>
                </c:pt>
                <c:pt idx="30">
                  <c:v>-5.9496026601747856</c:v>
                </c:pt>
                <c:pt idx="31">
                  <c:v>-6.3911888275296693</c:v>
                </c:pt>
                <c:pt idx="32">
                  <c:v>-6.9516946087639218</c:v>
                </c:pt>
                <c:pt idx="33">
                  <c:v>-8.0712150372075371</c:v>
                </c:pt>
                <c:pt idx="34">
                  <c:v>-9.1683389189160245</c:v>
                </c:pt>
                <c:pt idx="35">
                  <c:v>-9.5731025449734641</c:v>
                </c:pt>
                <c:pt idx="36">
                  <c:v>-10.037235522211862</c:v>
                </c:pt>
                <c:pt idx="37">
                  <c:v>-11.070648205520746</c:v>
                </c:pt>
                <c:pt idx="38">
                  <c:v>-11.612613559345327</c:v>
                </c:pt>
                <c:pt idx="39">
                  <c:v>-11.891823056142037</c:v>
                </c:pt>
                <c:pt idx="40">
                  <c:v>-12.778228594147832</c:v>
                </c:pt>
                <c:pt idx="41">
                  <c:v>-12.919327154851539</c:v>
                </c:pt>
                <c:pt idx="42">
                  <c:v>-13.747458966007471</c:v>
                </c:pt>
                <c:pt idx="43">
                  <c:v>-14.867355315011425</c:v>
                </c:pt>
                <c:pt idx="44">
                  <c:v>-15.422067709865336</c:v>
                </c:pt>
                <c:pt idx="45">
                  <c:v>-15.810237730897944</c:v>
                </c:pt>
                <c:pt idx="46">
                  <c:v>-16.45777019551808</c:v>
                </c:pt>
                <c:pt idx="47">
                  <c:v>-16.94849558750958</c:v>
                </c:pt>
                <c:pt idx="48">
                  <c:v>-17.797951074751246</c:v>
                </c:pt>
                <c:pt idx="49">
                  <c:v>-19.004706198718317</c:v>
                </c:pt>
                <c:pt idx="50">
                  <c:v>-20.398365120749936</c:v>
                </c:pt>
                <c:pt idx="51">
                  <c:v>-20.850006981315808</c:v>
                </c:pt>
                <c:pt idx="52">
                  <c:v>-21.524040451698017</c:v>
                </c:pt>
                <c:pt idx="53">
                  <c:v>-21.809570683264806</c:v>
                </c:pt>
                <c:pt idx="54">
                  <c:v>-22.156312569993407</c:v>
                </c:pt>
                <c:pt idx="55">
                  <c:v>-22.638453365526377</c:v>
                </c:pt>
                <c:pt idx="56">
                  <c:v>-23.23407113109543</c:v>
                </c:pt>
                <c:pt idx="57">
                  <c:v>-24.030615778777499</c:v>
                </c:pt>
                <c:pt idx="58">
                  <c:v>-24.494775242088398</c:v>
                </c:pt>
                <c:pt idx="59">
                  <c:v>-24.834351958619131</c:v>
                </c:pt>
                <c:pt idx="60">
                  <c:v>-25.622497030493687</c:v>
                </c:pt>
                <c:pt idx="61">
                  <c:v>-25.964410882731674</c:v>
                </c:pt>
                <c:pt idx="62">
                  <c:v>-26.229072682362069</c:v>
                </c:pt>
                <c:pt idx="63">
                  <c:v>-26.912934686327425</c:v>
                </c:pt>
                <c:pt idx="64">
                  <c:v>-27.449367519738388</c:v>
                </c:pt>
                <c:pt idx="65">
                  <c:v>-28.429852745163561</c:v>
                </c:pt>
                <c:pt idx="66">
                  <c:v>-29.050483005844644</c:v>
                </c:pt>
                <c:pt idx="67">
                  <c:v>-30.190163614411563</c:v>
                </c:pt>
                <c:pt idx="68">
                  <c:v>-30.417759877059044</c:v>
                </c:pt>
                <c:pt idx="69">
                  <c:v>-30.90164103796754</c:v>
                </c:pt>
                <c:pt idx="70">
                  <c:v>-31.52572004241777</c:v>
                </c:pt>
                <c:pt idx="71">
                  <c:v>-32.108665530777358</c:v>
                </c:pt>
                <c:pt idx="72">
                  <c:v>-32.950484016909598</c:v>
                </c:pt>
                <c:pt idx="73">
                  <c:v>-34.226486965555466</c:v>
                </c:pt>
                <c:pt idx="74">
                  <c:v>-34.747669854314466</c:v>
                </c:pt>
                <c:pt idx="75">
                  <c:v>-35.458004205229869</c:v>
                </c:pt>
                <c:pt idx="76">
                  <c:v>-35.957722517187079</c:v>
                </c:pt>
                <c:pt idx="77">
                  <c:v>-36.651168851195898</c:v>
                </c:pt>
                <c:pt idx="78">
                  <c:v>-37.029425013453036</c:v>
                </c:pt>
                <c:pt idx="79">
                  <c:v>-37.147548340657401</c:v>
                </c:pt>
                <c:pt idx="80">
                  <c:v>-37.948199149877965</c:v>
                </c:pt>
                <c:pt idx="81">
                  <c:v>-38.537622595511863</c:v>
                </c:pt>
                <c:pt idx="82">
                  <c:v>-39.00305589272341</c:v>
                </c:pt>
                <c:pt idx="83">
                  <c:v>-39.591691145381461</c:v>
                </c:pt>
                <c:pt idx="84">
                  <c:v>-39.913559733329258</c:v>
                </c:pt>
                <c:pt idx="85">
                  <c:v>-40.505773121212222</c:v>
                </c:pt>
                <c:pt idx="86">
                  <c:v>-41.1960649197161</c:v>
                </c:pt>
                <c:pt idx="87">
                  <c:v>-41.799358763484953</c:v>
                </c:pt>
                <c:pt idx="88">
                  <c:v>-42.3122805329849</c:v>
                </c:pt>
                <c:pt idx="89">
                  <c:v>-42.564408689428767</c:v>
                </c:pt>
                <c:pt idx="90">
                  <c:v>-42.962068167194516</c:v>
                </c:pt>
                <c:pt idx="91">
                  <c:v>-42.962068167194516</c:v>
                </c:pt>
                <c:pt idx="92">
                  <c:v>-42.971196807390932</c:v>
                </c:pt>
                <c:pt idx="93">
                  <c:v>-42.971196807390932</c:v>
                </c:pt>
                <c:pt idx="94">
                  <c:v>-43.528856201631108</c:v>
                </c:pt>
                <c:pt idx="95">
                  <c:v>-43.528856201631108</c:v>
                </c:pt>
                <c:pt idx="96">
                  <c:v>-43.729573159698184</c:v>
                </c:pt>
                <c:pt idx="97">
                  <c:v>-43.806735558844991</c:v>
                </c:pt>
                <c:pt idx="98">
                  <c:v>-43.992675658892644</c:v>
                </c:pt>
                <c:pt idx="99">
                  <c:v>-44.353516320822891</c:v>
                </c:pt>
                <c:pt idx="100">
                  <c:v>-44.620430166208351</c:v>
                </c:pt>
                <c:pt idx="101">
                  <c:v>-44.832020249805538</c:v>
                </c:pt>
                <c:pt idx="102">
                  <c:v>-45.17764356093668</c:v>
                </c:pt>
                <c:pt idx="103">
                  <c:v>-46.126099684361023</c:v>
                </c:pt>
                <c:pt idx="104">
                  <c:v>-46.2996183605769</c:v>
                </c:pt>
                <c:pt idx="105">
                  <c:v>-46.326605296041095</c:v>
                </c:pt>
                <c:pt idx="106">
                  <c:v>-46.326605296041095</c:v>
                </c:pt>
                <c:pt idx="107">
                  <c:v>-46.379207052553873</c:v>
                </c:pt>
                <c:pt idx="108">
                  <c:v>-46.6197745836065</c:v>
                </c:pt>
                <c:pt idx="109">
                  <c:v>-46.6197745836065</c:v>
                </c:pt>
                <c:pt idx="110">
                  <c:v>-46.829143953641157</c:v>
                </c:pt>
                <c:pt idx="111">
                  <c:v>-47.665728235965311</c:v>
                </c:pt>
                <c:pt idx="112">
                  <c:v>-47.665728235965311</c:v>
                </c:pt>
                <c:pt idx="113">
                  <c:v>-47.696111224222498</c:v>
                </c:pt>
                <c:pt idx="114">
                  <c:v>-47.696111224222498</c:v>
                </c:pt>
                <c:pt idx="115">
                  <c:v>-47.696111224222498</c:v>
                </c:pt>
                <c:pt idx="116">
                  <c:v>-47.816539380215602</c:v>
                </c:pt>
                <c:pt idx="117">
                  <c:v>-47.866324597829511</c:v>
                </c:pt>
                <c:pt idx="118">
                  <c:v>-48.061697503516051</c:v>
                </c:pt>
                <c:pt idx="119">
                  <c:v>-48.418961602790048</c:v>
                </c:pt>
                <c:pt idx="120">
                  <c:v>-48.449434435019583</c:v>
                </c:pt>
                <c:pt idx="121">
                  <c:v>-48.847021794945775</c:v>
                </c:pt>
                <c:pt idx="122">
                  <c:v>-49.474170731107819</c:v>
                </c:pt>
                <c:pt idx="123">
                  <c:v>-49.873229785095816</c:v>
                </c:pt>
                <c:pt idx="124">
                  <c:v>-50.370739301096762</c:v>
                </c:pt>
                <c:pt idx="125">
                  <c:v>-50.406971569887766</c:v>
                </c:pt>
                <c:pt idx="126">
                  <c:v>-51.105789243789118</c:v>
                </c:pt>
                <c:pt idx="127">
                  <c:v>-51.645327690683061</c:v>
                </c:pt>
                <c:pt idx="128">
                  <c:v>-51.645327690683061</c:v>
                </c:pt>
                <c:pt idx="129">
                  <c:v>-51.645327690683061</c:v>
                </c:pt>
                <c:pt idx="130">
                  <c:v>-51.645327690683061</c:v>
                </c:pt>
                <c:pt idx="131">
                  <c:v>-51.645327690683061</c:v>
                </c:pt>
                <c:pt idx="132">
                  <c:v>-51.645327690683061</c:v>
                </c:pt>
                <c:pt idx="133">
                  <c:v>-51.645327690683061</c:v>
                </c:pt>
                <c:pt idx="134">
                  <c:v>-51.645327690683061</c:v>
                </c:pt>
                <c:pt idx="135">
                  <c:v>-51.645327690683061</c:v>
                </c:pt>
                <c:pt idx="136">
                  <c:v>-51.645327690683061</c:v>
                </c:pt>
                <c:pt idx="137">
                  <c:v>-51.645327690683061</c:v>
                </c:pt>
                <c:pt idx="138">
                  <c:v>-51.645327690683061</c:v>
                </c:pt>
                <c:pt idx="139">
                  <c:v>-51.645327690683061</c:v>
                </c:pt>
                <c:pt idx="140">
                  <c:v>-51.645327690683061</c:v>
                </c:pt>
                <c:pt idx="141">
                  <c:v>-51.645327690683061</c:v>
                </c:pt>
                <c:pt idx="142">
                  <c:v>-51.645327690683061</c:v>
                </c:pt>
                <c:pt idx="143">
                  <c:v>-51.645327690683061</c:v>
                </c:pt>
                <c:pt idx="144">
                  <c:v>-51.645327690683061</c:v>
                </c:pt>
                <c:pt idx="145">
                  <c:v>-51.645327690683061</c:v>
                </c:pt>
                <c:pt idx="146">
                  <c:v>-51.645327690683061</c:v>
                </c:pt>
                <c:pt idx="147">
                  <c:v>-51.645327690683061</c:v>
                </c:pt>
                <c:pt idx="148">
                  <c:v>-51.645327690683061</c:v>
                </c:pt>
                <c:pt idx="149">
                  <c:v>-51.645327690683061</c:v>
                </c:pt>
                <c:pt idx="150">
                  <c:v>-51.645327690683061</c:v>
                </c:pt>
                <c:pt idx="151">
                  <c:v>-51.645327690683061</c:v>
                </c:pt>
                <c:pt idx="152">
                  <c:v>-51.645327690683061</c:v>
                </c:pt>
                <c:pt idx="153">
                  <c:v>-51.645327690683061</c:v>
                </c:pt>
                <c:pt idx="154">
                  <c:v>-51.645327690683061</c:v>
                </c:pt>
                <c:pt idx="155">
                  <c:v>-51.645327690683061</c:v>
                </c:pt>
                <c:pt idx="156">
                  <c:v>-51.645327690683061</c:v>
                </c:pt>
                <c:pt idx="157">
                  <c:v>-51.645327690683061</c:v>
                </c:pt>
                <c:pt idx="158">
                  <c:v>-51.645327690683061</c:v>
                </c:pt>
                <c:pt idx="159">
                  <c:v>-51.645327690683061</c:v>
                </c:pt>
                <c:pt idx="160">
                  <c:v>-51.645327690683061</c:v>
                </c:pt>
                <c:pt idx="161">
                  <c:v>-51.645327690683061</c:v>
                </c:pt>
                <c:pt idx="162">
                  <c:v>-51.645327690683061</c:v>
                </c:pt>
                <c:pt idx="163">
                  <c:v>-51.645327690683061</c:v>
                </c:pt>
                <c:pt idx="164">
                  <c:v>-51.645327690683061</c:v>
                </c:pt>
                <c:pt idx="165">
                  <c:v>-51.645327690683061</c:v>
                </c:pt>
                <c:pt idx="166">
                  <c:v>-51.645327690683061</c:v>
                </c:pt>
                <c:pt idx="167">
                  <c:v>-51.645327690683061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0.57708971209268001</c:v>
                </c:pt>
                <c:pt idx="1">
                  <c:v>1.2033998791381997</c:v>
                </c:pt>
                <c:pt idx="2">
                  <c:v>1.8388312144809198</c:v>
                </c:pt>
                <c:pt idx="3">
                  <c:v>2.4786039578716297</c:v>
                </c:pt>
                <c:pt idx="4">
                  <c:v>3.1289615571690814</c:v>
                </c:pt>
                <c:pt idx="5">
                  <c:v>3.7757012266710168</c:v>
                </c:pt>
                <c:pt idx="6">
                  <c:v>4.430786019579652</c:v>
                </c:pt>
                <c:pt idx="7">
                  <c:v>5.073060388385473</c:v>
                </c:pt>
                <c:pt idx="8">
                  <c:v>5.6632829932590472</c:v>
                </c:pt>
                <c:pt idx="9">
                  <c:v>6.2705431515705179</c:v>
                </c:pt>
                <c:pt idx="10">
                  <c:v>6.890786464759775</c:v>
                </c:pt>
                <c:pt idx="11">
                  <c:v>7.5273487183492609</c:v>
                </c:pt>
                <c:pt idx="12">
                  <c:v>8.1601209881265078</c:v>
                </c:pt>
                <c:pt idx="13">
                  <c:v>8.7928932579037529</c:v>
                </c:pt>
                <c:pt idx="14">
                  <c:v>9.4486228094675884</c:v>
                </c:pt>
                <c:pt idx="15">
                  <c:v>10.11472349842319</c:v>
                </c:pt>
                <c:pt idx="16">
                  <c:v>10.748757489089273</c:v>
                </c:pt>
                <c:pt idx="17">
                  <c:v>11.328787629315972</c:v>
                </c:pt>
                <c:pt idx="18">
                  <c:v>11.880077128491651</c:v>
                </c:pt>
                <c:pt idx="19">
                  <c:v>12.455350355955042</c:v>
                </c:pt>
                <c:pt idx="20">
                  <c:v>13.093179152705712</c:v>
                </c:pt>
                <c:pt idx="21">
                  <c:v>13.705981955908317</c:v>
                </c:pt>
                <c:pt idx="22">
                  <c:v>14.325603027548917</c:v>
                </c:pt>
                <c:pt idx="23">
                  <c:v>14.940260563204339</c:v>
                </c:pt>
                <c:pt idx="24">
                  <c:v>15.534713349119318</c:v>
                </c:pt>
                <c:pt idx="25">
                  <c:v>16.129772034108704</c:v>
                </c:pt>
                <c:pt idx="26">
                  <c:v>16.745048612791333</c:v>
                </c:pt>
                <c:pt idx="27">
                  <c:v>17.319729002472076</c:v>
                </c:pt>
                <c:pt idx="28">
                  <c:v>17.912366473018523</c:v>
                </c:pt>
                <c:pt idx="29">
                  <c:v>18.543249173089112</c:v>
                </c:pt>
                <c:pt idx="30">
                  <c:v>19.108497753001622</c:v>
                </c:pt>
                <c:pt idx="31">
                  <c:v>19.70234503686865</c:v>
                </c:pt>
                <c:pt idx="32">
                  <c:v>20.254789169541514</c:v>
                </c:pt>
                <c:pt idx="33">
                  <c:v>20.76719762834367</c:v>
                </c:pt>
                <c:pt idx="34">
                  <c:v>21.257373712551949</c:v>
                </c:pt>
                <c:pt idx="35">
                  <c:v>21.774748948684504</c:v>
                </c:pt>
                <c:pt idx="36">
                  <c:v>22.302151644340203</c:v>
                </c:pt>
                <c:pt idx="37">
                  <c:v>22.828433983238607</c:v>
                </c:pt>
                <c:pt idx="38">
                  <c:v>23.311695056419392</c:v>
                </c:pt>
                <c:pt idx="39">
                  <c:v>23.825204543521121</c:v>
                </c:pt>
                <c:pt idx="40">
                  <c:v>24.331584883295005</c:v>
                </c:pt>
                <c:pt idx="41">
                  <c:v>24.797580809913168</c:v>
                </c:pt>
                <c:pt idx="42">
                  <c:v>25.288826462671025</c:v>
                </c:pt>
                <c:pt idx="43">
                  <c:v>25.727455294982704</c:v>
                </c:pt>
                <c:pt idx="44">
                  <c:v>26.159166726656924</c:v>
                </c:pt>
                <c:pt idx="45">
                  <c:v>26.600782472594542</c:v>
                </c:pt>
                <c:pt idx="46">
                  <c:v>27.064198406938225</c:v>
                </c:pt>
                <c:pt idx="47">
                  <c:v>27.555444059696082</c:v>
                </c:pt>
                <c:pt idx="48">
                  <c:v>28.045620143904362</c:v>
                </c:pt>
                <c:pt idx="49">
                  <c:v>28.524657802310529</c:v>
                </c:pt>
                <c:pt idx="50">
                  <c:v>28.970779086228898</c:v>
                </c:pt>
                <c:pt idx="51">
                  <c:v>29.393703454079375</c:v>
                </c:pt>
                <c:pt idx="52">
                  <c:v>29.863846999270216</c:v>
                </c:pt>
                <c:pt idx="53">
                  <c:v>30.320089050699828</c:v>
                </c:pt>
                <c:pt idx="54">
                  <c:v>30.732435937387596</c:v>
                </c:pt>
                <c:pt idx="55">
                  <c:v>31.157302635363241</c:v>
                </c:pt>
                <c:pt idx="56">
                  <c:v>31.597921253471636</c:v>
                </c:pt>
                <c:pt idx="57">
                  <c:v>32.0360535699743</c:v>
                </c:pt>
                <c:pt idx="58">
                  <c:v>32.455110979169554</c:v>
                </c:pt>
                <c:pt idx="59">
                  <c:v>32.873686676054106</c:v>
                </c:pt>
                <c:pt idx="60">
                  <c:v>33.288421913575476</c:v>
                </c:pt>
                <c:pt idx="61">
                  <c:v>33.689900243912021</c:v>
                </c:pt>
                <c:pt idx="62">
                  <c:v>34.121120359445371</c:v>
                </c:pt>
                <c:pt idx="63">
                  <c:v>34.543560067320954</c:v>
                </c:pt>
                <c:pt idx="64">
                  <c:v>34.972329159877532</c:v>
                </c:pt>
                <c:pt idx="65">
                  <c:v>35.39865648304712</c:v>
                </c:pt>
                <c:pt idx="66">
                  <c:v>35.812435279464239</c:v>
                </c:pt>
                <c:pt idx="67">
                  <c:v>36.191399707052476</c:v>
                </c:pt>
                <c:pt idx="68">
                  <c:v>36.564536231931051</c:v>
                </c:pt>
                <c:pt idx="69">
                  <c:v>36.922715551201847</c:v>
                </c:pt>
                <c:pt idx="70">
                  <c:v>37.296298228283952</c:v>
                </c:pt>
                <c:pt idx="71">
                  <c:v>37.688482301144639</c:v>
                </c:pt>
                <c:pt idx="72">
                  <c:v>38.092777279459753</c:v>
                </c:pt>
                <c:pt idx="73">
                  <c:v>38.51231676906351</c:v>
                </c:pt>
                <c:pt idx="74">
                  <c:v>38.933304709509997</c:v>
                </c:pt>
                <c:pt idx="75">
                  <c:v>39.316793402492578</c:v>
                </c:pt>
                <c:pt idx="76">
                  <c:v>39.687260517387628</c:v>
                </c:pt>
                <c:pt idx="77">
                  <c:v>40.063976278744839</c:v>
                </c:pt>
                <c:pt idx="78">
                  <c:v>40.471573949126686</c:v>
                </c:pt>
                <c:pt idx="79">
                  <c:v>40.823284731605916</c:v>
                </c:pt>
                <c:pt idx="80">
                  <c:v>41.151542786523521</c:v>
                </c:pt>
                <c:pt idx="81">
                  <c:v>41.504970753623731</c:v>
                </c:pt>
                <c:pt idx="82">
                  <c:v>41.872781303813497</c:v>
                </c:pt>
                <c:pt idx="83">
                  <c:v>42.241918532205922</c:v>
                </c:pt>
                <c:pt idx="84">
                  <c:v>42.594058082654122</c:v>
                </c:pt>
                <c:pt idx="85">
                  <c:v>42.916622991528662</c:v>
                </c:pt>
                <c:pt idx="86">
                  <c:v>43.226820876811118</c:v>
                </c:pt>
                <c:pt idx="87">
                  <c:v>43.567926537075756</c:v>
                </c:pt>
                <c:pt idx="88">
                  <c:v>43.899468188191264</c:v>
                </c:pt>
                <c:pt idx="89">
                  <c:v>44.236392981136774</c:v>
                </c:pt>
                <c:pt idx="90">
                  <c:v>44.565469860596359</c:v>
                </c:pt>
                <c:pt idx="91">
                  <c:v>44.91461542180042</c:v>
                </c:pt>
                <c:pt idx="92">
                  <c:v>45.282425971990186</c:v>
                </c:pt>
                <c:pt idx="93">
                  <c:v>45.674149141010602</c:v>
                </c:pt>
                <c:pt idx="94">
                  <c:v>46.029299931011757</c:v>
                </c:pt>
                <c:pt idx="95">
                  <c:v>46.421023100032173</c:v>
                </c:pt>
                <c:pt idx="96">
                  <c:v>46.80998844374151</c:v>
                </c:pt>
                <c:pt idx="97">
                  <c:v>47.202172516602197</c:v>
                </c:pt>
                <c:pt idx="98">
                  <c:v>47.618345169786203</c:v>
                </c:pt>
                <c:pt idx="99">
                  <c:v>48.018420094604139</c:v>
                </c:pt>
                <c:pt idx="100">
                  <c:v>48.402817957406512</c:v>
                </c:pt>
                <c:pt idx="101">
                  <c:v>48.793160586334842</c:v>
                </c:pt>
                <c:pt idx="102">
                  <c:v>49.183963033497093</c:v>
                </c:pt>
                <c:pt idx="103">
                  <c:v>49.574765480659345</c:v>
                </c:pt>
                <c:pt idx="104">
                  <c:v>49.996236974935563</c:v>
                </c:pt>
                <c:pt idx="105">
                  <c:v>50.425006067492141</c:v>
                </c:pt>
                <c:pt idx="106">
                  <c:v>50.861156040324303</c:v>
                </c:pt>
                <c:pt idx="107">
                  <c:v>51.301774658432699</c:v>
                </c:pt>
                <c:pt idx="108">
                  <c:v>51.697659006109056</c:v>
                </c:pt>
                <c:pt idx="109">
                  <c:v>52.121553800772276</c:v>
                </c:pt>
                <c:pt idx="110">
                  <c:v>52.557209117077981</c:v>
                </c:pt>
                <c:pt idx="111">
                  <c:v>52.968127393848263</c:v>
                </c:pt>
                <c:pt idx="112">
                  <c:v>53.393967472453738</c:v>
                </c:pt>
                <c:pt idx="113">
                  <c:v>53.807746268870858</c:v>
                </c:pt>
                <c:pt idx="114">
                  <c:v>54.265008647362663</c:v>
                </c:pt>
                <c:pt idx="115">
                  <c:v>54.71213526949154</c:v>
                </c:pt>
                <c:pt idx="116">
                  <c:v>55.135059637342017</c:v>
                </c:pt>
                <c:pt idx="117">
                  <c:v>55.544078229055856</c:v>
                </c:pt>
                <c:pt idx="118">
                  <c:v>55.938572254542848</c:v>
                </c:pt>
                <c:pt idx="119">
                  <c:v>56.362952816248679</c:v>
                </c:pt>
                <c:pt idx="120">
                  <c:v>56.806067049830141</c:v>
                </c:pt>
                <c:pt idx="121">
                  <c:v>57.223680425973896</c:v>
                </c:pt>
                <c:pt idx="122">
                  <c:v>57.634598702744178</c:v>
                </c:pt>
                <c:pt idx="123">
                  <c:v>58.04551697951446</c:v>
                </c:pt>
                <c:pt idx="124">
                  <c:v>58.483649296017127</c:v>
                </c:pt>
                <c:pt idx="125">
                  <c:v>58.942956838902667</c:v>
                </c:pt>
                <c:pt idx="126">
                  <c:v>59.403802204609057</c:v>
                </c:pt>
                <c:pt idx="127">
                  <c:v>59.865160930726539</c:v>
                </c:pt>
                <c:pt idx="128">
                  <c:v>60.302797103476706</c:v>
                </c:pt>
                <c:pt idx="129">
                  <c:v>60.749420869629155</c:v>
                </c:pt>
                <c:pt idx="130">
                  <c:v>61.182116045939161</c:v>
                </c:pt>
                <c:pt idx="131">
                  <c:v>61.610885138495739</c:v>
                </c:pt>
                <c:pt idx="132">
                  <c:v>62.062554299028399</c:v>
                </c:pt>
                <c:pt idx="133">
                  <c:v>62.533738528791439</c:v>
                </c:pt>
                <c:pt idx="134">
                  <c:v>63.027127902161325</c:v>
                </c:pt>
                <c:pt idx="135">
                  <c:v>63.540086682373307</c:v>
                </c:pt>
                <c:pt idx="136">
                  <c:v>64.020705270425779</c:v>
                </c:pt>
                <c:pt idx="137">
                  <c:v>64.5265399076698</c:v>
                </c:pt>
                <c:pt idx="138">
                  <c:v>65.036202538542838</c:v>
                </c:pt>
                <c:pt idx="139">
                  <c:v>65.557622016295483</c:v>
                </c:pt>
                <c:pt idx="140">
                  <c:v>66.020153849773905</c:v>
                </c:pt>
                <c:pt idx="141">
                  <c:v>66.479456887779563</c:v>
                </c:pt>
                <c:pt idx="142">
                  <c:v>66.981207793774303</c:v>
                </c:pt>
                <c:pt idx="143">
                  <c:v>67.491927216969245</c:v>
                </c:pt>
                <c:pt idx="144">
                  <c:v>68.008797984597507</c:v>
                </c:pt>
                <c:pt idx="145">
                  <c:v>68.540902567438025</c:v>
                </c:pt>
                <c:pt idx="146">
                  <c:v>69.069691189321702</c:v>
                </c:pt>
                <c:pt idx="147">
                  <c:v>69.602251900370405</c:v>
                </c:pt>
                <c:pt idx="148">
                  <c:v>70.088164971697495</c:v>
                </c:pt>
                <c:pt idx="149">
                  <c:v>70.574137690707147</c:v>
                </c:pt>
                <c:pt idx="150">
                  <c:v>71.120748005707753</c:v>
                </c:pt>
                <c:pt idx="151">
                  <c:v>71.677662300072896</c:v>
                </c:pt>
                <c:pt idx="152">
                  <c:v>72.215832992769165</c:v>
                </c:pt>
                <c:pt idx="153">
                  <c:v>72.765398136891605</c:v>
                </c:pt>
                <c:pt idx="154">
                  <c:v>73.293125054663392</c:v>
                </c:pt>
                <c:pt idx="155">
                  <c:v>73.844208477277803</c:v>
                </c:pt>
                <c:pt idx="156">
                  <c:v>74.364515403841722</c:v>
                </c:pt>
                <c:pt idx="157">
                  <c:v>74.871769067051758</c:v>
                </c:pt>
                <c:pt idx="158">
                  <c:v>75.351827360841753</c:v>
                </c:pt>
                <c:pt idx="159">
                  <c:v>75.872401969364361</c:v>
                </c:pt>
                <c:pt idx="160">
                  <c:v>76.394586647071179</c:v>
                </c:pt>
                <c:pt idx="161">
                  <c:v>76.894068752475093</c:v>
                </c:pt>
                <c:pt idx="162">
                  <c:v>77.372064615785931</c:v>
                </c:pt>
                <c:pt idx="163">
                  <c:v>77.871331495675776</c:v>
                </c:pt>
                <c:pt idx="164">
                  <c:v>78.375888865764153</c:v>
                </c:pt>
                <c:pt idx="165">
                  <c:v>78.850057913009053</c:v>
                </c:pt>
                <c:pt idx="166">
                  <c:v>79.360375010187767</c:v>
                </c:pt>
                <c:pt idx="167">
                  <c:v>79.849508104643263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-1.5126959439191552</c:v>
                </c:pt>
                <c:pt idx="2">
                  <c:v>-2.9397270677693479</c:v>
                </c:pt>
                <c:pt idx="3">
                  <c:v>-4.2490245590195368</c:v>
                </c:pt>
                <c:pt idx="4">
                  <c:v>-5.4039678724397211</c:v>
                </c:pt>
                <c:pt idx="5">
                  <c:v>-6.4421793256836706</c:v>
                </c:pt>
                <c:pt idx="6">
                  <c:v>-7.4002779830530425</c:v>
                </c:pt>
                <c:pt idx="7">
                  <c:v>-8.2613837795405658</c:v>
                </c:pt>
                <c:pt idx="8">
                  <c:v>-9.0011361315293676</c:v>
                </c:pt>
                <c:pt idx="9">
                  <c:v>-9.6862005759965157</c:v>
                </c:pt>
                <c:pt idx="10">
                  <c:v>-10.313283104744839</c:v>
                </c:pt>
                <c:pt idx="11">
                  <c:v>-10.88477619722488</c:v>
                </c:pt>
                <c:pt idx="12">
                  <c:v>-11.390030373783171</c:v>
                </c:pt>
                <c:pt idx="13">
                  <c:v>-11.83473065066439</c:v>
                </c:pt>
                <c:pt idx="14">
                  <c:v>-12.23098473240403</c:v>
                </c:pt>
                <c:pt idx="15">
                  <c:v>-12.57339489186208</c:v>
                </c:pt>
                <c:pt idx="16">
                  <c:v>-12.851421896499378</c:v>
                </c:pt>
                <c:pt idx="17">
                  <c:v>-13.068129296844766</c:v>
                </c:pt>
                <c:pt idx="18">
                  <c:v>-13.238312019567333</c:v>
                </c:pt>
                <c:pt idx="19">
                  <c:v>-13.375073623533112</c:v>
                </c:pt>
                <c:pt idx="20">
                  <c:v>-13.480799855292215</c:v>
                </c:pt>
                <c:pt idx="21">
                  <c:v>-13.544995846652881</c:v>
                </c:pt>
                <c:pt idx="22">
                  <c:v>-13.573219253888798</c:v>
                </c:pt>
                <c:pt idx="23">
                  <c:v>-13.566950935029773</c:v>
                </c:pt>
                <c:pt idx="24">
                  <c:v>-13.529537570553611</c:v>
                </c:pt>
                <c:pt idx="25">
                  <c:v>-13.462828764201841</c:v>
                </c:pt>
                <c:pt idx="26">
                  <c:v>-13.365950966057454</c:v>
                </c:pt>
                <c:pt idx="27">
                  <c:v>-13.247963518932119</c:v>
                </c:pt>
                <c:pt idx="28">
                  <c:v>-13.103245270794007</c:v>
                </c:pt>
                <c:pt idx="29">
                  <c:v>-12.927539147640783</c:v>
                </c:pt>
                <c:pt idx="30">
                  <c:v>-12.743316066842997</c:v>
                </c:pt>
                <c:pt idx="31">
                  <c:v>-12.532691682164767</c:v>
                </c:pt>
                <c:pt idx="32">
                  <c:v>-12.314092479181831</c:v>
                </c:pt>
                <c:pt idx="33">
                  <c:v>-12.090671151175901</c:v>
                </c:pt>
                <c:pt idx="34">
                  <c:v>-11.860009436003139</c:v>
                </c:pt>
                <c:pt idx="35">
                  <c:v>-11.607998780630307</c:v>
                </c:pt>
                <c:pt idx="36">
                  <c:v>-11.339934142310856</c:v>
                </c:pt>
                <c:pt idx="37">
                  <c:v>-11.06008810920385</c:v>
                </c:pt>
                <c:pt idx="38">
                  <c:v>-10.784652420469207</c:v>
                </c:pt>
                <c:pt idx="39">
                  <c:v>-10.488164828517425</c:v>
                </c:pt>
                <c:pt idx="40">
                  <c:v>-10.184777769422087</c:v>
                </c:pt>
                <c:pt idx="41">
                  <c:v>-9.8887329173269478</c:v>
                </c:pt>
                <c:pt idx="42">
                  <c:v>-9.5748066257333786</c:v>
                </c:pt>
                <c:pt idx="43">
                  <c:v>-9.2755854650670244</c:v>
                </c:pt>
                <c:pt idx="44">
                  <c:v>-8.9732879750485495</c:v>
                </c:pt>
                <c:pt idx="45">
                  <c:v>-8.6611157876937135</c:v>
                </c:pt>
                <c:pt idx="46">
                  <c:v>-8.3339613711676144</c:v>
                </c:pt>
                <c:pt idx="47">
                  <c:v>-7.9890669935168468</c:v>
                </c:pt>
                <c:pt idx="48">
                  <c:v>-7.6395036866316159</c:v>
                </c:pt>
                <c:pt idx="49">
                  <c:v>-7.2903756088254967</c:v>
                </c:pt>
                <c:pt idx="50">
                  <c:v>-6.9524717101771802</c:v>
                </c:pt>
                <c:pt idx="51">
                  <c:v>-6.6220584016037591</c:v>
                </c:pt>
                <c:pt idx="52">
                  <c:v>-6.2661019505909037</c:v>
                </c:pt>
                <c:pt idx="53">
                  <c:v>-5.913750839530528</c:v>
                </c:pt>
                <c:pt idx="54">
                  <c:v>-5.5800474197348002</c:v>
                </c:pt>
                <c:pt idx="55">
                  <c:v>-5.2381098436137172</c:v>
                </c:pt>
                <c:pt idx="56">
                  <c:v>-4.886498336716266</c:v>
                </c:pt>
                <c:pt idx="57">
                  <c:v>-4.534335567013887</c:v>
                </c:pt>
                <c:pt idx="58">
                  <c:v>-4.1900987015832039</c:v>
                </c:pt>
                <c:pt idx="59">
                  <c:v>-3.8448687110160105</c:v>
                </c:pt>
                <c:pt idx="60">
                  <c:v>-3.5005275894907255</c:v>
                </c:pt>
                <c:pt idx="61">
                  <c:v>-3.1620019273002606</c:v>
                </c:pt>
                <c:pt idx="62">
                  <c:v>-2.8079511761219837</c:v>
                </c:pt>
                <c:pt idx="63">
                  <c:v>-2.4578109289109449</c:v>
                </c:pt>
                <c:pt idx="64">
                  <c:v>-2.1041964184062234</c:v>
                </c:pt>
                <c:pt idx="65">
                  <c:v>-1.7516705036448794</c:v>
                </c:pt>
                <c:pt idx="66">
                  <c:v>-1.4054672088324152</c:v>
                </c:pt>
                <c:pt idx="67">
                  <c:v>-1.0769608784168794</c:v>
                </c:pt>
                <c:pt idx="68">
                  <c:v>-0.75167512197594277</c:v>
                </c:pt>
                <c:pt idx="69">
                  <c:v>-0.43433703470199703</c:v>
                </c:pt>
                <c:pt idx="70">
                  <c:v>-0.10969272301794586</c:v>
                </c:pt>
                <c:pt idx="71">
                  <c:v>0.22368762842333734</c:v>
                </c:pt>
                <c:pt idx="72">
                  <c:v>0.56237133571870146</c:v>
                </c:pt>
                <c:pt idx="73">
                  <c:v>0.90774629640712057</c:v>
                </c:pt>
                <c:pt idx="74">
                  <c:v>1.2528115683707668</c:v>
                </c:pt>
                <c:pt idx="75">
                  <c:v>1.5782189207676414</c:v>
                </c:pt>
                <c:pt idx="76">
                  <c:v>1.8960805688675055</c:v>
                </c:pt>
                <c:pt idx="77">
                  <c:v>2.2158877483429507</c:v>
                </c:pt>
                <c:pt idx="78">
                  <c:v>2.5495711667756007</c:v>
                </c:pt>
                <c:pt idx="79">
                  <c:v>2.854508312684791</c:v>
                </c:pt>
                <c:pt idx="80">
                  <c:v>3.1466352626381067</c:v>
                </c:pt>
                <c:pt idx="81">
                  <c:v>3.4498574561397746</c:v>
                </c:pt>
                <c:pt idx="82">
                  <c:v>3.7586534388783601</c:v>
                </c:pt>
                <c:pt idx="83">
                  <c:v>4.0665720453933067</c:v>
                </c:pt>
                <c:pt idx="84">
                  <c:v>4.3647646869428822</c:v>
                </c:pt>
                <c:pt idx="85">
                  <c:v>4.6472058355597463</c:v>
                </c:pt>
                <c:pt idx="86">
                  <c:v>4.9222519631184758</c:v>
                </c:pt>
                <c:pt idx="87">
                  <c:v>5.2106472216008441</c:v>
                </c:pt>
                <c:pt idx="88">
                  <c:v>5.4929121609194755</c:v>
                </c:pt>
                <c:pt idx="89">
                  <c:v>5.7761181520842504</c:v>
                </c:pt>
                <c:pt idx="90">
                  <c:v>6.0539958319559606</c:v>
                </c:pt>
                <c:pt idx="91">
                  <c:v>6.3395458506339164</c:v>
                </c:pt>
                <c:pt idx="92">
                  <c:v>6.6318630189437178</c:v>
                </c:pt>
                <c:pt idx="93">
                  <c:v>6.9330753667768485</c:v>
                </c:pt>
                <c:pt idx="94">
                  <c:v>7.2157019311990025</c:v>
                </c:pt>
                <c:pt idx="95">
                  <c:v>7.5127697489968135</c:v>
                </c:pt>
                <c:pt idx="96">
                  <c:v>7.8064407346153759</c:v>
                </c:pt>
                <c:pt idx="97">
                  <c:v>8.099336291288818</c:v>
                </c:pt>
                <c:pt idx="98">
                  <c:v>8.4004128730062533</c:v>
                </c:pt>
                <c:pt idx="99">
                  <c:v>8.6921343981510688</c:v>
                </c:pt>
                <c:pt idx="100">
                  <c:v>8.9748039520200855</c:v>
                </c:pt>
                <c:pt idx="101">
                  <c:v>9.2577504405214981</c:v>
                </c:pt>
                <c:pt idx="102">
                  <c:v>9.5385799597803889</c:v>
                </c:pt>
                <c:pt idx="103">
                  <c:v>9.8170783404142838</c:v>
                </c:pt>
                <c:pt idx="104">
                  <c:v>10.105899678418979</c:v>
                </c:pt>
                <c:pt idx="105">
                  <c:v>10.395115040051845</c:v>
                </c:pt>
                <c:pt idx="106">
                  <c:v>10.684658619748262</c:v>
                </c:pt>
                <c:pt idx="107">
                  <c:v>10.973266898801018</c:v>
                </c:pt>
                <c:pt idx="108">
                  <c:v>11.241344342433138</c:v>
                </c:pt>
                <c:pt idx="109">
                  <c:v>11.518016585009985</c:v>
                </c:pt>
                <c:pt idx="110">
                  <c:v>11.796606458960849</c:v>
                </c:pt>
                <c:pt idx="111">
                  <c:v>12.062909426924211</c:v>
                </c:pt>
                <c:pt idx="112">
                  <c:v>12.332343229685829</c:v>
                </c:pt>
                <c:pt idx="113">
                  <c:v>12.594532069669345</c:v>
                </c:pt>
                <c:pt idx="114">
                  <c:v>12.870365957641955</c:v>
                </c:pt>
                <c:pt idx="115">
                  <c:v>13.139529658135581</c:v>
                </c:pt>
                <c:pt idx="116">
                  <c:v>13.396994041898218</c:v>
                </c:pt>
                <c:pt idx="117">
                  <c:v>13.646750584836019</c:v>
                </c:pt>
                <c:pt idx="118">
                  <c:v>13.888723105959663</c:v>
                </c:pt>
                <c:pt idx="119">
                  <c:v>14.138885603141158</c:v>
                </c:pt>
                <c:pt idx="120">
                  <c:v>14.392954483020153</c:v>
                </c:pt>
                <c:pt idx="121">
                  <c:v>14.635375197172749</c:v>
                </c:pt>
                <c:pt idx="122">
                  <c:v>14.872893132733644</c:v>
                </c:pt>
                <c:pt idx="123">
                  <c:v>15.10786903370591</c:v>
                </c:pt>
                <c:pt idx="124">
                  <c:v>15.349458784050231</c:v>
                </c:pt>
                <c:pt idx="125">
                  <c:v>15.595334319549359</c:v>
                </c:pt>
                <c:pt idx="126">
                  <c:v>15.838831898783656</c:v>
                </c:pt>
                <c:pt idx="127">
                  <c:v>16.079615106343951</c:v>
                </c:pt>
                <c:pt idx="128">
                  <c:v>16.309946124138019</c:v>
                </c:pt>
                <c:pt idx="129">
                  <c:v>16.540441529436951</c:v>
                </c:pt>
                <c:pt idx="130">
                  <c:v>16.763854335008851</c:v>
                </c:pt>
                <c:pt idx="131">
                  <c:v>16.98344077287399</c:v>
                </c:pt>
                <c:pt idx="132">
                  <c:v>17.207445932392361</c:v>
                </c:pt>
                <c:pt idx="133">
                  <c:v>17.43459742982003</c:v>
                </c:pt>
                <c:pt idx="134">
                  <c:v>17.665480087728408</c:v>
                </c:pt>
                <c:pt idx="135">
                  <c:v>17.899080014117864</c:v>
                </c:pt>
                <c:pt idx="136">
                  <c:v>18.120219797697011</c:v>
                </c:pt>
                <c:pt idx="137">
                  <c:v>18.345676933488839</c:v>
                </c:pt>
                <c:pt idx="138">
                  <c:v>18.569177150765611</c:v>
                </c:pt>
                <c:pt idx="139">
                  <c:v>18.79346745437342</c:v>
                </c:pt>
                <c:pt idx="140">
                  <c:v>19.001638733806509</c:v>
                </c:pt>
                <c:pt idx="141">
                  <c:v>19.204821614664233</c:v>
                </c:pt>
                <c:pt idx="142">
                  <c:v>19.416994787810165</c:v>
                </c:pt>
                <c:pt idx="143">
                  <c:v>19.626651227810207</c:v>
                </c:pt>
                <c:pt idx="144">
                  <c:v>19.83768529571649</c:v>
                </c:pt>
                <c:pt idx="145">
                  <c:v>20.052229821160299</c:v>
                </c:pt>
                <c:pt idx="146">
                  <c:v>20.259976649601509</c:v>
                </c:pt>
                <c:pt idx="147">
                  <c:v>20.464810272084858</c:v>
                </c:pt>
                <c:pt idx="148">
                  <c:v>20.653066595339755</c:v>
                </c:pt>
                <c:pt idx="149">
                  <c:v>20.840772363952489</c:v>
                </c:pt>
                <c:pt idx="150">
                  <c:v>21.04025304562861</c:v>
                </c:pt>
                <c:pt idx="151">
                  <c:v>21.240931692755538</c:v>
                </c:pt>
                <c:pt idx="152">
                  <c:v>21.43258878551627</c:v>
                </c:pt>
                <c:pt idx="153">
                  <c:v>21.625929594343152</c:v>
                </c:pt>
                <c:pt idx="154">
                  <c:v>21.816115209413677</c:v>
                </c:pt>
                <c:pt idx="155">
                  <c:v>22.009066063316503</c:v>
                </c:pt>
                <c:pt idx="156">
                  <c:v>22.191964716067936</c:v>
                </c:pt>
                <c:pt idx="157">
                  <c:v>22.370756720955814</c:v>
                </c:pt>
                <c:pt idx="158">
                  <c:v>22.541268680057566</c:v>
                </c:pt>
                <c:pt idx="159">
                  <c:v>22.717951578245877</c:v>
                </c:pt>
                <c:pt idx="160">
                  <c:v>22.895539410563433</c:v>
                </c:pt>
                <c:pt idx="161">
                  <c:v>23.064996997165551</c:v>
                </c:pt>
                <c:pt idx="162">
                  <c:v>23.224447802258389</c:v>
                </c:pt>
                <c:pt idx="163">
                  <c:v>23.387161134451439</c:v>
                </c:pt>
                <c:pt idx="164">
                  <c:v>23.548709263001193</c:v>
                </c:pt>
                <c:pt idx="165">
                  <c:v>23.704826190714016</c:v>
                </c:pt>
                <c:pt idx="166">
                  <c:v>23.868932818727266</c:v>
                </c:pt>
                <c:pt idx="167">
                  <c:v>24.028580578093916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1.529267210055852</c:v>
                </c:pt>
                <c:pt idx="15">
                  <c:v>1.5832132322272652</c:v>
                </c:pt>
                <c:pt idx="16">
                  <c:v>1.6367850400116655</c:v>
                </c:pt>
                <c:pt idx="17">
                  <c:v>1.6941043814221561</c:v>
                </c:pt>
                <c:pt idx="18">
                  <c:v>1.7604233758315371</c:v>
                </c:pt>
                <c:pt idx="19">
                  <c:v>1.8324759365950907</c:v>
                </c:pt>
                <c:pt idx="20">
                  <c:v>1.9066476995697417</c:v>
                </c:pt>
                <c:pt idx="21">
                  <c:v>1.9794663430673289</c:v>
                </c:pt>
                <c:pt idx="22">
                  <c:v>2.0608730772597927</c:v>
                </c:pt>
                <c:pt idx="23">
                  <c:v>2.1456769199357466</c:v>
                </c:pt>
                <c:pt idx="24">
                  <c:v>2.2255712931857188</c:v>
                </c:pt>
                <c:pt idx="25">
                  <c:v>2.3093807267084792</c:v>
                </c:pt>
                <c:pt idx="26">
                  <c:v>2.4045735825826688</c:v>
                </c:pt>
                <c:pt idx="27">
                  <c:v>2.5024013439003872</c:v>
                </c:pt>
                <c:pt idx="28">
                  <c:v>2.6106368693079252</c:v>
                </c:pt>
                <c:pt idx="29">
                  <c:v>2.7153950815354579</c:v>
                </c:pt>
                <c:pt idx="30">
                  <c:v>2.8300215052721862</c:v>
                </c:pt>
                <c:pt idx="31">
                  <c:v>2.9503212665013088</c:v>
                </c:pt>
                <c:pt idx="32">
                  <c:v>3.078360485067797</c:v>
                </c:pt>
                <c:pt idx="33">
                  <c:v>3.2140776761132819</c:v>
                </c:pt>
                <c:pt idx="34">
                  <c:v>3.3553024576879178</c:v>
                </c:pt>
                <c:pt idx="35">
                  <c:v>3.4906578312097736</c:v>
                </c:pt>
                <c:pt idx="36">
                  <c:v>3.6313820228123292</c:v>
                </c:pt>
                <c:pt idx="37">
                  <c:v>3.777824024151085</c:v>
                </c:pt>
                <c:pt idx="38">
                  <c:v>3.9308105881752065</c:v>
                </c:pt>
                <c:pt idx="39">
                  <c:v>4.1037107143391287</c:v>
                </c:pt>
                <c:pt idx="40">
                  <c:v>4.2837404007524977</c:v>
                </c:pt>
                <c:pt idx="41">
                  <c:v>4.4665950974166533</c:v>
                </c:pt>
                <c:pt idx="42">
                  <c:v>4.6609658053843264</c:v>
                </c:pt>
                <c:pt idx="43">
                  <c:v>4.8735442789275814</c:v>
                </c:pt>
                <c:pt idx="44">
                  <c:v>5.0873194905024519</c:v>
                </c:pt>
                <c:pt idx="45">
                  <c:v>5.2916381631576606</c:v>
                </c:pt>
                <c:pt idx="46">
                  <c:v>5.5070657964081056</c:v>
                </c:pt>
                <c:pt idx="47">
                  <c:v>5.7442093526662141</c:v>
                </c:pt>
                <c:pt idx="48">
                  <c:v>5.9946606197534447</c:v>
                </c:pt>
                <c:pt idx="49">
                  <c:v>6.2512494400505334</c:v>
                </c:pt>
                <c:pt idx="50">
                  <c:v>6.4843334859058803</c:v>
                </c:pt>
                <c:pt idx="51">
                  <c:v>6.722558251849585</c:v>
                </c:pt>
                <c:pt idx="52">
                  <c:v>6.9815236596120069</c:v>
                </c:pt>
                <c:pt idx="53">
                  <c:v>7.2588057237748238</c:v>
                </c:pt>
                <c:pt idx="54">
                  <c:v>7.5303837767772626</c:v>
                </c:pt>
                <c:pt idx="55">
                  <c:v>7.8172864379876001</c:v>
                </c:pt>
                <c:pt idx="56">
                  <c:v>8.1656225888254941</c:v>
                </c:pt>
                <c:pt idx="57">
                  <c:v>8.536467602547809</c:v>
                </c:pt>
                <c:pt idx="58">
                  <c:v>8.9260939382771589</c:v>
                </c:pt>
                <c:pt idx="59">
                  <c:v>9.3590158395904464</c:v>
                </c:pt>
                <c:pt idx="60">
                  <c:v>9.7858945022777668</c:v>
                </c:pt>
                <c:pt idx="61">
                  <c:v>10.213960887443541</c:v>
                </c:pt>
                <c:pt idx="62">
                  <c:v>10.651177848903023</c:v>
                </c:pt>
                <c:pt idx="63">
                  <c:v>11.13224424875585</c:v>
                </c:pt>
                <c:pt idx="64">
                  <c:v>11.664544051381306</c:v>
                </c:pt>
                <c:pt idx="65">
                  <c:v>12.231968911832647</c:v>
                </c:pt>
                <c:pt idx="66">
                  <c:v>12.811761312429894</c:v>
                </c:pt>
                <c:pt idx="67">
                  <c:v>13.42554503021436</c:v>
                </c:pt>
                <c:pt idx="68">
                  <c:v>14.067755849042575</c:v>
                </c:pt>
                <c:pt idx="69">
                  <c:v>14.731053259094796</c:v>
                </c:pt>
                <c:pt idx="70">
                  <c:v>15.420510706121279</c:v>
                </c:pt>
                <c:pt idx="71">
                  <c:v>16.079663042107185</c:v>
                </c:pt>
                <c:pt idx="72">
                  <c:v>16.802446876130162</c:v>
                </c:pt>
                <c:pt idx="73">
                  <c:v>17.583676807714561</c:v>
                </c:pt>
                <c:pt idx="74">
                  <c:v>18.459310860424424</c:v>
                </c:pt>
                <c:pt idx="75">
                  <c:v>19.40582452300297</c:v>
                </c:pt>
                <c:pt idx="76">
                  <c:v>20.350927796685134</c:v>
                </c:pt>
                <c:pt idx="77">
                  <c:v>21.288044568880064</c:v>
                </c:pt>
                <c:pt idx="78">
                  <c:v>22.241847232788746</c:v>
                </c:pt>
                <c:pt idx="79">
                  <c:v>23.239013461635981</c:v>
                </c:pt>
                <c:pt idx="80">
                  <c:v>24.299625471038876</c:v>
                </c:pt>
                <c:pt idx="81">
                  <c:v>25.419775381522786</c:v>
                </c:pt>
                <c:pt idx="82">
                  <c:v>26.516844636448585</c:v>
                </c:pt>
                <c:pt idx="83">
                  <c:v>27.733157555965157</c:v>
                </c:pt>
                <c:pt idx="84">
                  <c:v>29.050481090106253</c:v>
                </c:pt>
                <c:pt idx="85">
                  <c:v>30.321282500719228</c:v>
                </c:pt>
                <c:pt idx="86">
                  <c:v>31.665706860288491</c:v>
                </c:pt>
                <c:pt idx="87">
                  <c:v>33.120225836901184</c:v>
                </c:pt>
                <c:pt idx="88">
                  <c:v>34.59994930677734</c:v>
                </c:pt>
                <c:pt idx="89">
                  <c:v>36.215981700649934</c:v>
                </c:pt>
                <c:pt idx="90">
                  <c:v>37.97339368261337</c:v>
                </c:pt>
                <c:pt idx="91">
                  <c:v>39.700658380339824</c:v>
                </c:pt>
                <c:pt idx="92">
                  <c:v>41.508112929097379</c:v>
                </c:pt>
                <c:pt idx="93">
                  <c:v>43.348443641050679</c:v>
                </c:pt>
                <c:pt idx="94">
                  <c:v>45.192731870284341</c:v>
                </c:pt>
                <c:pt idx="95">
                  <c:v>46.787602019505684</c:v>
                </c:pt>
                <c:pt idx="96">
                  <c:v>48.883236376401292</c:v>
                </c:pt>
                <c:pt idx="97">
                  <c:v>50.99204378185209</c:v>
                </c:pt>
                <c:pt idx="98">
                  <c:v>53.16044588575793</c:v>
                </c:pt>
                <c:pt idx="99">
                  <c:v>55.45175833985391</c:v>
                </c:pt>
                <c:pt idx="100">
                  <c:v>57.88839847746155</c:v>
                </c:pt>
                <c:pt idx="101">
                  <c:v>60.367407358868988</c:v>
                </c:pt>
                <c:pt idx="102">
                  <c:v>62.826307685173262</c:v>
                </c:pt>
                <c:pt idx="103">
                  <c:v>65.262696217081199</c:v>
                </c:pt>
                <c:pt idx="104">
                  <c:v>67.702091007974815</c:v>
                </c:pt>
                <c:pt idx="105">
                  <c:v>70.17837389773446</c:v>
                </c:pt>
                <c:pt idx="106">
                  <c:v>72.831927745808684</c:v>
                </c:pt>
                <c:pt idx="107">
                  <c:v>75.556336071136883</c:v>
                </c:pt>
                <c:pt idx="108">
                  <c:v>78.281618768906839</c:v>
                </c:pt>
                <c:pt idx="109">
                  <c:v>81.05400970242647</c:v>
                </c:pt>
                <c:pt idx="110">
                  <c:v>83.83639191936598</c:v>
                </c:pt>
                <c:pt idx="111">
                  <c:v>86.618173961816169</c:v>
                </c:pt>
                <c:pt idx="112">
                  <c:v>89.519908688760779</c:v>
                </c:pt>
                <c:pt idx="113">
                  <c:v>92.517813251641485</c:v>
                </c:pt>
                <c:pt idx="114">
                  <c:v>95.296065613974847</c:v>
                </c:pt>
                <c:pt idx="115">
                  <c:v>98.234402908409336</c:v>
                </c:pt>
                <c:pt idx="116">
                  <c:v>101.45191063158789</c:v>
                </c:pt>
                <c:pt idx="117">
                  <c:v>104.56964525074396</c:v>
                </c:pt>
                <c:pt idx="118">
                  <c:v>107.56011484332582</c:v>
                </c:pt>
                <c:pt idx="119">
                  <c:v>110.56484469885206</c:v>
                </c:pt>
                <c:pt idx="120">
                  <c:v>113.52837966403136</c:v>
                </c:pt>
                <c:pt idx="121">
                  <c:v>116.51648260957093</c:v>
                </c:pt>
                <c:pt idx="122">
                  <c:v>119.49075988162473</c:v>
                </c:pt>
                <c:pt idx="123">
                  <c:v>122.59598708822395</c:v>
                </c:pt>
                <c:pt idx="124">
                  <c:v>125.78519099618681</c:v>
                </c:pt>
                <c:pt idx="125">
                  <c:v>128.9681867599916</c:v>
                </c:pt>
                <c:pt idx="126">
                  <c:v>132.01877928074634</c:v>
                </c:pt>
                <c:pt idx="127">
                  <c:v>134.99619424710207</c:v>
                </c:pt>
                <c:pt idx="128">
                  <c:v>137.81011442185235</c:v>
                </c:pt>
                <c:pt idx="129">
                  <c:v>140.71518240824741</c:v>
                </c:pt>
                <c:pt idx="130">
                  <c:v>143.57068078464263</c:v>
                </c:pt>
                <c:pt idx="131">
                  <c:v>146.11172419385736</c:v>
                </c:pt>
                <c:pt idx="132">
                  <c:v>148.79854542646473</c:v>
                </c:pt>
                <c:pt idx="133">
                  <c:v>151.32763273099536</c:v>
                </c:pt>
                <c:pt idx="134">
                  <c:v>154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29.055627965404732</c:v>
                </c:pt>
                <c:pt idx="1">
                  <c:v>28.827519261186605</c:v>
                </c:pt>
                <c:pt idx="2">
                  <c:v>28.669198326770552</c:v>
                </c:pt>
                <c:pt idx="3">
                  <c:v>28.570448640712854</c:v>
                </c:pt>
                <c:pt idx="4">
                  <c:v>28.53857249947345</c:v>
                </c:pt>
                <c:pt idx="5">
                  <c:v>28.549058035391589</c:v>
                </c:pt>
                <c:pt idx="6">
                  <c:v>28.61884453883528</c:v>
                </c:pt>
                <c:pt idx="7">
                  <c:v>28.740240302132644</c:v>
                </c:pt>
                <c:pt idx="8">
                  <c:v>28.918382700012277</c:v>
                </c:pt>
                <c:pt idx="9">
                  <c:v>29.155552210957296</c:v>
                </c:pt>
                <c:pt idx="10">
                  <c:v>29.427215558989197</c:v>
                </c:pt>
                <c:pt idx="11">
                  <c:v>29.720335283434007</c:v>
                </c:pt>
                <c:pt idx="12">
                  <c:v>30.046912092335415</c:v>
                </c:pt>
                <c:pt idx="13">
                  <c:v>30.419624283476342</c:v>
                </c:pt>
                <c:pt idx="14">
                  <c:v>30.831310325640242</c:v>
                </c:pt>
                <c:pt idx="15">
                  <c:v>31.195509875339418</c:v>
                </c:pt>
                <c:pt idx="16">
                  <c:v>31.60087889540711</c:v>
                </c:pt>
                <c:pt idx="17">
                  <c:v>32.034608337764922</c:v>
                </c:pt>
                <c:pt idx="18">
                  <c:v>32.539160864324423</c:v>
                </c:pt>
                <c:pt idx="19">
                  <c:v>33.109735165096971</c:v>
                </c:pt>
                <c:pt idx="20">
                  <c:v>33.700299538220811</c:v>
                </c:pt>
                <c:pt idx="21">
                  <c:v>34.293626237242002</c:v>
                </c:pt>
                <c:pt idx="22">
                  <c:v>34.939258421139499</c:v>
                </c:pt>
                <c:pt idx="23">
                  <c:v>35.607001018870456</c:v>
                </c:pt>
                <c:pt idx="24">
                  <c:v>36.235512963568667</c:v>
                </c:pt>
                <c:pt idx="25">
                  <c:v>36.893359026528032</c:v>
                </c:pt>
                <c:pt idx="26">
                  <c:v>37.606293853934886</c:v>
                </c:pt>
                <c:pt idx="27">
                  <c:v>38.297883591681462</c:v>
                </c:pt>
                <c:pt idx="28">
                  <c:v>39.043112977285496</c:v>
                </c:pt>
                <c:pt idx="29">
                  <c:v>39.733761441467102</c:v>
                </c:pt>
                <c:pt idx="30">
                  <c:v>40.450662573951313</c:v>
                </c:pt>
                <c:pt idx="31">
                  <c:v>41.196218352135787</c:v>
                </c:pt>
                <c:pt idx="32">
                  <c:v>41.959274687725639</c:v>
                </c:pt>
                <c:pt idx="33">
                  <c:v>42.728275277090582</c:v>
                </c:pt>
                <c:pt idx="34">
                  <c:v>43.486677171202018</c:v>
                </c:pt>
                <c:pt idx="35">
                  <c:v>44.182851182713769</c:v>
                </c:pt>
                <c:pt idx="36">
                  <c:v>44.870380169326992</c:v>
                </c:pt>
                <c:pt idx="37">
                  <c:v>45.555988039852167</c:v>
                </c:pt>
                <c:pt idx="38">
                  <c:v>46.254023573981478</c:v>
                </c:pt>
                <c:pt idx="39">
                  <c:v>46.981120033155484</c:v>
                </c:pt>
                <c:pt idx="40">
                  <c:v>47.704579648904257</c:v>
                </c:pt>
                <c:pt idx="41">
                  <c:v>48.396299131736022</c:v>
                </c:pt>
                <c:pt idx="42">
                  <c:v>49.100859876530983</c:v>
                </c:pt>
                <c:pt idx="43">
                  <c:v>49.814392536149846</c:v>
                </c:pt>
                <c:pt idx="44">
                  <c:v>50.48888904243929</c:v>
                </c:pt>
                <c:pt idx="45">
                  <c:v>51.109167065618308</c:v>
                </c:pt>
                <c:pt idx="46">
                  <c:v>51.724466290138665</c:v>
                </c:pt>
                <c:pt idx="47">
                  <c:v>52.359831520054094</c:v>
                </c:pt>
                <c:pt idx="48">
                  <c:v>52.99092267189387</c:v>
                </c:pt>
                <c:pt idx="49">
                  <c:v>53.620272348532644</c:v>
                </c:pt>
                <c:pt idx="50">
                  <c:v>54.187587115167887</c:v>
                </c:pt>
                <c:pt idx="51">
                  <c:v>54.742894974907159</c:v>
                </c:pt>
                <c:pt idx="52">
                  <c:v>55.317788990959109</c:v>
                </c:pt>
                <c:pt idx="53">
                  <c:v>55.922778694722666</c:v>
                </c:pt>
                <c:pt idx="54">
                  <c:v>56.515458299456107</c:v>
                </c:pt>
                <c:pt idx="55">
                  <c:v>57.090878403682595</c:v>
                </c:pt>
                <c:pt idx="56">
                  <c:v>57.702627104054628</c:v>
                </c:pt>
                <c:pt idx="57">
                  <c:v>58.323713593982696</c:v>
                </c:pt>
                <c:pt idx="58">
                  <c:v>58.929884976121741</c:v>
                </c:pt>
                <c:pt idx="59">
                  <c:v>59.549121445062831</c:v>
                </c:pt>
                <c:pt idx="60">
                  <c:v>60.094011201245038</c:v>
                </c:pt>
                <c:pt idx="61">
                  <c:v>60.603221502401297</c:v>
                </c:pt>
                <c:pt idx="62">
                  <c:v>61.073525400211835</c:v>
                </c:pt>
                <c:pt idx="63">
                  <c:v>61.541424815671014</c:v>
                </c:pt>
                <c:pt idx="64">
                  <c:v>61.994913073937951</c:v>
                </c:pt>
                <c:pt idx="65">
                  <c:v>62.416828506040211</c:v>
                </c:pt>
                <c:pt idx="66">
                  <c:v>62.791742151940753</c:v>
                </c:pt>
                <c:pt idx="67">
                  <c:v>63.10684533401966</c:v>
                </c:pt>
                <c:pt idx="68">
                  <c:v>63.387612113261881</c:v>
                </c:pt>
                <c:pt idx="69">
                  <c:v>63.61256329090601</c:v>
                </c:pt>
                <c:pt idx="70">
                  <c:v>63.785703149116216</c:v>
                </c:pt>
                <c:pt idx="71">
                  <c:v>63.891926245757347</c:v>
                </c:pt>
                <c:pt idx="72">
                  <c:v>63.94899550382118</c:v>
                </c:pt>
                <c:pt idx="73">
                  <c:v>63.958958305585774</c:v>
                </c:pt>
                <c:pt idx="74">
                  <c:v>63.910024630186676</c:v>
                </c:pt>
                <c:pt idx="75">
                  <c:v>63.845925205795673</c:v>
                </c:pt>
                <c:pt idx="76">
                  <c:v>63.749585758291445</c:v>
                </c:pt>
                <c:pt idx="77">
                  <c:v>63.617177686660327</c:v>
                </c:pt>
                <c:pt idx="78">
                  <c:v>63.471017853283875</c:v>
                </c:pt>
                <c:pt idx="79">
                  <c:v>63.281293997132238</c:v>
                </c:pt>
                <c:pt idx="80">
                  <c:v>63.012400480326498</c:v>
                </c:pt>
                <c:pt idx="81">
                  <c:v>62.675002534347371</c:v>
                </c:pt>
                <c:pt idx="82">
                  <c:v>62.318671013882309</c:v>
                </c:pt>
                <c:pt idx="83">
                  <c:v>61.932618072341242</c:v>
                </c:pt>
                <c:pt idx="84">
                  <c:v>61.487167617606957</c:v>
                </c:pt>
                <c:pt idx="85">
                  <c:v>61.030815218653558</c:v>
                </c:pt>
                <c:pt idx="86">
                  <c:v>60.526209366740915</c:v>
                </c:pt>
                <c:pt idx="87">
                  <c:v>59.951738053853759</c:v>
                </c:pt>
                <c:pt idx="88">
                  <c:v>59.33017231694356</c:v>
                </c:pt>
                <c:pt idx="89">
                  <c:v>58.625136439776071</c:v>
                </c:pt>
                <c:pt idx="90">
                  <c:v>57.83573360235026</c:v>
                </c:pt>
                <c:pt idx="91">
                  <c:v>57.013868901238261</c:v>
                </c:pt>
                <c:pt idx="92">
                  <c:v>56.106568749227776</c:v>
                </c:pt>
                <c:pt idx="93">
                  <c:v>55.131367224756339</c:v>
                </c:pt>
                <c:pt idx="94">
                  <c:v>54.114472507979855</c:v>
                </c:pt>
                <c:pt idx="95">
                  <c:v>53.249354535466736</c:v>
                </c:pt>
                <c:pt idx="96">
                  <c:v>52.072273704840818</c:v>
                </c:pt>
                <c:pt idx="97">
                  <c:v>50.877417941008716</c:v>
                </c:pt>
                <c:pt idx="98">
                  <c:v>49.618228363054705</c:v>
                </c:pt>
                <c:pt idx="99">
                  <c:v>48.26837140583752</c:v>
                </c:pt>
                <c:pt idx="100">
                  <c:v>46.779278059619266</c:v>
                </c:pt>
                <c:pt idx="101">
                  <c:v>45.223066538036015</c:v>
                </c:pt>
                <c:pt idx="102">
                  <c:v>43.6600590314982</c:v>
                </c:pt>
                <c:pt idx="103">
                  <c:v>42.09333178962364</c:v>
                </c:pt>
                <c:pt idx="104">
                  <c:v>40.550660662633035</c:v>
                </c:pt>
                <c:pt idx="105">
                  <c:v>38.95117970237591</c:v>
                </c:pt>
                <c:pt idx="106">
                  <c:v>37.203201837077799</c:v>
                </c:pt>
                <c:pt idx="107">
                  <c:v>35.378778501041992</c:v>
                </c:pt>
                <c:pt idx="108">
                  <c:v>33.537317377626408</c:v>
                </c:pt>
                <c:pt idx="109">
                  <c:v>31.647460972287639</c:v>
                </c:pt>
                <c:pt idx="110">
                  <c:v>29.721970359587523</c:v>
                </c:pt>
                <c:pt idx="111">
                  <c:v>27.763290032328655</c:v>
                </c:pt>
                <c:pt idx="112">
                  <c:v>25.747907838914539</c:v>
                </c:pt>
                <c:pt idx="113">
                  <c:v>23.621533890152971</c:v>
                </c:pt>
                <c:pt idx="114">
                  <c:v>21.644047966221706</c:v>
                </c:pt>
                <c:pt idx="115">
                  <c:v>19.497853170756972</c:v>
                </c:pt>
                <c:pt idx="116">
                  <c:v>17.118569229378959</c:v>
                </c:pt>
                <c:pt idx="117">
                  <c:v>14.81058954487105</c:v>
                </c:pt>
                <c:pt idx="118">
                  <c:v>12.581633937800667</c:v>
                </c:pt>
                <c:pt idx="119">
                  <c:v>10.322248545355098</c:v>
                </c:pt>
                <c:pt idx="120">
                  <c:v>8.0706817953276548</c:v>
                </c:pt>
                <c:pt idx="121">
                  <c:v>5.8062969873623409</c:v>
                </c:pt>
                <c:pt idx="122">
                  <c:v>3.5328174839634849</c:v>
                </c:pt>
                <c:pt idx="123">
                  <c:v>1.134874418468188</c:v>
                </c:pt>
                <c:pt idx="124">
                  <c:v>-1.3506458392936831</c:v>
                </c:pt>
                <c:pt idx="125">
                  <c:v>-3.8275575829694266</c:v>
                </c:pt>
                <c:pt idx="126">
                  <c:v>-6.1926453045652758</c:v>
                </c:pt>
                <c:pt idx="127">
                  <c:v>-8.4960535677965083</c:v>
                </c:pt>
                <c:pt idx="128">
                  <c:v>-10.682977887671258</c:v>
                </c:pt>
                <c:pt idx="129">
                  <c:v>-12.937948143552454</c:v>
                </c:pt>
                <c:pt idx="130">
                  <c:v>-15.1313252006172</c:v>
                </c:pt>
                <c:pt idx="131">
                  <c:v>-17.106134555413128</c:v>
                </c:pt>
                <c:pt idx="132">
                  <c:v>-19.146834397157559</c:v>
                </c:pt>
                <c:pt idx="133">
                  <c:v>-21.05466089233186</c:v>
                </c:pt>
                <c:pt idx="134">
                  <c:v>-23.060480452286328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0.48622451092495594</c:v>
                </c:pt>
                <c:pt idx="1">
                  <c:v>0.95637488298540552</c:v>
                </c:pt>
                <c:pt idx="2">
                  <c:v>1.4762540854219559</c:v>
                </c:pt>
                <c:pt idx="3">
                  <c:v>2.0047878064140194</c:v>
                </c:pt>
                <c:pt idx="4">
                  <c:v>2.5538839119469929</c:v>
                </c:pt>
                <c:pt idx="5">
                  <c:v>3.0334828228012021</c:v>
                </c:pt>
                <c:pt idx="6">
                  <c:v>3.5152730552464941</c:v>
                </c:pt>
                <c:pt idx="7">
                  <c:v>4.0160712072821756</c:v>
                </c:pt>
                <c:pt idx="8">
                  <c:v>4.5381808051261894</c:v>
                </c:pt>
                <c:pt idx="9">
                  <c:v>5.0781001346543793</c:v>
                </c:pt>
                <c:pt idx="10">
                  <c:v>5.6052509399578039</c:v>
                </c:pt>
                <c:pt idx="11">
                  <c:v>6.108626644075339</c:v>
                </c:pt>
                <c:pt idx="12">
                  <c:v>6.6069843542002999</c:v>
                </c:pt>
                <c:pt idx="13">
                  <c:v>7.1257324594546345</c:v>
                </c:pt>
                <c:pt idx="14">
                  <c:v>7.6489408652499087</c:v>
                </c:pt>
                <c:pt idx="15">
                  <c:v>8.1412723379891716</c:v>
                </c:pt>
                <c:pt idx="16">
                  <c:v>8.6448459059417715</c:v>
                </c:pt>
                <c:pt idx="17">
                  <c:v>9.1546833671782881</c:v>
                </c:pt>
                <c:pt idx="18">
                  <c:v>9.7171982542133897</c:v>
                </c:pt>
                <c:pt idx="19">
                  <c:v>10.321960162711624</c:v>
                </c:pt>
                <c:pt idx="20">
                  <c:v>10.921494561547449</c:v>
                </c:pt>
                <c:pt idx="21">
                  <c:v>11.500573692076784</c:v>
                </c:pt>
                <c:pt idx="22">
                  <c:v>12.111703988908117</c:v>
                </c:pt>
                <c:pt idx="23">
                  <c:v>12.724897248415186</c:v>
                </c:pt>
                <c:pt idx="24">
                  <c:v>13.283307090637878</c:v>
                </c:pt>
                <c:pt idx="25">
                  <c:v>13.855686741217767</c:v>
                </c:pt>
                <c:pt idx="26">
                  <c:v>14.464922751875879</c:v>
                </c:pt>
                <c:pt idx="27">
                  <c:v>15.039452272623672</c:v>
                </c:pt>
                <c:pt idx="28">
                  <c:v>15.65050853300532</c:v>
                </c:pt>
                <c:pt idx="29">
                  <c:v>16.200830011126573</c:v>
                </c:pt>
                <c:pt idx="30">
                  <c:v>16.763398164458636</c:v>
                </c:pt>
                <c:pt idx="31">
                  <c:v>17.344835774497103</c:v>
                </c:pt>
                <c:pt idx="32">
                  <c:v>17.933731488946542</c:v>
                </c:pt>
                <c:pt idx="33">
                  <c:v>18.520000774136061</c:v>
                </c:pt>
                <c:pt idx="34">
                  <c:v>19.090416110691734</c:v>
                </c:pt>
                <c:pt idx="35">
                  <c:v>19.603153200407156</c:v>
                </c:pt>
                <c:pt idx="36">
                  <c:v>20.104235486679542</c:v>
                </c:pt>
                <c:pt idx="37">
                  <c:v>20.601259730134117</c:v>
                </c:pt>
                <c:pt idx="38">
                  <c:v>21.109148911865326</c:v>
                </c:pt>
                <c:pt idx="39">
                  <c:v>21.637318088111538</c:v>
                </c:pt>
                <c:pt idx="40">
                  <c:v>22.16320868739966</c:v>
                </c:pt>
                <c:pt idx="41">
                  <c:v>22.66231893909805</c:v>
                </c:pt>
                <c:pt idx="42">
                  <c:v>23.175251982648447</c:v>
                </c:pt>
                <c:pt idx="43">
                  <c:v>23.696259265347734</c:v>
                </c:pt>
                <c:pt idx="44">
                  <c:v>24.187696569653305</c:v>
                </c:pt>
                <c:pt idx="45">
                  <c:v>24.637521745974123</c:v>
                </c:pt>
                <c:pt idx="46">
                  <c:v>25.087376535416674</c:v>
                </c:pt>
                <c:pt idx="47">
                  <c:v>25.56070910520166</c:v>
                </c:pt>
                <c:pt idx="48">
                  <c:v>26.037463244361827</c:v>
                </c:pt>
                <c:pt idx="49">
                  <c:v>26.522944809487118</c:v>
                </c:pt>
                <c:pt idx="50">
                  <c:v>26.959448158514352</c:v>
                </c:pt>
                <c:pt idx="51">
                  <c:v>27.392208357204193</c:v>
                </c:pt>
                <c:pt idx="52">
                  <c:v>27.853491871294469</c:v>
                </c:pt>
                <c:pt idx="53">
                  <c:v>28.355274615149856</c:v>
                </c:pt>
                <c:pt idx="54">
                  <c:v>28.854722139616538</c:v>
                </c:pt>
                <c:pt idx="55">
                  <c:v>29.348331294926197</c:v>
                </c:pt>
                <c:pt idx="56">
                  <c:v>29.895574025131381</c:v>
                </c:pt>
                <c:pt idx="57">
                  <c:v>30.46957160318826</c:v>
                </c:pt>
                <c:pt idx="58">
                  <c:v>31.047278999710336</c:v>
                </c:pt>
                <c:pt idx="59">
                  <c:v>31.661398142933045</c:v>
                </c:pt>
                <c:pt idx="60">
                  <c:v>32.219268261163641</c:v>
                </c:pt>
                <c:pt idx="61">
                  <c:v>32.758488997099654</c:v>
                </c:pt>
                <c:pt idx="62">
                  <c:v>33.276924446953927</c:v>
                </c:pt>
                <c:pt idx="63">
                  <c:v>33.822479184887683</c:v>
                </c:pt>
                <c:pt idx="64">
                  <c:v>34.388079676840206</c:v>
                </c:pt>
                <c:pt idx="65">
                  <c:v>34.954160388572468</c:v>
                </c:pt>
                <c:pt idx="66">
                  <c:v>35.498396653959176</c:v>
                </c:pt>
                <c:pt idx="67">
                  <c:v>36.016517140330322</c:v>
                </c:pt>
                <c:pt idx="68">
                  <c:v>36.532916457132139</c:v>
                </c:pt>
                <c:pt idx="69">
                  <c:v>37.023340736105219</c:v>
                </c:pt>
                <c:pt idx="70">
                  <c:v>37.494387966455164</c:v>
                </c:pt>
                <c:pt idx="71">
                  <c:v>37.908733384274612</c:v>
                </c:pt>
                <c:pt idx="72">
                  <c:v>38.338439414784709</c:v>
                </c:pt>
                <c:pt idx="73">
                  <c:v>38.78038763463816</c:v>
                </c:pt>
                <c:pt idx="74">
                  <c:v>39.25116839203455</c:v>
                </c:pt>
                <c:pt idx="75">
                  <c:v>39.754350717828807</c:v>
                </c:pt>
                <c:pt idx="76">
                  <c:v>40.237479473638281</c:v>
                </c:pt>
                <c:pt idx="77">
                  <c:v>40.695471072599119</c:v>
                </c:pt>
                <c:pt idx="78">
                  <c:v>41.154823854535771</c:v>
                </c:pt>
                <c:pt idx="79">
                  <c:v>41.617654797356749</c:v>
                </c:pt>
                <c:pt idx="80">
                  <c:v>42.077757850402662</c:v>
                </c:pt>
                <c:pt idx="81">
                  <c:v>42.538320397741565</c:v>
                </c:pt>
                <c:pt idx="82">
                  <c:v>42.973167202150364</c:v>
                </c:pt>
                <c:pt idx="83">
                  <c:v>43.466598094730301</c:v>
                </c:pt>
                <c:pt idx="84">
                  <c:v>43.994751925907565</c:v>
                </c:pt>
                <c:pt idx="85">
                  <c:v>44.493746747991011</c:v>
                </c:pt>
                <c:pt idx="86">
                  <c:v>45.018002630255438</c:v>
                </c:pt>
                <c:pt idx="87">
                  <c:v>45.575989718977659</c:v>
                </c:pt>
                <c:pt idx="88">
                  <c:v>46.123750511221786</c:v>
                </c:pt>
                <c:pt idx="89">
                  <c:v>46.714958811055212</c:v>
                </c:pt>
                <c:pt idx="90">
                  <c:v>47.354810541349885</c:v>
                </c:pt>
                <c:pt idx="91">
                  <c:v>47.955507581278383</c:v>
                </c:pt>
                <c:pt idx="92">
                  <c:v>48.55404061570961</c:v>
                </c:pt>
                <c:pt idx="93">
                  <c:v>49.128207591978494</c:v>
                </c:pt>
                <c:pt idx="94">
                  <c:v>49.678526064873296</c:v>
                </c:pt>
                <c:pt idx="95">
                  <c:v>50.174050754771173</c:v>
                </c:pt>
                <c:pt idx="96">
                  <c:v>50.807148090309134</c:v>
                </c:pt>
                <c:pt idx="97">
                  <c:v>51.448529972302644</c:v>
                </c:pt>
                <c:pt idx="98">
                  <c:v>52.091430229238789</c:v>
                </c:pt>
                <c:pt idx="99">
                  <c:v>52.765494522136919</c:v>
                </c:pt>
                <c:pt idx="100">
                  <c:v>53.442746933923985</c:v>
                </c:pt>
                <c:pt idx="101">
                  <c:v>54.104290750124377</c:v>
                </c:pt>
                <c:pt idx="102">
                  <c:v>54.753465880832728</c:v>
                </c:pt>
                <c:pt idx="103">
                  <c:v>55.389512297872379</c:v>
                </c:pt>
                <c:pt idx="104">
                  <c:v>56.062154082085044</c:v>
                </c:pt>
                <c:pt idx="105">
                  <c:v>56.720837402818233</c:v>
                </c:pt>
                <c:pt idx="106">
                  <c:v>57.402753792765807</c:v>
                </c:pt>
                <c:pt idx="107">
                  <c:v>58.082604718038631</c:v>
                </c:pt>
                <c:pt idx="108">
                  <c:v>58.754961686488095</c:v>
                </c:pt>
                <c:pt idx="109">
                  <c:v>59.430654900212524</c:v>
                </c:pt>
                <c:pt idx="110">
                  <c:v>60.087601151390821</c:v>
                </c:pt>
                <c:pt idx="111">
                  <c:v>60.717796182000697</c:v>
                </c:pt>
                <c:pt idx="112">
                  <c:v>61.41005668700042</c:v>
                </c:pt>
                <c:pt idx="113">
                  <c:v>62.087929086559967</c:v>
                </c:pt>
                <c:pt idx="114">
                  <c:v>62.714449114388131</c:v>
                </c:pt>
                <c:pt idx="115">
                  <c:v>63.328301485343204</c:v>
                </c:pt>
                <c:pt idx="116">
                  <c:v>63.977073906841689</c:v>
                </c:pt>
                <c:pt idx="117">
                  <c:v>64.60901200899248</c:v>
                </c:pt>
                <c:pt idx="118">
                  <c:v>65.204627173448955</c:v>
                </c:pt>
                <c:pt idx="119">
                  <c:v>65.787541496444959</c:v>
                </c:pt>
                <c:pt idx="120">
                  <c:v>66.343095305855286</c:v>
                </c:pt>
                <c:pt idx="121">
                  <c:v>66.912713831472288</c:v>
                </c:pt>
                <c:pt idx="122">
                  <c:v>67.463395326041294</c:v>
                </c:pt>
                <c:pt idx="123">
                  <c:v>68.017170353399109</c:v>
                </c:pt>
                <c:pt idx="124">
                  <c:v>68.57403379994058</c:v>
                </c:pt>
                <c:pt idx="125">
                  <c:v>69.135887329947252</c:v>
                </c:pt>
                <c:pt idx="126">
                  <c:v>69.682645417573667</c:v>
                </c:pt>
                <c:pt idx="127">
                  <c:v>70.222523157842446</c:v>
                </c:pt>
                <c:pt idx="128">
                  <c:v>70.72708758305852</c:v>
                </c:pt>
                <c:pt idx="129">
                  <c:v>71.254458769600177</c:v>
                </c:pt>
                <c:pt idx="130">
                  <c:v>71.792739934636671</c:v>
                </c:pt>
                <c:pt idx="131">
                  <c:v>72.254892484262356</c:v>
                </c:pt>
                <c:pt idx="132">
                  <c:v>72.783462658276193</c:v>
                </c:pt>
                <c:pt idx="133">
                  <c:v>73.293625060988745</c:v>
                </c:pt>
                <c:pt idx="134">
                  <c:v>73.844640691705834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-0.75617282032825273</c:v>
                </c:pt>
                <c:pt idx="2">
                  <c:v>-1.4544318966068275</c:v>
                </c:pt>
                <c:pt idx="3">
                  <c:v>-2.13263203345943</c:v>
                </c:pt>
                <c:pt idx="4">
                  <c:v>-2.7599154405091895</c:v>
                </c:pt>
                <c:pt idx="5">
                  <c:v>-3.3408876872815689</c:v>
                </c:pt>
                <c:pt idx="6">
                  <c:v>-3.810001062217637</c:v>
                </c:pt>
                <c:pt idx="7">
                  <c:v>-4.2220047912192378</c:v>
                </c:pt>
                <c:pt idx="8">
                  <c:v>-4.6014071799575547</c:v>
                </c:pt>
                <c:pt idx="9">
                  <c:v>-4.9453743799219367</c:v>
                </c:pt>
                <c:pt idx="10">
                  <c:v>-5.2481241985051064</c:v>
                </c:pt>
                <c:pt idx="11">
                  <c:v>-5.5036116557766306</c:v>
                </c:pt>
                <c:pt idx="12">
                  <c:v>-5.7138676354493541</c:v>
                </c:pt>
                <c:pt idx="13">
                  <c:v>-5.8856485366729068</c:v>
                </c:pt>
                <c:pt idx="14">
                  <c:v>-6.0316844507863152</c:v>
                </c:pt>
                <c:pt idx="15">
                  <c:v>-6.1432068144176881</c:v>
                </c:pt>
                <c:pt idx="16">
                  <c:v>-6.2173927152863619</c:v>
                </c:pt>
                <c:pt idx="17">
                  <c:v>-6.2620254553868691</c:v>
                </c:pt>
                <c:pt idx="18">
                  <c:v>-6.2808141328550811</c:v>
                </c:pt>
                <c:pt idx="19">
                  <c:v>-6.2724574989212982</c:v>
                </c:pt>
                <c:pt idx="20">
                  <c:v>-6.2345925458834301</c:v>
                </c:pt>
                <c:pt idx="21">
                  <c:v>-6.1693908086207649</c:v>
                </c:pt>
                <c:pt idx="22">
                  <c:v>-6.0823245966313273</c:v>
                </c:pt>
                <c:pt idx="23">
                  <c:v>-5.9664159753727013</c:v>
                </c:pt>
                <c:pt idx="24">
                  <c:v>-5.8270627944728624</c:v>
                </c:pt>
                <c:pt idx="25">
                  <c:v>-5.6770663187473716</c:v>
                </c:pt>
                <c:pt idx="26">
                  <c:v>-5.5077904728451337</c:v>
                </c:pt>
                <c:pt idx="27">
                  <c:v>-5.3088988002222095</c:v>
                </c:pt>
                <c:pt idx="28">
                  <c:v>-5.0940108219057123</c:v>
                </c:pt>
                <c:pt idx="29">
                  <c:v>-4.8516021712757862</c:v>
                </c:pt>
                <c:pt idx="30">
                  <c:v>-4.606516972987901</c:v>
                </c:pt>
                <c:pt idx="31">
                  <c:v>-4.3375575700990225</c:v>
                </c:pt>
                <c:pt idx="32">
                  <c:v>-4.0531396407238951</c:v>
                </c:pt>
                <c:pt idx="33">
                  <c:v>-3.7509398010169939</c:v>
                </c:pt>
                <c:pt idx="34">
                  <c:v>-3.4324913057960806</c:v>
                </c:pt>
                <c:pt idx="35">
                  <c:v>-3.1032799666656814</c:v>
                </c:pt>
                <c:pt idx="36">
                  <c:v>-2.7844876713474989</c:v>
                </c:pt>
                <c:pt idx="37">
                  <c:v>-2.4573167794040991</c:v>
                </c:pt>
                <c:pt idx="38">
                  <c:v>-2.122291150994748</c:v>
                </c:pt>
                <c:pt idx="39">
                  <c:v>-1.7791582345725274</c:v>
                </c:pt>
                <c:pt idx="40">
                  <c:v>-1.4073308254808126</c:v>
                </c:pt>
                <c:pt idx="41">
                  <c:v>-1.0297321226067879</c:v>
                </c:pt>
                <c:pt idx="42">
                  <c:v>-0.65426819480925502</c:v>
                </c:pt>
                <c:pt idx="43">
                  <c:v>-0.26826978559701686</c:v>
                </c:pt>
                <c:pt idx="44">
                  <c:v>0.13683406486581262</c:v>
                </c:pt>
                <c:pt idx="45">
                  <c:v>0.53366847842455556</c:v>
                </c:pt>
                <c:pt idx="46">
                  <c:v>0.90843999793797181</c:v>
                </c:pt>
                <c:pt idx="47">
                  <c:v>1.289312066266227</c:v>
                </c:pt>
                <c:pt idx="48">
                  <c:v>1.6884882826547774</c:v>
                </c:pt>
                <c:pt idx="49">
                  <c:v>2.0932765624216181</c:v>
                </c:pt>
                <c:pt idx="50">
                  <c:v>2.4937334942321883</c:v>
                </c:pt>
                <c:pt idx="51">
                  <c:v>2.8576289576955425</c:v>
                </c:pt>
                <c:pt idx="52">
                  <c:v>3.2184013846886792</c:v>
                </c:pt>
                <c:pt idx="53">
                  <c:v>3.5909772944127738</c:v>
                </c:pt>
                <c:pt idx="54">
                  <c:v>3.9714663184837597</c:v>
                </c:pt>
                <c:pt idx="55">
                  <c:v>4.3362764517529584</c:v>
                </c:pt>
                <c:pt idx="56">
                  <c:v>4.7049900618801175</c:v>
                </c:pt>
                <c:pt idx="57">
                  <c:v>5.117832182884861</c:v>
                </c:pt>
                <c:pt idx="58">
                  <c:v>5.5357661084783629</c:v>
                </c:pt>
                <c:pt idx="59">
                  <c:v>5.9538564298246754</c:v>
                </c:pt>
                <c:pt idx="60">
                  <c:v>6.3918956568563416</c:v>
                </c:pt>
                <c:pt idx="61">
                  <c:v>6.8057939574952755</c:v>
                </c:pt>
                <c:pt idx="62">
                  <c:v>7.2038499078812919</c:v>
                </c:pt>
                <c:pt idx="63">
                  <c:v>7.5929353172970373</c:v>
                </c:pt>
                <c:pt idx="64">
                  <c:v>7.9963463946752924</c:v>
                </c:pt>
                <c:pt idx="65">
                  <c:v>8.4165339636151586</c:v>
                </c:pt>
                <c:pt idx="66">
                  <c:v>8.8397935444364961</c:v>
                </c:pt>
                <c:pt idx="67">
                  <c:v>9.2502633255475786</c:v>
                </c:pt>
                <c:pt idx="68">
                  <c:v>9.6610297390398046</c:v>
                </c:pt>
                <c:pt idx="69">
                  <c:v>10.067608020308434</c:v>
                </c:pt>
                <c:pt idx="70">
                  <c:v>10.465432329031707</c:v>
                </c:pt>
                <c:pt idx="71">
                  <c:v>10.856982403918458</c:v>
                </c:pt>
                <c:pt idx="72">
                  <c:v>11.208012418726049</c:v>
                </c:pt>
                <c:pt idx="73">
                  <c:v>11.558159480302763</c:v>
                </c:pt>
                <c:pt idx="74">
                  <c:v>11.90740399379829</c:v>
                </c:pt>
                <c:pt idx="75">
                  <c:v>12.263323613712664</c:v>
                </c:pt>
                <c:pt idx="76">
                  <c:v>12.642555526105959</c:v>
                </c:pt>
                <c:pt idx="77">
                  <c:v>13.008190596474421</c:v>
                </c:pt>
                <c:pt idx="78">
                  <c:v>13.354907698077383</c:v>
                </c:pt>
                <c:pt idx="79">
                  <c:v>13.703197746672956</c:v>
                </c:pt>
                <c:pt idx="80">
                  <c:v>14.047809176547581</c:v>
                </c:pt>
                <c:pt idx="81">
                  <c:v>14.379424616098817</c:v>
                </c:pt>
                <c:pt idx="82">
                  <c:v>14.701614033264697</c:v>
                </c:pt>
                <c:pt idx="83">
                  <c:v>15.007504963316634</c:v>
                </c:pt>
                <c:pt idx="84">
                  <c:v>15.344334048712199</c:v>
                </c:pt>
                <c:pt idx="85">
                  <c:v>15.688053296941746</c:v>
                </c:pt>
                <c:pt idx="86">
                  <c:v>16.003507486517876</c:v>
                </c:pt>
                <c:pt idx="87">
                  <c:v>16.319070111910072</c:v>
                </c:pt>
                <c:pt idx="88">
                  <c:v>16.641130686913392</c:v>
                </c:pt>
                <c:pt idx="89">
                  <c:v>16.951527627635222</c:v>
                </c:pt>
                <c:pt idx="90">
                  <c:v>17.271315844506901</c:v>
                </c:pt>
                <c:pt idx="91">
                  <c:v>17.599473258749853</c:v>
                </c:pt>
                <c:pt idx="92">
                  <c:v>17.904176215435811</c:v>
                </c:pt>
                <c:pt idx="93">
                  <c:v>18.205797577751653</c:v>
                </c:pt>
                <c:pt idx="94">
                  <c:v>18.496759788964631</c:v>
                </c:pt>
                <c:pt idx="95">
                  <c:v>18.773834828527008</c:v>
                </c:pt>
                <c:pt idx="96">
                  <c:v>19.008062315337355</c:v>
                </c:pt>
                <c:pt idx="97">
                  <c:v>19.293518506069084</c:v>
                </c:pt>
                <c:pt idx="98">
                  <c:v>19.566088265694269</c:v>
                </c:pt>
                <c:pt idx="99">
                  <c:v>19.832400534709954</c:v>
                </c:pt>
                <c:pt idx="100">
                  <c:v>20.09979173869062</c:v>
                </c:pt>
                <c:pt idx="101">
                  <c:v>20.370086118292939</c:v>
                </c:pt>
                <c:pt idx="102">
                  <c:v>20.631339661916726</c:v>
                </c:pt>
                <c:pt idx="103">
                  <c:v>20.878057350974835</c:v>
                </c:pt>
                <c:pt idx="104">
                  <c:v>21.111672223968561</c:v>
                </c:pt>
                <c:pt idx="105">
                  <c:v>21.335754103658907</c:v>
                </c:pt>
                <c:pt idx="106">
                  <c:v>21.553872712428237</c:v>
                </c:pt>
                <c:pt idx="107">
                  <c:v>21.777532305256777</c:v>
                </c:pt>
                <c:pt idx="108">
                  <c:v>21.997666369276345</c:v>
                </c:pt>
                <c:pt idx="109">
                  <c:v>22.209130975181253</c:v>
                </c:pt>
                <c:pt idx="110">
                  <c:v>22.415972289637686</c:v>
                </c:pt>
                <c:pt idx="111">
                  <c:v>22.615917642698783</c:v>
                </c:pt>
                <c:pt idx="112">
                  <c:v>22.808824327280227</c:v>
                </c:pt>
                <c:pt idx="113">
                  <c:v>23.002916355811003</c:v>
                </c:pt>
                <c:pt idx="114">
                  <c:v>23.196574570370593</c:v>
                </c:pt>
                <c:pt idx="115">
                  <c:v>23.370820980944529</c:v>
                </c:pt>
                <c:pt idx="116">
                  <c:v>23.549111108959217</c:v>
                </c:pt>
                <c:pt idx="117">
                  <c:v>23.738562469261275</c:v>
                </c:pt>
                <c:pt idx="118">
                  <c:v>23.916379301758639</c:v>
                </c:pt>
                <c:pt idx="119">
                  <c:v>24.082278122813634</c:v>
                </c:pt>
                <c:pt idx="120">
                  <c:v>24.244708262898293</c:v>
                </c:pt>
                <c:pt idx="121">
                  <c:v>24.401122668639829</c:v>
                </c:pt>
                <c:pt idx="122">
                  <c:v>24.555222280597079</c:v>
                </c:pt>
                <c:pt idx="123">
                  <c:v>24.70533855468301</c:v>
                </c:pt>
                <c:pt idx="124">
                  <c:v>24.858847668429128</c:v>
                </c:pt>
                <c:pt idx="125">
                  <c:v>25.005667872088644</c:v>
                </c:pt>
                <c:pt idx="126">
                  <c:v>25.149898362211012</c:v>
                </c:pt>
                <c:pt idx="127">
                  <c:v>25.288645073743496</c:v>
                </c:pt>
                <c:pt idx="128">
                  <c:v>25.422774036599215</c:v>
                </c:pt>
                <c:pt idx="129">
                  <c:v>25.545205466258672</c:v>
                </c:pt>
                <c:pt idx="130">
                  <c:v>25.667932010230885</c:v>
                </c:pt>
                <c:pt idx="131">
                  <c:v>25.791772164524865</c:v>
                </c:pt>
                <c:pt idx="132">
                  <c:v>25.895853669317979</c:v>
                </c:pt>
                <c:pt idx="133">
                  <c:v>26.013404886167088</c:v>
                </c:pt>
                <c:pt idx="134">
                  <c:v>26.124503292810864</c:v>
                </c:pt>
                <c:pt idx="135">
                  <c:v>26.240035371143946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0.13165593337665626</c:v>
                </c:pt>
                <c:pt idx="9">
                  <c:v>0.13165593337665626</c:v>
                </c:pt>
                <c:pt idx="10">
                  <c:v>0.87561148893221485</c:v>
                </c:pt>
                <c:pt idx="11">
                  <c:v>1.3556114889322188</c:v>
                </c:pt>
                <c:pt idx="12">
                  <c:v>2.7356114889322214</c:v>
                </c:pt>
                <c:pt idx="13">
                  <c:v>3.6556114889322231</c:v>
                </c:pt>
                <c:pt idx="14">
                  <c:v>4.0056114889322245</c:v>
                </c:pt>
                <c:pt idx="15">
                  <c:v>4.7756114889322205</c:v>
                </c:pt>
                <c:pt idx="16">
                  <c:v>5.5756114889322177</c:v>
                </c:pt>
                <c:pt idx="17">
                  <c:v>5.5756114889322177</c:v>
                </c:pt>
                <c:pt idx="18">
                  <c:v>6.6686003778211074</c:v>
                </c:pt>
                <c:pt idx="19">
                  <c:v>7.7786003778211068</c:v>
                </c:pt>
                <c:pt idx="20">
                  <c:v>8.8086003778211079</c:v>
                </c:pt>
                <c:pt idx="21">
                  <c:v>10.008600377821104</c:v>
                </c:pt>
                <c:pt idx="22">
                  <c:v>11.318600377821106</c:v>
                </c:pt>
                <c:pt idx="23">
                  <c:v>12.048600377821103</c:v>
                </c:pt>
                <c:pt idx="24">
                  <c:v>13.148600377821104</c:v>
                </c:pt>
                <c:pt idx="25">
                  <c:v>13.518600377821102</c:v>
                </c:pt>
                <c:pt idx="26">
                  <c:v>14.138600377821106</c:v>
                </c:pt>
                <c:pt idx="27">
                  <c:v>14.138600377821106</c:v>
                </c:pt>
                <c:pt idx="28">
                  <c:v>14.591102229672956</c:v>
                </c:pt>
                <c:pt idx="29">
                  <c:v>15.491102229672954</c:v>
                </c:pt>
                <c:pt idx="30">
                  <c:v>18.011102229672957</c:v>
                </c:pt>
                <c:pt idx="31">
                  <c:v>19.261102229672957</c:v>
                </c:pt>
                <c:pt idx="32">
                  <c:v>20.841102229672956</c:v>
                </c:pt>
                <c:pt idx="33">
                  <c:v>24.021102229672955</c:v>
                </c:pt>
                <c:pt idx="34">
                  <c:v>27.161102229672949</c:v>
                </c:pt>
                <c:pt idx="35">
                  <c:v>28.311102229672947</c:v>
                </c:pt>
                <c:pt idx="36">
                  <c:v>29.62110222967295</c:v>
                </c:pt>
                <c:pt idx="37">
                  <c:v>32.551102229672956</c:v>
                </c:pt>
                <c:pt idx="38">
                  <c:v>34.081102229672958</c:v>
                </c:pt>
                <c:pt idx="39">
                  <c:v>34.861102229672959</c:v>
                </c:pt>
                <c:pt idx="40">
                  <c:v>37.341102229672963</c:v>
                </c:pt>
                <c:pt idx="41">
                  <c:v>37.731102229672963</c:v>
                </c:pt>
                <c:pt idx="42">
                  <c:v>40.021102229672962</c:v>
                </c:pt>
                <c:pt idx="43">
                  <c:v>43.141102229672967</c:v>
                </c:pt>
                <c:pt idx="44">
                  <c:v>44.681102229672959</c:v>
                </c:pt>
                <c:pt idx="45">
                  <c:v>45.751102229672966</c:v>
                </c:pt>
                <c:pt idx="46">
                  <c:v>47.531102229672967</c:v>
                </c:pt>
                <c:pt idx="47">
                  <c:v>48.871102229672971</c:v>
                </c:pt>
                <c:pt idx="48">
                  <c:v>51.191102229672971</c:v>
                </c:pt>
                <c:pt idx="49">
                  <c:v>54.511102229672979</c:v>
                </c:pt>
                <c:pt idx="50">
                  <c:v>58.391102229672974</c:v>
                </c:pt>
                <c:pt idx="51">
                  <c:v>59.641102229672981</c:v>
                </c:pt>
                <c:pt idx="52">
                  <c:v>61.501102229672981</c:v>
                </c:pt>
                <c:pt idx="53">
                  <c:v>62.281102229672975</c:v>
                </c:pt>
                <c:pt idx="54">
                  <c:v>63.221102229672979</c:v>
                </c:pt>
                <c:pt idx="55">
                  <c:v>64.521102229672977</c:v>
                </c:pt>
                <c:pt idx="56">
                  <c:v>66.121102229672971</c:v>
                </c:pt>
                <c:pt idx="57">
                  <c:v>68.261102229672971</c:v>
                </c:pt>
                <c:pt idx="58">
                  <c:v>69.501102229672966</c:v>
                </c:pt>
                <c:pt idx="59">
                  <c:v>70.401102229672972</c:v>
                </c:pt>
                <c:pt idx="60">
                  <c:v>72.491102229672975</c:v>
                </c:pt>
                <c:pt idx="61">
                  <c:v>73.391102229672981</c:v>
                </c:pt>
                <c:pt idx="62">
                  <c:v>74.081102229672979</c:v>
                </c:pt>
                <c:pt idx="63">
                  <c:v>75.86110222967298</c:v>
                </c:pt>
                <c:pt idx="64">
                  <c:v>77.251102229672981</c:v>
                </c:pt>
                <c:pt idx="65">
                  <c:v>79.801102229672978</c:v>
                </c:pt>
                <c:pt idx="66">
                  <c:v>81.411102229672977</c:v>
                </c:pt>
                <c:pt idx="67">
                  <c:v>84.391102229672981</c:v>
                </c:pt>
                <c:pt idx="68">
                  <c:v>84.981102229672985</c:v>
                </c:pt>
                <c:pt idx="69">
                  <c:v>86.231102229672985</c:v>
                </c:pt>
                <c:pt idx="70">
                  <c:v>87.841102229672998</c:v>
                </c:pt>
                <c:pt idx="71">
                  <c:v>89.341102229672998</c:v>
                </c:pt>
                <c:pt idx="72">
                  <c:v>91.511102229673</c:v>
                </c:pt>
                <c:pt idx="73">
                  <c:v>94.831102229673007</c:v>
                </c:pt>
                <c:pt idx="74">
                  <c:v>96.181102229673002</c:v>
                </c:pt>
                <c:pt idx="75">
                  <c:v>98.021102229673005</c:v>
                </c:pt>
                <c:pt idx="76">
                  <c:v>99.311102229672997</c:v>
                </c:pt>
                <c:pt idx="77">
                  <c:v>101.101102229673</c:v>
                </c:pt>
                <c:pt idx="78">
                  <c:v>102.071102229673</c:v>
                </c:pt>
                <c:pt idx="79">
                  <c:v>102.371102229673</c:v>
                </c:pt>
                <c:pt idx="80">
                  <c:v>104.41110222967299</c:v>
                </c:pt>
                <c:pt idx="81">
                  <c:v>105.91110222967299</c:v>
                </c:pt>
                <c:pt idx="82">
                  <c:v>107.091102229673</c:v>
                </c:pt>
                <c:pt idx="83">
                  <c:v>108.58110222967299</c:v>
                </c:pt>
                <c:pt idx="84">
                  <c:v>109.39110222967298</c:v>
                </c:pt>
                <c:pt idx="85">
                  <c:v>110.88110222967298</c:v>
                </c:pt>
                <c:pt idx="86">
                  <c:v>112.62110222967297</c:v>
                </c:pt>
                <c:pt idx="87">
                  <c:v>114.14110222967297</c:v>
                </c:pt>
                <c:pt idx="88">
                  <c:v>115.43110222967297</c:v>
                </c:pt>
                <c:pt idx="89">
                  <c:v>116.06110222967297</c:v>
                </c:pt>
                <c:pt idx="90">
                  <c:v>117.05110222967298</c:v>
                </c:pt>
                <c:pt idx="91">
                  <c:v>117.05110222967298</c:v>
                </c:pt>
                <c:pt idx="92">
                  <c:v>117.07332797346999</c:v>
                </c:pt>
                <c:pt idx="93">
                  <c:v>117.07332797346999</c:v>
                </c:pt>
                <c:pt idx="94">
                  <c:v>118.41332797346999</c:v>
                </c:pt>
                <c:pt idx="95">
                  <c:v>118.41332797346999</c:v>
                </c:pt>
                <c:pt idx="96">
                  <c:v>118.88626855827323</c:v>
                </c:pt>
                <c:pt idx="97">
                  <c:v>119.06626855827324</c:v>
                </c:pt>
                <c:pt idx="98">
                  <c:v>119.49626855827324</c:v>
                </c:pt>
                <c:pt idx="99">
                  <c:v>120.32626855827324</c:v>
                </c:pt>
                <c:pt idx="100">
                  <c:v>120.93626855827324</c:v>
                </c:pt>
                <c:pt idx="101">
                  <c:v>121.41626855827323</c:v>
                </c:pt>
                <c:pt idx="102">
                  <c:v>122.19626855827323</c:v>
                </c:pt>
                <c:pt idx="103">
                  <c:v>124.34626855827324</c:v>
                </c:pt>
                <c:pt idx="104">
                  <c:v>124.73626855827322</c:v>
                </c:pt>
                <c:pt idx="105">
                  <c:v>124.79626855827323</c:v>
                </c:pt>
                <c:pt idx="106">
                  <c:v>124.79626855827323</c:v>
                </c:pt>
                <c:pt idx="107">
                  <c:v>124.91070716966345</c:v>
                </c:pt>
                <c:pt idx="108">
                  <c:v>125.43070716966346</c:v>
                </c:pt>
                <c:pt idx="109">
                  <c:v>125.43070716966346</c:v>
                </c:pt>
                <c:pt idx="110">
                  <c:v>125.8751218681038</c:v>
                </c:pt>
                <c:pt idx="111">
                  <c:v>127.65512186810381</c:v>
                </c:pt>
                <c:pt idx="112">
                  <c:v>127.65512186810381</c:v>
                </c:pt>
                <c:pt idx="113">
                  <c:v>127.71849543349529</c:v>
                </c:pt>
                <c:pt idx="114">
                  <c:v>127.71849543349529</c:v>
                </c:pt>
                <c:pt idx="115">
                  <c:v>127.71849543349529</c:v>
                </c:pt>
                <c:pt idx="116">
                  <c:v>127.96249114483052</c:v>
                </c:pt>
                <c:pt idx="117">
                  <c:v>128.06249114483052</c:v>
                </c:pt>
                <c:pt idx="118">
                  <c:v>128.4524911448305</c:v>
                </c:pt>
                <c:pt idx="119">
                  <c:v>129.16249114483051</c:v>
                </c:pt>
                <c:pt idx="120">
                  <c:v>129.22249114483051</c:v>
                </c:pt>
                <c:pt idx="121">
                  <c:v>130.00249114483051</c:v>
                </c:pt>
                <c:pt idx="122">
                  <c:v>131.2324911448305</c:v>
                </c:pt>
                <c:pt idx="123">
                  <c:v>132.01249114483051</c:v>
                </c:pt>
                <c:pt idx="124">
                  <c:v>132.9824911448305</c:v>
                </c:pt>
                <c:pt idx="125">
                  <c:v>133.0524911448305</c:v>
                </c:pt>
                <c:pt idx="126">
                  <c:v>134.40249114483049</c:v>
                </c:pt>
                <c:pt idx="127">
                  <c:v>135.44249114483048</c:v>
                </c:pt>
                <c:pt idx="128">
                  <c:v>135.44249114483048</c:v>
                </c:pt>
                <c:pt idx="129">
                  <c:v>135.44249114483048</c:v>
                </c:pt>
                <c:pt idx="130">
                  <c:v>135.44249114483048</c:v>
                </c:pt>
                <c:pt idx="131">
                  <c:v>135.44249114483048</c:v>
                </c:pt>
                <c:pt idx="132">
                  <c:v>135.44249114483048</c:v>
                </c:pt>
                <c:pt idx="133">
                  <c:v>135.44249114483048</c:v>
                </c:pt>
                <c:pt idx="134">
                  <c:v>135.44249114483048</c:v>
                </c:pt>
                <c:pt idx="135">
                  <c:v>135.44249114483048</c:v>
                </c:pt>
                <c:pt idx="136">
                  <c:v>135.44249114483048</c:v>
                </c:pt>
                <c:pt idx="137">
                  <c:v>135.44249114483048</c:v>
                </c:pt>
                <c:pt idx="138">
                  <c:v>135.44249114483048</c:v>
                </c:pt>
                <c:pt idx="139">
                  <c:v>135.44249114483048</c:v>
                </c:pt>
                <c:pt idx="140">
                  <c:v>135.44249114483048</c:v>
                </c:pt>
                <c:pt idx="141">
                  <c:v>135.44249114483048</c:v>
                </c:pt>
                <c:pt idx="142">
                  <c:v>135.44249114483048</c:v>
                </c:pt>
                <c:pt idx="143">
                  <c:v>135.44249114483048</c:v>
                </c:pt>
                <c:pt idx="144">
                  <c:v>135.44249114483048</c:v>
                </c:pt>
                <c:pt idx="145">
                  <c:v>135.44249114483048</c:v>
                </c:pt>
                <c:pt idx="146">
                  <c:v>135.44249114483048</c:v>
                </c:pt>
                <c:pt idx="147">
                  <c:v>135.44249114483048</c:v>
                </c:pt>
                <c:pt idx="148">
                  <c:v>135.44249114483048</c:v>
                </c:pt>
                <c:pt idx="149">
                  <c:v>135.44249114483048</c:v>
                </c:pt>
                <c:pt idx="150">
                  <c:v>135.44249114483048</c:v>
                </c:pt>
                <c:pt idx="151">
                  <c:v>135.44249114483048</c:v>
                </c:pt>
                <c:pt idx="152">
                  <c:v>135.44249114483048</c:v>
                </c:pt>
                <c:pt idx="153">
                  <c:v>135.44249114483048</c:v>
                </c:pt>
                <c:pt idx="154">
                  <c:v>135.44249114483048</c:v>
                </c:pt>
                <c:pt idx="155">
                  <c:v>135.44249114483048</c:v>
                </c:pt>
                <c:pt idx="156">
                  <c:v>135.44249114483048</c:v>
                </c:pt>
                <c:pt idx="157">
                  <c:v>135.44249114483048</c:v>
                </c:pt>
                <c:pt idx="158">
                  <c:v>135.44249114483048</c:v>
                </c:pt>
                <c:pt idx="159">
                  <c:v>135.44249114483048</c:v>
                </c:pt>
                <c:pt idx="160">
                  <c:v>135.44249114483048</c:v>
                </c:pt>
                <c:pt idx="161">
                  <c:v>135.44249114483048</c:v>
                </c:pt>
                <c:pt idx="162">
                  <c:v>135.44249114483048</c:v>
                </c:pt>
                <c:pt idx="163">
                  <c:v>135.44249114483048</c:v>
                </c:pt>
                <c:pt idx="164">
                  <c:v>135.44249114483048</c:v>
                </c:pt>
                <c:pt idx="165">
                  <c:v>135.44249114483048</c:v>
                </c:pt>
                <c:pt idx="166">
                  <c:v>135.44249114483048</c:v>
                </c:pt>
                <c:pt idx="167">
                  <c:v>135.44249114483048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6.6928509242848624E-3</c:v>
                </c:pt>
                <c:pt idx="43">
                  <c:v>6.6928509242848624E-3</c:v>
                </c:pt>
                <c:pt idx="44">
                  <c:v>6.6928509242848624E-3</c:v>
                </c:pt>
                <c:pt idx="45">
                  <c:v>6.6928509242848624E-3</c:v>
                </c:pt>
                <c:pt idx="46">
                  <c:v>6.6928509242848624E-3</c:v>
                </c:pt>
                <c:pt idx="47">
                  <c:v>6.6928509242848624E-3</c:v>
                </c:pt>
                <c:pt idx="48">
                  <c:v>6.6928509242848624E-3</c:v>
                </c:pt>
                <c:pt idx="49">
                  <c:v>6.6928509242848624E-3</c:v>
                </c:pt>
                <c:pt idx="50">
                  <c:v>6.6928509242848624E-3</c:v>
                </c:pt>
                <c:pt idx="51">
                  <c:v>6.6928509242848624E-3</c:v>
                </c:pt>
                <c:pt idx="52">
                  <c:v>6.6928509242848624E-3</c:v>
                </c:pt>
                <c:pt idx="53">
                  <c:v>6.6928509242848624E-3</c:v>
                </c:pt>
                <c:pt idx="54">
                  <c:v>6.6928509242848624E-3</c:v>
                </c:pt>
                <c:pt idx="55">
                  <c:v>6.6928509242848624E-3</c:v>
                </c:pt>
                <c:pt idx="56">
                  <c:v>6.6928509242848624E-3</c:v>
                </c:pt>
                <c:pt idx="57">
                  <c:v>6.6928509242848624E-3</c:v>
                </c:pt>
                <c:pt idx="58">
                  <c:v>6.6928509242848624E-3</c:v>
                </c:pt>
                <c:pt idx="59">
                  <c:v>6.6928509242848624E-3</c:v>
                </c:pt>
                <c:pt idx="60">
                  <c:v>6.6928509242848624E-3</c:v>
                </c:pt>
                <c:pt idx="61">
                  <c:v>6.6928509242848624E-3</c:v>
                </c:pt>
                <c:pt idx="62">
                  <c:v>6.6928509242848624E-3</c:v>
                </c:pt>
                <c:pt idx="63">
                  <c:v>6.6928509242848624E-3</c:v>
                </c:pt>
                <c:pt idx="64">
                  <c:v>6.6928509242848624E-3</c:v>
                </c:pt>
                <c:pt idx="65">
                  <c:v>6.6928509242848624E-3</c:v>
                </c:pt>
                <c:pt idx="66">
                  <c:v>6.6928509242848624E-3</c:v>
                </c:pt>
                <c:pt idx="67">
                  <c:v>6.6928509242848624E-3</c:v>
                </c:pt>
                <c:pt idx="68">
                  <c:v>6.6928509242848624E-3</c:v>
                </c:pt>
                <c:pt idx="69">
                  <c:v>6.6928509242848624E-3</c:v>
                </c:pt>
                <c:pt idx="70">
                  <c:v>6.6928509242848624E-3</c:v>
                </c:pt>
                <c:pt idx="71">
                  <c:v>6.6928509242848624E-3</c:v>
                </c:pt>
                <c:pt idx="72">
                  <c:v>6.6928509242848624E-3</c:v>
                </c:pt>
                <c:pt idx="73">
                  <c:v>6.6928509242848624E-3</c:v>
                </c:pt>
                <c:pt idx="74">
                  <c:v>6.6928509242848624E-3</c:v>
                </c:pt>
                <c:pt idx="75">
                  <c:v>6.6928509242848624E-3</c:v>
                </c:pt>
                <c:pt idx="76">
                  <c:v>6.6928509242848624E-3</c:v>
                </c:pt>
                <c:pt idx="77">
                  <c:v>6.6928509242848624E-3</c:v>
                </c:pt>
                <c:pt idx="78">
                  <c:v>6.6928509242848624E-3</c:v>
                </c:pt>
                <c:pt idx="79">
                  <c:v>6.6928509242848624E-3</c:v>
                </c:pt>
                <c:pt idx="80">
                  <c:v>6.6928509242848624E-3</c:v>
                </c:pt>
                <c:pt idx="81">
                  <c:v>6.6928509242848624E-3</c:v>
                </c:pt>
                <c:pt idx="82">
                  <c:v>6.6928509242848624E-3</c:v>
                </c:pt>
                <c:pt idx="83">
                  <c:v>6.6928509242848624E-3</c:v>
                </c:pt>
                <c:pt idx="84">
                  <c:v>6.6928509242848624E-3</c:v>
                </c:pt>
                <c:pt idx="85">
                  <c:v>6.6928509242848624E-3</c:v>
                </c:pt>
                <c:pt idx="86">
                  <c:v>6.6928509242848624E-3</c:v>
                </c:pt>
                <c:pt idx="87">
                  <c:v>6.6928509242848624E-3</c:v>
                </c:pt>
                <c:pt idx="88">
                  <c:v>6.6928509242848624E-3</c:v>
                </c:pt>
                <c:pt idx="89">
                  <c:v>6.6928509242848624E-3</c:v>
                </c:pt>
                <c:pt idx="90">
                  <c:v>6.6928509242848624E-3</c:v>
                </c:pt>
                <c:pt idx="91">
                  <c:v>6.6928509242848624E-3</c:v>
                </c:pt>
                <c:pt idx="92">
                  <c:v>6.6928509242848624E-3</c:v>
                </c:pt>
                <c:pt idx="93">
                  <c:v>6.6928509242848624E-3</c:v>
                </c:pt>
                <c:pt idx="94">
                  <c:v>6.6928509242848624E-3</c:v>
                </c:pt>
                <c:pt idx="95">
                  <c:v>6.6928509242848624E-3</c:v>
                </c:pt>
                <c:pt idx="96">
                  <c:v>6.6928509242848624E-3</c:v>
                </c:pt>
                <c:pt idx="97">
                  <c:v>6.6928509242848624E-3</c:v>
                </c:pt>
                <c:pt idx="98">
                  <c:v>6.6928509242848624E-3</c:v>
                </c:pt>
                <c:pt idx="99">
                  <c:v>6.6928509242848624E-3</c:v>
                </c:pt>
                <c:pt idx="100">
                  <c:v>6.6928509242848624E-3</c:v>
                </c:pt>
                <c:pt idx="101">
                  <c:v>6.6928509242848624E-3</c:v>
                </c:pt>
                <c:pt idx="102">
                  <c:v>6.6928509242848624E-3</c:v>
                </c:pt>
                <c:pt idx="103">
                  <c:v>6.6928509242848624E-3</c:v>
                </c:pt>
                <c:pt idx="104">
                  <c:v>6.6928509242848624E-3</c:v>
                </c:pt>
                <c:pt idx="105">
                  <c:v>6.6928509242848624E-3</c:v>
                </c:pt>
                <c:pt idx="106">
                  <c:v>6.6928509242848624E-3</c:v>
                </c:pt>
                <c:pt idx="107">
                  <c:v>6.6928509242848624E-3</c:v>
                </c:pt>
                <c:pt idx="108">
                  <c:v>6.6928509242848624E-3</c:v>
                </c:pt>
                <c:pt idx="109">
                  <c:v>6.6928509242848624E-3</c:v>
                </c:pt>
                <c:pt idx="110">
                  <c:v>6.6928509242848624E-3</c:v>
                </c:pt>
                <c:pt idx="111">
                  <c:v>6.6928509242848624E-3</c:v>
                </c:pt>
                <c:pt idx="112">
                  <c:v>6.6928509242848624E-3</c:v>
                </c:pt>
                <c:pt idx="113">
                  <c:v>6.6928509242848624E-3</c:v>
                </c:pt>
                <c:pt idx="114">
                  <c:v>6.6928509242848624E-3</c:v>
                </c:pt>
                <c:pt idx="115">
                  <c:v>6.6928509242848624E-3</c:v>
                </c:pt>
                <c:pt idx="116">
                  <c:v>6.6928509242848624E-3</c:v>
                </c:pt>
                <c:pt idx="117">
                  <c:v>6.6928509242848624E-3</c:v>
                </c:pt>
                <c:pt idx="118">
                  <c:v>6.6928509242848624E-3</c:v>
                </c:pt>
                <c:pt idx="119">
                  <c:v>6.6928509242848624E-3</c:v>
                </c:pt>
                <c:pt idx="120">
                  <c:v>6.6928509242848624E-3</c:v>
                </c:pt>
                <c:pt idx="121">
                  <c:v>6.6928509242848624E-3</c:v>
                </c:pt>
                <c:pt idx="122">
                  <c:v>6.6928509242848624E-3</c:v>
                </c:pt>
                <c:pt idx="123">
                  <c:v>6.6928509242848624E-3</c:v>
                </c:pt>
                <c:pt idx="124">
                  <c:v>6.6928509242848624E-3</c:v>
                </c:pt>
                <c:pt idx="125">
                  <c:v>6.6928509242848624E-3</c:v>
                </c:pt>
                <c:pt idx="126">
                  <c:v>6.6928509242848624E-3</c:v>
                </c:pt>
                <c:pt idx="127">
                  <c:v>6.6928509242848624E-3</c:v>
                </c:pt>
                <c:pt idx="128">
                  <c:v>6.6928509242848624E-3</c:v>
                </c:pt>
                <c:pt idx="129">
                  <c:v>6.6928509242848624E-3</c:v>
                </c:pt>
                <c:pt idx="130">
                  <c:v>6.6928509242848624E-3</c:v>
                </c:pt>
                <c:pt idx="131">
                  <c:v>6.6928509242848624E-3</c:v>
                </c:pt>
                <c:pt idx="132">
                  <c:v>6.6928509242848624E-3</c:v>
                </c:pt>
                <c:pt idx="133">
                  <c:v>6.6928509242848624E-3</c:v>
                </c:pt>
                <c:pt idx="134">
                  <c:v>6.6928509242848624E-3</c:v>
                </c:pt>
                <c:pt idx="135">
                  <c:v>6.6928509242848624E-3</c:v>
                </c:pt>
                <c:pt idx="136">
                  <c:v>6.6928509242848624E-3</c:v>
                </c:pt>
                <c:pt idx="137">
                  <c:v>6.6928509242848624E-3</c:v>
                </c:pt>
                <c:pt idx="138">
                  <c:v>6.6928509242848624E-3</c:v>
                </c:pt>
                <c:pt idx="139">
                  <c:v>6.6928509242848624E-3</c:v>
                </c:pt>
                <c:pt idx="140">
                  <c:v>6.6928509242848624E-3</c:v>
                </c:pt>
                <c:pt idx="141">
                  <c:v>6.6928509242848624E-3</c:v>
                </c:pt>
                <c:pt idx="142">
                  <c:v>6.6928509242848624E-3</c:v>
                </c:pt>
                <c:pt idx="143">
                  <c:v>6.6928509242848624E-3</c:v>
                </c:pt>
                <c:pt idx="144">
                  <c:v>6.6928509242848624E-3</c:v>
                </c:pt>
                <c:pt idx="145">
                  <c:v>6.6928509242848624E-3</c:v>
                </c:pt>
                <c:pt idx="146">
                  <c:v>6.6928509242848624E-3</c:v>
                </c:pt>
                <c:pt idx="147">
                  <c:v>6.6928509242848624E-3</c:v>
                </c:pt>
                <c:pt idx="148">
                  <c:v>6.6928509242848624E-3</c:v>
                </c:pt>
                <c:pt idx="149">
                  <c:v>6.6928509242848624E-3</c:v>
                </c:pt>
                <c:pt idx="150">
                  <c:v>6.6928509242848624E-3</c:v>
                </c:pt>
                <c:pt idx="151">
                  <c:v>6.6928509242848624E-3</c:v>
                </c:pt>
                <c:pt idx="152">
                  <c:v>6.6928509242848624E-3</c:v>
                </c:pt>
                <c:pt idx="153">
                  <c:v>6.6928509242848624E-3</c:v>
                </c:pt>
                <c:pt idx="154">
                  <c:v>6.6928509242848624E-3</c:v>
                </c:pt>
                <c:pt idx="155">
                  <c:v>6.6928509242848624E-3</c:v>
                </c:pt>
                <c:pt idx="156">
                  <c:v>6.6928509242848624E-3</c:v>
                </c:pt>
                <c:pt idx="157">
                  <c:v>6.6928509242848624E-3</c:v>
                </c:pt>
                <c:pt idx="158">
                  <c:v>6.6928509242848624E-3</c:v>
                </c:pt>
                <c:pt idx="159">
                  <c:v>6.6928509242848624E-3</c:v>
                </c:pt>
                <c:pt idx="160">
                  <c:v>6.6928509242848624E-3</c:v>
                </c:pt>
                <c:pt idx="161">
                  <c:v>6.6928509242848624E-3</c:v>
                </c:pt>
                <c:pt idx="162">
                  <c:v>2.7795114167965325E-2</c:v>
                </c:pt>
                <c:pt idx="163">
                  <c:v>0.24299231051914963</c:v>
                </c:pt>
                <c:pt idx="164">
                  <c:v>0.79819209986710826</c:v>
                </c:pt>
                <c:pt idx="165">
                  <c:v>0.97588196619475664</c:v>
                </c:pt>
                <c:pt idx="166">
                  <c:v>0.99878597931553936</c:v>
                </c:pt>
                <c:pt idx="167">
                  <c:v>0.99993345063478134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10</v>
    <v>1</v>
  </rv>
  <rv s="0">
    <v>2</v>
    <v>8</v>
    <v>9</v>
    <v>1</v>
  </rv>
  <rv s="0">
    <v>2</v>
    <v>8</v>
    <v>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H1" zoomScale="110" zoomScaleNormal="110" workbookViewId="0">
      <selection activeCell="E22" sqref="E22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182</v>
      </c>
      <c r="D1" s="123" t="s">
        <v>151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152</v>
      </c>
      <c r="E2" s="127"/>
      <c r="F2" s="127"/>
      <c r="G2" s="127"/>
      <c r="H2" s="128"/>
      <c r="Z2"/>
      <c r="AA2"/>
      <c r="AB2"/>
      <c r="AC2"/>
    </row>
    <row r="3" spans="2:34" s="54" customFormat="1" ht="15" thickBot="1">
      <c r="B3" s="55"/>
      <c r="C3" s="129" t="s">
        <v>183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171</v>
      </c>
      <c r="D4" s="103" t="s">
        <v>275</v>
      </c>
      <c r="E4" s="58"/>
      <c r="F4" s="102" t="s">
        <v>191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282</v>
      </c>
      <c r="E5" s="58"/>
      <c r="F5" s="102" t="s">
        <v>192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94</v>
      </c>
      <c r="D6" s="104" t="s">
        <v>53</v>
      </c>
      <c r="F6" s="102" t="s">
        <v>187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95</v>
      </c>
      <c r="D7" s="85" t="str">
        <f>IF(E7="","General",E7)</f>
        <v>General</v>
      </c>
      <c r="E7" s="92" t="s">
        <v>29</v>
      </c>
      <c r="Z7"/>
      <c r="AA7"/>
      <c r="AB7"/>
      <c r="AC7"/>
    </row>
    <row r="8" spans="2:34" s="55" customFormat="1">
      <c r="C8" s="64" t="s">
        <v>150</v>
      </c>
      <c r="D8" s="65" t="str">
        <f>SUBSTITUTE(CurrentCropName&amp;" "&amp;CurrentCropType&amp;" "&amp;CurrentCropVariety,"_"," ")</f>
        <v>Lupin Green manure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45436</v>
      </c>
      <c r="E9" s="67">
        <v>45436</v>
      </c>
      <c r="F9" s="57" t="s">
        <v>145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45561</v>
      </c>
      <c r="E10" s="67">
        <v>45561</v>
      </c>
      <c r="F10" s="57" t="s">
        <v>146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1</v>
      </c>
      <c r="H11" s="69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</v>
      </c>
      <c r="E12" s="69">
        <v>8</v>
      </c>
      <c r="F12" s="57" t="s">
        <v>135</v>
      </c>
      <c r="G12" s="85">
        <f>IF(H12="",VLOOKUP(CurrentCropNameFull,CropCoefficients,22,FALSE),H12)</f>
        <v>0</v>
      </c>
      <c r="H12" s="69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0</v>
      </c>
      <c r="H13" s="69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</v>
      </c>
      <c r="C14" s="64" t="str">
        <f>"Yield "&amp;CurrentYield_tperHa&amp;" (t/ha)"</f>
        <v>Yield 8 (t/ha)</v>
      </c>
      <c r="D14" s="90" t="str">
        <f ca="1">"requires "&amp;ROUND(SUM('Model Interface'!P8:Q8),0)&amp;" kg N/ha from all sources"</f>
        <v>requires 140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>PriorHarvestDate</f>
        <v>45394</v>
      </c>
      <c r="Z14"/>
      <c r="AA14"/>
      <c r="AB14"/>
      <c r="AC14"/>
    </row>
    <row r="15" spans="2:34" s="55" customFormat="1" ht="16.2" thickBot="1">
      <c r="B15" s="55">
        <f ca="1">SUMIF(B29:B43,1,G29:G43)</f>
        <v>66.33121518006385</v>
      </c>
      <c r="C15" s="105" t="s">
        <v>220</v>
      </c>
      <c r="D15" s="106" t="str">
        <f ca="1">SUMIF(B29:B43,1,G29:G43)&amp;" Kg/ha"</f>
        <v>66.3312151800639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2" t="s">
        <v>222</v>
      </c>
      <c r="S15" s="122"/>
      <c r="T15" s="122"/>
      <c r="U15" s="122"/>
      <c r="V15" s="122"/>
      <c r="W15" s="115"/>
      <c r="X15" s="115"/>
      <c r="Y15" s="115"/>
      <c r="Z15" s="120" t="s">
        <v>221</v>
      </c>
      <c r="AA15" s="120"/>
      <c r="AB15" s="120"/>
      <c r="AC15" s="120"/>
      <c r="AD15" s="121" t="s">
        <v>223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9" t="s">
        <v>184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201</v>
      </c>
      <c r="AA17" s="55" t="s">
        <v>202</v>
      </c>
      <c r="AB17" s="55" t="s">
        <v>187</v>
      </c>
      <c r="AC17" s="55" t="s">
        <v>205</v>
      </c>
      <c r="AD17" s="55" t="s">
        <v>14</v>
      </c>
      <c r="AE17" s="55"/>
      <c r="AF17" s="55" t="s">
        <v>156</v>
      </c>
      <c r="AG17" s="55" t="s">
        <v>155</v>
      </c>
      <c r="AH17" s="55" t="s">
        <v>13</v>
      </c>
      <c r="AI17" s="54" t="s">
        <v>173</v>
      </c>
      <c r="AJ17" s="55" t="s">
        <v>241</v>
      </c>
      <c r="AK17" s="55" t="s">
        <v>242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45394</v>
      </c>
      <c r="S18" s="55">
        <f ca="1">IF(R18&gt;1,R18,"")</f>
        <v>45394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210.00000000000003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0.57708971209268001</v>
      </c>
      <c r="Y18" s="55">
        <f ca="1">VLOOKUP(S18,ModelOutputs,4,FALSE)</f>
        <v>0</v>
      </c>
      <c r="Z18">
        <f t="shared" ref="Z18:Z81" ca="1" si="3">VLOOKUP(S18,ModelOutputs,10,FALSE)*AWC</f>
        <v>0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0.99993345063478134</v>
      </c>
      <c r="AD18" s="83">
        <f t="array" aca="1" ref="AD18:AD662" ca="1">_xlfn._xlws.FILTER('Model Interface'!X11:X1004,('Model Interface'!X11:X1004&gt;=CurrentHarvestDate+1)*('Model Interface'!X11:X1004&lt;=FollowingHarvestDate),"")</f>
        <v>45562</v>
      </c>
      <c r="AE18" s="55">
        <f ca="1">IF(AD18&gt;1,AD18,"")</f>
        <v>45562</v>
      </c>
      <c r="AF18" s="55">
        <f t="shared" ref="AF18:AF20" ca="1" si="6">VLOOKUP(AE18,ModelOutputs,2,FALSE)</f>
        <v>29.055627965404732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0.48622451092495594</v>
      </c>
      <c r="AK18" s="55">
        <f t="shared" ref="AK18" ca="1" si="10">VLOOKUP(AE18,ModelOutputs,4,FALSE)</f>
        <v>-0.75617282032825273</v>
      </c>
    </row>
    <row r="19" spans="1:37" s="55" customFormat="1">
      <c r="C19" s="57" t="s">
        <v>217</v>
      </c>
      <c r="D19" s="85">
        <f>IF(E19="",60,E19)</f>
        <v>70</v>
      </c>
      <c r="E19" s="16">
        <v>70</v>
      </c>
      <c r="F19" s="94" t="str">
        <f ca="1">ROUND('Model Interface'!N7,0)&amp;" kg N/ha available from SOM mineralisation"</f>
        <v>79 kg N/ha available from SOM mineralisation</v>
      </c>
      <c r="R19" s="83">
        <f ca="1"/>
        <v>45395</v>
      </c>
      <c r="S19" s="55">
        <f t="shared" ref="S19:S82" ca="1" si="11">IF(R19&gt;1,R19,"")</f>
        <v>45395</v>
      </c>
      <c r="T19" s="55">
        <f t="shared" ca="1" si="0"/>
        <v>49.113614223126362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1.2033998791381997</v>
      </c>
      <c r="Y19" s="55">
        <f t="shared" ref="Y19:Y82" ca="1" si="14">VLOOKUP(S19,ModelOutputs,4,FALSE)+Y18</f>
        <v>-1.5126959439191552</v>
      </c>
      <c r="Z19">
        <f t="shared" ca="1" si="3"/>
        <v>0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45563</v>
      </c>
      <c r="AE19" s="55">
        <f t="shared" ref="AE19:AE20" ca="1" si="16">IF(AD19&gt;1,AD19,"")</f>
        <v>45563</v>
      </c>
      <c r="AF19" s="55">
        <f t="shared" ca="1" si="6"/>
        <v>28.827519261186605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0.95637488298540552</v>
      </c>
      <c r="AK19" s="55">
        <f t="shared" ref="AK19:AK82" ca="1" si="19">VLOOKUP(AE19,ModelOutputs,4,FALSE)+AK18</f>
        <v>-1.4544318966068275</v>
      </c>
    </row>
    <row r="20" spans="1:37" s="55" customFormat="1">
      <c r="C20" s="57" t="s">
        <v>226</v>
      </c>
      <c r="D20" s="85" t="str">
        <f>IF(E20="","Sedementary",E20)</f>
        <v>Sedimentary</v>
      </c>
      <c r="E20" s="16" t="s">
        <v>243</v>
      </c>
      <c r="F20" s="94"/>
      <c r="R20" s="83">
        <f ca="1"/>
        <v>45396</v>
      </c>
      <c r="S20" s="55">
        <f t="shared" ca="1" si="11"/>
        <v>45396</v>
      </c>
      <c r="T20" s="55">
        <f t="shared" ca="1" si="0"/>
        <v>48.322014434618893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1.8388312144809198</v>
      </c>
      <c r="Y20" s="55">
        <f t="shared" ca="1" si="14"/>
        <v>-2.9397270677693479</v>
      </c>
      <c r="Z20">
        <f t="shared" ca="1" si="3"/>
        <v>0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45564</v>
      </c>
      <c r="AE20" s="55">
        <f t="shared" ca="1" si="16"/>
        <v>45564</v>
      </c>
      <c r="AF20" s="55">
        <f t="shared" ca="1" si="6"/>
        <v>28.669198326770552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1.4762540854219559</v>
      </c>
      <c r="AK20" s="55">
        <f t="shared" ca="1" si="19"/>
        <v>-2.13263203345943</v>
      </c>
    </row>
    <row r="21" spans="1:37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45397</v>
      </c>
      <c r="S21" s="55">
        <f t="shared" ca="1" si="11"/>
        <v>45397</v>
      </c>
      <c r="T21" s="55">
        <f t="shared" ca="1" si="0"/>
        <v>47.652489686759409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2.4786039578716297</v>
      </c>
      <c r="Y21" s="55">
        <f t="shared" ca="1" si="14"/>
        <v>-4.2490245590195368</v>
      </c>
      <c r="Z21">
        <f t="shared" ca="1" si="3"/>
        <v>0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45565</v>
      </c>
      <c r="AE21" s="55">
        <f t="shared" ref="AE21:AE84" ca="1" si="20">IF(AD21&gt;1,AD21,"")</f>
        <v>45565</v>
      </c>
      <c r="AF21" s="55">
        <f t="shared" ref="AF21:AF84" ca="1" si="21">VLOOKUP(AE21,ModelOutputs,2,FALSE)</f>
        <v>28.570448640712854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2.0047878064140194</v>
      </c>
      <c r="AK21" s="55">
        <f t="shared" ca="1" si="19"/>
        <v>-2.7599154405091895</v>
      </c>
    </row>
    <row r="22" spans="1:37" s="55" customFormat="1" ht="15" customHeight="1">
      <c r="C22" s="57" t="s">
        <v>209</v>
      </c>
      <c r="D22" s="85" t="str">
        <f>IF(E22="","loam",E22)</f>
        <v>Clay</v>
      </c>
      <c r="E22" s="16" t="s">
        <v>239</v>
      </c>
      <c r="F22" s="94"/>
      <c r="R22" s="83">
        <f ca="1"/>
        <v>45398</v>
      </c>
      <c r="S22" s="55">
        <f t="shared" ca="1" si="11"/>
        <v>45398</v>
      </c>
      <c r="T22" s="55">
        <f t="shared" ca="1" si="0"/>
        <v>47.147903972636676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3.1289615571690814</v>
      </c>
      <c r="Y22" s="55">
        <f t="shared" ca="1" si="14"/>
        <v>-5.4039678724397211</v>
      </c>
      <c r="Z22">
        <f t="shared" ca="1" si="3"/>
        <v>0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45566</v>
      </c>
      <c r="AE22" s="55">
        <f t="shared" ca="1" si="20"/>
        <v>45566</v>
      </c>
      <c r="AF22" s="55">
        <f t="shared" ca="1" si="21"/>
        <v>28.53857249947345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2.5538839119469929</v>
      </c>
      <c r="AK22" s="55">
        <f t="shared" ca="1" si="19"/>
        <v>-3.3408876872815689</v>
      </c>
    </row>
    <row r="23" spans="1:37" s="55" customFormat="1">
      <c r="C23" s="57"/>
      <c r="D23" s="85"/>
      <c r="E23" s="113"/>
      <c r="F23" s="94"/>
      <c r="R23" s="83">
        <f ca="1"/>
        <v>45399</v>
      </c>
      <c r="S23" s="55">
        <f t="shared" ca="1" si="11"/>
        <v>45399</v>
      </c>
      <c r="T23" s="55">
        <f t="shared" ca="1" si="0"/>
        <v>46.756432188894664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3.7757012266710168</v>
      </c>
      <c r="Y23" s="55">
        <f t="shared" ca="1" si="14"/>
        <v>-6.4421793256836706</v>
      </c>
      <c r="Z23">
        <f t="shared" ca="1" si="3"/>
        <v>0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45567</v>
      </c>
      <c r="AE23" s="55">
        <f t="shared" ca="1" si="20"/>
        <v>45567</v>
      </c>
      <c r="AF23" s="55">
        <f t="shared" ca="1" si="21"/>
        <v>28.549058035391589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3.0334828228012021</v>
      </c>
      <c r="AK23" s="55">
        <f t="shared" ca="1" si="19"/>
        <v>-3.810001062217637</v>
      </c>
    </row>
    <row r="24" spans="1:37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45400</v>
      </c>
      <c r="S24" s="55">
        <f t="shared" ca="1" si="11"/>
        <v>45400</v>
      </c>
      <c r="T24" s="55">
        <f t="shared" ca="1" si="0"/>
        <v>46.453418324433933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4.430786019579652</v>
      </c>
      <c r="Y24" s="55">
        <f t="shared" ca="1" si="14"/>
        <v>-7.4002779830530425</v>
      </c>
      <c r="Z24">
        <f t="shared" ca="1" si="3"/>
        <v>0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45568</v>
      </c>
      <c r="AE24" s="55">
        <f t="shared" ca="1" si="20"/>
        <v>45568</v>
      </c>
      <c r="AF24" s="55">
        <f t="shared" ca="1" si="21"/>
        <v>28.61884453883528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3.5152730552464941</v>
      </c>
      <c r="AK24" s="55">
        <f t="shared" ca="1" si="19"/>
        <v>-4.2220047912192378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98">
        <v>3</v>
      </c>
      <c r="R25" s="83">
        <f ca="1"/>
        <v>45401</v>
      </c>
      <c r="S25" s="55">
        <f t="shared" ca="1" si="11"/>
        <v>45401</v>
      </c>
      <c r="T25" s="55">
        <f t="shared" ca="1" si="0"/>
        <v>46.234586896752234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5.073060388385473</v>
      </c>
      <c r="Y25" s="55">
        <f t="shared" ca="1" si="14"/>
        <v>-8.2613837795405658</v>
      </c>
      <c r="Z25">
        <f t="shared" ca="1" si="3"/>
        <v>0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45569</v>
      </c>
      <c r="AE25" s="55">
        <f t="shared" ca="1" si="20"/>
        <v>45569</v>
      </c>
      <c r="AF25" s="55">
        <f t="shared" ca="1" si="21"/>
        <v>28.740240302132644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4.0160712072821756</v>
      </c>
      <c r="AK25" s="55">
        <f t="shared" ca="1" si="19"/>
        <v>-4.6014071799575547</v>
      </c>
    </row>
    <row r="26" spans="1:37" s="55" customFormat="1" ht="15" thickBot="1">
      <c r="C26" s="56"/>
      <c r="D26" s="56"/>
      <c r="E26" s="56"/>
      <c r="F26" s="56"/>
      <c r="R26" s="83">
        <f ca="1"/>
        <v>45402</v>
      </c>
      <c r="S26" s="55">
        <f t="shared" ca="1" si="11"/>
        <v>45402</v>
      </c>
      <c r="T26" s="55">
        <f t="shared" ca="1" si="0"/>
        <v>46.042400353830999</v>
      </c>
      <c r="U26" s="55">
        <f t="shared" ca="1" si="1"/>
        <v>0</v>
      </c>
      <c r="V26" s="55">
        <f t="shared" ca="1" si="2"/>
        <v>0</v>
      </c>
      <c r="W26" s="55">
        <f t="shared" ca="1" si="12"/>
        <v>-4.265679580600773E-2</v>
      </c>
      <c r="X26" s="55">
        <f t="shared" ca="1" si="13"/>
        <v>5.6632829932590472</v>
      </c>
      <c r="Y26" s="55">
        <f t="shared" ca="1" si="14"/>
        <v>-9.0011361315293676</v>
      </c>
      <c r="Z26">
        <f t="shared" ca="1" si="3"/>
        <v>0</v>
      </c>
      <c r="AA26">
        <f t="shared" ca="1" si="15"/>
        <v>0.13165593337665626</v>
      </c>
      <c r="AB26">
        <f t="shared" ca="1" si="4"/>
        <v>0</v>
      </c>
      <c r="AC26">
        <f t="shared" ca="1" si="5"/>
        <v>0</v>
      </c>
      <c r="AD26" s="83">
        <f ca="1"/>
        <v>45570</v>
      </c>
      <c r="AE26" s="55">
        <f t="shared" ca="1" si="20"/>
        <v>45570</v>
      </c>
      <c r="AF26" s="55">
        <f t="shared" ca="1" si="21"/>
        <v>28.918382700012277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4.5381808051261894</v>
      </c>
      <c r="AK26" s="55">
        <f t="shared" ca="1" si="19"/>
        <v>-4.9453743799219367</v>
      </c>
    </row>
    <row r="27" spans="1:37" s="55" customFormat="1" ht="15" thickBot="1">
      <c r="C27" s="132" t="s">
        <v>137</v>
      </c>
      <c r="D27" s="133"/>
      <c r="E27" s="60"/>
      <c r="F27" s="134" t="s">
        <v>144</v>
      </c>
      <c r="G27" s="135"/>
      <c r="R27" s="83">
        <f ca="1"/>
        <v>45403</v>
      </c>
      <c r="S27" s="55">
        <f t="shared" ca="1" si="11"/>
        <v>45403</v>
      </c>
      <c r="T27" s="55">
        <f t="shared" ca="1" si="0"/>
        <v>45.964596067675316</v>
      </c>
      <c r="U27" s="55">
        <f t="shared" ca="1" si="1"/>
        <v>0</v>
      </c>
      <c r="V27" s="55">
        <f t="shared" ca="1" si="2"/>
        <v>0</v>
      </c>
      <c r="W27" s="55">
        <f t="shared" ca="1" si="12"/>
        <v>-4.265679580600773E-2</v>
      </c>
      <c r="X27" s="55">
        <f t="shared" ca="1" si="13"/>
        <v>6.2705431515705179</v>
      </c>
      <c r="Y27" s="55">
        <f t="shared" ca="1" si="14"/>
        <v>-9.6862005759965157</v>
      </c>
      <c r="Z27">
        <f t="shared" ca="1" si="3"/>
        <v>0</v>
      </c>
      <c r="AA27">
        <f t="shared" ca="1" si="15"/>
        <v>0.13165593337665626</v>
      </c>
      <c r="AB27">
        <f t="shared" ca="1" si="4"/>
        <v>0</v>
      </c>
      <c r="AC27">
        <f t="shared" ca="1" si="5"/>
        <v>0</v>
      </c>
      <c r="AD27" s="83">
        <f ca="1"/>
        <v>45571</v>
      </c>
      <c r="AE27" s="55">
        <f t="shared" ca="1" si="20"/>
        <v>45571</v>
      </c>
      <c r="AF27" s="55">
        <f t="shared" ca="1" si="21"/>
        <v>29.155552210957296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5.0781001346543793</v>
      </c>
      <c r="AK27" s="55">
        <f t="shared" ca="1" si="19"/>
        <v>-5.2481241985051064</v>
      </c>
    </row>
    <row r="28" spans="1:37" s="55" customFormat="1" ht="1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45404</v>
      </c>
      <c r="S28" s="55">
        <f t="shared" ca="1" si="11"/>
        <v>45404</v>
      </c>
      <c r="T28" s="55">
        <f t="shared" ca="1" si="0"/>
        <v>45.718409876060406</v>
      </c>
      <c r="U28" s="55">
        <f t="shared" ca="1" si="1"/>
        <v>0</v>
      </c>
      <c r="V28" s="55">
        <f t="shared" ca="1" si="2"/>
        <v>0</v>
      </c>
      <c r="W28" s="55">
        <f t="shared" ca="1" si="12"/>
        <v>-0.28200377186184622</v>
      </c>
      <c r="X28" s="55">
        <f t="shared" ca="1" si="13"/>
        <v>6.890786464759775</v>
      </c>
      <c r="Y28" s="55">
        <f t="shared" ca="1" si="14"/>
        <v>-10.313283104744839</v>
      </c>
      <c r="Z28">
        <f t="shared" ca="1" si="3"/>
        <v>0</v>
      </c>
      <c r="AA28">
        <f t="shared" ca="1" si="15"/>
        <v>0.87561148893221485</v>
      </c>
      <c r="AB28">
        <f t="shared" ca="1" si="4"/>
        <v>0</v>
      </c>
      <c r="AC28">
        <f t="shared" ca="1" si="5"/>
        <v>0</v>
      </c>
      <c r="AD28" s="83">
        <f ca="1"/>
        <v>45572</v>
      </c>
      <c r="AE28" s="55">
        <f t="shared" ca="1" si="20"/>
        <v>45572</v>
      </c>
      <c r="AF28" s="55">
        <f t="shared" ca="1" si="21"/>
        <v>29.427215558989197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5.6052509399578039</v>
      </c>
      <c r="AK28" s="55">
        <f t="shared" ca="1" si="19"/>
        <v>-5.5036116557766306</v>
      </c>
    </row>
    <row r="29" spans="1:37" s="55" customFormat="1">
      <c r="A29" s="83">
        <f t="array" aca="1" ref="A29:A43" ca="1">_xlfn._xlws.FILTER('Model Interface'!X11:X500,'Model Interface'!Y11:Y500&gt;0,"")</f>
        <v>45558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45558</v>
      </c>
      <c r="G29" s="76">
        <f ca="1">IFERROR(VLOOKUP(F29,'Model Interface'!$J$11:$O$500,6,FALSE),"")</f>
        <v>22.113177802205897</v>
      </c>
      <c r="H29" s="55" t="str">
        <f ca="1">IF(B29=1,"Suggested","Applied or Planned")</f>
        <v>Suggested</v>
      </c>
      <c r="R29" s="83">
        <f ca="1"/>
        <v>45405</v>
      </c>
      <c r="S29" s="55">
        <f t="shared" ca="1" si="11"/>
        <v>45405</v>
      </c>
      <c r="T29" s="55">
        <f t="shared" ca="1" si="0"/>
        <v>45.629353221842742</v>
      </c>
      <c r="U29" s="55">
        <f t="shared" ca="1" si="1"/>
        <v>0</v>
      </c>
      <c r="V29" s="55">
        <f t="shared" ca="1" si="2"/>
        <v>0</v>
      </c>
      <c r="W29" s="55">
        <f t="shared" ca="1" si="12"/>
        <v>-0.43612958718896078</v>
      </c>
      <c r="X29" s="55">
        <f t="shared" ca="1" si="13"/>
        <v>7.5273487183492609</v>
      </c>
      <c r="Y29" s="55">
        <f t="shared" ca="1" si="14"/>
        <v>-10.88477619722488</v>
      </c>
      <c r="Z29">
        <f t="shared" ca="1" si="3"/>
        <v>0</v>
      </c>
      <c r="AA29">
        <f t="shared" ca="1" si="15"/>
        <v>1.3556114889322188</v>
      </c>
      <c r="AB29">
        <f t="shared" ca="1" si="4"/>
        <v>0</v>
      </c>
      <c r="AC29">
        <f t="shared" ca="1" si="5"/>
        <v>0</v>
      </c>
      <c r="AD29" s="83">
        <f ca="1"/>
        <v>45573</v>
      </c>
      <c r="AE29" s="55">
        <f t="shared" ca="1" si="20"/>
        <v>45573</v>
      </c>
      <c r="AF29" s="55">
        <f t="shared" ca="1" si="21"/>
        <v>29.720335283434007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6.108626644075339</v>
      </c>
      <c r="AK29" s="55">
        <f t="shared" ca="1" si="19"/>
        <v>-5.7138676354493541</v>
      </c>
    </row>
    <row r="30" spans="1:37" s="55" customFormat="1">
      <c r="A30" s="83">
        <f ca="1"/>
        <v>45559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45559</v>
      </c>
      <c r="G30" s="76">
        <f ca="1">IFERROR(VLOOKUP(F30,'Model Interface'!$J$11:$O$500,6,FALSE),"")</f>
        <v>22.131087564046105</v>
      </c>
      <c r="H30" s="55" t="str">
        <f t="shared" ref="H30:H43" ca="1" si="26">IF(F30="","",IF(F30&lt;=StartSchedullingDate,"Applied or Planned","Suggested"))</f>
        <v>Suggested</v>
      </c>
      <c r="R30" s="83">
        <f ca="1"/>
        <v>45406</v>
      </c>
      <c r="S30" s="55">
        <f t="shared" ca="1" si="11"/>
        <v>45406</v>
      </c>
      <c r="T30" s="55">
        <f t="shared" ca="1" si="0"/>
        <v>45.316794884736595</v>
      </c>
      <c r="U30" s="55">
        <f t="shared" ca="1" si="1"/>
        <v>0</v>
      </c>
      <c r="V30" s="55">
        <f t="shared" ca="1" si="2"/>
        <v>0</v>
      </c>
      <c r="W30" s="55">
        <f t="shared" ca="1" si="12"/>
        <v>-0.87620601751407023</v>
      </c>
      <c r="X30" s="55">
        <f t="shared" ca="1" si="13"/>
        <v>8.1601209881265078</v>
      </c>
      <c r="Y30" s="55">
        <f t="shared" ca="1" si="14"/>
        <v>-11.390030373783171</v>
      </c>
      <c r="Z30">
        <f t="shared" ca="1" si="3"/>
        <v>0</v>
      </c>
      <c r="AA30">
        <f t="shared" ca="1" si="15"/>
        <v>2.7356114889322214</v>
      </c>
      <c r="AB30">
        <f t="shared" ca="1" si="4"/>
        <v>0</v>
      </c>
      <c r="AC30">
        <f t="shared" ca="1" si="5"/>
        <v>0</v>
      </c>
      <c r="AD30" s="83">
        <f ca="1"/>
        <v>45574</v>
      </c>
      <c r="AE30" s="55">
        <f t="shared" ca="1" si="20"/>
        <v>45574</v>
      </c>
      <c r="AF30" s="55">
        <f t="shared" ca="1" si="21"/>
        <v>30.046912092335415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6.6069843542002999</v>
      </c>
      <c r="AK30" s="55">
        <f t="shared" ca="1" si="19"/>
        <v>-5.8856485366729068</v>
      </c>
    </row>
    <row r="31" spans="1:37" s="55" customFormat="1">
      <c r="A31" s="83">
        <f ca="1"/>
        <v>45560</v>
      </c>
      <c r="B31" s="55">
        <f t="shared" ca="1" si="24"/>
        <v>1</v>
      </c>
      <c r="C31" s="78"/>
      <c r="D31" s="81"/>
      <c r="F31" s="74">
        <f t="shared" ca="1" si="25"/>
        <v>45560</v>
      </c>
      <c r="G31" s="76">
        <f ca="1">IFERROR(VLOOKUP(F31,'Model Interface'!$J$11:$O$500,6,FALSE),"")</f>
        <v>22.086949813811849</v>
      </c>
      <c r="H31" s="55" t="str">
        <f t="shared" ca="1" si="26"/>
        <v>Suggested</v>
      </c>
      <c r="R31" s="83">
        <f ca="1"/>
        <v>45407</v>
      </c>
      <c r="S31" s="55">
        <f t="shared" ca="1" si="11"/>
        <v>45407</v>
      </c>
      <c r="T31" s="55">
        <f t="shared" ca="1" si="0"/>
        <v>45.212160004713219</v>
      </c>
      <c r="U31" s="55">
        <f t="shared" ca="1" si="1"/>
        <v>0</v>
      </c>
      <c r="V31" s="55">
        <f t="shared" ca="1" si="2"/>
        <v>0</v>
      </c>
      <c r="W31" s="55">
        <f t="shared" ca="1" si="12"/>
        <v>-1.1689128904334734</v>
      </c>
      <c r="X31" s="55">
        <f t="shared" ca="1" si="13"/>
        <v>8.7928932579037529</v>
      </c>
      <c r="Y31" s="55">
        <f t="shared" ca="1" si="14"/>
        <v>-11.83473065066439</v>
      </c>
      <c r="Z31">
        <f t="shared" ca="1" si="3"/>
        <v>0</v>
      </c>
      <c r="AA31">
        <f t="shared" ca="1" si="15"/>
        <v>3.6556114889322231</v>
      </c>
      <c r="AB31">
        <f t="shared" ca="1" si="4"/>
        <v>0</v>
      </c>
      <c r="AC31">
        <f t="shared" ca="1" si="5"/>
        <v>0</v>
      </c>
      <c r="AD31" s="83">
        <f ca="1"/>
        <v>45575</v>
      </c>
      <c r="AE31" s="55">
        <f t="shared" ca="1" si="20"/>
        <v>45575</v>
      </c>
      <c r="AF31" s="55">
        <f t="shared" ca="1" si="21"/>
        <v>30.419624283476342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7.1257324594546345</v>
      </c>
      <c r="AK31" s="55">
        <f t="shared" ca="1" si="19"/>
        <v>-6.0316844507863152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Interface'!$J$11:$O$500,6,FALSE),"")</f>
        <v/>
      </c>
      <c r="H32" s="55" t="str">
        <f t="shared" ca="1" si="26"/>
        <v/>
      </c>
      <c r="R32" s="83">
        <f ca="1"/>
        <v>45408</v>
      </c>
      <c r="S32" s="55">
        <f t="shared" ca="1" si="11"/>
        <v>45408</v>
      </c>
      <c r="T32" s="55">
        <f t="shared" ca="1" si="0"/>
        <v>45.359915682209014</v>
      </c>
      <c r="U32" s="55">
        <f t="shared" ca="1" si="1"/>
        <v>0</v>
      </c>
      <c r="V32" s="55">
        <f t="shared" ca="1" si="2"/>
        <v>0</v>
      </c>
      <c r="W32" s="55">
        <f t="shared" ca="1" si="12"/>
        <v>-1.2806326827618775</v>
      </c>
      <c r="X32" s="55">
        <f t="shared" ca="1" si="13"/>
        <v>9.4486228094675884</v>
      </c>
      <c r="Y32" s="55">
        <f t="shared" ca="1" si="14"/>
        <v>-12.23098473240403</v>
      </c>
      <c r="Z32">
        <f t="shared" ca="1" si="3"/>
        <v>0</v>
      </c>
      <c r="AA32">
        <f t="shared" ca="1" si="15"/>
        <v>4.0056114889322245</v>
      </c>
      <c r="AB32">
        <f t="shared" ca="1" si="4"/>
        <v>0</v>
      </c>
      <c r="AC32">
        <f t="shared" ca="1" si="5"/>
        <v>0</v>
      </c>
      <c r="AD32" s="83">
        <f ca="1"/>
        <v>45576</v>
      </c>
      <c r="AE32" s="55">
        <f t="shared" ca="1" si="20"/>
        <v>45576</v>
      </c>
      <c r="AF32" s="55">
        <f t="shared" ca="1" si="21"/>
        <v>30.831310325640242</v>
      </c>
      <c r="AG32" s="55">
        <f t="shared" ca="1" si="22"/>
        <v>1.529267210055852</v>
      </c>
      <c r="AH32" s="55">
        <f t="shared" ca="1" si="23"/>
        <v>0</v>
      </c>
      <c r="AI32" s="55">
        <f t="shared" ca="1" si="17"/>
        <v>0</v>
      </c>
      <c r="AJ32" s="55">
        <f t="shared" ca="1" si="18"/>
        <v>7.6489408652499087</v>
      </c>
      <c r="AK32" s="55">
        <f t="shared" ca="1" si="19"/>
        <v>-6.1432068144176881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Interface'!$J$11:$O$500,6,FALSE),"")</f>
        <v/>
      </c>
      <c r="H33" s="55" t="str">
        <f t="shared" ca="1" si="26"/>
        <v/>
      </c>
      <c r="R33" s="83">
        <f ca="1"/>
        <v>45409</v>
      </c>
      <c r="S33" s="55">
        <f t="shared" ca="1" si="11"/>
        <v>45409</v>
      </c>
      <c r="T33" s="55">
        <f t="shared" ca="1" si="0"/>
        <v>45.437402803184128</v>
      </c>
      <c r="U33" s="55">
        <f t="shared" ca="1" si="1"/>
        <v>0</v>
      </c>
      <c r="V33" s="55">
        <f t="shared" ca="1" si="2"/>
        <v>0</v>
      </c>
      <c r="W33" s="55">
        <f t="shared" ca="1" si="12"/>
        <v>-1.5268360912843146</v>
      </c>
      <c r="X33" s="55">
        <f t="shared" ca="1" si="13"/>
        <v>10.11472349842319</v>
      </c>
      <c r="Y33" s="55">
        <f t="shared" ca="1" si="14"/>
        <v>-12.57339489186208</v>
      </c>
      <c r="Z33">
        <f t="shared" ca="1" si="3"/>
        <v>0</v>
      </c>
      <c r="AA33">
        <f t="shared" ca="1" si="15"/>
        <v>4.7756114889322205</v>
      </c>
      <c r="AB33">
        <f t="shared" ca="1" si="4"/>
        <v>0</v>
      </c>
      <c r="AC33">
        <f t="shared" ca="1" si="5"/>
        <v>0</v>
      </c>
      <c r="AD33" s="83">
        <f ca="1"/>
        <v>45577</v>
      </c>
      <c r="AE33" s="55">
        <f t="shared" ca="1" si="20"/>
        <v>45577</v>
      </c>
      <c r="AF33" s="55">
        <f t="shared" ca="1" si="21"/>
        <v>31.195509875339418</v>
      </c>
      <c r="AG33" s="55">
        <f t="shared" ca="1" si="22"/>
        <v>1.5832132322272652</v>
      </c>
      <c r="AH33" s="55">
        <f t="shared" ca="1" si="23"/>
        <v>0</v>
      </c>
      <c r="AI33" s="55">
        <f t="shared" ca="1" si="17"/>
        <v>0</v>
      </c>
      <c r="AJ33" s="55">
        <f t="shared" ca="1" si="18"/>
        <v>8.1412723379891716</v>
      </c>
      <c r="AK33" s="55">
        <f t="shared" ca="1" si="19"/>
        <v>-6.2173927152863619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Interface'!$J$11:$O$500,6,FALSE),"")</f>
        <v/>
      </c>
      <c r="H34" s="55" t="str">
        <f t="shared" ca="1" si="26"/>
        <v/>
      </c>
      <c r="R34" s="83">
        <f ca="1"/>
        <v>45410</v>
      </c>
      <c r="S34" s="55">
        <f t="shared" ca="1" si="11"/>
        <v>45410</v>
      </c>
      <c r="T34" s="55">
        <f t="shared" ca="1" si="0"/>
        <v>45.537053046138361</v>
      </c>
      <c r="U34" s="55">
        <f t="shared" ca="1" si="1"/>
        <v>0</v>
      </c>
      <c r="V34" s="55">
        <f t="shared" ca="1" si="2"/>
        <v>0</v>
      </c>
      <c r="W34" s="55">
        <f t="shared" ca="1" si="12"/>
        <v>-1.7831928343588703</v>
      </c>
      <c r="X34" s="55">
        <f t="shared" ca="1" si="13"/>
        <v>10.748757489089273</v>
      </c>
      <c r="Y34" s="55">
        <f t="shared" ca="1" si="14"/>
        <v>-12.851421896499378</v>
      </c>
      <c r="Z34">
        <f t="shared" ca="1" si="3"/>
        <v>0</v>
      </c>
      <c r="AA34">
        <f t="shared" ca="1" si="15"/>
        <v>5.5756114889322177</v>
      </c>
      <c r="AB34">
        <f t="shared" ca="1" si="4"/>
        <v>0</v>
      </c>
      <c r="AC34">
        <f t="shared" ca="1" si="5"/>
        <v>0</v>
      </c>
      <c r="AD34" s="83">
        <f ca="1"/>
        <v>45578</v>
      </c>
      <c r="AE34" s="55">
        <f t="shared" ca="1" si="20"/>
        <v>45578</v>
      </c>
      <c r="AF34" s="55">
        <f t="shared" ca="1" si="21"/>
        <v>31.60087889540711</v>
      </c>
      <c r="AG34" s="55">
        <f t="shared" ca="1" si="22"/>
        <v>1.6367850400116655</v>
      </c>
      <c r="AH34" s="55">
        <f t="shared" ca="1" si="23"/>
        <v>0</v>
      </c>
      <c r="AI34" s="55">
        <f t="shared" ca="1" si="17"/>
        <v>0</v>
      </c>
      <c r="AJ34" s="55">
        <f t="shared" ca="1" si="18"/>
        <v>8.6448459059417715</v>
      </c>
      <c r="AK34" s="55">
        <f t="shared" ca="1" si="19"/>
        <v>-6.2620254553868691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Interface'!$J$11:$O$500,6,FALSE),"")</f>
        <v/>
      </c>
      <c r="H35" s="55" t="str">
        <f t="shared" ca="1" si="26"/>
        <v/>
      </c>
      <c r="R35" s="83">
        <f ca="1"/>
        <v>45411</v>
      </c>
      <c r="S35" s="55">
        <f t="shared" ca="1" si="11"/>
        <v>45411</v>
      </c>
      <c r="T35" s="55">
        <f t="shared" ca="1" si="0"/>
        <v>45.900375786019666</v>
      </c>
      <c r="U35" s="55">
        <f t="shared" ca="1" si="1"/>
        <v>0</v>
      </c>
      <c r="V35" s="55">
        <f t="shared" ca="1" si="2"/>
        <v>0</v>
      </c>
      <c r="W35" s="55">
        <f t="shared" ca="1" si="12"/>
        <v>-1.7831928343588703</v>
      </c>
      <c r="X35" s="55">
        <f t="shared" ca="1" si="13"/>
        <v>11.328787629315972</v>
      </c>
      <c r="Y35" s="55">
        <f t="shared" ca="1" si="14"/>
        <v>-13.068129296844766</v>
      </c>
      <c r="Z35">
        <f t="shared" ca="1" si="3"/>
        <v>0</v>
      </c>
      <c r="AA35">
        <f t="shared" ca="1" si="15"/>
        <v>5.5756114889322177</v>
      </c>
      <c r="AB35">
        <f t="shared" ca="1" si="4"/>
        <v>0</v>
      </c>
      <c r="AC35">
        <f t="shared" ca="1" si="5"/>
        <v>0</v>
      </c>
      <c r="AD35" s="83">
        <f ca="1"/>
        <v>45579</v>
      </c>
      <c r="AE35" s="55">
        <f t="shared" ca="1" si="20"/>
        <v>45579</v>
      </c>
      <c r="AF35" s="55">
        <f t="shared" ca="1" si="21"/>
        <v>32.034608337764922</v>
      </c>
      <c r="AG35" s="55">
        <f t="shared" ca="1" si="22"/>
        <v>1.6941043814221561</v>
      </c>
      <c r="AH35" s="55">
        <f t="shared" ca="1" si="23"/>
        <v>0</v>
      </c>
      <c r="AI35" s="55">
        <f t="shared" ca="1" si="17"/>
        <v>0</v>
      </c>
      <c r="AJ35" s="55">
        <f t="shared" ca="1" si="18"/>
        <v>9.1546833671782881</v>
      </c>
      <c r="AK35" s="55">
        <f t="shared" ca="1" si="19"/>
        <v>-6.2808141328550811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32" t="s">
        <v>138</v>
      </c>
      <c r="D36" s="133"/>
      <c r="F36" s="74" t="str">
        <f t="shared" ca="1" si="25"/>
        <v/>
      </c>
      <c r="G36" s="76" t="str">
        <f ca="1">IFERROR(VLOOKUP(F36,'Model Interface'!$J$11:$O$500,6,FALSE),"")</f>
        <v/>
      </c>
      <c r="H36" s="55" t="str">
        <f t="shared" ca="1" si="26"/>
        <v/>
      </c>
      <c r="R36" s="83">
        <f ca="1"/>
        <v>45412</v>
      </c>
      <c r="S36" s="55">
        <f t="shared" ca="1" si="11"/>
        <v>45412</v>
      </c>
      <c r="T36" s="55">
        <f t="shared" ca="1" si="0"/>
        <v>45.928230022870821</v>
      </c>
      <c r="U36" s="55">
        <f t="shared" ca="1" si="1"/>
        <v>0</v>
      </c>
      <c r="V36" s="55">
        <f t="shared" ca="1" si="2"/>
        <v>0</v>
      </c>
      <c r="W36" s="55">
        <f t="shared" ca="1" si="12"/>
        <v>-2.1364453739608287</v>
      </c>
      <c r="X36" s="55">
        <f t="shared" ca="1" si="13"/>
        <v>11.880077128491651</v>
      </c>
      <c r="Y36" s="55">
        <f t="shared" ca="1" si="14"/>
        <v>-13.238312019567333</v>
      </c>
      <c r="Z36">
        <f t="shared" ca="1" si="3"/>
        <v>0</v>
      </c>
      <c r="AA36">
        <f t="shared" ca="1" si="15"/>
        <v>6.6686003778211074</v>
      </c>
      <c r="AB36">
        <f t="shared" ca="1" si="4"/>
        <v>0</v>
      </c>
      <c r="AC36">
        <f t="shared" ca="1" si="5"/>
        <v>0</v>
      </c>
      <c r="AD36" s="83">
        <f ca="1"/>
        <v>45580</v>
      </c>
      <c r="AE36" s="55">
        <f t="shared" ca="1" si="20"/>
        <v>45580</v>
      </c>
      <c r="AF36" s="55">
        <f t="shared" ca="1" si="21"/>
        <v>32.539160864324423</v>
      </c>
      <c r="AG36" s="55">
        <f t="shared" ca="1" si="22"/>
        <v>1.7604233758315371</v>
      </c>
      <c r="AH36" s="55">
        <f t="shared" ca="1" si="23"/>
        <v>0</v>
      </c>
      <c r="AI36" s="55">
        <f t="shared" ca="1" si="17"/>
        <v>0</v>
      </c>
      <c r="AJ36" s="55">
        <f t="shared" ca="1" si="18"/>
        <v>9.7171982542133897</v>
      </c>
      <c r="AK36" s="55">
        <f t="shared" ca="1" si="19"/>
        <v>-6.2724574989212982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Interface'!$J$11:$O$500,6,FALSE),"")</f>
        <v/>
      </c>
      <c r="H37" s="55" t="str">
        <f t="shared" ca="1" si="26"/>
        <v/>
      </c>
      <c r="R37" s="83">
        <f ca="1"/>
        <v>45413</v>
      </c>
      <c r="S37" s="55">
        <f t="shared" ca="1" si="11"/>
        <v>45413</v>
      </c>
      <c r="T37" s="55">
        <f t="shared" ca="1" si="0"/>
        <v>46.007372944369635</v>
      </c>
      <c r="U37" s="55">
        <f t="shared" ca="1" si="1"/>
        <v>0</v>
      </c>
      <c r="V37" s="55">
        <f t="shared" ca="1" si="2"/>
        <v>0</v>
      </c>
      <c r="W37" s="55">
        <f t="shared" ca="1" si="12"/>
        <v>-2.4958140759596268</v>
      </c>
      <c r="X37" s="55">
        <f t="shared" ca="1" si="13"/>
        <v>12.455350355955042</v>
      </c>
      <c r="Y37" s="55">
        <f t="shared" ca="1" si="14"/>
        <v>-13.375073623533112</v>
      </c>
      <c r="Z37">
        <f t="shared" ca="1" si="3"/>
        <v>0</v>
      </c>
      <c r="AA37">
        <f t="shared" ca="1" si="15"/>
        <v>7.7786003778211068</v>
      </c>
      <c r="AB37">
        <f t="shared" ca="1" si="4"/>
        <v>0</v>
      </c>
      <c r="AC37">
        <f t="shared" ca="1" si="5"/>
        <v>0</v>
      </c>
      <c r="AD37" s="83">
        <f ca="1"/>
        <v>45581</v>
      </c>
      <c r="AE37" s="55">
        <f t="shared" ca="1" si="20"/>
        <v>45581</v>
      </c>
      <c r="AF37" s="55">
        <f t="shared" ca="1" si="21"/>
        <v>33.109735165096971</v>
      </c>
      <c r="AG37" s="55">
        <f t="shared" ca="1" si="22"/>
        <v>1.8324759365950907</v>
      </c>
      <c r="AH37" s="55">
        <f t="shared" ca="1" si="23"/>
        <v>0</v>
      </c>
      <c r="AI37" s="55">
        <f t="shared" ca="1" si="17"/>
        <v>0</v>
      </c>
      <c r="AJ37" s="55">
        <f t="shared" ca="1" si="18"/>
        <v>10.321960162711624</v>
      </c>
      <c r="AK37" s="55">
        <f t="shared" ca="1" si="19"/>
        <v>-6.2345925458834301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Interface'!$J$11:$O$500,6,FALSE),"")</f>
        <v/>
      </c>
      <c r="H38" s="55" t="str">
        <f t="shared" ca="1" si="26"/>
        <v/>
      </c>
      <c r="R38" s="83">
        <f ca="1"/>
        <v>45414</v>
      </c>
      <c r="S38" s="55">
        <f t="shared" ca="1" si="11"/>
        <v>45414</v>
      </c>
      <c r="T38" s="55">
        <f t="shared" ca="1" si="0"/>
        <v>46.204577883737223</v>
      </c>
      <c r="U38" s="55">
        <f t="shared" ca="1" si="1"/>
        <v>0</v>
      </c>
      <c r="V38" s="55">
        <f t="shared" ca="1" si="2"/>
        <v>0</v>
      </c>
      <c r="W38" s="55">
        <f t="shared" ca="1" si="12"/>
        <v>-2.8307117015836041</v>
      </c>
      <c r="X38" s="55">
        <f t="shared" ca="1" si="13"/>
        <v>13.093179152705712</v>
      </c>
      <c r="Y38" s="55">
        <f t="shared" ca="1" si="14"/>
        <v>-13.480799855292215</v>
      </c>
      <c r="Z38">
        <f t="shared" ca="1" si="3"/>
        <v>0</v>
      </c>
      <c r="AA38">
        <f t="shared" ca="1" si="15"/>
        <v>8.8086003778211079</v>
      </c>
      <c r="AB38">
        <f t="shared" ca="1" si="4"/>
        <v>0</v>
      </c>
      <c r="AC38">
        <f t="shared" ca="1" si="5"/>
        <v>0</v>
      </c>
      <c r="AD38" s="83">
        <f ca="1"/>
        <v>45582</v>
      </c>
      <c r="AE38" s="55">
        <f t="shared" ca="1" si="20"/>
        <v>45582</v>
      </c>
      <c r="AF38" s="55">
        <f t="shared" ca="1" si="21"/>
        <v>33.700299538220811</v>
      </c>
      <c r="AG38" s="55">
        <f t="shared" ca="1" si="22"/>
        <v>1.9066476995697417</v>
      </c>
      <c r="AH38" s="55">
        <f t="shared" ca="1" si="23"/>
        <v>0</v>
      </c>
      <c r="AI38" s="55">
        <f t="shared" ca="1" si="17"/>
        <v>0</v>
      </c>
      <c r="AJ38" s="55">
        <f t="shared" ca="1" si="18"/>
        <v>10.921494561547449</v>
      </c>
      <c r="AK38" s="55">
        <f t="shared" ca="1" si="19"/>
        <v>-6.1693908086207649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Interface'!$J$11:$O$500,6,FALSE),"")</f>
        <v/>
      </c>
      <c r="H39" s="55" t="str">
        <f t="shared" ca="1" si="26"/>
        <v/>
      </c>
      <c r="R39" s="83">
        <f ca="1"/>
        <v>45415</v>
      </c>
      <c r="S39" s="55">
        <f t="shared" ca="1" si="11"/>
        <v>45415</v>
      </c>
      <c r="T39" s="55">
        <f t="shared" ca="1" si="0"/>
        <v>46.361686013685819</v>
      </c>
      <c r="U39" s="55">
        <f t="shared" ca="1" si="1"/>
        <v>0</v>
      </c>
      <c r="V39" s="55">
        <f t="shared" ca="1" si="2"/>
        <v>0</v>
      </c>
      <c r="W39" s="55">
        <f t="shared" ca="1" si="12"/>
        <v>-3.2222103834769493</v>
      </c>
      <c r="X39" s="55">
        <f t="shared" ca="1" si="13"/>
        <v>13.705981955908317</v>
      </c>
      <c r="Y39" s="55">
        <f t="shared" ca="1" si="14"/>
        <v>-13.544995846652881</v>
      </c>
      <c r="Z39">
        <f t="shared" ca="1" si="3"/>
        <v>0</v>
      </c>
      <c r="AA39">
        <f t="shared" ca="1" si="15"/>
        <v>10.008600377821104</v>
      </c>
      <c r="AB39">
        <f t="shared" ca="1" si="4"/>
        <v>0</v>
      </c>
      <c r="AC39">
        <f t="shared" ca="1" si="5"/>
        <v>0</v>
      </c>
      <c r="AD39" s="83">
        <f ca="1"/>
        <v>45583</v>
      </c>
      <c r="AE39" s="55">
        <f t="shared" ca="1" si="20"/>
        <v>45583</v>
      </c>
      <c r="AF39" s="55">
        <f t="shared" ca="1" si="21"/>
        <v>34.293626237242002</v>
      </c>
      <c r="AG39" s="55">
        <f t="shared" ca="1" si="22"/>
        <v>1.9794663430673289</v>
      </c>
      <c r="AH39" s="55">
        <f t="shared" ca="1" si="23"/>
        <v>0</v>
      </c>
      <c r="AI39" s="55">
        <f t="shared" ca="1" si="17"/>
        <v>0</v>
      </c>
      <c r="AJ39" s="55">
        <f t="shared" ca="1" si="18"/>
        <v>11.500573692076784</v>
      </c>
      <c r="AK39" s="55">
        <f t="shared" ca="1" si="19"/>
        <v>-6.0823245966313273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Interface'!$J$11:$O$500,6,FALSE),"")</f>
        <v/>
      </c>
      <c r="H40" s="55" t="str">
        <f t="shared" ca="1" si="26"/>
        <v/>
      </c>
      <c r="R40" s="83">
        <f ca="1"/>
        <v>45416</v>
      </c>
      <c r="S40" s="55">
        <f t="shared" ca="1" si="11"/>
        <v>45416</v>
      </c>
      <c r="T40" s="55">
        <f t="shared" ca="1" si="0"/>
        <v>46.524199483591765</v>
      </c>
      <c r="U40" s="55">
        <f t="shared" ca="1" si="1"/>
        <v>0</v>
      </c>
      <c r="V40" s="55">
        <f t="shared" ca="1" si="2"/>
        <v>0</v>
      </c>
      <c r="W40" s="55">
        <f t="shared" ca="1" si="12"/>
        <v>-3.6510945779756905</v>
      </c>
      <c r="X40" s="55">
        <f t="shared" ca="1" si="13"/>
        <v>14.325603027548917</v>
      </c>
      <c r="Y40" s="55">
        <f t="shared" ca="1" si="14"/>
        <v>-13.573219253888798</v>
      </c>
      <c r="Z40">
        <f t="shared" ca="1" si="3"/>
        <v>0</v>
      </c>
      <c r="AA40">
        <f t="shared" ca="1" si="15"/>
        <v>11.318600377821106</v>
      </c>
      <c r="AB40">
        <f t="shared" ca="1" si="4"/>
        <v>0</v>
      </c>
      <c r="AC40">
        <f t="shared" ca="1" si="5"/>
        <v>0</v>
      </c>
      <c r="AD40" s="83">
        <f ca="1"/>
        <v>45584</v>
      </c>
      <c r="AE40" s="55">
        <f t="shared" ca="1" si="20"/>
        <v>45584</v>
      </c>
      <c r="AF40" s="55">
        <f t="shared" ca="1" si="21"/>
        <v>34.939258421139499</v>
      </c>
      <c r="AG40" s="55">
        <f t="shared" ca="1" si="22"/>
        <v>2.0608730772597927</v>
      </c>
      <c r="AH40" s="55">
        <f t="shared" ca="1" si="23"/>
        <v>0</v>
      </c>
      <c r="AI40" s="55">
        <f t="shared" ca="1" si="17"/>
        <v>0</v>
      </c>
      <c r="AJ40" s="55">
        <f t="shared" ca="1" si="18"/>
        <v>12.111703988908117</v>
      </c>
      <c r="AK40" s="55">
        <f t="shared" ca="1" si="19"/>
        <v>-5.9664159753727013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Interface'!$J$11:$O$500,6,FALSE),"")</f>
        <v/>
      </c>
      <c r="H41" s="55" t="str">
        <f t="shared" ca="1" si="26"/>
        <v/>
      </c>
      <c r="R41" s="83">
        <f ca="1"/>
        <v>45417</v>
      </c>
      <c r="S41" s="55">
        <f t="shared" ca="1" si="11"/>
        <v>45417</v>
      </c>
      <c r="T41" s="55">
        <f t="shared" ca="1" si="0"/>
        <v>46.904176844464466</v>
      </c>
      <c r="U41" s="55">
        <f t="shared" ca="1" si="1"/>
        <v>0</v>
      </c>
      <c r="V41" s="55">
        <f t="shared" ca="1" si="2"/>
        <v>0</v>
      </c>
      <c r="W41" s="55">
        <f t="shared" ca="1" si="12"/>
        <v>-3.8920430716174383</v>
      </c>
      <c r="X41" s="55">
        <f t="shared" ca="1" si="13"/>
        <v>14.940260563204339</v>
      </c>
      <c r="Y41" s="55">
        <f t="shared" ca="1" si="14"/>
        <v>-13.566950935029773</v>
      </c>
      <c r="Z41">
        <f t="shared" ca="1" si="3"/>
        <v>0</v>
      </c>
      <c r="AA41">
        <f t="shared" ca="1" si="15"/>
        <v>12.048600377821103</v>
      </c>
      <c r="AB41">
        <f t="shared" ca="1" si="4"/>
        <v>0</v>
      </c>
      <c r="AC41">
        <f t="shared" ca="1" si="5"/>
        <v>0</v>
      </c>
      <c r="AD41" s="83">
        <f ca="1"/>
        <v>45585</v>
      </c>
      <c r="AE41" s="55">
        <f t="shared" ca="1" si="20"/>
        <v>45585</v>
      </c>
      <c r="AF41" s="55">
        <f t="shared" ca="1" si="21"/>
        <v>35.607001018870456</v>
      </c>
      <c r="AG41" s="55">
        <f t="shared" ca="1" si="22"/>
        <v>2.1456769199357466</v>
      </c>
      <c r="AH41" s="55">
        <f t="shared" ca="1" si="23"/>
        <v>0</v>
      </c>
      <c r="AI41" s="55">
        <f t="shared" ca="1" si="17"/>
        <v>0</v>
      </c>
      <c r="AJ41" s="55">
        <f t="shared" ca="1" si="18"/>
        <v>12.724897248415186</v>
      </c>
      <c r="AK41" s="55">
        <f t="shared" ca="1" si="19"/>
        <v>-5.8270627944728624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Interface'!$J$11:$O$500,6,FALSE),"")</f>
        <v/>
      </c>
      <c r="H42" s="55" t="str">
        <f t="shared" ca="1" si="26"/>
        <v/>
      </c>
      <c r="R42" s="83">
        <f ca="1"/>
        <v>45418</v>
      </c>
      <c r="S42" s="55">
        <f t="shared" ca="1" si="11"/>
        <v>45418</v>
      </c>
      <c r="T42" s="55">
        <f t="shared" ca="1" si="0"/>
        <v>47.170905246833819</v>
      </c>
      <c r="U42" s="55">
        <f t="shared" ca="1" si="1"/>
        <v>0</v>
      </c>
      <c r="V42" s="55">
        <f t="shared" ca="1" si="2"/>
        <v>0</v>
      </c>
      <c r="W42" s="55">
        <f t="shared" ca="1" si="12"/>
        <v>-4.2571808196392267</v>
      </c>
      <c r="X42" s="55">
        <f t="shared" ca="1" si="13"/>
        <v>15.534713349119318</v>
      </c>
      <c r="Y42" s="55">
        <f t="shared" ca="1" si="14"/>
        <v>-13.529537570553611</v>
      </c>
      <c r="Z42">
        <f t="shared" ca="1" si="3"/>
        <v>0</v>
      </c>
      <c r="AA42">
        <f t="shared" ca="1" si="15"/>
        <v>13.148600377821104</v>
      </c>
      <c r="AB42">
        <f t="shared" ca="1" si="4"/>
        <v>0</v>
      </c>
      <c r="AC42">
        <f t="shared" ca="1" si="5"/>
        <v>0</v>
      </c>
      <c r="AD42" s="83">
        <f ca="1"/>
        <v>45586</v>
      </c>
      <c r="AE42" s="55">
        <f t="shared" ca="1" si="20"/>
        <v>45586</v>
      </c>
      <c r="AF42" s="55">
        <f t="shared" ca="1" si="21"/>
        <v>36.235512963568667</v>
      </c>
      <c r="AG42" s="55">
        <f t="shared" ca="1" si="22"/>
        <v>2.2255712931857188</v>
      </c>
      <c r="AH42" s="55">
        <f t="shared" ca="1" si="23"/>
        <v>0</v>
      </c>
      <c r="AI42" s="55">
        <f t="shared" ca="1" si="17"/>
        <v>0</v>
      </c>
      <c r="AJ42" s="55">
        <f t="shared" ca="1" si="18"/>
        <v>13.283307090637878</v>
      </c>
      <c r="AK42" s="55">
        <f t="shared" ca="1" si="19"/>
        <v>-5.6770663187473716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Interface'!$J$11:$O$500,6,FALSE),"")</f>
        <v/>
      </c>
      <c r="H43" s="55" t="str">
        <f t="shared" ca="1" si="26"/>
        <v/>
      </c>
      <c r="R43" s="83">
        <f ca="1"/>
        <v>45419</v>
      </c>
      <c r="S43" s="55">
        <f t="shared" ca="1" si="11"/>
        <v>45419</v>
      </c>
      <c r="T43" s="55">
        <f t="shared" ca="1" si="0"/>
        <v>47.708454059641902</v>
      </c>
      <c r="U43" s="55">
        <f t="shared" ca="1" si="1"/>
        <v>0</v>
      </c>
      <c r="V43" s="55">
        <f t="shared" ca="1" si="2"/>
        <v>0</v>
      </c>
      <c r="W43" s="55">
        <f t="shared" ca="1" si="12"/>
        <v>-4.3813994981722937</v>
      </c>
      <c r="X43" s="55">
        <f t="shared" ca="1" si="13"/>
        <v>16.129772034108704</v>
      </c>
      <c r="Y43" s="55">
        <f t="shared" ca="1" si="14"/>
        <v>-13.462828764201841</v>
      </c>
      <c r="Z43">
        <f t="shared" ca="1" si="3"/>
        <v>0</v>
      </c>
      <c r="AA43">
        <f t="shared" ca="1" si="15"/>
        <v>13.518600377821102</v>
      </c>
      <c r="AB43">
        <f t="shared" ca="1" si="4"/>
        <v>0</v>
      </c>
      <c r="AC43">
        <f t="shared" ca="1" si="5"/>
        <v>0</v>
      </c>
      <c r="AD43" s="83">
        <f ca="1"/>
        <v>45587</v>
      </c>
      <c r="AE43" s="55">
        <f t="shared" ca="1" si="20"/>
        <v>45587</v>
      </c>
      <c r="AF43" s="55">
        <f t="shared" ca="1" si="21"/>
        <v>36.893359026528032</v>
      </c>
      <c r="AG43" s="55">
        <f t="shared" ca="1" si="22"/>
        <v>2.3093807267084792</v>
      </c>
      <c r="AH43" s="55">
        <f t="shared" ca="1" si="23"/>
        <v>0</v>
      </c>
      <c r="AI43" s="55">
        <f t="shared" ca="1" si="17"/>
        <v>0</v>
      </c>
      <c r="AJ43" s="55">
        <f t="shared" ca="1" si="18"/>
        <v>13.855686741217767</v>
      </c>
      <c r="AK43" s="55">
        <f t="shared" ca="1" si="19"/>
        <v>-5.5077904728451337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45436</v>
      </c>
      <c r="C44" s="94" t="s">
        <v>149</v>
      </c>
      <c r="D44" s="96">
        <f ca="1">MAX(CurrentEstablishDate,C38:C43,MAX(C29:C34)+1)</f>
        <v>45436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45420</v>
      </c>
      <c r="S44" s="55">
        <f t="shared" ca="1" si="11"/>
        <v>45420</v>
      </c>
      <c r="T44" s="55">
        <f t="shared" ca="1" si="0"/>
        <v>48.21026881917637</v>
      </c>
      <c r="U44" s="55">
        <f t="shared" ca="1" si="1"/>
        <v>0</v>
      </c>
      <c r="V44" s="55">
        <f t="shared" ca="1" si="2"/>
        <v>0</v>
      </c>
      <c r="W44" s="55">
        <f t="shared" ca="1" si="12"/>
        <v>-4.5917391154648497</v>
      </c>
      <c r="X44" s="55">
        <f t="shared" ca="1" si="13"/>
        <v>16.745048612791333</v>
      </c>
      <c r="Y44" s="55">
        <f t="shared" ca="1" si="14"/>
        <v>-13.365950966057454</v>
      </c>
      <c r="Z44">
        <f t="shared" ca="1" si="3"/>
        <v>0</v>
      </c>
      <c r="AA44">
        <f t="shared" ca="1" si="15"/>
        <v>14.138600377821106</v>
      </c>
      <c r="AB44">
        <f t="shared" ca="1" si="4"/>
        <v>0</v>
      </c>
      <c r="AC44">
        <f t="shared" ca="1" si="5"/>
        <v>0</v>
      </c>
      <c r="AD44" s="83">
        <f ca="1"/>
        <v>45588</v>
      </c>
      <c r="AE44" s="55">
        <f t="shared" ca="1" si="20"/>
        <v>45588</v>
      </c>
      <c r="AF44" s="55">
        <f t="shared" ca="1" si="21"/>
        <v>37.606293853934886</v>
      </c>
      <c r="AG44" s="55">
        <f t="shared" ca="1" si="22"/>
        <v>2.4045735825826688</v>
      </c>
      <c r="AH44" s="55">
        <f t="shared" ca="1" si="23"/>
        <v>0</v>
      </c>
      <c r="AI44" s="55">
        <f t="shared" ca="1" si="17"/>
        <v>0</v>
      </c>
      <c r="AJ44" s="55">
        <f t="shared" ca="1" si="18"/>
        <v>14.464922751875879</v>
      </c>
      <c r="AK44" s="55">
        <f t="shared" ca="1" si="19"/>
        <v>-5.3088988002222095</v>
      </c>
    </row>
    <row r="45" spans="1:37" s="55" customFormat="1">
      <c r="R45" s="83">
        <f ca="1"/>
        <v>45421</v>
      </c>
      <c r="S45" s="55">
        <f t="shared" ca="1" si="11"/>
        <v>45421</v>
      </c>
      <c r="T45" s="55">
        <f t="shared" ca="1" si="0"/>
        <v>48.902936655982451</v>
      </c>
      <c r="U45" s="55">
        <f t="shared" ca="1" si="1"/>
        <v>0</v>
      </c>
      <c r="V45" s="55">
        <f t="shared" ca="1" si="2"/>
        <v>0</v>
      </c>
      <c r="W45" s="55">
        <f t="shared" ca="1" si="12"/>
        <v>-4.5917391154648497</v>
      </c>
      <c r="X45" s="55">
        <f t="shared" ca="1" si="13"/>
        <v>17.319729002472076</v>
      </c>
      <c r="Y45" s="55">
        <f t="shared" ca="1" si="14"/>
        <v>-13.247963518932119</v>
      </c>
      <c r="Z45">
        <f t="shared" ca="1" si="3"/>
        <v>0</v>
      </c>
      <c r="AA45">
        <f t="shared" ca="1" si="15"/>
        <v>14.138600377821106</v>
      </c>
      <c r="AB45">
        <f t="shared" ca="1" si="4"/>
        <v>0</v>
      </c>
      <c r="AC45">
        <f t="shared" ca="1" si="5"/>
        <v>0</v>
      </c>
      <c r="AD45" s="83">
        <f ca="1"/>
        <v>45589</v>
      </c>
      <c r="AE45" s="55">
        <f t="shared" ca="1" si="20"/>
        <v>45589</v>
      </c>
      <c r="AF45" s="55">
        <f t="shared" ca="1" si="21"/>
        <v>38.297883591681462</v>
      </c>
      <c r="AG45" s="55">
        <f t="shared" ca="1" si="22"/>
        <v>2.5024013439003872</v>
      </c>
      <c r="AH45" s="55">
        <f t="shared" ca="1" si="23"/>
        <v>0</v>
      </c>
      <c r="AI45" s="55">
        <f t="shared" ca="1" si="17"/>
        <v>0</v>
      </c>
      <c r="AJ45" s="55">
        <f t="shared" ca="1" si="18"/>
        <v>15.039452272623672</v>
      </c>
      <c r="AK45" s="55">
        <f t="shared" ca="1" si="19"/>
        <v>-5.0940108219057123</v>
      </c>
    </row>
    <row r="46" spans="1:37" s="55" customFormat="1" ht="15" thickBot="1">
      <c r="C46" s="129" t="s">
        <v>153</v>
      </c>
      <c r="D46" s="129"/>
      <c r="E46" s="129"/>
      <c r="F46" s="129"/>
      <c r="G46" s="129"/>
      <c r="H46" s="129"/>
      <c r="R46" s="83">
        <f ca="1"/>
        <v>45422</v>
      </c>
      <c r="S46" s="55">
        <f t="shared" ca="1" si="11"/>
        <v>45422</v>
      </c>
      <c r="T46" s="55">
        <f t="shared" ca="1" si="0"/>
        <v>49.482725901704498</v>
      </c>
      <c r="U46" s="55">
        <f t="shared" ca="1" si="1"/>
        <v>0</v>
      </c>
      <c r="V46" s="55">
        <f t="shared" ca="1" si="2"/>
        <v>0</v>
      </c>
      <c r="W46" s="55">
        <f t="shared" ca="1" si="12"/>
        <v>-4.7493055884273598</v>
      </c>
      <c r="X46" s="55">
        <f t="shared" ca="1" si="13"/>
        <v>17.912366473018523</v>
      </c>
      <c r="Y46" s="55">
        <f t="shared" ca="1" si="14"/>
        <v>-13.103245270794007</v>
      </c>
      <c r="Z46">
        <f t="shared" ca="1" si="3"/>
        <v>0</v>
      </c>
      <c r="AA46">
        <f t="shared" ca="1" si="15"/>
        <v>14.591102229672956</v>
      </c>
      <c r="AB46">
        <f t="shared" ca="1" si="4"/>
        <v>0</v>
      </c>
      <c r="AC46">
        <f t="shared" ca="1" si="5"/>
        <v>0</v>
      </c>
      <c r="AD46" s="83">
        <f ca="1"/>
        <v>45590</v>
      </c>
      <c r="AE46" s="55">
        <f t="shared" ca="1" si="20"/>
        <v>45590</v>
      </c>
      <c r="AF46" s="55">
        <f t="shared" ca="1" si="21"/>
        <v>39.043112977285496</v>
      </c>
      <c r="AG46" s="55">
        <f t="shared" ca="1" si="22"/>
        <v>2.6106368693079252</v>
      </c>
      <c r="AH46" s="55">
        <f t="shared" ca="1" si="23"/>
        <v>0</v>
      </c>
      <c r="AI46" s="55">
        <f t="shared" ca="1" si="17"/>
        <v>0</v>
      </c>
      <c r="AJ46" s="55">
        <f t="shared" ca="1" si="18"/>
        <v>15.65050853300532</v>
      </c>
      <c r="AK46" s="55">
        <f t="shared" ca="1" si="19"/>
        <v>-4.8516021712757862</v>
      </c>
    </row>
    <row r="47" spans="1:37" s="55" customFormat="1">
      <c r="C47" s="61" t="s">
        <v>26</v>
      </c>
      <c r="D47" s="88" t="str">
        <f>IF(E47="","Fodder",E47)</f>
        <v>Green_manure</v>
      </c>
      <c r="E47" s="87" t="s">
        <v>282</v>
      </c>
      <c r="F47" s="61" t="s">
        <v>133</v>
      </c>
      <c r="G47" s="88">
        <f>IF(H47="",VLOOKUP(PriorCropNameFull,CropCoefficients,23,FALSE),H47)</f>
        <v>1</v>
      </c>
      <c r="H47" s="89"/>
      <c r="R47" s="83">
        <f ca="1"/>
        <v>45423</v>
      </c>
      <c r="S47" s="55">
        <f t="shared" ca="1" si="11"/>
        <v>45423</v>
      </c>
      <c r="T47" s="55">
        <f t="shared" ca="1" si="0"/>
        <v>49.972820197013895</v>
      </c>
      <c r="U47" s="55">
        <f t="shared" ca="1" si="1"/>
        <v>0</v>
      </c>
      <c r="V47" s="55">
        <f t="shared" ca="1" si="2"/>
        <v>0</v>
      </c>
      <c r="W47" s="55">
        <f t="shared" ca="1" si="12"/>
        <v>-5.065800116341781</v>
      </c>
      <c r="X47" s="55">
        <f t="shared" ca="1" si="13"/>
        <v>18.543249173089112</v>
      </c>
      <c r="Y47" s="55">
        <f t="shared" ca="1" si="14"/>
        <v>-12.927539147640783</v>
      </c>
      <c r="Z47">
        <f t="shared" ca="1" si="3"/>
        <v>0</v>
      </c>
      <c r="AA47">
        <f t="shared" ca="1" si="15"/>
        <v>15.491102229672954</v>
      </c>
      <c r="AB47">
        <f t="shared" ca="1" si="4"/>
        <v>0</v>
      </c>
      <c r="AC47">
        <f t="shared" ca="1" si="5"/>
        <v>0</v>
      </c>
      <c r="AD47" s="83">
        <f ca="1"/>
        <v>45591</v>
      </c>
      <c r="AE47" s="55">
        <f t="shared" ca="1" si="20"/>
        <v>45591</v>
      </c>
      <c r="AF47" s="55">
        <f t="shared" ca="1" si="21"/>
        <v>39.733761441467102</v>
      </c>
      <c r="AG47" s="55">
        <f t="shared" ca="1" si="22"/>
        <v>2.7153950815354579</v>
      </c>
      <c r="AH47" s="55">
        <f t="shared" ca="1" si="23"/>
        <v>0</v>
      </c>
      <c r="AI47" s="55">
        <f t="shared" ca="1" si="17"/>
        <v>0</v>
      </c>
      <c r="AJ47" s="55">
        <f t="shared" ca="1" si="18"/>
        <v>16.200830011126573</v>
      </c>
      <c r="AK47" s="55">
        <f t="shared" ca="1" si="19"/>
        <v>-4.606516972987901</v>
      </c>
    </row>
    <row r="48" spans="1:37" s="55" customFormat="1">
      <c r="C48" s="61" t="s">
        <v>94</v>
      </c>
      <c r="D48" s="84" t="str">
        <f>IF(E48="","Barley",E48)</f>
        <v>Lupin</v>
      </c>
      <c r="E48" s="66" t="s">
        <v>53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45424</v>
      </c>
      <c r="S48" s="55">
        <f t="shared" ca="1" si="11"/>
        <v>45424</v>
      </c>
      <c r="T48" s="55">
        <f t="shared" ca="1" si="0"/>
        <v>49.838489313891188</v>
      </c>
      <c r="U48" s="55">
        <f t="shared" ca="1" si="1"/>
        <v>0</v>
      </c>
      <c r="V48" s="55">
        <f t="shared" ca="1" si="2"/>
        <v>0</v>
      </c>
      <c r="W48" s="55">
        <f t="shared" ca="1" si="12"/>
        <v>-5.9496026601747856</v>
      </c>
      <c r="X48" s="55">
        <f t="shared" ca="1" si="13"/>
        <v>19.108497753001622</v>
      </c>
      <c r="Y48" s="55">
        <f t="shared" ca="1" si="14"/>
        <v>-12.743316066842997</v>
      </c>
      <c r="Z48">
        <f t="shared" ca="1" si="3"/>
        <v>0</v>
      </c>
      <c r="AA48">
        <f t="shared" ca="1" si="15"/>
        <v>18.011102229672957</v>
      </c>
      <c r="AB48">
        <f t="shared" ca="1" si="4"/>
        <v>0</v>
      </c>
      <c r="AC48">
        <f t="shared" ca="1" si="5"/>
        <v>0</v>
      </c>
      <c r="AD48" s="83">
        <f ca="1"/>
        <v>45592</v>
      </c>
      <c r="AE48" s="55">
        <f t="shared" ca="1" si="20"/>
        <v>45592</v>
      </c>
      <c r="AF48" s="55">
        <f t="shared" ca="1" si="21"/>
        <v>40.450662573951313</v>
      </c>
      <c r="AG48" s="55">
        <f t="shared" ca="1" si="22"/>
        <v>2.8300215052721862</v>
      </c>
      <c r="AH48" s="55">
        <f t="shared" ca="1" si="23"/>
        <v>0</v>
      </c>
      <c r="AI48" s="55">
        <f t="shared" ca="1" si="17"/>
        <v>0</v>
      </c>
      <c r="AJ48" s="55">
        <f t="shared" ca="1" si="18"/>
        <v>16.763398164458636</v>
      </c>
      <c r="AK48" s="55">
        <f t="shared" ca="1" si="19"/>
        <v>-4.3375575700990225</v>
      </c>
    </row>
    <row r="49" spans="2:37" s="55" customFormat="1">
      <c r="C49" s="61" t="s">
        <v>95</v>
      </c>
      <c r="D49" s="84" t="str">
        <f>IF(E49="","General",E49)</f>
        <v>General</v>
      </c>
      <c r="E49" s="66"/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45425</v>
      </c>
      <c r="S49" s="55">
        <f t="shared" ca="1" si="11"/>
        <v>45425</v>
      </c>
      <c r="T49" s="55">
        <f t="shared" ca="1" si="0"/>
        <v>50.201374815081564</v>
      </c>
      <c r="U49" s="55">
        <f t="shared" ca="1" si="1"/>
        <v>0</v>
      </c>
      <c r="V49" s="55">
        <f t="shared" ca="1" si="2"/>
        <v>0</v>
      </c>
      <c r="W49" s="55">
        <f t="shared" ca="1" si="12"/>
        <v>-6.3911888275296693</v>
      </c>
      <c r="X49" s="55">
        <f t="shared" ca="1" si="13"/>
        <v>19.70234503686865</v>
      </c>
      <c r="Y49" s="55">
        <f t="shared" ca="1" si="14"/>
        <v>-12.532691682164767</v>
      </c>
      <c r="Z49">
        <f t="shared" ca="1" si="3"/>
        <v>0</v>
      </c>
      <c r="AA49">
        <f t="shared" ca="1" si="15"/>
        <v>19.261102229672957</v>
      </c>
      <c r="AB49">
        <f t="shared" ca="1" si="4"/>
        <v>0</v>
      </c>
      <c r="AC49">
        <f t="shared" ca="1" si="5"/>
        <v>0</v>
      </c>
      <c r="AD49" s="83">
        <f ca="1"/>
        <v>45593</v>
      </c>
      <c r="AE49" s="55">
        <f t="shared" ca="1" si="20"/>
        <v>45593</v>
      </c>
      <c r="AF49" s="55">
        <f t="shared" ca="1" si="21"/>
        <v>41.196218352135787</v>
      </c>
      <c r="AG49" s="55">
        <f t="shared" ca="1" si="22"/>
        <v>2.9503212665013088</v>
      </c>
      <c r="AH49" s="55">
        <f t="shared" ca="1" si="23"/>
        <v>0</v>
      </c>
      <c r="AI49" s="55">
        <f t="shared" ca="1" si="17"/>
        <v>0</v>
      </c>
      <c r="AJ49" s="55">
        <f t="shared" ca="1" si="18"/>
        <v>17.344835774497103</v>
      </c>
      <c r="AK49" s="55">
        <f t="shared" ca="1" si="19"/>
        <v>-4.0531396407238951</v>
      </c>
    </row>
    <row r="50" spans="2:37" s="55" customFormat="1">
      <c r="B50" s="90">
        <f>IF(PriorUnits="kg/head",PriorYield*PriorPopulation/1000,IF(PriorUnits="kg/ha",PriorYield/1000,PriorYield))</f>
        <v>12</v>
      </c>
      <c r="C50" s="64" t="s">
        <v>150</v>
      </c>
      <c r="D50" s="65" t="str">
        <f>SUBSTITUTE(PriorCropName&amp;" "&amp;PriorCropType&amp;" "&amp;PriorCropVariety,"_"," ")</f>
        <v>Lupin Green manure General</v>
      </c>
      <c r="F50" s="56"/>
      <c r="R50" s="83">
        <f ca="1"/>
        <v>45426</v>
      </c>
      <c r="S50" s="55">
        <f t="shared" ca="1" si="11"/>
        <v>45426</v>
      </c>
      <c r="T50" s="55">
        <f t="shared" ca="1" si="0"/>
        <v>50.411912369503106</v>
      </c>
      <c r="U50" s="55">
        <f t="shared" ca="1" si="1"/>
        <v>0</v>
      </c>
      <c r="V50" s="55">
        <f t="shared" ca="1" si="2"/>
        <v>0</v>
      </c>
      <c r="W50" s="55">
        <f t="shared" ca="1" si="12"/>
        <v>-6.9516946087639218</v>
      </c>
      <c r="X50" s="55">
        <f t="shared" ca="1" si="13"/>
        <v>20.254789169541514</v>
      </c>
      <c r="Y50" s="55">
        <f t="shared" ca="1" si="14"/>
        <v>-12.314092479181831</v>
      </c>
      <c r="Z50">
        <f t="shared" ca="1" si="3"/>
        <v>0</v>
      </c>
      <c r="AA50">
        <f t="shared" ca="1" si="15"/>
        <v>20.841102229672956</v>
      </c>
      <c r="AB50">
        <f t="shared" ca="1" si="4"/>
        <v>0</v>
      </c>
      <c r="AC50">
        <f t="shared" ca="1" si="5"/>
        <v>0</v>
      </c>
      <c r="AD50" s="83">
        <f ca="1"/>
        <v>45594</v>
      </c>
      <c r="AE50" s="55">
        <f t="shared" ca="1" si="20"/>
        <v>45594</v>
      </c>
      <c r="AF50" s="55">
        <f t="shared" ca="1" si="21"/>
        <v>41.959274687725639</v>
      </c>
      <c r="AG50" s="55">
        <f t="shared" ca="1" si="22"/>
        <v>3.078360485067797</v>
      </c>
      <c r="AH50" s="55">
        <f t="shared" ca="1" si="23"/>
        <v>0</v>
      </c>
      <c r="AI50" s="55">
        <f t="shared" ca="1" si="17"/>
        <v>0</v>
      </c>
      <c r="AJ50" s="55">
        <f t="shared" ca="1" si="18"/>
        <v>17.933731488946542</v>
      </c>
      <c r="AK50" s="55">
        <f t="shared" ca="1" si="19"/>
        <v>-3.7509398010169939</v>
      </c>
    </row>
    <row r="51" spans="2:37" s="55" customFormat="1">
      <c r="C51" s="61" t="s">
        <v>4</v>
      </c>
      <c r="D51" s="68">
        <f>IF(E51="",CurrentEstablishDate-60,E51)</f>
        <v>45269</v>
      </c>
      <c r="E51" s="67">
        <v>45269</v>
      </c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45427</v>
      </c>
      <c r="S51" s="55">
        <f t="shared" ca="1" si="11"/>
        <v>45427</v>
      </c>
      <c r="T51" s="55">
        <f t="shared" ca="1" si="0"/>
        <v>50.028221727867582</v>
      </c>
      <c r="U51" s="55">
        <f t="shared" ca="1" si="1"/>
        <v>0</v>
      </c>
      <c r="V51" s="55">
        <f t="shared" ca="1" si="2"/>
        <v>0</v>
      </c>
      <c r="W51" s="55">
        <f t="shared" ca="1" si="12"/>
        <v>-8.0712150372075371</v>
      </c>
      <c r="X51" s="55">
        <f t="shared" ca="1" si="13"/>
        <v>20.76719762834367</v>
      </c>
      <c r="Y51" s="55">
        <f t="shared" ca="1" si="14"/>
        <v>-12.090671151175901</v>
      </c>
      <c r="Z51">
        <f t="shared" ca="1" si="3"/>
        <v>0</v>
      </c>
      <c r="AA51">
        <f t="shared" ca="1" si="15"/>
        <v>24.021102229672955</v>
      </c>
      <c r="AB51">
        <f t="shared" ca="1" si="4"/>
        <v>0</v>
      </c>
      <c r="AC51">
        <f t="shared" ca="1" si="5"/>
        <v>0</v>
      </c>
      <c r="AD51" s="83">
        <f ca="1"/>
        <v>45595</v>
      </c>
      <c r="AE51" s="55">
        <f t="shared" ca="1" si="20"/>
        <v>45595</v>
      </c>
      <c r="AF51" s="55">
        <f t="shared" ca="1" si="21"/>
        <v>42.728275277090582</v>
      </c>
      <c r="AG51" s="55">
        <f t="shared" ca="1" si="22"/>
        <v>3.2140776761132819</v>
      </c>
      <c r="AH51" s="55">
        <f t="shared" ca="1" si="23"/>
        <v>0</v>
      </c>
      <c r="AI51" s="55">
        <f t="shared" ca="1" si="17"/>
        <v>0</v>
      </c>
      <c r="AJ51" s="55">
        <f t="shared" ca="1" si="18"/>
        <v>18.520000774136061</v>
      </c>
      <c r="AK51" s="55">
        <f t="shared" ca="1" si="19"/>
        <v>-3.4324913057960806</v>
      </c>
    </row>
    <row r="52" spans="2:37" s="55" customFormat="1">
      <c r="C52" s="61" t="s">
        <v>5</v>
      </c>
      <c r="D52" s="68">
        <f>IF(E52="",CurrentEstablishDate-15,E52)</f>
        <v>45394</v>
      </c>
      <c r="E52" s="67">
        <v>45394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45428</v>
      </c>
      <c r="S52" s="55">
        <f t="shared" ca="1" si="11"/>
        <v>45428</v>
      </c>
      <c r="T52" s="55">
        <f t="shared" ca="1" si="0"/>
        <v>49.651935645540128</v>
      </c>
      <c r="U52" s="55">
        <f t="shared" ca="1" si="1"/>
        <v>0</v>
      </c>
      <c r="V52" s="55">
        <f t="shared" ca="1" si="2"/>
        <v>0</v>
      </c>
      <c r="W52" s="55">
        <f t="shared" ca="1" si="12"/>
        <v>-9.1683389189160245</v>
      </c>
      <c r="X52" s="55">
        <f t="shared" ca="1" si="13"/>
        <v>21.257373712551949</v>
      </c>
      <c r="Y52" s="55">
        <f t="shared" ca="1" si="14"/>
        <v>-11.860009436003139</v>
      </c>
      <c r="Z52">
        <f t="shared" ca="1" si="3"/>
        <v>0</v>
      </c>
      <c r="AA52">
        <f t="shared" ca="1" si="15"/>
        <v>27.161102229672949</v>
      </c>
      <c r="AB52">
        <f t="shared" ca="1" si="4"/>
        <v>0</v>
      </c>
      <c r="AC52">
        <f t="shared" ca="1" si="5"/>
        <v>0</v>
      </c>
      <c r="AD52" s="83">
        <f ca="1"/>
        <v>45596</v>
      </c>
      <c r="AE52" s="55">
        <f t="shared" ca="1" si="20"/>
        <v>45596</v>
      </c>
      <c r="AF52" s="55">
        <f t="shared" ca="1" si="21"/>
        <v>43.486677171202018</v>
      </c>
      <c r="AG52" s="55">
        <f t="shared" ca="1" si="22"/>
        <v>3.3553024576879178</v>
      </c>
      <c r="AH52" s="55">
        <f t="shared" ca="1" si="23"/>
        <v>0</v>
      </c>
      <c r="AI52" s="55">
        <f t="shared" ca="1" si="17"/>
        <v>0</v>
      </c>
      <c r="AJ52" s="55">
        <f t="shared" ca="1" si="18"/>
        <v>19.090416110691734</v>
      </c>
      <c r="AK52" s="55">
        <f t="shared" ca="1" si="19"/>
        <v>-3.1032799666656814</v>
      </c>
    </row>
    <row r="53" spans="2:37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45429</v>
      </c>
      <c r="S53" s="55">
        <f t="shared" ca="1" si="11"/>
        <v>45429</v>
      </c>
      <c r="T53" s="55">
        <f t="shared" ca="1" si="0"/>
        <v>50.016557910988077</v>
      </c>
      <c r="U53" s="55">
        <f t="shared" ca="1" si="1"/>
        <v>0</v>
      </c>
      <c r="V53" s="55">
        <f t="shared" ca="1" si="2"/>
        <v>0</v>
      </c>
      <c r="W53" s="55">
        <f t="shared" ca="1" si="12"/>
        <v>-9.5731025449734641</v>
      </c>
      <c r="X53" s="55">
        <f t="shared" ca="1" si="13"/>
        <v>21.774748948684504</v>
      </c>
      <c r="Y53" s="55">
        <f t="shared" ca="1" si="14"/>
        <v>-11.607998780630307</v>
      </c>
      <c r="Z53">
        <f t="shared" ca="1" si="3"/>
        <v>0</v>
      </c>
      <c r="AA53">
        <f t="shared" ca="1" si="15"/>
        <v>28.311102229672947</v>
      </c>
      <c r="AB53">
        <f t="shared" ca="1" si="4"/>
        <v>0</v>
      </c>
      <c r="AC53">
        <f t="shared" ca="1" si="5"/>
        <v>0</v>
      </c>
      <c r="AD53" s="83">
        <f ca="1"/>
        <v>45597</v>
      </c>
      <c r="AE53" s="55">
        <f t="shared" ca="1" si="20"/>
        <v>45597</v>
      </c>
      <c r="AF53" s="55">
        <f t="shared" ca="1" si="21"/>
        <v>44.182851182713769</v>
      </c>
      <c r="AG53" s="55">
        <f t="shared" ca="1" si="22"/>
        <v>3.4906578312097736</v>
      </c>
      <c r="AH53" s="55">
        <f t="shared" ca="1" si="23"/>
        <v>0</v>
      </c>
      <c r="AI53" s="55">
        <f t="shared" ca="1" si="17"/>
        <v>0</v>
      </c>
      <c r="AJ53" s="55">
        <f t="shared" ca="1" si="18"/>
        <v>19.603153200407156</v>
      </c>
      <c r="AK53" s="55">
        <f t="shared" ca="1" si="19"/>
        <v>-2.7844876713474989</v>
      </c>
    </row>
    <row r="54" spans="2:37" s="54" customFormat="1">
      <c r="B54" s="55"/>
      <c r="C54" s="61" t="s">
        <v>100</v>
      </c>
      <c r="D54" s="70">
        <f>IF(E54="",VLOOKUP(PriorCropNameFull,CropCoefficients,17,FALSE),E54)</f>
        <v>12</v>
      </c>
      <c r="E54" s="69"/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45430</v>
      </c>
      <c r="S54" s="55">
        <f t="shared" ca="1" si="11"/>
        <v>45430</v>
      </c>
      <c r="T54" s="55">
        <f t="shared" ca="1" si="0"/>
        <v>50.347892267724824</v>
      </c>
      <c r="U54" s="55">
        <f t="shared" ca="1" si="1"/>
        <v>0</v>
      </c>
      <c r="V54" s="55">
        <f t="shared" ca="1" si="2"/>
        <v>0</v>
      </c>
      <c r="W54" s="55">
        <f t="shared" ca="1" si="12"/>
        <v>-10.037235522211862</v>
      </c>
      <c r="X54" s="55">
        <f t="shared" ca="1" si="13"/>
        <v>22.302151644340203</v>
      </c>
      <c r="Y54" s="55">
        <f t="shared" ca="1" si="14"/>
        <v>-11.339934142310856</v>
      </c>
      <c r="Z54">
        <f t="shared" ca="1" si="3"/>
        <v>0</v>
      </c>
      <c r="AA54">
        <f t="shared" ca="1" si="15"/>
        <v>29.62110222967295</v>
      </c>
      <c r="AB54">
        <f t="shared" ca="1" si="4"/>
        <v>0</v>
      </c>
      <c r="AC54">
        <f t="shared" ca="1" si="5"/>
        <v>0</v>
      </c>
      <c r="AD54" s="83">
        <f ca="1"/>
        <v>45598</v>
      </c>
      <c r="AE54" s="55">
        <f t="shared" ca="1" si="20"/>
        <v>45598</v>
      </c>
      <c r="AF54" s="55">
        <f t="shared" ca="1" si="21"/>
        <v>44.870380169326992</v>
      </c>
      <c r="AG54" s="55">
        <f t="shared" ca="1" si="22"/>
        <v>3.6313820228123292</v>
      </c>
      <c r="AH54" s="55">
        <f t="shared" ca="1" si="23"/>
        <v>0</v>
      </c>
      <c r="AI54" s="55">
        <f t="shared" ca="1" si="17"/>
        <v>0</v>
      </c>
      <c r="AJ54" s="55">
        <f t="shared" ca="1" si="18"/>
        <v>20.104235486679542</v>
      </c>
      <c r="AK54" s="55">
        <f t="shared" ca="1" si="19"/>
        <v>-2.4573167794040991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45431</v>
      </c>
      <c r="S55" s="55">
        <f t="shared" ca="1" si="11"/>
        <v>45431</v>
      </c>
      <c r="T55" s="55">
        <f t="shared" ca="1" si="0"/>
        <v>50.120607956421352</v>
      </c>
      <c r="U55" s="55">
        <f t="shared" ca="1" si="1"/>
        <v>0</v>
      </c>
      <c r="V55" s="55">
        <f t="shared" ca="1" si="2"/>
        <v>0</v>
      </c>
      <c r="W55" s="55">
        <f t="shared" ca="1" si="12"/>
        <v>-11.070648205520746</v>
      </c>
      <c r="X55" s="55">
        <f t="shared" ca="1" si="13"/>
        <v>22.828433983238607</v>
      </c>
      <c r="Y55" s="55">
        <f t="shared" ca="1" si="14"/>
        <v>-11.06008810920385</v>
      </c>
      <c r="Z55">
        <f t="shared" ca="1" si="3"/>
        <v>0</v>
      </c>
      <c r="AA55">
        <f t="shared" ca="1" si="15"/>
        <v>32.551102229672956</v>
      </c>
      <c r="AB55">
        <f t="shared" ca="1" si="4"/>
        <v>0</v>
      </c>
      <c r="AC55">
        <f t="shared" ca="1" si="5"/>
        <v>0</v>
      </c>
      <c r="AD55" s="83">
        <f ca="1"/>
        <v>45599</v>
      </c>
      <c r="AE55" s="55">
        <f t="shared" ca="1" si="20"/>
        <v>45599</v>
      </c>
      <c r="AF55" s="55">
        <f t="shared" ca="1" si="21"/>
        <v>45.555988039852167</v>
      </c>
      <c r="AG55" s="55">
        <f t="shared" ca="1" si="22"/>
        <v>3.777824024151085</v>
      </c>
      <c r="AH55" s="55">
        <f t="shared" ca="1" si="23"/>
        <v>0</v>
      </c>
      <c r="AI55" s="55">
        <f t="shared" ca="1" si="17"/>
        <v>0</v>
      </c>
      <c r="AJ55" s="55">
        <f t="shared" ca="1" si="18"/>
        <v>20.601259730134117</v>
      </c>
      <c r="AK55" s="55">
        <f t="shared" ca="1" si="19"/>
        <v>-2.122291150994748</v>
      </c>
    </row>
    <row r="56" spans="2:37" s="55" customFormat="1">
      <c r="C56" s="64" t="str">
        <f>"Yield "&amp;ROUND(PriorYield_tperHa,0)&amp;" (t/ha)"</f>
        <v>Yield 12 (t/ha)</v>
      </c>
      <c r="D56" s="90" t="str">
        <f ca="1">"Previous crop residues are providing "&amp;ROUND('Model Interface'!M9,0)&amp;" kg N/ha to the current crop"</f>
        <v>Previous crop residues are providing 24 kg N/ha to the current crop</v>
      </c>
      <c r="R56" s="83">
        <f ca="1"/>
        <v>45432</v>
      </c>
      <c r="S56" s="55">
        <f t="shared" ca="1" si="11"/>
        <v>45432</v>
      </c>
      <c r="T56" s="55">
        <f t="shared" ca="1" si="0"/>
        <v>50.337339364512204</v>
      </c>
      <c r="U56" s="55">
        <f t="shared" ca="1" si="1"/>
        <v>0</v>
      </c>
      <c r="V56" s="55">
        <f t="shared" ca="1" si="2"/>
        <v>0</v>
      </c>
      <c r="W56" s="55">
        <f t="shared" ca="1" si="12"/>
        <v>-11.612613559345327</v>
      </c>
      <c r="X56" s="55">
        <f t="shared" ca="1" si="13"/>
        <v>23.311695056419392</v>
      </c>
      <c r="Y56" s="55">
        <f t="shared" ca="1" si="14"/>
        <v>-10.784652420469207</v>
      </c>
      <c r="Z56">
        <f t="shared" ca="1" si="3"/>
        <v>0</v>
      </c>
      <c r="AA56">
        <f t="shared" ca="1" si="15"/>
        <v>34.081102229672958</v>
      </c>
      <c r="AB56">
        <f t="shared" ca="1" si="4"/>
        <v>0</v>
      </c>
      <c r="AC56">
        <f t="shared" ca="1" si="5"/>
        <v>0</v>
      </c>
      <c r="AD56" s="83">
        <f ca="1"/>
        <v>45600</v>
      </c>
      <c r="AE56" s="55">
        <f t="shared" ca="1" si="20"/>
        <v>45600</v>
      </c>
      <c r="AF56" s="55">
        <f t="shared" ca="1" si="21"/>
        <v>46.254023573981478</v>
      </c>
      <c r="AG56" s="55">
        <f t="shared" ca="1" si="22"/>
        <v>3.9308105881752065</v>
      </c>
      <c r="AH56" s="55">
        <f t="shared" ca="1" si="23"/>
        <v>0</v>
      </c>
      <c r="AI56" s="55">
        <f t="shared" ca="1" si="17"/>
        <v>0</v>
      </c>
      <c r="AJ56" s="55">
        <f t="shared" ca="1" si="18"/>
        <v>21.109148911865326</v>
      </c>
      <c r="AK56" s="55">
        <f t="shared" ca="1" si="19"/>
        <v>-1.7791582345725274</v>
      </c>
    </row>
    <row r="57" spans="2:37" s="55" customFormat="1" ht="15" thickBot="1">
      <c r="C57" s="129" t="s">
        <v>154</v>
      </c>
      <c r="D57" s="129"/>
      <c r="E57" s="129"/>
      <c r="F57" s="129"/>
      <c r="G57" s="129"/>
      <c r="H57" s="129"/>
      <c r="R57" s="83">
        <f ca="1"/>
        <v>45433</v>
      </c>
      <c r="S57" s="55">
        <f t="shared" ca="1" si="11"/>
        <v>45433</v>
      </c>
      <c r="T57" s="55">
        <f t="shared" ca="1" si="0"/>
        <v>50.868126946769003</v>
      </c>
      <c r="U57" s="55">
        <f t="shared" ca="1" si="1"/>
        <v>0</v>
      </c>
      <c r="V57" s="55">
        <f t="shared" ca="1" si="2"/>
        <v>0</v>
      </c>
      <c r="W57" s="55">
        <f t="shared" ca="1" si="12"/>
        <v>-11.891823056142037</v>
      </c>
      <c r="X57" s="55">
        <f t="shared" ca="1" si="13"/>
        <v>23.825204543521121</v>
      </c>
      <c r="Y57" s="55">
        <f t="shared" ca="1" si="14"/>
        <v>-10.488164828517425</v>
      </c>
      <c r="Z57">
        <f t="shared" ca="1" si="3"/>
        <v>0</v>
      </c>
      <c r="AA57">
        <f t="shared" ca="1" si="15"/>
        <v>34.861102229672959</v>
      </c>
      <c r="AB57">
        <f t="shared" ca="1" si="4"/>
        <v>0</v>
      </c>
      <c r="AC57">
        <f t="shared" ca="1" si="5"/>
        <v>0</v>
      </c>
      <c r="AD57" s="83">
        <f ca="1"/>
        <v>45601</v>
      </c>
      <c r="AE57" s="55">
        <f t="shared" ca="1" si="20"/>
        <v>45601</v>
      </c>
      <c r="AF57" s="55">
        <f t="shared" ca="1" si="21"/>
        <v>46.981120033155484</v>
      </c>
      <c r="AG57" s="55">
        <f t="shared" ca="1" si="22"/>
        <v>4.1037107143391287</v>
      </c>
      <c r="AH57" s="55">
        <f t="shared" ca="1" si="23"/>
        <v>0</v>
      </c>
      <c r="AI57" s="55">
        <f t="shared" ca="1" si="17"/>
        <v>0</v>
      </c>
      <c r="AJ57" s="55">
        <f t="shared" ca="1" si="18"/>
        <v>21.637318088111538</v>
      </c>
      <c r="AK57" s="55">
        <f t="shared" ca="1" si="19"/>
        <v>-1.4073308254808126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45434</v>
      </c>
      <c r="S58" s="55">
        <f t="shared" ca="1" si="11"/>
        <v>45434</v>
      </c>
      <c r="T58" s="55">
        <f t="shared" ca="1" si="0"/>
        <v>50.791488807632426</v>
      </c>
      <c r="U58" s="55">
        <f t="shared" ca="1" si="1"/>
        <v>0</v>
      </c>
      <c r="V58" s="55">
        <f t="shared" ca="1" si="2"/>
        <v>0</v>
      </c>
      <c r="W58" s="55">
        <f t="shared" ca="1" si="12"/>
        <v>-12.778228594147832</v>
      </c>
      <c r="X58" s="55">
        <f t="shared" ca="1" si="13"/>
        <v>24.331584883295005</v>
      </c>
      <c r="Y58" s="55">
        <f t="shared" ca="1" si="14"/>
        <v>-10.184777769422087</v>
      </c>
      <c r="Z58">
        <f t="shared" ca="1" si="3"/>
        <v>0</v>
      </c>
      <c r="AA58">
        <f t="shared" ca="1" si="15"/>
        <v>37.341102229672963</v>
      </c>
      <c r="AB58">
        <f t="shared" ca="1" si="4"/>
        <v>0</v>
      </c>
      <c r="AC58">
        <f t="shared" ca="1" si="5"/>
        <v>0</v>
      </c>
      <c r="AD58" s="83">
        <f ca="1"/>
        <v>45602</v>
      </c>
      <c r="AE58" s="55">
        <f t="shared" ca="1" si="20"/>
        <v>45602</v>
      </c>
      <c r="AF58" s="55">
        <f t="shared" ca="1" si="21"/>
        <v>47.704579648904257</v>
      </c>
      <c r="AG58" s="55">
        <f t="shared" ca="1" si="22"/>
        <v>4.2837404007524977</v>
      </c>
      <c r="AH58" s="55">
        <f t="shared" ca="1" si="23"/>
        <v>0</v>
      </c>
      <c r="AI58" s="55">
        <f t="shared" ca="1" si="17"/>
        <v>0</v>
      </c>
      <c r="AJ58" s="55">
        <f t="shared" ca="1" si="18"/>
        <v>22.16320868739966</v>
      </c>
      <c r="AK58" s="55">
        <f t="shared" ca="1" si="19"/>
        <v>-1.0297321226067879</v>
      </c>
    </row>
    <row r="59" spans="2:37" s="55" customFormat="1">
      <c r="C59" s="61" t="s">
        <v>94</v>
      </c>
      <c r="D59" s="84" t="str">
        <f>IF(E59="","Oat",E59)</f>
        <v>Oat</v>
      </c>
      <c r="E59" s="66"/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45435</v>
      </c>
      <c r="S59" s="55">
        <f t="shared" ca="1" si="11"/>
        <v>45435</v>
      </c>
      <c r="T59" s="55">
        <f t="shared" ca="1" si="0"/>
        <v>51.412431025642029</v>
      </c>
      <c r="U59" s="55">
        <f t="shared" ca="1" si="1"/>
        <v>0</v>
      </c>
      <c r="V59" s="55">
        <f t="shared" ca="1" si="2"/>
        <v>0</v>
      </c>
      <c r="W59" s="55">
        <f t="shared" ca="1" si="12"/>
        <v>-12.919327154851539</v>
      </c>
      <c r="X59" s="55">
        <f t="shared" ca="1" si="13"/>
        <v>24.797580809913168</v>
      </c>
      <c r="Y59" s="55">
        <f t="shared" ca="1" si="14"/>
        <v>-9.8887329173269478</v>
      </c>
      <c r="Z59">
        <f t="shared" ca="1" si="3"/>
        <v>0</v>
      </c>
      <c r="AA59">
        <f t="shared" ca="1" si="15"/>
        <v>37.731102229672963</v>
      </c>
      <c r="AB59">
        <f t="shared" ca="1" si="4"/>
        <v>0</v>
      </c>
      <c r="AC59">
        <f t="shared" ca="1" si="5"/>
        <v>0</v>
      </c>
      <c r="AD59" s="83">
        <f ca="1"/>
        <v>45603</v>
      </c>
      <c r="AE59" s="55">
        <f t="shared" ca="1" si="20"/>
        <v>45603</v>
      </c>
      <c r="AF59" s="55">
        <f t="shared" ca="1" si="21"/>
        <v>48.396299131736022</v>
      </c>
      <c r="AG59" s="55">
        <f t="shared" ca="1" si="22"/>
        <v>4.4665950974166533</v>
      </c>
      <c r="AH59" s="55">
        <f t="shared" ca="1" si="23"/>
        <v>0</v>
      </c>
      <c r="AI59" s="55">
        <f t="shared" ca="1" si="17"/>
        <v>0</v>
      </c>
      <c r="AJ59" s="55">
        <f t="shared" ca="1" si="18"/>
        <v>22.66231893909805</v>
      </c>
      <c r="AK59" s="55">
        <f t="shared" ca="1" si="19"/>
        <v>-0.65426819480925502</v>
      </c>
    </row>
    <row r="60" spans="2:37" s="55" customFormat="1">
      <c r="C60" s="61" t="s">
        <v>95</v>
      </c>
      <c r="D60" s="84" t="str">
        <f>IF(E60="","General",E60)</f>
        <v>General</v>
      </c>
      <c r="E60" s="66"/>
      <c r="F60" s="61" t="s">
        <v>134</v>
      </c>
      <c r="G60" s="84">
        <f>IF(H60="",VLOOKUP(FollowingCropFullName,CropCoefficients,26,FALSE),H60)</f>
        <v>0</v>
      </c>
      <c r="H60" s="72"/>
      <c r="R60" s="83">
        <f ca="1"/>
        <v>45436</v>
      </c>
      <c r="S60" s="55">
        <f t="shared" ca="1" si="11"/>
        <v>45436</v>
      </c>
      <c r="T60" s="55">
        <f t="shared" ca="1" si="0"/>
        <v>51.389471158837516</v>
      </c>
      <c r="U60" s="55">
        <f t="shared" ca="1" si="1"/>
        <v>1.3386898147826627</v>
      </c>
      <c r="V60" s="55">
        <f t="shared" ca="1" si="2"/>
        <v>0</v>
      </c>
      <c r="W60" s="55">
        <f t="shared" ca="1" si="12"/>
        <v>-13.747458966007471</v>
      </c>
      <c r="X60" s="55">
        <f t="shared" ca="1" si="13"/>
        <v>25.288826462671025</v>
      </c>
      <c r="Y60" s="55">
        <f t="shared" ca="1" si="14"/>
        <v>-9.5748066257333786</v>
      </c>
      <c r="Z60">
        <f t="shared" ca="1" si="3"/>
        <v>0</v>
      </c>
      <c r="AA60">
        <f t="shared" ca="1" si="15"/>
        <v>40.021102229672962</v>
      </c>
      <c r="AB60">
        <f t="shared" ca="1" si="4"/>
        <v>0</v>
      </c>
      <c r="AC60">
        <f t="shared" ca="1" si="5"/>
        <v>6.6928509242848624E-3</v>
      </c>
      <c r="AD60" s="83">
        <f ca="1"/>
        <v>45604</v>
      </c>
      <c r="AE60" s="55">
        <f t="shared" ca="1" si="20"/>
        <v>45604</v>
      </c>
      <c r="AF60" s="55">
        <f t="shared" ca="1" si="21"/>
        <v>49.100859876530983</v>
      </c>
      <c r="AG60" s="55">
        <f t="shared" ca="1" si="22"/>
        <v>4.6609658053843264</v>
      </c>
      <c r="AH60" s="55">
        <f t="shared" ca="1" si="23"/>
        <v>0</v>
      </c>
      <c r="AI60" s="55">
        <f t="shared" ca="1" si="17"/>
        <v>0</v>
      </c>
      <c r="AJ60" s="55">
        <f t="shared" ca="1" si="18"/>
        <v>23.175251982648447</v>
      </c>
      <c r="AK60" s="55">
        <f t="shared" ca="1" si="19"/>
        <v>-0.26826978559701686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150</v>
      </c>
      <c r="D61" s="65" t="str">
        <f>SUBSTITUTE(FollowingCropName&amp;" "&amp;FollowingCropType&amp;" "&amp;FollowingCropVariety,"_"," ")</f>
        <v>Oat Fodder General</v>
      </c>
      <c r="F61" s="56"/>
      <c r="R61" s="83">
        <f ca="1"/>
        <v>45437</v>
      </c>
      <c r="S61" s="55">
        <f t="shared" ca="1" si="11"/>
        <v>45437</v>
      </c>
      <c r="T61" s="55">
        <f t="shared" ca="1" si="0"/>
        <v>51.007424802811599</v>
      </c>
      <c r="U61" s="55">
        <f t="shared" ca="1" si="1"/>
        <v>1.3386898147826627</v>
      </c>
      <c r="V61" s="55">
        <f t="shared" ca="1" si="2"/>
        <v>0</v>
      </c>
      <c r="W61" s="55">
        <f t="shared" ca="1" si="12"/>
        <v>-14.867355315011425</v>
      </c>
      <c r="X61" s="55">
        <f t="shared" ca="1" si="13"/>
        <v>25.727455294982704</v>
      </c>
      <c r="Y61" s="55">
        <f t="shared" ca="1" si="14"/>
        <v>-9.2755854650670244</v>
      </c>
      <c r="Z61">
        <f t="shared" ca="1" si="3"/>
        <v>0</v>
      </c>
      <c r="AA61">
        <f t="shared" ca="1" si="15"/>
        <v>43.141102229672967</v>
      </c>
      <c r="AB61">
        <f t="shared" ca="1" si="4"/>
        <v>0</v>
      </c>
      <c r="AC61">
        <f t="shared" ca="1" si="5"/>
        <v>6.6928509242848624E-3</v>
      </c>
      <c r="AD61" s="83">
        <f ca="1"/>
        <v>45605</v>
      </c>
      <c r="AE61" s="55">
        <f t="shared" ca="1" si="20"/>
        <v>45605</v>
      </c>
      <c r="AF61" s="55">
        <f t="shared" ca="1" si="21"/>
        <v>49.814392536149846</v>
      </c>
      <c r="AG61" s="55">
        <f t="shared" ca="1" si="22"/>
        <v>4.8735442789275814</v>
      </c>
      <c r="AH61" s="55">
        <f t="shared" ca="1" si="23"/>
        <v>0</v>
      </c>
      <c r="AI61" s="55">
        <f t="shared" ca="1" si="17"/>
        <v>0</v>
      </c>
      <c r="AJ61" s="55">
        <f t="shared" ca="1" si="18"/>
        <v>23.696259265347734</v>
      </c>
      <c r="AK61" s="55">
        <f t="shared" ca="1" si="19"/>
        <v>0.13683406486581262</v>
      </c>
    </row>
    <row r="62" spans="2:37" s="55" customFormat="1">
      <c r="C62" s="61" t="s">
        <v>4</v>
      </c>
      <c r="D62" s="68">
        <f>IF(E62="",CurrentHarvestDate+15,E62)</f>
        <v>45576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45438</v>
      </c>
      <c r="S62" s="55">
        <f t="shared" ca="1" si="11"/>
        <v>45438</v>
      </c>
      <c r="T62" s="55">
        <f t="shared" ca="1" si="0"/>
        <v>51.186721329650375</v>
      </c>
      <c r="U62" s="55">
        <f t="shared" ca="1" si="1"/>
        <v>1.3386898147826627</v>
      </c>
      <c r="V62" s="55">
        <f t="shared" ca="1" si="2"/>
        <v>0</v>
      </c>
      <c r="W62" s="55">
        <f t="shared" ca="1" si="12"/>
        <v>-15.422067709865336</v>
      </c>
      <c r="X62" s="55">
        <f t="shared" ca="1" si="13"/>
        <v>26.159166726656924</v>
      </c>
      <c r="Y62" s="55">
        <f t="shared" ca="1" si="14"/>
        <v>-8.9732879750485495</v>
      </c>
      <c r="Z62">
        <f t="shared" ca="1" si="3"/>
        <v>0</v>
      </c>
      <c r="AA62">
        <f t="shared" ca="1" si="15"/>
        <v>44.681102229672959</v>
      </c>
      <c r="AB62">
        <f t="shared" ca="1" si="4"/>
        <v>0</v>
      </c>
      <c r="AC62">
        <f t="shared" ca="1" si="5"/>
        <v>6.6928509242848624E-3</v>
      </c>
      <c r="AD62" s="83">
        <f ca="1"/>
        <v>45606</v>
      </c>
      <c r="AE62" s="55">
        <f t="shared" ca="1" si="20"/>
        <v>45606</v>
      </c>
      <c r="AF62" s="55">
        <f t="shared" ca="1" si="21"/>
        <v>50.48888904243929</v>
      </c>
      <c r="AG62" s="55">
        <f t="shared" ca="1" si="22"/>
        <v>5.0873194905024519</v>
      </c>
      <c r="AH62" s="55">
        <f t="shared" ca="1" si="23"/>
        <v>0</v>
      </c>
      <c r="AI62" s="55">
        <f t="shared" ca="1" si="17"/>
        <v>0</v>
      </c>
      <c r="AJ62" s="55">
        <f t="shared" ca="1" si="18"/>
        <v>24.187696569653305</v>
      </c>
      <c r="AK62" s="55">
        <f t="shared" ca="1" si="19"/>
        <v>0.53366847842455556</v>
      </c>
    </row>
    <row r="63" spans="2:37" s="55" customFormat="1">
      <c r="C63" s="61" t="s">
        <v>5</v>
      </c>
      <c r="D63" s="68">
        <f>IF(E63="",FollowingEstablishDate+120,E63)</f>
        <v>45696</v>
      </c>
      <c r="E63" s="67"/>
      <c r="F63" s="61" t="s">
        <v>146</v>
      </c>
      <c r="G63" s="84" t="str">
        <f>IF(H63="",VLOOKUP(FollowingCropFullName,CropCoefficients,15,FALSE),H63)</f>
        <v>EarlyReproductive</v>
      </c>
      <c r="H63" s="72"/>
      <c r="R63" s="83">
        <f ca="1"/>
        <v>45439</v>
      </c>
      <c r="S63" s="55">
        <f t="shared" ca="1" si="11"/>
        <v>45439</v>
      </c>
      <c r="T63" s="55">
        <f t="shared" ca="1" si="0"/>
        <v>51.552339241910218</v>
      </c>
      <c r="U63" s="55">
        <f t="shared" ca="1" si="1"/>
        <v>1.3386898147826627</v>
      </c>
      <c r="V63" s="55">
        <f t="shared" ca="1" si="2"/>
        <v>0</v>
      </c>
      <c r="W63" s="55">
        <f t="shared" ca="1" si="12"/>
        <v>-15.810237730897944</v>
      </c>
      <c r="X63" s="55">
        <f t="shared" ca="1" si="13"/>
        <v>26.600782472594542</v>
      </c>
      <c r="Y63" s="55">
        <f t="shared" ca="1" si="14"/>
        <v>-8.6611157876937135</v>
      </c>
      <c r="Z63">
        <f t="shared" ca="1" si="3"/>
        <v>0</v>
      </c>
      <c r="AA63">
        <f t="shared" ca="1" si="15"/>
        <v>45.751102229672966</v>
      </c>
      <c r="AB63">
        <f t="shared" ca="1" si="4"/>
        <v>0</v>
      </c>
      <c r="AC63">
        <f t="shared" ca="1" si="5"/>
        <v>6.6928509242848624E-3</v>
      </c>
      <c r="AD63" s="83">
        <f ca="1"/>
        <v>45607</v>
      </c>
      <c r="AE63" s="55">
        <f t="shared" ca="1" si="20"/>
        <v>45607</v>
      </c>
      <c r="AF63" s="55">
        <f t="shared" ca="1" si="21"/>
        <v>51.109167065618308</v>
      </c>
      <c r="AG63" s="55">
        <f t="shared" ca="1" si="22"/>
        <v>5.2916381631576606</v>
      </c>
      <c r="AH63" s="55">
        <f t="shared" ca="1" si="23"/>
        <v>0</v>
      </c>
      <c r="AI63" s="55">
        <f t="shared" ca="1" si="17"/>
        <v>0</v>
      </c>
      <c r="AJ63" s="55">
        <f t="shared" ca="1" si="18"/>
        <v>24.637521745974123</v>
      </c>
      <c r="AK63" s="55">
        <f t="shared" ca="1" si="19"/>
        <v>0.90843999793797181</v>
      </c>
    </row>
    <row r="64" spans="2:37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45440</v>
      </c>
      <c r="S64" s="55">
        <f t="shared" ca="1" si="11"/>
        <v>45440</v>
      </c>
      <c r="T64" s="55">
        <f t="shared" ca="1" si="0"/>
        <v>51.695377128159869</v>
      </c>
      <c r="U64" s="55">
        <f t="shared" ca="1" si="1"/>
        <v>1.3386898147826627</v>
      </c>
      <c r="V64" s="55">
        <f t="shared" ca="1" si="2"/>
        <v>0</v>
      </c>
      <c r="W64" s="55">
        <f t="shared" ca="1" si="12"/>
        <v>-16.45777019551808</v>
      </c>
      <c r="X64" s="55">
        <f t="shared" ca="1" si="13"/>
        <v>27.064198406938225</v>
      </c>
      <c r="Y64" s="55">
        <f t="shared" ca="1" si="14"/>
        <v>-8.3339613711676144</v>
      </c>
      <c r="Z64">
        <f t="shared" ca="1" si="3"/>
        <v>0</v>
      </c>
      <c r="AA64">
        <f t="shared" ca="1" si="15"/>
        <v>47.531102229672967</v>
      </c>
      <c r="AB64">
        <f t="shared" ca="1" si="4"/>
        <v>0</v>
      </c>
      <c r="AC64">
        <f t="shared" ca="1" si="5"/>
        <v>6.6928509242848624E-3</v>
      </c>
      <c r="AD64" s="83">
        <f ca="1"/>
        <v>45608</v>
      </c>
      <c r="AE64" s="55">
        <f t="shared" ca="1" si="20"/>
        <v>45608</v>
      </c>
      <c r="AF64" s="55">
        <f t="shared" ca="1" si="21"/>
        <v>51.724466290138665</v>
      </c>
      <c r="AG64" s="55">
        <f t="shared" ca="1" si="22"/>
        <v>5.5070657964081056</v>
      </c>
      <c r="AH64" s="55">
        <f t="shared" ca="1" si="23"/>
        <v>0</v>
      </c>
      <c r="AI64" s="55">
        <f t="shared" ca="1" si="17"/>
        <v>0</v>
      </c>
      <c r="AJ64" s="55">
        <f t="shared" ca="1" si="18"/>
        <v>25.087376535416674</v>
      </c>
      <c r="AK64" s="55">
        <f t="shared" ca="1" si="19"/>
        <v>1.289312066266227</v>
      </c>
    </row>
    <row r="65" spans="2:37" s="55" customFormat="1">
      <c r="C65" s="61" t="s">
        <v>100</v>
      </c>
      <c r="D65" s="70">
        <f>IF(E65="",VLOOKUP(FollowingCropFullName,CropCoefficients,17,FALSE),E65)</f>
        <v>10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45441</v>
      </c>
      <c r="S65" s="55">
        <f t="shared" ca="1" si="11"/>
        <v>45441</v>
      </c>
      <c r="T65" s="55">
        <f t="shared" ca="1" si="0"/>
        <v>52.040791766576987</v>
      </c>
      <c r="U65" s="55">
        <f t="shared" ca="1" si="1"/>
        <v>1.3386898147826627</v>
      </c>
      <c r="V65" s="55">
        <f t="shared" ca="1" si="2"/>
        <v>0</v>
      </c>
      <c r="W65" s="55">
        <f t="shared" ca="1" si="12"/>
        <v>-16.94849558750958</v>
      </c>
      <c r="X65" s="55">
        <f t="shared" ca="1" si="13"/>
        <v>27.555444059696082</v>
      </c>
      <c r="Y65" s="55">
        <f t="shared" ca="1" si="14"/>
        <v>-7.9890669935168468</v>
      </c>
      <c r="Z65">
        <f t="shared" ca="1" si="3"/>
        <v>0</v>
      </c>
      <c r="AA65">
        <f t="shared" ca="1" si="15"/>
        <v>48.871102229672971</v>
      </c>
      <c r="AB65">
        <f t="shared" ca="1" si="4"/>
        <v>0</v>
      </c>
      <c r="AC65">
        <f t="shared" ca="1" si="5"/>
        <v>6.6928509242848624E-3</v>
      </c>
      <c r="AD65" s="83">
        <f ca="1"/>
        <v>45609</v>
      </c>
      <c r="AE65" s="55">
        <f t="shared" ca="1" si="20"/>
        <v>45609</v>
      </c>
      <c r="AF65" s="55">
        <f t="shared" ca="1" si="21"/>
        <v>52.359831520054094</v>
      </c>
      <c r="AG65" s="55">
        <f t="shared" ca="1" si="22"/>
        <v>5.7442093526662141</v>
      </c>
      <c r="AH65" s="55">
        <f t="shared" ca="1" si="23"/>
        <v>0</v>
      </c>
      <c r="AI65" s="55">
        <f t="shared" ca="1" si="17"/>
        <v>0</v>
      </c>
      <c r="AJ65" s="55">
        <f t="shared" ca="1" si="18"/>
        <v>25.56070910520166</v>
      </c>
      <c r="AK65" s="55">
        <f t="shared" ca="1" si="19"/>
        <v>1.6884882826547774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45442</v>
      </c>
      <c r="S66" s="55">
        <f t="shared" ca="1" si="11"/>
        <v>45442</v>
      </c>
      <c r="T66" s="55">
        <f t="shared" ca="1" si="0"/>
        <v>52.031075670428827</v>
      </c>
      <c r="U66" s="55">
        <f t="shared" ca="1" si="1"/>
        <v>1.3386898147826627</v>
      </c>
      <c r="V66" s="55">
        <f t="shared" ca="1" si="2"/>
        <v>0</v>
      </c>
      <c r="W66" s="55">
        <f t="shared" ca="1" si="12"/>
        <v>-17.797951074751246</v>
      </c>
      <c r="X66" s="55">
        <f t="shared" ca="1" si="13"/>
        <v>28.045620143904362</v>
      </c>
      <c r="Y66" s="55">
        <f t="shared" ca="1" si="14"/>
        <v>-7.6395036866316159</v>
      </c>
      <c r="Z66">
        <f t="shared" ca="1" si="3"/>
        <v>0</v>
      </c>
      <c r="AA66">
        <f t="shared" ca="1" si="15"/>
        <v>51.191102229672971</v>
      </c>
      <c r="AB66">
        <f t="shared" ca="1" si="4"/>
        <v>0</v>
      </c>
      <c r="AC66">
        <f t="shared" ca="1" si="5"/>
        <v>6.6928509242848624E-3</v>
      </c>
      <c r="AD66" s="83">
        <f ca="1"/>
        <v>45610</v>
      </c>
      <c r="AE66" s="55">
        <f t="shared" ca="1" si="20"/>
        <v>45610</v>
      </c>
      <c r="AF66" s="55">
        <f t="shared" ca="1" si="21"/>
        <v>52.99092267189387</v>
      </c>
      <c r="AG66" s="55">
        <f t="shared" ca="1" si="22"/>
        <v>5.9946606197534447</v>
      </c>
      <c r="AH66" s="55">
        <f t="shared" ca="1" si="23"/>
        <v>0</v>
      </c>
      <c r="AI66" s="55">
        <f t="shared" ca="1" si="17"/>
        <v>0</v>
      </c>
      <c r="AJ66" s="55">
        <f t="shared" ca="1" si="18"/>
        <v>26.037463244361827</v>
      </c>
      <c r="AK66" s="55">
        <f t="shared" ca="1" si="19"/>
        <v>2.0932765624216181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Interface'!L9,0)&amp;" kg N/ha"</f>
        <v>Following crop will take up 208 kg N/ha</v>
      </c>
      <c r="R67" s="83">
        <f ca="1"/>
        <v>45443</v>
      </c>
      <c r="S67" s="55">
        <f t="shared" ca="1" si="11"/>
        <v>45443</v>
      </c>
      <c r="T67" s="55">
        <f t="shared" ca="1" si="0"/>
        <v>51.652486282674047</v>
      </c>
      <c r="U67" s="55">
        <f t="shared" ca="1" si="1"/>
        <v>1.3386898147826627</v>
      </c>
      <c r="V67" s="55">
        <f t="shared" ca="1" si="2"/>
        <v>0</v>
      </c>
      <c r="W67" s="55">
        <f t="shared" ca="1" si="12"/>
        <v>-19.004706198718317</v>
      </c>
      <c r="X67" s="55">
        <f t="shared" ca="1" si="13"/>
        <v>28.524657802310529</v>
      </c>
      <c r="Y67" s="55">
        <f t="shared" ca="1" si="14"/>
        <v>-7.2903756088254967</v>
      </c>
      <c r="Z67">
        <f t="shared" ca="1" si="3"/>
        <v>0</v>
      </c>
      <c r="AA67">
        <f t="shared" ca="1" si="15"/>
        <v>54.511102229672979</v>
      </c>
      <c r="AB67">
        <f t="shared" ca="1" si="4"/>
        <v>0</v>
      </c>
      <c r="AC67">
        <f t="shared" ca="1" si="5"/>
        <v>6.6928509242848624E-3</v>
      </c>
      <c r="AD67" s="83">
        <f ca="1"/>
        <v>45611</v>
      </c>
      <c r="AE67" s="55">
        <f t="shared" ca="1" si="20"/>
        <v>45611</v>
      </c>
      <c r="AF67" s="55">
        <f t="shared" ca="1" si="21"/>
        <v>53.620272348532644</v>
      </c>
      <c r="AG67" s="55">
        <f t="shared" ca="1" si="22"/>
        <v>6.2512494400505334</v>
      </c>
      <c r="AH67" s="55">
        <f t="shared" ca="1" si="23"/>
        <v>0</v>
      </c>
      <c r="AI67" s="55">
        <f t="shared" ca="1" si="17"/>
        <v>0</v>
      </c>
      <c r="AJ67" s="55">
        <f t="shared" ca="1" si="18"/>
        <v>26.522944809487118</v>
      </c>
      <c r="AK67" s="55">
        <f t="shared" ca="1" si="19"/>
        <v>2.4937334942321883</v>
      </c>
    </row>
    <row r="68" spans="2:37" ht="15" thickBot="1">
      <c r="C68" s="131" t="s">
        <v>185</v>
      </c>
      <c r="D68" s="131"/>
      <c r="E68" s="131"/>
      <c r="F68" s="131"/>
      <c r="G68" s="131"/>
      <c r="H68" s="131"/>
      <c r="R68" s="83">
        <f ca="1"/>
        <v>45444</v>
      </c>
      <c r="S68" s="55">
        <f t="shared" ca="1" si="11"/>
        <v>45444</v>
      </c>
      <c r="T68" s="55">
        <f t="shared" ca="1" si="0"/>
        <v>51.042852543209108</v>
      </c>
      <c r="U68" s="55">
        <f t="shared" ca="1" si="1"/>
        <v>1.3386898147826627</v>
      </c>
      <c r="V68" s="55">
        <f t="shared" ca="1" si="2"/>
        <v>0</v>
      </c>
      <c r="W68" s="55">
        <f t="shared" ca="1" si="12"/>
        <v>-20.398365120749936</v>
      </c>
      <c r="X68" s="55">
        <f t="shared" ca="1" si="13"/>
        <v>28.970779086228898</v>
      </c>
      <c r="Y68" s="55">
        <f t="shared" ca="1" si="14"/>
        <v>-6.9524717101771802</v>
      </c>
      <c r="Z68">
        <f t="shared" ca="1" si="3"/>
        <v>0</v>
      </c>
      <c r="AA68">
        <f t="shared" ca="1" si="15"/>
        <v>58.391102229672974</v>
      </c>
      <c r="AB68">
        <f t="shared" ca="1" si="4"/>
        <v>0</v>
      </c>
      <c r="AC68">
        <f t="shared" ca="1" si="5"/>
        <v>6.6928509242848624E-3</v>
      </c>
      <c r="AD68" s="83">
        <f ca="1"/>
        <v>45612</v>
      </c>
      <c r="AE68" s="55">
        <f t="shared" ca="1" si="20"/>
        <v>45612</v>
      </c>
      <c r="AF68" s="55">
        <f t="shared" ca="1" si="21"/>
        <v>54.187587115167887</v>
      </c>
      <c r="AG68" s="55">
        <f t="shared" ca="1" si="22"/>
        <v>6.4843334859058803</v>
      </c>
      <c r="AH68" s="55">
        <f t="shared" ca="1" si="23"/>
        <v>0</v>
      </c>
      <c r="AI68" s="55">
        <f t="shared" ca="1" si="17"/>
        <v>0</v>
      </c>
      <c r="AJ68" s="55">
        <f t="shared" ca="1" si="18"/>
        <v>26.959448158514352</v>
      </c>
      <c r="AK68" s="55">
        <f t="shared" ca="1" si="19"/>
        <v>2.8576289576955425</v>
      </c>
    </row>
    <row r="69" spans="2:37">
      <c r="C69" s="61"/>
      <c r="D69" s="88"/>
      <c r="E69" s="99"/>
      <c r="R69" s="83">
        <f ca="1"/>
        <v>45445</v>
      </c>
      <c r="S69" s="55">
        <f t="shared" ca="1" si="11"/>
        <v>45445</v>
      </c>
      <c r="T69" s="55">
        <f t="shared" ca="1" si="0"/>
        <v>51.344548359067133</v>
      </c>
      <c r="U69" s="55">
        <f t="shared" ca="1" si="1"/>
        <v>1.3386898147826627</v>
      </c>
      <c r="V69" s="55">
        <f t="shared" ca="1" si="2"/>
        <v>0</v>
      </c>
      <c r="W69" s="55">
        <f t="shared" ca="1" si="12"/>
        <v>-20.850006981315808</v>
      </c>
      <c r="X69" s="55">
        <f t="shared" ca="1" si="13"/>
        <v>29.393703454079375</v>
      </c>
      <c r="Y69" s="55">
        <f t="shared" ca="1" si="14"/>
        <v>-6.6220584016037591</v>
      </c>
      <c r="Z69">
        <f t="shared" ca="1" si="3"/>
        <v>0</v>
      </c>
      <c r="AA69">
        <f t="shared" ca="1" si="15"/>
        <v>59.641102229672981</v>
      </c>
      <c r="AB69">
        <f t="shared" ca="1" si="4"/>
        <v>0</v>
      </c>
      <c r="AC69">
        <f t="shared" ca="1" si="5"/>
        <v>6.6928509242848624E-3</v>
      </c>
      <c r="AD69" s="83">
        <f ca="1"/>
        <v>45613</v>
      </c>
      <c r="AE69" s="55">
        <f t="shared" ca="1" si="20"/>
        <v>45613</v>
      </c>
      <c r="AF69" s="55">
        <f t="shared" ca="1" si="21"/>
        <v>54.742894974907159</v>
      </c>
      <c r="AG69" s="55">
        <f t="shared" ca="1" si="22"/>
        <v>6.722558251849585</v>
      </c>
      <c r="AH69" s="55">
        <f t="shared" ca="1" si="23"/>
        <v>0</v>
      </c>
      <c r="AI69" s="55">
        <f t="shared" ca="1" si="17"/>
        <v>0</v>
      </c>
      <c r="AJ69" s="55">
        <f t="shared" ca="1" si="18"/>
        <v>27.392208357204193</v>
      </c>
      <c r="AK69" s="55">
        <f t="shared" ca="1" si="19"/>
        <v>3.2184013846886792</v>
      </c>
    </row>
    <row r="70" spans="2:37">
      <c r="C70" s="61"/>
      <c r="D70" s="84"/>
      <c r="E70" s="69"/>
      <c r="R70" s="83">
        <f ca="1"/>
        <v>45446</v>
      </c>
      <c r="S70" s="55">
        <f t="shared" ca="1" si="11"/>
        <v>45446</v>
      </c>
      <c r="T70" s="55">
        <f t="shared" ca="1" si="0"/>
        <v>51.496614884888629</v>
      </c>
      <c r="U70" s="55">
        <f t="shared" ca="1" si="1"/>
        <v>1.3386898147826627</v>
      </c>
      <c r="V70" s="55">
        <f t="shared" ca="1" si="2"/>
        <v>0</v>
      </c>
      <c r="W70" s="55">
        <f t="shared" ca="1" si="12"/>
        <v>-21.524040451698017</v>
      </c>
      <c r="X70" s="55">
        <f t="shared" ca="1" si="13"/>
        <v>29.863846999270216</v>
      </c>
      <c r="Y70" s="55">
        <f t="shared" ca="1" si="14"/>
        <v>-6.2661019505909037</v>
      </c>
      <c r="Z70">
        <f t="shared" ca="1" si="3"/>
        <v>0</v>
      </c>
      <c r="AA70">
        <f t="shared" ca="1" si="15"/>
        <v>61.501102229672981</v>
      </c>
      <c r="AB70">
        <f t="shared" ca="1" si="4"/>
        <v>0</v>
      </c>
      <c r="AC70">
        <f t="shared" ca="1" si="5"/>
        <v>6.6928509242848624E-3</v>
      </c>
      <c r="AD70" s="83">
        <f ca="1"/>
        <v>45614</v>
      </c>
      <c r="AE70" s="55">
        <f t="shared" ca="1" si="20"/>
        <v>45614</v>
      </c>
      <c r="AF70" s="55">
        <f t="shared" ca="1" si="21"/>
        <v>55.317788990959109</v>
      </c>
      <c r="AG70" s="55">
        <f t="shared" ca="1" si="22"/>
        <v>6.9815236596120069</v>
      </c>
      <c r="AH70" s="55">
        <f t="shared" ca="1" si="23"/>
        <v>0</v>
      </c>
      <c r="AI70" s="55">
        <f t="shared" ca="1" si="17"/>
        <v>0</v>
      </c>
      <c r="AJ70" s="55">
        <f t="shared" ca="1" si="18"/>
        <v>27.853491871294469</v>
      </c>
      <c r="AK70" s="55">
        <f t="shared" ca="1" si="19"/>
        <v>3.5909772944127738</v>
      </c>
    </row>
    <row r="71" spans="2:37">
      <c r="C71" s="61"/>
      <c r="D71" s="84"/>
      <c r="E71" s="69"/>
      <c r="R71" s="83">
        <f ca="1"/>
        <v>45447</v>
      </c>
      <c r="S71" s="55">
        <f t="shared" ca="1" si="11"/>
        <v>45447</v>
      </c>
      <c r="T71" s="55">
        <f t="shared" ca="1" si="0"/>
        <v>52.019677815811825</v>
      </c>
      <c r="U71" s="55">
        <f t="shared" ca="1" si="1"/>
        <v>1.3386898147826627</v>
      </c>
      <c r="V71" s="55">
        <f t="shared" ca="1" si="2"/>
        <v>0</v>
      </c>
      <c r="W71" s="55">
        <f t="shared" ca="1" si="12"/>
        <v>-21.809570683264806</v>
      </c>
      <c r="X71" s="55">
        <f t="shared" ca="1" si="13"/>
        <v>30.320089050699828</v>
      </c>
      <c r="Y71" s="55">
        <f t="shared" ca="1" si="14"/>
        <v>-5.913750839530528</v>
      </c>
      <c r="Z71">
        <f t="shared" ca="1" si="3"/>
        <v>0</v>
      </c>
      <c r="AA71">
        <f t="shared" ca="1" si="15"/>
        <v>62.281102229672975</v>
      </c>
      <c r="AB71">
        <f t="shared" ca="1" si="4"/>
        <v>0</v>
      </c>
      <c r="AC71">
        <f t="shared" ca="1" si="5"/>
        <v>6.6928509242848624E-3</v>
      </c>
      <c r="AD71" s="83">
        <f ca="1"/>
        <v>45615</v>
      </c>
      <c r="AE71" s="55">
        <f t="shared" ca="1" si="20"/>
        <v>45615</v>
      </c>
      <c r="AF71" s="55">
        <f t="shared" ca="1" si="21"/>
        <v>55.922778694722666</v>
      </c>
      <c r="AG71" s="55">
        <f t="shared" ca="1" si="22"/>
        <v>7.2588057237748238</v>
      </c>
      <c r="AH71" s="55">
        <f t="shared" ca="1" si="23"/>
        <v>0</v>
      </c>
      <c r="AI71" s="55">
        <f t="shared" ca="1" si="17"/>
        <v>0</v>
      </c>
      <c r="AJ71" s="55">
        <f t="shared" ca="1" si="18"/>
        <v>28.355274615149856</v>
      </c>
      <c r="AK71" s="55">
        <f t="shared" ca="1" si="19"/>
        <v>3.9714663184837597</v>
      </c>
    </row>
    <row r="72" spans="2:37">
      <c r="C72" s="61"/>
      <c r="D72" s="84"/>
      <c r="E72" s="69"/>
      <c r="R72" s="83">
        <f ca="1"/>
        <v>45448</v>
      </c>
      <c r="S72" s="55">
        <f t="shared" ca="1" si="11"/>
        <v>45448</v>
      </c>
      <c r="T72" s="55">
        <f t="shared" ca="1" si="0"/>
        <v>52.418986235566713</v>
      </c>
      <c r="U72" s="55">
        <f t="shared" ca="1" si="1"/>
        <v>1.3386898147826627</v>
      </c>
      <c r="V72" s="55">
        <f t="shared" ca="1" si="2"/>
        <v>0</v>
      </c>
      <c r="W72" s="55">
        <f t="shared" ca="1" si="12"/>
        <v>-22.156312569993407</v>
      </c>
      <c r="X72" s="55">
        <f t="shared" ca="1" si="13"/>
        <v>30.732435937387596</v>
      </c>
      <c r="Y72" s="55">
        <f t="shared" ca="1" si="14"/>
        <v>-5.5800474197348002</v>
      </c>
      <c r="Z72">
        <f t="shared" ca="1" si="3"/>
        <v>0</v>
      </c>
      <c r="AA72">
        <f t="shared" ca="1" si="15"/>
        <v>63.221102229672979</v>
      </c>
      <c r="AB72">
        <f t="shared" ca="1" si="4"/>
        <v>0</v>
      </c>
      <c r="AC72">
        <f t="shared" ca="1" si="5"/>
        <v>6.6928509242848624E-3</v>
      </c>
      <c r="AD72" s="83">
        <f ca="1"/>
        <v>45616</v>
      </c>
      <c r="AE72" s="55">
        <f t="shared" ca="1" si="20"/>
        <v>45616</v>
      </c>
      <c r="AF72" s="55">
        <f t="shared" ca="1" si="21"/>
        <v>56.515458299456107</v>
      </c>
      <c r="AG72" s="55">
        <f t="shared" ca="1" si="22"/>
        <v>7.5303837767772626</v>
      </c>
      <c r="AH72" s="55">
        <f t="shared" ca="1" si="23"/>
        <v>0</v>
      </c>
      <c r="AI72" s="55">
        <f t="shared" ca="1" si="17"/>
        <v>0</v>
      </c>
      <c r="AJ72" s="55">
        <f t="shared" ca="1" si="18"/>
        <v>28.854722139616538</v>
      </c>
      <c r="AK72" s="55">
        <f t="shared" ca="1" si="19"/>
        <v>4.3362764517529584</v>
      </c>
    </row>
    <row r="73" spans="2:37">
      <c r="R73" s="83">
        <f ca="1"/>
        <v>45449</v>
      </c>
      <c r="S73" s="55">
        <f t="shared" ca="1" si="11"/>
        <v>45449</v>
      </c>
      <c r="T73" s="55">
        <f t="shared" ca="1" si="0"/>
        <v>52.703649714130471</v>
      </c>
      <c r="U73" s="55">
        <f t="shared" ca="1" si="1"/>
        <v>1.3386898147826627</v>
      </c>
      <c r="V73" s="55">
        <f t="shared" ca="1" si="2"/>
        <v>0</v>
      </c>
      <c r="W73" s="55">
        <f t="shared" ca="1" si="12"/>
        <v>-22.638453365526377</v>
      </c>
      <c r="X73" s="55">
        <f t="shared" ca="1" si="13"/>
        <v>31.157302635363241</v>
      </c>
      <c r="Y73" s="55">
        <f t="shared" ca="1" si="14"/>
        <v>-5.2381098436137172</v>
      </c>
      <c r="Z73">
        <f t="shared" ca="1" si="3"/>
        <v>0</v>
      </c>
      <c r="AA73">
        <f t="shared" ca="1" si="15"/>
        <v>64.521102229672977</v>
      </c>
      <c r="AB73">
        <f t="shared" ca="1" si="4"/>
        <v>0</v>
      </c>
      <c r="AC73">
        <f t="shared" ca="1" si="5"/>
        <v>6.6928509242848624E-3</v>
      </c>
      <c r="AD73" s="83">
        <f ca="1"/>
        <v>45617</v>
      </c>
      <c r="AE73" s="55">
        <f t="shared" ca="1" si="20"/>
        <v>45617</v>
      </c>
      <c r="AF73" s="55">
        <f t="shared" ca="1" si="21"/>
        <v>57.090878403682595</v>
      </c>
      <c r="AG73" s="55">
        <f t="shared" ca="1" si="22"/>
        <v>7.8172864379876001</v>
      </c>
      <c r="AH73" s="55">
        <f t="shared" ca="1" si="23"/>
        <v>0</v>
      </c>
      <c r="AI73" s="55">
        <f t="shared" ca="1" si="17"/>
        <v>0</v>
      </c>
      <c r="AJ73" s="55">
        <f t="shared" ca="1" si="18"/>
        <v>29.348331294926197</v>
      </c>
      <c r="AK73" s="55">
        <f t="shared" ca="1" si="19"/>
        <v>4.7049900618801175</v>
      </c>
    </row>
    <row r="74" spans="2:37">
      <c r="R74" s="83">
        <f ca="1"/>
        <v>45450</v>
      </c>
      <c r="S74" s="55">
        <f t="shared" ca="1" si="11"/>
        <v>45450</v>
      </c>
      <c r="T74" s="55">
        <f t="shared" ca="1" si="0"/>
        <v>52.900262073567262</v>
      </c>
      <c r="U74" s="55">
        <f t="shared" ca="1" si="1"/>
        <v>1.3386898147826627</v>
      </c>
      <c r="V74" s="55">
        <f t="shared" ca="1" si="2"/>
        <v>0</v>
      </c>
      <c r="W74" s="55">
        <f t="shared" ca="1" si="12"/>
        <v>-23.23407113109543</v>
      </c>
      <c r="X74" s="55">
        <f t="shared" ca="1" si="13"/>
        <v>31.597921253471636</v>
      </c>
      <c r="Y74" s="55">
        <f t="shared" ca="1" si="14"/>
        <v>-4.886498336716266</v>
      </c>
      <c r="Z74">
        <f t="shared" ca="1" si="3"/>
        <v>0</v>
      </c>
      <c r="AA74">
        <f t="shared" ca="1" si="15"/>
        <v>66.121102229672971</v>
      </c>
      <c r="AB74">
        <f t="shared" ca="1" si="4"/>
        <v>0</v>
      </c>
      <c r="AC74">
        <f t="shared" ca="1" si="5"/>
        <v>6.6928509242848624E-3</v>
      </c>
      <c r="AD74" s="83">
        <f ca="1"/>
        <v>45618</v>
      </c>
      <c r="AE74" s="55">
        <f t="shared" ca="1" si="20"/>
        <v>45618</v>
      </c>
      <c r="AF74" s="55">
        <f t="shared" ca="1" si="21"/>
        <v>57.702627104054628</v>
      </c>
      <c r="AG74" s="55">
        <f t="shared" ca="1" si="22"/>
        <v>8.1656225888254941</v>
      </c>
      <c r="AH74" s="55">
        <f t="shared" ca="1" si="23"/>
        <v>0</v>
      </c>
      <c r="AI74" s="55">
        <f t="shared" ca="1" si="17"/>
        <v>0</v>
      </c>
      <c r="AJ74" s="55">
        <f t="shared" ca="1" si="18"/>
        <v>29.895574025131381</v>
      </c>
      <c r="AK74" s="55">
        <f t="shared" ca="1" si="19"/>
        <v>5.117832182884861</v>
      </c>
    </row>
    <row r="75" spans="2:37">
      <c r="R75" s="83">
        <f ca="1"/>
        <v>45451</v>
      </c>
      <c r="S75" s="55">
        <f t="shared" ca="1" si="11"/>
        <v>45451</v>
      </c>
      <c r="T75" s="55">
        <f t="shared" ca="1" si="0"/>
        <v>52.894012512090242</v>
      </c>
      <c r="U75" s="55">
        <f t="shared" ca="1" si="1"/>
        <v>1.3386898147826627</v>
      </c>
      <c r="V75" s="55">
        <f t="shared" ca="1" si="2"/>
        <v>0</v>
      </c>
      <c r="W75" s="55">
        <f t="shared" ca="1" si="12"/>
        <v>-24.030615778777499</v>
      </c>
      <c r="X75" s="55">
        <f t="shared" ca="1" si="13"/>
        <v>32.0360535699743</v>
      </c>
      <c r="Y75" s="55">
        <f t="shared" ca="1" si="14"/>
        <v>-4.534335567013887</v>
      </c>
      <c r="Z75">
        <f t="shared" ca="1" si="3"/>
        <v>0</v>
      </c>
      <c r="AA75">
        <f t="shared" ca="1" si="15"/>
        <v>68.261102229672971</v>
      </c>
      <c r="AB75">
        <f t="shared" ca="1" si="4"/>
        <v>0</v>
      </c>
      <c r="AC75">
        <f t="shared" ca="1" si="5"/>
        <v>6.6928509242848624E-3</v>
      </c>
      <c r="AD75" s="83">
        <f ca="1"/>
        <v>45619</v>
      </c>
      <c r="AE75" s="55">
        <f t="shared" ca="1" si="20"/>
        <v>45619</v>
      </c>
      <c r="AF75" s="55">
        <f t="shared" ca="1" si="21"/>
        <v>58.323713593982696</v>
      </c>
      <c r="AG75" s="55">
        <f t="shared" ca="1" si="22"/>
        <v>8.536467602547809</v>
      </c>
      <c r="AH75" s="55">
        <f t="shared" ca="1" si="23"/>
        <v>0</v>
      </c>
      <c r="AI75" s="55">
        <f t="shared" ca="1" si="17"/>
        <v>0</v>
      </c>
      <c r="AJ75" s="55">
        <f t="shared" ca="1" si="18"/>
        <v>30.46957160318826</v>
      </c>
      <c r="AK75" s="55">
        <f t="shared" ca="1" si="19"/>
        <v>5.5357661084783629</v>
      </c>
    </row>
    <row r="76" spans="2:37">
      <c r="R76" s="83">
        <f ca="1"/>
        <v>45452</v>
      </c>
      <c r="S76" s="55">
        <f t="shared" ca="1" si="11"/>
        <v>45452</v>
      </c>
      <c r="T76" s="55">
        <f t="shared" ca="1" si="0"/>
        <v>53.193147323405277</v>
      </c>
      <c r="U76" s="55">
        <f t="shared" ca="1" si="1"/>
        <v>1.3386898147826627</v>
      </c>
      <c r="V76" s="55">
        <f t="shared" ca="1" si="2"/>
        <v>0</v>
      </c>
      <c r="W76" s="55">
        <f t="shared" ca="1" si="12"/>
        <v>-24.494775242088398</v>
      </c>
      <c r="X76" s="55">
        <f t="shared" ca="1" si="13"/>
        <v>32.455110979169554</v>
      </c>
      <c r="Y76" s="55">
        <f t="shared" ca="1" si="14"/>
        <v>-4.1900987015832039</v>
      </c>
      <c r="Z76">
        <f t="shared" ca="1" si="3"/>
        <v>0</v>
      </c>
      <c r="AA76">
        <f t="shared" ca="1" si="15"/>
        <v>69.501102229672966</v>
      </c>
      <c r="AB76">
        <f t="shared" ca="1" si="4"/>
        <v>0</v>
      </c>
      <c r="AC76">
        <f t="shared" ca="1" si="5"/>
        <v>6.6928509242848624E-3</v>
      </c>
      <c r="AD76" s="83">
        <f ca="1"/>
        <v>45620</v>
      </c>
      <c r="AE76" s="55">
        <f t="shared" ca="1" si="20"/>
        <v>45620</v>
      </c>
      <c r="AF76" s="55">
        <f t="shared" ca="1" si="21"/>
        <v>58.929884976121741</v>
      </c>
      <c r="AG76" s="55">
        <f t="shared" ca="1" si="22"/>
        <v>8.9260939382771589</v>
      </c>
      <c r="AH76" s="55">
        <f t="shared" ca="1" si="23"/>
        <v>0</v>
      </c>
      <c r="AI76" s="55">
        <f t="shared" ca="1" si="17"/>
        <v>0</v>
      </c>
      <c r="AJ76" s="55">
        <f t="shared" ca="1" si="18"/>
        <v>31.047278999710336</v>
      </c>
      <c r="AK76" s="55">
        <f t="shared" ca="1" si="19"/>
        <v>5.9538564298246754</v>
      </c>
    </row>
    <row r="77" spans="2:37">
      <c r="R77" s="83">
        <f ca="1"/>
        <v>45453</v>
      </c>
      <c r="S77" s="55">
        <f t="shared" ca="1" si="11"/>
        <v>45453</v>
      </c>
      <c r="T77" s="55">
        <f t="shared" ca="1" si="0"/>
        <v>53.617376294326291</v>
      </c>
      <c r="U77" s="55">
        <f t="shared" ca="1" si="1"/>
        <v>1.3386898147826627</v>
      </c>
      <c r="V77" s="55">
        <f t="shared" ca="1" si="2"/>
        <v>0</v>
      </c>
      <c r="W77" s="55">
        <f t="shared" ca="1" si="12"/>
        <v>-24.834351958619131</v>
      </c>
      <c r="X77" s="55">
        <f t="shared" ca="1" si="13"/>
        <v>32.873686676054106</v>
      </c>
      <c r="Y77" s="55">
        <f t="shared" ca="1" si="14"/>
        <v>-3.8448687110160105</v>
      </c>
      <c r="Z77">
        <f t="shared" ca="1" si="3"/>
        <v>0</v>
      </c>
      <c r="AA77">
        <f t="shared" ca="1" si="15"/>
        <v>70.401102229672972</v>
      </c>
      <c r="AB77">
        <f t="shared" ca="1" si="4"/>
        <v>0</v>
      </c>
      <c r="AC77">
        <f t="shared" ca="1" si="5"/>
        <v>6.6928509242848624E-3</v>
      </c>
      <c r="AD77" s="83">
        <f ca="1"/>
        <v>45621</v>
      </c>
      <c r="AE77" s="55">
        <f t="shared" ca="1" si="20"/>
        <v>45621</v>
      </c>
      <c r="AF77" s="55">
        <f t="shared" ca="1" si="21"/>
        <v>59.549121445062831</v>
      </c>
      <c r="AG77" s="55">
        <f t="shared" ca="1" si="22"/>
        <v>9.3590158395904464</v>
      </c>
      <c r="AH77" s="55">
        <f t="shared" ca="1" si="23"/>
        <v>0</v>
      </c>
      <c r="AI77" s="55">
        <f t="shared" ca="1" si="17"/>
        <v>0</v>
      </c>
      <c r="AJ77" s="55">
        <f t="shared" ca="1" si="18"/>
        <v>31.661398142933045</v>
      </c>
      <c r="AK77" s="55">
        <f t="shared" ca="1" si="19"/>
        <v>6.3918956568563416</v>
      </c>
    </row>
    <row r="78" spans="2:37">
      <c r="R78" s="83">
        <f ca="1"/>
        <v>45454</v>
      </c>
      <c r="S78" s="55">
        <f t="shared" ca="1" si="11"/>
        <v>45454</v>
      </c>
      <c r="T78" s="55">
        <f t="shared" ca="1" si="0"/>
        <v>53.588307581498384</v>
      </c>
      <c r="U78" s="55">
        <f t="shared" ca="1" si="1"/>
        <v>1.3386898147826627</v>
      </c>
      <c r="V78" s="55">
        <f t="shared" ca="1" si="2"/>
        <v>0</v>
      </c>
      <c r="W78" s="55">
        <f t="shared" ca="1" si="12"/>
        <v>-25.622497030493687</v>
      </c>
      <c r="X78" s="55">
        <f t="shared" ca="1" si="13"/>
        <v>33.288421913575476</v>
      </c>
      <c r="Y78" s="55">
        <f t="shared" ca="1" si="14"/>
        <v>-3.5005275894907255</v>
      </c>
      <c r="Z78">
        <f t="shared" ca="1" si="3"/>
        <v>0</v>
      </c>
      <c r="AA78">
        <f t="shared" ca="1" si="15"/>
        <v>72.491102229672975</v>
      </c>
      <c r="AB78">
        <f t="shared" ca="1" si="4"/>
        <v>0</v>
      </c>
      <c r="AC78">
        <f t="shared" ca="1" si="5"/>
        <v>6.6928509242848624E-3</v>
      </c>
      <c r="AD78" s="83">
        <f ca="1"/>
        <v>45622</v>
      </c>
      <c r="AE78" s="55">
        <f t="shared" ca="1" si="20"/>
        <v>45622</v>
      </c>
      <c r="AF78" s="55">
        <f t="shared" ca="1" si="21"/>
        <v>60.094011201245038</v>
      </c>
      <c r="AG78" s="55">
        <f t="shared" ca="1" si="22"/>
        <v>9.7858945022777668</v>
      </c>
      <c r="AH78" s="55">
        <f t="shared" ca="1" si="23"/>
        <v>0</v>
      </c>
      <c r="AI78" s="55">
        <f t="shared" ca="1" si="17"/>
        <v>0</v>
      </c>
      <c r="AJ78" s="55">
        <f t="shared" ca="1" si="18"/>
        <v>32.219268261163641</v>
      </c>
      <c r="AK78" s="55">
        <f t="shared" ca="1" si="19"/>
        <v>6.8057939574952755</v>
      </c>
    </row>
    <row r="79" spans="2:37">
      <c r="R79" s="83">
        <f ca="1"/>
        <v>45455</v>
      </c>
      <c r="S79" s="55">
        <f t="shared" ca="1" si="11"/>
        <v>45455</v>
      </c>
      <c r="T79" s="55">
        <f t="shared" ca="1" si="0"/>
        <v>53.986397721787405</v>
      </c>
      <c r="U79" s="55">
        <f t="shared" ca="1" si="1"/>
        <v>1.3386898147826627</v>
      </c>
      <c r="V79" s="55">
        <f t="shared" ca="1" si="2"/>
        <v>0</v>
      </c>
      <c r="W79" s="55">
        <f t="shared" ca="1" si="12"/>
        <v>-25.964410882731674</v>
      </c>
      <c r="X79" s="55">
        <f t="shared" ca="1" si="13"/>
        <v>33.689900243912021</v>
      </c>
      <c r="Y79" s="55">
        <f t="shared" ca="1" si="14"/>
        <v>-3.1620019273002606</v>
      </c>
      <c r="Z79">
        <f t="shared" ca="1" si="3"/>
        <v>0</v>
      </c>
      <c r="AA79">
        <f t="shared" ca="1" si="15"/>
        <v>73.391102229672981</v>
      </c>
      <c r="AB79">
        <f t="shared" ca="1" si="4"/>
        <v>0</v>
      </c>
      <c r="AC79">
        <f t="shared" ca="1" si="5"/>
        <v>6.6928509242848624E-3</v>
      </c>
      <c r="AD79" s="83">
        <f ca="1"/>
        <v>45623</v>
      </c>
      <c r="AE79" s="55">
        <f t="shared" ca="1" si="20"/>
        <v>45623</v>
      </c>
      <c r="AF79" s="55">
        <f t="shared" ca="1" si="21"/>
        <v>60.603221502401297</v>
      </c>
      <c r="AG79" s="55">
        <f t="shared" ca="1" si="22"/>
        <v>10.213960887443541</v>
      </c>
      <c r="AH79" s="55">
        <f t="shared" ca="1" si="23"/>
        <v>0</v>
      </c>
      <c r="AI79" s="55">
        <f t="shared" ca="1" si="17"/>
        <v>0</v>
      </c>
      <c r="AJ79" s="55">
        <f t="shared" ca="1" si="18"/>
        <v>32.758488997099654</v>
      </c>
      <c r="AK79" s="55">
        <f t="shared" ca="1" si="19"/>
        <v>7.2038499078812919</v>
      </c>
    </row>
    <row r="80" spans="2:37">
      <c r="R80" s="83">
        <f ca="1"/>
        <v>45456</v>
      </c>
      <c r="S80" s="55">
        <f t="shared" ca="1" si="11"/>
        <v>45456</v>
      </c>
      <c r="T80" s="55">
        <f t="shared" ca="1" si="0"/>
        <v>54.507006788868637</v>
      </c>
      <c r="U80" s="55">
        <f t="shared" ca="1" si="1"/>
        <v>1.3386898147826627</v>
      </c>
      <c r="V80" s="55">
        <f t="shared" ca="1" si="2"/>
        <v>0</v>
      </c>
      <c r="W80" s="55">
        <f t="shared" ca="1" si="12"/>
        <v>-26.229072682362069</v>
      </c>
      <c r="X80" s="55">
        <f t="shared" ca="1" si="13"/>
        <v>34.121120359445371</v>
      </c>
      <c r="Y80" s="55">
        <f t="shared" ca="1" si="14"/>
        <v>-2.8079511761219837</v>
      </c>
      <c r="Z80">
        <f t="shared" ca="1" si="3"/>
        <v>0</v>
      </c>
      <c r="AA80">
        <f t="shared" ca="1" si="15"/>
        <v>74.081102229672979</v>
      </c>
      <c r="AB80">
        <f t="shared" ca="1" si="4"/>
        <v>0</v>
      </c>
      <c r="AC80">
        <f t="shared" ca="1" si="5"/>
        <v>6.6928509242848624E-3</v>
      </c>
      <c r="AD80" s="83">
        <f ca="1"/>
        <v>45624</v>
      </c>
      <c r="AE80" s="55">
        <f t="shared" ca="1" si="20"/>
        <v>45624</v>
      </c>
      <c r="AF80" s="55">
        <f t="shared" ca="1" si="21"/>
        <v>61.073525400211835</v>
      </c>
      <c r="AG80" s="55">
        <f t="shared" ca="1" si="22"/>
        <v>10.651177848903023</v>
      </c>
      <c r="AH80" s="55">
        <f t="shared" ca="1" si="23"/>
        <v>0</v>
      </c>
      <c r="AI80" s="55">
        <f t="shared" ca="1" si="17"/>
        <v>0</v>
      </c>
      <c r="AJ80" s="55">
        <f t="shared" ca="1" si="18"/>
        <v>33.276924446953927</v>
      </c>
      <c r="AK80" s="55">
        <f t="shared" ca="1" si="19"/>
        <v>7.5929353172970373</v>
      </c>
    </row>
    <row r="81" spans="18:37">
      <c r="R81" s="83">
        <f ca="1"/>
        <v>45457</v>
      </c>
      <c r="S81" s="55">
        <f t="shared" ca="1" si="11"/>
        <v>45457</v>
      </c>
      <c r="T81" s="55">
        <f t="shared" ca="1" si="0"/>
        <v>54.595724739989905</v>
      </c>
      <c r="U81" s="55">
        <f t="shared" ca="1" si="1"/>
        <v>1.3386898147826627</v>
      </c>
      <c r="V81" s="55">
        <f t="shared" ca="1" si="2"/>
        <v>0</v>
      </c>
      <c r="W81" s="55">
        <f t="shared" ca="1" si="12"/>
        <v>-26.912934686327425</v>
      </c>
      <c r="X81" s="55">
        <f t="shared" ca="1" si="13"/>
        <v>34.543560067320954</v>
      </c>
      <c r="Y81" s="55">
        <f t="shared" ca="1" si="14"/>
        <v>-2.4578109289109449</v>
      </c>
      <c r="Z81">
        <f t="shared" ca="1" si="3"/>
        <v>0</v>
      </c>
      <c r="AA81">
        <f t="shared" ca="1" si="15"/>
        <v>75.86110222967298</v>
      </c>
      <c r="AB81">
        <f t="shared" ca="1" si="4"/>
        <v>0</v>
      </c>
      <c r="AC81">
        <f t="shared" ca="1" si="5"/>
        <v>6.6928509242848624E-3</v>
      </c>
      <c r="AD81" s="83">
        <f ca="1"/>
        <v>45625</v>
      </c>
      <c r="AE81" s="55">
        <f t="shared" ca="1" si="20"/>
        <v>45625</v>
      </c>
      <c r="AF81" s="55">
        <f t="shared" ca="1" si="21"/>
        <v>61.541424815671014</v>
      </c>
      <c r="AG81" s="55">
        <f t="shared" ca="1" si="22"/>
        <v>11.13224424875585</v>
      </c>
      <c r="AH81" s="55">
        <f t="shared" ca="1" si="23"/>
        <v>0</v>
      </c>
      <c r="AI81" s="55">
        <f t="shared" ca="1" si="17"/>
        <v>0</v>
      </c>
      <c r="AJ81" s="55">
        <f t="shared" ca="1" si="18"/>
        <v>33.822479184887683</v>
      </c>
      <c r="AK81" s="55">
        <f t="shared" ca="1" si="19"/>
        <v>7.9963463946752924</v>
      </c>
    </row>
    <row r="82" spans="18:37">
      <c r="R82" s="83">
        <f ca="1"/>
        <v>45458</v>
      </c>
      <c r="S82" s="55">
        <f t="shared" ca="1" si="11"/>
        <v>45458</v>
      </c>
      <c r="T82" s="55">
        <f t="shared" ref="T82:T145" ca="1" si="27">VLOOKUP(S82,ModelOutputs,2,FALSE)</f>
        <v>54.84167550964024</v>
      </c>
      <c r="U82" s="55">
        <f t="shared" ref="U82:U145" ca="1" si="28">VLOOKUP(S82,ModelOutputs,7,FALSE)</f>
        <v>1.3386898147826627</v>
      </c>
      <c r="V82" s="55">
        <f t="shared" ref="V82:V145" ca="1" si="29">VLOOKUP(S82,ModelOutputs,6,FALSE)</f>
        <v>0</v>
      </c>
      <c r="W82" s="55">
        <f t="shared" ca="1" si="12"/>
        <v>-27.449367519738388</v>
      </c>
      <c r="X82" s="55">
        <f t="shared" ca="1" si="13"/>
        <v>34.972329159877532</v>
      </c>
      <c r="Y82" s="55">
        <f t="shared" ca="1" si="14"/>
        <v>-2.1041964184062234</v>
      </c>
      <c r="Z82">
        <f t="shared" ref="Z82:Z145" ca="1" si="30">VLOOKUP(S82,ModelOutputs,10,FALSE)*AWC</f>
        <v>0</v>
      </c>
      <c r="AA82">
        <f t="shared" ca="1" si="15"/>
        <v>77.251102229672981</v>
      </c>
      <c r="AB82">
        <f t="shared" ref="AB82:AB145" ca="1" si="31">VLOOKUP(S82,ModelOutputs,12,FALSE)</f>
        <v>0</v>
      </c>
      <c r="AC82">
        <f t="shared" ref="AC82:AC145" ca="1" si="32">VLOOKUP(S82,ModelOutputs,13,FALSE)</f>
        <v>6.6928509242848624E-3</v>
      </c>
      <c r="AD82" s="83">
        <f ca="1"/>
        <v>45626</v>
      </c>
      <c r="AE82" s="55">
        <f t="shared" ca="1" si="20"/>
        <v>45626</v>
      </c>
      <c r="AF82" s="55">
        <f t="shared" ca="1" si="21"/>
        <v>61.994913073937951</v>
      </c>
      <c r="AG82" s="55">
        <f t="shared" ca="1" si="22"/>
        <v>11.664544051381306</v>
      </c>
      <c r="AH82" s="55">
        <f t="shared" ca="1" si="23"/>
        <v>0</v>
      </c>
      <c r="AI82" s="55">
        <f t="shared" ca="1" si="17"/>
        <v>0</v>
      </c>
      <c r="AJ82" s="55">
        <f t="shared" ca="1" si="18"/>
        <v>34.388079676840206</v>
      </c>
      <c r="AK82" s="55">
        <f t="shared" ca="1" si="19"/>
        <v>8.4165339636151586</v>
      </c>
    </row>
    <row r="83" spans="18:37">
      <c r="R83" s="83">
        <f ca="1"/>
        <v>45459</v>
      </c>
      <c r="S83" s="55">
        <f t="shared" ref="S83:S146" ca="1" si="33">IF(R83&gt;1,R83,"")</f>
        <v>45459</v>
      </c>
      <c r="T83" s="55">
        <f t="shared" ca="1" si="27"/>
        <v>54.640043522145994</v>
      </c>
      <c r="U83" s="55">
        <f t="shared" ca="1" si="28"/>
        <v>1.3386898147826627</v>
      </c>
      <c r="V83" s="55">
        <f t="shared" ca="1" si="29"/>
        <v>0</v>
      </c>
      <c r="W83" s="55">
        <f t="shared" ref="W83:W146" ca="1" si="34">-VLOOKUP(S83,ModelOutputs,9,FALSE)+W82</f>
        <v>-28.429852745163561</v>
      </c>
      <c r="X83" s="55">
        <f t="shared" ref="X83:X146" ca="1" si="35">VLOOKUP(S83,ModelOutputs,5,FALSE)+X82</f>
        <v>35.39865648304712</v>
      </c>
      <c r="Y83" s="55">
        <f t="shared" ref="Y83:Y146" ca="1" si="36">VLOOKUP(S83,ModelOutputs,4,FALSE)+Y82</f>
        <v>-1.7516705036448794</v>
      </c>
      <c r="Z83">
        <f t="shared" ca="1" si="30"/>
        <v>0</v>
      </c>
      <c r="AA83">
        <f t="shared" ref="AA83:AA146" ca="1" si="37">VLOOKUP(S83,ModelOutputs,11,FALSE)+AA82</f>
        <v>79.801102229672978</v>
      </c>
      <c r="AB83">
        <f t="shared" ca="1" si="31"/>
        <v>0</v>
      </c>
      <c r="AC83">
        <f t="shared" ca="1" si="32"/>
        <v>6.6928509242848624E-3</v>
      </c>
      <c r="AD83" s="83">
        <f ca="1"/>
        <v>45627</v>
      </c>
      <c r="AE83" s="55">
        <f t="shared" ca="1" si="20"/>
        <v>45627</v>
      </c>
      <c r="AF83" s="55">
        <f t="shared" ca="1" si="21"/>
        <v>62.416828506040211</v>
      </c>
      <c r="AG83" s="55">
        <f t="shared" ca="1" si="22"/>
        <v>12.231968911832647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34.954160388572468</v>
      </c>
      <c r="AK83" s="55">
        <f t="shared" ref="AK83:AK146" ca="1" si="40">VLOOKUP(AE83,ModelOutputs,4,FALSE)+AK82</f>
        <v>8.8397935444364961</v>
      </c>
    </row>
    <row r="84" spans="18:37">
      <c r="R84" s="83">
        <f ca="1"/>
        <v>45460</v>
      </c>
      <c r="S84" s="55">
        <f t="shared" ca="1" si="33"/>
        <v>45460</v>
      </c>
      <c r="T84" s="55">
        <f t="shared" ca="1" si="27"/>
        <v>54.779395352694493</v>
      </c>
      <c r="U84" s="55">
        <f t="shared" ca="1" si="28"/>
        <v>1.3386898147826627</v>
      </c>
      <c r="V84" s="55">
        <f t="shared" ca="1" si="29"/>
        <v>0</v>
      </c>
      <c r="W84" s="55">
        <f t="shared" ca="1" si="34"/>
        <v>-29.050483005844644</v>
      </c>
      <c r="X84" s="55">
        <f t="shared" ca="1" si="35"/>
        <v>35.812435279464239</v>
      </c>
      <c r="Y84" s="55">
        <f t="shared" ca="1" si="36"/>
        <v>-1.4054672088324152</v>
      </c>
      <c r="Z84">
        <f t="shared" ca="1" si="30"/>
        <v>0</v>
      </c>
      <c r="AA84">
        <f t="shared" ca="1" si="37"/>
        <v>81.411102229672977</v>
      </c>
      <c r="AB84">
        <f t="shared" ca="1" si="31"/>
        <v>0</v>
      </c>
      <c r="AC84">
        <f t="shared" ca="1" si="32"/>
        <v>6.6928509242848624E-3</v>
      </c>
      <c r="AD84" s="83">
        <f ca="1"/>
        <v>45628</v>
      </c>
      <c r="AE84" s="55">
        <f t="shared" ca="1" si="20"/>
        <v>45628</v>
      </c>
      <c r="AF84" s="55">
        <f t="shared" ca="1" si="21"/>
        <v>62.791742151940753</v>
      </c>
      <c r="AG84" s="55">
        <f t="shared" ca="1" si="22"/>
        <v>12.811761312429894</v>
      </c>
      <c r="AH84" s="55">
        <f t="shared" ca="1" si="23"/>
        <v>0</v>
      </c>
      <c r="AI84" s="55">
        <f t="shared" ca="1" si="38"/>
        <v>0</v>
      </c>
      <c r="AJ84" s="55">
        <f t="shared" ca="1" si="39"/>
        <v>35.498396653959176</v>
      </c>
      <c r="AK84" s="55">
        <f t="shared" ca="1" si="40"/>
        <v>9.2502633255475786</v>
      </c>
    </row>
    <row r="85" spans="18:37">
      <c r="R85" s="83">
        <f ca="1"/>
        <v>45461</v>
      </c>
      <c r="S85" s="55">
        <f t="shared" ca="1" si="33"/>
        <v>45461</v>
      </c>
      <c r="T85" s="55">
        <f t="shared" ca="1" si="27"/>
        <v>54.347185502131346</v>
      </c>
      <c r="U85" s="55">
        <f t="shared" ca="1" si="28"/>
        <v>1.3386898147826627</v>
      </c>
      <c r="V85" s="55">
        <f t="shared" ca="1" si="29"/>
        <v>0</v>
      </c>
      <c r="W85" s="55">
        <f t="shared" ca="1" si="34"/>
        <v>-30.190163614411563</v>
      </c>
      <c r="X85" s="55">
        <f t="shared" ca="1" si="35"/>
        <v>36.191399707052476</v>
      </c>
      <c r="Y85" s="55">
        <f t="shared" ca="1" si="36"/>
        <v>-1.0769608784168794</v>
      </c>
      <c r="Z85">
        <f t="shared" ca="1" si="30"/>
        <v>0</v>
      </c>
      <c r="AA85">
        <f t="shared" ca="1" si="37"/>
        <v>84.391102229672981</v>
      </c>
      <c r="AB85">
        <f t="shared" ca="1" si="31"/>
        <v>0</v>
      </c>
      <c r="AC85">
        <f t="shared" ca="1" si="32"/>
        <v>6.6928509242848624E-3</v>
      </c>
      <c r="AD85" s="83">
        <f ca="1"/>
        <v>45629</v>
      </c>
      <c r="AE85" s="55">
        <f t="shared" ref="AE85:AE148" ca="1" si="41">IF(AD85&gt;1,AD85,"")</f>
        <v>45629</v>
      </c>
      <c r="AF85" s="55">
        <f t="shared" ref="AF85:AF148" ca="1" si="42">VLOOKUP(AE85,ModelOutputs,2,FALSE)</f>
        <v>63.10684533401966</v>
      </c>
      <c r="AG85" s="55">
        <f t="shared" ref="AG85:AG148" ca="1" si="43">VLOOKUP(AE85,ModelOutputs,7,FALSE)</f>
        <v>13.42554503021436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36.016517140330322</v>
      </c>
      <c r="AK85" s="55">
        <f t="shared" ca="1" si="40"/>
        <v>9.6610297390398046</v>
      </c>
    </row>
    <row r="86" spans="18:37">
      <c r="R86" s="83">
        <f ca="1"/>
        <v>45462</v>
      </c>
      <c r="S86" s="55">
        <f t="shared" ca="1" si="33"/>
        <v>45462</v>
      </c>
      <c r="T86" s="55">
        <f t="shared" ca="1" si="27"/>
        <v>54.818011520803374</v>
      </c>
      <c r="U86" s="55">
        <f t="shared" ca="1" si="28"/>
        <v>1.3386898147826627</v>
      </c>
      <c r="V86" s="55">
        <f t="shared" ca="1" si="29"/>
        <v>0</v>
      </c>
      <c r="W86" s="55">
        <f t="shared" ca="1" si="34"/>
        <v>-30.417759877059044</v>
      </c>
      <c r="X86" s="55">
        <f t="shared" ca="1" si="35"/>
        <v>36.564536231931051</v>
      </c>
      <c r="Y86" s="55">
        <f t="shared" ca="1" si="36"/>
        <v>-0.75167512197594277</v>
      </c>
      <c r="Z86">
        <f t="shared" ca="1" si="30"/>
        <v>0</v>
      </c>
      <c r="AA86">
        <f t="shared" ca="1" si="37"/>
        <v>84.981102229672985</v>
      </c>
      <c r="AB86">
        <f t="shared" ca="1" si="31"/>
        <v>0</v>
      </c>
      <c r="AC86">
        <f t="shared" ca="1" si="32"/>
        <v>6.6928509242848624E-3</v>
      </c>
      <c r="AD86" s="83">
        <f ca="1"/>
        <v>45630</v>
      </c>
      <c r="AE86" s="55">
        <f t="shared" ca="1" si="41"/>
        <v>45630</v>
      </c>
      <c r="AF86" s="55">
        <f t="shared" ca="1" si="42"/>
        <v>63.387612113261881</v>
      </c>
      <c r="AG86" s="55">
        <f t="shared" ca="1" si="43"/>
        <v>14.067755849042575</v>
      </c>
      <c r="AH86" s="55">
        <f t="shared" ca="1" si="44"/>
        <v>0</v>
      </c>
      <c r="AI86" s="55">
        <f t="shared" ca="1" si="38"/>
        <v>0</v>
      </c>
      <c r="AJ86" s="55">
        <f t="shared" ca="1" si="39"/>
        <v>36.532916457132139</v>
      </c>
      <c r="AK86" s="55">
        <f t="shared" ca="1" si="40"/>
        <v>10.067608020308434</v>
      </c>
    </row>
    <row r="87" spans="18:37">
      <c r="R87" s="83">
        <f ca="1"/>
        <v>45463</v>
      </c>
      <c r="S87" s="55">
        <f t="shared" ca="1" si="33"/>
        <v>45463</v>
      </c>
      <c r="T87" s="55">
        <f t="shared" ca="1" si="27"/>
        <v>55.00964776643962</v>
      </c>
      <c r="U87" s="55">
        <f t="shared" ca="1" si="28"/>
        <v>1.3386898147826627</v>
      </c>
      <c r="V87" s="55">
        <f t="shared" ca="1" si="29"/>
        <v>0</v>
      </c>
      <c r="W87" s="55">
        <f t="shared" ca="1" si="34"/>
        <v>-30.90164103796754</v>
      </c>
      <c r="X87" s="55">
        <f t="shared" ca="1" si="35"/>
        <v>36.922715551201847</v>
      </c>
      <c r="Y87" s="55">
        <f t="shared" ca="1" si="36"/>
        <v>-0.43433703470199703</v>
      </c>
      <c r="Z87">
        <f t="shared" ca="1" si="30"/>
        <v>0</v>
      </c>
      <c r="AA87">
        <f t="shared" ca="1" si="37"/>
        <v>86.231102229672985</v>
      </c>
      <c r="AB87">
        <f t="shared" ca="1" si="31"/>
        <v>0</v>
      </c>
      <c r="AC87">
        <f t="shared" ca="1" si="32"/>
        <v>6.6928509242848624E-3</v>
      </c>
      <c r="AD87" s="83">
        <f ca="1"/>
        <v>45631</v>
      </c>
      <c r="AE87" s="55">
        <f t="shared" ca="1" si="41"/>
        <v>45631</v>
      </c>
      <c r="AF87" s="55">
        <f t="shared" ca="1" si="42"/>
        <v>63.61256329090601</v>
      </c>
      <c r="AG87" s="55">
        <f t="shared" ca="1" si="43"/>
        <v>14.731053259094796</v>
      </c>
      <c r="AH87" s="55">
        <f t="shared" ca="1" si="44"/>
        <v>0</v>
      </c>
      <c r="AI87" s="55">
        <f t="shared" ca="1" si="38"/>
        <v>0</v>
      </c>
      <c r="AJ87" s="55">
        <f t="shared" ca="1" si="39"/>
        <v>37.023340736105219</v>
      </c>
      <c r="AK87" s="55">
        <f t="shared" ca="1" si="40"/>
        <v>10.465432329031707</v>
      </c>
    </row>
    <row r="88" spans="18:37">
      <c r="R88" s="83">
        <f ca="1"/>
        <v>45464</v>
      </c>
      <c r="S88" s="55">
        <f t="shared" ca="1" si="33"/>
        <v>45464</v>
      </c>
      <c r="T88" s="55">
        <f t="shared" ca="1" si="27"/>
        <v>55.083795750755549</v>
      </c>
      <c r="U88" s="55">
        <f t="shared" ca="1" si="28"/>
        <v>1.3386898147826627</v>
      </c>
      <c r="V88" s="55">
        <f t="shared" ca="1" si="29"/>
        <v>0</v>
      </c>
      <c r="W88" s="55">
        <f t="shared" ca="1" si="34"/>
        <v>-31.52572004241777</v>
      </c>
      <c r="X88" s="55">
        <f t="shared" ca="1" si="35"/>
        <v>37.296298228283952</v>
      </c>
      <c r="Y88" s="55">
        <f t="shared" ca="1" si="36"/>
        <v>-0.10969272301794586</v>
      </c>
      <c r="Z88">
        <f t="shared" ca="1" si="30"/>
        <v>0</v>
      </c>
      <c r="AA88">
        <f t="shared" ca="1" si="37"/>
        <v>87.841102229672998</v>
      </c>
      <c r="AB88">
        <f t="shared" ca="1" si="31"/>
        <v>0</v>
      </c>
      <c r="AC88">
        <f t="shared" ca="1" si="32"/>
        <v>6.6928509242848624E-3</v>
      </c>
      <c r="AD88" s="83">
        <f ca="1"/>
        <v>45632</v>
      </c>
      <c r="AE88" s="55">
        <f t="shared" ca="1" si="41"/>
        <v>45632</v>
      </c>
      <c r="AF88" s="55">
        <f t="shared" ca="1" si="42"/>
        <v>63.785703149116216</v>
      </c>
      <c r="AG88" s="55">
        <f t="shared" ca="1" si="43"/>
        <v>15.420510706121279</v>
      </c>
      <c r="AH88" s="55">
        <f t="shared" ca="1" si="44"/>
        <v>0</v>
      </c>
      <c r="AI88" s="55">
        <f t="shared" ca="1" si="38"/>
        <v>0</v>
      </c>
      <c r="AJ88" s="55">
        <f t="shared" ca="1" si="39"/>
        <v>37.494387966455164</v>
      </c>
      <c r="AK88" s="55">
        <f t="shared" ca="1" si="40"/>
        <v>10.856982403918458</v>
      </c>
    </row>
    <row r="89" spans="18:37">
      <c r="R89" s="83">
        <f ca="1"/>
        <v>45465</v>
      </c>
      <c r="S89" s="55">
        <f t="shared" ca="1" si="33"/>
        <v>45465</v>
      </c>
      <c r="T89" s="55">
        <f t="shared" ca="1" si="27"/>
        <v>55.226414686697929</v>
      </c>
      <c r="U89" s="55">
        <f t="shared" ca="1" si="28"/>
        <v>1.3386898147826627</v>
      </c>
      <c r="V89" s="55">
        <f t="shared" ca="1" si="29"/>
        <v>0</v>
      </c>
      <c r="W89" s="55">
        <f t="shared" ca="1" si="34"/>
        <v>-32.108665530777358</v>
      </c>
      <c r="X89" s="55">
        <f t="shared" ca="1" si="35"/>
        <v>37.688482301144639</v>
      </c>
      <c r="Y89" s="55">
        <f t="shared" ca="1" si="36"/>
        <v>0.22368762842333734</v>
      </c>
      <c r="Z89">
        <f t="shared" ca="1" si="30"/>
        <v>0</v>
      </c>
      <c r="AA89">
        <f t="shared" ca="1" si="37"/>
        <v>89.341102229672998</v>
      </c>
      <c r="AB89">
        <f t="shared" ca="1" si="31"/>
        <v>0</v>
      </c>
      <c r="AC89">
        <f t="shared" ca="1" si="32"/>
        <v>6.6928509242848624E-3</v>
      </c>
      <c r="AD89" s="83">
        <f ca="1"/>
        <v>45633</v>
      </c>
      <c r="AE89" s="55">
        <f t="shared" ca="1" si="41"/>
        <v>45633</v>
      </c>
      <c r="AF89" s="55">
        <f t="shared" ca="1" si="42"/>
        <v>63.891926245757347</v>
      </c>
      <c r="AG89" s="55">
        <f t="shared" ca="1" si="43"/>
        <v>16.079663042107185</v>
      </c>
      <c r="AH89" s="55">
        <f t="shared" ca="1" si="44"/>
        <v>0</v>
      </c>
      <c r="AI89" s="55">
        <f t="shared" ca="1" si="38"/>
        <v>0</v>
      </c>
      <c r="AJ89" s="55">
        <f t="shared" ca="1" si="39"/>
        <v>37.908733384274612</v>
      </c>
      <c r="AK89" s="55">
        <f t="shared" ca="1" si="40"/>
        <v>11.208012418726049</v>
      </c>
    </row>
    <row r="90" spans="18:37">
      <c r="R90" s="83">
        <f ca="1"/>
        <v>45466</v>
      </c>
      <c r="S90" s="55">
        <f t="shared" ca="1" si="33"/>
        <v>45466</v>
      </c>
      <c r="T90" s="55">
        <f t="shared" ca="1" si="27"/>
        <v>55.12757488617617</v>
      </c>
      <c r="U90" s="55">
        <f t="shared" ca="1" si="28"/>
        <v>1.3386898147826627</v>
      </c>
      <c r="V90" s="55">
        <f t="shared" ca="1" si="29"/>
        <v>0</v>
      </c>
      <c r="W90" s="55">
        <f t="shared" ca="1" si="34"/>
        <v>-32.950484016909598</v>
      </c>
      <c r="X90" s="55">
        <f t="shared" ca="1" si="35"/>
        <v>38.092777279459753</v>
      </c>
      <c r="Y90" s="55">
        <f t="shared" ca="1" si="36"/>
        <v>0.56237133571870146</v>
      </c>
      <c r="Z90">
        <f t="shared" ca="1" si="30"/>
        <v>0</v>
      </c>
      <c r="AA90">
        <f t="shared" ca="1" si="37"/>
        <v>91.511102229673</v>
      </c>
      <c r="AB90">
        <f t="shared" ca="1" si="31"/>
        <v>0</v>
      </c>
      <c r="AC90">
        <f t="shared" ca="1" si="32"/>
        <v>6.6928509242848624E-3</v>
      </c>
      <c r="AD90" s="83">
        <f ca="1"/>
        <v>45634</v>
      </c>
      <c r="AE90" s="55">
        <f t="shared" ca="1" si="41"/>
        <v>45634</v>
      </c>
      <c r="AF90" s="55">
        <f t="shared" ca="1" si="42"/>
        <v>63.94899550382118</v>
      </c>
      <c r="AG90" s="55">
        <f t="shared" ca="1" si="43"/>
        <v>16.802446876130162</v>
      </c>
      <c r="AH90" s="55">
        <f t="shared" ca="1" si="44"/>
        <v>0</v>
      </c>
      <c r="AI90" s="55">
        <f t="shared" ca="1" si="38"/>
        <v>0</v>
      </c>
      <c r="AJ90" s="55">
        <f t="shared" ca="1" si="39"/>
        <v>38.338439414784709</v>
      </c>
      <c r="AK90" s="55">
        <f t="shared" ca="1" si="40"/>
        <v>11.558159480302763</v>
      </c>
    </row>
    <row r="91" spans="18:37">
      <c r="R91" s="83">
        <f ca="1"/>
        <v>45467</v>
      </c>
      <c r="S91" s="55">
        <f t="shared" ca="1" si="33"/>
        <v>45467</v>
      </c>
      <c r="T91" s="55">
        <f t="shared" ca="1" si="27"/>
        <v>54.616486387822476</v>
      </c>
      <c r="U91" s="55">
        <f t="shared" ca="1" si="28"/>
        <v>1.3386898147826627</v>
      </c>
      <c r="V91" s="55">
        <f t="shared" ca="1" si="29"/>
        <v>0</v>
      </c>
      <c r="W91" s="55">
        <f t="shared" ca="1" si="34"/>
        <v>-34.226486965555466</v>
      </c>
      <c r="X91" s="55">
        <f t="shared" ca="1" si="35"/>
        <v>38.51231676906351</v>
      </c>
      <c r="Y91" s="55">
        <f t="shared" ca="1" si="36"/>
        <v>0.90774629640712057</v>
      </c>
      <c r="Z91">
        <f t="shared" ca="1" si="30"/>
        <v>0</v>
      </c>
      <c r="AA91">
        <f t="shared" ca="1" si="37"/>
        <v>94.831102229673007</v>
      </c>
      <c r="AB91">
        <f t="shared" ca="1" si="31"/>
        <v>0</v>
      </c>
      <c r="AC91">
        <f t="shared" ca="1" si="32"/>
        <v>6.6928509242848624E-3</v>
      </c>
      <c r="AD91" s="83">
        <f ca="1"/>
        <v>45635</v>
      </c>
      <c r="AE91" s="55">
        <f t="shared" ca="1" si="41"/>
        <v>45635</v>
      </c>
      <c r="AF91" s="55">
        <f t="shared" ca="1" si="42"/>
        <v>63.958958305585774</v>
      </c>
      <c r="AG91" s="55">
        <f t="shared" ca="1" si="43"/>
        <v>17.583676807714561</v>
      </c>
      <c r="AH91" s="55">
        <f t="shared" ca="1" si="44"/>
        <v>0</v>
      </c>
      <c r="AI91" s="55">
        <f t="shared" ca="1" si="38"/>
        <v>0</v>
      </c>
      <c r="AJ91" s="55">
        <f t="shared" ca="1" si="39"/>
        <v>38.78038763463816</v>
      </c>
      <c r="AK91" s="55">
        <f t="shared" ca="1" si="40"/>
        <v>11.90740399379829</v>
      </c>
    </row>
    <row r="92" spans="18:37">
      <c r="R92" s="83">
        <f ca="1"/>
        <v>45468</v>
      </c>
      <c r="S92" s="55">
        <f t="shared" ca="1" si="33"/>
        <v>45468</v>
      </c>
      <c r="T92" s="55">
        <f t="shared" ca="1" si="27"/>
        <v>54.861356711473611</v>
      </c>
      <c r="U92" s="55">
        <f t="shared" ca="1" si="28"/>
        <v>1.3386898147826627</v>
      </c>
      <c r="V92" s="55">
        <f t="shared" ca="1" si="29"/>
        <v>0</v>
      </c>
      <c r="W92" s="55">
        <f t="shared" ca="1" si="34"/>
        <v>-34.747669854314466</v>
      </c>
      <c r="X92" s="55">
        <f t="shared" ca="1" si="35"/>
        <v>38.933304709509997</v>
      </c>
      <c r="Y92" s="55">
        <f t="shared" ca="1" si="36"/>
        <v>1.2528115683707668</v>
      </c>
      <c r="Z92">
        <f t="shared" ca="1" si="30"/>
        <v>0</v>
      </c>
      <c r="AA92">
        <f t="shared" ca="1" si="37"/>
        <v>96.181102229673002</v>
      </c>
      <c r="AB92">
        <f t="shared" ca="1" si="31"/>
        <v>0</v>
      </c>
      <c r="AC92">
        <f t="shared" ca="1" si="32"/>
        <v>6.6928509242848624E-3</v>
      </c>
      <c r="AD92" s="83">
        <f ca="1"/>
        <v>45636</v>
      </c>
      <c r="AE92" s="55">
        <f t="shared" ca="1" si="41"/>
        <v>45636</v>
      </c>
      <c r="AF92" s="55">
        <f t="shared" ca="1" si="42"/>
        <v>63.910024630186676</v>
      </c>
      <c r="AG92" s="55">
        <f t="shared" ca="1" si="43"/>
        <v>18.459310860424424</v>
      </c>
      <c r="AH92" s="55">
        <f t="shared" ca="1" si="44"/>
        <v>0</v>
      </c>
      <c r="AI92" s="55">
        <f t="shared" ca="1" si="38"/>
        <v>0</v>
      </c>
      <c r="AJ92" s="55">
        <f t="shared" ca="1" si="39"/>
        <v>39.25116839203455</v>
      </c>
      <c r="AK92" s="55">
        <f t="shared" ca="1" si="40"/>
        <v>12.263323613712664</v>
      </c>
    </row>
    <row r="93" spans="18:37">
      <c r="R93" s="83">
        <f ca="1"/>
        <v>45469</v>
      </c>
      <c r="S93" s="55">
        <f t="shared" ca="1" si="33"/>
        <v>45469</v>
      </c>
      <c r="T93" s="55">
        <f t="shared" ca="1" si="27"/>
        <v>54.859918405937663</v>
      </c>
      <c r="U93" s="55">
        <f t="shared" ca="1" si="28"/>
        <v>1.3386898147826627</v>
      </c>
      <c r="V93" s="55">
        <f t="shared" ca="1" si="29"/>
        <v>0</v>
      </c>
      <c r="W93" s="55">
        <f t="shared" ca="1" si="34"/>
        <v>-35.458004205229869</v>
      </c>
      <c r="X93" s="55">
        <f t="shared" ca="1" si="35"/>
        <v>39.316793402492578</v>
      </c>
      <c r="Y93" s="55">
        <f t="shared" ca="1" si="36"/>
        <v>1.5782189207676414</v>
      </c>
      <c r="Z93">
        <f t="shared" ca="1" si="30"/>
        <v>0</v>
      </c>
      <c r="AA93">
        <f t="shared" ca="1" si="37"/>
        <v>98.021102229673005</v>
      </c>
      <c r="AB93">
        <f t="shared" ca="1" si="31"/>
        <v>0</v>
      </c>
      <c r="AC93">
        <f t="shared" ca="1" si="32"/>
        <v>6.6928509242848624E-3</v>
      </c>
      <c r="AD93" s="83">
        <f ca="1"/>
        <v>45637</v>
      </c>
      <c r="AE93" s="55">
        <f t="shared" ca="1" si="41"/>
        <v>45637</v>
      </c>
      <c r="AF93" s="55">
        <f t="shared" ca="1" si="42"/>
        <v>63.845925205795673</v>
      </c>
      <c r="AG93" s="55">
        <f t="shared" ca="1" si="43"/>
        <v>19.40582452300297</v>
      </c>
      <c r="AH93" s="55">
        <f t="shared" ca="1" si="44"/>
        <v>0</v>
      </c>
      <c r="AI93" s="55">
        <f t="shared" ca="1" si="38"/>
        <v>0</v>
      </c>
      <c r="AJ93" s="55">
        <f t="shared" ca="1" si="39"/>
        <v>39.754350717828807</v>
      </c>
      <c r="AK93" s="55">
        <f t="shared" ca="1" si="40"/>
        <v>12.642555526105959</v>
      </c>
    </row>
    <row r="94" spans="18:37">
      <c r="R94" s="83">
        <f ca="1"/>
        <v>45470</v>
      </c>
      <c r="S94" s="55">
        <f t="shared" ca="1" si="33"/>
        <v>45470</v>
      </c>
      <c r="T94" s="55">
        <f t="shared" ca="1" si="27"/>
        <v>55.048528856975366</v>
      </c>
      <c r="U94" s="55">
        <f t="shared" ca="1" si="28"/>
        <v>1.3386898147826627</v>
      </c>
      <c r="V94" s="55">
        <f t="shared" ca="1" si="29"/>
        <v>0</v>
      </c>
      <c r="W94" s="55">
        <f t="shared" ca="1" si="34"/>
        <v>-35.957722517187079</v>
      </c>
      <c r="X94" s="55">
        <f t="shared" ca="1" si="35"/>
        <v>39.687260517387628</v>
      </c>
      <c r="Y94" s="55">
        <f t="shared" ca="1" si="36"/>
        <v>1.8960805688675055</v>
      </c>
      <c r="Z94">
        <f t="shared" ca="1" si="30"/>
        <v>0</v>
      </c>
      <c r="AA94">
        <f t="shared" ca="1" si="37"/>
        <v>99.311102229672997</v>
      </c>
      <c r="AB94">
        <f t="shared" ca="1" si="31"/>
        <v>0</v>
      </c>
      <c r="AC94">
        <f t="shared" ca="1" si="32"/>
        <v>6.6928509242848624E-3</v>
      </c>
      <c r="AD94" s="83">
        <f ca="1"/>
        <v>45638</v>
      </c>
      <c r="AE94" s="55">
        <f t="shared" ca="1" si="41"/>
        <v>45638</v>
      </c>
      <c r="AF94" s="55">
        <f t="shared" ca="1" si="42"/>
        <v>63.749585758291445</v>
      </c>
      <c r="AG94" s="55">
        <f t="shared" ca="1" si="43"/>
        <v>20.350927796685134</v>
      </c>
      <c r="AH94" s="55">
        <f t="shared" ca="1" si="44"/>
        <v>0</v>
      </c>
      <c r="AI94" s="55">
        <f t="shared" ca="1" si="38"/>
        <v>0</v>
      </c>
      <c r="AJ94" s="55">
        <f t="shared" ca="1" si="39"/>
        <v>40.237479473638281</v>
      </c>
      <c r="AK94" s="55">
        <f t="shared" ca="1" si="40"/>
        <v>13.008190596474421</v>
      </c>
    </row>
    <row r="95" spans="18:37">
      <c r="R95" s="83">
        <f ca="1"/>
        <v>45471</v>
      </c>
      <c r="S95" s="55">
        <f t="shared" ca="1" si="33"/>
        <v>45471</v>
      </c>
      <c r="T95" s="55">
        <f t="shared" ca="1" si="27"/>
        <v>55.051605463799206</v>
      </c>
      <c r="U95" s="55">
        <f t="shared" ca="1" si="28"/>
        <v>1.3386898147826627</v>
      </c>
      <c r="V95" s="55">
        <f t="shared" ca="1" si="29"/>
        <v>0</v>
      </c>
      <c r="W95" s="55">
        <f t="shared" ca="1" si="34"/>
        <v>-36.651168851195898</v>
      </c>
      <c r="X95" s="55">
        <f t="shared" ca="1" si="35"/>
        <v>40.063976278744839</v>
      </c>
      <c r="Y95" s="55">
        <f t="shared" ca="1" si="36"/>
        <v>2.2158877483429507</v>
      </c>
      <c r="Z95">
        <f t="shared" ca="1" si="30"/>
        <v>0</v>
      </c>
      <c r="AA95">
        <f t="shared" ca="1" si="37"/>
        <v>101.101102229673</v>
      </c>
      <c r="AB95">
        <f t="shared" ca="1" si="31"/>
        <v>0</v>
      </c>
      <c r="AC95">
        <f t="shared" ca="1" si="32"/>
        <v>6.6928509242848624E-3</v>
      </c>
      <c r="AD95" s="83">
        <f ca="1"/>
        <v>45639</v>
      </c>
      <c r="AE95" s="55">
        <f t="shared" ca="1" si="41"/>
        <v>45639</v>
      </c>
      <c r="AF95" s="55">
        <f t="shared" ca="1" si="42"/>
        <v>63.617177686660327</v>
      </c>
      <c r="AG95" s="55">
        <f t="shared" ca="1" si="43"/>
        <v>21.288044568880064</v>
      </c>
      <c r="AH95" s="55">
        <f t="shared" ca="1" si="44"/>
        <v>0</v>
      </c>
      <c r="AI95" s="55">
        <f t="shared" ca="1" si="38"/>
        <v>0</v>
      </c>
      <c r="AJ95" s="55">
        <f t="shared" ca="1" si="39"/>
        <v>40.695471072599119</v>
      </c>
      <c r="AK95" s="55">
        <f t="shared" ca="1" si="40"/>
        <v>13.354907698077383</v>
      </c>
    </row>
    <row r="96" spans="18:37">
      <c r="R96" s="83">
        <f ca="1"/>
        <v>45472</v>
      </c>
      <c r="S96" s="55">
        <f t="shared" ca="1" si="33"/>
        <v>45472</v>
      </c>
      <c r="T96" s="55">
        <f t="shared" ca="1" si="27"/>
        <v>55.414630390356564</v>
      </c>
      <c r="U96" s="55">
        <f t="shared" ca="1" si="28"/>
        <v>1.3386898147826627</v>
      </c>
      <c r="V96" s="55">
        <f t="shared" ca="1" si="29"/>
        <v>0</v>
      </c>
      <c r="W96" s="55">
        <f t="shared" ca="1" si="34"/>
        <v>-37.029425013453036</v>
      </c>
      <c r="X96" s="55">
        <f t="shared" ca="1" si="35"/>
        <v>40.471573949126686</v>
      </c>
      <c r="Y96" s="55">
        <f t="shared" ca="1" si="36"/>
        <v>2.5495711667756007</v>
      </c>
      <c r="Z96">
        <f t="shared" ca="1" si="30"/>
        <v>0</v>
      </c>
      <c r="AA96">
        <f t="shared" ca="1" si="37"/>
        <v>102.071102229673</v>
      </c>
      <c r="AB96">
        <f t="shared" ca="1" si="31"/>
        <v>0</v>
      </c>
      <c r="AC96">
        <f t="shared" ca="1" si="32"/>
        <v>6.6928509242848624E-3</v>
      </c>
      <c r="AD96" s="83">
        <f ca="1"/>
        <v>45640</v>
      </c>
      <c r="AE96" s="55">
        <f t="shared" ca="1" si="41"/>
        <v>45640</v>
      </c>
      <c r="AF96" s="55">
        <f t="shared" ca="1" si="42"/>
        <v>63.471017853283875</v>
      </c>
      <c r="AG96" s="55">
        <f t="shared" ca="1" si="43"/>
        <v>22.241847232788746</v>
      </c>
      <c r="AH96" s="55">
        <f t="shared" ca="1" si="44"/>
        <v>0</v>
      </c>
      <c r="AI96" s="55">
        <f t="shared" ca="1" si="38"/>
        <v>0</v>
      </c>
      <c r="AJ96" s="55">
        <f t="shared" ca="1" si="39"/>
        <v>41.154823854535771</v>
      </c>
      <c r="AK96" s="55">
        <f t="shared" ca="1" si="40"/>
        <v>13.703197746672956</v>
      </c>
    </row>
    <row r="97" spans="18:37">
      <c r="R97" s="83">
        <f ca="1"/>
        <v>45473</v>
      </c>
      <c r="S97" s="55">
        <f t="shared" ca="1" si="33"/>
        <v>45473</v>
      </c>
      <c r="T97" s="55">
        <f t="shared" ca="1" si="27"/>
        <v>55.953154991540622</v>
      </c>
      <c r="U97" s="55">
        <f t="shared" ca="1" si="28"/>
        <v>1.3386898147826627</v>
      </c>
      <c r="V97" s="55">
        <f t="shared" ca="1" si="29"/>
        <v>0</v>
      </c>
      <c r="W97" s="55">
        <f t="shared" ca="1" si="34"/>
        <v>-37.147548340657401</v>
      </c>
      <c r="X97" s="55">
        <f t="shared" ca="1" si="35"/>
        <v>40.823284731605916</v>
      </c>
      <c r="Y97" s="55">
        <f t="shared" ca="1" si="36"/>
        <v>2.854508312684791</v>
      </c>
      <c r="Z97">
        <f t="shared" ca="1" si="30"/>
        <v>0</v>
      </c>
      <c r="AA97">
        <f t="shared" ca="1" si="37"/>
        <v>102.371102229673</v>
      </c>
      <c r="AB97">
        <f t="shared" ca="1" si="31"/>
        <v>0</v>
      </c>
      <c r="AC97">
        <f t="shared" ca="1" si="32"/>
        <v>6.6928509242848624E-3</v>
      </c>
      <c r="AD97" s="83">
        <f ca="1"/>
        <v>45641</v>
      </c>
      <c r="AE97" s="55">
        <f t="shared" ca="1" si="41"/>
        <v>45641</v>
      </c>
      <c r="AF97" s="55">
        <f t="shared" ca="1" si="42"/>
        <v>63.281293997132238</v>
      </c>
      <c r="AG97" s="55">
        <f t="shared" ca="1" si="43"/>
        <v>23.239013461635981</v>
      </c>
      <c r="AH97" s="55">
        <f t="shared" ca="1" si="44"/>
        <v>0</v>
      </c>
      <c r="AI97" s="55">
        <f t="shared" ca="1" si="38"/>
        <v>0</v>
      </c>
      <c r="AJ97" s="55">
        <f t="shared" ca="1" si="39"/>
        <v>41.617654797356749</v>
      </c>
      <c r="AK97" s="55">
        <f t="shared" ca="1" si="40"/>
        <v>14.047809176547581</v>
      </c>
    </row>
    <row r="98" spans="18:37">
      <c r="R98" s="83">
        <f ca="1"/>
        <v>45474</v>
      </c>
      <c r="S98" s="55">
        <f t="shared" ca="1" si="33"/>
        <v>45474</v>
      </c>
      <c r="T98" s="55">
        <f t="shared" ca="1" si="27"/>
        <v>55.772889187190977</v>
      </c>
      <c r="U98" s="55">
        <f t="shared" ca="1" si="28"/>
        <v>1.3386898147826627</v>
      </c>
      <c r="V98" s="55">
        <f t="shared" ca="1" si="29"/>
        <v>0</v>
      </c>
      <c r="W98" s="55">
        <f t="shared" ca="1" si="34"/>
        <v>-37.948199149877965</v>
      </c>
      <c r="X98" s="55">
        <f t="shared" ca="1" si="35"/>
        <v>41.151542786523521</v>
      </c>
      <c r="Y98" s="55">
        <f t="shared" ca="1" si="36"/>
        <v>3.1466352626381067</v>
      </c>
      <c r="Z98">
        <f t="shared" ca="1" si="30"/>
        <v>0</v>
      </c>
      <c r="AA98">
        <f t="shared" ca="1" si="37"/>
        <v>104.41110222967299</v>
      </c>
      <c r="AB98">
        <f t="shared" ca="1" si="31"/>
        <v>0</v>
      </c>
      <c r="AC98">
        <f t="shared" ca="1" si="32"/>
        <v>6.6928509242848624E-3</v>
      </c>
      <c r="AD98" s="83">
        <f ca="1"/>
        <v>45642</v>
      </c>
      <c r="AE98" s="55">
        <f t="shared" ca="1" si="41"/>
        <v>45642</v>
      </c>
      <c r="AF98" s="55">
        <f t="shared" ca="1" si="42"/>
        <v>63.012400480326498</v>
      </c>
      <c r="AG98" s="55">
        <f t="shared" ca="1" si="43"/>
        <v>24.299625471038876</v>
      </c>
      <c r="AH98" s="55">
        <f t="shared" ca="1" si="44"/>
        <v>0</v>
      </c>
      <c r="AI98" s="55">
        <f t="shared" ca="1" si="38"/>
        <v>0</v>
      </c>
      <c r="AJ98" s="55">
        <f t="shared" ca="1" si="39"/>
        <v>42.077757850402662</v>
      </c>
      <c r="AK98" s="55">
        <f t="shared" ca="1" si="40"/>
        <v>14.379424616098817</v>
      </c>
    </row>
    <row r="99" spans="18:37">
      <c r="R99" s="83">
        <f ca="1"/>
        <v>45475</v>
      </c>
      <c r="S99" s="55">
        <f t="shared" ca="1" si="33"/>
        <v>45475</v>
      </c>
      <c r="T99" s="55">
        <f t="shared" ca="1" si="27"/>
        <v>55.840115902158956</v>
      </c>
      <c r="U99" s="55">
        <f t="shared" ca="1" si="28"/>
        <v>1.3386898147826627</v>
      </c>
      <c r="V99" s="55">
        <f t="shared" ca="1" si="29"/>
        <v>0</v>
      </c>
      <c r="W99" s="55">
        <f t="shared" ca="1" si="34"/>
        <v>-38.537622595511863</v>
      </c>
      <c r="X99" s="55">
        <f t="shared" ca="1" si="35"/>
        <v>41.504970753623731</v>
      </c>
      <c r="Y99" s="55">
        <f t="shared" ca="1" si="36"/>
        <v>3.4498574561397746</v>
      </c>
      <c r="Z99">
        <f t="shared" ca="1" si="30"/>
        <v>0</v>
      </c>
      <c r="AA99">
        <f t="shared" ca="1" si="37"/>
        <v>105.91110222967299</v>
      </c>
      <c r="AB99">
        <f t="shared" ca="1" si="31"/>
        <v>0</v>
      </c>
      <c r="AC99">
        <f t="shared" ca="1" si="32"/>
        <v>6.6928509242848624E-3</v>
      </c>
      <c r="AD99" s="83">
        <f ca="1"/>
        <v>45643</v>
      </c>
      <c r="AE99" s="55">
        <f t="shared" ca="1" si="41"/>
        <v>45643</v>
      </c>
      <c r="AF99" s="55">
        <f t="shared" ca="1" si="42"/>
        <v>62.675002534347371</v>
      </c>
      <c r="AG99" s="55">
        <f t="shared" ca="1" si="43"/>
        <v>25.419775381522786</v>
      </c>
      <c r="AH99" s="55">
        <f t="shared" ca="1" si="44"/>
        <v>0</v>
      </c>
      <c r="AI99" s="55">
        <f t="shared" ca="1" si="38"/>
        <v>0</v>
      </c>
      <c r="AJ99" s="55">
        <f t="shared" ca="1" si="39"/>
        <v>42.538320397741565</v>
      </c>
      <c r="AK99" s="55">
        <f t="shared" ca="1" si="40"/>
        <v>14.701614033264697</v>
      </c>
    </row>
    <row r="100" spans="18:37">
      <c r="R100" s="83">
        <f ca="1"/>
        <v>45476</v>
      </c>
      <c r="S100" s="55">
        <f t="shared" ca="1" si="33"/>
        <v>45476</v>
      </c>
      <c r="T100" s="55">
        <f t="shared" ca="1" si="27"/>
        <v>56.051289137875763</v>
      </c>
      <c r="U100" s="55">
        <f t="shared" ca="1" si="28"/>
        <v>1.3386898147826627</v>
      </c>
      <c r="V100" s="55">
        <f t="shared" ca="1" si="29"/>
        <v>0</v>
      </c>
      <c r="W100" s="55">
        <f t="shared" ca="1" si="34"/>
        <v>-39.00305589272341</v>
      </c>
      <c r="X100" s="55">
        <f t="shared" ca="1" si="35"/>
        <v>41.872781303813497</v>
      </c>
      <c r="Y100" s="55">
        <f t="shared" ca="1" si="36"/>
        <v>3.7586534388783601</v>
      </c>
      <c r="Z100">
        <f t="shared" ca="1" si="30"/>
        <v>0</v>
      </c>
      <c r="AA100">
        <f t="shared" ca="1" si="37"/>
        <v>107.091102229673</v>
      </c>
      <c r="AB100">
        <f t="shared" ca="1" si="31"/>
        <v>0</v>
      </c>
      <c r="AC100">
        <f t="shared" ca="1" si="32"/>
        <v>6.6928509242848624E-3</v>
      </c>
      <c r="AD100" s="83">
        <f ca="1"/>
        <v>45644</v>
      </c>
      <c r="AE100" s="55">
        <f t="shared" ca="1" si="41"/>
        <v>45644</v>
      </c>
      <c r="AF100" s="55">
        <f t="shared" ca="1" si="42"/>
        <v>62.318671013882309</v>
      </c>
      <c r="AG100" s="55">
        <f t="shared" ca="1" si="43"/>
        <v>26.516844636448585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42.973167202150364</v>
      </c>
      <c r="AK100" s="55">
        <f t="shared" ca="1" si="40"/>
        <v>15.007504963316634</v>
      </c>
    </row>
    <row r="101" spans="18:37">
      <c r="R101" s="83">
        <f ca="1"/>
        <v>45477</v>
      </c>
      <c r="S101" s="55">
        <f t="shared" ca="1" si="33"/>
        <v>45477</v>
      </c>
      <c r="T101" s="55">
        <f t="shared" ca="1" si="27"/>
        <v>56.139709720125083</v>
      </c>
      <c r="U101" s="55">
        <f t="shared" ca="1" si="28"/>
        <v>1.3386898147826627</v>
      </c>
      <c r="V101" s="55">
        <f t="shared" ca="1" si="29"/>
        <v>0</v>
      </c>
      <c r="W101" s="55">
        <f t="shared" ca="1" si="34"/>
        <v>-39.591691145381461</v>
      </c>
      <c r="X101" s="55">
        <f t="shared" ca="1" si="35"/>
        <v>42.241918532205922</v>
      </c>
      <c r="Y101" s="55">
        <f t="shared" ca="1" si="36"/>
        <v>4.0665720453933067</v>
      </c>
      <c r="Z101">
        <f t="shared" ca="1" si="30"/>
        <v>0</v>
      </c>
      <c r="AA101">
        <f t="shared" ca="1" si="37"/>
        <v>108.58110222967299</v>
      </c>
      <c r="AB101">
        <f t="shared" ca="1" si="31"/>
        <v>0</v>
      </c>
      <c r="AC101">
        <f t="shared" ca="1" si="32"/>
        <v>6.6928509242848624E-3</v>
      </c>
      <c r="AD101" s="83">
        <f ca="1"/>
        <v>45645</v>
      </c>
      <c r="AE101" s="55">
        <f t="shared" ca="1" si="41"/>
        <v>45645</v>
      </c>
      <c r="AF101" s="55">
        <f t="shared" ca="1" si="42"/>
        <v>61.932618072341242</v>
      </c>
      <c r="AG101" s="55">
        <f t="shared" ca="1" si="43"/>
        <v>27.733157555965157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43.466598094730301</v>
      </c>
      <c r="AK101" s="55">
        <f t="shared" ca="1" si="40"/>
        <v>15.344334048712199</v>
      </c>
    </row>
    <row r="102" spans="18:37">
      <c r="R102" s="83">
        <f ca="1"/>
        <v>45478</v>
      </c>
      <c r="S102" s="55">
        <f t="shared" ca="1" si="33"/>
        <v>45478</v>
      </c>
      <c r="T102" s="55">
        <f t="shared" ca="1" si="27"/>
        <v>56.468173324175062</v>
      </c>
      <c r="U102" s="55">
        <f t="shared" ca="1" si="28"/>
        <v>1.3386898147826627</v>
      </c>
      <c r="V102" s="55">
        <f t="shared" ca="1" si="29"/>
        <v>0</v>
      </c>
      <c r="W102" s="55">
        <f t="shared" ca="1" si="34"/>
        <v>-39.913559733329258</v>
      </c>
      <c r="X102" s="55">
        <f t="shared" ca="1" si="35"/>
        <v>42.594058082654122</v>
      </c>
      <c r="Y102" s="55">
        <f t="shared" ca="1" si="36"/>
        <v>4.3647646869428822</v>
      </c>
      <c r="Z102">
        <f t="shared" ca="1" si="30"/>
        <v>0</v>
      </c>
      <c r="AA102">
        <f t="shared" ca="1" si="37"/>
        <v>109.39110222967298</v>
      </c>
      <c r="AB102">
        <f t="shared" ca="1" si="31"/>
        <v>0</v>
      </c>
      <c r="AC102">
        <f t="shared" ca="1" si="32"/>
        <v>6.6928509242848624E-3</v>
      </c>
      <c r="AD102" s="83">
        <f ca="1"/>
        <v>45646</v>
      </c>
      <c r="AE102" s="55">
        <f t="shared" ca="1" si="41"/>
        <v>45646</v>
      </c>
      <c r="AF102" s="55">
        <f t="shared" ca="1" si="42"/>
        <v>61.487167617606957</v>
      </c>
      <c r="AG102" s="55">
        <f t="shared" ca="1" si="43"/>
        <v>29.050481090106253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43.994751925907565</v>
      </c>
      <c r="AK102" s="55">
        <f t="shared" ca="1" si="40"/>
        <v>15.688053296941746</v>
      </c>
    </row>
    <row r="103" spans="18:37">
      <c r="R103" s="83">
        <f ca="1"/>
        <v>45479</v>
      </c>
      <c r="S103" s="55">
        <f t="shared" ca="1" si="33"/>
        <v>45479</v>
      </c>
      <c r="T103" s="55">
        <f t="shared" ca="1" si="27"/>
        <v>56.480965993783499</v>
      </c>
      <c r="U103" s="55">
        <f t="shared" ca="1" si="28"/>
        <v>1.3386898147826627</v>
      </c>
      <c r="V103" s="55">
        <f t="shared" ca="1" si="29"/>
        <v>0</v>
      </c>
      <c r="W103" s="55">
        <f t="shared" ca="1" si="34"/>
        <v>-40.505773121212222</v>
      </c>
      <c r="X103" s="55">
        <f t="shared" ca="1" si="35"/>
        <v>42.916622991528662</v>
      </c>
      <c r="Y103" s="55">
        <f t="shared" ca="1" si="36"/>
        <v>4.6472058355597463</v>
      </c>
      <c r="Z103">
        <f t="shared" ca="1" si="30"/>
        <v>0</v>
      </c>
      <c r="AA103">
        <f t="shared" ca="1" si="37"/>
        <v>110.88110222967298</v>
      </c>
      <c r="AB103">
        <f t="shared" ca="1" si="31"/>
        <v>0</v>
      </c>
      <c r="AC103">
        <f t="shared" ca="1" si="32"/>
        <v>6.6928509242848624E-3</v>
      </c>
      <c r="AD103" s="83">
        <f ca="1"/>
        <v>45647</v>
      </c>
      <c r="AE103" s="55">
        <f t="shared" ca="1" si="41"/>
        <v>45647</v>
      </c>
      <c r="AF103" s="55">
        <f t="shared" ca="1" si="42"/>
        <v>61.030815218653558</v>
      </c>
      <c r="AG103" s="55">
        <f t="shared" ca="1" si="43"/>
        <v>30.321282500719228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44.493746747991011</v>
      </c>
      <c r="AK103" s="55">
        <f t="shared" ca="1" si="40"/>
        <v>16.003507486517876</v>
      </c>
    </row>
    <row r="104" spans="18:37">
      <c r="R104" s="83">
        <f ca="1"/>
        <v>45480</v>
      </c>
      <c r="S104" s="55">
        <f t="shared" ca="1" si="33"/>
        <v>45480</v>
      </c>
      <c r="T104" s="55">
        <f t="shared" ca="1" si="27"/>
        <v>56.375918208120808</v>
      </c>
      <c r="U104" s="55">
        <f t="shared" ca="1" si="28"/>
        <v>1.3386898147826627</v>
      </c>
      <c r="V104" s="55">
        <f t="shared" ca="1" si="29"/>
        <v>0</v>
      </c>
      <c r="W104" s="55">
        <f t="shared" ca="1" si="34"/>
        <v>-41.1960649197161</v>
      </c>
      <c r="X104" s="55">
        <f t="shared" ca="1" si="35"/>
        <v>43.226820876811118</v>
      </c>
      <c r="Y104" s="55">
        <f t="shared" ca="1" si="36"/>
        <v>4.9222519631184758</v>
      </c>
      <c r="Z104">
        <f t="shared" ca="1" si="30"/>
        <v>0</v>
      </c>
      <c r="AA104">
        <f t="shared" ca="1" si="37"/>
        <v>112.62110222967297</v>
      </c>
      <c r="AB104">
        <f t="shared" ca="1" si="31"/>
        <v>0</v>
      </c>
      <c r="AC104">
        <f t="shared" ca="1" si="32"/>
        <v>6.6928509242848624E-3</v>
      </c>
      <c r="AD104" s="83">
        <f ca="1"/>
        <v>45648</v>
      </c>
      <c r="AE104" s="55">
        <f t="shared" ca="1" si="41"/>
        <v>45648</v>
      </c>
      <c r="AF104" s="55">
        <f t="shared" ca="1" si="42"/>
        <v>60.526209366740915</v>
      </c>
      <c r="AG104" s="55">
        <f t="shared" ca="1" si="43"/>
        <v>31.665706860288491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45.018002630255438</v>
      </c>
      <c r="AK104" s="55">
        <f t="shared" ca="1" si="40"/>
        <v>16.319070111910072</v>
      </c>
    </row>
    <row r="105" spans="18:37">
      <c r="R105" s="83">
        <f ca="1"/>
        <v>45481</v>
      </c>
      <c r="S105" s="55">
        <f t="shared" ca="1" si="33"/>
        <v>45481</v>
      </c>
      <c r="T105" s="55">
        <f t="shared" ca="1" si="27"/>
        <v>56.402125283098961</v>
      </c>
      <c r="U105" s="55">
        <f t="shared" ca="1" si="28"/>
        <v>1.3386898147826627</v>
      </c>
      <c r="V105" s="55">
        <f t="shared" ca="1" si="29"/>
        <v>0</v>
      </c>
      <c r="W105" s="55">
        <f t="shared" ca="1" si="34"/>
        <v>-41.799358763484953</v>
      </c>
      <c r="X105" s="55">
        <f t="shared" ca="1" si="35"/>
        <v>43.567926537075756</v>
      </c>
      <c r="Y105" s="55">
        <f t="shared" ca="1" si="36"/>
        <v>5.2106472216008441</v>
      </c>
      <c r="Z105">
        <f t="shared" ca="1" si="30"/>
        <v>0</v>
      </c>
      <c r="AA105">
        <f t="shared" ca="1" si="37"/>
        <v>114.14110222967297</v>
      </c>
      <c r="AB105">
        <f t="shared" ca="1" si="31"/>
        <v>0</v>
      </c>
      <c r="AC105">
        <f t="shared" ca="1" si="32"/>
        <v>6.6928509242848624E-3</v>
      </c>
      <c r="AD105" s="83">
        <f ca="1"/>
        <v>45649</v>
      </c>
      <c r="AE105" s="55">
        <f t="shared" ca="1" si="41"/>
        <v>45649</v>
      </c>
      <c r="AF105" s="55">
        <f t="shared" ca="1" si="42"/>
        <v>59.951738053853759</v>
      </c>
      <c r="AG105" s="55">
        <f t="shared" ca="1" si="43"/>
        <v>33.120225836901184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45.575989718977659</v>
      </c>
      <c r="AK105" s="55">
        <f t="shared" ca="1" si="40"/>
        <v>16.641130686913392</v>
      </c>
    </row>
    <row r="106" spans="18:37">
      <c r="R106" s="83">
        <f ca="1"/>
        <v>45482</v>
      </c>
      <c r="S106" s="55">
        <f t="shared" ca="1" si="33"/>
        <v>45482</v>
      </c>
      <c r="T106" s="55">
        <f t="shared" ca="1" si="27"/>
        <v>56.503010104033152</v>
      </c>
      <c r="U106" s="55">
        <f t="shared" ca="1" si="28"/>
        <v>1.3386898147826627</v>
      </c>
      <c r="V106" s="55">
        <f t="shared" ca="1" si="29"/>
        <v>0</v>
      </c>
      <c r="W106" s="55">
        <f t="shared" ca="1" si="34"/>
        <v>-42.3122805329849</v>
      </c>
      <c r="X106" s="55">
        <f t="shared" ca="1" si="35"/>
        <v>43.899468188191264</v>
      </c>
      <c r="Y106" s="55">
        <f t="shared" ca="1" si="36"/>
        <v>5.4929121609194755</v>
      </c>
      <c r="Z106">
        <f t="shared" ca="1" si="30"/>
        <v>0</v>
      </c>
      <c r="AA106">
        <f t="shared" ca="1" si="37"/>
        <v>115.43110222967297</v>
      </c>
      <c r="AB106">
        <f t="shared" ca="1" si="31"/>
        <v>0</v>
      </c>
      <c r="AC106">
        <f t="shared" ca="1" si="32"/>
        <v>6.6928509242848624E-3</v>
      </c>
      <c r="AD106" s="83">
        <f ca="1"/>
        <v>45650</v>
      </c>
      <c r="AE106" s="55">
        <f t="shared" ca="1" si="41"/>
        <v>45650</v>
      </c>
      <c r="AF106" s="55">
        <f t="shared" ca="1" si="42"/>
        <v>59.33017231694356</v>
      </c>
      <c r="AG106" s="55">
        <f t="shared" ca="1" si="43"/>
        <v>34.59994930677734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46.123750511221786</v>
      </c>
      <c r="AK106" s="55">
        <f t="shared" ca="1" si="40"/>
        <v>16.951527627635222</v>
      </c>
    </row>
    <row r="107" spans="18:37">
      <c r="R107" s="83">
        <f ca="1"/>
        <v>45483</v>
      </c>
      <c r="S107" s="55">
        <f t="shared" ca="1" si="33"/>
        <v>45483</v>
      </c>
      <c r="T107" s="55">
        <f t="shared" ca="1" si="27"/>
        <v>56.871012731699572</v>
      </c>
      <c r="U107" s="55">
        <f t="shared" ca="1" si="28"/>
        <v>1.3386898147826627</v>
      </c>
      <c r="V107" s="55">
        <f t="shared" ca="1" si="29"/>
        <v>0</v>
      </c>
      <c r="W107" s="55">
        <f t="shared" ca="1" si="34"/>
        <v>-42.564408689428767</v>
      </c>
      <c r="X107" s="55">
        <f t="shared" ca="1" si="35"/>
        <v>44.236392981136774</v>
      </c>
      <c r="Y107" s="55">
        <f t="shared" ca="1" si="36"/>
        <v>5.7761181520842504</v>
      </c>
      <c r="Z107">
        <f t="shared" ca="1" si="30"/>
        <v>0</v>
      </c>
      <c r="AA107">
        <f t="shared" ca="1" si="37"/>
        <v>116.06110222967297</v>
      </c>
      <c r="AB107">
        <f t="shared" ca="1" si="31"/>
        <v>0</v>
      </c>
      <c r="AC107">
        <f t="shared" ca="1" si="32"/>
        <v>6.6928509242848624E-3</v>
      </c>
      <c r="AD107" s="83">
        <f ca="1"/>
        <v>45651</v>
      </c>
      <c r="AE107" s="55">
        <f t="shared" ca="1" si="41"/>
        <v>45651</v>
      </c>
      <c r="AF107" s="55">
        <f t="shared" ca="1" si="42"/>
        <v>58.625136439776071</v>
      </c>
      <c r="AG107" s="55">
        <f t="shared" ca="1" si="43"/>
        <v>36.215981700649934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46.714958811055212</v>
      </c>
      <c r="AK107" s="55">
        <f t="shared" ca="1" si="40"/>
        <v>17.271315844506901</v>
      </c>
    </row>
    <row r="108" spans="18:37">
      <c r="R108" s="83">
        <f ca="1"/>
        <v>45484</v>
      </c>
      <c r="S108" s="55">
        <f t="shared" ca="1" si="33"/>
        <v>45484</v>
      </c>
      <c r="T108" s="55">
        <f t="shared" ca="1" si="27"/>
        <v>57.080307813265115</v>
      </c>
      <c r="U108" s="55">
        <f t="shared" ca="1" si="28"/>
        <v>1.3386898147826627</v>
      </c>
      <c r="V108" s="55">
        <f t="shared" ca="1" si="29"/>
        <v>0</v>
      </c>
      <c r="W108" s="55">
        <f t="shared" ca="1" si="34"/>
        <v>-42.962068167194516</v>
      </c>
      <c r="X108" s="55">
        <f t="shared" ca="1" si="35"/>
        <v>44.565469860596359</v>
      </c>
      <c r="Y108" s="55">
        <f t="shared" ca="1" si="36"/>
        <v>6.0539958319559606</v>
      </c>
      <c r="Z108">
        <f t="shared" ca="1" si="30"/>
        <v>0</v>
      </c>
      <c r="AA108">
        <f t="shared" ca="1" si="37"/>
        <v>117.05110222967298</v>
      </c>
      <c r="AB108">
        <f t="shared" ca="1" si="31"/>
        <v>0</v>
      </c>
      <c r="AC108">
        <f t="shared" ca="1" si="32"/>
        <v>6.6928509242848624E-3</v>
      </c>
      <c r="AD108" s="83">
        <f ca="1"/>
        <v>45652</v>
      </c>
      <c r="AE108" s="55">
        <f t="shared" ca="1" si="41"/>
        <v>45652</v>
      </c>
      <c r="AF108" s="55">
        <f t="shared" ca="1" si="42"/>
        <v>57.83573360235026</v>
      </c>
      <c r="AG108" s="55">
        <f t="shared" ca="1" si="43"/>
        <v>37.97339368261337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47.354810541349885</v>
      </c>
      <c r="AK108" s="55">
        <f t="shared" ca="1" si="40"/>
        <v>17.599473258749853</v>
      </c>
    </row>
    <row r="109" spans="18:37">
      <c r="R109" s="83">
        <f ca="1"/>
        <v>45485</v>
      </c>
      <c r="S109" s="55">
        <f t="shared" ca="1" si="33"/>
        <v>45485</v>
      </c>
      <c r="T109" s="55">
        <f t="shared" ca="1" si="27"/>
        <v>57.715003393147128</v>
      </c>
      <c r="U109" s="55">
        <f t="shared" ca="1" si="28"/>
        <v>1.3386898147826627</v>
      </c>
      <c r="V109" s="55">
        <f t="shared" ca="1" si="29"/>
        <v>0</v>
      </c>
      <c r="W109" s="55">
        <f t="shared" ca="1" si="34"/>
        <v>-42.962068167194516</v>
      </c>
      <c r="X109" s="55">
        <f t="shared" ca="1" si="35"/>
        <v>44.91461542180042</v>
      </c>
      <c r="Y109" s="55">
        <f t="shared" ca="1" si="36"/>
        <v>6.3395458506339164</v>
      </c>
      <c r="Z109">
        <f t="shared" ca="1" si="30"/>
        <v>0</v>
      </c>
      <c r="AA109">
        <f t="shared" ca="1" si="37"/>
        <v>117.05110222967298</v>
      </c>
      <c r="AB109">
        <f t="shared" ca="1" si="31"/>
        <v>0</v>
      </c>
      <c r="AC109">
        <f t="shared" ca="1" si="32"/>
        <v>6.6928509242848624E-3</v>
      </c>
      <c r="AD109" s="83">
        <f ca="1"/>
        <v>45653</v>
      </c>
      <c r="AE109" s="55">
        <f t="shared" ca="1" si="41"/>
        <v>45653</v>
      </c>
      <c r="AF109" s="55">
        <f t="shared" ca="1" si="42"/>
        <v>57.013868901238261</v>
      </c>
      <c r="AG109" s="55">
        <f t="shared" ca="1" si="43"/>
        <v>39.700658380339824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47.955507581278383</v>
      </c>
      <c r="AK109" s="55">
        <f t="shared" ca="1" si="40"/>
        <v>17.904176215435811</v>
      </c>
    </row>
    <row r="110" spans="18:37">
      <c r="R110" s="83">
        <f ca="1"/>
        <v>45486</v>
      </c>
      <c r="S110" s="55">
        <f t="shared" ca="1" si="33"/>
        <v>45486</v>
      </c>
      <c r="T110" s="55">
        <f t="shared" ca="1" si="27"/>
        <v>58.36600247145028</v>
      </c>
      <c r="U110" s="55">
        <f t="shared" ca="1" si="28"/>
        <v>1.3386898147826627</v>
      </c>
      <c r="V110" s="55">
        <f t="shared" ca="1" si="29"/>
        <v>0</v>
      </c>
      <c r="W110" s="55">
        <f t="shared" ca="1" si="34"/>
        <v>-42.971196807390932</v>
      </c>
      <c r="X110" s="55">
        <f t="shared" ca="1" si="35"/>
        <v>45.282425971990186</v>
      </c>
      <c r="Y110" s="55">
        <f t="shared" ca="1" si="36"/>
        <v>6.6318630189437178</v>
      </c>
      <c r="Z110">
        <f t="shared" ca="1" si="30"/>
        <v>0</v>
      </c>
      <c r="AA110">
        <f t="shared" ca="1" si="37"/>
        <v>117.07332797346999</v>
      </c>
      <c r="AB110">
        <f t="shared" ca="1" si="31"/>
        <v>0</v>
      </c>
      <c r="AC110">
        <f t="shared" ca="1" si="32"/>
        <v>6.6928509242848624E-3</v>
      </c>
      <c r="AD110" s="83">
        <f ca="1"/>
        <v>45654</v>
      </c>
      <c r="AE110" s="55">
        <f t="shared" ca="1" si="41"/>
        <v>45654</v>
      </c>
      <c r="AF110" s="55">
        <f t="shared" ca="1" si="42"/>
        <v>56.106568749227776</v>
      </c>
      <c r="AG110" s="55">
        <f t="shared" ca="1" si="43"/>
        <v>41.508112929097379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48.55404061570961</v>
      </c>
      <c r="AK110" s="55">
        <f t="shared" ca="1" si="40"/>
        <v>18.205797577751653</v>
      </c>
    </row>
    <row r="111" spans="18:37">
      <c r="R111" s="83">
        <f ca="1"/>
        <v>45487</v>
      </c>
      <c r="S111" s="55">
        <f t="shared" ca="1" si="33"/>
        <v>45487</v>
      </c>
      <c r="T111" s="55">
        <f t="shared" ca="1" si="27"/>
        <v>59.058937988303825</v>
      </c>
      <c r="U111" s="55">
        <f t="shared" ca="1" si="28"/>
        <v>1.3386898147826627</v>
      </c>
      <c r="V111" s="55">
        <f t="shared" ca="1" si="29"/>
        <v>0</v>
      </c>
      <c r="W111" s="55">
        <f t="shared" ca="1" si="34"/>
        <v>-42.971196807390932</v>
      </c>
      <c r="X111" s="55">
        <f t="shared" ca="1" si="35"/>
        <v>45.674149141010602</v>
      </c>
      <c r="Y111" s="55">
        <f t="shared" ca="1" si="36"/>
        <v>6.9330753667768485</v>
      </c>
      <c r="Z111">
        <f t="shared" ca="1" si="30"/>
        <v>0</v>
      </c>
      <c r="AA111">
        <f t="shared" ca="1" si="37"/>
        <v>117.07332797346999</v>
      </c>
      <c r="AB111">
        <f t="shared" ca="1" si="31"/>
        <v>0</v>
      </c>
      <c r="AC111">
        <f t="shared" ca="1" si="32"/>
        <v>6.6928509242848624E-3</v>
      </c>
      <c r="AD111" s="83">
        <f ca="1"/>
        <v>45655</v>
      </c>
      <c r="AE111" s="55">
        <f t="shared" ca="1" si="41"/>
        <v>45655</v>
      </c>
      <c r="AF111" s="55">
        <f t="shared" ca="1" si="42"/>
        <v>55.131367224756339</v>
      </c>
      <c r="AG111" s="55">
        <f t="shared" ca="1" si="43"/>
        <v>43.348443641050679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49.128207591978494</v>
      </c>
      <c r="AK111" s="55">
        <f t="shared" ca="1" si="40"/>
        <v>18.496759788964631</v>
      </c>
    </row>
    <row r="112" spans="18:37">
      <c r="R112" s="83">
        <f ca="1"/>
        <v>45488</v>
      </c>
      <c r="S112" s="55">
        <f t="shared" ca="1" si="33"/>
        <v>45488</v>
      </c>
      <c r="T112" s="55">
        <f t="shared" ca="1" si="27"/>
        <v>59.139055948486956</v>
      </c>
      <c r="U112" s="55">
        <f t="shared" ca="1" si="28"/>
        <v>1.3386898147826627</v>
      </c>
      <c r="V112" s="55">
        <f t="shared" ca="1" si="29"/>
        <v>0</v>
      </c>
      <c r="W112" s="55">
        <f t="shared" ca="1" si="34"/>
        <v>-43.528856201631108</v>
      </c>
      <c r="X112" s="55">
        <f t="shared" ca="1" si="35"/>
        <v>46.029299931011757</v>
      </c>
      <c r="Y112" s="55">
        <f t="shared" ca="1" si="36"/>
        <v>7.2157019311990025</v>
      </c>
      <c r="Z112">
        <f t="shared" ca="1" si="30"/>
        <v>0</v>
      </c>
      <c r="AA112">
        <f t="shared" ca="1" si="37"/>
        <v>118.41332797346999</v>
      </c>
      <c r="AB112">
        <f t="shared" ca="1" si="31"/>
        <v>0</v>
      </c>
      <c r="AC112">
        <f t="shared" ca="1" si="32"/>
        <v>6.6928509242848624E-3</v>
      </c>
      <c r="AD112" s="83">
        <f ca="1"/>
        <v>45656</v>
      </c>
      <c r="AE112" s="55">
        <f t="shared" ca="1" si="41"/>
        <v>45656</v>
      </c>
      <c r="AF112" s="55">
        <f t="shared" ca="1" si="42"/>
        <v>54.114472507979855</v>
      </c>
      <c r="AG112" s="55">
        <f t="shared" ca="1" si="43"/>
        <v>45.192731870284341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49.678526064873296</v>
      </c>
      <c r="AK112" s="55">
        <f t="shared" ca="1" si="40"/>
        <v>18.773834828527008</v>
      </c>
    </row>
    <row r="113" spans="18:37">
      <c r="R113" s="83">
        <f ca="1"/>
        <v>45489</v>
      </c>
      <c r="S113" s="55">
        <f t="shared" ca="1" si="33"/>
        <v>45489</v>
      </c>
      <c r="T113" s="55">
        <f t="shared" ca="1" si="27"/>
        <v>59.827846935305182</v>
      </c>
      <c r="U113" s="55">
        <f t="shared" ca="1" si="28"/>
        <v>1.3386898147826627</v>
      </c>
      <c r="V113" s="55">
        <f t="shared" ca="1" si="29"/>
        <v>0</v>
      </c>
      <c r="W113" s="55">
        <f t="shared" ca="1" si="34"/>
        <v>-43.528856201631108</v>
      </c>
      <c r="X113" s="55">
        <f t="shared" ca="1" si="35"/>
        <v>46.421023100032173</v>
      </c>
      <c r="Y113" s="55">
        <f t="shared" ca="1" si="36"/>
        <v>7.5127697489968135</v>
      </c>
      <c r="Z113">
        <f t="shared" ca="1" si="30"/>
        <v>0</v>
      </c>
      <c r="AA113">
        <f t="shared" ca="1" si="37"/>
        <v>118.41332797346999</v>
      </c>
      <c r="AB113">
        <f t="shared" ca="1" si="31"/>
        <v>0</v>
      </c>
      <c r="AC113">
        <f t="shared" ca="1" si="32"/>
        <v>6.6928509242848624E-3</v>
      </c>
      <c r="AD113" s="83">
        <f ca="1"/>
        <v>45657</v>
      </c>
      <c r="AE113" s="55">
        <f t="shared" ca="1" si="41"/>
        <v>45657</v>
      </c>
      <c r="AF113" s="55">
        <f t="shared" ca="1" si="42"/>
        <v>53.249354535466736</v>
      </c>
      <c r="AG113" s="55">
        <f t="shared" ca="1" si="43"/>
        <v>46.787602019505684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50.174050754771173</v>
      </c>
      <c r="AK113" s="55">
        <f t="shared" ca="1" si="40"/>
        <v>19.008062315337355</v>
      </c>
    </row>
    <row r="114" spans="18:37">
      <c r="R114" s="83">
        <f ca="1"/>
        <v>45490</v>
      </c>
      <c r="S114" s="55">
        <f t="shared" ca="1" si="33"/>
        <v>45490</v>
      </c>
      <c r="T114" s="55">
        <f t="shared" ca="1" si="27"/>
        <v>60.309766306566004</v>
      </c>
      <c r="U114" s="55">
        <f t="shared" ca="1" si="28"/>
        <v>1.3386898147826627</v>
      </c>
      <c r="V114" s="55">
        <f t="shared" ca="1" si="29"/>
        <v>0</v>
      </c>
      <c r="W114" s="55">
        <f t="shared" ca="1" si="34"/>
        <v>-43.729573159698184</v>
      </c>
      <c r="X114" s="55">
        <f t="shared" ca="1" si="35"/>
        <v>46.80998844374151</v>
      </c>
      <c r="Y114" s="55">
        <f t="shared" ca="1" si="36"/>
        <v>7.8064407346153759</v>
      </c>
      <c r="Z114">
        <f t="shared" ca="1" si="30"/>
        <v>0</v>
      </c>
      <c r="AA114">
        <f t="shared" ca="1" si="37"/>
        <v>118.88626855827323</v>
      </c>
      <c r="AB114">
        <f t="shared" ca="1" si="31"/>
        <v>0</v>
      </c>
      <c r="AC114">
        <f t="shared" ca="1" si="32"/>
        <v>6.6928509242848624E-3</v>
      </c>
      <c r="AD114" s="83">
        <f ca="1"/>
        <v>45658</v>
      </c>
      <c r="AE114" s="55">
        <f t="shared" ca="1" si="41"/>
        <v>45658</v>
      </c>
      <c r="AF114" s="55">
        <f t="shared" ca="1" si="42"/>
        <v>52.072273704840818</v>
      </c>
      <c r="AG114" s="55">
        <f t="shared" ca="1" si="43"/>
        <v>48.883236376401292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50.807148090309134</v>
      </c>
      <c r="AK114" s="55">
        <f t="shared" ca="1" si="40"/>
        <v>19.293518506069084</v>
      </c>
    </row>
    <row r="115" spans="18:37">
      <c r="R115" s="83">
        <f ca="1"/>
        <v>45491</v>
      </c>
      <c r="S115" s="55">
        <f t="shared" ca="1" si="33"/>
        <v>45491</v>
      </c>
      <c r="T115" s="55">
        <f t="shared" ca="1" si="27"/>
        <v>60.917683536953326</v>
      </c>
      <c r="U115" s="55">
        <f t="shared" ca="1" si="28"/>
        <v>1.3386898147826627</v>
      </c>
      <c r="V115" s="55">
        <f t="shared" ca="1" si="29"/>
        <v>0</v>
      </c>
      <c r="W115" s="55">
        <f t="shared" ca="1" si="34"/>
        <v>-43.806735558844991</v>
      </c>
      <c r="X115" s="55">
        <f t="shared" ca="1" si="35"/>
        <v>47.202172516602197</v>
      </c>
      <c r="Y115" s="55">
        <f t="shared" ca="1" si="36"/>
        <v>8.099336291288818</v>
      </c>
      <c r="Z115">
        <f t="shared" ca="1" si="30"/>
        <v>0</v>
      </c>
      <c r="AA115">
        <f t="shared" ca="1" si="37"/>
        <v>119.06626855827324</v>
      </c>
      <c r="AB115">
        <f t="shared" ca="1" si="31"/>
        <v>0</v>
      </c>
      <c r="AC115">
        <f t="shared" ca="1" si="32"/>
        <v>6.6928509242848624E-3</v>
      </c>
      <c r="AD115" s="83">
        <f ca="1"/>
        <v>45659</v>
      </c>
      <c r="AE115" s="55">
        <f t="shared" ca="1" si="41"/>
        <v>45659</v>
      </c>
      <c r="AF115" s="55">
        <f t="shared" ca="1" si="42"/>
        <v>50.877417941008716</v>
      </c>
      <c r="AG115" s="55">
        <f t="shared" ca="1" si="43"/>
        <v>50.99204378185209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51.448529972302644</v>
      </c>
      <c r="AK115" s="55">
        <f t="shared" ca="1" si="40"/>
        <v>19.566088265694269</v>
      </c>
    </row>
    <row r="116" spans="18:37">
      <c r="R116" s="83">
        <f ca="1"/>
        <v>45492</v>
      </c>
      <c r="S116" s="55">
        <f t="shared" ca="1" si="33"/>
        <v>45492</v>
      </c>
      <c r="T116" s="55">
        <f t="shared" ca="1" si="27"/>
        <v>61.448992671807112</v>
      </c>
      <c r="U116" s="55">
        <f t="shared" ca="1" si="28"/>
        <v>1.3386898147826627</v>
      </c>
      <c r="V116" s="55">
        <f t="shared" ca="1" si="29"/>
        <v>0</v>
      </c>
      <c r="W116" s="55">
        <f t="shared" ca="1" si="34"/>
        <v>-43.992675658892644</v>
      </c>
      <c r="X116" s="55">
        <f t="shared" ca="1" si="35"/>
        <v>47.618345169786203</v>
      </c>
      <c r="Y116" s="55">
        <f t="shared" ca="1" si="36"/>
        <v>8.4004128730062533</v>
      </c>
      <c r="Z116">
        <f t="shared" ca="1" si="30"/>
        <v>0</v>
      </c>
      <c r="AA116">
        <f t="shared" ca="1" si="37"/>
        <v>119.49626855827324</v>
      </c>
      <c r="AB116">
        <f t="shared" ca="1" si="31"/>
        <v>0</v>
      </c>
      <c r="AC116">
        <f t="shared" ca="1" si="32"/>
        <v>6.6928509242848624E-3</v>
      </c>
      <c r="AD116" s="83">
        <f ca="1"/>
        <v>45660</v>
      </c>
      <c r="AE116" s="55">
        <f t="shared" ca="1" si="41"/>
        <v>45660</v>
      </c>
      <c r="AF116" s="55">
        <f t="shared" ca="1" si="42"/>
        <v>49.618228363054705</v>
      </c>
      <c r="AG116" s="55">
        <f t="shared" ca="1" si="43"/>
        <v>53.16044588575793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52.091430229238789</v>
      </c>
      <c r="AK116" s="55">
        <f t="shared" ca="1" si="40"/>
        <v>19.832400534709954</v>
      </c>
    </row>
    <row r="117" spans="18:37">
      <c r="R117" s="83">
        <f ca="1"/>
        <v>45493</v>
      </c>
      <c r="S117" s="55">
        <f t="shared" ca="1" si="33"/>
        <v>45493</v>
      </c>
      <c r="T117" s="55">
        <f t="shared" ca="1" si="27"/>
        <v>61.779948459839616</v>
      </c>
      <c r="U117" s="55">
        <f t="shared" ca="1" si="28"/>
        <v>1.3386898147826627</v>
      </c>
      <c r="V117" s="55">
        <f t="shared" ca="1" si="29"/>
        <v>0</v>
      </c>
      <c r="W117" s="55">
        <f t="shared" ca="1" si="34"/>
        <v>-44.353516320822891</v>
      </c>
      <c r="X117" s="55">
        <f t="shared" ca="1" si="35"/>
        <v>48.018420094604139</v>
      </c>
      <c r="Y117" s="55">
        <f t="shared" ca="1" si="36"/>
        <v>8.6921343981510688</v>
      </c>
      <c r="Z117">
        <f t="shared" ca="1" si="30"/>
        <v>0</v>
      </c>
      <c r="AA117">
        <f t="shared" ca="1" si="37"/>
        <v>120.32626855827324</v>
      </c>
      <c r="AB117">
        <f t="shared" ca="1" si="31"/>
        <v>0</v>
      </c>
      <c r="AC117">
        <f t="shared" ca="1" si="32"/>
        <v>6.6928509242848624E-3</v>
      </c>
      <c r="AD117" s="83">
        <f ca="1"/>
        <v>45661</v>
      </c>
      <c r="AE117" s="55">
        <f t="shared" ca="1" si="41"/>
        <v>45661</v>
      </c>
      <c r="AF117" s="55">
        <f t="shared" ca="1" si="42"/>
        <v>48.26837140583752</v>
      </c>
      <c r="AG117" s="55">
        <f t="shared" ca="1" si="43"/>
        <v>55.45175833985391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52.765494522136919</v>
      </c>
      <c r="AK117" s="55">
        <f t="shared" ca="1" si="40"/>
        <v>20.09979173869062</v>
      </c>
    </row>
    <row r="118" spans="18:37">
      <c r="R118" s="83">
        <f ca="1"/>
        <v>45494</v>
      </c>
      <c r="S118" s="55">
        <f t="shared" ca="1" si="33"/>
        <v>45494</v>
      </c>
      <c r="T118" s="55">
        <f t="shared" ca="1" si="27"/>
        <v>62.180102031125543</v>
      </c>
      <c r="U118" s="55">
        <f t="shared" ca="1" si="28"/>
        <v>1.3386898147826627</v>
      </c>
      <c r="V118" s="55">
        <f t="shared" ca="1" si="29"/>
        <v>0</v>
      </c>
      <c r="W118" s="55">
        <f t="shared" ca="1" si="34"/>
        <v>-44.620430166208351</v>
      </c>
      <c r="X118" s="55">
        <f t="shared" ca="1" si="35"/>
        <v>48.402817957406512</v>
      </c>
      <c r="Y118" s="55">
        <f t="shared" ca="1" si="36"/>
        <v>8.9748039520200855</v>
      </c>
      <c r="Z118">
        <f t="shared" ca="1" si="30"/>
        <v>0</v>
      </c>
      <c r="AA118">
        <f t="shared" ca="1" si="37"/>
        <v>120.93626855827324</v>
      </c>
      <c r="AB118">
        <f t="shared" ca="1" si="31"/>
        <v>0</v>
      </c>
      <c r="AC118">
        <f t="shared" ca="1" si="32"/>
        <v>6.6928509242848624E-3</v>
      </c>
      <c r="AD118" s="83">
        <f ca="1"/>
        <v>45662</v>
      </c>
      <c r="AE118" s="55">
        <f t="shared" ca="1" si="41"/>
        <v>45662</v>
      </c>
      <c r="AF118" s="55">
        <f t="shared" ca="1" si="42"/>
        <v>46.779278059619266</v>
      </c>
      <c r="AG118" s="55">
        <f t="shared" ca="1" si="43"/>
        <v>57.88839847746155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53.442746933923985</v>
      </c>
      <c r="AK118" s="55">
        <f t="shared" ca="1" si="40"/>
        <v>20.370086118292939</v>
      </c>
    </row>
    <row r="119" spans="18:37">
      <c r="R119" s="83">
        <f ca="1"/>
        <v>45495</v>
      </c>
      <c r="S119" s="55">
        <f t="shared" ca="1" si="33"/>
        <v>45495</v>
      </c>
      <c r="T119" s="55">
        <f t="shared" ca="1" si="27"/>
        <v>62.641801064958102</v>
      </c>
      <c r="U119" s="55">
        <f t="shared" ca="1" si="28"/>
        <v>1.3386898147826627</v>
      </c>
      <c r="V119" s="55">
        <f t="shared" ca="1" si="29"/>
        <v>0</v>
      </c>
      <c r="W119" s="55">
        <f t="shared" ca="1" si="34"/>
        <v>-44.832020249805538</v>
      </c>
      <c r="X119" s="55">
        <f t="shared" ca="1" si="35"/>
        <v>48.793160586334842</v>
      </c>
      <c r="Y119" s="55">
        <f t="shared" ca="1" si="36"/>
        <v>9.2577504405214981</v>
      </c>
      <c r="Z119">
        <f t="shared" ca="1" si="30"/>
        <v>0</v>
      </c>
      <c r="AA119">
        <f t="shared" ca="1" si="37"/>
        <v>121.41626855827323</v>
      </c>
      <c r="AB119">
        <f t="shared" ca="1" si="31"/>
        <v>0</v>
      </c>
      <c r="AC119">
        <f t="shared" ca="1" si="32"/>
        <v>6.6928509242848624E-3</v>
      </c>
      <c r="AD119" s="83">
        <f ca="1"/>
        <v>45663</v>
      </c>
      <c r="AE119" s="55">
        <f t="shared" ca="1" si="41"/>
        <v>45663</v>
      </c>
      <c r="AF119" s="55">
        <f t="shared" ca="1" si="42"/>
        <v>45.223066538036015</v>
      </c>
      <c r="AG119" s="55">
        <f t="shared" ca="1" si="43"/>
        <v>60.367407358868988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54.104290750124377</v>
      </c>
      <c r="AK119" s="55">
        <f t="shared" ca="1" si="40"/>
        <v>20.631339661916726</v>
      </c>
    </row>
    <row r="120" spans="18:37">
      <c r="R120" s="83">
        <f ca="1"/>
        <v>45496</v>
      </c>
      <c r="S120" s="55">
        <f t="shared" ca="1" si="33"/>
        <v>45496</v>
      </c>
      <c r="T120" s="55">
        <f t="shared" ca="1" si="27"/>
        <v>62.967809720248106</v>
      </c>
      <c r="U120" s="55">
        <f t="shared" ca="1" si="28"/>
        <v>1.3386898147826627</v>
      </c>
      <c r="V120" s="55">
        <f t="shared" ca="1" si="29"/>
        <v>0</v>
      </c>
      <c r="W120" s="55">
        <f t="shared" ca="1" si="34"/>
        <v>-45.17764356093668</v>
      </c>
      <c r="X120" s="55">
        <f t="shared" ca="1" si="35"/>
        <v>49.183963033497093</v>
      </c>
      <c r="Y120" s="55">
        <f t="shared" ca="1" si="36"/>
        <v>9.5385799597803889</v>
      </c>
      <c r="Z120">
        <f t="shared" ca="1" si="30"/>
        <v>0</v>
      </c>
      <c r="AA120">
        <f t="shared" ca="1" si="37"/>
        <v>122.19626855827323</v>
      </c>
      <c r="AB120">
        <f t="shared" ca="1" si="31"/>
        <v>0</v>
      </c>
      <c r="AC120">
        <f t="shared" ca="1" si="32"/>
        <v>6.6928509242848624E-3</v>
      </c>
      <c r="AD120" s="83">
        <f ca="1"/>
        <v>45664</v>
      </c>
      <c r="AE120" s="55">
        <f t="shared" ca="1" si="41"/>
        <v>45664</v>
      </c>
      <c r="AF120" s="55">
        <f t="shared" ca="1" si="42"/>
        <v>43.6600590314982</v>
      </c>
      <c r="AG120" s="55">
        <f t="shared" ca="1" si="43"/>
        <v>62.826307685173262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54.753465880832728</v>
      </c>
      <c r="AK120" s="55">
        <f t="shared" ca="1" si="40"/>
        <v>20.878057350974835</v>
      </c>
    </row>
    <row r="121" spans="18:37">
      <c r="R121" s="83">
        <f ca="1"/>
        <v>45497</v>
      </c>
      <c r="S121" s="55">
        <f t="shared" ca="1" si="33"/>
        <v>45497</v>
      </c>
      <c r="T121" s="55">
        <f t="shared" ca="1" si="27"/>
        <v>62.688654424619905</v>
      </c>
      <c r="U121" s="55">
        <f t="shared" ca="1" si="28"/>
        <v>1.3386898147826627</v>
      </c>
      <c r="V121" s="55">
        <f t="shared" ca="1" si="29"/>
        <v>0</v>
      </c>
      <c r="W121" s="55">
        <f t="shared" ca="1" si="34"/>
        <v>-46.126099684361023</v>
      </c>
      <c r="X121" s="55">
        <f t="shared" ca="1" si="35"/>
        <v>49.574765480659345</v>
      </c>
      <c r="Y121" s="55">
        <f t="shared" ca="1" si="36"/>
        <v>9.8170783404142838</v>
      </c>
      <c r="Z121">
        <f t="shared" ca="1" si="30"/>
        <v>0</v>
      </c>
      <c r="AA121">
        <f t="shared" ca="1" si="37"/>
        <v>124.34626855827324</v>
      </c>
      <c r="AB121">
        <f t="shared" ca="1" si="31"/>
        <v>0</v>
      </c>
      <c r="AC121">
        <f t="shared" ca="1" si="32"/>
        <v>6.6928509242848624E-3</v>
      </c>
      <c r="AD121" s="83">
        <f ca="1"/>
        <v>45665</v>
      </c>
      <c r="AE121" s="55">
        <f t="shared" ca="1" si="41"/>
        <v>45665</v>
      </c>
      <c r="AF121" s="55">
        <f t="shared" ca="1" si="42"/>
        <v>42.09333178962364</v>
      </c>
      <c r="AG121" s="55">
        <f t="shared" ca="1" si="43"/>
        <v>65.262696217081199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55.389512297872379</v>
      </c>
      <c r="AK121" s="55">
        <f t="shared" ca="1" si="40"/>
        <v>21.111672223968561</v>
      </c>
    </row>
    <row r="122" spans="18:37">
      <c r="R122" s="83">
        <f ca="1"/>
        <v>45498</v>
      </c>
      <c r="S122" s="55">
        <f t="shared" ca="1" si="33"/>
        <v>45498</v>
      </c>
      <c r="T122" s="55">
        <f t="shared" ca="1" si="27"/>
        <v>63.225428580684941</v>
      </c>
      <c r="U122" s="55">
        <f t="shared" ca="1" si="28"/>
        <v>1.3386898147826627</v>
      </c>
      <c r="V122" s="55">
        <f t="shared" ca="1" si="29"/>
        <v>0</v>
      </c>
      <c r="W122" s="55">
        <f t="shared" ca="1" si="34"/>
        <v>-46.2996183605769</v>
      </c>
      <c r="X122" s="55">
        <f t="shared" ca="1" si="35"/>
        <v>49.996236974935563</v>
      </c>
      <c r="Y122" s="55">
        <f t="shared" ca="1" si="36"/>
        <v>10.105899678418979</v>
      </c>
      <c r="Z122">
        <f t="shared" ca="1" si="30"/>
        <v>0</v>
      </c>
      <c r="AA122">
        <f t="shared" ca="1" si="37"/>
        <v>124.73626855827322</v>
      </c>
      <c r="AB122">
        <f t="shared" ca="1" si="31"/>
        <v>0</v>
      </c>
      <c r="AC122">
        <f t="shared" ca="1" si="32"/>
        <v>6.6928509242848624E-3</v>
      </c>
      <c r="AD122" s="83">
        <f ca="1"/>
        <v>45666</v>
      </c>
      <c r="AE122" s="55">
        <f t="shared" ca="1" si="41"/>
        <v>45666</v>
      </c>
      <c r="AF122" s="55">
        <f t="shared" ca="1" si="42"/>
        <v>40.550660662633035</v>
      </c>
      <c r="AG122" s="55">
        <f t="shared" ca="1" si="43"/>
        <v>67.702091007974815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56.062154082085044</v>
      </c>
      <c r="AK122" s="55">
        <f t="shared" ca="1" si="40"/>
        <v>21.335754103658907</v>
      </c>
    </row>
    <row r="123" spans="18:37">
      <c r="R123" s="83">
        <f ca="1"/>
        <v>45499</v>
      </c>
      <c r="S123" s="55">
        <f t="shared" ca="1" si="33"/>
        <v>45499</v>
      </c>
      <c r="T123" s="55">
        <f t="shared" ca="1" si="27"/>
        <v>63.916426099410188</v>
      </c>
      <c r="U123" s="55">
        <f t="shared" ca="1" si="28"/>
        <v>1.3386898147826627</v>
      </c>
      <c r="V123" s="55">
        <f t="shared" ca="1" si="29"/>
        <v>0</v>
      </c>
      <c r="W123" s="55">
        <f t="shared" ca="1" si="34"/>
        <v>-46.326605296041095</v>
      </c>
      <c r="X123" s="55">
        <f t="shared" ca="1" si="35"/>
        <v>50.425006067492141</v>
      </c>
      <c r="Y123" s="55">
        <f t="shared" ca="1" si="36"/>
        <v>10.395115040051845</v>
      </c>
      <c r="Z123">
        <f t="shared" ca="1" si="30"/>
        <v>0</v>
      </c>
      <c r="AA123">
        <f t="shared" ca="1" si="37"/>
        <v>124.79626855827323</v>
      </c>
      <c r="AB123">
        <f t="shared" ca="1" si="31"/>
        <v>0</v>
      </c>
      <c r="AC123">
        <f t="shared" ca="1" si="32"/>
        <v>6.6928509242848624E-3</v>
      </c>
      <c r="AD123" s="83">
        <f ca="1"/>
        <v>45667</v>
      </c>
      <c r="AE123" s="55">
        <f t="shared" ca="1" si="41"/>
        <v>45667</v>
      </c>
      <c r="AF123" s="55">
        <f t="shared" ca="1" si="42"/>
        <v>38.95117970237591</v>
      </c>
      <c r="AG123" s="55">
        <f t="shared" ca="1" si="43"/>
        <v>70.17837389773446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56.720837402818233</v>
      </c>
      <c r="AK123" s="55">
        <f t="shared" ca="1" si="40"/>
        <v>21.553872712428237</v>
      </c>
    </row>
    <row r="124" spans="18:37">
      <c r="R124" s="83">
        <f ca="1"/>
        <v>45500</v>
      </c>
      <c r="S124" s="55">
        <f t="shared" ca="1" si="33"/>
        <v>45500</v>
      </c>
      <c r="T124" s="55">
        <f t="shared" ca="1" si="27"/>
        <v>64.642119651938771</v>
      </c>
      <c r="U124" s="55">
        <f t="shared" ca="1" si="28"/>
        <v>1.3386898147826627</v>
      </c>
      <c r="V124" s="55">
        <f t="shared" ca="1" si="29"/>
        <v>0</v>
      </c>
      <c r="W124" s="55">
        <f t="shared" ca="1" si="34"/>
        <v>-46.326605296041095</v>
      </c>
      <c r="X124" s="55">
        <f t="shared" ca="1" si="35"/>
        <v>50.861156040324303</v>
      </c>
      <c r="Y124" s="55">
        <f t="shared" ca="1" si="36"/>
        <v>10.684658619748262</v>
      </c>
      <c r="Z124">
        <f t="shared" ca="1" si="30"/>
        <v>0</v>
      </c>
      <c r="AA124">
        <f t="shared" ca="1" si="37"/>
        <v>124.79626855827323</v>
      </c>
      <c r="AB124">
        <f t="shared" ca="1" si="31"/>
        <v>0</v>
      </c>
      <c r="AC124">
        <f t="shared" ca="1" si="32"/>
        <v>6.6928509242848624E-3</v>
      </c>
      <c r="AD124" s="83">
        <f ca="1"/>
        <v>45668</v>
      </c>
      <c r="AE124" s="55">
        <f t="shared" ca="1" si="41"/>
        <v>45668</v>
      </c>
      <c r="AF124" s="55">
        <f t="shared" ca="1" si="42"/>
        <v>37.203201837077799</v>
      </c>
      <c r="AG124" s="55">
        <f t="shared" ca="1" si="43"/>
        <v>72.831927745808684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57.402753792765807</v>
      </c>
      <c r="AK124" s="55">
        <f t="shared" ca="1" si="40"/>
        <v>21.777532305256777</v>
      </c>
    </row>
    <row r="125" spans="18:37">
      <c r="R125" s="83">
        <f ca="1"/>
        <v>45501</v>
      </c>
      <c r="S125" s="55">
        <f t="shared" ca="1" si="33"/>
        <v>45501</v>
      </c>
      <c r="T125" s="55">
        <f t="shared" ca="1" si="27"/>
        <v>65.31874479258714</v>
      </c>
      <c r="U125" s="55">
        <f t="shared" ca="1" si="28"/>
        <v>1.3386898147826627</v>
      </c>
      <c r="V125" s="55">
        <f t="shared" ca="1" si="29"/>
        <v>0</v>
      </c>
      <c r="W125" s="55">
        <f t="shared" ca="1" si="34"/>
        <v>-46.379207052553873</v>
      </c>
      <c r="X125" s="55">
        <f t="shared" ca="1" si="35"/>
        <v>51.301774658432699</v>
      </c>
      <c r="Y125" s="55">
        <f t="shared" ca="1" si="36"/>
        <v>10.973266898801018</v>
      </c>
      <c r="Z125">
        <f t="shared" ca="1" si="30"/>
        <v>0</v>
      </c>
      <c r="AA125">
        <f t="shared" ca="1" si="37"/>
        <v>124.91070716966345</v>
      </c>
      <c r="AB125">
        <f t="shared" ca="1" si="31"/>
        <v>0</v>
      </c>
      <c r="AC125">
        <f t="shared" ca="1" si="32"/>
        <v>6.6928509242848624E-3</v>
      </c>
      <c r="AD125" s="83">
        <f ca="1"/>
        <v>45669</v>
      </c>
      <c r="AE125" s="55">
        <f t="shared" ca="1" si="41"/>
        <v>45669</v>
      </c>
      <c r="AF125" s="55">
        <f t="shared" ca="1" si="42"/>
        <v>35.378778501041992</v>
      </c>
      <c r="AG125" s="55">
        <f t="shared" ca="1" si="43"/>
        <v>75.556336071136883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58.082604718038631</v>
      </c>
      <c r="AK125" s="55">
        <f t="shared" ca="1" si="40"/>
        <v>21.997666369276345</v>
      </c>
    </row>
    <row r="126" spans="18:37">
      <c r="R126" s="83">
        <f ca="1"/>
        <v>45502</v>
      </c>
      <c r="S126" s="55">
        <f t="shared" ca="1" si="33"/>
        <v>45502</v>
      </c>
      <c r="T126" s="55">
        <f t="shared" ca="1" si="27"/>
        <v>65.742139052842987</v>
      </c>
      <c r="U126" s="55">
        <f t="shared" ca="1" si="28"/>
        <v>1.3386898147826627</v>
      </c>
      <c r="V126" s="55">
        <f t="shared" ca="1" si="29"/>
        <v>0</v>
      </c>
      <c r="W126" s="55">
        <f t="shared" ca="1" si="34"/>
        <v>-46.6197745836065</v>
      </c>
      <c r="X126" s="55">
        <f t="shared" ca="1" si="35"/>
        <v>51.697659006109056</v>
      </c>
      <c r="Y126" s="55">
        <f t="shared" ca="1" si="36"/>
        <v>11.241344342433138</v>
      </c>
      <c r="Z126">
        <f t="shared" ca="1" si="30"/>
        <v>0</v>
      </c>
      <c r="AA126">
        <f t="shared" ca="1" si="37"/>
        <v>125.43070716966346</v>
      </c>
      <c r="AB126">
        <f t="shared" ca="1" si="31"/>
        <v>0</v>
      </c>
      <c r="AC126">
        <f t="shared" ca="1" si="32"/>
        <v>6.6928509242848624E-3</v>
      </c>
      <c r="AD126" s="83">
        <f ca="1"/>
        <v>45670</v>
      </c>
      <c r="AE126" s="55">
        <f t="shared" ca="1" si="41"/>
        <v>45670</v>
      </c>
      <c r="AF126" s="55">
        <f t="shared" ca="1" si="42"/>
        <v>33.537317377626408</v>
      </c>
      <c r="AG126" s="55">
        <f t="shared" ca="1" si="43"/>
        <v>78.281618768906839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58.754961686488095</v>
      </c>
      <c r="AK126" s="55">
        <f t="shared" ca="1" si="40"/>
        <v>22.209130975181253</v>
      </c>
    </row>
    <row r="127" spans="18:37">
      <c r="R127" s="83">
        <f ca="1"/>
        <v>45503</v>
      </c>
      <c r="S127" s="55">
        <f t="shared" ca="1" si="33"/>
        <v>45503</v>
      </c>
      <c r="T127" s="55">
        <f t="shared" ca="1" si="27"/>
        <v>66.442706090083064</v>
      </c>
      <c r="U127" s="55">
        <f t="shared" ca="1" si="28"/>
        <v>1.3386898147826627</v>
      </c>
      <c r="V127" s="55">
        <f t="shared" ca="1" si="29"/>
        <v>0</v>
      </c>
      <c r="W127" s="55">
        <f t="shared" ca="1" si="34"/>
        <v>-46.6197745836065</v>
      </c>
      <c r="X127" s="55">
        <f t="shared" ca="1" si="35"/>
        <v>52.121553800772276</v>
      </c>
      <c r="Y127" s="55">
        <f t="shared" ca="1" si="36"/>
        <v>11.518016585009985</v>
      </c>
      <c r="Z127">
        <f t="shared" ca="1" si="30"/>
        <v>0</v>
      </c>
      <c r="AA127">
        <f t="shared" ca="1" si="37"/>
        <v>125.43070716966346</v>
      </c>
      <c r="AB127">
        <f t="shared" ca="1" si="31"/>
        <v>0</v>
      </c>
      <c r="AC127">
        <f t="shared" ca="1" si="32"/>
        <v>6.6928509242848624E-3</v>
      </c>
      <c r="AD127" s="83">
        <f ca="1"/>
        <v>45671</v>
      </c>
      <c r="AE127" s="55">
        <f t="shared" ca="1" si="41"/>
        <v>45671</v>
      </c>
      <c r="AF127" s="55">
        <f t="shared" ca="1" si="42"/>
        <v>31.647460972287639</v>
      </c>
      <c r="AG127" s="55">
        <f t="shared" ca="1" si="43"/>
        <v>81.05400970242647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59.430654900212524</v>
      </c>
      <c r="AK127" s="55">
        <f t="shared" ca="1" si="40"/>
        <v>22.415972289637686</v>
      </c>
    </row>
    <row r="128" spans="18:37">
      <c r="R128" s="83">
        <f ca="1"/>
        <v>45504</v>
      </c>
      <c r="S128" s="55">
        <f t="shared" ca="1" si="33"/>
        <v>45504</v>
      </c>
      <c r="T128" s="55">
        <f t="shared" ca="1" si="27"/>
        <v>66.947581910304976</v>
      </c>
      <c r="U128" s="55">
        <f t="shared" ca="1" si="28"/>
        <v>1.3386898147826627</v>
      </c>
      <c r="V128" s="55">
        <f t="shared" ca="1" si="29"/>
        <v>0</v>
      </c>
      <c r="W128" s="55">
        <f t="shared" ca="1" si="34"/>
        <v>-46.829143953641157</v>
      </c>
      <c r="X128" s="55">
        <f t="shared" ca="1" si="35"/>
        <v>52.557209117077981</v>
      </c>
      <c r="Y128" s="55">
        <f t="shared" ca="1" si="36"/>
        <v>11.796606458960849</v>
      </c>
      <c r="Z128">
        <f t="shared" ca="1" si="30"/>
        <v>0</v>
      </c>
      <c r="AA128">
        <f t="shared" ca="1" si="37"/>
        <v>125.8751218681038</v>
      </c>
      <c r="AB128">
        <f t="shared" ca="1" si="31"/>
        <v>0</v>
      </c>
      <c r="AC128">
        <f t="shared" ca="1" si="32"/>
        <v>6.6928509242848624E-3</v>
      </c>
      <c r="AD128" s="83">
        <f ca="1"/>
        <v>45672</v>
      </c>
      <c r="AE128" s="55">
        <f t="shared" ca="1" si="41"/>
        <v>45672</v>
      </c>
      <c r="AF128" s="55">
        <f t="shared" ca="1" si="42"/>
        <v>29.721970359587523</v>
      </c>
      <c r="AG128" s="55">
        <f t="shared" ca="1" si="43"/>
        <v>83.83639191936598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60.087601151390821</v>
      </c>
      <c r="AK128" s="55">
        <f t="shared" ca="1" si="40"/>
        <v>22.615917642698783</v>
      </c>
    </row>
    <row r="129" spans="18:37">
      <c r="R129" s="83">
        <f ca="1"/>
        <v>45505</v>
      </c>
      <c r="S129" s="55">
        <f t="shared" ca="1" si="33"/>
        <v>45505</v>
      </c>
      <c r="T129" s="55">
        <f t="shared" ca="1" si="27"/>
        <v>66.788218872714467</v>
      </c>
      <c r="U129" s="55">
        <f t="shared" ca="1" si="28"/>
        <v>1.3386898147826627</v>
      </c>
      <c r="V129" s="55">
        <f t="shared" ca="1" si="29"/>
        <v>0</v>
      </c>
      <c r="W129" s="55">
        <f t="shared" ca="1" si="34"/>
        <v>-47.665728235965311</v>
      </c>
      <c r="X129" s="55">
        <f t="shared" ca="1" si="35"/>
        <v>52.968127393848263</v>
      </c>
      <c r="Y129" s="55">
        <f t="shared" ca="1" si="36"/>
        <v>12.062909426924211</v>
      </c>
      <c r="Z129">
        <f t="shared" ca="1" si="30"/>
        <v>0</v>
      </c>
      <c r="AA129">
        <f t="shared" ca="1" si="37"/>
        <v>127.65512186810381</v>
      </c>
      <c r="AB129">
        <f t="shared" ca="1" si="31"/>
        <v>0</v>
      </c>
      <c r="AC129">
        <f t="shared" ca="1" si="32"/>
        <v>6.6928509242848624E-3</v>
      </c>
      <c r="AD129" s="83">
        <f ca="1"/>
        <v>45673</v>
      </c>
      <c r="AE129" s="55">
        <f t="shared" ca="1" si="41"/>
        <v>45673</v>
      </c>
      <c r="AF129" s="55">
        <f t="shared" ca="1" si="42"/>
        <v>27.763290032328655</v>
      </c>
      <c r="AG129" s="55">
        <f t="shared" ca="1" si="43"/>
        <v>86.618173961816169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60.717796182000697</v>
      </c>
      <c r="AK129" s="55">
        <f t="shared" ca="1" si="40"/>
        <v>22.808824327280227</v>
      </c>
    </row>
    <row r="130" spans="18:37">
      <c r="R130" s="83">
        <f ca="1"/>
        <v>45506</v>
      </c>
      <c r="S130" s="55">
        <f t="shared" ca="1" si="33"/>
        <v>45506</v>
      </c>
      <c r="T130" s="55">
        <f t="shared" ca="1" si="27"/>
        <v>67.483492754081567</v>
      </c>
      <c r="U130" s="55">
        <f t="shared" ca="1" si="28"/>
        <v>1.3386898147826627</v>
      </c>
      <c r="V130" s="55">
        <f t="shared" ca="1" si="29"/>
        <v>0</v>
      </c>
      <c r="W130" s="55">
        <f t="shared" ca="1" si="34"/>
        <v>-47.665728235965311</v>
      </c>
      <c r="X130" s="55">
        <f t="shared" ca="1" si="35"/>
        <v>53.393967472453738</v>
      </c>
      <c r="Y130" s="55">
        <f t="shared" ca="1" si="36"/>
        <v>12.332343229685829</v>
      </c>
      <c r="Z130">
        <f t="shared" ca="1" si="30"/>
        <v>0</v>
      </c>
      <c r="AA130">
        <f t="shared" ca="1" si="37"/>
        <v>127.65512186810381</v>
      </c>
      <c r="AB130">
        <f t="shared" ca="1" si="31"/>
        <v>0</v>
      </c>
      <c r="AC130">
        <f t="shared" ca="1" si="32"/>
        <v>6.6928509242848624E-3</v>
      </c>
      <c r="AD130" s="83">
        <f ca="1"/>
        <v>45674</v>
      </c>
      <c r="AE130" s="55">
        <f t="shared" ca="1" si="41"/>
        <v>45674</v>
      </c>
      <c r="AF130" s="55">
        <f t="shared" ca="1" si="42"/>
        <v>25.747907838914539</v>
      </c>
      <c r="AG130" s="55">
        <f t="shared" ca="1" si="43"/>
        <v>89.519908688760779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61.41005668700042</v>
      </c>
      <c r="AK130" s="55">
        <f t="shared" ca="1" si="40"/>
        <v>23.002916355811003</v>
      </c>
    </row>
    <row r="131" spans="18:37">
      <c r="R131" s="83">
        <f ca="1"/>
        <v>45507</v>
      </c>
      <c r="S131" s="55">
        <f t="shared" ca="1" si="33"/>
        <v>45507</v>
      </c>
      <c r="T131" s="55">
        <f t="shared" ca="1" si="27"/>
        <v>68.129077402225008</v>
      </c>
      <c r="U131" s="55">
        <f t="shared" ca="1" si="28"/>
        <v>1.3386898147826627</v>
      </c>
      <c r="V131" s="55">
        <f t="shared" ca="1" si="29"/>
        <v>0</v>
      </c>
      <c r="W131" s="55">
        <f t="shared" ca="1" si="34"/>
        <v>-47.696111224222498</v>
      </c>
      <c r="X131" s="55">
        <f t="shared" ca="1" si="35"/>
        <v>53.807746268870858</v>
      </c>
      <c r="Y131" s="55">
        <f t="shared" ca="1" si="36"/>
        <v>12.594532069669345</v>
      </c>
      <c r="Z131">
        <f t="shared" ca="1" si="30"/>
        <v>0</v>
      </c>
      <c r="AA131">
        <f t="shared" ca="1" si="37"/>
        <v>127.71849543349529</v>
      </c>
      <c r="AB131">
        <f t="shared" ca="1" si="31"/>
        <v>0</v>
      </c>
      <c r="AC131">
        <f t="shared" ca="1" si="32"/>
        <v>6.6928509242848624E-3</v>
      </c>
      <c r="AD131" s="83">
        <f ca="1"/>
        <v>45675</v>
      </c>
      <c r="AE131" s="55">
        <f t="shared" ca="1" si="41"/>
        <v>45675</v>
      </c>
      <c r="AF131" s="55">
        <f t="shared" ca="1" si="42"/>
        <v>23.621533890152971</v>
      </c>
      <c r="AG131" s="55">
        <f t="shared" ca="1" si="43"/>
        <v>92.517813251641485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62.087929086559967</v>
      </c>
      <c r="AK131" s="55">
        <f t="shared" ca="1" si="40"/>
        <v>23.196574570370593</v>
      </c>
    </row>
    <row r="132" spans="18:37">
      <c r="R132" s="83">
        <f ca="1"/>
        <v>45508</v>
      </c>
      <c r="S132" s="55">
        <f t="shared" ca="1" si="33"/>
        <v>45508</v>
      </c>
      <c r="T132" s="55">
        <f t="shared" ca="1" si="27"/>
        <v>68.862173668689422</v>
      </c>
      <c r="U132" s="55">
        <f t="shared" ca="1" si="28"/>
        <v>1.3386898147826627</v>
      </c>
      <c r="V132" s="55">
        <f t="shared" ca="1" si="29"/>
        <v>0</v>
      </c>
      <c r="W132" s="55">
        <f t="shared" ca="1" si="34"/>
        <v>-47.696111224222498</v>
      </c>
      <c r="X132" s="55">
        <f t="shared" ca="1" si="35"/>
        <v>54.265008647362663</v>
      </c>
      <c r="Y132" s="55">
        <f t="shared" ca="1" si="36"/>
        <v>12.870365957641955</v>
      </c>
      <c r="Z132">
        <f t="shared" ca="1" si="30"/>
        <v>0</v>
      </c>
      <c r="AA132">
        <f t="shared" ca="1" si="37"/>
        <v>127.71849543349529</v>
      </c>
      <c r="AB132">
        <f t="shared" ca="1" si="31"/>
        <v>0</v>
      </c>
      <c r="AC132">
        <f t="shared" ca="1" si="32"/>
        <v>6.6928509242848624E-3</v>
      </c>
      <c r="AD132" s="83">
        <f ca="1"/>
        <v>45676</v>
      </c>
      <c r="AE132" s="55">
        <f t="shared" ca="1" si="41"/>
        <v>45676</v>
      </c>
      <c r="AF132" s="55">
        <f t="shared" ca="1" si="42"/>
        <v>21.644047966221706</v>
      </c>
      <c r="AG132" s="55">
        <f t="shared" ca="1" si="43"/>
        <v>95.296065613974847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62.714449114388131</v>
      </c>
      <c r="AK132" s="55">
        <f t="shared" ca="1" si="40"/>
        <v>23.370820980944529</v>
      </c>
    </row>
    <row r="133" spans="18:37">
      <c r="R133" s="83">
        <f ca="1"/>
        <v>45509</v>
      </c>
      <c r="S133" s="55">
        <f t="shared" ca="1" si="33"/>
        <v>45509</v>
      </c>
      <c r="T133" s="55">
        <f t="shared" ca="1" si="27"/>
        <v>69.578463991311921</v>
      </c>
      <c r="U133" s="55">
        <f t="shared" ca="1" si="28"/>
        <v>1.3386898147826627</v>
      </c>
      <c r="V133" s="55">
        <f t="shared" ca="1" si="29"/>
        <v>0</v>
      </c>
      <c r="W133" s="55">
        <f t="shared" ca="1" si="34"/>
        <v>-47.696111224222498</v>
      </c>
      <c r="X133" s="55">
        <f t="shared" ca="1" si="35"/>
        <v>54.71213526949154</v>
      </c>
      <c r="Y133" s="55">
        <f t="shared" ca="1" si="36"/>
        <v>13.139529658135581</v>
      </c>
      <c r="Z133">
        <f t="shared" ca="1" si="30"/>
        <v>0</v>
      </c>
      <c r="AA133">
        <f t="shared" ca="1" si="37"/>
        <v>127.71849543349529</v>
      </c>
      <c r="AB133">
        <f t="shared" ca="1" si="31"/>
        <v>0</v>
      </c>
      <c r="AC133">
        <f t="shared" ca="1" si="32"/>
        <v>6.6928509242848624E-3</v>
      </c>
      <c r="AD133" s="83">
        <f ca="1"/>
        <v>45677</v>
      </c>
      <c r="AE133" s="55">
        <f t="shared" ca="1" si="41"/>
        <v>45677</v>
      </c>
      <c r="AF133" s="55">
        <f t="shared" ca="1" si="42"/>
        <v>19.497853170756972</v>
      </c>
      <c r="AG133" s="55">
        <f t="shared" ca="1" si="43"/>
        <v>98.234402908409336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63.328301485343204</v>
      </c>
      <c r="AK133" s="55">
        <f t="shared" ca="1" si="40"/>
        <v>23.549111108959217</v>
      </c>
    </row>
    <row r="134" spans="18:37">
      <c r="R134" s="83">
        <f ca="1"/>
        <v>45510</v>
      </c>
      <c r="S134" s="55">
        <f t="shared" ca="1" si="33"/>
        <v>45510</v>
      </c>
      <c r="T134" s="55">
        <f t="shared" ca="1" si="27"/>
        <v>70.138424586931933</v>
      </c>
      <c r="U134" s="55">
        <f t="shared" ca="1" si="28"/>
        <v>1.3386898147826627</v>
      </c>
      <c r="V134" s="55">
        <f t="shared" ca="1" si="29"/>
        <v>0</v>
      </c>
      <c r="W134" s="55">
        <f t="shared" ca="1" si="34"/>
        <v>-47.816539380215602</v>
      </c>
      <c r="X134" s="55">
        <f t="shared" ca="1" si="35"/>
        <v>55.135059637342017</v>
      </c>
      <c r="Y134" s="55">
        <f t="shared" ca="1" si="36"/>
        <v>13.396994041898218</v>
      </c>
      <c r="Z134">
        <f t="shared" ca="1" si="30"/>
        <v>0</v>
      </c>
      <c r="AA134">
        <f t="shared" ca="1" si="37"/>
        <v>127.96249114483052</v>
      </c>
      <c r="AB134">
        <f t="shared" ca="1" si="31"/>
        <v>0</v>
      </c>
      <c r="AC134">
        <f t="shared" ca="1" si="32"/>
        <v>6.6928509242848624E-3</v>
      </c>
      <c r="AD134" s="83">
        <f ca="1"/>
        <v>45678</v>
      </c>
      <c r="AE134" s="55">
        <f t="shared" ca="1" si="41"/>
        <v>45678</v>
      </c>
      <c r="AF134" s="55">
        <f t="shared" ca="1" si="42"/>
        <v>17.118569229378959</v>
      </c>
      <c r="AG134" s="55">
        <f t="shared" ca="1" si="43"/>
        <v>101.45191063158789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63.977073906841689</v>
      </c>
      <c r="AK134" s="55">
        <f t="shared" ca="1" si="40"/>
        <v>23.738562469261275</v>
      </c>
    </row>
    <row r="135" spans="18:37">
      <c r="R135" s="83">
        <f ca="1"/>
        <v>45511</v>
      </c>
      <c r="S135" s="55">
        <f t="shared" ca="1" si="33"/>
        <v>45511</v>
      </c>
      <c r="T135" s="55">
        <f t="shared" ca="1" si="27"/>
        <v>70.747414503969665</v>
      </c>
      <c r="U135" s="55">
        <f t="shared" ca="1" si="28"/>
        <v>1.3386898147826627</v>
      </c>
      <c r="V135" s="55">
        <f t="shared" ca="1" si="29"/>
        <v>0</v>
      </c>
      <c r="W135" s="55">
        <f t="shared" ca="1" si="34"/>
        <v>-47.866324597829511</v>
      </c>
      <c r="X135" s="55">
        <f t="shared" ca="1" si="35"/>
        <v>55.544078229055856</v>
      </c>
      <c r="Y135" s="55">
        <f t="shared" ca="1" si="36"/>
        <v>13.646750584836019</v>
      </c>
      <c r="Z135">
        <f t="shared" ca="1" si="30"/>
        <v>0</v>
      </c>
      <c r="AA135">
        <f t="shared" ca="1" si="37"/>
        <v>128.06249114483052</v>
      </c>
      <c r="AB135">
        <f t="shared" ca="1" si="31"/>
        <v>0</v>
      </c>
      <c r="AC135">
        <f t="shared" ca="1" si="32"/>
        <v>6.6928509242848624E-3</v>
      </c>
      <c r="AD135" s="83">
        <f ca="1"/>
        <v>45679</v>
      </c>
      <c r="AE135" s="55">
        <f t="shared" ca="1" si="41"/>
        <v>45679</v>
      </c>
      <c r="AF135" s="55">
        <f t="shared" ca="1" si="42"/>
        <v>14.81058954487105</v>
      </c>
      <c r="AG135" s="55">
        <f t="shared" ca="1" si="43"/>
        <v>104.56964525074396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64.60901200899248</v>
      </c>
      <c r="AK135" s="55">
        <f t="shared" ca="1" si="40"/>
        <v>23.916379301758639</v>
      </c>
    </row>
    <row r="136" spans="18:37">
      <c r="R136" s="83">
        <f ca="1"/>
        <v>45512</v>
      </c>
      <c r="S136" s="55">
        <f t="shared" ca="1" si="33"/>
        <v>45512</v>
      </c>
      <c r="T136" s="55">
        <f t="shared" ca="1" si="27"/>
        <v>71.18850814489376</v>
      </c>
      <c r="U136" s="55">
        <f t="shared" ca="1" si="28"/>
        <v>1.3386898147826627</v>
      </c>
      <c r="V136" s="55">
        <f t="shared" ca="1" si="29"/>
        <v>0</v>
      </c>
      <c r="W136" s="55">
        <f t="shared" ca="1" si="34"/>
        <v>-48.061697503516051</v>
      </c>
      <c r="X136" s="55">
        <f t="shared" ca="1" si="35"/>
        <v>55.938572254542848</v>
      </c>
      <c r="Y136" s="55">
        <f t="shared" ca="1" si="36"/>
        <v>13.888723105959663</v>
      </c>
      <c r="Z136">
        <f t="shared" ca="1" si="30"/>
        <v>0</v>
      </c>
      <c r="AA136">
        <f t="shared" ca="1" si="37"/>
        <v>128.4524911448305</v>
      </c>
      <c r="AB136">
        <f t="shared" ca="1" si="31"/>
        <v>0</v>
      </c>
      <c r="AC136">
        <f t="shared" ca="1" si="32"/>
        <v>6.6928509242848624E-3</v>
      </c>
      <c r="AD136" s="83">
        <f ca="1"/>
        <v>45680</v>
      </c>
      <c r="AE136" s="55">
        <f t="shared" ca="1" si="41"/>
        <v>45680</v>
      </c>
      <c r="AF136" s="55">
        <f t="shared" ca="1" si="42"/>
        <v>12.581633937800667</v>
      </c>
      <c r="AG136" s="55">
        <f t="shared" ca="1" si="43"/>
        <v>107.56011484332582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65.204627173448955</v>
      </c>
      <c r="AK136" s="55">
        <f t="shared" ca="1" si="40"/>
        <v>24.082278122813634</v>
      </c>
    </row>
    <row r="137" spans="18:37">
      <c r="R137" s="83">
        <f ca="1"/>
        <v>45513</v>
      </c>
      <c r="S137" s="55">
        <f t="shared" ca="1" si="33"/>
        <v>45513</v>
      </c>
      <c r="T137" s="55">
        <f t="shared" ca="1" si="27"/>
        <v>71.505787104507078</v>
      </c>
      <c r="U137" s="55">
        <f t="shared" ca="1" si="28"/>
        <v>1.3386898147826627</v>
      </c>
      <c r="V137" s="55">
        <f t="shared" ca="1" si="29"/>
        <v>0</v>
      </c>
      <c r="W137" s="55">
        <f t="shared" ca="1" si="34"/>
        <v>-48.418961602790048</v>
      </c>
      <c r="X137" s="55">
        <f t="shared" ca="1" si="35"/>
        <v>56.362952816248679</v>
      </c>
      <c r="Y137" s="55">
        <f t="shared" ca="1" si="36"/>
        <v>14.138885603141158</v>
      </c>
      <c r="Z137">
        <f t="shared" ca="1" si="30"/>
        <v>0</v>
      </c>
      <c r="AA137">
        <f t="shared" ca="1" si="37"/>
        <v>129.16249114483051</v>
      </c>
      <c r="AB137">
        <f t="shared" ca="1" si="31"/>
        <v>0</v>
      </c>
      <c r="AC137">
        <f t="shared" ca="1" si="32"/>
        <v>6.6928509242848624E-3</v>
      </c>
      <c r="AD137" s="83">
        <f ca="1"/>
        <v>45681</v>
      </c>
      <c r="AE137" s="55">
        <f t="shared" ca="1" si="41"/>
        <v>45681</v>
      </c>
      <c r="AF137" s="55">
        <f t="shared" ca="1" si="42"/>
        <v>10.322248545355098</v>
      </c>
      <c r="AG137" s="55">
        <f t="shared" ca="1" si="43"/>
        <v>110.56484469885206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65.787541496444959</v>
      </c>
      <c r="AK137" s="55">
        <f t="shared" ca="1" si="40"/>
        <v>24.244708262898293</v>
      </c>
    </row>
    <row r="138" spans="18:37">
      <c r="R138" s="83">
        <f ca="1"/>
        <v>45514</v>
      </c>
      <c r="S138" s="55">
        <f t="shared" ca="1" si="33"/>
        <v>45514</v>
      </c>
      <c r="T138" s="55">
        <f t="shared" ca="1" si="27"/>
        <v>72.172497385738012</v>
      </c>
      <c r="U138" s="55">
        <f t="shared" ca="1" si="28"/>
        <v>1.3386898147826627</v>
      </c>
      <c r="V138" s="55">
        <f t="shared" ca="1" si="29"/>
        <v>0</v>
      </c>
      <c r="W138" s="55">
        <f t="shared" ca="1" si="34"/>
        <v>-48.449434435019583</v>
      </c>
      <c r="X138" s="55">
        <f t="shared" ca="1" si="35"/>
        <v>56.806067049830141</v>
      </c>
      <c r="Y138" s="55">
        <f t="shared" ca="1" si="36"/>
        <v>14.392954483020153</v>
      </c>
      <c r="Z138">
        <f t="shared" ca="1" si="30"/>
        <v>0</v>
      </c>
      <c r="AA138">
        <f t="shared" ca="1" si="37"/>
        <v>129.22249114483051</v>
      </c>
      <c r="AB138">
        <f t="shared" ca="1" si="31"/>
        <v>0</v>
      </c>
      <c r="AC138">
        <f t="shared" ca="1" si="32"/>
        <v>6.6928509242848624E-3</v>
      </c>
      <c r="AD138" s="83">
        <f ca="1"/>
        <v>45682</v>
      </c>
      <c r="AE138" s="55">
        <f t="shared" ca="1" si="41"/>
        <v>45682</v>
      </c>
      <c r="AF138" s="55">
        <f t="shared" ca="1" si="42"/>
        <v>8.0706817953276548</v>
      </c>
      <c r="AG138" s="55">
        <f t="shared" ca="1" si="43"/>
        <v>113.52837966403136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66.343095305855286</v>
      </c>
      <c r="AK138" s="55">
        <f t="shared" ca="1" si="40"/>
        <v>24.401122668639829</v>
      </c>
    </row>
    <row r="139" spans="18:37">
      <c r="R139" s="83">
        <f ca="1"/>
        <v>45515</v>
      </c>
      <c r="S139" s="55">
        <f t="shared" ca="1" si="33"/>
        <v>45515</v>
      </c>
      <c r="T139" s="55">
        <f t="shared" ca="1" si="27"/>
        <v>72.434944116108184</v>
      </c>
      <c r="U139" s="55">
        <f t="shared" ca="1" si="28"/>
        <v>1.3386898147826627</v>
      </c>
      <c r="V139" s="55">
        <f t="shared" ca="1" si="29"/>
        <v>0</v>
      </c>
      <c r="W139" s="55">
        <f t="shared" ca="1" si="34"/>
        <v>-48.847021794945775</v>
      </c>
      <c r="X139" s="55">
        <f t="shared" ca="1" si="35"/>
        <v>57.223680425973896</v>
      </c>
      <c r="Y139" s="55">
        <f t="shared" ca="1" si="36"/>
        <v>14.635375197172749</v>
      </c>
      <c r="Z139">
        <f t="shared" ca="1" si="30"/>
        <v>0</v>
      </c>
      <c r="AA139">
        <f t="shared" ca="1" si="37"/>
        <v>130.00249114483051</v>
      </c>
      <c r="AB139">
        <f t="shared" ca="1" si="31"/>
        <v>0</v>
      </c>
      <c r="AC139">
        <f t="shared" ca="1" si="32"/>
        <v>6.6928509242848624E-3</v>
      </c>
      <c r="AD139" s="83">
        <f ca="1"/>
        <v>45683</v>
      </c>
      <c r="AE139" s="55">
        <f t="shared" ca="1" si="41"/>
        <v>45683</v>
      </c>
      <c r="AF139" s="55">
        <f t="shared" ca="1" si="42"/>
        <v>5.8062969873623409</v>
      </c>
      <c r="AG139" s="55">
        <f t="shared" ca="1" si="43"/>
        <v>116.51648260957093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66.912713831472288</v>
      </c>
      <c r="AK139" s="55">
        <f t="shared" ca="1" si="40"/>
        <v>24.555222280597079</v>
      </c>
    </row>
    <row r="140" spans="18:37">
      <c r="R140" s="83">
        <f ca="1"/>
        <v>45516</v>
      </c>
      <c r="S140" s="55">
        <f t="shared" ca="1" si="33"/>
        <v>45516</v>
      </c>
      <c r="T140" s="55">
        <f t="shared" ca="1" si="27"/>
        <v>72.456231392277331</v>
      </c>
      <c r="U140" s="55">
        <f t="shared" ca="1" si="28"/>
        <v>1.3386898147826627</v>
      </c>
      <c r="V140" s="55">
        <f t="shared" ca="1" si="29"/>
        <v>0</v>
      </c>
      <c r="W140" s="55">
        <f t="shared" ca="1" si="34"/>
        <v>-49.474170731107819</v>
      </c>
      <c r="X140" s="55">
        <f t="shared" ca="1" si="35"/>
        <v>57.634598702744178</v>
      </c>
      <c r="Y140" s="55">
        <f t="shared" ca="1" si="36"/>
        <v>14.872893132733644</v>
      </c>
      <c r="Z140">
        <f t="shared" ca="1" si="30"/>
        <v>0</v>
      </c>
      <c r="AA140">
        <f t="shared" ca="1" si="37"/>
        <v>131.2324911448305</v>
      </c>
      <c r="AB140">
        <f t="shared" ca="1" si="31"/>
        <v>0</v>
      </c>
      <c r="AC140">
        <f t="shared" ca="1" si="32"/>
        <v>6.6928509242848624E-3</v>
      </c>
      <c r="AD140" s="83">
        <f ca="1"/>
        <v>45684</v>
      </c>
      <c r="AE140" s="55">
        <f t="shared" ca="1" si="41"/>
        <v>45684</v>
      </c>
      <c r="AF140" s="55">
        <f t="shared" ca="1" si="42"/>
        <v>3.5328174839634849</v>
      </c>
      <c r="AG140" s="55">
        <f t="shared" ca="1" si="43"/>
        <v>119.49075988162473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67.463395326041294</v>
      </c>
      <c r="AK140" s="55">
        <f t="shared" ca="1" si="40"/>
        <v>24.70533855468301</v>
      </c>
    </row>
    <row r="141" spans="18:37">
      <c r="R141" s="83">
        <f ca="1"/>
        <v>45517</v>
      </c>
      <c r="S141" s="55">
        <f t="shared" ca="1" si="33"/>
        <v>45517</v>
      </c>
      <c r="T141" s="55">
        <f t="shared" ca="1" si="27"/>
        <v>72.703066516031896</v>
      </c>
      <c r="U141" s="55">
        <f t="shared" ca="1" si="28"/>
        <v>1.3386898147826627</v>
      </c>
      <c r="V141" s="55">
        <f t="shared" ca="1" si="29"/>
        <v>0</v>
      </c>
      <c r="W141" s="55">
        <f t="shared" ca="1" si="34"/>
        <v>-49.873229785095816</v>
      </c>
      <c r="X141" s="55">
        <f t="shared" ca="1" si="35"/>
        <v>58.04551697951446</v>
      </c>
      <c r="Y141" s="55">
        <f t="shared" ca="1" si="36"/>
        <v>15.10786903370591</v>
      </c>
      <c r="Z141">
        <f t="shared" ca="1" si="30"/>
        <v>0</v>
      </c>
      <c r="AA141">
        <f t="shared" ca="1" si="37"/>
        <v>132.01249114483051</v>
      </c>
      <c r="AB141">
        <f t="shared" ca="1" si="31"/>
        <v>0</v>
      </c>
      <c r="AC141">
        <f t="shared" ca="1" si="32"/>
        <v>6.6928509242848624E-3</v>
      </c>
      <c r="AD141" s="83">
        <f ca="1"/>
        <v>45685</v>
      </c>
      <c r="AE141" s="55">
        <f t="shared" ca="1" si="41"/>
        <v>45685</v>
      </c>
      <c r="AF141" s="55">
        <f t="shared" ca="1" si="42"/>
        <v>1.134874418468188</v>
      </c>
      <c r="AG141" s="55">
        <f t="shared" ca="1" si="43"/>
        <v>122.59598708822395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68.017170353399109</v>
      </c>
      <c r="AK141" s="55">
        <f t="shared" ca="1" si="40"/>
        <v>24.858847668429128</v>
      </c>
    </row>
    <row r="142" spans="18:37">
      <c r="R142" s="83">
        <f ca="1"/>
        <v>45518</v>
      </c>
      <c r="S142" s="55">
        <f t="shared" ca="1" si="33"/>
        <v>45518</v>
      </c>
      <c r="T142" s="55">
        <f t="shared" ca="1" si="27"/>
        <v>72.885279066877928</v>
      </c>
      <c r="U142" s="55">
        <f t="shared" ca="1" si="28"/>
        <v>1.3386898147826627</v>
      </c>
      <c r="V142" s="55">
        <f t="shared" ca="1" si="29"/>
        <v>0</v>
      </c>
      <c r="W142" s="55">
        <f t="shared" ca="1" si="34"/>
        <v>-50.370739301096762</v>
      </c>
      <c r="X142" s="55">
        <f t="shared" ca="1" si="35"/>
        <v>58.483649296017127</v>
      </c>
      <c r="Y142" s="55">
        <f t="shared" ca="1" si="36"/>
        <v>15.349458784050231</v>
      </c>
      <c r="Z142">
        <f t="shared" ca="1" si="30"/>
        <v>0</v>
      </c>
      <c r="AA142">
        <f t="shared" ca="1" si="37"/>
        <v>132.9824911448305</v>
      </c>
      <c r="AB142">
        <f t="shared" ca="1" si="31"/>
        <v>0</v>
      </c>
      <c r="AC142">
        <f t="shared" ca="1" si="32"/>
        <v>6.6928509242848624E-3</v>
      </c>
      <c r="AD142" s="83">
        <f ca="1"/>
        <v>45686</v>
      </c>
      <c r="AE142" s="55">
        <f t="shared" ca="1" si="41"/>
        <v>45686</v>
      </c>
      <c r="AF142" s="55">
        <f t="shared" ca="1" si="42"/>
        <v>-1.3506458392936831</v>
      </c>
      <c r="AG142" s="55">
        <f t="shared" ca="1" si="43"/>
        <v>125.78519099618681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68.57403379994058</v>
      </c>
      <c r="AK142" s="55">
        <f t="shared" ca="1" si="40"/>
        <v>25.005667872088644</v>
      </c>
    </row>
    <row r="143" spans="18:37">
      <c r="R143" s="83">
        <f ca="1"/>
        <v>45519</v>
      </c>
      <c r="S143" s="55">
        <f t="shared" ca="1" si="33"/>
        <v>45519</v>
      </c>
      <c r="T143" s="55">
        <f t="shared" ca="1" si="27"/>
        <v>73.554229876471595</v>
      </c>
      <c r="U143" s="55">
        <f t="shared" ca="1" si="28"/>
        <v>1.3386898147826627</v>
      </c>
      <c r="V143" s="55">
        <f t="shared" ca="1" si="29"/>
        <v>0</v>
      </c>
      <c r="W143" s="55">
        <f t="shared" ca="1" si="34"/>
        <v>-50.406971569887766</v>
      </c>
      <c r="X143" s="55">
        <f t="shared" ca="1" si="35"/>
        <v>58.942956838902667</v>
      </c>
      <c r="Y143" s="55">
        <f t="shared" ca="1" si="36"/>
        <v>15.595334319549359</v>
      </c>
      <c r="Z143">
        <f t="shared" ca="1" si="30"/>
        <v>0</v>
      </c>
      <c r="AA143">
        <f t="shared" ca="1" si="37"/>
        <v>133.0524911448305</v>
      </c>
      <c r="AB143">
        <f t="shared" ca="1" si="31"/>
        <v>0</v>
      </c>
      <c r="AC143">
        <f t="shared" ca="1" si="32"/>
        <v>6.6928509242848624E-3</v>
      </c>
      <c r="AD143" s="83">
        <f ca="1"/>
        <v>45687</v>
      </c>
      <c r="AE143" s="55">
        <f t="shared" ca="1" si="41"/>
        <v>45687</v>
      </c>
      <c r="AF143" s="55">
        <f t="shared" ca="1" si="42"/>
        <v>-3.8275575829694266</v>
      </c>
      <c r="AG143" s="55">
        <f t="shared" ca="1" si="43"/>
        <v>128.9681867599916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69.135887329947252</v>
      </c>
      <c r="AK143" s="55">
        <f t="shared" ca="1" si="40"/>
        <v>25.149898362211012</v>
      </c>
    </row>
    <row r="144" spans="18:37">
      <c r="R144" s="83">
        <f ca="1"/>
        <v>45520</v>
      </c>
      <c r="S144" s="55">
        <f t="shared" ca="1" si="33"/>
        <v>45520</v>
      </c>
      <c r="T144" s="55">
        <f t="shared" ca="1" si="27"/>
        <v>73.559755147510927</v>
      </c>
      <c r="U144" s="55">
        <f t="shared" ca="1" si="28"/>
        <v>1.3386898147826627</v>
      </c>
      <c r="V144" s="55">
        <f t="shared" ca="1" si="29"/>
        <v>0</v>
      </c>
      <c r="W144" s="55">
        <f t="shared" ca="1" si="34"/>
        <v>-51.105789243789118</v>
      </c>
      <c r="X144" s="55">
        <f t="shared" ca="1" si="35"/>
        <v>59.403802204609057</v>
      </c>
      <c r="Y144" s="55">
        <f t="shared" ca="1" si="36"/>
        <v>15.838831898783656</v>
      </c>
      <c r="Z144">
        <f t="shared" ca="1" si="30"/>
        <v>0</v>
      </c>
      <c r="AA144">
        <f t="shared" ca="1" si="37"/>
        <v>134.40249114483049</v>
      </c>
      <c r="AB144">
        <f t="shared" ca="1" si="31"/>
        <v>0</v>
      </c>
      <c r="AC144">
        <f t="shared" ca="1" si="32"/>
        <v>6.6928509242848624E-3</v>
      </c>
      <c r="AD144" s="83">
        <f ca="1"/>
        <v>45688</v>
      </c>
      <c r="AE144" s="55">
        <f t="shared" ca="1" si="41"/>
        <v>45688</v>
      </c>
      <c r="AF144" s="55">
        <f t="shared" ca="1" si="42"/>
        <v>-6.1926453045652758</v>
      </c>
      <c r="AG144" s="55">
        <f t="shared" ca="1" si="43"/>
        <v>132.01877928074634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69.682645417573667</v>
      </c>
      <c r="AK144" s="55">
        <f t="shared" ca="1" si="40"/>
        <v>25.288645073743496</v>
      </c>
    </row>
    <row r="145" spans="18:37">
      <c r="R145" s="83">
        <f ca="1"/>
        <v>45521</v>
      </c>
      <c r="S145" s="55">
        <f t="shared" ca="1" si="33"/>
        <v>45521</v>
      </c>
      <c r="T145" s="55">
        <f t="shared" ca="1" si="27"/>
        <v>73.722358634294764</v>
      </c>
      <c r="U145" s="55">
        <f t="shared" ca="1" si="28"/>
        <v>1.3386898147826627</v>
      </c>
      <c r="V145" s="55">
        <f t="shared" ca="1" si="29"/>
        <v>0</v>
      </c>
      <c r="W145" s="55">
        <f t="shared" ca="1" si="34"/>
        <v>-51.645327690683061</v>
      </c>
      <c r="X145" s="55">
        <f t="shared" ca="1" si="35"/>
        <v>59.865160930726539</v>
      </c>
      <c r="Y145" s="55">
        <f t="shared" ca="1" si="36"/>
        <v>16.079615106343951</v>
      </c>
      <c r="Z145">
        <f t="shared" ca="1" si="30"/>
        <v>0</v>
      </c>
      <c r="AA145">
        <f t="shared" ca="1" si="37"/>
        <v>135.44249114483048</v>
      </c>
      <c r="AB145">
        <f t="shared" ca="1" si="31"/>
        <v>0</v>
      </c>
      <c r="AC145">
        <f t="shared" ca="1" si="32"/>
        <v>6.6928509242848624E-3</v>
      </c>
      <c r="AD145" s="83">
        <f ca="1"/>
        <v>45689</v>
      </c>
      <c r="AE145" s="55">
        <f t="shared" ca="1" si="41"/>
        <v>45689</v>
      </c>
      <c r="AF145" s="55">
        <f t="shared" ca="1" si="42"/>
        <v>-8.4960535677965083</v>
      </c>
      <c r="AG145" s="55">
        <f t="shared" ca="1" si="43"/>
        <v>134.99619424710207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70.222523157842446</v>
      </c>
      <c r="AK145" s="55">
        <f t="shared" ca="1" si="40"/>
        <v>25.422774036599215</v>
      </c>
    </row>
    <row r="146" spans="18:37">
      <c r="R146" s="83">
        <f ca="1"/>
        <v>45522</v>
      </c>
      <c r="S146" s="55">
        <f t="shared" ca="1" si="33"/>
        <v>45522</v>
      </c>
      <c r="T146" s="55">
        <f t="shared" ref="T146:T209" ca="1" si="45">VLOOKUP(S146,ModelOutputs,2,FALSE)</f>
        <v>74.390325824838996</v>
      </c>
      <c r="U146" s="55">
        <f t="shared" ref="U146:U209" ca="1" si="46">VLOOKUP(S146,ModelOutputs,7,FALSE)</f>
        <v>1.3386898147826627</v>
      </c>
      <c r="V146" s="55">
        <f t="shared" ref="V146:V209" ca="1" si="47">VLOOKUP(S146,ModelOutputs,6,FALSE)</f>
        <v>0</v>
      </c>
      <c r="W146" s="55">
        <f t="shared" ca="1" si="34"/>
        <v>-51.645327690683061</v>
      </c>
      <c r="X146" s="55">
        <f t="shared" ca="1" si="35"/>
        <v>60.302797103476706</v>
      </c>
      <c r="Y146" s="55">
        <f t="shared" ca="1" si="36"/>
        <v>16.309946124138019</v>
      </c>
      <c r="Z146">
        <f t="shared" ref="Z146:Z209" ca="1" si="48">VLOOKUP(S146,ModelOutputs,10,FALSE)*AWC</f>
        <v>0</v>
      </c>
      <c r="AA146">
        <f t="shared" ca="1" si="37"/>
        <v>135.44249114483048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6.6928509242848624E-3</v>
      </c>
      <c r="AD146" s="83">
        <f ca="1"/>
        <v>45690</v>
      </c>
      <c r="AE146" s="55">
        <f t="shared" ca="1" si="41"/>
        <v>45690</v>
      </c>
      <c r="AF146" s="55">
        <f t="shared" ca="1" si="42"/>
        <v>-10.682977887671258</v>
      </c>
      <c r="AG146" s="55">
        <f t="shared" ca="1" si="43"/>
        <v>137.81011442185235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70.72708758305852</v>
      </c>
      <c r="AK146" s="55">
        <f t="shared" ca="1" si="40"/>
        <v>25.545205466258672</v>
      </c>
    </row>
    <row r="147" spans="18:37">
      <c r="R147" s="83">
        <f ca="1"/>
        <v>45523</v>
      </c>
      <c r="S147" s="55">
        <f t="shared" ref="S147:S210" ca="1" si="51">IF(R147&gt;1,R147,"")</f>
        <v>45523</v>
      </c>
      <c r="T147" s="55">
        <f t="shared" ca="1" si="45"/>
        <v>75.067444996290391</v>
      </c>
      <c r="U147" s="55">
        <f t="shared" ca="1" si="46"/>
        <v>1.3386898147826627</v>
      </c>
      <c r="V147" s="55">
        <f t="shared" ca="1" si="47"/>
        <v>0</v>
      </c>
      <c r="W147" s="55">
        <f t="shared" ref="W147:W210" ca="1" si="52">-VLOOKUP(S147,ModelOutputs,9,FALSE)+W146</f>
        <v>-51.645327690683061</v>
      </c>
      <c r="X147" s="55">
        <f t="shared" ref="X147:X210" ca="1" si="53">VLOOKUP(S147,ModelOutputs,5,FALSE)+X146</f>
        <v>60.749420869629155</v>
      </c>
      <c r="Y147" s="55">
        <f t="shared" ref="Y147:Y210" ca="1" si="54">VLOOKUP(S147,ModelOutputs,4,FALSE)+Y146</f>
        <v>16.540441529436951</v>
      </c>
      <c r="Z147">
        <f t="shared" ca="1" si="48"/>
        <v>0</v>
      </c>
      <c r="AA147">
        <f t="shared" ref="AA147:AA210" ca="1" si="55">VLOOKUP(S147,ModelOutputs,11,FALSE)+AA146</f>
        <v>135.44249114483048</v>
      </c>
      <c r="AB147">
        <f t="shared" ca="1" si="49"/>
        <v>0</v>
      </c>
      <c r="AC147">
        <f t="shared" ca="1" si="50"/>
        <v>6.6928509242848624E-3</v>
      </c>
      <c r="AD147" s="83">
        <f ca="1"/>
        <v>45691</v>
      </c>
      <c r="AE147" s="55">
        <f t="shared" ca="1" si="41"/>
        <v>45691</v>
      </c>
      <c r="AF147" s="55">
        <f t="shared" ca="1" si="42"/>
        <v>-12.937948143552454</v>
      </c>
      <c r="AG147" s="55">
        <f t="shared" ca="1" si="43"/>
        <v>140.71518240824741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71.254458769600177</v>
      </c>
      <c r="AK147" s="55">
        <f t="shared" ref="AK147:AK210" ca="1" si="58">VLOOKUP(AE147,ModelOutputs,4,FALSE)+AK146</f>
        <v>25.667932010230885</v>
      </c>
    </row>
    <row r="148" spans="18:37">
      <c r="R148" s="83">
        <f ca="1"/>
        <v>45524</v>
      </c>
      <c r="S148" s="55">
        <f t="shared" ca="1" si="51"/>
        <v>45524</v>
      </c>
      <c r="T148" s="55">
        <f t="shared" ca="1" si="45"/>
        <v>75.723552978172293</v>
      </c>
      <c r="U148" s="55">
        <f t="shared" ca="1" si="46"/>
        <v>1.3386898147826627</v>
      </c>
      <c r="V148" s="55">
        <f t="shared" ca="1" si="47"/>
        <v>0</v>
      </c>
      <c r="W148" s="55">
        <f t="shared" ca="1" si="52"/>
        <v>-51.645327690683061</v>
      </c>
      <c r="X148" s="55">
        <f t="shared" ca="1" si="53"/>
        <v>61.182116045939161</v>
      </c>
      <c r="Y148" s="55">
        <f t="shared" ca="1" si="54"/>
        <v>16.763854335008851</v>
      </c>
      <c r="Z148">
        <f t="shared" ca="1" si="48"/>
        <v>0</v>
      </c>
      <c r="AA148">
        <f t="shared" ca="1" si="55"/>
        <v>135.44249114483048</v>
      </c>
      <c r="AB148">
        <f t="shared" ca="1" si="49"/>
        <v>0</v>
      </c>
      <c r="AC148">
        <f t="shared" ca="1" si="50"/>
        <v>6.6928509242848624E-3</v>
      </c>
      <c r="AD148" s="83">
        <f ca="1"/>
        <v>45692</v>
      </c>
      <c r="AE148" s="55">
        <f t="shared" ca="1" si="41"/>
        <v>45692</v>
      </c>
      <c r="AF148" s="55">
        <f t="shared" ca="1" si="42"/>
        <v>-15.1313252006172</v>
      </c>
      <c r="AG148" s="55">
        <f t="shared" ca="1" si="43"/>
        <v>143.57068078464263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71.792739934636671</v>
      </c>
      <c r="AK148" s="55">
        <f t="shared" ca="1" si="58"/>
        <v>25.791772164524865</v>
      </c>
    </row>
    <row r="149" spans="18:37">
      <c r="R149" s="83">
        <f ca="1"/>
        <v>45525</v>
      </c>
      <c r="S149" s="55">
        <f t="shared" ca="1" si="51"/>
        <v>45525</v>
      </c>
      <c r="T149" s="55">
        <f t="shared" ca="1" si="45"/>
        <v>76.371908508594004</v>
      </c>
      <c r="U149" s="55">
        <f t="shared" ca="1" si="46"/>
        <v>1.3386898147826627</v>
      </c>
      <c r="V149" s="55">
        <f t="shared" ca="1" si="47"/>
        <v>0</v>
      </c>
      <c r="W149" s="55">
        <f t="shared" ca="1" si="52"/>
        <v>-51.645327690683061</v>
      </c>
      <c r="X149" s="55">
        <f t="shared" ca="1" si="53"/>
        <v>61.610885138495739</v>
      </c>
      <c r="Y149" s="55">
        <f t="shared" ca="1" si="54"/>
        <v>16.98344077287399</v>
      </c>
      <c r="Z149">
        <f t="shared" ca="1" si="48"/>
        <v>0</v>
      </c>
      <c r="AA149">
        <f t="shared" ca="1" si="55"/>
        <v>135.44249114483048</v>
      </c>
      <c r="AB149">
        <f t="shared" ca="1" si="49"/>
        <v>0</v>
      </c>
      <c r="AC149">
        <f t="shared" ca="1" si="50"/>
        <v>6.6928509242848624E-3</v>
      </c>
      <c r="AD149" s="83">
        <f ca="1"/>
        <v>45693</v>
      </c>
      <c r="AE149" s="55">
        <f t="shared" ref="AE149:AE212" ca="1" si="59">IF(AD149&gt;1,AD149,"")</f>
        <v>45693</v>
      </c>
      <c r="AF149" s="55">
        <f t="shared" ref="AF149:AF212" ca="1" si="60">VLOOKUP(AE149,ModelOutputs,2,FALSE)</f>
        <v>-17.106134555413128</v>
      </c>
      <c r="AG149" s="55">
        <f t="shared" ref="AG149:AG212" ca="1" si="61">VLOOKUP(AE149,ModelOutputs,7,FALSE)</f>
        <v>146.11172419385736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72.254892484262356</v>
      </c>
      <c r="AK149" s="55">
        <f t="shared" ca="1" si="58"/>
        <v>25.895853669317979</v>
      </c>
    </row>
    <row r="150" spans="18:37">
      <c r="R150" s="83">
        <f ca="1"/>
        <v>45526</v>
      </c>
      <c r="S150" s="55">
        <f t="shared" ca="1" si="51"/>
        <v>45526</v>
      </c>
      <c r="T150" s="55">
        <f t="shared" ca="1" si="45"/>
        <v>77.047582828645034</v>
      </c>
      <c r="U150" s="55">
        <f t="shared" ca="1" si="46"/>
        <v>1.3386898147826627</v>
      </c>
      <c r="V150" s="55">
        <f t="shared" ca="1" si="47"/>
        <v>0</v>
      </c>
      <c r="W150" s="55">
        <f t="shared" ca="1" si="52"/>
        <v>-51.645327690683061</v>
      </c>
      <c r="X150" s="55">
        <f t="shared" ca="1" si="53"/>
        <v>62.062554299028399</v>
      </c>
      <c r="Y150" s="55">
        <f t="shared" ca="1" si="54"/>
        <v>17.207445932392361</v>
      </c>
      <c r="Z150">
        <f t="shared" ca="1" si="48"/>
        <v>0</v>
      </c>
      <c r="AA150">
        <f t="shared" ca="1" si="55"/>
        <v>135.44249114483048</v>
      </c>
      <c r="AB150">
        <f t="shared" ca="1" si="49"/>
        <v>0</v>
      </c>
      <c r="AC150">
        <f t="shared" ca="1" si="50"/>
        <v>6.6928509242848624E-3</v>
      </c>
      <c r="AD150" s="83">
        <f ca="1"/>
        <v>45694</v>
      </c>
      <c r="AE150" s="55">
        <f t="shared" ca="1" si="59"/>
        <v>45694</v>
      </c>
      <c r="AF150" s="55">
        <f t="shared" ca="1" si="60"/>
        <v>-19.146834397157559</v>
      </c>
      <c r="AG150" s="55">
        <f t="shared" ca="1" si="61"/>
        <v>148.79854542646473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72.783462658276193</v>
      </c>
      <c r="AK150" s="55">
        <f t="shared" ca="1" si="58"/>
        <v>26.013404886167088</v>
      </c>
    </row>
    <row r="151" spans="18:37">
      <c r="R151" s="83">
        <f ca="1"/>
        <v>45527</v>
      </c>
      <c r="S151" s="55">
        <f t="shared" ca="1" si="51"/>
        <v>45527</v>
      </c>
      <c r="T151" s="55">
        <f t="shared" ca="1" si="45"/>
        <v>77.745918555835743</v>
      </c>
      <c r="U151" s="55">
        <f t="shared" ca="1" si="46"/>
        <v>1.3386898147826627</v>
      </c>
      <c r="V151" s="55">
        <f t="shared" ca="1" si="47"/>
        <v>0</v>
      </c>
      <c r="W151" s="55">
        <f t="shared" ca="1" si="52"/>
        <v>-51.645327690683061</v>
      </c>
      <c r="X151" s="55">
        <f t="shared" ca="1" si="53"/>
        <v>62.533738528791439</v>
      </c>
      <c r="Y151" s="55">
        <f t="shared" ca="1" si="54"/>
        <v>17.43459742982003</v>
      </c>
      <c r="Z151">
        <f t="shared" ca="1" si="48"/>
        <v>0</v>
      </c>
      <c r="AA151">
        <f t="shared" ca="1" si="55"/>
        <v>135.44249114483048</v>
      </c>
      <c r="AB151">
        <f t="shared" ca="1" si="49"/>
        <v>0</v>
      </c>
      <c r="AC151">
        <f t="shared" ca="1" si="50"/>
        <v>6.6928509242848624E-3</v>
      </c>
      <c r="AD151" s="83">
        <f ca="1"/>
        <v>45695</v>
      </c>
      <c r="AE151" s="55">
        <f t="shared" ca="1" si="59"/>
        <v>45695</v>
      </c>
      <c r="AF151" s="55">
        <f t="shared" ca="1" si="60"/>
        <v>-21.05466089233186</v>
      </c>
      <c r="AG151" s="55">
        <f t="shared" ca="1" si="61"/>
        <v>151.32763273099536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73.293625060988745</v>
      </c>
      <c r="AK151" s="55">
        <f t="shared" ca="1" si="58"/>
        <v>26.124503292810864</v>
      </c>
    </row>
    <row r="152" spans="18:37">
      <c r="R152" s="83">
        <f ca="1"/>
        <v>45528</v>
      </c>
      <c r="S152" s="55">
        <f t="shared" ca="1" si="51"/>
        <v>45528</v>
      </c>
      <c r="T152" s="55">
        <f t="shared" ca="1" si="45"/>
        <v>78.470190587114018</v>
      </c>
      <c r="U152" s="55">
        <f t="shared" ca="1" si="46"/>
        <v>1.3386898147826627</v>
      </c>
      <c r="V152" s="55">
        <f t="shared" ca="1" si="47"/>
        <v>0</v>
      </c>
      <c r="W152" s="55">
        <f t="shared" ca="1" si="52"/>
        <v>-51.645327690683061</v>
      </c>
      <c r="X152" s="55">
        <f t="shared" ca="1" si="53"/>
        <v>63.027127902161325</v>
      </c>
      <c r="Y152" s="55">
        <f t="shared" ca="1" si="54"/>
        <v>17.665480087728408</v>
      </c>
      <c r="Z152">
        <f t="shared" ca="1" si="48"/>
        <v>0</v>
      </c>
      <c r="AA152">
        <f t="shared" ca="1" si="55"/>
        <v>135.44249114483048</v>
      </c>
      <c r="AB152">
        <f t="shared" ca="1" si="49"/>
        <v>0</v>
      </c>
      <c r="AC152">
        <f t="shared" ca="1" si="50"/>
        <v>6.6928509242848624E-3</v>
      </c>
      <c r="AD152" s="83">
        <f ca="1"/>
        <v>45696</v>
      </c>
      <c r="AE152" s="55">
        <f t="shared" ca="1" si="59"/>
        <v>45696</v>
      </c>
      <c r="AF152" s="55">
        <f t="shared" ca="1" si="60"/>
        <v>-23.060480452286328</v>
      </c>
      <c r="AG152" s="55">
        <f t="shared" ca="1" si="61"/>
        <v>154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73.844640691705834</v>
      </c>
      <c r="AK152" s="55">
        <f t="shared" ca="1" si="58"/>
        <v>26.240035371143946</v>
      </c>
    </row>
    <row r="153" spans="18:37">
      <c r="R153" s="83">
        <f ca="1"/>
        <v>45529</v>
      </c>
      <c r="S153" s="55">
        <f t="shared" ca="1" si="51"/>
        <v>45529</v>
      </c>
      <c r="T153" s="55">
        <f t="shared" ca="1" si="45"/>
        <v>79.216749293715452</v>
      </c>
      <c r="U153" s="55">
        <f t="shared" ca="1" si="46"/>
        <v>1.3386898147826627</v>
      </c>
      <c r="V153" s="55">
        <f t="shared" ca="1" si="47"/>
        <v>0</v>
      </c>
      <c r="W153" s="55">
        <f t="shared" ca="1" si="52"/>
        <v>-51.645327690683061</v>
      </c>
      <c r="X153" s="55">
        <f t="shared" ca="1" si="53"/>
        <v>63.540086682373307</v>
      </c>
      <c r="Y153" s="55">
        <f t="shared" ca="1" si="54"/>
        <v>17.899080014117864</v>
      </c>
      <c r="Z153">
        <f t="shared" ca="1" si="48"/>
        <v>0</v>
      </c>
      <c r="AA153">
        <f t="shared" ca="1" si="55"/>
        <v>135.44249114483048</v>
      </c>
      <c r="AB153">
        <f t="shared" ca="1" si="49"/>
        <v>0</v>
      </c>
      <c r="AC153">
        <f t="shared" ca="1" si="50"/>
        <v>6.6928509242848624E-3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45530</v>
      </c>
      <c r="S154" s="55">
        <f t="shared" ca="1" si="51"/>
        <v>45530</v>
      </c>
      <c r="T154" s="55">
        <f t="shared" ca="1" si="45"/>
        <v>79.918507665347079</v>
      </c>
      <c r="U154" s="55">
        <f t="shared" ca="1" si="46"/>
        <v>1.3386898147826627</v>
      </c>
      <c r="V154" s="55">
        <f t="shared" ca="1" si="47"/>
        <v>0</v>
      </c>
      <c r="W154" s="55">
        <f t="shared" ca="1" si="52"/>
        <v>-51.645327690683061</v>
      </c>
      <c r="X154" s="55">
        <f t="shared" ca="1" si="53"/>
        <v>64.020705270425779</v>
      </c>
      <c r="Y154" s="55">
        <f t="shared" ca="1" si="54"/>
        <v>18.120219797697011</v>
      </c>
      <c r="Z154">
        <f t="shared" ca="1" si="48"/>
        <v>0</v>
      </c>
      <c r="AA154">
        <f t="shared" ca="1" si="55"/>
        <v>135.44249114483048</v>
      </c>
      <c r="AB154">
        <f t="shared" ca="1" si="49"/>
        <v>0</v>
      </c>
      <c r="AC154">
        <f t="shared" ca="1" si="50"/>
        <v>6.6928509242848624E-3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45531</v>
      </c>
      <c r="S155" s="55">
        <f t="shared" ca="1" si="51"/>
        <v>45531</v>
      </c>
      <c r="T155" s="55">
        <f t="shared" ca="1" si="45"/>
        <v>80.649799438382928</v>
      </c>
      <c r="U155" s="55">
        <f t="shared" ca="1" si="46"/>
        <v>1.3386898147826627</v>
      </c>
      <c r="V155" s="55">
        <f t="shared" ca="1" si="47"/>
        <v>0</v>
      </c>
      <c r="W155" s="55">
        <f t="shared" ca="1" si="52"/>
        <v>-51.645327690683061</v>
      </c>
      <c r="X155" s="55">
        <f t="shared" ca="1" si="53"/>
        <v>64.5265399076698</v>
      </c>
      <c r="Y155" s="55">
        <f t="shared" ca="1" si="54"/>
        <v>18.345676933488839</v>
      </c>
      <c r="Z155">
        <f t="shared" ca="1" si="48"/>
        <v>0</v>
      </c>
      <c r="AA155">
        <f t="shared" ca="1" si="55"/>
        <v>135.44249114483048</v>
      </c>
      <c r="AB155">
        <f t="shared" ca="1" si="49"/>
        <v>0</v>
      </c>
      <c r="AC155">
        <f t="shared" ca="1" si="50"/>
        <v>6.6928509242848624E-3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45532</v>
      </c>
      <c r="S156" s="55">
        <f t="shared" ca="1" si="51"/>
        <v>45532</v>
      </c>
      <c r="T156" s="55">
        <f t="shared" ca="1" si="45"/>
        <v>81.382962286532745</v>
      </c>
      <c r="U156" s="55">
        <f t="shared" ca="1" si="46"/>
        <v>1.3386898147826627</v>
      </c>
      <c r="V156" s="55">
        <f t="shared" ca="1" si="47"/>
        <v>0</v>
      </c>
      <c r="W156" s="55">
        <f t="shared" ca="1" si="52"/>
        <v>-51.645327690683061</v>
      </c>
      <c r="X156" s="55">
        <f t="shared" ca="1" si="53"/>
        <v>65.036202538542838</v>
      </c>
      <c r="Y156" s="55">
        <f t="shared" ca="1" si="54"/>
        <v>18.569177150765611</v>
      </c>
      <c r="Z156">
        <f t="shared" ca="1" si="48"/>
        <v>0</v>
      </c>
      <c r="AA156">
        <f t="shared" ca="1" si="55"/>
        <v>135.44249114483048</v>
      </c>
      <c r="AB156">
        <f t="shared" ca="1" si="49"/>
        <v>0</v>
      </c>
      <c r="AC156">
        <f t="shared" ca="1" si="50"/>
        <v>6.6928509242848624E-3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45533</v>
      </c>
      <c r="S157" s="55">
        <f t="shared" ca="1" si="51"/>
        <v>45533</v>
      </c>
      <c r="T157" s="55">
        <f t="shared" ca="1" si="45"/>
        <v>82.128672067893206</v>
      </c>
      <c r="U157" s="55">
        <f t="shared" ca="1" si="46"/>
        <v>1.3386898147826627</v>
      </c>
      <c r="V157" s="55">
        <f t="shared" ca="1" si="47"/>
        <v>0</v>
      </c>
      <c r="W157" s="55">
        <f t="shared" ca="1" si="52"/>
        <v>-51.645327690683061</v>
      </c>
      <c r="X157" s="55">
        <f t="shared" ca="1" si="53"/>
        <v>65.557622016295483</v>
      </c>
      <c r="Y157" s="55">
        <f t="shared" ca="1" si="54"/>
        <v>18.79346745437342</v>
      </c>
      <c r="Z157">
        <f t="shared" ca="1" si="48"/>
        <v>0</v>
      </c>
      <c r="AA157">
        <f t="shared" ca="1" si="55"/>
        <v>135.44249114483048</v>
      </c>
      <c r="AB157">
        <f t="shared" ca="1" si="49"/>
        <v>0</v>
      </c>
      <c r="AC157">
        <f t="shared" ca="1" si="50"/>
        <v>6.6928509242848624E-3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45534</v>
      </c>
      <c r="S158" s="55">
        <f t="shared" ca="1" si="51"/>
        <v>45534</v>
      </c>
      <c r="T158" s="55">
        <f t="shared" ca="1" si="45"/>
        <v>82.799375180804716</v>
      </c>
      <c r="U158" s="55">
        <f t="shared" ca="1" si="46"/>
        <v>1.3386898147826627</v>
      </c>
      <c r="V158" s="55">
        <f t="shared" ca="1" si="47"/>
        <v>0</v>
      </c>
      <c r="W158" s="55">
        <f t="shared" ca="1" si="52"/>
        <v>-51.645327690683061</v>
      </c>
      <c r="X158" s="55">
        <f t="shared" ca="1" si="53"/>
        <v>66.020153849773905</v>
      </c>
      <c r="Y158" s="55">
        <f t="shared" ca="1" si="54"/>
        <v>19.001638733806509</v>
      </c>
      <c r="Z158">
        <f t="shared" ca="1" si="48"/>
        <v>0</v>
      </c>
      <c r="AA158">
        <f t="shared" ca="1" si="55"/>
        <v>135.44249114483048</v>
      </c>
      <c r="AB158">
        <f t="shared" ca="1" si="49"/>
        <v>0</v>
      </c>
      <c r="AC158">
        <f t="shared" ca="1" si="50"/>
        <v>6.6928509242848624E-3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45535</v>
      </c>
      <c r="S159" s="55">
        <f t="shared" ca="1" si="51"/>
        <v>45535</v>
      </c>
      <c r="T159" s="55">
        <f t="shared" ca="1" si="45"/>
        <v>83.461861099668099</v>
      </c>
      <c r="U159" s="55">
        <f t="shared" ca="1" si="46"/>
        <v>1.3386898147826627</v>
      </c>
      <c r="V159" s="55">
        <f t="shared" ca="1" si="47"/>
        <v>0</v>
      </c>
      <c r="W159" s="55">
        <f t="shared" ca="1" si="52"/>
        <v>-51.645327690683061</v>
      </c>
      <c r="X159" s="55">
        <f t="shared" ca="1" si="53"/>
        <v>66.479456887779563</v>
      </c>
      <c r="Y159" s="55">
        <f t="shared" ca="1" si="54"/>
        <v>19.204821614664233</v>
      </c>
      <c r="Z159">
        <f t="shared" ca="1" si="48"/>
        <v>0</v>
      </c>
      <c r="AA159">
        <f t="shared" ca="1" si="55"/>
        <v>135.44249114483048</v>
      </c>
      <c r="AB159">
        <f t="shared" ca="1" si="49"/>
        <v>0</v>
      </c>
      <c r="AC159">
        <f t="shared" ca="1" si="50"/>
        <v>6.6928509242848624E-3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45536</v>
      </c>
      <c r="S160" s="55">
        <f t="shared" ca="1" si="51"/>
        <v>45536</v>
      </c>
      <c r="T160" s="55">
        <f t="shared" ca="1" si="45"/>
        <v>84.175785178808766</v>
      </c>
      <c r="U160" s="55">
        <f t="shared" ca="1" si="46"/>
        <v>1.3386898147826627</v>
      </c>
      <c r="V160" s="55">
        <f t="shared" ca="1" si="47"/>
        <v>0</v>
      </c>
      <c r="W160" s="55">
        <f t="shared" ca="1" si="52"/>
        <v>-51.645327690683061</v>
      </c>
      <c r="X160" s="55">
        <f t="shared" ca="1" si="53"/>
        <v>66.981207793774303</v>
      </c>
      <c r="Y160" s="55">
        <f t="shared" ca="1" si="54"/>
        <v>19.416994787810165</v>
      </c>
      <c r="Z160">
        <f t="shared" ca="1" si="48"/>
        <v>0</v>
      </c>
      <c r="AA160">
        <f t="shared" ca="1" si="55"/>
        <v>135.44249114483048</v>
      </c>
      <c r="AB160">
        <f t="shared" ca="1" si="49"/>
        <v>0</v>
      </c>
      <c r="AC160">
        <f t="shared" ca="1" si="50"/>
        <v>6.6928509242848624E-3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45537</v>
      </c>
      <c r="S161" s="55">
        <f t="shared" ca="1" si="51"/>
        <v>45537</v>
      </c>
      <c r="T161" s="55">
        <f t="shared" ca="1" si="45"/>
        <v>84.896161042003754</v>
      </c>
      <c r="U161" s="55">
        <f t="shared" ca="1" si="46"/>
        <v>1.3386898147826627</v>
      </c>
      <c r="V161" s="55">
        <f t="shared" ca="1" si="47"/>
        <v>0</v>
      </c>
      <c r="W161" s="55">
        <f t="shared" ca="1" si="52"/>
        <v>-51.645327690683061</v>
      </c>
      <c r="X161" s="55">
        <f t="shared" ca="1" si="53"/>
        <v>67.491927216969245</v>
      </c>
      <c r="Y161" s="55">
        <f t="shared" ca="1" si="54"/>
        <v>19.626651227810207</v>
      </c>
      <c r="Z161">
        <f t="shared" ca="1" si="48"/>
        <v>0</v>
      </c>
      <c r="AA161">
        <f t="shared" ca="1" si="55"/>
        <v>135.44249114483048</v>
      </c>
      <c r="AB161">
        <f t="shared" ca="1" si="49"/>
        <v>0</v>
      </c>
      <c r="AC161">
        <f t="shared" ca="1" si="50"/>
        <v>6.6928509242848624E-3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45538</v>
      </c>
      <c r="S162" s="55">
        <f t="shared" ca="1" si="51"/>
        <v>45538</v>
      </c>
      <c r="T162" s="55">
        <f t="shared" ca="1" si="45"/>
        <v>85.6240658775383</v>
      </c>
      <c r="U162" s="55">
        <f t="shared" ca="1" si="46"/>
        <v>1.3386898147826627</v>
      </c>
      <c r="V162" s="55">
        <f t="shared" ca="1" si="47"/>
        <v>0</v>
      </c>
      <c r="W162" s="55">
        <f t="shared" ca="1" si="52"/>
        <v>-51.645327690683061</v>
      </c>
      <c r="X162" s="55">
        <f t="shared" ca="1" si="53"/>
        <v>68.008797984597507</v>
      </c>
      <c r="Y162" s="55">
        <f t="shared" ca="1" si="54"/>
        <v>19.83768529571649</v>
      </c>
      <c r="Z162">
        <f t="shared" ca="1" si="48"/>
        <v>0</v>
      </c>
      <c r="AA162">
        <f t="shared" ca="1" si="55"/>
        <v>135.44249114483048</v>
      </c>
      <c r="AB162">
        <f t="shared" ca="1" si="49"/>
        <v>0</v>
      </c>
      <c r="AC162">
        <f t="shared" ca="1" si="50"/>
        <v>6.6928509242848624E-3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45539</v>
      </c>
      <c r="S163" s="55">
        <f t="shared" ca="1" si="51"/>
        <v>45539</v>
      </c>
      <c r="T163" s="55">
        <f t="shared" ca="1" si="45"/>
        <v>86.37071498582263</v>
      </c>
      <c r="U163" s="55">
        <f t="shared" ca="1" si="46"/>
        <v>1.3386898147826627</v>
      </c>
      <c r="V163" s="55">
        <f t="shared" ca="1" si="47"/>
        <v>0</v>
      </c>
      <c r="W163" s="55">
        <f t="shared" ca="1" si="52"/>
        <v>-51.645327690683061</v>
      </c>
      <c r="X163" s="55">
        <f t="shared" ca="1" si="53"/>
        <v>68.540902567438025</v>
      </c>
      <c r="Y163" s="55">
        <f t="shared" ca="1" si="54"/>
        <v>20.052229821160299</v>
      </c>
      <c r="Z163">
        <f t="shared" ca="1" si="48"/>
        <v>0</v>
      </c>
      <c r="AA163">
        <f t="shared" ca="1" si="55"/>
        <v>135.44249114483048</v>
      </c>
      <c r="AB163">
        <f t="shared" ca="1" si="49"/>
        <v>0</v>
      </c>
      <c r="AC163">
        <f t="shared" ca="1" si="50"/>
        <v>6.6928509242848624E-3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45540</v>
      </c>
      <c r="S164" s="55">
        <f t="shared" ca="1" si="51"/>
        <v>45540</v>
      </c>
      <c r="T164" s="55">
        <f t="shared" ca="1" si="45"/>
        <v>87.107250436147524</v>
      </c>
      <c r="U164" s="55">
        <f t="shared" ca="1" si="46"/>
        <v>1.3386898147826627</v>
      </c>
      <c r="V164" s="55">
        <f t="shared" ca="1" si="47"/>
        <v>0</v>
      </c>
      <c r="W164" s="55">
        <f t="shared" ca="1" si="52"/>
        <v>-51.645327690683061</v>
      </c>
      <c r="X164" s="55">
        <f t="shared" ca="1" si="53"/>
        <v>69.069691189321702</v>
      </c>
      <c r="Y164" s="55">
        <f t="shared" ca="1" si="54"/>
        <v>20.259976649601509</v>
      </c>
      <c r="Z164">
        <f t="shared" ca="1" si="48"/>
        <v>0</v>
      </c>
      <c r="AA164">
        <f t="shared" ca="1" si="55"/>
        <v>135.44249114483048</v>
      </c>
      <c r="AB164">
        <f t="shared" ca="1" si="49"/>
        <v>0</v>
      </c>
      <c r="AC164">
        <f t="shared" ca="1" si="50"/>
        <v>6.6928509242848624E-3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45541</v>
      </c>
      <c r="S165" s="55">
        <f t="shared" ca="1" si="51"/>
        <v>45541</v>
      </c>
      <c r="T165" s="55">
        <f t="shared" ca="1" si="45"/>
        <v>87.844644769679576</v>
      </c>
      <c r="U165" s="55">
        <f t="shared" ca="1" si="46"/>
        <v>1.3386898147826627</v>
      </c>
      <c r="V165" s="55">
        <f t="shared" ca="1" si="47"/>
        <v>0</v>
      </c>
      <c r="W165" s="55">
        <f t="shared" ca="1" si="52"/>
        <v>-51.645327690683061</v>
      </c>
      <c r="X165" s="55">
        <f t="shared" ca="1" si="53"/>
        <v>69.602251900370405</v>
      </c>
      <c r="Y165" s="55">
        <f t="shared" ca="1" si="54"/>
        <v>20.464810272084858</v>
      </c>
      <c r="Z165">
        <f t="shared" ca="1" si="48"/>
        <v>0</v>
      </c>
      <c r="AA165">
        <f t="shared" ca="1" si="55"/>
        <v>135.44249114483048</v>
      </c>
      <c r="AB165">
        <f t="shared" ca="1" si="49"/>
        <v>0</v>
      </c>
      <c r="AC165">
        <f t="shared" ca="1" si="50"/>
        <v>6.6928509242848624E-3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45542</v>
      </c>
      <c r="S166" s="55">
        <f t="shared" ca="1" si="51"/>
        <v>45542</v>
      </c>
      <c r="T166" s="55">
        <f t="shared" ca="1" si="45"/>
        <v>88.518814164261556</v>
      </c>
      <c r="U166" s="55">
        <f t="shared" ca="1" si="46"/>
        <v>1.3386898147826627</v>
      </c>
      <c r="V166" s="55">
        <f t="shared" ca="1" si="47"/>
        <v>0</v>
      </c>
      <c r="W166" s="55">
        <f t="shared" ca="1" si="52"/>
        <v>-51.645327690683061</v>
      </c>
      <c r="X166" s="55">
        <f t="shared" ca="1" si="53"/>
        <v>70.088164971697495</v>
      </c>
      <c r="Y166" s="55">
        <f t="shared" ca="1" si="54"/>
        <v>20.653066595339755</v>
      </c>
      <c r="Z166">
        <f t="shared" ca="1" si="48"/>
        <v>0</v>
      </c>
      <c r="AA166">
        <f t="shared" ca="1" si="55"/>
        <v>135.44249114483048</v>
      </c>
      <c r="AB166">
        <f t="shared" ca="1" si="49"/>
        <v>0</v>
      </c>
      <c r="AC166">
        <f t="shared" ca="1" si="50"/>
        <v>6.6928509242848624E-3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45543</v>
      </c>
      <c r="S167" s="55">
        <f t="shared" ca="1" si="51"/>
        <v>45543</v>
      </c>
      <c r="T167" s="55">
        <f t="shared" ca="1" si="45"/>
        <v>89.192492651883938</v>
      </c>
      <c r="U167" s="55">
        <f t="shared" ca="1" si="46"/>
        <v>1.3386898147826627</v>
      </c>
      <c r="V167" s="55">
        <f t="shared" ca="1" si="47"/>
        <v>0</v>
      </c>
      <c r="W167" s="55">
        <f t="shared" ca="1" si="52"/>
        <v>-51.645327690683061</v>
      </c>
      <c r="X167" s="55">
        <f t="shared" ca="1" si="53"/>
        <v>70.574137690707147</v>
      </c>
      <c r="Y167" s="55">
        <f t="shared" ca="1" si="54"/>
        <v>20.840772363952489</v>
      </c>
      <c r="Z167">
        <f t="shared" ca="1" si="48"/>
        <v>0</v>
      </c>
      <c r="AA167">
        <f t="shared" ca="1" si="55"/>
        <v>135.44249114483048</v>
      </c>
      <c r="AB167">
        <f t="shared" ca="1" si="49"/>
        <v>0</v>
      </c>
      <c r="AC167">
        <f t="shared" ca="1" si="50"/>
        <v>6.6928509242848624E-3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45544</v>
      </c>
      <c r="S168" s="55">
        <f t="shared" ca="1" si="51"/>
        <v>45544</v>
      </c>
      <c r="T168" s="55">
        <f t="shared" ca="1" si="45"/>
        <v>89.938583648560666</v>
      </c>
      <c r="U168" s="55">
        <f t="shared" ca="1" si="46"/>
        <v>1.3386898147826627</v>
      </c>
      <c r="V168" s="55">
        <f t="shared" ca="1" si="47"/>
        <v>0</v>
      </c>
      <c r="W168" s="55">
        <f t="shared" ca="1" si="52"/>
        <v>-51.645327690683061</v>
      </c>
      <c r="X168" s="55">
        <f t="shared" ca="1" si="53"/>
        <v>71.120748005707753</v>
      </c>
      <c r="Y168" s="55">
        <f t="shared" ca="1" si="54"/>
        <v>21.04025304562861</v>
      </c>
      <c r="Z168">
        <f t="shared" ca="1" si="48"/>
        <v>0</v>
      </c>
      <c r="AA168">
        <f t="shared" ca="1" si="55"/>
        <v>135.44249114483048</v>
      </c>
      <c r="AB168">
        <f t="shared" ca="1" si="49"/>
        <v>0</v>
      </c>
      <c r="AC168">
        <f t="shared" ca="1" si="50"/>
        <v>6.6928509242848624E-3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45545</v>
      </c>
      <c r="S169" s="55">
        <f t="shared" ca="1" si="51"/>
        <v>45545</v>
      </c>
      <c r="T169" s="55">
        <f t="shared" ca="1" si="45"/>
        <v>90.696176590052744</v>
      </c>
      <c r="U169" s="55">
        <f t="shared" ca="1" si="46"/>
        <v>1.3386898147826627</v>
      </c>
      <c r="V169" s="55">
        <f t="shared" ca="1" si="47"/>
        <v>0</v>
      </c>
      <c r="W169" s="55">
        <f t="shared" ca="1" si="52"/>
        <v>-51.645327690683061</v>
      </c>
      <c r="X169" s="55">
        <f t="shared" ca="1" si="53"/>
        <v>71.677662300072896</v>
      </c>
      <c r="Y169" s="55">
        <f t="shared" ca="1" si="54"/>
        <v>21.240931692755538</v>
      </c>
      <c r="Z169">
        <f t="shared" ca="1" si="48"/>
        <v>0</v>
      </c>
      <c r="AA169">
        <f t="shared" ca="1" si="55"/>
        <v>135.44249114483048</v>
      </c>
      <c r="AB169">
        <f t="shared" ca="1" si="49"/>
        <v>0</v>
      </c>
      <c r="AC169">
        <f t="shared" ca="1" si="50"/>
        <v>6.6928509242848624E-3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45546</v>
      </c>
      <c r="S170" s="55">
        <f t="shared" ca="1" si="51"/>
        <v>45546</v>
      </c>
      <c r="T170" s="55">
        <f t="shared" ca="1" si="45"/>
        <v>91.426004375509748</v>
      </c>
      <c r="U170" s="55">
        <f t="shared" ca="1" si="46"/>
        <v>1.3386898147826627</v>
      </c>
      <c r="V170" s="55">
        <f t="shared" ca="1" si="47"/>
        <v>0</v>
      </c>
      <c r="W170" s="55">
        <f t="shared" ca="1" si="52"/>
        <v>-51.645327690683061</v>
      </c>
      <c r="X170" s="55">
        <f t="shared" ca="1" si="53"/>
        <v>72.215832992769165</v>
      </c>
      <c r="Y170" s="55">
        <f t="shared" ca="1" si="54"/>
        <v>21.43258878551627</v>
      </c>
      <c r="Z170">
        <f t="shared" ca="1" si="48"/>
        <v>0</v>
      </c>
      <c r="AA170">
        <f t="shared" ca="1" si="55"/>
        <v>135.44249114483048</v>
      </c>
      <c r="AB170">
        <f t="shared" ca="1" si="49"/>
        <v>0</v>
      </c>
      <c r="AC170">
        <f t="shared" ca="1" si="50"/>
        <v>6.6928509242848624E-3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45547</v>
      </c>
      <c r="S171" s="55">
        <f t="shared" ca="1" si="51"/>
        <v>45547</v>
      </c>
      <c r="T171" s="55">
        <f t="shared" ca="1" si="45"/>
        <v>92.168910328459077</v>
      </c>
      <c r="U171" s="55">
        <f t="shared" ca="1" si="46"/>
        <v>1.3386898147826627</v>
      </c>
      <c r="V171" s="55">
        <f t="shared" ca="1" si="47"/>
        <v>0</v>
      </c>
      <c r="W171" s="55">
        <f t="shared" ca="1" si="52"/>
        <v>-51.645327690683061</v>
      </c>
      <c r="X171" s="55">
        <f t="shared" ca="1" si="53"/>
        <v>72.765398136891605</v>
      </c>
      <c r="Y171" s="55">
        <f t="shared" ca="1" si="54"/>
        <v>21.625929594343152</v>
      </c>
      <c r="Z171">
        <f t="shared" ca="1" si="48"/>
        <v>0</v>
      </c>
      <c r="AA171">
        <f t="shared" ca="1" si="55"/>
        <v>135.44249114483048</v>
      </c>
      <c r="AB171">
        <f t="shared" ca="1" si="49"/>
        <v>0</v>
      </c>
      <c r="AC171">
        <f t="shared" ca="1" si="50"/>
        <v>6.6928509242848624E-3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45548</v>
      </c>
      <c r="S172" s="55">
        <f t="shared" ca="1" si="51"/>
        <v>45548</v>
      </c>
      <c r="T172" s="55">
        <f t="shared" ca="1" si="45"/>
        <v>92.886822861301397</v>
      </c>
      <c r="U172" s="55">
        <f t="shared" ca="1" si="46"/>
        <v>1.3386898147826627</v>
      </c>
      <c r="V172" s="55">
        <f t="shared" ca="1" si="47"/>
        <v>0</v>
      </c>
      <c r="W172" s="55">
        <f t="shared" ca="1" si="52"/>
        <v>-51.645327690683061</v>
      </c>
      <c r="X172" s="55">
        <f t="shared" ca="1" si="53"/>
        <v>73.293125054663392</v>
      </c>
      <c r="Y172" s="55">
        <f t="shared" ca="1" si="54"/>
        <v>21.816115209413677</v>
      </c>
      <c r="Z172">
        <f t="shared" ca="1" si="48"/>
        <v>0</v>
      </c>
      <c r="AA172">
        <f t="shared" ca="1" si="55"/>
        <v>135.44249114483048</v>
      </c>
      <c r="AB172">
        <f t="shared" ca="1" si="49"/>
        <v>0</v>
      </c>
      <c r="AC172">
        <f t="shared" ca="1" si="50"/>
        <v>6.6928509242848624E-3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45549</v>
      </c>
      <c r="S173" s="55">
        <f t="shared" ca="1" si="51"/>
        <v>45549</v>
      </c>
      <c r="T173" s="55">
        <f t="shared" ca="1" si="45"/>
        <v>93.630857137818637</v>
      </c>
      <c r="U173" s="55">
        <f t="shared" ca="1" si="46"/>
        <v>1.3386898147826627</v>
      </c>
      <c r="V173" s="55">
        <f t="shared" ca="1" si="47"/>
        <v>0</v>
      </c>
      <c r="W173" s="55">
        <f t="shared" ca="1" si="52"/>
        <v>-51.645327690683061</v>
      </c>
      <c r="X173" s="55">
        <f t="shared" ca="1" si="53"/>
        <v>73.844208477277803</v>
      </c>
      <c r="Y173" s="55">
        <f t="shared" ca="1" si="54"/>
        <v>22.009066063316503</v>
      </c>
      <c r="Z173">
        <f t="shared" ca="1" si="48"/>
        <v>0</v>
      </c>
      <c r="AA173">
        <f t="shared" ca="1" si="55"/>
        <v>135.44249114483048</v>
      </c>
      <c r="AB173">
        <f t="shared" ca="1" si="49"/>
        <v>0</v>
      </c>
      <c r="AC173">
        <f t="shared" ca="1" si="50"/>
        <v>6.6928509242848624E-3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45550</v>
      </c>
      <c r="S174" s="55">
        <f t="shared" ca="1" si="51"/>
        <v>45550</v>
      </c>
      <c r="T174" s="55">
        <f t="shared" ca="1" si="45"/>
        <v>94.334062717133989</v>
      </c>
      <c r="U174" s="55">
        <f t="shared" ca="1" si="46"/>
        <v>1.3386898147826627</v>
      </c>
      <c r="V174" s="55">
        <f t="shared" ca="1" si="47"/>
        <v>0</v>
      </c>
      <c r="W174" s="55">
        <f t="shared" ca="1" si="52"/>
        <v>-51.645327690683061</v>
      </c>
      <c r="X174" s="55">
        <f t="shared" ca="1" si="53"/>
        <v>74.364515403841722</v>
      </c>
      <c r="Y174" s="55">
        <f t="shared" ca="1" si="54"/>
        <v>22.191964716067936</v>
      </c>
      <c r="Z174">
        <f t="shared" ca="1" si="48"/>
        <v>0</v>
      </c>
      <c r="AA174">
        <f t="shared" ca="1" si="55"/>
        <v>135.44249114483048</v>
      </c>
      <c r="AB174">
        <f t="shared" ca="1" si="49"/>
        <v>0</v>
      </c>
      <c r="AC174">
        <f t="shared" ca="1" si="50"/>
        <v>6.6928509242848624E-3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45551</v>
      </c>
      <c r="S175" s="55">
        <f t="shared" ca="1" si="51"/>
        <v>45551</v>
      </c>
      <c r="T175" s="55">
        <f t="shared" ca="1" si="45"/>
        <v>95.020108385231907</v>
      </c>
      <c r="U175" s="55">
        <f t="shared" ca="1" si="46"/>
        <v>1.3386898147826627</v>
      </c>
      <c r="V175" s="55">
        <f t="shared" ca="1" si="47"/>
        <v>0</v>
      </c>
      <c r="W175" s="55">
        <f t="shared" ca="1" si="52"/>
        <v>-51.645327690683061</v>
      </c>
      <c r="X175" s="55">
        <f t="shared" ca="1" si="53"/>
        <v>74.871769067051758</v>
      </c>
      <c r="Y175" s="55">
        <f t="shared" ca="1" si="54"/>
        <v>22.370756720955814</v>
      </c>
      <c r="Z175">
        <f t="shared" ca="1" si="48"/>
        <v>0</v>
      </c>
      <c r="AA175">
        <f t="shared" ca="1" si="55"/>
        <v>135.44249114483048</v>
      </c>
      <c r="AB175">
        <f t="shared" ca="1" si="49"/>
        <v>0</v>
      </c>
      <c r="AC175">
        <f t="shared" ca="1" si="50"/>
        <v>6.6928509242848624E-3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45552</v>
      </c>
      <c r="S176" s="55">
        <f t="shared" ca="1" si="51"/>
        <v>45552</v>
      </c>
      <c r="T176" s="55">
        <f t="shared" ca="1" si="45"/>
        <v>95.670678638123661</v>
      </c>
      <c r="U176" s="55">
        <f t="shared" ca="1" si="46"/>
        <v>1.3386898147826627</v>
      </c>
      <c r="V176" s="55">
        <f t="shared" ca="1" si="47"/>
        <v>0</v>
      </c>
      <c r="W176" s="55">
        <f t="shared" ca="1" si="52"/>
        <v>-51.645327690683061</v>
      </c>
      <c r="X176" s="55">
        <f t="shared" ca="1" si="53"/>
        <v>75.351827360841753</v>
      </c>
      <c r="Y176" s="55">
        <f t="shared" ca="1" si="54"/>
        <v>22.541268680057566</v>
      </c>
      <c r="Z176">
        <f t="shared" ca="1" si="48"/>
        <v>0</v>
      </c>
      <c r="AA176">
        <f t="shared" ca="1" si="55"/>
        <v>135.44249114483048</v>
      </c>
      <c r="AB176">
        <f t="shared" ca="1" si="49"/>
        <v>0</v>
      </c>
      <c r="AC176">
        <f t="shared" ca="1" si="50"/>
        <v>6.6928509242848624E-3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45553</v>
      </c>
      <c r="S177" s="55">
        <f t="shared" ca="1" si="51"/>
        <v>45553</v>
      </c>
      <c r="T177" s="55">
        <f t="shared" ca="1" si="45"/>
        <v>96.367936144834573</v>
      </c>
      <c r="U177" s="55">
        <f t="shared" ca="1" si="46"/>
        <v>1.3386898147826627</v>
      </c>
      <c r="V177" s="55">
        <f t="shared" ca="1" si="47"/>
        <v>0</v>
      </c>
      <c r="W177" s="55">
        <f t="shared" ca="1" si="52"/>
        <v>-51.645327690683061</v>
      </c>
      <c r="X177" s="55">
        <f t="shared" ca="1" si="53"/>
        <v>75.872401969364361</v>
      </c>
      <c r="Y177" s="55">
        <f t="shared" ca="1" si="54"/>
        <v>22.717951578245877</v>
      </c>
      <c r="Z177">
        <f t="shared" ca="1" si="48"/>
        <v>0</v>
      </c>
      <c r="AA177">
        <f t="shared" ca="1" si="55"/>
        <v>135.44249114483048</v>
      </c>
      <c r="AB177">
        <f t="shared" ca="1" si="49"/>
        <v>0</v>
      </c>
      <c r="AC177">
        <f t="shared" ca="1" si="50"/>
        <v>6.6928509242848624E-3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45554</v>
      </c>
      <c r="S178" s="55">
        <f t="shared" ca="1" si="51"/>
        <v>45554</v>
      </c>
      <c r="T178" s="55">
        <f t="shared" ca="1" si="45"/>
        <v>97.067708654858947</v>
      </c>
      <c r="U178" s="55">
        <f t="shared" ca="1" si="46"/>
        <v>1.3386898147826627</v>
      </c>
      <c r="V178" s="55">
        <f t="shared" ca="1" si="47"/>
        <v>0</v>
      </c>
      <c r="W178" s="55">
        <f t="shared" ca="1" si="52"/>
        <v>-51.645327690683061</v>
      </c>
      <c r="X178" s="55">
        <f t="shared" ca="1" si="53"/>
        <v>76.394586647071179</v>
      </c>
      <c r="Y178" s="55">
        <f t="shared" ca="1" si="54"/>
        <v>22.895539410563433</v>
      </c>
      <c r="Z178">
        <f t="shared" ca="1" si="48"/>
        <v>0</v>
      </c>
      <c r="AA178">
        <f t="shared" ca="1" si="55"/>
        <v>135.44249114483048</v>
      </c>
      <c r="AB178">
        <f t="shared" ca="1" si="49"/>
        <v>0</v>
      </c>
      <c r="AC178">
        <f t="shared" ca="1" si="50"/>
        <v>6.6928509242848624E-3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45555</v>
      </c>
      <c r="S179" s="55">
        <f t="shared" ca="1" si="51"/>
        <v>45555</v>
      </c>
      <c r="T179" s="55">
        <f t="shared" ca="1" si="45"/>
        <v>97.736648346864982</v>
      </c>
      <c r="U179" s="55">
        <f t="shared" ca="1" si="46"/>
        <v>1.3386898147826627</v>
      </c>
      <c r="V179" s="55">
        <f t="shared" ca="1" si="47"/>
        <v>0</v>
      </c>
      <c r="W179" s="55">
        <f t="shared" ca="1" si="52"/>
        <v>-51.645327690683061</v>
      </c>
      <c r="X179" s="55">
        <f t="shared" ca="1" si="53"/>
        <v>76.894068752475093</v>
      </c>
      <c r="Y179" s="55">
        <f t="shared" ca="1" si="54"/>
        <v>23.064996997165551</v>
      </c>
      <c r="Z179">
        <f t="shared" ca="1" si="48"/>
        <v>0</v>
      </c>
      <c r="AA179">
        <f t="shared" ca="1" si="55"/>
        <v>135.44249114483048</v>
      </c>
      <c r="AB179">
        <f t="shared" ca="1" si="49"/>
        <v>0</v>
      </c>
      <c r="AC179">
        <f t="shared" ca="1" si="50"/>
        <v>6.6928509242848624E-3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45556</v>
      </c>
      <c r="S180" s="55">
        <f t="shared" ca="1" si="51"/>
        <v>45556</v>
      </c>
      <c r="T180" s="55">
        <f t="shared" ca="1" si="45"/>
        <v>97.338766122887321</v>
      </c>
      <c r="U180" s="55">
        <f t="shared" ca="1" si="46"/>
        <v>2.3740187071640033</v>
      </c>
      <c r="V180" s="55">
        <f t="shared" ca="1" si="47"/>
        <v>0</v>
      </c>
      <c r="W180" s="55">
        <f t="shared" ca="1" si="52"/>
        <v>-51.645327690683061</v>
      </c>
      <c r="X180" s="55">
        <f t="shared" ca="1" si="53"/>
        <v>77.372064615785931</v>
      </c>
      <c r="Y180" s="55">
        <f t="shared" ca="1" si="54"/>
        <v>23.224447802258389</v>
      </c>
      <c r="Z180">
        <f t="shared" ca="1" si="48"/>
        <v>0</v>
      </c>
      <c r="AA180">
        <f t="shared" ca="1" si="55"/>
        <v>135.44249114483048</v>
      </c>
      <c r="AB180">
        <f t="shared" ca="1" si="49"/>
        <v>0</v>
      </c>
      <c r="AC180">
        <f t="shared" ca="1" si="50"/>
        <v>2.7795114167965325E-2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45557</v>
      </c>
      <c r="S181" s="55">
        <f t="shared" ca="1" si="51"/>
        <v>45557</v>
      </c>
      <c r="T181" s="55">
        <f t="shared" ca="1" si="45"/>
        <v>94.247451328965724</v>
      </c>
      <c r="U181" s="55">
        <f t="shared" ca="1" si="46"/>
        <v>6.1273137131684887</v>
      </c>
      <c r="V181" s="55">
        <f t="shared" ca="1" si="47"/>
        <v>0</v>
      </c>
      <c r="W181" s="55">
        <f t="shared" ca="1" si="52"/>
        <v>-51.645327690683061</v>
      </c>
      <c r="X181" s="55">
        <f t="shared" ca="1" si="53"/>
        <v>77.871331495675776</v>
      </c>
      <c r="Y181" s="55">
        <f t="shared" ca="1" si="54"/>
        <v>23.387161134451439</v>
      </c>
      <c r="Z181">
        <f t="shared" ca="1" si="48"/>
        <v>0</v>
      </c>
      <c r="AA181">
        <f t="shared" ca="1" si="55"/>
        <v>135.44249114483048</v>
      </c>
      <c r="AB181">
        <f t="shared" ca="1" si="49"/>
        <v>0</v>
      </c>
      <c r="AC181">
        <f t="shared" ca="1" si="50"/>
        <v>0.24299231051914963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45558</v>
      </c>
      <c r="S182" s="55">
        <f t="shared" ca="1" si="51"/>
        <v>45558</v>
      </c>
      <c r="T182" s="55">
        <f t="shared" ca="1" si="45"/>
        <v>107.26472529051328</v>
      </c>
      <c r="U182" s="55">
        <f t="shared" ca="1" si="46"/>
        <v>15.889323052464961</v>
      </c>
      <c r="V182" s="55">
        <f t="shared" ca="1" si="47"/>
        <v>22.113177802205897</v>
      </c>
      <c r="W182" s="55">
        <f t="shared" ca="1" si="52"/>
        <v>-51.645327690683061</v>
      </c>
      <c r="X182" s="55">
        <f t="shared" ca="1" si="53"/>
        <v>78.375888865764153</v>
      </c>
      <c r="Y182" s="55">
        <f t="shared" ca="1" si="54"/>
        <v>23.548709263001193</v>
      </c>
      <c r="Z182">
        <f t="shared" ca="1" si="48"/>
        <v>0</v>
      </c>
      <c r="AA182">
        <f t="shared" ca="1" si="55"/>
        <v>135.44249114483048</v>
      </c>
      <c r="AB182">
        <f t="shared" ca="1" si="49"/>
        <v>0</v>
      </c>
      <c r="AC182">
        <f t="shared" ca="1" si="50"/>
        <v>0.79819209986710826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45559</v>
      </c>
      <c r="S183" s="55">
        <f t="shared" ca="1" si="51"/>
        <v>45559</v>
      </c>
      <c r="T183" s="55">
        <f t="shared" ca="1" si="45"/>
        <v>110.01541197309308</v>
      </c>
      <c r="U183" s="55">
        <f t="shared" ca="1" si="46"/>
        <v>35.900009908888997</v>
      </c>
      <c r="V183" s="55">
        <f t="shared" ca="1" si="47"/>
        <v>22.131087564046105</v>
      </c>
      <c r="W183" s="55">
        <f t="shared" ca="1" si="52"/>
        <v>-51.645327690683061</v>
      </c>
      <c r="X183" s="55">
        <f t="shared" ca="1" si="53"/>
        <v>78.850057913009053</v>
      </c>
      <c r="Y183" s="55">
        <f t="shared" ca="1" si="54"/>
        <v>23.704826190714016</v>
      </c>
      <c r="Z183">
        <f t="shared" ca="1" si="48"/>
        <v>0</v>
      </c>
      <c r="AA183">
        <f t="shared" ca="1" si="55"/>
        <v>135.44249114483048</v>
      </c>
      <c r="AB183">
        <f t="shared" ca="1" si="49"/>
        <v>0</v>
      </c>
      <c r="AC183">
        <f t="shared" ca="1" si="50"/>
        <v>0.97588196619475664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45560</v>
      </c>
      <c r="S184" s="55">
        <f t="shared" ca="1" si="51"/>
        <v>45560</v>
      </c>
      <c r="T184" s="55">
        <f t="shared" ca="1" si="45"/>
        <v>84.288295109549708</v>
      </c>
      <c r="U184" s="55">
        <f t="shared" ca="1" si="46"/>
        <v>84.388500311436175</v>
      </c>
      <c r="V184" s="55">
        <f t="shared" ca="1" si="47"/>
        <v>22.086949813811849</v>
      </c>
      <c r="W184" s="55">
        <f t="shared" ca="1" si="52"/>
        <v>-51.645327690683061</v>
      </c>
      <c r="X184" s="55">
        <f t="shared" ca="1" si="53"/>
        <v>79.360375010187767</v>
      </c>
      <c r="Y184" s="55">
        <f t="shared" ca="1" si="54"/>
        <v>23.868932818727266</v>
      </c>
      <c r="Z184">
        <f t="shared" ca="1" si="48"/>
        <v>0</v>
      </c>
      <c r="AA184">
        <f t="shared" ca="1" si="55"/>
        <v>135.44249114483048</v>
      </c>
      <c r="AB184">
        <f t="shared" ca="1" si="49"/>
        <v>0</v>
      </c>
      <c r="AC184">
        <f t="shared" ca="1" si="50"/>
        <v>0.99878597931553936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45561</v>
      </c>
      <c r="S185" s="55">
        <f t="shared" ca="1" si="51"/>
        <v>45561</v>
      </c>
      <c r="T185" s="55">
        <f t="shared" ca="1" si="45"/>
        <v>29.325576274808029</v>
      </c>
      <c r="U185" s="55">
        <f t="shared" ca="1" si="46"/>
        <v>140</v>
      </c>
      <c r="V185" s="55">
        <f t="shared" ca="1" si="47"/>
        <v>0</v>
      </c>
      <c r="W185" s="55">
        <f t="shared" ca="1" si="52"/>
        <v>-51.645327690683061</v>
      </c>
      <c r="X185" s="55">
        <f t="shared" ca="1" si="53"/>
        <v>79.849508104643263</v>
      </c>
      <c r="Y185" s="55">
        <f t="shared" ca="1" si="54"/>
        <v>24.028580578093916</v>
      </c>
      <c r="Z185">
        <f t="shared" ca="1" si="48"/>
        <v>0</v>
      </c>
      <c r="AA185">
        <f t="shared" ca="1" si="55"/>
        <v>135.44249114483048</v>
      </c>
      <c r="AB185">
        <f t="shared" ca="1" si="49"/>
        <v>0</v>
      </c>
      <c r="AC185">
        <f t="shared" ca="1" si="50"/>
        <v>0.99993345063478134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4" priority="49" operator="containsText" text="Suggested">
      <formula>NOT(ISERROR(SEARCH("Suggested",H29)))</formula>
    </cfRule>
  </conditionalFormatting>
  <conditionalFormatting sqref="F29:G29">
    <cfRule type="expression" dxfId="23" priority="55">
      <formula>$B$29=1</formula>
    </cfRule>
  </conditionalFormatting>
  <conditionalFormatting sqref="F30:G30">
    <cfRule type="expression" dxfId="22" priority="62">
      <formula>$B$30=1</formula>
    </cfRule>
  </conditionalFormatting>
  <conditionalFormatting sqref="F31:G31">
    <cfRule type="expression" dxfId="21" priority="64">
      <formula>$B$31=1</formula>
    </cfRule>
  </conditionalFormatting>
  <conditionalFormatting sqref="F32:G32">
    <cfRule type="expression" dxfId="20" priority="66">
      <formula>$B$32=1</formula>
    </cfRule>
  </conditionalFormatting>
  <conditionalFormatting sqref="F33:G33">
    <cfRule type="expression" dxfId="19" priority="68">
      <formula>$B$33=1</formula>
    </cfRule>
  </conditionalFormatting>
  <conditionalFormatting sqref="F34:G34">
    <cfRule type="expression" dxfId="18" priority="70">
      <formula>$B$34=1</formula>
    </cfRule>
  </conditionalFormatting>
  <conditionalFormatting sqref="F35:G35">
    <cfRule type="expression" dxfId="17" priority="72">
      <formula>$B$35=1</formula>
    </cfRule>
  </conditionalFormatting>
  <conditionalFormatting sqref="F36">
    <cfRule type="expression" dxfId="16" priority="74">
      <formula>$B$36=1</formula>
    </cfRule>
  </conditionalFormatting>
  <conditionalFormatting sqref="F37:G37">
    <cfRule type="expression" dxfId="15" priority="76">
      <formula>$B$37=1</formula>
    </cfRule>
  </conditionalFormatting>
  <conditionalFormatting sqref="F38:G38">
    <cfRule type="expression" dxfId="14" priority="78">
      <formula>$B$38=1</formula>
    </cfRule>
  </conditionalFormatting>
  <conditionalFormatting sqref="F22:H24 C22:E23 C17:H21 D24 C25:H45">
    <cfRule type="expression" dxfId="13" priority="9">
      <formula>$B$1=1</formula>
    </cfRule>
  </conditionalFormatting>
  <conditionalFormatting sqref="C55:E56 F54:H55 C68:H71 C64:E67 F65:H66 F8:H15 C57:H63 C53:H53 C46:H50 C54 E54 C51:D52 F51:H52">
    <cfRule type="expression" dxfId="12" priority="8">
      <formula>NOT($B$1=3)</formula>
    </cfRule>
  </conditionalFormatting>
  <conditionalFormatting sqref="E15">
    <cfRule type="expression" dxfId="11" priority="6">
      <formula>NOT($B$1=1)</formula>
    </cfRule>
  </conditionalFormatting>
  <conditionalFormatting sqref="D72:E72">
    <cfRule type="expression" dxfId="10" priority="5">
      <formula>NOT($B$1=3)</formula>
    </cfRule>
  </conditionalFormatting>
  <conditionalFormatting sqref="C72">
    <cfRule type="expression" dxfId="9" priority="4">
      <formula>NOT($B$1=3)</formula>
    </cfRule>
  </conditionalFormatting>
  <conditionalFormatting sqref="G36">
    <cfRule type="expression" dxfId="8" priority="87">
      <formula>$B$36</formula>
    </cfRule>
  </conditionalFormatting>
  <conditionalFormatting sqref="F39:G39">
    <cfRule type="expression" dxfId="7" priority="90">
      <formula>$B$39=1</formula>
    </cfRule>
  </conditionalFormatting>
  <conditionalFormatting sqref="F40:G40">
    <cfRule type="expression" dxfId="6" priority="91">
      <formula>$B$40=1</formula>
    </cfRule>
  </conditionalFormatting>
  <conditionalFormatting sqref="F41:G41">
    <cfRule type="expression" dxfId="5" priority="92">
      <formula>$B$41=1</formula>
    </cfRule>
  </conditionalFormatting>
  <conditionalFormatting sqref="F42:G42">
    <cfRule type="expression" dxfId="4" priority="93">
      <formula>$B$42=1</formula>
    </cfRule>
  </conditionalFormatting>
  <conditionalFormatting sqref="F43:G43">
    <cfRule type="expression" dxfId="3" priority="94">
      <formula>$B$43=1</formula>
    </cfRule>
  </conditionalFormatting>
  <conditionalFormatting sqref="C24 E24">
    <cfRule type="expression" dxfId="2" priority="3">
      <formula>$B$1=1</formula>
    </cfRule>
  </conditionalFormatting>
  <conditionalFormatting sqref="D54">
    <cfRule type="expression" dxfId="1" priority="2">
      <formula>NOT($B$1=3)</formula>
    </cfRule>
  </conditionalFormatting>
  <conditionalFormatting sqref="E51:E52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62:E63 E51:E52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opLeftCell="I1" zoomScale="105" workbookViewId="0">
      <selection activeCell="M1" sqref="M1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Crop Product</v>
      </c>
      <c r="K1" t="str">
        <f ca="1"/>
        <v>Other Crop Parts</v>
      </c>
      <c r="L1" t="str">
        <f ca="1"/>
        <v>Soil Organic</v>
      </c>
      <c r="M1" t="str">
        <f ca="1"/>
        <v>Residues</v>
      </c>
      <c r="N1" t="str">
        <f ca="1"/>
        <v>Fertiliser</v>
      </c>
      <c r="O1" t="str">
        <f ca="1"/>
        <v>Uncharacterised</v>
      </c>
      <c r="P1" t="str">
        <f ca="1"/>
        <v>Total</v>
      </c>
      <c r="Q1" t="s">
        <v>279</v>
      </c>
    </row>
    <row r="2" spans="1:43">
      <c r="H2" t="s">
        <v>277</v>
      </c>
      <c r="I2">
        <f ca="1"/>
        <v>50</v>
      </c>
      <c r="J2">
        <f ca="1"/>
        <v>0</v>
      </c>
      <c r="K2">
        <f ca="1"/>
        <v>1</v>
      </c>
      <c r="L2">
        <f ca="1"/>
        <v>79</v>
      </c>
      <c r="M2">
        <f ca="1"/>
        <v>24</v>
      </c>
      <c r="N2">
        <f ca="1"/>
        <v>66</v>
      </c>
      <c r="O2">
        <f ca="1"/>
        <v>0</v>
      </c>
      <c r="P2">
        <f ca="1"/>
        <v>221</v>
      </c>
      <c r="Q2">
        <f ca="1">SUM(I2:O2)</f>
        <v>220</v>
      </c>
      <c r="R2">
        <f ca="1">Q2-P2</f>
        <v>-1</v>
      </c>
    </row>
    <row r="3" spans="1:43">
      <c r="H3" t="s">
        <v>278</v>
      </c>
      <c r="I3">
        <f ca="1"/>
        <v>29</v>
      </c>
      <c r="J3">
        <f ca="1"/>
        <v>0</v>
      </c>
      <c r="K3">
        <f ca="1"/>
        <v>140</v>
      </c>
      <c r="L3">
        <f ca="1"/>
        <v>0</v>
      </c>
      <c r="M3">
        <f ca="1"/>
        <v>0</v>
      </c>
      <c r="N3">
        <f ca="1"/>
        <v>0</v>
      </c>
      <c r="O3">
        <f ca="1"/>
        <v>52</v>
      </c>
      <c r="P3">
        <f ca="1"/>
        <v>221</v>
      </c>
      <c r="Q3">
        <f ca="1">SUM(I3:O3)</f>
        <v>221</v>
      </c>
    </row>
    <row r="4" spans="1:43" ht="15" thickBot="1"/>
    <row r="5" spans="1:43" ht="26.4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_xll.GetDailyNBalanceSummary(A6:B54,D17:E23,D8:E14)</f>
        <v>Mineral</v>
      </c>
      <c r="AH5" t="str">
        <f ca="1"/>
        <v>Crop Product</v>
      </c>
      <c r="AI5" t="str">
        <f ca="1"/>
        <v>Other Crop Parts</v>
      </c>
      <c r="AJ5" t="str">
        <f ca="1"/>
        <v>Soil Organic</v>
      </c>
      <c r="AK5" t="str">
        <f ca="1"/>
        <v>Residues</v>
      </c>
      <c r="AL5" t="str">
        <f ca="1"/>
        <v>Fertiliser</v>
      </c>
      <c r="AM5" t="str">
        <f ca="1"/>
        <v>Uncharacterised</v>
      </c>
      <c r="AN5" t="str">
        <f ca="1"/>
        <v>Total</v>
      </c>
      <c r="AO5" t="e">
        <f ca="1"/>
        <v>#N/A</v>
      </c>
      <c r="AP5" t="e">
        <f ca="1"/>
        <v>#N/A</v>
      </c>
      <c r="AQ5" t="e">
        <f ca="1"/>
        <v>#N/A</v>
      </c>
    </row>
    <row r="6" spans="1:43" ht="15" thickBot="1">
      <c r="A6" s="12" t="s">
        <v>244</v>
      </c>
      <c r="B6" s="13" t="str">
        <f>Location</f>
        <v>gore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50</v>
      </c>
      <c r="AH6">
        <f ca="1"/>
        <v>0</v>
      </c>
      <c r="AI6">
        <f ca="1"/>
        <v>1</v>
      </c>
      <c r="AJ6">
        <f ca="1"/>
        <v>79</v>
      </c>
      <c r="AK6">
        <f ca="1"/>
        <v>24</v>
      </c>
      <c r="AL6">
        <f ca="1"/>
        <v>66</v>
      </c>
      <c r="AM6">
        <f ca="1"/>
        <v>0</v>
      </c>
      <c r="AN6">
        <f ca="1"/>
        <v>221</v>
      </c>
      <c r="AO6" t="e">
        <f ca="1"/>
        <v>#N/A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Clay</v>
      </c>
      <c r="D7" s="39" t="str">
        <f>ConceptDemo!C27</f>
        <v>Fertiliser already applied or planned</v>
      </c>
      <c r="E7" s="40"/>
      <c r="I7" s="12" t="s">
        <v>0</v>
      </c>
      <c r="J7" s="28">
        <f>B25+1</f>
        <v>45395</v>
      </c>
      <c r="K7" s="3">
        <v>50</v>
      </c>
      <c r="L7" s="3"/>
      <c r="M7" s="3">
        <f ca="1">SUMIF($I$12:$I$1005,TRUE,M12:M1005)</f>
        <v>24.028580578093916</v>
      </c>
      <c r="N7" s="3">
        <f ca="1">SUMIF($I$12:$I$1005,TRUE,N12:N1005)</f>
        <v>79.272418392550591</v>
      </c>
      <c r="O7" s="3">
        <f ca="1">SUMIF($I$12:$I$1005,TRUE,O12:O1005)</f>
        <v>66.33121518006385</v>
      </c>
      <c r="P7" s="3">
        <f ca="1">VLOOKUP(B36,ModelOutputs,P9,FALSE)-Q7</f>
        <v>1.3386898147826627</v>
      </c>
      <c r="Q7">
        <f ca="1">VLOOKUP(B36,ModelOutputs,Q9,FALSE)</f>
        <v>0</v>
      </c>
      <c r="R7" s="13"/>
      <c r="W7" s="3">
        <f ca="1">MAX(0,X8-X7)</f>
        <v>8.5265128291212022E-14</v>
      </c>
      <c r="X7" s="3">
        <f ca="1">SUM(K7:R7)</f>
        <v>220.97090396549103</v>
      </c>
      <c r="AA7" s="3"/>
      <c r="AG7">
        <f ca="1"/>
        <v>29</v>
      </c>
      <c r="AH7">
        <f ca="1"/>
        <v>0</v>
      </c>
      <c r="AI7">
        <f ca="1"/>
        <v>140</v>
      </c>
      <c r="AJ7">
        <f ca="1"/>
        <v>0</v>
      </c>
      <c r="AK7">
        <f ca="1"/>
        <v>0</v>
      </c>
      <c r="AL7">
        <f ca="1"/>
        <v>0</v>
      </c>
      <c r="AM7">
        <f ca="1"/>
        <v>52</v>
      </c>
      <c r="AN7">
        <f ca="1"/>
        <v>221</v>
      </c>
      <c r="AO7" t="e">
        <f ca="1"/>
        <v>#N/A</v>
      </c>
      <c r="AP7" t="e">
        <f ca="1"/>
        <v>#N/A</v>
      </c>
      <c r="AQ7" t="e">
        <f ca="1"/>
        <v>#N/A</v>
      </c>
    </row>
    <row r="8" spans="1:43" ht="1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45561</v>
      </c>
      <c r="K8" s="24">
        <f ca="1">VLOOKUP(J8,ModelOutputs,2,FALSE)</f>
        <v>29.325576274808029</v>
      </c>
      <c r="L8" s="27"/>
      <c r="M8" s="25"/>
      <c r="N8" s="25"/>
      <c r="O8" s="25"/>
      <c r="P8" s="24">
        <f ca="1">(VLOOKUP($J$8,ModelOutputs,P9,FALSE)-VLOOKUP($J$7+1,ModelOutputs,P9,FALSE))-Q8</f>
        <v>140</v>
      </c>
      <c r="Q8" s="26">
        <f ca="1">VLOOKUP($J$8,ModelOutputs,Q9,FALSE)-VLOOKUP($J$7+1,ModelOutputs,Q9,FALSE)</f>
        <v>0</v>
      </c>
      <c r="R8" s="27">
        <f ca="1">SUMIF($I$12:$I$1005,TRUE,R12:R1005)</f>
        <v>51.645327690683061</v>
      </c>
      <c r="S8" s="3"/>
      <c r="T8" s="3"/>
      <c r="U8" s="3"/>
      <c r="V8" s="3"/>
      <c r="W8" s="3">
        <f ca="1">MAX(0,X7-X8)</f>
        <v>0</v>
      </c>
      <c r="X8" s="3">
        <f ca="1">SUM(K8:R8)</f>
        <v>220.97090396549112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Sedimentary</v>
      </c>
      <c r="D9" s="37" t="str">
        <f>IF(ConceptDemo!C29="","",ConceptDemo!C29)</f>
        <v/>
      </c>
      <c r="E9" s="38" t="str">
        <f>IF(ConceptDemo!D29="","",ConceptDemo!D29)</f>
        <v/>
      </c>
      <c r="L9">
        <f ca="1">SUMIF(H11:H1004,FALSE,L11:L1004)</f>
        <v>208.08223247850796</v>
      </c>
      <c r="M9">
        <f ca="1">SUMIF(H11:H1004,TRUE,M11:M1004)</f>
        <v>23.868932818727266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70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3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45394</v>
      </c>
      <c r="K11">
        <f ca="1"/>
        <v>0</v>
      </c>
      <c r="L11">
        <f ca="1"/>
        <v>1.851450352270831</v>
      </c>
      <c r="M11">
        <f ca="1"/>
        <v>0</v>
      </c>
      <c r="N11" s="4">
        <f ca="1"/>
        <v>0.57708971209268001</v>
      </c>
      <c r="O11">
        <f ca="1"/>
        <v>0</v>
      </c>
      <c r="P11">
        <f ca="1"/>
        <v>210.00000000000003</v>
      </c>
      <c r="Q11">
        <f ca="1"/>
        <v>0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0.99993345063478134</v>
      </c>
      <c r="X11" s="2">
        <f t="shared" ref="X11:X74" ca="1" si="1">IFERROR(J11,$X$9)</f>
        <v>45394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45395</v>
      </c>
      <c r="K12">
        <f ca="1"/>
        <v>49.113614223126362</v>
      </c>
      <c r="L12">
        <f ca="1"/>
        <v>0</v>
      </c>
      <c r="M12">
        <f ca="1"/>
        <v>-1.5126959439191552</v>
      </c>
      <c r="N12" s="4">
        <f ca="1"/>
        <v>0.62631016704551978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0.89227777777777773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45395</v>
      </c>
      <c r="Y12">
        <f t="shared" ca="1" si="2"/>
        <v>0</v>
      </c>
      <c r="Z12" s="3"/>
      <c r="AA12" s="63">
        <f ca="1">K11+M12+N12+O12</f>
        <v>-0.8863857768736354</v>
      </c>
      <c r="AB12" s="63">
        <f ca="1">K12+L12+R12</f>
        <v>49.113614223126362</v>
      </c>
      <c r="AC12" s="3">
        <f ca="1">AB12-AA12</f>
        <v>50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45396</v>
      </c>
      <c r="K13">
        <f ca="1"/>
        <v>48.322014434618893</v>
      </c>
      <c r="L13">
        <f ca="1"/>
        <v>0</v>
      </c>
      <c r="M13">
        <f ca="1"/>
        <v>-1.4270311238501927</v>
      </c>
      <c r="N13" s="4">
        <f ca="1"/>
        <v>0.63543133534272012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0.87866924897119347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45396</v>
      </c>
      <c r="Y13">
        <f t="shared" ca="1" si="2"/>
        <v>0</v>
      </c>
      <c r="AA13" s="63">
        <f t="shared" ref="AA13:AA76" ca="1" si="4">K12+M13+N13+O13</f>
        <v>48.322014434618893</v>
      </c>
      <c r="AB13" s="63">
        <f t="shared" ref="AB13:AB76" ca="1" si="5">K13+L13+R13</f>
        <v>48.322014434618893</v>
      </c>
      <c r="AC13" s="3">
        <f t="shared" ref="AC13:AC76" ca="1" si="6">AB13-AA13</f>
        <v>0</v>
      </c>
    </row>
    <row r="14" spans="1:43" ht="15" thickBot="1">
      <c r="A14" s="12" t="s">
        <v>200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45397</v>
      </c>
      <c r="K14">
        <f ca="1"/>
        <v>47.652489686759409</v>
      </c>
      <c r="L14">
        <f ca="1"/>
        <v>0</v>
      </c>
      <c r="M14">
        <f ca="1"/>
        <v>-1.3092974912501889</v>
      </c>
      <c r="N14" s="4">
        <f ca="1"/>
        <v>0.63977274339070977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0.88550914280978521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45397</v>
      </c>
      <c r="Y14">
        <f t="shared" ca="1" si="2"/>
        <v>0</v>
      </c>
      <c r="AA14" s="63">
        <f t="shared" ca="1" si="4"/>
        <v>47.652489686759409</v>
      </c>
      <c r="AB14" s="63">
        <f t="shared" ca="1" si="5"/>
        <v>47.652489686759409</v>
      </c>
      <c r="AC14" s="3">
        <f t="shared" ca="1" si="6"/>
        <v>0</v>
      </c>
    </row>
    <row r="15" spans="1:43" ht="1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45398</v>
      </c>
      <c r="K15">
        <f ca="1"/>
        <v>47.147903972636676</v>
      </c>
      <c r="L15">
        <f ca="1"/>
        <v>0</v>
      </c>
      <c r="M15">
        <f ca="1"/>
        <v>-1.1549433134201843</v>
      </c>
      <c r="N15" s="4">
        <f ca="1"/>
        <v>0.65035759929745163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0.94218245762613484</v>
      </c>
      <c r="T15">
        <f ca="1"/>
        <v>0</v>
      </c>
      <c r="U15">
        <f ca="1"/>
        <v>0</v>
      </c>
      <c r="V15">
        <f ca="1"/>
        <v>0</v>
      </c>
      <c r="X15" s="2">
        <f t="shared" ca="1" si="1"/>
        <v>45398</v>
      </c>
      <c r="Y15">
        <f t="shared" ca="1" si="2"/>
        <v>0</v>
      </c>
      <c r="AA15" s="63">
        <f t="shared" ca="1" si="4"/>
        <v>47.147903972636676</v>
      </c>
      <c r="AB15" s="63">
        <f t="shared" ca="1" si="5"/>
        <v>47.147903972636676</v>
      </c>
      <c r="AC15" s="3">
        <f t="shared" ca="1" si="6"/>
        <v>0</v>
      </c>
    </row>
    <row r="16" spans="1:43">
      <c r="A16" s="5" t="s">
        <v>139</v>
      </c>
      <c r="B16" s="31" t="str">
        <f>PriorCropNameFull</f>
        <v>Lupin Green manure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45399</v>
      </c>
      <c r="K16">
        <f ca="1"/>
        <v>46.756432188894664</v>
      </c>
      <c r="L16">
        <f ca="1"/>
        <v>0</v>
      </c>
      <c r="M16">
        <f ca="1"/>
        <v>-1.0382114532439495</v>
      </c>
      <c r="N16" s="4">
        <f ca="1"/>
        <v>0.64673966950193562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0.97219361547299643</v>
      </c>
      <c r="T16">
        <f ca="1"/>
        <v>0</v>
      </c>
      <c r="U16">
        <f ca="1"/>
        <v>0</v>
      </c>
      <c r="V16">
        <f ca="1"/>
        <v>0</v>
      </c>
      <c r="X16" s="2">
        <f t="shared" ca="1" si="1"/>
        <v>45399</v>
      </c>
      <c r="Y16">
        <f t="shared" ca="1" si="2"/>
        <v>0</v>
      </c>
      <c r="AA16" s="63">
        <f t="shared" ca="1" si="4"/>
        <v>46.756432188894657</v>
      </c>
      <c r="AB16" s="63">
        <f t="shared" ca="1" si="5"/>
        <v>46.756432188894664</v>
      </c>
      <c r="AC16" s="3">
        <f t="shared" ca="1" si="6"/>
        <v>0</v>
      </c>
    </row>
    <row r="17" spans="1:29" ht="15" thickBot="1">
      <c r="A17" s="6" t="s">
        <v>235</v>
      </c>
      <c r="B17" s="32">
        <f>PriorYield</f>
        <v>12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45400</v>
      </c>
      <c r="K17">
        <f ca="1"/>
        <v>46.453418324433933</v>
      </c>
      <c r="L17">
        <f ca="1"/>
        <v>0</v>
      </c>
      <c r="M17">
        <f ca="1"/>
        <v>-0.95809865736937194</v>
      </c>
      <c r="N17" s="4">
        <f ca="1"/>
        <v>0.65508479290863542</v>
      </c>
      <c r="O17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0.97171110410229977</v>
      </c>
      <c r="T17">
        <f ca="1"/>
        <v>0</v>
      </c>
      <c r="U17">
        <f ca="1"/>
        <v>0</v>
      </c>
      <c r="V17">
        <f ca="1"/>
        <v>0</v>
      </c>
      <c r="X17" s="2">
        <f t="shared" ca="1" si="1"/>
        <v>45400</v>
      </c>
      <c r="Y17">
        <f t="shared" ca="1" si="2"/>
        <v>0</v>
      </c>
      <c r="AA17" s="63">
        <f t="shared" ca="1" si="4"/>
        <v>46.453418324433933</v>
      </c>
      <c r="AB17" s="63">
        <f t="shared" ca="1" si="5"/>
        <v>46.453418324433933</v>
      </c>
      <c r="AC17" s="3">
        <f t="shared" ca="1" si="6"/>
        <v>0</v>
      </c>
    </row>
    <row r="18" spans="1:29">
      <c r="A18" s="6" t="s">
        <v>228</v>
      </c>
      <c r="B18" s="32">
        <f>PriorPopulation</f>
        <v>1</v>
      </c>
      <c r="D18" s="18" t="str">
        <f>IF(ConceptDemo!C38="","",ConceptDemo!C38)</f>
        <v/>
      </c>
      <c r="E18" s="17" t="str">
        <f>IF(ConceptDemo!D38="","",ConceptDemo!D38)</f>
        <v/>
      </c>
      <c r="H18" t="b">
        <f t="shared" ca="1" si="3"/>
        <v>1</v>
      </c>
      <c r="I18" t="b">
        <f t="shared" ca="1" si="0"/>
        <v>1</v>
      </c>
      <c r="J18" s="2">
        <f ca="1"/>
        <v>45401</v>
      </c>
      <c r="K18">
        <f ca="1"/>
        <v>46.234586896752234</v>
      </c>
      <c r="L18">
        <f ca="1"/>
        <v>0</v>
      </c>
      <c r="M18">
        <f ca="1"/>
        <v>-0.86110579648752328</v>
      </c>
      <c r="N18" s="4">
        <f ca="1"/>
        <v>0.64227436880582112</v>
      </c>
      <c r="O18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0.98897131833288809</v>
      </c>
      <c r="T18">
        <f ca="1"/>
        <v>0</v>
      </c>
      <c r="U18">
        <f ca="1"/>
        <v>0</v>
      </c>
      <c r="V18">
        <f ca="1"/>
        <v>0</v>
      </c>
      <c r="X18" s="2">
        <f t="shared" ca="1" si="1"/>
        <v>45401</v>
      </c>
      <c r="Y18">
        <f t="shared" ca="1" si="2"/>
        <v>0</v>
      </c>
      <c r="AA18" s="63">
        <f t="shared" ca="1" si="4"/>
        <v>46.234586896752234</v>
      </c>
      <c r="AB18" s="63">
        <f t="shared" ca="1" si="5"/>
        <v>46.234586896752234</v>
      </c>
      <c r="AC18" s="3">
        <f t="shared" ca="1" si="6"/>
        <v>0</v>
      </c>
    </row>
    <row r="19" spans="1:29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45402</v>
      </c>
      <c r="K19">
        <f ca="1"/>
        <v>46.042400353830999</v>
      </c>
      <c r="L19">
        <f ca="1"/>
        <v>0</v>
      </c>
      <c r="M19">
        <f ca="1"/>
        <v>-0.73975235198880185</v>
      </c>
      <c r="N19" s="4">
        <f ca="1"/>
        <v>0.59022260487357403</v>
      </c>
      <c r="O19">
        <f ca="1"/>
        <v>0</v>
      </c>
      <c r="P19">
        <f ca="1"/>
        <v>0</v>
      </c>
      <c r="Q19">
        <f ca="1"/>
        <v>0</v>
      </c>
      <c r="R19">
        <f ca="1"/>
        <v>4.265679580600773E-2</v>
      </c>
      <c r="S19">
        <f ca="1"/>
        <v>1</v>
      </c>
      <c r="T19">
        <f ca="1"/>
        <v>0.13165593337665626</v>
      </c>
      <c r="U19">
        <f ca="1"/>
        <v>0</v>
      </c>
      <c r="V19">
        <f ca="1"/>
        <v>0</v>
      </c>
      <c r="X19" s="2">
        <f t="shared" ca="1" si="1"/>
        <v>45402</v>
      </c>
      <c r="Y19">
        <f t="shared" ca="1" si="2"/>
        <v>0</v>
      </c>
      <c r="AA19" s="63">
        <f t="shared" ca="1" si="4"/>
        <v>46.085057149637009</v>
      </c>
      <c r="AB19" s="63">
        <f t="shared" ca="1" si="5"/>
        <v>46.085057149637009</v>
      </c>
      <c r="AC19" s="3">
        <f t="shared" ca="1" si="6"/>
        <v>0</v>
      </c>
    </row>
    <row r="20" spans="1:29">
      <c r="A20" s="6" t="s">
        <v>112</v>
      </c>
      <c r="B20" s="32">
        <f>PriorFieldLoss</f>
        <v>1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45403</v>
      </c>
      <c r="K20">
        <f ca="1"/>
        <v>45.964596067675316</v>
      </c>
      <c r="L20">
        <f ca="1"/>
        <v>0</v>
      </c>
      <c r="M20">
        <f ca="1"/>
        <v>-0.68506444446714809</v>
      </c>
      <c r="N20" s="4">
        <f ca="1"/>
        <v>0.6072601583114704</v>
      </c>
      <c r="O20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0.99111111111111116</v>
      </c>
      <c r="T20">
        <f ca="1"/>
        <v>0</v>
      </c>
      <c r="U20">
        <f ca="1"/>
        <v>0</v>
      </c>
      <c r="V20">
        <f ca="1"/>
        <v>0</v>
      </c>
      <c r="X20" s="2">
        <f t="shared" ca="1" si="1"/>
        <v>45403</v>
      </c>
      <c r="Y20">
        <f t="shared" ca="1" si="2"/>
        <v>0</v>
      </c>
      <c r="AA20" s="63">
        <f t="shared" ca="1" si="4"/>
        <v>45.964596067675323</v>
      </c>
      <c r="AB20" s="63">
        <f t="shared" ca="1" si="5"/>
        <v>45.964596067675316</v>
      </c>
      <c r="AC20" s="3">
        <f t="shared" ca="1" si="6"/>
        <v>0</v>
      </c>
    </row>
    <row r="21" spans="1:29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45404</v>
      </c>
      <c r="K21">
        <f ca="1"/>
        <v>45.718409876060406</v>
      </c>
      <c r="L21">
        <f ca="1"/>
        <v>0</v>
      </c>
      <c r="M21">
        <f ca="1"/>
        <v>-0.62708252874832304</v>
      </c>
      <c r="N21" s="4">
        <f ca="1"/>
        <v>0.62024331318925707</v>
      </c>
      <c r="O21">
        <f ca="1"/>
        <v>0</v>
      </c>
      <c r="P21">
        <f ca="1"/>
        <v>0</v>
      </c>
      <c r="Q21">
        <f ca="1"/>
        <v>0</v>
      </c>
      <c r="R21">
        <f ca="1"/>
        <v>0.23934697605583849</v>
      </c>
      <c r="S21">
        <f ca="1"/>
        <v>1</v>
      </c>
      <c r="T21">
        <f ca="1"/>
        <v>0.74395555555555859</v>
      </c>
      <c r="U21">
        <f ca="1"/>
        <v>0</v>
      </c>
      <c r="V21">
        <f ca="1"/>
        <v>0</v>
      </c>
      <c r="X21" s="2">
        <f t="shared" ca="1" si="1"/>
        <v>45404</v>
      </c>
      <c r="Y21">
        <f t="shared" ca="1" si="2"/>
        <v>0</v>
      </c>
      <c r="AA21" s="63">
        <f t="shared" ca="1" si="4"/>
        <v>45.957756852116248</v>
      </c>
      <c r="AB21" s="63">
        <f t="shared" ca="1" si="5"/>
        <v>45.957756852116248</v>
      </c>
      <c r="AC21" s="3">
        <f t="shared" ca="1" si="6"/>
        <v>0</v>
      </c>
    </row>
    <row r="22" spans="1:29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45405</v>
      </c>
      <c r="K22">
        <f ca="1"/>
        <v>45.629353221842742</v>
      </c>
      <c r="L22">
        <f ca="1"/>
        <v>0</v>
      </c>
      <c r="M22">
        <f ca="1"/>
        <v>-0.57149309248004165</v>
      </c>
      <c r="N22" s="4">
        <f ca="1"/>
        <v>0.63656225358948637</v>
      </c>
      <c r="O22">
        <f ca="1"/>
        <v>0</v>
      </c>
      <c r="P22">
        <f ca="1"/>
        <v>0</v>
      </c>
      <c r="Q22">
        <f ca="1"/>
        <v>0</v>
      </c>
      <c r="R22">
        <f ca="1"/>
        <v>0.15412581532711453</v>
      </c>
      <c r="S22">
        <f ca="1"/>
        <v>1</v>
      </c>
      <c r="T22">
        <f ca="1"/>
        <v>0.48000000000000398</v>
      </c>
      <c r="U22">
        <f ca="1"/>
        <v>0</v>
      </c>
      <c r="V22">
        <f ca="1"/>
        <v>0</v>
      </c>
      <c r="X22" s="2">
        <f t="shared" ca="1" si="1"/>
        <v>45405</v>
      </c>
      <c r="Y22">
        <f t="shared" ca="1" si="2"/>
        <v>0</v>
      </c>
      <c r="AA22" s="63">
        <f t="shared" ca="1" si="4"/>
        <v>45.783479037169855</v>
      </c>
      <c r="AB22" s="63">
        <f t="shared" ca="1" si="5"/>
        <v>45.783479037169855</v>
      </c>
      <c r="AC22" s="3">
        <f t="shared" ca="1" si="6"/>
        <v>0</v>
      </c>
    </row>
    <row r="23" spans="1:29" ht="15" thickBot="1">
      <c r="A23" s="6" t="s">
        <v>115</v>
      </c>
      <c r="B23" s="34">
        <f>PriorEstablishDate</f>
        <v>45269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45406</v>
      </c>
      <c r="K23">
        <f ca="1"/>
        <v>45.316794884736595</v>
      </c>
      <c r="L23">
        <f ca="1"/>
        <v>0</v>
      </c>
      <c r="M23">
        <f ca="1"/>
        <v>-0.50525417655829052</v>
      </c>
      <c r="N23" s="4">
        <f ca="1"/>
        <v>0.63277226977724599</v>
      </c>
      <c r="O23">
        <f ca="1"/>
        <v>0</v>
      </c>
      <c r="P23">
        <f ca="1"/>
        <v>0</v>
      </c>
      <c r="Q23">
        <f ca="1"/>
        <v>0</v>
      </c>
      <c r="R23">
        <f ca="1"/>
        <v>0.4400764303251094</v>
      </c>
      <c r="S23">
        <f ca="1"/>
        <v>1</v>
      </c>
      <c r="T23">
        <f ca="1"/>
        <v>1.3800000000000026</v>
      </c>
      <c r="U23">
        <f ca="1"/>
        <v>0</v>
      </c>
      <c r="V23">
        <f ca="1"/>
        <v>0</v>
      </c>
      <c r="X23" s="2">
        <f t="shared" ca="1" si="1"/>
        <v>45406</v>
      </c>
      <c r="Y23">
        <f t="shared" ca="1" si="2"/>
        <v>0</v>
      </c>
      <c r="AA23" s="63">
        <f t="shared" ca="1" si="4"/>
        <v>45.756871315061701</v>
      </c>
      <c r="AB23" s="63">
        <f t="shared" ca="1" si="5"/>
        <v>45.756871315061701</v>
      </c>
      <c r="AC23" s="3">
        <f t="shared" ca="1" si="6"/>
        <v>0</v>
      </c>
    </row>
    <row r="24" spans="1:29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45407</v>
      </c>
      <c r="K24">
        <f ca="1"/>
        <v>45.212160004713219</v>
      </c>
      <c r="L24">
        <f ca="1"/>
        <v>0</v>
      </c>
      <c r="M24">
        <f ca="1"/>
        <v>-0.44470027688121938</v>
      </c>
      <c r="N24" s="4">
        <f ca="1"/>
        <v>0.63277226977724599</v>
      </c>
      <c r="O24">
        <f ca="1"/>
        <v>0</v>
      </c>
      <c r="P24">
        <f ca="1"/>
        <v>0</v>
      </c>
      <c r="Q24">
        <f ca="1"/>
        <v>0</v>
      </c>
      <c r="R24">
        <f ca="1"/>
        <v>0.29270687291940317</v>
      </c>
      <c r="S24">
        <f ca="1"/>
        <v>1</v>
      </c>
      <c r="T24">
        <f ca="1"/>
        <v>0.92000000000000171</v>
      </c>
      <c r="U24">
        <f ca="1"/>
        <v>0</v>
      </c>
      <c r="V24">
        <f ca="1"/>
        <v>0</v>
      </c>
      <c r="X24" s="2">
        <f t="shared" ca="1" si="1"/>
        <v>45407</v>
      </c>
      <c r="Y24">
        <f t="shared" ca="1" si="2"/>
        <v>0</v>
      </c>
      <c r="AA24" s="63">
        <f t="shared" ca="1" si="4"/>
        <v>45.504866877632622</v>
      </c>
      <c r="AB24" s="63">
        <f t="shared" ca="1" si="5"/>
        <v>45.504866877632622</v>
      </c>
      <c r="AC24" s="3">
        <f t="shared" ca="1" si="6"/>
        <v>0</v>
      </c>
    </row>
    <row r="25" spans="1:29">
      <c r="A25" s="6" t="s">
        <v>117</v>
      </c>
      <c r="B25" s="34">
        <f>PriorHarvestDate</f>
        <v>45394</v>
      </c>
      <c r="H25" t="b">
        <f t="shared" ca="1" si="3"/>
        <v>1</v>
      </c>
      <c r="I25" t="b">
        <f t="shared" ca="1" si="0"/>
        <v>1</v>
      </c>
      <c r="J25" s="2">
        <f ca="1"/>
        <v>45408</v>
      </c>
      <c r="K25">
        <f ca="1"/>
        <v>45.359915682209014</v>
      </c>
      <c r="L25">
        <f ca="1"/>
        <v>0</v>
      </c>
      <c r="M25">
        <f ca="1"/>
        <v>-0.39625408173963983</v>
      </c>
      <c r="N25" s="4">
        <f ca="1"/>
        <v>0.65572955156383528</v>
      </c>
      <c r="O25">
        <f ca="1"/>
        <v>0</v>
      </c>
      <c r="P25">
        <f ca="1"/>
        <v>0</v>
      </c>
      <c r="Q25">
        <f ca="1"/>
        <v>0</v>
      </c>
      <c r="R25">
        <f ca="1"/>
        <v>0.11171979232840415</v>
      </c>
      <c r="S25">
        <f ca="1"/>
        <v>1</v>
      </c>
      <c r="T25">
        <f ca="1"/>
        <v>0.35000000000000142</v>
      </c>
      <c r="U25">
        <f ca="1"/>
        <v>0</v>
      </c>
      <c r="V25">
        <f ca="1"/>
        <v>0</v>
      </c>
      <c r="X25" s="2">
        <f t="shared" ca="1" si="1"/>
        <v>45408</v>
      </c>
      <c r="Y25">
        <f t="shared" ca="1" si="2"/>
        <v>0</v>
      </c>
      <c r="AA25" s="63">
        <f t="shared" ca="1" si="4"/>
        <v>45.471635474537415</v>
      </c>
      <c r="AB25" s="63">
        <f t="shared" ca="1" si="5"/>
        <v>45.471635474537415</v>
      </c>
      <c r="AC25" s="3">
        <f t="shared" ca="1" si="6"/>
        <v>0</v>
      </c>
    </row>
    <row r="26" spans="1:29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45409</v>
      </c>
      <c r="K26">
        <f ca="1"/>
        <v>45.437402803184128</v>
      </c>
      <c r="L26">
        <f ca="1"/>
        <v>0</v>
      </c>
      <c r="M26">
        <f ca="1"/>
        <v>-0.34241015945804953</v>
      </c>
      <c r="N26" s="4">
        <f ca="1"/>
        <v>0.66610068895560182</v>
      </c>
      <c r="O26">
        <f ca="1"/>
        <v>0</v>
      </c>
      <c r="P26">
        <f ca="1"/>
        <v>0</v>
      </c>
      <c r="Q26">
        <f ca="1"/>
        <v>0</v>
      </c>
      <c r="R26">
        <f ca="1"/>
        <v>0.24620340852243716</v>
      </c>
      <c r="S26">
        <f ca="1"/>
        <v>1</v>
      </c>
      <c r="T26">
        <f ca="1"/>
        <v>0.76999999999999602</v>
      </c>
      <c r="U26">
        <f ca="1"/>
        <v>0</v>
      </c>
      <c r="V26">
        <f ca="1"/>
        <v>0</v>
      </c>
      <c r="X26" s="2">
        <f t="shared" ca="1" si="1"/>
        <v>45409</v>
      </c>
      <c r="Y26">
        <f t="shared" ca="1" si="2"/>
        <v>0</v>
      </c>
      <c r="AA26" s="63">
        <f t="shared" ca="1" si="4"/>
        <v>45.683606211706568</v>
      </c>
      <c r="AB26" s="63">
        <f t="shared" ca="1" si="5"/>
        <v>45.683606211706568</v>
      </c>
      <c r="AC26" s="3">
        <f t="shared" ca="1" si="6"/>
        <v>0</v>
      </c>
    </row>
    <row r="27" spans="1:29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45410</v>
      </c>
      <c r="K27">
        <f ca="1"/>
        <v>45.537053046138361</v>
      </c>
      <c r="L27">
        <f ca="1"/>
        <v>0</v>
      </c>
      <c r="M27">
        <f ca="1"/>
        <v>-0.27802700463729835</v>
      </c>
      <c r="N27" s="4">
        <f ca="1"/>
        <v>0.6340339906660829</v>
      </c>
      <c r="O27">
        <f ca="1"/>
        <v>0</v>
      </c>
      <c r="P27">
        <f ca="1"/>
        <v>0</v>
      </c>
      <c r="Q27">
        <f ca="1"/>
        <v>0</v>
      </c>
      <c r="R27">
        <f ca="1"/>
        <v>0.25635674307455575</v>
      </c>
      <c r="S27">
        <f ca="1"/>
        <v>1</v>
      </c>
      <c r="T27">
        <f ca="1"/>
        <v>0.79999999999999716</v>
      </c>
      <c r="U27">
        <f ca="1"/>
        <v>0</v>
      </c>
      <c r="V27">
        <f ca="1"/>
        <v>0</v>
      </c>
      <c r="X27" s="2">
        <f t="shared" ca="1" si="1"/>
        <v>45410</v>
      </c>
      <c r="Y27">
        <f t="shared" ca="1" si="2"/>
        <v>0</v>
      </c>
      <c r="AA27" s="63">
        <f t="shared" ca="1" si="4"/>
        <v>45.793409789212916</v>
      </c>
      <c r="AB27" s="63">
        <f t="shared" ca="1" si="5"/>
        <v>45.793409789212916</v>
      </c>
      <c r="AC27" s="3">
        <f t="shared" ca="1" si="6"/>
        <v>0</v>
      </c>
    </row>
    <row r="28" spans="1:29" ht="1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45411</v>
      </c>
      <c r="K28">
        <f ca="1"/>
        <v>45.900375786019666</v>
      </c>
      <c r="L28">
        <f ca="1"/>
        <v>0</v>
      </c>
      <c r="M28">
        <f ca="1"/>
        <v>-0.21670740034538838</v>
      </c>
      <c r="N28" s="4">
        <f ca="1"/>
        <v>0.58003014022669941</v>
      </c>
      <c r="O28">
        <f ca="1"/>
        <v>0</v>
      </c>
      <c r="P28">
        <f ca="1"/>
        <v>0</v>
      </c>
      <c r="Q28">
        <f ca="1"/>
        <v>0</v>
      </c>
      <c r="R28">
        <f ca="1"/>
        <v>0</v>
      </c>
      <c r="S28">
        <f ca="1"/>
        <v>0.99222222222222223</v>
      </c>
      <c r="T28">
        <f ca="1"/>
        <v>0</v>
      </c>
      <c r="U28">
        <f ca="1"/>
        <v>0</v>
      </c>
      <c r="V28">
        <f ca="1"/>
        <v>0</v>
      </c>
      <c r="X28" s="2">
        <f t="shared" ca="1" si="1"/>
        <v>45411</v>
      </c>
      <c r="Y28">
        <f t="shared" ca="1" si="2"/>
        <v>0</v>
      </c>
      <c r="AA28" s="63">
        <f t="shared" ca="1" si="4"/>
        <v>45.900375786019666</v>
      </c>
      <c r="AB28" s="63">
        <f t="shared" ca="1" si="5"/>
        <v>45.900375786019666</v>
      </c>
      <c r="AC28" s="3">
        <f t="shared" ca="1" si="6"/>
        <v>0</v>
      </c>
    </row>
    <row r="29" spans="1:29" ht="15" thickBot="1">
      <c r="A29" s="8" t="s">
        <v>140</v>
      </c>
      <c r="B29" s="11" t="str">
        <f>CurrentCropNameFull</f>
        <v>Lupin Green manure General</v>
      </c>
      <c r="H29" t="b">
        <f t="shared" ca="1" si="3"/>
        <v>1</v>
      </c>
      <c r="I29" t="b">
        <f t="shared" ca="1" si="0"/>
        <v>1</v>
      </c>
      <c r="J29" s="2">
        <f ca="1"/>
        <v>45412</v>
      </c>
      <c r="K29">
        <f ca="1"/>
        <v>45.928230022870821</v>
      </c>
      <c r="L29">
        <f ca="1"/>
        <v>0</v>
      </c>
      <c r="M29">
        <f ca="1"/>
        <v>-0.17018272272256674</v>
      </c>
      <c r="N29" s="4">
        <f ca="1"/>
        <v>0.55128949917567882</v>
      </c>
      <c r="O29">
        <f ca="1"/>
        <v>0</v>
      </c>
      <c r="P29">
        <f ca="1"/>
        <v>0</v>
      </c>
      <c r="Q29">
        <f ca="1"/>
        <v>0</v>
      </c>
      <c r="R29">
        <f ca="1"/>
        <v>0.35325253960195835</v>
      </c>
      <c r="S29">
        <f ca="1"/>
        <v>1</v>
      </c>
      <c r="T29">
        <f ca="1"/>
        <v>1.0929888888888897</v>
      </c>
      <c r="U29">
        <f ca="1"/>
        <v>0</v>
      </c>
      <c r="V29">
        <f ca="1"/>
        <v>0</v>
      </c>
      <c r="X29" s="2">
        <f t="shared" ca="1" si="1"/>
        <v>45412</v>
      </c>
      <c r="Y29">
        <f t="shared" ca="1" si="2"/>
        <v>0</v>
      </c>
      <c r="AA29" s="63">
        <f t="shared" ca="1" si="4"/>
        <v>46.281482562472782</v>
      </c>
      <c r="AB29" s="63">
        <f t="shared" ca="1" si="5"/>
        <v>46.281482562472782</v>
      </c>
      <c r="AC29" s="3">
        <f t="shared" ca="1" si="6"/>
        <v>0</v>
      </c>
    </row>
    <row r="30" spans="1:29">
      <c r="A30" s="9" t="s">
        <v>236</v>
      </c>
      <c r="B30" s="11">
        <f>CurrentYield</f>
        <v>8</v>
      </c>
      <c r="H30" t="b">
        <f t="shared" ca="1" si="3"/>
        <v>1</v>
      </c>
      <c r="I30" t="b">
        <f t="shared" ca="1" si="0"/>
        <v>1</v>
      </c>
      <c r="J30" s="2">
        <f ca="1"/>
        <v>45413</v>
      </c>
      <c r="K30">
        <f ca="1"/>
        <v>46.007372944369635</v>
      </c>
      <c r="L30">
        <f ca="1"/>
        <v>0</v>
      </c>
      <c r="M30">
        <f ca="1"/>
        <v>-0.13676160396577863</v>
      </c>
      <c r="N30" s="4">
        <f ca="1"/>
        <v>0.5752732274633916</v>
      </c>
      <c r="O30">
        <f ca="1"/>
        <v>0</v>
      </c>
      <c r="P30">
        <f ca="1"/>
        <v>0</v>
      </c>
      <c r="Q30">
        <f ca="1"/>
        <v>0</v>
      </c>
      <c r="R30">
        <f ca="1"/>
        <v>0.35936870199879811</v>
      </c>
      <c r="S30">
        <f ca="1"/>
        <v>1</v>
      </c>
      <c r="T30">
        <f ca="1"/>
        <v>1.1099999999999994</v>
      </c>
      <c r="U30">
        <f ca="1"/>
        <v>0</v>
      </c>
      <c r="V30">
        <f ca="1"/>
        <v>0</v>
      </c>
      <c r="X30" s="2">
        <f t="shared" ca="1" si="1"/>
        <v>45413</v>
      </c>
      <c r="Y30">
        <f t="shared" ca="1" si="2"/>
        <v>0</v>
      </c>
      <c r="AA30" s="63">
        <f t="shared" ca="1" si="4"/>
        <v>46.366741646368432</v>
      </c>
      <c r="AB30" s="63">
        <f t="shared" ca="1" si="5"/>
        <v>46.366741646368432</v>
      </c>
      <c r="AC30" s="3">
        <f t="shared" ca="1" si="6"/>
        <v>0</v>
      </c>
    </row>
    <row r="31" spans="1:29">
      <c r="A31" s="9" t="s">
        <v>230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45414</v>
      </c>
      <c r="K31">
        <f ca="1"/>
        <v>46.204577883737223</v>
      </c>
      <c r="L31">
        <f ca="1"/>
        <v>0</v>
      </c>
      <c r="M31">
        <f ca="1"/>
        <v>-0.10572623175910323</v>
      </c>
      <c r="N31" s="4">
        <f ca="1"/>
        <v>0.63782879675066995</v>
      </c>
      <c r="O31">
        <f ca="1"/>
        <v>0</v>
      </c>
      <c r="P31">
        <f ca="1"/>
        <v>0</v>
      </c>
      <c r="Q31">
        <f ca="1"/>
        <v>0</v>
      </c>
      <c r="R31">
        <f ca="1"/>
        <v>0.33489762562397718</v>
      </c>
      <c r="S31">
        <f ca="1"/>
        <v>1</v>
      </c>
      <c r="T31">
        <f ca="1"/>
        <v>1.0300000000000011</v>
      </c>
      <c r="U31">
        <f ca="1"/>
        <v>0</v>
      </c>
      <c r="V31">
        <f ca="1"/>
        <v>0</v>
      </c>
      <c r="X31" s="2">
        <f t="shared" ca="1" si="1"/>
        <v>45414</v>
      </c>
      <c r="Y31">
        <f t="shared" ca="1" si="2"/>
        <v>0</v>
      </c>
      <c r="AA31" s="63">
        <f t="shared" ca="1" si="4"/>
        <v>46.539475509361196</v>
      </c>
      <c r="AB31" s="63">
        <f t="shared" ca="1" si="5"/>
        <v>46.539475509361196</v>
      </c>
      <c r="AC31" s="3">
        <f t="shared" ca="1" si="6"/>
        <v>0</v>
      </c>
    </row>
    <row r="32" spans="1:29">
      <c r="A32" s="9" t="s">
        <v>231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45415</v>
      </c>
      <c r="K32">
        <f ca="1"/>
        <v>46.361686013685819</v>
      </c>
      <c r="L32">
        <f ca="1"/>
        <v>0</v>
      </c>
      <c r="M32">
        <f ca="1"/>
        <v>-6.4195991360666227E-2</v>
      </c>
      <c r="N32" s="4">
        <f ca="1"/>
        <v>0.61280280320260427</v>
      </c>
      <c r="O32">
        <f ca="1"/>
        <v>0</v>
      </c>
      <c r="P32">
        <f ca="1"/>
        <v>0</v>
      </c>
      <c r="Q32">
        <f ca="1"/>
        <v>0</v>
      </c>
      <c r="R32">
        <f ca="1"/>
        <v>0.39149868189334547</v>
      </c>
      <c r="S32">
        <f ca="1"/>
        <v>1</v>
      </c>
      <c r="T32">
        <f ca="1"/>
        <v>1.1999999999999957</v>
      </c>
      <c r="U32">
        <f ca="1"/>
        <v>0</v>
      </c>
      <c r="V32">
        <f ca="1"/>
        <v>0</v>
      </c>
      <c r="X32" s="2">
        <f t="shared" ca="1" si="1"/>
        <v>45415</v>
      </c>
      <c r="Y32">
        <f t="shared" ca="1" si="2"/>
        <v>0</v>
      </c>
      <c r="AA32" s="63">
        <f t="shared" ca="1" si="4"/>
        <v>46.753184695579158</v>
      </c>
      <c r="AB32" s="63">
        <f t="shared" ca="1" si="5"/>
        <v>46.753184695579165</v>
      </c>
      <c r="AC32" s="3">
        <f t="shared" ca="1" si="6"/>
        <v>0</v>
      </c>
    </row>
    <row r="33" spans="1:29">
      <c r="A33" s="9" t="s">
        <v>119</v>
      </c>
      <c r="B33" s="10">
        <f>CurrentFieldLoss</f>
        <v>1</v>
      </c>
      <c r="H33" t="b">
        <f t="shared" ca="1" si="3"/>
        <v>1</v>
      </c>
      <c r="I33" t="b">
        <f t="shared" ca="1" si="0"/>
        <v>1</v>
      </c>
      <c r="J33" s="2">
        <f ca="1"/>
        <v>45416</v>
      </c>
      <c r="K33">
        <f ca="1"/>
        <v>46.524199483591765</v>
      </c>
      <c r="L33">
        <f ca="1"/>
        <v>0</v>
      </c>
      <c r="M33">
        <f ca="1"/>
        <v>-2.8223407235916653E-2</v>
      </c>
      <c r="N33" s="4">
        <f ca="1"/>
        <v>0.61962107164060043</v>
      </c>
      <c r="O33">
        <f ca="1"/>
        <v>0</v>
      </c>
      <c r="P33">
        <f ca="1"/>
        <v>0</v>
      </c>
      <c r="Q33">
        <f ca="1"/>
        <v>0</v>
      </c>
      <c r="R33">
        <f ca="1"/>
        <v>0.42888419449874116</v>
      </c>
      <c r="S33">
        <f ca="1"/>
        <v>1</v>
      </c>
      <c r="T33">
        <f ca="1"/>
        <v>1.3100000000000023</v>
      </c>
      <c r="U33">
        <f ca="1"/>
        <v>0</v>
      </c>
      <c r="V33">
        <f ca="1"/>
        <v>0</v>
      </c>
      <c r="X33" s="2">
        <f t="shared" ca="1" si="1"/>
        <v>45416</v>
      </c>
      <c r="Y33">
        <f t="shared" ca="1" si="2"/>
        <v>0</v>
      </c>
      <c r="AA33" s="63">
        <f t="shared" ca="1" si="4"/>
        <v>46.953083678090501</v>
      </c>
      <c r="AB33" s="63">
        <f t="shared" ca="1" si="5"/>
        <v>46.953083678090508</v>
      </c>
      <c r="AC33" s="3">
        <f t="shared" ca="1" si="6"/>
        <v>0</v>
      </c>
    </row>
    <row r="34" spans="1:29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45417</v>
      </c>
      <c r="K34">
        <f ca="1"/>
        <v>46.904176844464466</v>
      </c>
      <c r="L34">
        <f ca="1"/>
        <v>0</v>
      </c>
      <c r="M34">
        <f ca="1"/>
        <v>6.2683188590249017E-3</v>
      </c>
      <c r="N34" s="4">
        <f ca="1"/>
        <v>0.61465753565542147</v>
      </c>
      <c r="O34">
        <f ca="1"/>
        <v>0</v>
      </c>
      <c r="P34">
        <f ca="1"/>
        <v>0</v>
      </c>
      <c r="Q34">
        <f ca="1"/>
        <v>0</v>
      </c>
      <c r="R34">
        <f ca="1"/>
        <v>0.24094849364174795</v>
      </c>
      <c r="S34">
        <f ca="1"/>
        <v>1</v>
      </c>
      <c r="T34">
        <f ca="1"/>
        <v>0.72999999999999687</v>
      </c>
      <c r="U34">
        <f ca="1"/>
        <v>0</v>
      </c>
      <c r="V34">
        <f ca="1"/>
        <v>0</v>
      </c>
      <c r="X34" s="2">
        <f t="shared" ca="1" si="1"/>
        <v>45417</v>
      </c>
      <c r="Y34">
        <f t="shared" ca="1" si="2"/>
        <v>0</v>
      </c>
      <c r="AA34" s="63">
        <f t="shared" ca="1" si="4"/>
        <v>47.145125338106205</v>
      </c>
      <c r="AB34" s="63">
        <f t="shared" ca="1" si="5"/>
        <v>47.145125338106212</v>
      </c>
      <c r="AC34" s="3">
        <f t="shared" ca="1" si="6"/>
        <v>0</v>
      </c>
    </row>
    <row r="35" spans="1:29">
      <c r="A35" s="9" t="s">
        <v>121</v>
      </c>
      <c r="B35" s="10">
        <f>CurrentMoistureContent</f>
        <v>0</v>
      </c>
      <c r="H35" t="b">
        <f t="shared" ca="1" si="3"/>
        <v>1</v>
      </c>
      <c r="I35" t="b">
        <f t="shared" ca="1" si="0"/>
        <v>1</v>
      </c>
      <c r="J35" s="2">
        <f ca="1"/>
        <v>45418</v>
      </c>
      <c r="K35">
        <f ca="1"/>
        <v>47.170905246833819</v>
      </c>
      <c r="L35">
        <f ca="1"/>
        <v>0</v>
      </c>
      <c r="M35">
        <f ca="1"/>
        <v>3.7413364476162059E-2</v>
      </c>
      <c r="N35" s="4">
        <f ca="1"/>
        <v>0.59445278591497908</v>
      </c>
      <c r="O35">
        <f ca="1"/>
        <v>0</v>
      </c>
      <c r="P35">
        <f ca="1"/>
        <v>0</v>
      </c>
      <c r="Q35">
        <f ca="1"/>
        <v>0</v>
      </c>
      <c r="R35">
        <f ca="1"/>
        <v>0.36513774802178811</v>
      </c>
      <c r="S35">
        <f ca="1"/>
        <v>1</v>
      </c>
      <c r="T35">
        <f ca="1"/>
        <v>1.1000000000000014</v>
      </c>
      <c r="U35">
        <f ca="1"/>
        <v>0</v>
      </c>
      <c r="V35">
        <f ca="1"/>
        <v>0</v>
      </c>
      <c r="X35" s="2">
        <f t="shared" ca="1" si="1"/>
        <v>45418</v>
      </c>
      <c r="Y35">
        <f t="shared" ca="1" si="2"/>
        <v>0</v>
      </c>
      <c r="AA35" s="63">
        <f t="shared" ca="1" si="4"/>
        <v>47.536042994855606</v>
      </c>
      <c r="AB35" s="63">
        <f t="shared" ca="1" si="5"/>
        <v>47.536042994855606</v>
      </c>
      <c r="AC35" s="3">
        <f t="shared" ca="1" si="6"/>
        <v>0</v>
      </c>
    </row>
    <row r="36" spans="1:29">
      <c r="A36" s="9" t="s">
        <v>122</v>
      </c>
      <c r="B36" s="36">
        <f ca="1">CurrentEstablishDate</f>
        <v>45436</v>
      </c>
      <c r="H36" t="b">
        <f t="shared" ca="1" si="3"/>
        <v>1</v>
      </c>
      <c r="I36" t="b">
        <f t="shared" ca="1" si="0"/>
        <v>1</v>
      </c>
      <c r="J36" s="2">
        <f ca="1"/>
        <v>45419</v>
      </c>
      <c r="K36">
        <f ca="1"/>
        <v>47.708454059641902</v>
      </c>
      <c r="L36">
        <f ca="1"/>
        <v>0</v>
      </c>
      <c r="M36">
        <f ca="1"/>
        <v>6.6708806351769567E-2</v>
      </c>
      <c r="N36" s="4">
        <f ca="1"/>
        <v>0.59505868498938541</v>
      </c>
      <c r="O36">
        <f ca="1"/>
        <v>0</v>
      </c>
      <c r="P36">
        <f ca="1"/>
        <v>0</v>
      </c>
      <c r="Q36">
        <f ca="1"/>
        <v>0</v>
      </c>
      <c r="R36">
        <f ca="1"/>
        <v>0.12421867853306677</v>
      </c>
      <c r="S36">
        <f ca="1"/>
        <v>1</v>
      </c>
      <c r="T36">
        <f ca="1"/>
        <v>0.36999999999999744</v>
      </c>
      <c r="U36">
        <f ca="1"/>
        <v>0</v>
      </c>
      <c r="V36">
        <f ca="1"/>
        <v>0</v>
      </c>
      <c r="X36" s="2">
        <f t="shared" ca="1" si="1"/>
        <v>45419</v>
      </c>
      <c r="Y36">
        <f t="shared" ca="1" si="2"/>
        <v>0</v>
      </c>
      <c r="AA36" s="63">
        <f t="shared" ca="1" si="4"/>
        <v>47.832672738174971</v>
      </c>
      <c r="AB36" s="63">
        <f t="shared" ca="1" si="5"/>
        <v>47.832672738174971</v>
      </c>
      <c r="AC36" s="3">
        <f t="shared" ca="1" si="6"/>
        <v>0</v>
      </c>
    </row>
    <row r="37" spans="1:29">
      <c r="A37" s="9" t="s">
        <v>123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45420</v>
      </c>
      <c r="K37">
        <f ca="1"/>
        <v>48.21026881917637</v>
      </c>
      <c r="L37">
        <f ca="1"/>
        <v>0</v>
      </c>
      <c r="M37">
        <f ca="1"/>
        <v>9.6877798144387128E-2</v>
      </c>
      <c r="N37" s="4">
        <f ca="1"/>
        <v>0.61527657868262953</v>
      </c>
      <c r="O37">
        <f ca="1"/>
        <v>0</v>
      </c>
      <c r="P37">
        <f ca="1"/>
        <v>0</v>
      </c>
      <c r="Q37">
        <f ca="1"/>
        <v>0</v>
      </c>
      <c r="R37">
        <f ca="1"/>
        <v>0.21033961729255626</v>
      </c>
      <c r="S37">
        <f ca="1"/>
        <v>1</v>
      </c>
      <c r="T37">
        <f ca="1"/>
        <v>0.62000000000000455</v>
      </c>
      <c r="U37">
        <f ca="1"/>
        <v>0</v>
      </c>
      <c r="V37">
        <f ca="1"/>
        <v>0</v>
      </c>
      <c r="X37" s="2">
        <f t="shared" ca="1" si="1"/>
        <v>45420</v>
      </c>
      <c r="Y37">
        <f t="shared" ca="1" si="2"/>
        <v>0</v>
      </c>
      <c r="AA37" s="63">
        <f t="shared" ca="1" si="4"/>
        <v>48.420608436468918</v>
      </c>
      <c r="AB37" s="63">
        <f t="shared" ca="1" si="5"/>
        <v>48.420608436468925</v>
      </c>
      <c r="AC37" s="3">
        <f t="shared" ca="1" si="6"/>
        <v>0</v>
      </c>
    </row>
    <row r="38" spans="1:29">
      <c r="A38" s="9" t="s">
        <v>124</v>
      </c>
      <c r="B38" s="36">
        <f>CurrentHarvestDate</f>
        <v>45561</v>
      </c>
      <c r="H38" t="b">
        <f t="shared" ca="1" si="3"/>
        <v>1</v>
      </c>
      <c r="I38" t="b">
        <f t="shared" ca="1" si="0"/>
        <v>1</v>
      </c>
      <c r="J38" s="2">
        <f ca="1"/>
        <v>45421</v>
      </c>
      <c r="K38">
        <f ca="1"/>
        <v>48.902936655982451</v>
      </c>
      <c r="L38">
        <f ca="1"/>
        <v>0</v>
      </c>
      <c r="M38">
        <f ca="1"/>
        <v>0.11798744712533527</v>
      </c>
      <c r="N38" s="4">
        <f ca="1"/>
        <v>0.57468038968074198</v>
      </c>
      <c r="O38">
        <f ca="1"/>
        <v>0</v>
      </c>
      <c r="P38">
        <f ca="1"/>
        <v>0</v>
      </c>
      <c r="Q38">
        <f ca="1"/>
        <v>0</v>
      </c>
      <c r="R38">
        <f ca="1"/>
        <v>0</v>
      </c>
      <c r="S38">
        <f ca="1"/>
        <v>0.99203703703703705</v>
      </c>
      <c r="T38">
        <f ca="1"/>
        <v>0</v>
      </c>
      <c r="U38">
        <f ca="1"/>
        <v>0</v>
      </c>
      <c r="V38">
        <f ca="1"/>
        <v>0</v>
      </c>
      <c r="X38" s="2">
        <f t="shared" ca="1" si="1"/>
        <v>45421</v>
      </c>
      <c r="Y38">
        <f t="shared" ca="1" si="2"/>
        <v>0</v>
      </c>
      <c r="AA38" s="63">
        <f t="shared" ca="1" si="4"/>
        <v>48.902936655982451</v>
      </c>
      <c r="AB38" s="63">
        <f t="shared" ca="1" si="5"/>
        <v>48.902936655982451</v>
      </c>
      <c r="AC38" s="3">
        <f t="shared" ca="1" si="6"/>
        <v>0</v>
      </c>
    </row>
    <row r="39" spans="1:29">
      <c r="A39" s="9" t="s">
        <v>125</v>
      </c>
      <c r="B39" s="10" t="str">
        <f>CurrentHarvestStage</f>
        <v>EarlyReproductive</v>
      </c>
      <c r="H39" t="b">
        <f t="shared" ca="1" si="3"/>
        <v>1</v>
      </c>
      <c r="I39" t="b">
        <f t="shared" ca="1" si="0"/>
        <v>1</v>
      </c>
      <c r="J39" s="2">
        <f ca="1"/>
        <v>45422</v>
      </c>
      <c r="K39">
        <f ca="1"/>
        <v>49.482725901704498</v>
      </c>
      <c r="L39">
        <f ca="1"/>
        <v>0</v>
      </c>
      <c r="M39">
        <f ca="1"/>
        <v>0.14471824813811196</v>
      </c>
      <c r="N39" s="4">
        <f ca="1"/>
        <v>0.59263747054644456</v>
      </c>
      <c r="O39">
        <f ca="1"/>
        <v>0</v>
      </c>
      <c r="P39">
        <f ca="1"/>
        <v>0</v>
      </c>
      <c r="Q39">
        <f ca="1"/>
        <v>0</v>
      </c>
      <c r="R39">
        <f ca="1"/>
        <v>0.15756647296250975</v>
      </c>
      <c r="S39">
        <f ca="1"/>
        <v>1</v>
      </c>
      <c r="T39">
        <f ca="1"/>
        <v>0.45250185185184932</v>
      </c>
      <c r="U39">
        <f ca="1"/>
        <v>0</v>
      </c>
      <c r="V39">
        <f ca="1"/>
        <v>0</v>
      </c>
      <c r="X39" s="2">
        <f t="shared" ca="1" si="1"/>
        <v>45422</v>
      </c>
      <c r="Y39">
        <f t="shared" ca="1" si="2"/>
        <v>0</v>
      </c>
      <c r="AA39" s="63">
        <f t="shared" ca="1" si="4"/>
        <v>49.640292374667006</v>
      </c>
      <c r="AB39" s="63">
        <f t="shared" ca="1" si="5"/>
        <v>49.640292374667006</v>
      </c>
      <c r="AC39" s="3">
        <f t="shared" ca="1" si="6"/>
        <v>0</v>
      </c>
    </row>
    <row r="40" spans="1:29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45423</v>
      </c>
      <c r="K40">
        <f ca="1"/>
        <v>49.972820197013895</v>
      </c>
      <c r="L40">
        <f ca="1"/>
        <v>0</v>
      </c>
      <c r="M40">
        <f ca="1"/>
        <v>0.17570612315322442</v>
      </c>
      <c r="N40" s="4">
        <f ca="1"/>
        <v>0.630882700070591</v>
      </c>
      <c r="O40">
        <f ca="1"/>
        <v>0</v>
      </c>
      <c r="P40">
        <f ca="1"/>
        <v>0</v>
      </c>
      <c r="Q40">
        <f ca="1"/>
        <v>0</v>
      </c>
      <c r="R40">
        <f ca="1"/>
        <v>0.31649452791442084</v>
      </c>
      <c r="S40">
        <f ca="1"/>
        <v>1</v>
      </c>
      <c r="T40">
        <f ca="1"/>
        <v>0.89999999999999858</v>
      </c>
      <c r="U40">
        <f ca="1"/>
        <v>0</v>
      </c>
      <c r="V40">
        <f ca="1"/>
        <v>0</v>
      </c>
      <c r="X40" s="2">
        <f t="shared" ca="1" si="1"/>
        <v>45423</v>
      </c>
      <c r="Y40">
        <f t="shared" ca="1" si="2"/>
        <v>0</v>
      </c>
      <c r="AA40" s="63">
        <f t="shared" ca="1" si="4"/>
        <v>50.289314724928317</v>
      </c>
      <c r="AB40" s="63">
        <f t="shared" ca="1" si="5"/>
        <v>50.289314724928317</v>
      </c>
      <c r="AC40" s="3">
        <f t="shared" ca="1" si="6"/>
        <v>0</v>
      </c>
    </row>
    <row r="41" spans="1:29" ht="1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45424</v>
      </c>
      <c r="K41">
        <f ca="1"/>
        <v>49.838489313891188</v>
      </c>
      <c r="L41">
        <f ca="1"/>
        <v>0</v>
      </c>
      <c r="M41">
        <f ca="1"/>
        <v>0.1842230807977856</v>
      </c>
      <c r="N41">
        <f ca="1"/>
        <v>0.56524857991250999</v>
      </c>
      <c r="O41">
        <f ca="1"/>
        <v>0</v>
      </c>
      <c r="P41">
        <f ca="1"/>
        <v>0</v>
      </c>
      <c r="Q41">
        <f ca="1"/>
        <v>0</v>
      </c>
      <c r="R41">
        <f ca="1"/>
        <v>0.88380254383300483</v>
      </c>
      <c r="S41">
        <f ca="1"/>
        <v>1</v>
      </c>
      <c r="T41">
        <f ca="1"/>
        <v>2.5200000000000031</v>
      </c>
      <c r="U41">
        <f ca="1"/>
        <v>0</v>
      </c>
      <c r="V41">
        <f ca="1"/>
        <v>0</v>
      </c>
      <c r="X41" s="2">
        <f t="shared" ca="1" si="1"/>
        <v>45424</v>
      </c>
      <c r="Y41">
        <f t="shared" ca="1" si="2"/>
        <v>0</v>
      </c>
      <c r="AA41" s="63">
        <f t="shared" ca="1" si="4"/>
        <v>50.722291857724194</v>
      </c>
      <c r="AB41" s="63">
        <f t="shared" ca="1" si="5"/>
        <v>50.722291857724194</v>
      </c>
      <c r="AC41" s="3">
        <f t="shared" ca="1" si="6"/>
        <v>0</v>
      </c>
    </row>
    <row r="42" spans="1:29">
      <c r="A42" s="5" t="s">
        <v>141</v>
      </c>
      <c r="B42" s="31" t="str">
        <f>FollowingCropFullName</f>
        <v>Oat Fodder General</v>
      </c>
      <c r="H42" t="b">
        <f t="shared" ca="1" si="3"/>
        <v>1</v>
      </c>
      <c r="I42" t="b">
        <f t="shared" ca="1" si="0"/>
        <v>1</v>
      </c>
      <c r="J42" s="2">
        <f ca="1"/>
        <v>45425</v>
      </c>
      <c r="K42">
        <f ca="1"/>
        <v>50.201374815081564</v>
      </c>
      <c r="L42">
        <f ca="1"/>
        <v>0</v>
      </c>
      <c r="M42">
        <f ca="1"/>
        <v>0.21062438467822986</v>
      </c>
      <c r="N42">
        <f ca="1"/>
        <v>0.59384728386702723</v>
      </c>
      <c r="O42">
        <f ca="1"/>
        <v>0</v>
      </c>
      <c r="P42">
        <f ca="1"/>
        <v>0</v>
      </c>
      <c r="Q42">
        <f ca="1"/>
        <v>0</v>
      </c>
      <c r="R42">
        <f ca="1"/>
        <v>0.4415861673548841</v>
      </c>
      <c r="S42">
        <f ca="1"/>
        <v>1</v>
      </c>
      <c r="T42">
        <f ca="1"/>
        <v>1.25</v>
      </c>
      <c r="U42">
        <f ca="1"/>
        <v>0</v>
      </c>
      <c r="V42">
        <f ca="1"/>
        <v>0</v>
      </c>
      <c r="X42" s="2">
        <f t="shared" ca="1" si="1"/>
        <v>45425</v>
      </c>
      <c r="Y42">
        <f t="shared" ca="1" si="2"/>
        <v>0</v>
      </c>
      <c r="AA42" s="63">
        <f t="shared" ca="1" si="4"/>
        <v>50.642960982436442</v>
      </c>
      <c r="AB42" s="63">
        <f t="shared" ca="1" si="5"/>
        <v>50.642960982436449</v>
      </c>
      <c r="AC42" s="3">
        <f t="shared" ca="1" si="6"/>
        <v>0</v>
      </c>
    </row>
    <row r="43" spans="1:29">
      <c r="A43" s="6" t="s">
        <v>237</v>
      </c>
      <c r="B43" s="32">
        <f>FollowingYIeld</f>
        <v>10</v>
      </c>
      <c r="H43" t="b">
        <f t="shared" ca="1" si="3"/>
        <v>1</v>
      </c>
      <c r="I43" t="b">
        <f t="shared" ca="1" si="0"/>
        <v>1</v>
      </c>
      <c r="J43" s="2">
        <f ca="1"/>
        <v>45426</v>
      </c>
      <c r="K43">
        <f ca="1"/>
        <v>50.411912369503106</v>
      </c>
      <c r="L43">
        <f ca="1"/>
        <v>0</v>
      </c>
      <c r="M43">
        <f ca="1"/>
        <v>0.21859920298293645</v>
      </c>
      <c r="N43">
        <f ca="1"/>
        <v>0.55244413267286341</v>
      </c>
      <c r="O43">
        <f ca="1"/>
        <v>0</v>
      </c>
      <c r="P43">
        <f ca="1"/>
        <v>0</v>
      </c>
      <c r="Q43">
        <f ca="1"/>
        <v>0</v>
      </c>
      <c r="R43">
        <f ca="1"/>
        <v>0.56050578123425243</v>
      </c>
      <c r="S43">
        <f ca="1"/>
        <v>1</v>
      </c>
      <c r="T43">
        <f ca="1"/>
        <v>1.5799999999999983</v>
      </c>
      <c r="U43">
        <f ca="1"/>
        <v>0</v>
      </c>
      <c r="V43">
        <f ca="1"/>
        <v>0</v>
      </c>
      <c r="X43" s="2">
        <f t="shared" ca="1" si="1"/>
        <v>45426</v>
      </c>
      <c r="Y43">
        <f t="shared" ca="1" si="2"/>
        <v>0</v>
      </c>
      <c r="AA43" s="63">
        <f t="shared" ca="1" si="4"/>
        <v>50.972418150737361</v>
      </c>
      <c r="AB43" s="63">
        <f t="shared" ca="1" si="5"/>
        <v>50.972418150737361</v>
      </c>
      <c r="AC43" s="3">
        <f t="shared" ca="1" si="6"/>
        <v>0</v>
      </c>
    </row>
    <row r="44" spans="1:29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45427</v>
      </c>
      <c r="K44">
        <f ca="1"/>
        <v>50.028221727867582</v>
      </c>
      <c r="L44">
        <f ca="1"/>
        <v>0</v>
      </c>
      <c r="M44">
        <f ca="1"/>
        <v>0.22342132800593006</v>
      </c>
      <c r="N44">
        <f ca="1"/>
        <v>0.51240845880215469</v>
      </c>
      <c r="O44">
        <f ca="1"/>
        <v>0</v>
      </c>
      <c r="P44">
        <f ca="1"/>
        <v>0</v>
      </c>
      <c r="Q44">
        <f ca="1"/>
        <v>0</v>
      </c>
      <c r="R44">
        <f ca="1"/>
        <v>1.1195204284436144</v>
      </c>
      <c r="S44">
        <f ca="1"/>
        <v>1</v>
      </c>
      <c r="T44">
        <f ca="1"/>
        <v>3.1799999999999997</v>
      </c>
      <c r="U44">
        <f ca="1"/>
        <v>0</v>
      </c>
      <c r="V44">
        <f ca="1"/>
        <v>0</v>
      </c>
      <c r="X44" s="2">
        <f t="shared" ca="1" si="1"/>
        <v>45427</v>
      </c>
      <c r="Y44">
        <f t="shared" ca="1" si="2"/>
        <v>0</v>
      </c>
      <c r="AA44" s="63">
        <f t="shared" ca="1" si="4"/>
        <v>51.147742156311196</v>
      </c>
      <c r="AB44" s="63">
        <f t="shared" ca="1" si="5"/>
        <v>51.147742156311196</v>
      </c>
      <c r="AC44" s="3">
        <f t="shared" ca="1" si="6"/>
        <v>0</v>
      </c>
    </row>
    <row r="45" spans="1:29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45428</v>
      </c>
      <c r="K45">
        <f ca="1"/>
        <v>49.651935645540128</v>
      </c>
      <c r="L45">
        <f ca="1"/>
        <v>0</v>
      </c>
      <c r="M45">
        <f ca="1"/>
        <v>0.23066171517276146</v>
      </c>
      <c r="N45">
        <f ca="1"/>
        <v>0.49017608420828068</v>
      </c>
      <c r="O45">
        <f ca="1"/>
        <v>0</v>
      </c>
      <c r="P45">
        <f ca="1"/>
        <v>0</v>
      </c>
      <c r="Q45">
        <f ca="1"/>
        <v>0</v>
      </c>
      <c r="R45">
        <f ca="1"/>
        <v>1.0971238817084881</v>
      </c>
      <c r="S45">
        <f ca="1"/>
        <v>1</v>
      </c>
      <c r="T45">
        <f ca="1"/>
        <v>3.1399999999999935</v>
      </c>
      <c r="U45">
        <f ca="1"/>
        <v>0</v>
      </c>
      <c r="V45">
        <f ca="1"/>
        <v>0</v>
      </c>
      <c r="X45" s="2">
        <f t="shared" ca="1" si="1"/>
        <v>45428</v>
      </c>
      <c r="Y45">
        <f t="shared" ca="1" si="2"/>
        <v>0</v>
      </c>
      <c r="AA45" s="63">
        <f t="shared" ca="1" si="4"/>
        <v>50.749059527248626</v>
      </c>
      <c r="AB45" s="63">
        <f t="shared" ca="1" si="5"/>
        <v>50.749059527248619</v>
      </c>
      <c r="AC45" s="3">
        <f t="shared" ca="1" si="6"/>
        <v>0</v>
      </c>
    </row>
    <row r="46" spans="1:29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45429</v>
      </c>
      <c r="K46">
        <f ca="1"/>
        <v>50.016557910988077</v>
      </c>
      <c r="L46">
        <f ca="1"/>
        <v>0</v>
      </c>
      <c r="M46">
        <f ca="1"/>
        <v>0.25201065537283185</v>
      </c>
      <c r="N46">
        <f ca="1"/>
        <v>0.51737523613255532</v>
      </c>
      <c r="O46">
        <f ca="1"/>
        <v>0</v>
      </c>
      <c r="P46">
        <f ca="1"/>
        <v>0</v>
      </c>
      <c r="Q46">
        <f ca="1"/>
        <v>0</v>
      </c>
      <c r="R46">
        <f ca="1"/>
        <v>0.40476362605744015</v>
      </c>
      <c r="S46">
        <f ca="1"/>
        <v>1</v>
      </c>
      <c r="T46">
        <f ca="1"/>
        <v>1.1499999999999986</v>
      </c>
      <c r="U46">
        <f ca="1"/>
        <v>0</v>
      </c>
      <c r="V46">
        <f ca="1"/>
        <v>0</v>
      </c>
      <c r="X46" s="2">
        <f t="shared" ca="1" si="1"/>
        <v>45429</v>
      </c>
      <c r="Y46">
        <f t="shared" ca="1" si="2"/>
        <v>0</v>
      </c>
      <c r="AA46" s="63">
        <f t="shared" ca="1" si="4"/>
        <v>50.421321537045522</v>
      </c>
      <c r="AB46" s="63">
        <f t="shared" ca="1" si="5"/>
        <v>50.421321537045515</v>
      </c>
      <c r="AC46" s="3">
        <f t="shared" ca="1" si="6"/>
        <v>0</v>
      </c>
    </row>
    <row r="47" spans="1:29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45430</v>
      </c>
      <c r="K47">
        <f ca="1"/>
        <v>50.347892267724824</v>
      </c>
      <c r="L47">
        <f ca="1"/>
        <v>0</v>
      </c>
      <c r="M47">
        <f ca="1"/>
        <v>0.26806463831945138</v>
      </c>
      <c r="N47">
        <f ca="1"/>
        <v>0.52740269565569808</v>
      </c>
      <c r="O47">
        <f ca="1"/>
        <v>0</v>
      </c>
      <c r="P47">
        <f ca="1"/>
        <v>0</v>
      </c>
      <c r="Q47">
        <f ca="1"/>
        <v>0</v>
      </c>
      <c r="R47">
        <f ca="1"/>
        <v>0.46413297723839742</v>
      </c>
      <c r="S47">
        <f ca="1"/>
        <v>1</v>
      </c>
      <c r="T47">
        <f ca="1"/>
        <v>1.3100000000000023</v>
      </c>
      <c r="U47">
        <f ca="1"/>
        <v>0</v>
      </c>
      <c r="V47">
        <f ca="1"/>
        <v>0</v>
      </c>
      <c r="X47" s="2">
        <f t="shared" ca="1" si="1"/>
        <v>45430</v>
      </c>
      <c r="Y47">
        <f t="shared" ca="1" si="2"/>
        <v>0</v>
      </c>
      <c r="AA47" s="63">
        <f t="shared" ca="1" si="4"/>
        <v>50.812025244963223</v>
      </c>
      <c r="AB47" s="63">
        <f t="shared" ca="1" si="5"/>
        <v>50.812025244963223</v>
      </c>
      <c r="AC47" s="3">
        <f t="shared" ca="1" si="6"/>
        <v>0</v>
      </c>
    </row>
    <row r="48" spans="1:29">
      <c r="A48" s="6" t="s">
        <v>128</v>
      </c>
      <c r="B48" s="32">
        <f>FollowingMoistureLoss</f>
        <v>0</v>
      </c>
      <c r="H48" t="b">
        <f t="shared" ca="1" si="3"/>
        <v>1</v>
      </c>
      <c r="I48" t="b">
        <f t="shared" ca="1" si="0"/>
        <v>1</v>
      </c>
      <c r="J48" s="2">
        <f ca="1"/>
        <v>45431</v>
      </c>
      <c r="K48">
        <f ca="1"/>
        <v>50.120607956421352</v>
      </c>
      <c r="L48">
        <f ca="1"/>
        <v>0</v>
      </c>
      <c r="M48">
        <f ca="1"/>
        <v>0.27984603310700606</v>
      </c>
      <c r="N48">
        <f ca="1"/>
        <v>0.52628233889840481</v>
      </c>
      <c r="O48">
        <f ca="1"/>
        <v>0</v>
      </c>
      <c r="P48">
        <f ca="1"/>
        <v>0</v>
      </c>
      <c r="Q48">
        <f ca="1"/>
        <v>0</v>
      </c>
      <c r="R48">
        <f ca="1"/>
        <v>1.0334126833088828</v>
      </c>
      <c r="S48">
        <f ca="1"/>
        <v>1</v>
      </c>
      <c r="T48">
        <f ca="1"/>
        <v>2.9300000000000068</v>
      </c>
      <c r="U48">
        <f ca="1"/>
        <v>0</v>
      </c>
      <c r="V48">
        <f ca="1"/>
        <v>0</v>
      </c>
      <c r="X48" s="2">
        <f t="shared" ca="1" si="1"/>
        <v>45431</v>
      </c>
      <c r="Y48">
        <f t="shared" ca="1" si="2"/>
        <v>0</v>
      </c>
      <c r="AA48" s="63">
        <f t="shared" ca="1" si="4"/>
        <v>51.154020639730234</v>
      </c>
      <c r="AB48" s="63">
        <f t="shared" ca="1" si="5"/>
        <v>51.154020639730234</v>
      </c>
      <c r="AC48" s="3">
        <f t="shared" ca="1" si="6"/>
        <v>0</v>
      </c>
    </row>
    <row r="49" spans="1:29">
      <c r="A49" s="6" t="s">
        <v>129</v>
      </c>
      <c r="B49" s="34">
        <f>FollowingEstablishDate</f>
        <v>45576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45432</v>
      </c>
      <c r="K49">
        <f ca="1"/>
        <v>50.337339364512204</v>
      </c>
      <c r="L49">
        <f ca="1"/>
        <v>0</v>
      </c>
      <c r="M49">
        <f ca="1"/>
        <v>0.27543568873464253</v>
      </c>
      <c r="N49">
        <f ca="1"/>
        <v>0.48326107318078637</v>
      </c>
      <c r="O49">
        <f ca="1"/>
        <v>0</v>
      </c>
      <c r="P49">
        <f ca="1"/>
        <v>0</v>
      </c>
      <c r="Q49">
        <f ca="1"/>
        <v>0</v>
      </c>
      <c r="R49">
        <f ca="1"/>
        <v>0.54196535382458177</v>
      </c>
      <c r="S49">
        <f ca="1"/>
        <v>1</v>
      </c>
      <c r="T49">
        <f ca="1"/>
        <v>1.5300000000000011</v>
      </c>
      <c r="U49">
        <f ca="1"/>
        <v>0</v>
      </c>
      <c r="V49">
        <f ca="1"/>
        <v>0</v>
      </c>
      <c r="X49" s="2">
        <f t="shared" ca="1" si="1"/>
        <v>45432</v>
      </c>
      <c r="Y49">
        <f t="shared" ca="1" si="2"/>
        <v>0</v>
      </c>
      <c r="AA49" s="63">
        <f t="shared" ca="1" si="4"/>
        <v>50.879304718336783</v>
      </c>
      <c r="AB49" s="63">
        <f t="shared" ca="1" si="5"/>
        <v>50.879304718336783</v>
      </c>
      <c r="AC49" s="3">
        <f t="shared" ca="1" si="6"/>
        <v>0</v>
      </c>
    </row>
    <row r="50" spans="1:29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45433</v>
      </c>
      <c r="K50">
        <f ca="1"/>
        <v>50.868126946769003</v>
      </c>
      <c r="L50">
        <f ca="1"/>
        <v>0</v>
      </c>
      <c r="M50">
        <f ca="1"/>
        <v>0.29648759195178265</v>
      </c>
      <c r="N50">
        <f ca="1"/>
        <v>0.51350948710173039</v>
      </c>
      <c r="O50">
        <f ca="1"/>
        <v>0</v>
      </c>
      <c r="P50">
        <f ca="1"/>
        <v>0</v>
      </c>
      <c r="Q50">
        <f ca="1"/>
        <v>0</v>
      </c>
      <c r="R50">
        <f ca="1"/>
        <v>0.27920949679671031</v>
      </c>
      <c r="S50">
        <f ca="1"/>
        <v>1</v>
      </c>
      <c r="T50">
        <f ca="1"/>
        <v>0.78000000000000114</v>
      </c>
      <c r="U50">
        <f ca="1"/>
        <v>0</v>
      </c>
      <c r="V50">
        <f ca="1"/>
        <v>0</v>
      </c>
      <c r="X50" s="2">
        <f t="shared" ca="1" si="1"/>
        <v>45433</v>
      </c>
      <c r="Y50">
        <f t="shared" ca="1" si="2"/>
        <v>0</v>
      </c>
      <c r="AA50" s="63">
        <f t="shared" ca="1" si="4"/>
        <v>51.147336443565713</v>
      </c>
      <c r="AB50" s="63">
        <f t="shared" ca="1" si="5"/>
        <v>51.147336443565713</v>
      </c>
      <c r="AC50" s="3">
        <f t="shared" ca="1" si="6"/>
        <v>0</v>
      </c>
    </row>
    <row r="51" spans="1:29">
      <c r="A51" s="6" t="s">
        <v>131</v>
      </c>
      <c r="B51" s="34">
        <f>FollowingHarvestDate</f>
        <v>45696</v>
      </c>
      <c r="H51" t="b">
        <f t="shared" ca="1" si="3"/>
        <v>1</v>
      </c>
      <c r="I51" t="b">
        <f t="shared" ca="1" si="0"/>
        <v>1</v>
      </c>
      <c r="J51" s="2">
        <f ca="1"/>
        <v>45434</v>
      </c>
      <c r="K51">
        <f ca="1"/>
        <v>50.791488807632426</v>
      </c>
      <c r="L51">
        <f ca="1"/>
        <v>0</v>
      </c>
      <c r="M51">
        <f ca="1"/>
        <v>0.30338705909533736</v>
      </c>
      <c r="N51">
        <f ca="1"/>
        <v>0.50638033977388308</v>
      </c>
      <c r="O51">
        <f ca="1"/>
        <v>0</v>
      </c>
      <c r="P51">
        <f ca="1"/>
        <v>0</v>
      </c>
      <c r="Q51">
        <f ca="1"/>
        <v>0</v>
      </c>
      <c r="R51">
        <f ca="1"/>
        <v>0.88640553800579414</v>
      </c>
      <c r="S51">
        <f ca="1"/>
        <v>1</v>
      </c>
      <c r="T51">
        <f ca="1"/>
        <v>2.480000000000004</v>
      </c>
      <c r="U51">
        <f ca="1"/>
        <v>0</v>
      </c>
      <c r="V51">
        <f ca="1"/>
        <v>0</v>
      </c>
      <c r="X51" s="2">
        <f t="shared" ca="1" si="1"/>
        <v>45434</v>
      </c>
      <c r="Y51">
        <f t="shared" ca="1" si="2"/>
        <v>0</v>
      </c>
      <c r="AA51" s="63">
        <f t="shared" ca="1" si="4"/>
        <v>51.677894345638222</v>
      </c>
      <c r="AB51" s="63">
        <f t="shared" ca="1" si="5"/>
        <v>51.677894345638222</v>
      </c>
      <c r="AC51" s="3">
        <f t="shared" ca="1" si="6"/>
        <v>0</v>
      </c>
    </row>
    <row r="52" spans="1:29">
      <c r="A52" s="6" t="s">
        <v>132</v>
      </c>
      <c r="B52" s="32" t="str">
        <f>FollowingHarvestStage</f>
        <v>EarlyReproductive</v>
      </c>
      <c r="H52" t="b">
        <f t="shared" ca="1" si="3"/>
        <v>1</v>
      </c>
      <c r="I52" t="b">
        <f t="shared" ca="1" si="0"/>
        <v>1</v>
      </c>
      <c r="J52" s="2">
        <f ca="1"/>
        <v>45435</v>
      </c>
      <c r="K52">
        <f ca="1"/>
        <v>51.412431025642029</v>
      </c>
      <c r="L52">
        <f ca="1"/>
        <v>0</v>
      </c>
      <c r="M52">
        <f ca="1"/>
        <v>0.29604485209513953</v>
      </c>
      <c r="N52">
        <f ca="1"/>
        <v>0.46599592661816358</v>
      </c>
      <c r="O52">
        <f ca="1"/>
        <v>0</v>
      </c>
      <c r="P52">
        <f ca="1"/>
        <v>0</v>
      </c>
      <c r="Q52">
        <f ca="1"/>
        <v>0</v>
      </c>
      <c r="R52">
        <f ca="1"/>
        <v>0.14109856070370666</v>
      </c>
      <c r="S52">
        <f ca="1"/>
        <v>1</v>
      </c>
      <c r="T52">
        <f ca="1"/>
        <v>0.39000000000000057</v>
      </c>
      <c r="U52">
        <f ca="1"/>
        <v>0</v>
      </c>
      <c r="V52">
        <f ca="1"/>
        <v>0</v>
      </c>
      <c r="X52" s="2">
        <f t="shared" ca="1" si="1"/>
        <v>45435</v>
      </c>
      <c r="Y52">
        <f t="shared" ca="1" si="2"/>
        <v>0</v>
      </c>
      <c r="AA52" s="63">
        <f t="shared" ca="1" si="4"/>
        <v>51.553529586345732</v>
      </c>
      <c r="AB52" s="63">
        <f t="shared" ca="1" si="5"/>
        <v>51.553529586345732</v>
      </c>
      <c r="AC52" s="3">
        <f t="shared" ca="1" si="6"/>
        <v>0</v>
      </c>
    </row>
    <row r="53" spans="1:29" ht="1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45436</v>
      </c>
      <c r="K53">
        <f ca="1"/>
        <v>51.389471158837516</v>
      </c>
      <c r="L53">
        <f ca="1"/>
        <v>0</v>
      </c>
      <c r="M53">
        <f ca="1"/>
        <v>0.31392629159356922</v>
      </c>
      <c r="N53">
        <f ca="1"/>
        <v>0.49124565275785625</v>
      </c>
      <c r="O53">
        <f ca="1"/>
        <v>0</v>
      </c>
      <c r="P53">
        <f ca="1"/>
        <v>1.3386898147826627</v>
      </c>
      <c r="Q53">
        <f ca="1"/>
        <v>0</v>
      </c>
      <c r="R53">
        <f ca="1"/>
        <v>0.82813181115593315</v>
      </c>
      <c r="S53">
        <f ca="1"/>
        <v>1</v>
      </c>
      <c r="T53">
        <f ca="1"/>
        <v>2.2899999999999991</v>
      </c>
      <c r="U53">
        <f ca="1"/>
        <v>0</v>
      </c>
      <c r="V53">
        <f ca="1"/>
        <v>6.6928509242848624E-3</v>
      </c>
      <c r="X53" s="2">
        <f t="shared" ca="1" si="1"/>
        <v>45436</v>
      </c>
      <c r="Y53">
        <f t="shared" ca="1" si="2"/>
        <v>0</v>
      </c>
      <c r="AA53" s="63">
        <f t="shared" ca="1" si="4"/>
        <v>52.21760296999345</v>
      </c>
      <c r="AB53" s="63">
        <f t="shared" ca="1" si="5"/>
        <v>52.21760296999345</v>
      </c>
      <c r="AC53" s="3">
        <f t="shared" ca="1" si="6"/>
        <v>0</v>
      </c>
    </row>
    <row r="54" spans="1:29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45437</v>
      </c>
      <c r="K54">
        <f ca="1"/>
        <v>51.007424802811599</v>
      </c>
      <c r="L54">
        <f ca="1"/>
        <v>0</v>
      </c>
      <c r="M54">
        <f ca="1"/>
        <v>0.29922116066635418</v>
      </c>
      <c r="N54">
        <f ca="1"/>
        <v>0.43862883231168043</v>
      </c>
      <c r="O54">
        <f ca="1"/>
        <v>0</v>
      </c>
      <c r="P54">
        <f ca="1"/>
        <v>1.3386898147826627</v>
      </c>
      <c r="Q54">
        <f ca="1"/>
        <v>0</v>
      </c>
      <c r="R54">
        <f ca="1"/>
        <v>1.1198963490039542</v>
      </c>
      <c r="S54">
        <f ca="1"/>
        <v>1</v>
      </c>
      <c r="T54">
        <f ca="1"/>
        <v>3.1200000000000045</v>
      </c>
      <c r="U54">
        <f ca="1"/>
        <v>0</v>
      </c>
      <c r="V54">
        <f ca="1"/>
        <v>6.6928509242848624E-3</v>
      </c>
      <c r="X54" s="2">
        <f t="shared" ca="1" si="1"/>
        <v>45437</v>
      </c>
      <c r="Y54">
        <f t="shared" ca="1" si="2"/>
        <v>0</v>
      </c>
      <c r="AA54" s="63">
        <f t="shared" ca="1" si="4"/>
        <v>52.127321151815551</v>
      </c>
      <c r="AB54" s="63">
        <f t="shared" ca="1" si="5"/>
        <v>52.127321151815551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45438</v>
      </c>
      <c r="K55">
        <f ca="1"/>
        <v>51.186721329650375</v>
      </c>
      <c r="L55">
        <f ca="1"/>
        <v>0</v>
      </c>
      <c r="M55">
        <f ca="1"/>
        <v>0.30229749001847495</v>
      </c>
      <c r="N55">
        <f ca="1"/>
        <v>0.43171143167421894</v>
      </c>
      <c r="O55">
        <f ca="1"/>
        <v>0</v>
      </c>
      <c r="P55">
        <f ca="1"/>
        <v>1.3386898147826627</v>
      </c>
      <c r="Q55">
        <f ca="1"/>
        <v>0</v>
      </c>
      <c r="R55">
        <f ca="1"/>
        <v>0.55471239485391188</v>
      </c>
      <c r="S55">
        <f ca="1"/>
        <v>1</v>
      </c>
      <c r="T55">
        <f ca="1"/>
        <v>1.539999999999992</v>
      </c>
      <c r="U55">
        <f ca="1"/>
        <v>0</v>
      </c>
      <c r="V55">
        <f ca="1"/>
        <v>6.6928509242848624E-3</v>
      </c>
      <c r="X55" s="2">
        <f t="shared" ca="1" si="1"/>
        <v>45438</v>
      </c>
      <c r="Y55">
        <f t="shared" ca="1" si="2"/>
        <v>0</v>
      </c>
      <c r="AA55" s="63">
        <f t="shared" ca="1" si="4"/>
        <v>51.74143372450429</v>
      </c>
      <c r="AB55" s="63">
        <f t="shared" ca="1" si="5"/>
        <v>51.74143372450429</v>
      </c>
      <c r="AC55" s="3">
        <f t="shared" ca="1" si="6"/>
        <v>0</v>
      </c>
    </row>
    <row r="56" spans="1:29" ht="1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45439</v>
      </c>
      <c r="K56">
        <f ca="1"/>
        <v>51.552339241910218</v>
      </c>
      <c r="L56">
        <f ca="1"/>
        <v>0</v>
      </c>
      <c r="M56">
        <f ca="1"/>
        <v>0.31217218735483598</v>
      </c>
      <c r="N56">
        <f ca="1"/>
        <v>0.44161574593761788</v>
      </c>
      <c r="O56">
        <f ca="1"/>
        <v>0</v>
      </c>
      <c r="P56">
        <f ca="1"/>
        <v>1.3386898147826627</v>
      </c>
      <c r="Q56">
        <f ca="1"/>
        <v>0</v>
      </c>
      <c r="R56">
        <f ca="1"/>
        <v>0.38817002103260817</v>
      </c>
      <c r="S56">
        <f ca="1"/>
        <v>1</v>
      </c>
      <c r="T56">
        <f ca="1"/>
        <v>1.0700000000000074</v>
      </c>
      <c r="U56">
        <f ca="1"/>
        <v>0</v>
      </c>
      <c r="V56">
        <f ca="1"/>
        <v>6.6928509242848624E-3</v>
      </c>
      <c r="X56" s="2">
        <f t="shared" ca="1" si="1"/>
        <v>45439</v>
      </c>
      <c r="Y56">
        <f t="shared" ca="1" si="2"/>
        <v>0</v>
      </c>
      <c r="AA56" s="63">
        <f t="shared" ca="1" si="4"/>
        <v>51.940509262942832</v>
      </c>
      <c r="AB56" s="63">
        <f t="shared" ca="1" si="5"/>
        <v>51.940509262942825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45440</v>
      </c>
      <c r="K57">
        <f ca="1"/>
        <v>51.695377128159869</v>
      </c>
      <c r="L57">
        <f ca="1"/>
        <v>0</v>
      </c>
      <c r="M57">
        <f ca="1"/>
        <v>0.32715441652609911</v>
      </c>
      <c r="N57">
        <f ca="1"/>
        <v>0.46341593434368439</v>
      </c>
      <c r="O57">
        <f ca="1"/>
        <v>0</v>
      </c>
      <c r="P57">
        <f ca="1"/>
        <v>1.3386898147826627</v>
      </c>
      <c r="Q57">
        <f ca="1"/>
        <v>0</v>
      </c>
      <c r="R57">
        <f ca="1"/>
        <v>0.64753246462013636</v>
      </c>
      <c r="S57">
        <f ca="1"/>
        <v>1</v>
      </c>
      <c r="T57">
        <f ca="1"/>
        <v>1.7800000000000011</v>
      </c>
      <c r="U57">
        <f ca="1"/>
        <v>0</v>
      </c>
      <c r="V57">
        <f ca="1"/>
        <v>6.6928509242848624E-3</v>
      </c>
      <c r="X57" s="2">
        <f t="shared" ca="1" si="1"/>
        <v>45440</v>
      </c>
      <c r="Y57">
        <f t="shared" ca="1" si="2"/>
        <v>0</v>
      </c>
      <c r="AA57" s="63">
        <f t="shared" ca="1" si="4"/>
        <v>52.342909592780003</v>
      </c>
      <c r="AB57" s="63">
        <f t="shared" ca="1" si="5"/>
        <v>52.342909592780003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45441</v>
      </c>
      <c r="K58">
        <f ca="1"/>
        <v>52.040791766576987</v>
      </c>
      <c r="L58">
        <f ca="1"/>
        <v>0</v>
      </c>
      <c r="M58">
        <f ca="1"/>
        <v>0.34489437765076758</v>
      </c>
      <c r="N58">
        <f ca="1"/>
        <v>0.49124565275785625</v>
      </c>
      <c r="O58">
        <f ca="1"/>
        <v>0</v>
      </c>
      <c r="P58">
        <f ca="1"/>
        <v>1.3386898147826627</v>
      </c>
      <c r="Q58">
        <f ca="1"/>
        <v>0</v>
      </c>
      <c r="R58">
        <f ca="1"/>
        <v>0.49072539199150123</v>
      </c>
      <c r="S58">
        <f ca="1"/>
        <v>1</v>
      </c>
      <c r="T58">
        <f ca="1"/>
        <v>1.3400000000000034</v>
      </c>
      <c r="U58">
        <f ca="1"/>
        <v>0</v>
      </c>
      <c r="V58">
        <f ca="1"/>
        <v>6.6928509242848624E-3</v>
      </c>
      <c r="X58" s="2">
        <f t="shared" ca="1" si="1"/>
        <v>45441</v>
      </c>
      <c r="Y58">
        <f t="shared" ca="1" si="2"/>
        <v>0</v>
      </c>
      <c r="AA58" s="63">
        <f t="shared" ca="1" si="4"/>
        <v>52.531517158568491</v>
      </c>
      <c r="AB58" s="63">
        <f t="shared" ca="1" si="5"/>
        <v>52.531517158568491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45442</v>
      </c>
      <c r="K59">
        <f ca="1"/>
        <v>52.031075670428827</v>
      </c>
      <c r="L59">
        <f ca="1"/>
        <v>0</v>
      </c>
      <c r="M59">
        <f ca="1"/>
        <v>0.34956330688523085</v>
      </c>
      <c r="N59">
        <f ca="1"/>
        <v>0.49017608420828068</v>
      </c>
      <c r="O59">
        <f ca="1"/>
        <v>0</v>
      </c>
      <c r="P59">
        <f ca="1"/>
        <v>1.3386898147826627</v>
      </c>
      <c r="Q59">
        <f ca="1"/>
        <v>0</v>
      </c>
      <c r="R59">
        <f ca="1"/>
        <v>0.84945548724166786</v>
      </c>
      <c r="S59">
        <f ca="1"/>
        <v>1</v>
      </c>
      <c r="T59">
        <f ca="1"/>
        <v>2.3200000000000003</v>
      </c>
      <c r="U59">
        <f ca="1"/>
        <v>0</v>
      </c>
      <c r="V59">
        <f ca="1"/>
        <v>6.6928509242848624E-3</v>
      </c>
      <c r="X59" s="2">
        <f t="shared" ca="1" si="1"/>
        <v>45442</v>
      </c>
      <c r="Y59">
        <f t="shared" ca="1" si="2"/>
        <v>0</v>
      </c>
      <c r="AA59" s="63">
        <f t="shared" ca="1" si="4"/>
        <v>52.880531157670497</v>
      </c>
      <c r="AB59" s="63">
        <f t="shared" ca="1" si="5"/>
        <v>52.880531157670497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45443</v>
      </c>
      <c r="K60">
        <f ca="1"/>
        <v>51.652486282674047</v>
      </c>
      <c r="L60">
        <f ca="1"/>
        <v>0</v>
      </c>
      <c r="M60">
        <f ca="1"/>
        <v>0.34912807780611921</v>
      </c>
      <c r="N60">
        <f ca="1"/>
        <v>0.47903765840616702</v>
      </c>
      <c r="O60">
        <f ca="1"/>
        <v>0</v>
      </c>
      <c r="P60">
        <f ca="1"/>
        <v>1.3386898147826627</v>
      </c>
      <c r="Q60">
        <f ca="1"/>
        <v>0</v>
      </c>
      <c r="R60">
        <f ca="1"/>
        <v>1.2067551239670691</v>
      </c>
      <c r="S60">
        <f ca="1"/>
        <v>1</v>
      </c>
      <c r="T60">
        <f ca="1"/>
        <v>3.3200000000000074</v>
      </c>
      <c r="U60">
        <f ca="1"/>
        <v>0</v>
      </c>
      <c r="V60">
        <f ca="1"/>
        <v>6.6928509242848624E-3</v>
      </c>
      <c r="X60" s="2">
        <f t="shared" ca="1" si="1"/>
        <v>45443</v>
      </c>
      <c r="Y60">
        <f t="shared" ca="1" si="2"/>
        <v>0</v>
      </c>
      <c r="AA60" s="63">
        <f t="shared" ca="1" si="4"/>
        <v>52.859241406641118</v>
      </c>
      <c r="AB60" s="63">
        <f t="shared" ca="1" si="5"/>
        <v>52.859241406641118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45444</v>
      </c>
      <c r="K61">
        <f ca="1"/>
        <v>51.042852543209108</v>
      </c>
      <c r="L61">
        <f ca="1"/>
        <v>0</v>
      </c>
      <c r="M61">
        <f ca="1"/>
        <v>0.33790389864831649</v>
      </c>
      <c r="N61">
        <f ca="1"/>
        <v>0.44612128391836869</v>
      </c>
      <c r="O61">
        <f ca="1"/>
        <v>0</v>
      </c>
      <c r="P61">
        <f ca="1"/>
        <v>1.3386898147826627</v>
      </c>
      <c r="Q61">
        <f ca="1"/>
        <v>0</v>
      </c>
      <c r="R61">
        <f ca="1"/>
        <v>1.3936589220316189</v>
      </c>
      <c r="S61">
        <f ca="1"/>
        <v>1</v>
      </c>
      <c r="T61">
        <f ca="1"/>
        <v>3.8799999999999955</v>
      </c>
      <c r="U61">
        <f ca="1"/>
        <v>0</v>
      </c>
      <c r="V61">
        <f ca="1"/>
        <v>6.6928509242848624E-3</v>
      </c>
      <c r="X61" s="2">
        <f t="shared" ca="1" si="1"/>
        <v>45444</v>
      </c>
      <c r="Y61">
        <f t="shared" ca="1" si="2"/>
        <v>0</v>
      </c>
      <c r="AA61" s="63">
        <f t="shared" ca="1" si="4"/>
        <v>52.436511465240727</v>
      </c>
      <c r="AB61" s="63">
        <f t="shared" ca="1" si="5"/>
        <v>52.436511465240727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45445</v>
      </c>
      <c r="K62">
        <f ca="1"/>
        <v>51.344548359067133</v>
      </c>
      <c r="L62">
        <f ca="1"/>
        <v>0</v>
      </c>
      <c r="M62">
        <f ca="1"/>
        <v>0.33041330857342111</v>
      </c>
      <c r="N62">
        <f ca="1"/>
        <v>0.42292436785047749</v>
      </c>
      <c r="O62">
        <f ca="1"/>
        <v>0</v>
      </c>
      <c r="P62">
        <f ca="1"/>
        <v>1.3386898147826627</v>
      </c>
      <c r="Q62">
        <f ca="1"/>
        <v>0</v>
      </c>
      <c r="R62">
        <f ca="1"/>
        <v>0.4516418605658708</v>
      </c>
      <c r="S62">
        <f ca="1"/>
        <v>1</v>
      </c>
      <c r="T62">
        <f ca="1"/>
        <v>1.2500000000000071</v>
      </c>
      <c r="U62">
        <f ca="1"/>
        <v>0</v>
      </c>
      <c r="V62">
        <f ca="1"/>
        <v>6.6928509242848624E-3</v>
      </c>
      <c r="X62" s="2">
        <f t="shared" ca="1" si="1"/>
        <v>45445</v>
      </c>
      <c r="Y62">
        <f t="shared" ca="1" si="2"/>
        <v>0</v>
      </c>
      <c r="AA62" s="63">
        <f t="shared" ca="1" si="4"/>
        <v>51.796190219633004</v>
      </c>
      <c r="AB62" s="63">
        <f t="shared" ca="1" si="5"/>
        <v>51.796190219633004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45446</v>
      </c>
      <c r="K63">
        <f ca="1"/>
        <v>51.496614884888629</v>
      </c>
      <c r="L63">
        <f ca="1"/>
        <v>0</v>
      </c>
      <c r="M63">
        <f ca="1"/>
        <v>0.35595645101285545</v>
      </c>
      <c r="N63">
        <f ca="1"/>
        <v>0.47014354519084051</v>
      </c>
      <c r="O63">
        <f ca="1"/>
        <v>0</v>
      </c>
      <c r="P63">
        <f ca="1"/>
        <v>1.3386898147826627</v>
      </c>
      <c r="Q63">
        <f ca="1"/>
        <v>0</v>
      </c>
      <c r="R63">
        <f ca="1"/>
        <v>0.67403347038220873</v>
      </c>
      <c r="S63">
        <f ca="1"/>
        <v>1</v>
      </c>
      <c r="T63">
        <f ca="1"/>
        <v>1.8599999999999994</v>
      </c>
      <c r="U63">
        <f ca="1"/>
        <v>0</v>
      </c>
      <c r="V63">
        <f ca="1"/>
        <v>6.6928509242848624E-3</v>
      </c>
      <c r="X63" s="2">
        <f t="shared" ca="1" si="1"/>
        <v>45446</v>
      </c>
      <c r="Y63">
        <f t="shared" ca="1" si="2"/>
        <v>0</v>
      </c>
      <c r="AA63" s="63">
        <f t="shared" ca="1" si="4"/>
        <v>52.170648355270835</v>
      </c>
      <c r="AB63" s="63">
        <f t="shared" ca="1" si="5"/>
        <v>52.170648355270835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45447</v>
      </c>
      <c r="K64">
        <f ca="1"/>
        <v>52.019677815811825</v>
      </c>
      <c r="L64">
        <f ca="1"/>
        <v>0</v>
      </c>
      <c r="M64">
        <f ca="1"/>
        <v>0.35235111106037564</v>
      </c>
      <c r="N64">
        <f ca="1"/>
        <v>0.45624205142961261</v>
      </c>
      <c r="O64">
        <f ca="1"/>
        <v>0</v>
      </c>
      <c r="P64">
        <f ca="1"/>
        <v>1.3386898147826627</v>
      </c>
      <c r="Q64">
        <f ca="1"/>
        <v>0</v>
      </c>
      <c r="R64">
        <f ca="1"/>
        <v>0.28553023156678714</v>
      </c>
      <c r="S64">
        <f ca="1"/>
        <v>1</v>
      </c>
      <c r="T64">
        <f ca="1"/>
        <v>0.77999999999999403</v>
      </c>
      <c r="U64">
        <f ca="1"/>
        <v>0</v>
      </c>
      <c r="V64">
        <f ca="1"/>
        <v>6.6928509242848624E-3</v>
      </c>
      <c r="X64" s="2">
        <f t="shared" ca="1" si="1"/>
        <v>45447</v>
      </c>
      <c r="Y64">
        <f t="shared" ca="1" si="2"/>
        <v>0</v>
      </c>
      <c r="AA64" s="63">
        <f t="shared" ca="1" si="4"/>
        <v>52.305208047378613</v>
      </c>
      <c r="AB64" s="63">
        <f t="shared" ca="1" si="5"/>
        <v>52.305208047378613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45448</v>
      </c>
      <c r="K65">
        <f ca="1"/>
        <v>52.418986235566713</v>
      </c>
      <c r="L65">
        <f ca="1"/>
        <v>0</v>
      </c>
      <c r="M65">
        <f ca="1"/>
        <v>0.33370341979572782</v>
      </c>
      <c r="N65">
        <f ca="1"/>
        <v>0.4123468866877667</v>
      </c>
      <c r="O65">
        <f ca="1"/>
        <v>0</v>
      </c>
      <c r="P65">
        <f ca="1"/>
        <v>1.3386898147826627</v>
      </c>
      <c r="Q65">
        <f ca="1"/>
        <v>0</v>
      </c>
      <c r="R65">
        <f ca="1"/>
        <v>0.34674188672860229</v>
      </c>
      <c r="S65">
        <f ca="1"/>
        <v>1</v>
      </c>
      <c r="T65">
        <f ca="1"/>
        <v>0.94000000000000483</v>
      </c>
      <c r="U65">
        <f ca="1"/>
        <v>0</v>
      </c>
      <c r="V65">
        <f ca="1"/>
        <v>6.6928509242848624E-3</v>
      </c>
      <c r="X65" s="2">
        <f t="shared" ca="1" si="1"/>
        <v>45448</v>
      </c>
      <c r="Y65">
        <f t="shared" ca="1" si="2"/>
        <v>0</v>
      </c>
      <c r="AA65" s="63">
        <f t="shared" ca="1" si="4"/>
        <v>52.765728122295315</v>
      </c>
      <c r="AB65" s="63">
        <f t="shared" ca="1" si="5"/>
        <v>52.765728122295315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45449</v>
      </c>
      <c r="K66">
        <f ca="1"/>
        <v>52.703649714130471</v>
      </c>
      <c r="L66">
        <f ca="1"/>
        <v>0</v>
      </c>
      <c r="M66">
        <f ca="1"/>
        <v>0.341937576121083</v>
      </c>
      <c r="N66">
        <f ca="1"/>
        <v>0.42486669797564464</v>
      </c>
      <c r="O66">
        <f ca="1"/>
        <v>0</v>
      </c>
      <c r="P66">
        <f ca="1"/>
        <v>1.3386898147826627</v>
      </c>
      <c r="Q66">
        <f ca="1"/>
        <v>0</v>
      </c>
      <c r="R66">
        <f ca="1"/>
        <v>0.4821407955329704</v>
      </c>
      <c r="S66">
        <f ca="1"/>
        <v>1</v>
      </c>
      <c r="T66">
        <f ca="1"/>
        <v>1.2999999999999972</v>
      </c>
      <c r="U66">
        <f ca="1"/>
        <v>0</v>
      </c>
      <c r="V66">
        <f ca="1"/>
        <v>6.6928509242848624E-3</v>
      </c>
      <c r="X66" s="2">
        <f t="shared" ca="1" si="1"/>
        <v>45449</v>
      </c>
      <c r="Y66">
        <f t="shared" ca="1" si="2"/>
        <v>0</v>
      </c>
      <c r="AA66" s="63">
        <f t="shared" ca="1" si="4"/>
        <v>53.185790509663441</v>
      </c>
      <c r="AB66" s="63">
        <f t="shared" ca="1" si="5"/>
        <v>53.185790509663441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45450</v>
      </c>
      <c r="K67">
        <f ca="1"/>
        <v>52.900262073567262</v>
      </c>
      <c r="L67">
        <f ca="1"/>
        <v>0</v>
      </c>
      <c r="M67">
        <f ca="1"/>
        <v>0.35161150689745124</v>
      </c>
      <c r="N67">
        <f ca="1"/>
        <v>0.44061861810839431</v>
      </c>
      <c r="O67">
        <f ca="1"/>
        <v>0</v>
      </c>
      <c r="P67">
        <f ca="1"/>
        <v>1.3386898147826627</v>
      </c>
      <c r="Q67">
        <f ca="1"/>
        <v>0</v>
      </c>
      <c r="R67">
        <f ca="1"/>
        <v>0.5956177655690541</v>
      </c>
      <c r="S67">
        <f ca="1"/>
        <v>1</v>
      </c>
      <c r="T67">
        <f ca="1"/>
        <v>1.6000000000000014</v>
      </c>
      <c r="U67">
        <f ca="1"/>
        <v>0</v>
      </c>
      <c r="V67">
        <f ca="1"/>
        <v>6.6928509242848624E-3</v>
      </c>
      <c r="X67" s="2">
        <f t="shared" ca="1" si="1"/>
        <v>45450</v>
      </c>
      <c r="Y67">
        <f t="shared" ca="1" si="2"/>
        <v>0</v>
      </c>
      <c r="AA67" s="63">
        <f t="shared" ca="1" si="4"/>
        <v>53.495879839136315</v>
      </c>
      <c r="AB67" s="63">
        <f t="shared" ca="1" si="5"/>
        <v>53.495879839136315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45451</v>
      </c>
      <c r="K68">
        <f ca="1"/>
        <v>52.894012512090242</v>
      </c>
      <c r="L68">
        <f ca="1"/>
        <v>0</v>
      </c>
      <c r="M68">
        <f ca="1"/>
        <v>0.35216276970237903</v>
      </c>
      <c r="N68">
        <f ca="1"/>
        <v>0.43813231650266443</v>
      </c>
      <c r="O68">
        <f ca="1"/>
        <v>0</v>
      </c>
      <c r="P68">
        <f ca="1"/>
        <v>1.3386898147826627</v>
      </c>
      <c r="Q68">
        <f ca="1"/>
        <v>0</v>
      </c>
      <c r="R68">
        <f ca="1"/>
        <v>0.79654464768207023</v>
      </c>
      <c r="S68">
        <f ca="1"/>
        <v>1</v>
      </c>
      <c r="T68">
        <f ca="1"/>
        <v>2.1400000000000006</v>
      </c>
      <c r="U68">
        <f ca="1"/>
        <v>0</v>
      </c>
      <c r="V68">
        <f ca="1"/>
        <v>6.6928509242848624E-3</v>
      </c>
      <c r="X68" s="2">
        <f t="shared" ca="1" si="1"/>
        <v>45451</v>
      </c>
      <c r="Y68">
        <f t="shared" ca="1" si="2"/>
        <v>0</v>
      </c>
      <c r="AA68" s="63">
        <f t="shared" ca="1" si="4"/>
        <v>53.690557159772311</v>
      </c>
      <c r="AB68" s="63">
        <f t="shared" ca="1" si="5"/>
        <v>53.690557159772311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45452</v>
      </c>
      <c r="K69">
        <f ca="1"/>
        <v>53.193147323405277</v>
      </c>
      <c r="L69">
        <f ca="1"/>
        <v>0</v>
      </c>
      <c r="M69">
        <f ca="1"/>
        <v>0.3442368654306831</v>
      </c>
      <c r="N69">
        <f ca="1"/>
        <v>0.41905740919525536</v>
      </c>
      <c r="O69">
        <f ca="1"/>
        <v>0</v>
      </c>
      <c r="P69">
        <f ca="1"/>
        <v>1.3386898147826627</v>
      </c>
      <c r="Q69">
        <f ca="1"/>
        <v>0</v>
      </c>
      <c r="R69">
        <f ca="1"/>
        <v>0.46415946331090013</v>
      </c>
      <c r="S69">
        <f ca="1"/>
        <v>1</v>
      </c>
      <c r="T69">
        <f ca="1"/>
        <v>1.240000000000002</v>
      </c>
      <c r="U69">
        <f ca="1"/>
        <v>0</v>
      </c>
      <c r="V69">
        <f ca="1"/>
        <v>6.6928509242848624E-3</v>
      </c>
      <c r="X69" s="2">
        <f t="shared" ca="1" si="1"/>
        <v>45452</v>
      </c>
      <c r="Y69">
        <f t="shared" ca="1" si="2"/>
        <v>0</v>
      </c>
      <c r="AA69" s="63">
        <f t="shared" ca="1" si="4"/>
        <v>53.657306786716177</v>
      </c>
      <c r="AB69" s="63">
        <f t="shared" ca="1" si="5"/>
        <v>53.657306786716177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45453</v>
      </c>
      <c r="K70">
        <f ca="1"/>
        <v>53.617376294326291</v>
      </c>
      <c r="L70">
        <f ca="1"/>
        <v>0</v>
      </c>
      <c r="M70">
        <f ca="1"/>
        <v>0.34522999056719339</v>
      </c>
      <c r="N70">
        <f ca="1"/>
        <v>0.41857569688455271</v>
      </c>
      <c r="O70">
        <f ca="1"/>
        <v>0</v>
      </c>
      <c r="P70">
        <f ca="1"/>
        <v>1.3386898147826627</v>
      </c>
      <c r="Q70">
        <f ca="1"/>
        <v>0</v>
      </c>
      <c r="R70">
        <f ca="1"/>
        <v>0.33957671653073257</v>
      </c>
      <c r="S70">
        <f ca="1"/>
        <v>1</v>
      </c>
      <c r="T70">
        <f ca="1"/>
        <v>0.89999999999999858</v>
      </c>
      <c r="U70">
        <f ca="1"/>
        <v>0</v>
      </c>
      <c r="V70">
        <f ca="1"/>
        <v>6.6928509242848624E-3</v>
      </c>
      <c r="X70" s="2">
        <f t="shared" ca="1" si="1"/>
        <v>45453</v>
      </c>
      <c r="Y70">
        <f t="shared" ca="1" si="2"/>
        <v>0</v>
      </c>
      <c r="AA70" s="63">
        <f t="shared" ca="1" si="4"/>
        <v>53.956953010857021</v>
      </c>
      <c r="AB70" s="63">
        <f t="shared" ca="1" si="5"/>
        <v>53.956953010857021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45454</v>
      </c>
      <c r="K71">
        <f ca="1"/>
        <v>53.588307581498384</v>
      </c>
      <c r="L71">
        <f ca="1"/>
        <v>0</v>
      </c>
      <c r="M71">
        <f ca="1"/>
        <v>0.34434112152528495</v>
      </c>
      <c r="N71">
        <f ca="1"/>
        <v>0.41473523752136759</v>
      </c>
      <c r="O71">
        <f ca="1"/>
        <v>0</v>
      </c>
      <c r="P71">
        <f ca="1"/>
        <v>1.3386898147826627</v>
      </c>
      <c r="Q71">
        <f ca="1"/>
        <v>0</v>
      </c>
      <c r="R71">
        <f ca="1"/>
        <v>0.78814507187455718</v>
      </c>
      <c r="S71">
        <f ca="1"/>
        <v>1</v>
      </c>
      <c r="T71">
        <f ca="1"/>
        <v>2.0900000000000034</v>
      </c>
      <c r="U71">
        <f ca="1"/>
        <v>0</v>
      </c>
      <c r="V71">
        <f ca="1"/>
        <v>6.6928509242848624E-3</v>
      </c>
      <c r="X71" s="2">
        <f t="shared" ca="1" si="1"/>
        <v>45454</v>
      </c>
      <c r="Y71">
        <f t="shared" ca="1" si="2"/>
        <v>0</v>
      </c>
      <c r="AA71" s="63">
        <f t="shared" ca="1" si="4"/>
        <v>54.376452653372944</v>
      </c>
      <c r="AB71" s="63">
        <f t="shared" ca="1" si="5"/>
        <v>54.376452653372944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45455</v>
      </c>
      <c r="K72">
        <f ca="1"/>
        <v>53.986397721787405</v>
      </c>
      <c r="L72">
        <f ca="1"/>
        <v>0</v>
      </c>
      <c r="M72">
        <f ca="1"/>
        <v>0.33852566219046487</v>
      </c>
      <c r="N72">
        <f ca="1"/>
        <v>0.40147833033654362</v>
      </c>
      <c r="O72">
        <f ca="1"/>
        <v>0</v>
      </c>
      <c r="P72">
        <f ca="1"/>
        <v>1.3386898147826627</v>
      </c>
      <c r="Q72">
        <f ca="1"/>
        <v>0</v>
      </c>
      <c r="R72">
        <f ca="1"/>
        <v>0.34191385223798632</v>
      </c>
      <c r="S72">
        <f ca="1"/>
        <v>1</v>
      </c>
      <c r="T72">
        <f ca="1"/>
        <v>0.89999999999999858</v>
      </c>
      <c r="U72">
        <f ca="1"/>
        <v>0</v>
      </c>
      <c r="V72">
        <f ca="1"/>
        <v>6.6928509242848624E-3</v>
      </c>
      <c r="X72" s="2">
        <f t="shared" ca="1" si="1"/>
        <v>45455</v>
      </c>
      <c r="Y72">
        <f t="shared" ca="1" si="2"/>
        <v>0</v>
      </c>
      <c r="AA72" s="63">
        <f t="shared" ca="1" si="4"/>
        <v>54.328311574025392</v>
      </c>
      <c r="AB72" s="63">
        <f t="shared" ca="1" si="5"/>
        <v>54.328311574025392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45456</v>
      </c>
      <c r="K73">
        <f ca="1"/>
        <v>54.507006788868637</v>
      </c>
      <c r="L73">
        <f ca="1"/>
        <v>0</v>
      </c>
      <c r="M73">
        <f ca="1"/>
        <v>0.35405075117827689</v>
      </c>
      <c r="N73">
        <f ca="1"/>
        <v>0.43122011553335127</v>
      </c>
      <c r="O73">
        <f ca="1"/>
        <v>0</v>
      </c>
      <c r="P73">
        <f ca="1"/>
        <v>1.3386898147826627</v>
      </c>
      <c r="Q73">
        <f ca="1"/>
        <v>0</v>
      </c>
      <c r="R73">
        <f ca="1"/>
        <v>0.2646617996303946</v>
      </c>
      <c r="S73">
        <f ca="1"/>
        <v>1</v>
      </c>
      <c r="T73">
        <f ca="1"/>
        <v>0.68999999999999773</v>
      </c>
      <c r="U73">
        <f ca="1"/>
        <v>0</v>
      </c>
      <c r="V73">
        <f ca="1"/>
        <v>6.6928509242848624E-3</v>
      </c>
      <c r="X73" s="2">
        <f t="shared" ca="1" si="1"/>
        <v>45456</v>
      </c>
      <c r="Y73">
        <f t="shared" ca="1" si="2"/>
        <v>0</v>
      </c>
      <c r="AA73" s="63">
        <f t="shared" ca="1" si="4"/>
        <v>54.771668588499033</v>
      </c>
      <c r="AB73" s="63">
        <f t="shared" ca="1" si="5"/>
        <v>54.771668588499033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45457</v>
      </c>
      <c r="K74">
        <f ca="1"/>
        <v>54.595724739989905</v>
      </c>
      <c r="L74">
        <f ca="1"/>
        <v>0</v>
      </c>
      <c r="M74">
        <f ca="1"/>
        <v>0.35014024721103887</v>
      </c>
      <c r="N74">
        <f ca="1"/>
        <v>0.42243970787558432</v>
      </c>
      <c r="O74">
        <f ca="1"/>
        <v>0</v>
      </c>
      <c r="P74">
        <f ca="1"/>
        <v>1.3386898147826627</v>
      </c>
      <c r="Q74">
        <f ca="1"/>
        <v>0</v>
      </c>
      <c r="R74">
        <f ca="1"/>
        <v>0.68386200396535557</v>
      </c>
      <c r="S74">
        <f ca="1"/>
        <v>1</v>
      </c>
      <c r="T74">
        <f ca="1"/>
        <v>1.7800000000000011</v>
      </c>
      <c r="U74">
        <f ca="1"/>
        <v>0</v>
      </c>
      <c r="V74">
        <f ca="1"/>
        <v>6.6928509242848624E-3</v>
      </c>
      <c r="X74" s="2">
        <f t="shared" ca="1" si="1"/>
        <v>45457</v>
      </c>
      <c r="Y74">
        <f t="shared" ca="1" si="2"/>
        <v>0</v>
      </c>
      <c r="AA74" s="63">
        <f t="shared" ca="1" si="4"/>
        <v>55.279586743955257</v>
      </c>
      <c r="AB74" s="63">
        <f t="shared" ca="1" si="5"/>
        <v>55.279586743955264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45458</v>
      </c>
      <c r="K75">
        <f ca="1"/>
        <v>54.84167550964024</v>
      </c>
      <c r="L75">
        <f ca="1"/>
        <v>0</v>
      </c>
      <c r="M75">
        <f ca="1"/>
        <v>0.35361451050472148</v>
      </c>
      <c r="N75">
        <f ca="1"/>
        <v>0.42876909255657741</v>
      </c>
      <c r="O75">
        <f ca="1"/>
        <v>0</v>
      </c>
      <c r="P75">
        <f ca="1"/>
        <v>1.3386898147826627</v>
      </c>
      <c r="Q75">
        <f ca="1"/>
        <v>0</v>
      </c>
      <c r="R75">
        <f ca="1"/>
        <v>0.53643283341096282</v>
      </c>
      <c r="S75">
        <f ca="1"/>
        <v>1</v>
      </c>
      <c r="T75">
        <f ca="1"/>
        <v>1.3900000000000006</v>
      </c>
      <c r="U75">
        <f ca="1"/>
        <v>0</v>
      </c>
      <c r="V75">
        <f ca="1"/>
        <v>6.6928509242848624E-3</v>
      </c>
      <c r="X75" s="2">
        <f t="shared" ref="X75:X138" ca="1" si="8">IFERROR(J75,$X$9)</f>
        <v>45458</v>
      </c>
      <c r="Y75">
        <f t="shared" ref="Y75:Y138" ca="1" si="9">IFERROR(O75,0)</f>
        <v>0</v>
      </c>
      <c r="AA75" s="63">
        <f t="shared" ca="1" si="4"/>
        <v>55.378108343051203</v>
      </c>
      <c r="AB75" s="63">
        <f t="shared" ca="1" si="5"/>
        <v>55.378108343051203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45459</v>
      </c>
      <c r="K76">
        <f ca="1"/>
        <v>54.640043522145994</v>
      </c>
      <c r="L76">
        <f ca="1"/>
        <v>0</v>
      </c>
      <c r="M76">
        <f ca="1"/>
        <v>0.35252591476134398</v>
      </c>
      <c r="N76">
        <f ca="1"/>
        <v>0.4263273231695861</v>
      </c>
      <c r="O76">
        <f ca="1"/>
        <v>0</v>
      </c>
      <c r="P76">
        <f ca="1"/>
        <v>1.3386898147826627</v>
      </c>
      <c r="Q76">
        <f ca="1"/>
        <v>0</v>
      </c>
      <c r="R76">
        <f ca="1"/>
        <v>0.98048522542517447</v>
      </c>
      <c r="S76">
        <f ca="1"/>
        <v>1</v>
      </c>
      <c r="T76">
        <f ca="1"/>
        <v>2.5499999999999972</v>
      </c>
      <c r="U76">
        <f ca="1"/>
        <v>0</v>
      </c>
      <c r="V76">
        <f ca="1"/>
        <v>6.6928509242848624E-3</v>
      </c>
      <c r="X76" s="2">
        <f t="shared" ca="1" si="8"/>
        <v>45459</v>
      </c>
      <c r="Y76">
        <f t="shared" ca="1" si="9"/>
        <v>0</v>
      </c>
      <c r="AA76" s="63">
        <f t="shared" ca="1" si="4"/>
        <v>55.620528747571171</v>
      </c>
      <c r="AB76" s="63">
        <f t="shared" ca="1" si="5"/>
        <v>55.620528747571171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45460</v>
      </c>
      <c r="K77">
        <f ca="1"/>
        <v>54.779395352694493</v>
      </c>
      <c r="L77">
        <f ca="1"/>
        <v>0</v>
      </c>
      <c r="M77">
        <f ca="1"/>
        <v>0.34620329481246426</v>
      </c>
      <c r="N77">
        <f ca="1"/>
        <v>0.41377879641711834</v>
      </c>
      <c r="O77">
        <f ca="1"/>
        <v>0</v>
      </c>
      <c r="P77">
        <f ca="1"/>
        <v>1.3386898147826627</v>
      </c>
      <c r="Q77">
        <f ca="1"/>
        <v>0</v>
      </c>
      <c r="R77">
        <f ca="1"/>
        <v>0.62063026068108285</v>
      </c>
      <c r="S77">
        <f ca="1"/>
        <v>1</v>
      </c>
      <c r="T77">
        <f ca="1"/>
        <v>1.6099999999999994</v>
      </c>
      <c r="U77">
        <f ca="1"/>
        <v>0</v>
      </c>
      <c r="V77">
        <f ca="1"/>
        <v>6.6928509242848624E-3</v>
      </c>
      <c r="X77" s="2">
        <f t="shared" ca="1" si="8"/>
        <v>45460</v>
      </c>
      <c r="Y77">
        <f t="shared" ca="1" si="9"/>
        <v>0</v>
      </c>
      <c r="AA77" s="63">
        <f t="shared" ref="AA77:AA140" ca="1" si="11">K76+M77+N77+O77</f>
        <v>55.400025613375576</v>
      </c>
      <c r="AB77" s="63">
        <f t="shared" ref="AB77:AB140" ca="1" si="12">K77+L77+R77</f>
        <v>55.400025613375576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45461</v>
      </c>
      <c r="K78">
        <f ca="1"/>
        <v>54.347185502131346</v>
      </c>
      <c r="L78">
        <f ca="1"/>
        <v>0</v>
      </c>
      <c r="M78">
        <f ca="1"/>
        <v>0.32850633041553579</v>
      </c>
      <c r="N78">
        <f ca="1"/>
        <v>0.37896442758823456</v>
      </c>
      <c r="O78">
        <f ca="1"/>
        <v>0</v>
      </c>
      <c r="P78">
        <f ca="1"/>
        <v>1.3386898147826627</v>
      </c>
      <c r="Q78">
        <f ca="1"/>
        <v>0</v>
      </c>
      <c r="R78">
        <f ca="1"/>
        <v>1.1396806085669189</v>
      </c>
      <c r="S78">
        <f ca="1"/>
        <v>1</v>
      </c>
      <c r="T78">
        <f ca="1"/>
        <v>2.980000000000004</v>
      </c>
      <c r="U78">
        <f ca="1"/>
        <v>0</v>
      </c>
      <c r="V78">
        <f ca="1"/>
        <v>6.6928509242848624E-3</v>
      </c>
      <c r="X78" s="2">
        <f t="shared" ca="1" si="8"/>
        <v>45461</v>
      </c>
      <c r="Y78">
        <f t="shared" ca="1" si="9"/>
        <v>0</v>
      </c>
      <c r="AA78" s="63">
        <f t="shared" ca="1" si="11"/>
        <v>55.486866110698266</v>
      </c>
      <c r="AB78" s="63">
        <f t="shared" ca="1" si="12"/>
        <v>55.486866110698266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45462</v>
      </c>
      <c r="K79">
        <f ca="1"/>
        <v>54.818011520803374</v>
      </c>
      <c r="L79">
        <f ca="1"/>
        <v>0</v>
      </c>
      <c r="M79">
        <f ca="1"/>
        <v>0.3252857564409366</v>
      </c>
      <c r="N79">
        <f ca="1"/>
        <v>0.37313652487857801</v>
      </c>
      <c r="O79">
        <f ca="1"/>
        <v>0</v>
      </c>
      <c r="P79">
        <f ca="1"/>
        <v>1.3386898147826627</v>
      </c>
      <c r="Q79">
        <f ca="1"/>
        <v>0</v>
      </c>
      <c r="R79">
        <f ca="1"/>
        <v>0.22759626264748223</v>
      </c>
      <c r="S79">
        <f ca="1"/>
        <v>1</v>
      </c>
      <c r="T79">
        <f ca="1"/>
        <v>0.58999999999999631</v>
      </c>
      <c r="U79">
        <f ca="1"/>
        <v>0</v>
      </c>
      <c r="V79">
        <f ca="1"/>
        <v>6.6928509242848624E-3</v>
      </c>
      <c r="X79" s="2">
        <f t="shared" ca="1" si="8"/>
        <v>45462</v>
      </c>
      <c r="Y79">
        <f t="shared" ca="1" si="9"/>
        <v>0</v>
      </c>
      <c r="AA79" s="63">
        <f t="shared" ca="1" si="11"/>
        <v>55.045607783450855</v>
      </c>
      <c r="AB79" s="63">
        <f t="shared" ca="1" si="12"/>
        <v>55.045607783450855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45463</v>
      </c>
      <c r="K80">
        <f ca="1"/>
        <v>55.00964776643962</v>
      </c>
      <c r="L80">
        <f ca="1"/>
        <v>0</v>
      </c>
      <c r="M80">
        <f ca="1"/>
        <v>0.31733808727394575</v>
      </c>
      <c r="N80">
        <f ca="1"/>
        <v>0.3581793192707946</v>
      </c>
      <c r="O80">
        <f ca="1"/>
        <v>0</v>
      </c>
      <c r="P80">
        <f ca="1"/>
        <v>1.3386898147826627</v>
      </c>
      <c r="Q80">
        <f ca="1"/>
        <v>0</v>
      </c>
      <c r="R80">
        <f ca="1"/>
        <v>0.48388116090849664</v>
      </c>
      <c r="S80">
        <f ca="1"/>
        <v>1</v>
      </c>
      <c r="T80">
        <f ca="1"/>
        <v>1.25</v>
      </c>
      <c r="U80">
        <f ca="1"/>
        <v>0</v>
      </c>
      <c r="V80">
        <f ca="1"/>
        <v>6.6928509242848624E-3</v>
      </c>
      <c r="X80" s="2">
        <f t="shared" ca="1" si="8"/>
        <v>45463</v>
      </c>
      <c r="Y80">
        <f t="shared" ca="1" si="9"/>
        <v>0</v>
      </c>
      <c r="AA80" s="63">
        <f t="shared" ca="1" si="11"/>
        <v>55.493528927348116</v>
      </c>
      <c r="AB80" s="63">
        <f t="shared" ca="1" si="12"/>
        <v>55.493528927348116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45464</v>
      </c>
      <c r="K81">
        <f ca="1"/>
        <v>55.083795750755549</v>
      </c>
      <c r="L81">
        <f ca="1"/>
        <v>0</v>
      </c>
      <c r="M81">
        <f ca="1"/>
        <v>0.32464431168405117</v>
      </c>
      <c r="N81">
        <f ca="1"/>
        <v>0.37358267708210452</v>
      </c>
      <c r="O81">
        <f ca="1"/>
        <v>0</v>
      </c>
      <c r="P81">
        <f ca="1"/>
        <v>1.3386898147826627</v>
      </c>
      <c r="Q81">
        <f ca="1"/>
        <v>0</v>
      </c>
      <c r="R81">
        <f ca="1"/>
        <v>0.62407900445022924</v>
      </c>
      <c r="S81">
        <f ca="1"/>
        <v>1</v>
      </c>
      <c r="T81">
        <f ca="1"/>
        <v>1.6100000000000065</v>
      </c>
      <c r="U81">
        <f ca="1"/>
        <v>0</v>
      </c>
      <c r="V81">
        <f ca="1"/>
        <v>6.6928509242848624E-3</v>
      </c>
      <c r="X81" s="2">
        <f t="shared" ca="1" si="8"/>
        <v>45464</v>
      </c>
      <c r="Y81">
        <f t="shared" ca="1" si="9"/>
        <v>0</v>
      </c>
      <c r="AA81" s="63">
        <f t="shared" ca="1" si="11"/>
        <v>55.707874755205779</v>
      </c>
      <c r="AB81" s="63">
        <f t="shared" ca="1" si="12"/>
        <v>55.707874755205779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45465</v>
      </c>
      <c r="K82">
        <f ca="1"/>
        <v>55.226414686697929</v>
      </c>
      <c r="L82">
        <f ca="1"/>
        <v>0</v>
      </c>
      <c r="M82">
        <f ca="1"/>
        <v>0.3333803514412832</v>
      </c>
      <c r="N82">
        <f ca="1"/>
        <v>0.39218407286068874</v>
      </c>
      <c r="O82">
        <f ca="1"/>
        <v>0</v>
      </c>
      <c r="P82">
        <f ca="1"/>
        <v>1.3386898147826627</v>
      </c>
      <c r="Q82">
        <f ca="1"/>
        <v>0</v>
      </c>
      <c r="R82">
        <f ca="1"/>
        <v>0.58294548835958926</v>
      </c>
      <c r="S82">
        <f ca="1"/>
        <v>1</v>
      </c>
      <c r="T82">
        <f ca="1"/>
        <v>1.5</v>
      </c>
      <c r="U82">
        <f ca="1"/>
        <v>0</v>
      </c>
      <c r="V82">
        <f ca="1"/>
        <v>6.6928509242848624E-3</v>
      </c>
      <c r="X82" s="2">
        <f t="shared" ca="1" si="8"/>
        <v>45465</v>
      </c>
      <c r="Y82">
        <f t="shared" ca="1" si="9"/>
        <v>0</v>
      </c>
      <c r="AA82" s="63">
        <f t="shared" ca="1" si="11"/>
        <v>55.80936017505752</v>
      </c>
      <c r="AB82" s="63">
        <f t="shared" ca="1" si="12"/>
        <v>55.80936017505752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45466</v>
      </c>
      <c r="K83">
        <f ca="1"/>
        <v>55.12757488617617</v>
      </c>
      <c r="L83">
        <f ca="1"/>
        <v>0</v>
      </c>
      <c r="M83">
        <f ca="1"/>
        <v>0.33868370729536412</v>
      </c>
      <c r="N83">
        <f ca="1"/>
        <v>0.40429497831511191</v>
      </c>
      <c r="O83">
        <f ca="1"/>
        <v>0</v>
      </c>
      <c r="P83">
        <f ca="1"/>
        <v>1.3386898147826627</v>
      </c>
      <c r="Q83">
        <f ca="1"/>
        <v>0</v>
      </c>
      <c r="R83">
        <f ca="1"/>
        <v>0.84181848613223897</v>
      </c>
      <c r="S83">
        <f ca="1"/>
        <v>1</v>
      </c>
      <c r="T83">
        <f ca="1"/>
        <v>2.1700000000000017</v>
      </c>
      <c r="U83">
        <f ca="1"/>
        <v>0</v>
      </c>
      <c r="V83">
        <f ca="1"/>
        <v>6.6928509242848624E-3</v>
      </c>
      <c r="X83" s="2">
        <f t="shared" ca="1" si="8"/>
        <v>45466</v>
      </c>
      <c r="Y83">
        <f t="shared" ca="1" si="9"/>
        <v>0</v>
      </c>
      <c r="AA83" s="63">
        <f t="shared" ca="1" si="11"/>
        <v>55.96939337230841</v>
      </c>
      <c r="AB83" s="63">
        <f t="shared" ca="1" si="12"/>
        <v>55.96939337230841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45467</v>
      </c>
      <c r="K84">
        <f ca="1"/>
        <v>54.616486387822476</v>
      </c>
      <c r="L84">
        <f ca="1"/>
        <v>0</v>
      </c>
      <c r="M84">
        <f ca="1"/>
        <v>0.34537496068841911</v>
      </c>
      <c r="N84">
        <f ca="1"/>
        <v>0.41953948960375498</v>
      </c>
      <c r="O84">
        <f ca="1"/>
        <v>0</v>
      </c>
      <c r="P84">
        <f ca="1"/>
        <v>1.3386898147826627</v>
      </c>
      <c r="Q84">
        <f ca="1"/>
        <v>0</v>
      </c>
      <c r="R84">
        <f ca="1"/>
        <v>1.2760029486458675</v>
      </c>
      <c r="S84">
        <f ca="1"/>
        <v>1</v>
      </c>
      <c r="T84">
        <f ca="1"/>
        <v>3.3200000000000003</v>
      </c>
      <c r="U84">
        <f ca="1"/>
        <v>0</v>
      </c>
      <c r="V84">
        <f ca="1"/>
        <v>6.6928509242848624E-3</v>
      </c>
      <c r="X84" s="2">
        <f t="shared" ca="1" si="8"/>
        <v>45467</v>
      </c>
      <c r="Y84">
        <f t="shared" ca="1" si="9"/>
        <v>0</v>
      </c>
      <c r="AA84" s="63">
        <f t="shared" ca="1" si="11"/>
        <v>55.892489336468344</v>
      </c>
      <c r="AB84" s="63">
        <f t="shared" ca="1" si="12"/>
        <v>55.892489336468344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45468</v>
      </c>
      <c r="K85">
        <f ca="1"/>
        <v>54.861356711473611</v>
      </c>
      <c r="L85">
        <f ca="1"/>
        <v>0</v>
      </c>
      <c r="M85">
        <f ca="1"/>
        <v>0.34506527196364623</v>
      </c>
      <c r="N85">
        <f ca="1"/>
        <v>0.42098794044648535</v>
      </c>
      <c r="O85">
        <f ca="1"/>
        <v>0</v>
      </c>
      <c r="P85">
        <f ca="1"/>
        <v>1.3386898147826627</v>
      </c>
      <c r="Q85">
        <f ca="1"/>
        <v>0</v>
      </c>
      <c r="R85">
        <f ca="1"/>
        <v>0.5211828887589971</v>
      </c>
      <c r="S85">
        <f ca="1"/>
        <v>1</v>
      </c>
      <c r="T85">
        <f ca="1"/>
        <v>1.3499999999999943</v>
      </c>
      <c r="U85">
        <f ca="1"/>
        <v>0</v>
      </c>
      <c r="V85">
        <f ca="1"/>
        <v>6.6928509242848624E-3</v>
      </c>
      <c r="X85" s="2">
        <f t="shared" ca="1" si="8"/>
        <v>45468</v>
      </c>
      <c r="Y85">
        <f t="shared" ca="1" si="9"/>
        <v>0</v>
      </c>
      <c r="AA85" s="63">
        <f t="shared" ca="1" si="11"/>
        <v>55.382539600232612</v>
      </c>
      <c r="AB85" s="63">
        <f t="shared" ca="1" si="12"/>
        <v>55.382539600232612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45469</v>
      </c>
      <c r="K86">
        <f ca="1"/>
        <v>54.859918405937663</v>
      </c>
      <c r="L86">
        <f ca="1"/>
        <v>0</v>
      </c>
      <c r="M86">
        <f ca="1"/>
        <v>0.32540735239687457</v>
      </c>
      <c r="N86">
        <f ca="1"/>
        <v>0.38348869298257937</v>
      </c>
      <c r="O86">
        <f ca="1"/>
        <v>0</v>
      </c>
      <c r="P86">
        <f ca="1"/>
        <v>1.3386898147826627</v>
      </c>
      <c r="Q86">
        <f ca="1"/>
        <v>0</v>
      </c>
      <c r="R86">
        <f ca="1"/>
        <v>0.71033435091540165</v>
      </c>
      <c r="S86">
        <f ca="1"/>
        <v>1</v>
      </c>
      <c r="T86">
        <f ca="1"/>
        <v>1.8400000000000034</v>
      </c>
      <c r="U86">
        <f ca="1"/>
        <v>0</v>
      </c>
      <c r="V86">
        <f ca="1"/>
        <v>6.6928509242848624E-3</v>
      </c>
      <c r="X86" s="2">
        <f t="shared" ca="1" si="8"/>
        <v>45469</v>
      </c>
      <c r="Y86">
        <f t="shared" ca="1" si="9"/>
        <v>0</v>
      </c>
      <c r="AA86" s="63">
        <f t="shared" ca="1" si="11"/>
        <v>55.570252756853066</v>
      </c>
      <c r="AB86" s="63">
        <f t="shared" ca="1" si="12"/>
        <v>55.570252756853066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45470</v>
      </c>
      <c r="K87">
        <f ca="1"/>
        <v>55.048528856975366</v>
      </c>
      <c r="L87">
        <f ca="1"/>
        <v>0</v>
      </c>
      <c r="M87">
        <f ca="1"/>
        <v>0.31786164809986417</v>
      </c>
      <c r="N87">
        <f ca="1"/>
        <v>0.37046711489505141</v>
      </c>
      <c r="O87">
        <f ca="1"/>
        <v>0</v>
      </c>
      <c r="P87">
        <f ca="1"/>
        <v>1.3386898147826627</v>
      </c>
      <c r="Q87">
        <f ca="1"/>
        <v>0</v>
      </c>
      <c r="R87">
        <f ca="1"/>
        <v>0.49971831195720934</v>
      </c>
      <c r="S87">
        <f ca="1"/>
        <v>1</v>
      </c>
      <c r="T87">
        <f ca="1"/>
        <v>1.2899999999999991</v>
      </c>
      <c r="U87">
        <f ca="1"/>
        <v>0</v>
      </c>
      <c r="V87">
        <f ca="1"/>
        <v>6.6928509242848624E-3</v>
      </c>
      <c r="X87" s="2">
        <f t="shared" ca="1" si="8"/>
        <v>45470</v>
      </c>
      <c r="Y87">
        <f t="shared" ca="1" si="9"/>
        <v>0</v>
      </c>
      <c r="AA87" s="63">
        <f t="shared" ca="1" si="11"/>
        <v>55.548247168932576</v>
      </c>
      <c r="AB87" s="63">
        <f t="shared" ca="1" si="12"/>
        <v>55.548247168932576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45471</v>
      </c>
      <c r="K88">
        <f ca="1"/>
        <v>55.051605463799206</v>
      </c>
      <c r="L88">
        <f ca="1"/>
        <v>0</v>
      </c>
      <c r="M88">
        <f ca="1"/>
        <v>0.31980717947544512</v>
      </c>
      <c r="N88">
        <f ca="1"/>
        <v>0.37671576135721141</v>
      </c>
      <c r="O88">
        <f ca="1"/>
        <v>0</v>
      </c>
      <c r="P88">
        <f ca="1"/>
        <v>1.3386898147826627</v>
      </c>
      <c r="Q88">
        <f ca="1"/>
        <v>0</v>
      </c>
      <c r="R88">
        <f ca="1"/>
        <v>0.69344633400882127</v>
      </c>
      <c r="S88">
        <f ca="1"/>
        <v>1</v>
      </c>
      <c r="T88">
        <f ca="1"/>
        <v>1.7900000000000063</v>
      </c>
      <c r="U88">
        <f ca="1"/>
        <v>0</v>
      </c>
      <c r="V88">
        <f ca="1"/>
        <v>6.6928509242848624E-3</v>
      </c>
      <c r="X88" s="2">
        <f t="shared" ca="1" si="8"/>
        <v>45471</v>
      </c>
      <c r="Y88">
        <f t="shared" ca="1" si="9"/>
        <v>0</v>
      </c>
      <c r="AA88" s="63">
        <f t="shared" ca="1" si="11"/>
        <v>55.745051797808024</v>
      </c>
      <c r="AB88" s="63">
        <f t="shared" ca="1" si="12"/>
        <v>55.745051797808024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45472</v>
      </c>
      <c r="K89">
        <f ca="1"/>
        <v>55.414630390356564</v>
      </c>
      <c r="L89">
        <f ca="1"/>
        <v>0</v>
      </c>
      <c r="M89">
        <f ca="1"/>
        <v>0.33368341843265004</v>
      </c>
      <c r="N89">
        <f ca="1"/>
        <v>0.40759767038184797</v>
      </c>
      <c r="O89">
        <f ca="1"/>
        <v>0</v>
      </c>
      <c r="P89">
        <f ca="1"/>
        <v>1.3386898147826627</v>
      </c>
      <c r="Q89">
        <f ca="1"/>
        <v>0</v>
      </c>
      <c r="R89">
        <f ca="1"/>
        <v>0.37825616225713704</v>
      </c>
      <c r="S89">
        <f ca="1"/>
        <v>1</v>
      </c>
      <c r="T89">
        <f ca="1"/>
        <v>0.96999999999999886</v>
      </c>
      <c r="U89">
        <f ca="1"/>
        <v>0</v>
      </c>
      <c r="V89">
        <f ca="1"/>
        <v>6.6928509242848624E-3</v>
      </c>
      <c r="X89" s="2">
        <f t="shared" ca="1" si="8"/>
        <v>45472</v>
      </c>
      <c r="Y89">
        <f t="shared" ca="1" si="9"/>
        <v>0</v>
      </c>
      <c r="AA89" s="63">
        <f t="shared" ca="1" si="11"/>
        <v>55.792886552613702</v>
      </c>
      <c r="AB89" s="63">
        <f t="shared" ca="1" si="12"/>
        <v>55.792886552613702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45473</v>
      </c>
      <c r="K90">
        <f ca="1"/>
        <v>55.953154991540622</v>
      </c>
      <c r="L90">
        <f ca="1"/>
        <v>0</v>
      </c>
      <c r="M90">
        <f ca="1"/>
        <v>0.3049371459091903</v>
      </c>
      <c r="N90">
        <f ca="1"/>
        <v>0.35171078247923182</v>
      </c>
      <c r="O90">
        <f ca="1"/>
        <v>0</v>
      </c>
      <c r="P90">
        <f ca="1"/>
        <v>1.3386898147826627</v>
      </c>
      <c r="Q90">
        <f ca="1"/>
        <v>0</v>
      </c>
      <c r="R90">
        <f ca="1"/>
        <v>0.11812332720436522</v>
      </c>
      <c r="S90">
        <f ca="1"/>
        <v>1</v>
      </c>
      <c r="T90">
        <f ca="1"/>
        <v>0.30000000000000426</v>
      </c>
      <c r="U90">
        <f ca="1"/>
        <v>0</v>
      </c>
      <c r="V90">
        <f ca="1"/>
        <v>6.6928509242848624E-3</v>
      </c>
      <c r="X90" s="2">
        <f t="shared" ca="1" si="8"/>
        <v>45473</v>
      </c>
      <c r="Y90">
        <f t="shared" ca="1" si="9"/>
        <v>0</v>
      </c>
      <c r="AA90" s="63">
        <f t="shared" ca="1" si="11"/>
        <v>56.071278318744987</v>
      </c>
      <c r="AB90" s="63">
        <f t="shared" ca="1" si="12"/>
        <v>56.071278318744987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45474</v>
      </c>
      <c r="K91">
        <f ca="1"/>
        <v>55.772889187190977</v>
      </c>
      <c r="L91">
        <f ca="1"/>
        <v>0</v>
      </c>
      <c r="M91">
        <f ca="1"/>
        <v>0.29212694995331567</v>
      </c>
      <c r="N91">
        <f ca="1"/>
        <v>0.32825805491760235</v>
      </c>
      <c r="O91">
        <f ca="1"/>
        <v>0</v>
      </c>
      <c r="P91">
        <f ca="1"/>
        <v>1.3386898147826627</v>
      </c>
      <c r="Q91">
        <f ca="1"/>
        <v>0</v>
      </c>
      <c r="R91">
        <f ca="1"/>
        <v>0.80065080922056364</v>
      </c>
      <c r="S91">
        <f ca="1"/>
        <v>1</v>
      </c>
      <c r="T91">
        <f ca="1"/>
        <v>2.0399999999999991</v>
      </c>
      <c r="U91">
        <f ca="1"/>
        <v>0</v>
      </c>
      <c r="V91">
        <f ca="1"/>
        <v>6.6928509242848624E-3</v>
      </c>
      <c r="X91" s="2">
        <f t="shared" ca="1" si="8"/>
        <v>45474</v>
      </c>
      <c r="Y91">
        <f t="shared" ca="1" si="9"/>
        <v>0</v>
      </c>
      <c r="AA91" s="63">
        <f t="shared" ca="1" si="11"/>
        <v>56.57353999641154</v>
      </c>
      <c r="AB91" s="63">
        <f t="shared" ca="1" si="12"/>
        <v>56.57353999641154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45475</v>
      </c>
      <c r="K92">
        <f ca="1"/>
        <v>55.840115902158956</v>
      </c>
      <c r="L92">
        <f ca="1"/>
        <v>0</v>
      </c>
      <c r="M92">
        <f ca="1"/>
        <v>0.3032221935016679</v>
      </c>
      <c r="N92">
        <f ca="1"/>
        <v>0.35342796710020807</v>
      </c>
      <c r="O92">
        <f ca="1"/>
        <v>0</v>
      </c>
      <c r="P92">
        <f ca="1"/>
        <v>1.3386898147826627</v>
      </c>
      <c r="Q92">
        <f ca="1"/>
        <v>0</v>
      </c>
      <c r="R92">
        <f ca="1"/>
        <v>0.58942344563389737</v>
      </c>
      <c r="S92">
        <f ca="1"/>
        <v>1</v>
      </c>
      <c r="T92">
        <f ca="1"/>
        <v>1.4999999999999929</v>
      </c>
      <c r="U92">
        <f ca="1"/>
        <v>0</v>
      </c>
      <c r="V92">
        <f ca="1"/>
        <v>6.6928509242848624E-3</v>
      </c>
      <c r="X92" s="2">
        <f t="shared" ca="1" si="8"/>
        <v>45475</v>
      </c>
      <c r="Y92">
        <f t="shared" ca="1" si="9"/>
        <v>0</v>
      </c>
      <c r="AA92" s="63">
        <f t="shared" ca="1" si="11"/>
        <v>56.429539347792854</v>
      </c>
      <c r="AB92" s="63">
        <f t="shared" ca="1" si="12"/>
        <v>56.429539347792854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45476</v>
      </c>
      <c r="K93">
        <f ca="1"/>
        <v>56.051289137875763</v>
      </c>
      <c r="L93">
        <f ca="1"/>
        <v>0</v>
      </c>
      <c r="M93">
        <f ca="1"/>
        <v>0.30879598273858555</v>
      </c>
      <c r="N93">
        <f ca="1"/>
        <v>0.36781055018976938</v>
      </c>
      <c r="O93">
        <f ca="1"/>
        <v>0</v>
      </c>
      <c r="P93">
        <f ca="1"/>
        <v>1.3386898147826627</v>
      </c>
      <c r="Q93">
        <f ca="1"/>
        <v>0</v>
      </c>
      <c r="R93">
        <f ca="1"/>
        <v>0.46543329721154886</v>
      </c>
      <c r="S93">
        <f ca="1"/>
        <v>1</v>
      </c>
      <c r="T93">
        <f ca="1"/>
        <v>1.1800000000000068</v>
      </c>
      <c r="U93">
        <f ca="1"/>
        <v>0</v>
      </c>
      <c r="V93">
        <f ca="1"/>
        <v>6.6928509242848624E-3</v>
      </c>
      <c r="X93" s="2">
        <f t="shared" ca="1" si="8"/>
        <v>45476</v>
      </c>
      <c r="Y93">
        <f t="shared" ca="1" si="9"/>
        <v>0</v>
      </c>
      <c r="AA93" s="63">
        <f t="shared" ca="1" si="11"/>
        <v>56.51672243508731</v>
      </c>
      <c r="AB93" s="63">
        <f t="shared" ca="1" si="12"/>
        <v>56.51672243508731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45477</v>
      </c>
      <c r="K94">
        <f ca="1"/>
        <v>56.139709720125083</v>
      </c>
      <c r="L94">
        <f ca="1"/>
        <v>0</v>
      </c>
      <c r="M94">
        <f ca="1"/>
        <v>0.30791860651494662</v>
      </c>
      <c r="N94">
        <f ca="1"/>
        <v>0.36913722839242841</v>
      </c>
      <c r="O94">
        <f ca="1"/>
        <v>0</v>
      </c>
      <c r="P94">
        <f ca="1"/>
        <v>1.3386898147826627</v>
      </c>
      <c r="Q94">
        <f ca="1"/>
        <v>0</v>
      </c>
      <c r="R94">
        <f ca="1"/>
        <v>0.58863525265805028</v>
      </c>
      <c r="S94">
        <f ca="1"/>
        <v>1</v>
      </c>
      <c r="T94">
        <f ca="1"/>
        <v>1.4899999999999949</v>
      </c>
      <c r="U94">
        <f ca="1"/>
        <v>0</v>
      </c>
      <c r="V94">
        <f ca="1"/>
        <v>6.6928509242848624E-3</v>
      </c>
      <c r="X94" s="2">
        <f t="shared" ca="1" si="8"/>
        <v>45477</v>
      </c>
      <c r="Y94">
        <f t="shared" ca="1" si="9"/>
        <v>0</v>
      </c>
      <c r="AA94" s="63">
        <f t="shared" ca="1" si="11"/>
        <v>56.728344972783134</v>
      </c>
      <c r="AB94" s="63">
        <f t="shared" ca="1" si="12"/>
        <v>56.728344972783134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45478</v>
      </c>
      <c r="K95">
        <f ca="1"/>
        <v>56.468173324175062</v>
      </c>
      <c r="L95">
        <f ca="1"/>
        <v>0</v>
      </c>
      <c r="M95">
        <f ca="1"/>
        <v>0.29819264154957548</v>
      </c>
      <c r="N95">
        <f ca="1"/>
        <v>0.35213955044820239</v>
      </c>
      <c r="O95">
        <f ca="1"/>
        <v>0</v>
      </c>
      <c r="P95">
        <f ca="1"/>
        <v>1.3386898147826627</v>
      </c>
      <c r="Q95">
        <f ca="1"/>
        <v>0</v>
      </c>
      <c r="R95">
        <f ca="1"/>
        <v>0.32186858794779594</v>
      </c>
      <c r="S95">
        <f ca="1"/>
        <v>1</v>
      </c>
      <c r="T95">
        <f ca="1"/>
        <v>0.80999999999999517</v>
      </c>
      <c r="U95">
        <f ca="1"/>
        <v>0</v>
      </c>
      <c r="V95">
        <f ca="1"/>
        <v>6.6928509242848624E-3</v>
      </c>
      <c r="X95" s="2">
        <f t="shared" ca="1" si="8"/>
        <v>45478</v>
      </c>
      <c r="Y95">
        <f t="shared" ca="1" si="9"/>
        <v>0</v>
      </c>
      <c r="AA95" s="63">
        <f t="shared" ca="1" si="11"/>
        <v>56.790041912122859</v>
      </c>
      <c r="AB95" s="63">
        <f t="shared" ca="1" si="12"/>
        <v>56.790041912122859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45479</v>
      </c>
      <c r="K96">
        <f ca="1"/>
        <v>56.480965993783499</v>
      </c>
      <c r="L96">
        <f ca="1"/>
        <v>0</v>
      </c>
      <c r="M96">
        <f ca="1"/>
        <v>0.28244114861686409</v>
      </c>
      <c r="N96">
        <f ca="1"/>
        <v>0.32256490887454309</v>
      </c>
      <c r="O96">
        <f ca="1"/>
        <v>0</v>
      </c>
      <c r="P96">
        <f ca="1"/>
        <v>1.3386898147826627</v>
      </c>
      <c r="Q96">
        <f ca="1"/>
        <v>0</v>
      </c>
      <c r="R96">
        <f ca="1"/>
        <v>0.59221338788296496</v>
      </c>
      <c r="S96">
        <f ca="1"/>
        <v>1</v>
      </c>
      <c r="T96">
        <f ca="1"/>
        <v>1.4899999999999949</v>
      </c>
      <c r="U96">
        <f ca="1"/>
        <v>0</v>
      </c>
      <c r="V96">
        <f ca="1"/>
        <v>6.6928509242848624E-3</v>
      </c>
      <c r="X96" s="2">
        <f t="shared" ca="1" si="8"/>
        <v>45479</v>
      </c>
      <c r="Y96">
        <f t="shared" ca="1" si="9"/>
        <v>0</v>
      </c>
      <c r="AA96" s="63">
        <f t="shared" ca="1" si="11"/>
        <v>57.073179381666463</v>
      </c>
      <c r="AB96" s="63">
        <f t="shared" ca="1" si="12"/>
        <v>57.073179381666463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45480</v>
      </c>
      <c r="K97">
        <f ca="1"/>
        <v>56.375918208120808</v>
      </c>
      <c r="L97">
        <f ca="1"/>
        <v>0</v>
      </c>
      <c r="M97">
        <f ca="1"/>
        <v>0.27504612755872948</v>
      </c>
      <c r="N97">
        <f ca="1"/>
        <v>0.31019788528245335</v>
      </c>
      <c r="O97">
        <f ca="1"/>
        <v>0</v>
      </c>
      <c r="P97">
        <f ca="1"/>
        <v>1.3386898147826627</v>
      </c>
      <c r="Q97">
        <f ca="1"/>
        <v>0</v>
      </c>
      <c r="R97">
        <f ca="1"/>
        <v>0.69029179850387712</v>
      </c>
      <c r="S97">
        <f ca="1"/>
        <v>1</v>
      </c>
      <c r="T97">
        <f ca="1"/>
        <v>1.7399999999999949</v>
      </c>
      <c r="U97">
        <f ca="1"/>
        <v>0</v>
      </c>
      <c r="V97">
        <f ca="1"/>
        <v>6.6928509242848624E-3</v>
      </c>
      <c r="X97" s="2">
        <f t="shared" ca="1" si="8"/>
        <v>45480</v>
      </c>
      <c r="Y97">
        <f t="shared" ca="1" si="9"/>
        <v>0</v>
      </c>
      <c r="AA97" s="63">
        <f t="shared" ca="1" si="11"/>
        <v>57.066210006624686</v>
      </c>
      <c r="AB97" s="63">
        <f t="shared" ca="1" si="12"/>
        <v>57.066210006624686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45481</v>
      </c>
      <c r="K98">
        <f ca="1"/>
        <v>56.402125283098961</v>
      </c>
      <c r="L98">
        <f ca="1"/>
        <v>0</v>
      </c>
      <c r="M98">
        <f ca="1"/>
        <v>0.28839525848236836</v>
      </c>
      <c r="N98">
        <f ca="1"/>
        <v>0.34110566026464101</v>
      </c>
      <c r="O98">
        <f ca="1"/>
        <v>0</v>
      </c>
      <c r="P98">
        <f ca="1"/>
        <v>1.3386898147826627</v>
      </c>
      <c r="Q98">
        <f ca="1"/>
        <v>0</v>
      </c>
      <c r="R98">
        <f ca="1"/>
        <v>0.60329384376884965</v>
      </c>
      <c r="S98">
        <f ca="1"/>
        <v>1</v>
      </c>
      <c r="T98">
        <f ca="1"/>
        <v>1.519999999999996</v>
      </c>
      <c r="U98">
        <f ca="1"/>
        <v>0</v>
      </c>
      <c r="V98">
        <f ca="1"/>
        <v>6.6928509242848624E-3</v>
      </c>
      <c r="X98" s="2">
        <f t="shared" ca="1" si="8"/>
        <v>45481</v>
      </c>
      <c r="Y98">
        <f t="shared" ca="1" si="9"/>
        <v>0</v>
      </c>
      <c r="AA98" s="63">
        <f t="shared" ca="1" si="11"/>
        <v>57.005419126867814</v>
      </c>
      <c r="AB98" s="63">
        <f t="shared" ca="1" si="12"/>
        <v>57.005419126867814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45482</v>
      </c>
      <c r="K99">
        <f ca="1"/>
        <v>56.503010104033152</v>
      </c>
      <c r="L99">
        <f ca="1"/>
        <v>0</v>
      </c>
      <c r="M99">
        <f ca="1"/>
        <v>0.28226493931863139</v>
      </c>
      <c r="N99">
        <f ca="1"/>
        <v>0.33154165111550454</v>
      </c>
      <c r="O99">
        <f ca="1"/>
        <v>0</v>
      </c>
      <c r="P99">
        <f ca="1"/>
        <v>1.3386898147826627</v>
      </c>
      <c r="Q99">
        <f ca="1"/>
        <v>0</v>
      </c>
      <c r="R99">
        <f ca="1"/>
        <v>0.51292176949994794</v>
      </c>
      <c r="S99">
        <f ca="1"/>
        <v>1</v>
      </c>
      <c r="T99">
        <f ca="1"/>
        <v>1.2900000000000063</v>
      </c>
      <c r="U99">
        <f ca="1"/>
        <v>0</v>
      </c>
      <c r="V99">
        <f ca="1"/>
        <v>6.6928509242848624E-3</v>
      </c>
      <c r="X99" s="2">
        <f t="shared" ca="1" si="8"/>
        <v>45482</v>
      </c>
      <c r="Y99">
        <f t="shared" ca="1" si="9"/>
        <v>0</v>
      </c>
      <c r="AA99" s="63">
        <f t="shared" ca="1" si="11"/>
        <v>57.015931873533098</v>
      </c>
      <c r="AB99" s="63">
        <f t="shared" ca="1" si="12"/>
        <v>57.015931873533098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45483</v>
      </c>
      <c r="K100">
        <f ca="1"/>
        <v>56.871012731699572</v>
      </c>
      <c r="L100">
        <f ca="1"/>
        <v>0</v>
      </c>
      <c r="M100">
        <f ca="1"/>
        <v>0.28320599116477485</v>
      </c>
      <c r="N100">
        <f ca="1"/>
        <v>0.33692479294551281</v>
      </c>
      <c r="O100">
        <f ca="1"/>
        <v>0</v>
      </c>
      <c r="P100">
        <f ca="1"/>
        <v>1.3386898147826627</v>
      </c>
      <c r="Q100">
        <f ca="1"/>
        <v>0</v>
      </c>
      <c r="R100">
        <f ca="1"/>
        <v>0.25212815644386916</v>
      </c>
      <c r="S100">
        <f ca="1"/>
        <v>1</v>
      </c>
      <c r="T100">
        <f ca="1"/>
        <v>0.63000000000000256</v>
      </c>
      <c r="U100">
        <f ca="1"/>
        <v>0</v>
      </c>
      <c r="V100">
        <f ca="1"/>
        <v>6.6928509242848624E-3</v>
      </c>
      <c r="X100" s="2">
        <f t="shared" ca="1" si="8"/>
        <v>45483</v>
      </c>
      <c r="Y100">
        <f t="shared" ca="1" si="9"/>
        <v>0</v>
      </c>
      <c r="AA100" s="63">
        <f t="shared" ca="1" si="11"/>
        <v>57.123140888143439</v>
      </c>
      <c r="AB100" s="63">
        <f t="shared" ca="1" si="12"/>
        <v>57.123140888143439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45484</v>
      </c>
      <c r="K101">
        <f ca="1"/>
        <v>57.080307813265115</v>
      </c>
      <c r="L101">
        <f ca="1"/>
        <v>0</v>
      </c>
      <c r="M101">
        <f ca="1"/>
        <v>0.27787767987171019</v>
      </c>
      <c r="N101">
        <f ca="1"/>
        <v>0.32907687945958242</v>
      </c>
      <c r="O101">
        <f ca="1"/>
        <v>0</v>
      </c>
      <c r="P101">
        <f ca="1"/>
        <v>1.3386898147826627</v>
      </c>
      <c r="Q101">
        <f ca="1"/>
        <v>0</v>
      </c>
      <c r="R101">
        <f ca="1"/>
        <v>0.39765947776574778</v>
      </c>
      <c r="S101">
        <f ca="1"/>
        <v>1</v>
      </c>
      <c r="T101">
        <f ca="1"/>
        <v>0.99000000000000199</v>
      </c>
      <c r="U101">
        <f ca="1"/>
        <v>0</v>
      </c>
      <c r="V101">
        <f ca="1"/>
        <v>6.6928509242848624E-3</v>
      </c>
      <c r="X101" s="2">
        <f t="shared" ca="1" si="8"/>
        <v>45484</v>
      </c>
      <c r="Y101">
        <f t="shared" ca="1" si="9"/>
        <v>0</v>
      </c>
      <c r="AA101" s="63">
        <f t="shared" ca="1" si="11"/>
        <v>57.477967291030865</v>
      </c>
      <c r="AB101" s="63">
        <f t="shared" ca="1" si="12"/>
        <v>57.477967291030865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45485</v>
      </c>
      <c r="K102">
        <f ca="1"/>
        <v>57.715003393147128</v>
      </c>
      <c r="L102">
        <f ca="1"/>
        <v>0</v>
      </c>
      <c r="M102">
        <f ca="1"/>
        <v>0.28555001867795582</v>
      </c>
      <c r="N102">
        <f ca="1"/>
        <v>0.34914556120406076</v>
      </c>
      <c r="O102">
        <f ca="1"/>
        <v>0</v>
      </c>
      <c r="P102">
        <f ca="1"/>
        <v>1.3386898147826627</v>
      </c>
      <c r="Q102">
        <f ca="1"/>
        <v>0</v>
      </c>
      <c r="R102">
        <f ca="1"/>
        <v>0</v>
      </c>
      <c r="S102">
        <f ca="1"/>
        <v>0.99814814814814812</v>
      </c>
      <c r="T102">
        <f ca="1"/>
        <v>0</v>
      </c>
      <c r="U102">
        <f ca="1"/>
        <v>0</v>
      </c>
      <c r="V102">
        <f ca="1"/>
        <v>6.6928509242848624E-3</v>
      </c>
      <c r="X102" s="2">
        <f t="shared" ca="1" si="8"/>
        <v>45485</v>
      </c>
      <c r="Y102">
        <f t="shared" ca="1" si="9"/>
        <v>0</v>
      </c>
      <c r="AA102" s="63">
        <f t="shared" ca="1" si="11"/>
        <v>57.715003393147136</v>
      </c>
      <c r="AB102" s="63">
        <f t="shared" ca="1" si="12"/>
        <v>57.715003393147128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45486</v>
      </c>
      <c r="K103">
        <f ca="1"/>
        <v>58.36600247145028</v>
      </c>
      <c r="L103">
        <f ca="1"/>
        <v>0</v>
      </c>
      <c r="M103">
        <f ca="1"/>
        <v>0.29231716830980137</v>
      </c>
      <c r="N103">
        <f ca="1"/>
        <v>0.36781055018976938</v>
      </c>
      <c r="O103">
        <f ca="1"/>
        <v>0</v>
      </c>
      <c r="P103">
        <f ca="1"/>
        <v>1.3386898147826627</v>
      </c>
      <c r="Q103">
        <f ca="1"/>
        <v>0</v>
      </c>
      <c r="R103">
        <f ca="1"/>
        <v>9.1286401964172509E-3</v>
      </c>
      <c r="S103">
        <f ca="1"/>
        <v>1</v>
      </c>
      <c r="T103">
        <f ca="1"/>
        <v>2.2225743797001485E-2</v>
      </c>
      <c r="U103">
        <f ca="1"/>
        <v>0</v>
      </c>
      <c r="V103">
        <f ca="1"/>
        <v>6.6928509242848624E-3</v>
      </c>
      <c r="X103" s="2">
        <f t="shared" ca="1" si="8"/>
        <v>45486</v>
      </c>
      <c r="Y103">
        <f t="shared" ca="1" si="9"/>
        <v>0</v>
      </c>
      <c r="AA103" s="63">
        <f t="shared" ca="1" si="11"/>
        <v>58.375131111646695</v>
      </c>
      <c r="AB103" s="63">
        <f t="shared" ca="1" si="12"/>
        <v>58.375131111646695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45487</v>
      </c>
      <c r="K104">
        <f ca="1"/>
        <v>59.058937988303825</v>
      </c>
      <c r="L104">
        <f ca="1"/>
        <v>0</v>
      </c>
      <c r="M104">
        <f ca="1"/>
        <v>0.30121234783313078</v>
      </c>
      <c r="N104">
        <f ca="1"/>
        <v>0.39172316902041893</v>
      </c>
      <c r="O104">
        <f ca="1"/>
        <v>0</v>
      </c>
      <c r="P104">
        <f ca="1"/>
        <v>1.3386898147826627</v>
      </c>
      <c r="Q104">
        <f ca="1"/>
        <v>0</v>
      </c>
      <c r="R104">
        <f ca="1"/>
        <v>2.9530151408022764E-15</v>
      </c>
      <c r="S104">
        <f ca="1"/>
        <v>1</v>
      </c>
      <c r="T104">
        <f ca="1"/>
        <v>7.1054273576010019E-15</v>
      </c>
      <c r="U104">
        <f ca="1"/>
        <v>0</v>
      </c>
      <c r="V104">
        <f ca="1"/>
        <v>6.6928509242848624E-3</v>
      </c>
      <c r="X104" s="2">
        <f t="shared" ca="1" si="8"/>
        <v>45487</v>
      </c>
      <c r="Y104">
        <f t="shared" ca="1" si="9"/>
        <v>0</v>
      </c>
      <c r="AA104" s="63">
        <f t="shared" ca="1" si="11"/>
        <v>59.058937988303825</v>
      </c>
      <c r="AB104" s="63">
        <f t="shared" ca="1" si="12"/>
        <v>59.058937988303825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45488</v>
      </c>
      <c r="K105">
        <f ca="1"/>
        <v>59.139055948486956</v>
      </c>
      <c r="L105">
        <f ca="1"/>
        <v>0</v>
      </c>
      <c r="M105">
        <f ca="1"/>
        <v>0.28262656442215395</v>
      </c>
      <c r="N105">
        <f ca="1"/>
        <v>0.3551507900011554</v>
      </c>
      <c r="O105">
        <f ca="1"/>
        <v>0</v>
      </c>
      <c r="P105">
        <f ca="1"/>
        <v>1.3386898147826627</v>
      </c>
      <c r="Q105">
        <f ca="1"/>
        <v>0</v>
      </c>
      <c r="R105">
        <f ca="1"/>
        <v>0.5576593942401783</v>
      </c>
      <c r="S105">
        <f ca="1"/>
        <v>1</v>
      </c>
      <c r="T105">
        <f ca="1"/>
        <v>1.3400000000000034</v>
      </c>
      <c r="U105">
        <f ca="1"/>
        <v>0</v>
      </c>
      <c r="V105">
        <f ca="1"/>
        <v>6.6928509242848624E-3</v>
      </c>
      <c r="X105" s="2">
        <f t="shared" ca="1" si="8"/>
        <v>45488</v>
      </c>
      <c r="Y105">
        <f t="shared" ca="1" si="9"/>
        <v>0</v>
      </c>
      <c r="AA105" s="63">
        <f t="shared" ca="1" si="11"/>
        <v>59.696715342727131</v>
      </c>
      <c r="AB105" s="63">
        <f t="shared" ca="1" si="12"/>
        <v>59.696715342727131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45489</v>
      </c>
      <c r="K106">
        <f ca="1"/>
        <v>59.827846935305182</v>
      </c>
      <c r="L106">
        <f ca="1"/>
        <v>0</v>
      </c>
      <c r="M106">
        <f ca="1"/>
        <v>0.297067817797811</v>
      </c>
      <c r="N106">
        <f ca="1"/>
        <v>0.39172316902041893</v>
      </c>
      <c r="O106">
        <f ca="1"/>
        <v>0</v>
      </c>
      <c r="P106">
        <f ca="1"/>
        <v>1.3386898147826627</v>
      </c>
      <c r="Q106">
        <f ca="1"/>
        <v>0</v>
      </c>
      <c r="R106">
        <f ca="1"/>
        <v>0</v>
      </c>
      <c r="S106">
        <f ca="1"/>
        <v>0.98759259259259258</v>
      </c>
      <c r="T106">
        <f ca="1"/>
        <v>0</v>
      </c>
      <c r="U106">
        <f ca="1"/>
        <v>0</v>
      </c>
      <c r="V106">
        <f ca="1"/>
        <v>6.6928509242848624E-3</v>
      </c>
      <c r="X106" s="2">
        <f t="shared" ca="1" si="8"/>
        <v>45489</v>
      </c>
      <c r="Y106">
        <f t="shared" ca="1" si="9"/>
        <v>0</v>
      </c>
      <c r="AA106" s="63">
        <f t="shared" ca="1" si="11"/>
        <v>59.827846935305182</v>
      </c>
      <c r="AB106" s="63">
        <f t="shared" ca="1" si="12"/>
        <v>59.827846935305182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45490</v>
      </c>
      <c r="K107">
        <f ca="1"/>
        <v>60.309766306566004</v>
      </c>
      <c r="L107">
        <f ca="1"/>
        <v>0</v>
      </c>
      <c r="M107">
        <f ca="1"/>
        <v>0.29367098561856242</v>
      </c>
      <c r="N107">
        <f ca="1"/>
        <v>0.38896534370933961</v>
      </c>
      <c r="O107">
        <f ca="1"/>
        <v>0</v>
      </c>
      <c r="P107">
        <f ca="1"/>
        <v>1.3386898147826627</v>
      </c>
      <c r="Q107">
        <f ca="1"/>
        <v>0</v>
      </c>
      <c r="R107">
        <f ca="1"/>
        <v>0.20071695806707376</v>
      </c>
      <c r="S107">
        <f ca="1"/>
        <v>1</v>
      </c>
      <c r="T107">
        <f ca="1"/>
        <v>0.47294058480323287</v>
      </c>
      <c r="U107">
        <f ca="1"/>
        <v>0</v>
      </c>
      <c r="V107">
        <f ca="1"/>
        <v>6.6928509242848624E-3</v>
      </c>
      <c r="X107" s="2">
        <f t="shared" ca="1" si="8"/>
        <v>45490</v>
      </c>
      <c r="Y107">
        <f t="shared" ca="1" si="9"/>
        <v>0</v>
      </c>
      <c r="AA107" s="63">
        <f t="shared" ca="1" si="11"/>
        <v>60.510483264633081</v>
      </c>
      <c r="AB107" s="63">
        <f t="shared" ca="1" si="12"/>
        <v>60.510483264633081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45491</v>
      </c>
      <c r="K108">
        <f ca="1"/>
        <v>60.917683536953326</v>
      </c>
      <c r="L108">
        <f ca="1"/>
        <v>0</v>
      </c>
      <c r="M108">
        <f ca="1"/>
        <v>0.29289555667344214</v>
      </c>
      <c r="N108">
        <f ca="1"/>
        <v>0.39218407286068874</v>
      </c>
      <c r="O108">
        <f ca="1"/>
        <v>0</v>
      </c>
      <c r="P108">
        <f ca="1"/>
        <v>1.3386898147826627</v>
      </c>
      <c r="Q108">
        <f ca="1"/>
        <v>0</v>
      </c>
      <c r="R108">
        <f ca="1"/>
        <v>7.716239914680742E-2</v>
      </c>
      <c r="S108">
        <f ca="1"/>
        <v>1</v>
      </c>
      <c r="T108">
        <f ca="1"/>
        <v>0.17999999999999972</v>
      </c>
      <c r="U108">
        <f ca="1"/>
        <v>0</v>
      </c>
      <c r="V108">
        <f ca="1"/>
        <v>6.6928509242848624E-3</v>
      </c>
      <c r="X108" s="2">
        <f t="shared" ca="1" si="8"/>
        <v>45491</v>
      </c>
      <c r="Y108">
        <f t="shared" ca="1" si="9"/>
        <v>0</v>
      </c>
      <c r="AA108" s="63">
        <f t="shared" ca="1" si="11"/>
        <v>60.994845936100134</v>
      </c>
      <c r="AB108" s="63">
        <f t="shared" ca="1" si="12"/>
        <v>60.994845936100134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45492</v>
      </c>
      <c r="K109">
        <f ca="1"/>
        <v>61.448992671807112</v>
      </c>
      <c r="L109">
        <f ca="1"/>
        <v>0</v>
      </c>
      <c r="M109">
        <f ca="1"/>
        <v>0.30107658171743523</v>
      </c>
      <c r="N109">
        <f ca="1"/>
        <v>0.41617265318400543</v>
      </c>
      <c r="O109">
        <f ca="1"/>
        <v>0</v>
      </c>
      <c r="P109">
        <f ca="1"/>
        <v>1.3386898147826627</v>
      </c>
      <c r="Q109">
        <f ca="1"/>
        <v>0</v>
      </c>
      <c r="R109">
        <f ca="1"/>
        <v>0.18594010004765324</v>
      </c>
      <c r="S109">
        <f ca="1"/>
        <v>1</v>
      </c>
      <c r="T109">
        <f ca="1"/>
        <v>0.42999999999999972</v>
      </c>
      <c r="U109">
        <f ca="1"/>
        <v>0</v>
      </c>
      <c r="V109">
        <f ca="1"/>
        <v>6.6928509242848624E-3</v>
      </c>
      <c r="X109" s="2">
        <f t="shared" ca="1" si="8"/>
        <v>45492</v>
      </c>
      <c r="Y109">
        <f t="shared" ca="1" si="9"/>
        <v>0</v>
      </c>
      <c r="AA109" s="63">
        <f t="shared" ca="1" si="11"/>
        <v>61.634932771854764</v>
      </c>
      <c r="AB109" s="63">
        <f t="shared" ca="1" si="12"/>
        <v>61.634932771854764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45493</v>
      </c>
      <c r="K110">
        <f ca="1"/>
        <v>61.779948459839616</v>
      </c>
      <c r="L110">
        <f ca="1"/>
        <v>0</v>
      </c>
      <c r="M110">
        <f ca="1"/>
        <v>0.29172152514481553</v>
      </c>
      <c r="N110">
        <f ca="1"/>
        <v>0.4000749248179376</v>
      </c>
      <c r="O110">
        <f ca="1"/>
        <v>0</v>
      </c>
      <c r="P110">
        <f ca="1"/>
        <v>1.3386898147826627</v>
      </c>
      <c r="Q110">
        <f ca="1"/>
        <v>0</v>
      </c>
      <c r="R110">
        <f ca="1"/>
        <v>0.36084066193024766</v>
      </c>
      <c r="S110">
        <f ca="1"/>
        <v>1</v>
      </c>
      <c r="T110">
        <f ca="1"/>
        <v>0.82999999999999829</v>
      </c>
      <c r="U110">
        <f ca="1"/>
        <v>0</v>
      </c>
      <c r="V110">
        <f ca="1"/>
        <v>6.6928509242848624E-3</v>
      </c>
      <c r="X110" s="2">
        <f t="shared" ca="1" si="8"/>
        <v>45493</v>
      </c>
      <c r="Y110">
        <f t="shared" ca="1" si="9"/>
        <v>0</v>
      </c>
      <c r="AA110" s="63">
        <f t="shared" ca="1" si="11"/>
        <v>62.140789121769863</v>
      </c>
      <c r="AB110" s="63">
        <f t="shared" ca="1" si="12"/>
        <v>62.140789121769863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45494</v>
      </c>
      <c r="K111">
        <f ca="1"/>
        <v>62.180102031125543</v>
      </c>
      <c r="L111">
        <f ca="1"/>
        <v>0</v>
      </c>
      <c r="M111">
        <f ca="1"/>
        <v>0.28266955386901671</v>
      </c>
      <c r="N111">
        <f ca="1"/>
        <v>0.3843978628023732</v>
      </c>
      <c r="O111">
        <f ca="1"/>
        <v>0</v>
      </c>
      <c r="P111">
        <f ca="1"/>
        <v>1.3386898147826627</v>
      </c>
      <c r="Q111">
        <f ca="1"/>
        <v>0</v>
      </c>
      <c r="R111">
        <f ca="1"/>
        <v>0.26691384538545776</v>
      </c>
      <c r="S111">
        <f ca="1"/>
        <v>1</v>
      </c>
      <c r="T111">
        <f ca="1"/>
        <v>0.60999999999999233</v>
      </c>
      <c r="U111">
        <f ca="1"/>
        <v>0</v>
      </c>
      <c r="V111">
        <f ca="1"/>
        <v>6.6928509242848624E-3</v>
      </c>
      <c r="X111" s="2">
        <f t="shared" ca="1" si="8"/>
        <v>45494</v>
      </c>
      <c r="Y111">
        <f t="shared" ca="1" si="9"/>
        <v>0</v>
      </c>
      <c r="AA111" s="63">
        <f t="shared" ca="1" si="11"/>
        <v>62.447015876511003</v>
      </c>
      <c r="AB111" s="63">
        <f t="shared" ca="1" si="12"/>
        <v>62.447015876511003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45495</v>
      </c>
      <c r="K112">
        <f ca="1"/>
        <v>62.641801064958102</v>
      </c>
      <c r="L112">
        <f ca="1"/>
        <v>0</v>
      </c>
      <c r="M112">
        <f ca="1"/>
        <v>0.28294648850141257</v>
      </c>
      <c r="N112">
        <f ca="1"/>
        <v>0.39034262892833083</v>
      </c>
      <c r="O112">
        <f ca="1"/>
        <v>0</v>
      </c>
      <c r="P112">
        <f ca="1"/>
        <v>1.3386898147826627</v>
      </c>
      <c r="Q112">
        <f ca="1"/>
        <v>0</v>
      </c>
      <c r="R112">
        <f ca="1"/>
        <v>0.21159008359719045</v>
      </c>
      <c r="S112">
        <f ca="1"/>
        <v>1</v>
      </c>
      <c r="T112">
        <f ca="1"/>
        <v>0.47999999999999687</v>
      </c>
      <c r="U112">
        <f ca="1"/>
        <v>0</v>
      </c>
      <c r="V112">
        <f ca="1"/>
        <v>6.6928509242848624E-3</v>
      </c>
      <c r="X112" s="2">
        <f t="shared" ca="1" si="8"/>
        <v>45495</v>
      </c>
      <c r="Y112">
        <f t="shared" ca="1" si="9"/>
        <v>0</v>
      </c>
      <c r="AA112" s="63">
        <f t="shared" ca="1" si="11"/>
        <v>62.853391148555282</v>
      </c>
      <c r="AB112" s="63">
        <f t="shared" ca="1" si="12"/>
        <v>62.853391148555289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45496</v>
      </c>
      <c r="K113">
        <f ca="1"/>
        <v>62.967809720248106</v>
      </c>
      <c r="L113">
        <f ca="1"/>
        <v>0</v>
      </c>
      <c r="M113">
        <f ca="1"/>
        <v>0.28082951925889077</v>
      </c>
      <c r="N113">
        <f ca="1"/>
        <v>0.39080244716225204</v>
      </c>
      <c r="O113">
        <f ca="1"/>
        <v>0</v>
      </c>
      <c r="P113">
        <f ca="1"/>
        <v>1.3386898147826627</v>
      </c>
      <c r="Q113">
        <f ca="1"/>
        <v>0</v>
      </c>
      <c r="R113">
        <f ca="1"/>
        <v>0.34562331113114014</v>
      </c>
      <c r="S113">
        <f ca="1"/>
        <v>1</v>
      </c>
      <c r="T113">
        <f ca="1"/>
        <v>0.78000000000000114</v>
      </c>
      <c r="U113">
        <f ca="1"/>
        <v>0</v>
      </c>
      <c r="V113">
        <f ca="1"/>
        <v>6.6928509242848624E-3</v>
      </c>
      <c r="X113" s="2">
        <f t="shared" ca="1" si="8"/>
        <v>45496</v>
      </c>
      <c r="Y113">
        <f t="shared" ca="1" si="9"/>
        <v>0</v>
      </c>
      <c r="AA113" s="63">
        <f t="shared" ca="1" si="11"/>
        <v>63.31343303137924</v>
      </c>
      <c r="AB113" s="63">
        <f t="shared" ca="1" si="12"/>
        <v>63.313433031379247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45497</v>
      </c>
      <c r="K114">
        <f ca="1"/>
        <v>62.688654424619905</v>
      </c>
      <c r="L114">
        <f ca="1"/>
        <v>0</v>
      </c>
      <c r="M114">
        <f ca="1"/>
        <v>0.27849838063389498</v>
      </c>
      <c r="N114">
        <f ca="1"/>
        <v>0.39080244716225204</v>
      </c>
      <c r="O114">
        <f ca="1"/>
        <v>0</v>
      </c>
      <c r="P114">
        <f ca="1"/>
        <v>1.3386898147826627</v>
      </c>
      <c r="Q114">
        <f ca="1"/>
        <v>0</v>
      </c>
      <c r="R114">
        <f ca="1"/>
        <v>0.94845612342434438</v>
      </c>
      <c r="S114">
        <f ca="1"/>
        <v>1</v>
      </c>
      <c r="T114">
        <f ca="1"/>
        <v>2.1500000000000057</v>
      </c>
      <c r="U114">
        <f ca="1"/>
        <v>0</v>
      </c>
      <c r="V114">
        <f ca="1"/>
        <v>6.6928509242848624E-3</v>
      </c>
      <c r="X114" s="2">
        <f t="shared" ca="1" si="8"/>
        <v>45497</v>
      </c>
      <c r="Y114">
        <f t="shared" ca="1" si="9"/>
        <v>0</v>
      </c>
      <c r="AA114" s="63">
        <f t="shared" ca="1" si="11"/>
        <v>63.637110548044255</v>
      </c>
      <c r="AB114" s="63">
        <f t="shared" ca="1" si="12"/>
        <v>63.637110548044248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45498</v>
      </c>
      <c r="K115">
        <f ca="1"/>
        <v>63.225428580684941</v>
      </c>
      <c r="L115">
        <f ca="1"/>
        <v>0</v>
      </c>
      <c r="M115">
        <f ca="1"/>
        <v>0.28882133800469489</v>
      </c>
      <c r="N115">
        <f ca="1"/>
        <v>0.42147149427621811</v>
      </c>
      <c r="O115">
        <f ca="1"/>
        <v>0</v>
      </c>
      <c r="P115">
        <f ca="1"/>
        <v>1.3386898147826627</v>
      </c>
      <c r="Q115">
        <f ca="1"/>
        <v>0</v>
      </c>
      <c r="R115">
        <f ca="1"/>
        <v>0.17351867621587685</v>
      </c>
      <c r="S115">
        <f ca="1"/>
        <v>1</v>
      </c>
      <c r="T115">
        <f ca="1"/>
        <v>0.38999999999999346</v>
      </c>
      <c r="U115">
        <f ca="1"/>
        <v>0</v>
      </c>
      <c r="V115">
        <f ca="1"/>
        <v>6.6928509242848624E-3</v>
      </c>
      <c r="X115" s="2">
        <f t="shared" ca="1" si="8"/>
        <v>45498</v>
      </c>
      <c r="Y115">
        <f t="shared" ca="1" si="9"/>
        <v>0</v>
      </c>
      <c r="AA115" s="63">
        <f t="shared" ca="1" si="11"/>
        <v>63.398947256900819</v>
      </c>
      <c r="AB115" s="63">
        <f t="shared" ca="1" si="12"/>
        <v>63.398947256900819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45499</v>
      </c>
      <c r="K116">
        <f ca="1"/>
        <v>63.916426099410188</v>
      </c>
      <c r="L116">
        <f ca="1"/>
        <v>0</v>
      </c>
      <c r="M116">
        <f ca="1"/>
        <v>0.28921536163286632</v>
      </c>
      <c r="N116">
        <f ca="1"/>
        <v>0.42876909255657741</v>
      </c>
      <c r="O116">
        <f ca="1"/>
        <v>0</v>
      </c>
      <c r="P116">
        <f ca="1"/>
        <v>1.3386898147826627</v>
      </c>
      <c r="Q116">
        <f ca="1"/>
        <v>0</v>
      </c>
      <c r="R116">
        <f ca="1"/>
        <v>2.6986935464196431E-2</v>
      </c>
      <c r="S116">
        <f ca="1"/>
        <v>1</v>
      </c>
      <c r="T116">
        <f ca="1"/>
        <v>6.0000000000002274E-2</v>
      </c>
      <c r="U116">
        <f ca="1"/>
        <v>0</v>
      </c>
      <c r="V116">
        <f ca="1"/>
        <v>6.6928509242848624E-3</v>
      </c>
      <c r="X116" s="2">
        <f t="shared" ca="1" si="8"/>
        <v>45499</v>
      </c>
      <c r="Y116">
        <f t="shared" ca="1" si="9"/>
        <v>0</v>
      </c>
      <c r="AA116" s="63">
        <f t="shared" ca="1" si="11"/>
        <v>63.943413034874382</v>
      </c>
      <c r="AB116" s="63">
        <f t="shared" ca="1" si="12"/>
        <v>63.943413034874382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45500</v>
      </c>
      <c r="K117">
        <f ca="1"/>
        <v>64.642119651938771</v>
      </c>
      <c r="L117">
        <f ca="1"/>
        <v>0</v>
      </c>
      <c r="M117">
        <f ca="1"/>
        <v>0.2895435796964172</v>
      </c>
      <c r="N117">
        <f ca="1"/>
        <v>0.43614997283216522</v>
      </c>
      <c r="O117">
        <f ca="1"/>
        <v>0</v>
      </c>
      <c r="P117">
        <f ca="1"/>
        <v>1.3386898147826627</v>
      </c>
      <c r="Q117">
        <f ca="1"/>
        <v>0</v>
      </c>
      <c r="R117">
        <f ca="1"/>
        <v>0</v>
      </c>
      <c r="S117">
        <f ca="1"/>
        <v>0.99648148148148141</v>
      </c>
      <c r="T117">
        <f ca="1"/>
        <v>0</v>
      </c>
      <c r="U117">
        <f ca="1"/>
        <v>0</v>
      </c>
      <c r="V117">
        <f ca="1"/>
        <v>6.6928509242848624E-3</v>
      </c>
      <c r="X117" s="2">
        <f t="shared" ca="1" si="8"/>
        <v>45500</v>
      </c>
      <c r="Y117">
        <f t="shared" ca="1" si="9"/>
        <v>0</v>
      </c>
      <c r="AA117" s="63">
        <f t="shared" ca="1" si="11"/>
        <v>64.642119651938771</v>
      </c>
      <c r="AB117" s="63">
        <f t="shared" ca="1" si="12"/>
        <v>64.642119651938771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45501</v>
      </c>
      <c r="K118">
        <f ca="1"/>
        <v>65.31874479258714</v>
      </c>
      <c r="L118">
        <f ca="1"/>
        <v>0</v>
      </c>
      <c r="M118">
        <f ca="1"/>
        <v>0.28860827905275599</v>
      </c>
      <c r="N118">
        <f ca="1"/>
        <v>0.44061861810839431</v>
      </c>
      <c r="O118">
        <f ca="1"/>
        <v>0</v>
      </c>
      <c r="P118">
        <f ca="1"/>
        <v>1.3386898147826627</v>
      </c>
      <c r="Q118">
        <f ca="1"/>
        <v>0</v>
      </c>
      <c r="R118">
        <f ca="1"/>
        <v>5.2601756512778132E-2</v>
      </c>
      <c r="S118">
        <f ca="1"/>
        <v>1</v>
      </c>
      <c r="T118">
        <f ca="1"/>
        <v>0.11443861139022005</v>
      </c>
      <c r="U118">
        <f ca="1"/>
        <v>0</v>
      </c>
      <c r="V118">
        <f ca="1"/>
        <v>6.6928509242848624E-3</v>
      </c>
      <c r="X118" s="2">
        <f t="shared" ca="1" si="8"/>
        <v>45501</v>
      </c>
      <c r="Y118">
        <f t="shared" ca="1" si="9"/>
        <v>0</v>
      </c>
      <c r="AA118" s="63">
        <f t="shared" ca="1" si="11"/>
        <v>65.371346549099911</v>
      </c>
      <c r="AB118" s="63">
        <f t="shared" ca="1" si="12"/>
        <v>65.371346549099911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45502</v>
      </c>
      <c r="K119">
        <f ca="1"/>
        <v>65.742139052842987</v>
      </c>
      <c r="L119">
        <f ca="1"/>
        <v>0</v>
      </c>
      <c r="M119">
        <f ca="1"/>
        <v>0.26807744363211938</v>
      </c>
      <c r="N119">
        <f ca="1"/>
        <v>0.39588434767635866</v>
      </c>
      <c r="O119">
        <f ca="1"/>
        <v>0</v>
      </c>
      <c r="P119">
        <f ca="1"/>
        <v>1.3386898147826627</v>
      </c>
      <c r="Q119">
        <f ca="1"/>
        <v>0</v>
      </c>
      <c r="R119">
        <f ca="1"/>
        <v>0.24056753105262693</v>
      </c>
      <c r="S119">
        <f ca="1"/>
        <v>1</v>
      </c>
      <c r="T119">
        <f ca="1"/>
        <v>0.52000000000000313</v>
      </c>
      <c r="U119">
        <f ca="1"/>
        <v>0</v>
      </c>
      <c r="V119">
        <f ca="1"/>
        <v>6.6928509242848624E-3</v>
      </c>
      <c r="X119" s="2">
        <f t="shared" ca="1" si="8"/>
        <v>45502</v>
      </c>
      <c r="Y119">
        <f t="shared" ca="1" si="9"/>
        <v>0</v>
      </c>
      <c r="AA119" s="63">
        <f t="shared" ca="1" si="11"/>
        <v>65.98270658389562</v>
      </c>
      <c r="AB119" s="63">
        <f t="shared" ca="1" si="12"/>
        <v>65.98270658389562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45503</v>
      </c>
      <c r="K120">
        <f ca="1"/>
        <v>66.442706090083064</v>
      </c>
      <c r="L120">
        <f ca="1"/>
        <v>0</v>
      </c>
      <c r="M120">
        <f ca="1"/>
        <v>0.27667224257684708</v>
      </c>
      <c r="N120">
        <f ca="1"/>
        <v>0.42389479466322039</v>
      </c>
      <c r="O120">
        <f ca="1"/>
        <v>0</v>
      </c>
      <c r="P120">
        <f ca="1"/>
        <v>1.3386898147826627</v>
      </c>
      <c r="Q120">
        <f ca="1"/>
        <v>0</v>
      </c>
      <c r="R120">
        <f ca="1"/>
        <v>0</v>
      </c>
      <c r="S120">
        <f ca="1"/>
        <v>0.99722222222222223</v>
      </c>
      <c r="T120">
        <f ca="1"/>
        <v>0</v>
      </c>
      <c r="U120">
        <f ca="1"/>
        <v>0</v>
      </c>
      <c r="V120">
        <f ca="1"/>
        <v>6.6928509242848624E-3</v>
      </c>
      <c r="X120" s="2">
        <f t="shared" ca="1" si="8"/>
        <v>45503</v>
      </c>
      <c r="Y120">
        <f t="shared" ca="1" si="9"/>
        <v>0</v>
      </c>
      <c r="AA120" s="63">
        <f t="shared" ca="1" si="11"/>
        <v>66.442706090083064</v>
      </c>
      <c r="AB120" s="63">
        <f t="shared" ca="1" si="12"/>
        <v>66.442706090083064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45504</v>
      </c>
      <c r="K121">
        <f ca="1"/>
        <v>66.947581910304976</v>
      </c>
      <c r="L121">
        <f ca="1"/>
        <v>0</v>
      </c>
      <c r="M121">
        <f ca="1"/>
        <v>0.27858987395086388</v>
      </c>
      <c r="N121">
        <f ca="1"/>
        <v>0.43565531630570886</v>
      </c>
      <c r="O121">
        <f ca="1"/>
        <v>0</v>
      </c>
      <c r="P121">
        <f ca="1"/>
        <v>1.3386898147826627</v>
      </c>
      <c r="Q121">
        <f ca="1"/>
        <v>0</v>
      </c>
      <c r="R121">
        <f ca="1"/>
        <v>0.20936937003465789</v>
      </c>
      <c r="S121">
        <f ca="1"/>
        <v>1</v>
      </c>
      <c r="T121">
        <f ca="1"/>
        <v>0.44441469844033321</v>
      </c>
      <c r="U121">
        <f ca="1"/>
        <v>0</v>
      </c>
      <c r="V121">
        <f ca="1"/>
        <v>6.6928509242848624E-3</v>
      </c>
      <c r="X121" s="2">
        <f t="shared" ca="1" si="8"/>
        <v>45504</v>
      </c>
      <c r="Y121">
        <f t="shared" ca="1" si="9"/>
        <v>0</v>
      </c>
      <c r="AA121" s="63">
        <f t="shared" ca="1" si="11"/>
        <v>67.156951280339641</v>
      </c>
      <c r="AB121" s="63">
        <f t="shared" ca="1" si="12"/>
        <v>67.156951280339641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45505</v>
      </c>
      <c r="K122">
        <f ca="1"/>
        <v>66.788218872714467</v>
      </c>
      <c r="L122">
        <f ca="1"/>
        <v>0</v>
      </c>
      <c r="M122">
        <f ca="1"/>
        <v>0.26630296796336239</v>
      </c>
      <c r="N122">
        <f ca="1"/>
        <v>0.41091827677028508</v>
      </c>
      <c r="O122">
        <f ca="1"/>
        <v>0</v>
      </c>
      <c r="P122">
        <f ca="1"/>
        <v>1.3386898147826627</v>
      </c>
      <c r="Q122">
        <f ca="1"/>
        <v>0</v>
      </c>
      <c r="R122">
        <f ca="1"/>
        <v>0.83658428232415016</v>
      </c>
      <c r="S122">
        <f ca="1"/>
        <v>1</v>
      </c>
      <c r="T122">
        <f ca="1"/>
        <v>1.7800000000000011</v>
      </c>
      <c r="U122">
        <f ca="1"/>
        <v>0</v>
      </c>
      <c r="V122">
        <f ca="1"/>
        <v>6.6928509242848624E-3</v>
      </c>
      <c r="X122" s="2">
        <f t="shared" ca="1" si="8"/>
        <v>45505</v>
      </c>
      <c r="Y122">
        <f t="shared" ca="1" si="9"/>
        <v>0</v>
      </c>
      <c r="AA122" s="63">
        <f t="shared" ca="1" si="11"/>
        <v>67.624803155038634</v>
      </c>
      <c r="AB122" s="63">
        <f t="shared" ca="1" si="12"/>
        <v>67.62480315503862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45506</v>
      </c>
      <c r="K123">
        <f ca="1"/>
        <v>67.483492754081567</v>
      </c>
      <c r="L123">
        <f ca="1"/>
        <v>0</v>
      </c>
      <c r="M123">
        <f ca="1"/>
        <v>0.26943380276161832</v>
      </c>
      <c r="N123">
        <f ca="1"/>
        <v>0.42584007860547379</v>
      </c>
      <c r="O123">
        <f ca="1"/>
        <v>0</v>
      </c>
      <c r="P123">
        <f ca="1"/>
        <v>1.3386898147826627</v>
      </c>
      <c r="Q123">
        <f ca="1"/>
        <v>0</v>
      </c>
      <c r="R123">
        <f ca="1"/>
        <v>0</v>
      </c>
      <c r="S123">
        <f ca="1"/>
        <v>0.9974074074074073</v>
      </c>
      <c r="T123">
        <f ca="1"/>
        <v>0</v>
      </c>
      <c r="U123">
        <f ca="1"/>
        <v>0</v>
      </c>
      <c r="V123">
        <f ca="1"/>
        <v>6.6928509242848624E-3</v>
      </c>
      <c r="X123" s="2">
        <f t="shared" ca="1" si="8"/>
        <v>45506</v>
      </c>
      <c r="Y123">
        <f t="shared" ca="1" si="9"/>
        <v>0</v>
      </c>
      <c r="AA123" s="63">
        <f t="shared" ca="1" si="11"/>
        <v>67.483492754081553</v>
      </c>
      <c r="AB123" s="63">
        <f t="shared" ca="1" si="12"/>
        <v>67.483492754081567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45507</v>
      </c>
      <c r="K124">
        <f ca="1"/>
        <v>68.129077402225008</v>
      </c>
      <c r="L124">
        <f ca="1"/>
        <v>0</v>
      </c>
      <c r="M124">
        <f ca="1"/>
        <v>0.26218883998351572</v>
      </c>
      <c r="N124">
        <f ca="1"/>
        <v>0.41377879641711834</v>
      </c>
      <c r="O124">
        <f ca="1"/>
        <v>0</v>
      </c>
      <c r="P124">
        <f ca="1"/>
        <v>1.3386898147826627</v>
      </c>
      <c r="Q124">
        <f ca="1"/>
        <v>0</v>
      </c>
      <c r="R124">
        <f ca="1"/>
        <v>3.0382988257189172E-2</v>
      </c>
      <c r="S124">
        <f ca="1"/>
        <v>1</v>
      </c>
      <c r="T124">
        <f ca="1"/>
        <v>6.3373565391479758E-2</v>
      </c>
      <c r="U124">
        <f ca="1"/>
        <v>0</v>
      </c>
      <c r="V124">
        <f ca="1"/>
        <v>6.6928509242848624E-3</v>
      </c>
      <c r="X124" s="2">
        <f t="shared" ca="1" si="8"/>
        <v>45507</v>
      </c>
      <c r="Y124">
        <f t="shared" ca="1" si="9"/>
        <v>0</v>
      </c>
      <c r="AA124" s="63">
        <f t="shared" ca="1" si="11"/>
        <v>68.159460390482195</v>
      </c>
      <c r="AB124" s="63">
        <f t="shared" ca="1" si="12"/>
        <v>68.159460390482195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45508</v>
      </c>
      <c r="K125">
        <f ca="1"/>
        <v>68.862173668689422</v>
      </c>
      <c r="L125">
        <f ca="1"/>
        <v>0</v>
      </c>
      <c r="M125">
        <f ca="1"/>
        <v>0.27583388797260966</v>
      </c>
      <c r="N125">
        <f ca="1"/>
        <v>0.45726237849180762</v>
      </c>
      <c r="O125">
        <f ca="1"/>
        <v>0</v>
      </c>
      <c r="P125">
        <f ca="1"/>
        <v>1.3386898147826627</v>
      </c>
      <c r="Q125">
        <f ca="1"/>
        <v>0</v>
      </c>
      <c r="R125">
        <f ca="1"/>
        <v>0</v>
      </c>
      <c r="S125">
        <f ca="1"/>
        <v>0.99388888888888893</v>
      </c>
      <c r="T125">
        <f ca="1"/>
        <v>0</v>
      </c>
      <c r="U125">
        <f ca="1"/>
        <v>0</v>
      </c>
      <c r="V125">
        <f ca="1"/>
        <v>6.6928509242848624E-3</v>
      </c>
      <c r="X125" s="2">
        <f t="shared" ca="1" si="8"/>
        <v>45508</v>
      </c>
      <c r="Y125">
        <f t="shared" ca="1" si="9"/>
        <v>0</v>
      </c>
      <c r="AA125" s="63">
        <f t="shared" ca="1" si="11"/>
        <v>68.862173668689422</v>
      </c>
      <c r="AB125" s="63">
        <f t="shared" ca="1" si="12"/>
        <v>68.862173668689422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45509</v>
      </c>
      <c r="K126">
        <f ca="1"/>
        <v>69.578463991311921</v>
      </c>
      <c r="L126">
        <f ca="1"/>
        <v>0</v>
      </c>
      <c r="M126">
        <f ca="1"/>
        <v>0.26916370049362648</v>
      </c>
      <c r="N126">
        <f ca="1"/>
        <v>0.44712662212888066</v>
      </c>
      <c r="O126">
        <f ca="1"/>
        <v>0</v>
      </c>
      <c r="P126">
        <f ca="1"/>
        <v>1.3386898147826627</v>
      </c>
      <c r="Q126">
        <f ca="1"/>
        <v>0</v>
      </c>
      <c r="R126">
        <f ca="1"/>
        <v>0</v>
      </c>
      <c r="S126">
        <f ca="1"/>
        <v>0.99646041679849962</v>
      </c>
      <c r="T126">
        <f ca="1"/>
        <v>0</v>
      </c>
      <c r="U126">
        <f ca="1"/>
        <v>0</v>
      </c>
      <c r="V126">
        <f ca="1"/>
        <v>6.6928509242848624E-3</v>
      </c>
      <c r="X126" s="2">
        <f t="shared" ca="1" si="8"/>
        <v>45509</v>
      </c>
      <c r="Y126">
        <f t="shared" ca="1" si="9"/>
        <v>0</v>
      </c>
      <c r="AA126" s="63">
        <f t="shared" ca="1" si="11"/>
        <v>69.578463991311921</v>
      </c>
      <c r="AB126" s="63">
        <f t="shared" ca="1" si="12"/>
        <v>69.578463991311921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45510</v>
      </c>
      <c r="K127">
        <f ca="1"/>
        <v>70.138424586931933</v>
      </c>
      <c r="L127">
        <f ca="1"/>
        <v>0</v>
      </c>
      <c r="M127">
        <f ca="1"/>
        <v>0.25746438376263647</v>
      </c>
      <c r="N127">
        <f ca="1"/>
        <v>0.42292436785047749</v>
      </c>
      <c r="O127">
        <f ca="1"/>
        <v>0</v>
      </c>
      <c r="P127">
        <f ca="1"/>
        <v>1.3386898147826627</v>
      </c>
      <c r="Q127">
        <f ca="1"/>
        <v>0</v>
      </c>
      <c r="R127">
        <f ca="1"/>
        <v>0.12042815599310648</v>
      </c>
      <c r="S127">
        <f ca="1"/>
        <v>1</v>
      </c>
      <c r="T127">
        <f ca="1"/>
        <v>0.24399571133522358</v>
      </c>
      <c r="U127">
        <f ca="1"/>
        <v>0</v>
      </c>
      <c r="V127">
        <f ca="1"/>
        <v>6.6928509242848624E-3</v>
      </c>
      <c r="X127" s="2">
        <f t="shared" ca="1" si="8"/>
        <v>45510</v>
      </c>
      <c r="Y127">
        <f t="shared" ca="1" si="9"/>
        <v>0</v>
      </c>
      <c r="AA127" s="63">
        <f t="shared" ca="1" si="11"/>
        <v>70.258852742925043</v>
      </c>
      <c r="AB127" s="63">
        <f t="shared" ca="1" si="12"/>
        <v>70.258852742925043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45511</v>
      </c>
      <c r="K128">
        <f ca="1"/>
        <v>70.747414503969665</v>
      </c>
      <c r="L128">
        <f ca="1"/>
        <v>0</v>
      </c>
      <c r="M128">
        <f ca="1"/>
        <v>0.24975654293780103</v>
      </c>
      <c r="N128">
        <f ca="1"/>
        <v>0.40901859171383559</v>
      </c>
      <c r="O128">
        <f ca="1"/>
        <v>0</v>
      </c>
      <c r="P128">
        <f ca="1"/>
        <v>1.3386898147826627</v>
      </c>
      <c r="Q128">
        <f ca="1"/>
        <v>0</v>
      </c>
      <c r="R128">
        <f ca="1"/>
        <v>4.9785217613908812E-2</v>
      </c>
      <c r="S128">
        <f ca="1"/>
        <v>1</v>
      </c>
      <c r="T128">
        <f ca="1"/>
        <v>0.10000000000000853</v>
      </c>
      <c r="U128">
        <f ca="1"/>
        <v>0</v>
      </c>
      <c r="V128">
        <f ca="1"/>
        <v>6.6928509242848624E-3</v>
      </c>
      <c r="X128" s="2">
        <f t="shared" ca="1" si="8"/>
        <v>45511</v>
      </c>
      <c r="Y128">
        <f t="shared" ca="1" si="9"/>
        <v>0</v>
      </c>
      <c r="AA128" s="63">
        <f t="shared" ca="1" si="11"/>
        <v>70.797199721583567</v>
      </c>
      <c r="AB128" s="63">
        <f t="shared" ca="1" si="12"/>
        <v>70.797199721583567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45512</v>
      </c>
      <c r="K129">
        <f ca="1"/>
        <v>71.18850814489376</v>
      </c>
      <c r="L129">
        <f ca="1"/>
        <v>0</v>
      </c>
      <c r="M129">
        <f ca="1"/>
        <v>0.24197252112364431</v>
      </c>
      <c r="N129">
        <f ca="1"/>
        <v>0.39449402548699158</v>
      </c>
      <c r="O129">
        <f ca="1"/>
        <v>0</v>
      </c>
      <c r="P129">
        <f ca="1"/>
        <v>1.3386898147826627</v>
      </c>
      <c r="Q129">
        <f ca="1"/>
        <v>0</v>
      </c>
      <c r="R129">
        <f ca="1"/>
        <v>0.19537290568654206</v>
      </c>
      <c r="S129">
        <f ca="1"/>
        <v>1</v>
      </c>
      <c r="T129">
        <f ca="1"/>
        <v>0.39000000000000057</v>
      </c>
      <c r="U129">
        <f ca="1"/>
        <v>0</v>
      </c>
      <c r="V129">
        <f ca="1"/>
        <v>6.6928509242848624E-3</v>
      </c>
      <c r="X129" s="2">
        <f t="shared" ca="1" si="8"/>
        <v>45512</v>
      </c>
      <c r="Y129">
        <f t="shared" ca="1" si="9"/>
        <v>0</v>
      </c>
      <c r="AA129" s="63">
        <f t="shared" ca="1" si="11"/>
        <v>71.3838810505803</v>
      </c>
      <c r="AB129" s="63">
        <f t="shared" ca="1" si="12"/>
        <v>71.3838810505803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45513</v>
      </c>
      <c r="K130">
        <f ca="1"/>
        <v>71.505787104507078</v>
      </c>
      <c r="L130">
        <f ca="1"/>
        <v>0</v>
      </c>
      <c r="M130">
        <f ca="1"/>
        <v>0.25016249718149552</v>
      </c>
      <c r="N130">
        <f ca="1"/>
        <v>0.42438056170583383</v>
      </c>
      <c r="O130">
        <f ca="1"/>
        <v>0</v>
      </c>
      <c r="P130">
        <f ca="1"/>
        <v>1.3386898147826627</v>
      </c>
      <c r="Q130">
        <f ca="1"/>
        <v>0</v>
      </c>
      <c r="R130">
        <f ca="1"/>
        <v>0.3572640992740006</v>
      </c>
      <c r="S130">
        <f ca="1"/>
        <v>1</v>
      </c>
      <c r="T130">
        <f ca="1"/>
        <v>0.71000000000000085</v>
      </c>
      <c r="U130">
        <f ca="1"/>
        <v>0</v>
      </c>
      <c r="V130">
        <f ca="1"/>
        <v>6.6928509242848624E-3</v>
      </c>
      <c r="X130" s="2">
        <f t="shared" ca="1" si="8"/>
        <v>45513</v>
      </c>
      <c r="Y130">
        <f t="shared" ca="1" si="9"/>
        <v>0</v>
      </c>
      <c r="AA130" s="63">
        <f t="shared" ca="1" si="11"/>
        <v>71.863051203781083</v>
      </c>
      <c r="AB130" s="63">
        <f t="shared" ca="1" si="12"/>
        <v>71.863051203781083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45514</v>
      </c>
      <c r="K131">
        <f ca="1"/>
        <v>72.172497385738012</v>
      </c>
      <c r="L131">
        <f ca="1"/>
        <v>0</v>
      </c>
      <c r="M131">
        <f ca="1"/>
        <v>0.25406887987899474</v>
      </c>
      <c r="N131">
        <f ca="1"/>
        <v>0.44311423358146196</v>
      </c>
      <c r="O131">
        <f ca="1"/>
        <v>0</v>
      </c>
      <c r="P131">
        <f ca="1"/>
        <v>1.3386898147826627</v>
      </c>
      <c r="Q131">
        <f ca="1"/>
        <v>0</v>
      </c>
      <c r="R131">
        <f ca="1"/>
        <v>3.0472832229534976E-2</v>
      </c>
      <c r="S131">
        <f ca="1"/>
        <v>1</v>
      </c>
      <c r="T131">
        <f ca="1"/>
        <v>6.0000000000002274E-2</v>
      </c>
      <c r="U131">
        <f ca="1"/>
        <v>0</v>
      </c>
      <c r="V131">
        <f ca="1"/>
        <v>6.6928509242848624E-3</v>
      </c>
      <c r="X131" s="2">
        <f t="shared" ca="1" si="8"/>
        <v>45514</v>
      </c>
      <c r="Y131">
        <f t="shared" ca="1" si="9"/>
        <v>0</v>
      </c>
      <c r="AA131" s="63">
        <f t="shared" ca="1" si="11"/>
        <v>72.202970217967547</v>
      </c>
      <c r="AB131" s="63">
        <f t="shared" ca="1" si="12"/>
        <v>72.202970217967547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45515</v>
      </c>
      <c r="K132">
        <f ca="1"/>
        <v>72.434944116108184</v>
      </c>
      <c r="L132">
        <f ca="1"/>
        <v>0</v>
      </c>
      <c r="M132">
        <f ca="1"/>
        <v>0.24242071415259581</v>
      </c>
      <c r="N132">
        <f ca="1"/>
        <v>0.41761337614375638</v>
      </c>
      <c r="O132">
        <f ca="1"/>
        <v>0</v>
      </c>
      <c r="P132">
        <f ca="1"/>
        <v>1.3386898147826627</v>
      </c>
      <c r="Q132">
        <f ca="1"/>
        <v>0</v>
      </c>
      <c r="R132">
        <f ca="1"/>
        <v>0.39758735992619076</v>
      </c>
      <c r="S132">
        <f ca="1"/>
        <v>1</v>
      </c>
      <c r="T132">
        <f ca="1"/>
        <v>0.77999999999999403</v>
      </c>
      <c r="U132">
        <f ca="1"/>
        <v>0</v>
      </c>
      <c r="V132">
        <f ca="1"/>
        <v>6.6928509242848624E-3</v>
      </c>
      <c r="X132" s="2">
        <f t="shared" ca="1" si="8"/>
        <v>45515</v>
      </c>
      <c r="Y132">
        <f t="shared" ca="1" si="9"/>
        <v>0</v>
      </c>
      <c r="AA132" s="63">
        <f t="shared" ca="1" si="11"/>
        <v>72.832531476034376</v>
      </c>
      <c r="AB132" s="63">
        <f t="shared" ca="1" si="12"/>
        <v>72.832531476034376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45516</v>
      </c>
      <c r="K133">
        <f ca="1"/>
        <v>72.456231392277331</v>
      </c>
      <c r="L133">
        <f ca="1"/>
        <v>0</v>
      </c>
      <c r="M133">
        <f ca="1"/>
        <v>0.23751793556089495</v>
      </c>
      <c r="N133">
        <f ca="1"/>
        <v>0.41091827677028508</v>
      </c>
      <c r="O133">
        <f ca="1"/>
        <v>0</v>
      </c>
      <c r="P133">
        <f ca="1"/>
        <v>1.3386898147826627</v>
      </c>
      <c r="Q133">
        <f ca="1"/>
        <v>0</v>
      </c>
      <c r="R133">
        <f ca="1"/>
        <v>0.62714893616204337</v>
      </c>
      <c r="S133">
        <f ca="1"/>
        <v>1</v>
      </c>
      <c r="T133">
        <f ca="1"/>
        <v>1.2299999999999969</v>
      </c>
      <c r="U133">
        <f ca="1"/>
        <v>0</v>
      </c>
      <c r="V133">
        <f ca="1"/>
        <v>6.6928509242848624E-3</v>
      </c>
      <c r="X133" s="2">
        <f t="shared" ca="1" si="8"/>
        <v>45516</v>
      </c>
      <c r="Y133">
        <f t="shared" ca="1" si="9"/>
        <v>0</v>
      </c>
      <c r="AA133" s="63">
        <f t="shared" ca="1" si="11"/>
        <v>73.083380328439361</v>
      </c>
      <c r="AB133" s="63">
        <f t="shared" ca="1" si="12"/>
        <v>73.083380328439375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45517</v>
      </c>
      <c r="K134">
        <f ca="1"/>
        <v>72.703066516031896</v>
      </c>
      <c r="L134">
        <f ca="1"/>
        <v>0</v>
      </c>
      <c r="M134">
        <f ca="1"/>
        <v>0.23497590097226606</v>
      </c>
      <c r="N134">
        <f ca="1"/>
        <v>0.41091827677028508</v>
      </c>
      <c r="O134">
        <f ca="1"/>
        <v>0</v>
      </c>
      <c r="P134">
        <f ca="1"/>
        <v>1.3386898147826627</v>
      </c>
      <c r="Q134">
        <f ca="1"/>
        <v>0</v>
      </c>
      <c r="R134">
        <f ca="1"/>
        <v>0.39905905398799424</v>
      </c>
      <c r="S134">
        <f ca="1"/>
        <v>1</v>
      </c>
      <c r="T134">
        <f ca="1"/>
        <v>0.77999999999999403</v>
      </c>
      <c r="U134">
        <f ca="1"/>
        <v>0</v>
      </c>
      <c r="V134">
        <f ca="1"/>
        <v>6.6928509242848624E-3</v>
      </c>
      <c r="X134" s="2">
        <f t="shared" ca="1" si="8"/>
        <v>45517</v>
      </c>
      <c r="Y134">
        <f t="shared" ca="1" si="9"/>
        <v>0</v>
      </c>
      <c r="AA134" s="63">
        <f t="shared" ca="1" si="11"/>
        <v>73.102125570019879</v>
      </c>
      <c r="AB134" s="63">
        <f t="shared" ca="1" si="12"/>
        <v>73.102125570019894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45518</v>
      </c>
      <c r="K135">
        <f ca="1"/>
        <v>72.885279066877928</v>
      </c>
      <c r="L135">
        <f ca="1"/>
        <v>0</v>
      </c>
      <c r="M135">
        <f ca="1"/>
        <v>0.24158975034432117</v>
      </c>
      <c r="N135">
        <f ca="1"/>
        <v>0.43813231650266443</v>
      </c>
      <c r="O135">
        <f ca="1"/>
        <v>0</v>
      </c>
      <c r="P135">
        <f ca="1"/>
        <v>1.3386898147826627</v>
      </c>
      <c r="Q135">
        <f ca="1"/>
        <v>0</v>
      </c>
      <c r="R135">
        <f ca="1"/>
        <v>0.49750951600094401</v>
      </c>
      <c r="S135">
        <f ca="1"/>
        <v>1</v>
      </c>
      <c r="T135">
        <f ca="1"/>
        <v>0.96999999999999176</v>
      </c>
      <c r="U135">
        <f ca="1"/>
        <v>0</v>
      </c>
      <c r="V135">
        <f ca="1"/>
        <v>6.6928509242848624E-3</v>
      </c>
      <c r="X135" s="2">
        <f t="shared" ca="1" si="8"/>
        <v>45518</v>
      </c>
      <c r="Y135">
        <f t="shared" ca="1" si="9"/>
        <v>0</v>
      </c>
      <c r="AA135" s="63">
        <f t="shared" ca="1" si="11"/>
        <v>73.382788582878874</v>
      </c>
      <c r="AB135" s="63">
        <f t="shared" ca="1" si="12"/>
        <v>73.382788582878874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45519</v>
      </c>
      <c r="K136">
        <f ca="1"/>
        <v>73.554229876471595</v>
      </c>
      <c r="L136">
        <f ca="1"/>
        <v>0</v>
      </c>
      <c r="M136">
        <f ca="1"/>
        <v>0.24587553549912755</v>
      </c>
      <c r="N136">
        <f ca="1"/>
        <v>0.45930754288554265</v>
      </c>
      <c r="O136">
        <f ca="1"/>
        <v>0</v>
      </c>
      <c r="P136">
        <f ca="1"/>
        <v>1.3386898147826627</v>
      </c>
      <c r="Q136">
        <f ca="1"/>
        <v>0</v>
      </c>
      <c r="R136">
        <f ca="1"/>
        <v>3.6232268791002824E-2</v>
      </c>
      <c r="S136">
        <f ca="1"/>
        <v>1</v>
      </c>
      <c r="T136">
        <f ca="1"/>
        <v>7.0000000000000284E-2</v>
      </c>
      <c r="U136">
        <f ca="1"/>
        <v>0</v>
      </c>
      <c r="V136">
        <f ca="1"/>
        <v>6.6928509242848624E-3</v>
      </c>
      <c r="X136" s="2">
        <f t="shared" ca="1" si="8"/>
        <v>45519</v>
      </c>
      <c r="Y136">
        <f t="shared" ca="1" si="9"/>
        <v>0</v>
      </c>
      <c r="AA136" s="63">
        <f t="shared" ca="1" si="11"/>
        <v>73.590462145262592</v>
      </c>
      <c r="AB136" s="63">
        <f t="shared" ca="1" si="12"/>
        <v>73.590462145262592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45520</v>
      </c>
      <c r="K137">
        <f ca="1"/>
        <v>73.559755147510927</v>
      </c>
      <c r="L137">
        <f ca="1"/>
        <v>0</v>
      </c>
      <c r="M137">
        <f ca="1"/>
        <v>0.24349757923429749</v>
      </c>
      <c r="N137">
        <f ca="1"/>
        <v>0.46084536570638934</v>
      </c>
      <c r="O137">
        <f ca="1"/>
        <v>0</v>
      </c>
      <c r="P137">
        <f ca="1"/>
        <v>1.3386898147826627</v>
      </c>
      <c r="Q137">
        <f ca="1"/>
        <v>0</v>
      </c>
      <c r="R137">
        <f ca="1"/>
        <v>0.69881767390135463</v>
      </c>
      <c r="S137">
        <f ca="1"/>
        <v>1</v>
      </c>
      <c r="T137">
        <f ca="1"/>
        <v>1.3500000000000014</v>
      </c>
      <c r="U137">
        <f ca="1"/>
        <v>0</v>
      </c>
      <c r="V137">
        <f ca="1"/>
        <v>6.6928509242848624E-3</v>
      </c>
      <c r="X137" s="2">
        <f t="shared" ca="1" si="8"/>
        <v>45520</v>
      </c>
      <c r="Y137">
        <f t="shared" ca="1" si="9"/>
        <v>0</v>
      </c>
      <c r="AA137" s="63">
        <f t="shared" ca="1" si="11"/>
        <v>74.258572821412287</v>
      </c>
      <c r="AB137" s="63">
        <f t="shared" ca="1" si="12"/>
        <v>74.258572821412287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45521</v>
      </c>
      <c r="K138">
        <f ca="1"/>
        <v>73.722358634294764</v>
      </c>
      <c r="L138">
        <f ca="1"/>
        <v>0</v>
      </c>
      <c r="M138">
        <f ca="1"/>
        <v>0.2407832075602947</v>
      </c>
      <c r="N138">
        <f ca="1"/>
        <v>0.46135872611748213</v>
      </c>
      <c r="O138">
        <f ca="1"/>
        <v>0</v>
      </c>
      <c r="P138">
        <f ca="1"/>
        <v>1.3386898147826627</v>
      </c>
      <c r="Q138">
        <f ca="1"/>
        <v>0</v>
      </c>
      <c r="R138">
        <f ca="1"/>
        <v>0.53953844689394559</v>
      </c>
      <c r="S138">
        <f ca="1"/>
        <v>1</v>
      </c>
      <c r="T138">
        <f ca="1"/>
        <v>1.039999999999992</v>
      </c>
      <c r="U138">
        <f ca="1"/>
        <v>0</v>
      </c>
      <c r="V138">
        <f ca="1"/>
        <v>6.6928509242848624E-3</v>
      </c>
      <c r="X138" s="2">
        <f t="shared" ca="1" si="8"/>
        <v>45521</v>
      </c>
      <c r="Y138">
        <f t="shared" ca="1" si="9"/>
        <v>0</v>
      </c>
      <c r="AA138" s="63">
        <f t="shared" ca="1" si="11"/>
        <v>74.261897081188707</v>
      </c>
      <c r="AB138" s="63">
        <f t="shared" ca="1" si="12"/>
        <v>74.261897081188707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45522</v>
      </c>
      <c r="K139">
        <f ca="1"/>
        <v>74.390325824838996</v>
      </c>
      <c r="L139">
        <f ca="1"/>
        <v>0</v>
      </c>
      <c r="M139">
        <f ca="1"/>
        <v>0.23033101779406806</v>
      </c>
      <c r="N139">
        <f ca="1"/>
        <v>0.43763617275016631</v>
      </c>
      <c r="O139">
        <f ca="1"/>
        <v>0</v>
      </c>
      <c r="P139">
        <f ca="1"/>
        <v>1.3386898147826627</v>
      </c>
      <c r="Q139">
        <f ca="1"/>
        <v>0</v>
      </c>
      <c r="R139">
        <f ca="1"/>
        <v>0</v>
      </c>
      <c r="S139">
        <f ca="1"/>
        <v>0.99777777777777787</v>
      </c>
      <c r="T139">
        <f ca="1"/>
        <v>0</v>
      </c>
      <c r="U139">
        <f ca="1"/>
        <v>0</v>
      </c>
      <c r="V139">
        <f ca="1"/>
        <v>6.6928509242848624E-3</v>
      </c>
      <c r="X139" s="2">
        <f t="shared" ref="X139:X202" ca="1" si="15">IFERROR(J139,$X$9)</f>
        <v>45522</v>
      </c>
      <c r="Y139">
        <f t="shared" ref="Y139:Y202" ca="1" si="16">IFERROR(O139,0)</f>
        <v>0</v>
      </c>
      <c r="AA139" s="63">
        <f t="shared" ca="1" si="11"/>
        <v>74.390325824838996</v>
      </c>
      <c r="AB139" s="63">
        <f t="shared" ca="1" si="12"/>
        <v>74.390325824838996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45523</v>
      </c>
      <c r="K140">
        <f ca="1"/>
        <v>75.067444996290391</v>
      </c>
      <c r="L140">
        <f ca="1"/>
        <v>0</v>
      </c>
      <c r="M140">
        <f ca="1"/>
        <v>0.23049540529893164</v>
      </c>
      <c r="N140">
        <f ca="1"/>
        <v>0.44662376615245059</v>
      </c>
      <c r="O140">
        <f ca="1"/>
        <v>0</v>
      </c>
      <c r="P140">
        <f ca="1"/>
        <v>1.3386898147826627</v>
      </c>
      <c r="Q140">
        <f ca="1"/>
        <v>0</v>
      </c>
      <c r="R140">
        <f ca="1"/>
        <v>0</v>
      </c>
      <c r="S140">
        <f ca="1"/>
        <v>0.98470034655834993</v>
      </c>
      <c r="T140">
        <f ca="1"/>
        <v>0</v>
      </c>
      <c r="U140">
        <f ca="1"/>
        <v>0</v>
      </c>
      <c r="V140">
        <f ca="1"/>
        <v>6.6928509242848624E-3</v>
      </c>
      <c r="X140" s="2">
        <f t="shared" ca="1" si="15"/>
        <v>45523</v>
      </c>
      <c r="Y140">
        <f t="shared" ca="1" si="16"/>
        <v>0</v>
      </c>
      <c r="AA140" s="63">
        <f t="shared" ca="1" si="11"/>
        <v>75.067444996290376</v>
      </c>
      <c r="AB140" s="63">
        <f t="shared" ca="1" si="12"/>
        <v>75.067444996290391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45524</v>
      </c>
      <c r="K141">
        <f ca="1"/>
        <v>75.723552978172293</v>
      </c>
      <c r="L141">
        <f ca="1"/>
        <v>0</v>
      </c>
      <c r="M141">
        <f ca="1"/>
        <v>0.22341280557190046</v>
      </c>
      <c r="N141">
        <f ca="1"/>
        <v>0.43269517631000565</v>
      </c>
      <c r="O141">
        <f ca="1"/>
        <v>0</v>
      </c>
      <c r="P141">
        <f ca="1"/>
        <v>1.3386898147826627</v>
      </c>
      <c r="Q141">
        <f ca="1"/>
        <v>0</v>
      </c>
      <c r="R141">
        <f ca="1"/>
        <v>0</v>
      </c>
      <c r="S141">
        <f ca="1"/>
        <v>0.97903671018197458</v>
      </c>
      <c r="T141">
        <f ca="1"/>
        <v>0</v>
      </c>
      <c r="U141">
        <f ca="1"/>
        <v>0</v>
      </c>
      <c r="V141">
        <f ca="1"/>
        <v>6.6928509242848624E-3</v>
      </c>
      <c r="X141" s="2">
        <f t="shared" ca="1" si="15"/>
        <v>45524</v>
      </c>
      <c r="Y141">
        <f t="shared" ca="1" si="16"/>
        <v>0</v>
      </c>
      <c r="AA141" s="63">
        <f t="shared" ref="AA141:AA204" ca="1" si="18">K140+M141+N141+O141</f>
        <v>75.723552978172293</v>
      </c>
      <c r="AB141" s="63">
        <f t="shared" ref="AB141:AB204" ca="1" si="19">K141+L141+R141</f>
        <v>75.723552978172293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45525</v>
      </c>
      <c r="K142">
        <f ca="1"/>
        <v>76.371908508594004</v>
      </c>
      <c r="L142">
        <f ca="1"/>
        <v>0</v>
      </c>
      <c r="M142">
        <f ca="1"/>
        <v>0.21958643786513932</v>
      </c>
      <c r="N142">
        <f ca="1"/>
        <v>0.42876909255657741</v>
      </c>
      <c r="O142">
        <f ca="1"/>
        <v>0</v>
      </c>
      <c r="P142">
        <f ca="1"/>
        <v>1.3386898147826627</v>
      </c>
      <c r="Q142">
        <f ca="1"/>
        <v>0</v>
      </c>
      <c r="R142">
        <f ca="1"/>
        <v>0</v>
      </c>
      <c r="S142">
        <f ca="1"/>
        <v>0.98835739123810462</v>
      </c>
      <c r="T142">
        <f ca="1"/>
        <v>0</v>
      </c>
      <c r="U142">
        <f ca="1"/>
        <v>0</v>
      </c>
      <c r="V142">
        <f ca="1"/>
        <v>6.6928509242848624E-3</v>
      </c>
      <c r="X142" s="2">
        <f t="shared" ca="1" si="15"/>
        <v>45525</v>
      </c>
      <c r="Y142">
        <f t="shared" ca="1" si="16"/>
        <v>0</v>
      </c>
      <c r="AA142" s="63">
        <f t="shared" ca="1" si="18"/>
        <v>76.371908508594018</v>
      </c>
      <c r="AB142" s="63">
        <f t="shared" ca="1" si="19"/>
        <v>76.371908508594004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45526</v>
      </c>
      <c r="K143">
        <f ca="1"/>
        <v>77.047582828645034</v>
      </c>
      <c r="L143">
        <f ca="1"/>
        <v>0</v>
      </c>
      <c r="M143">
        <f ca="1"/>
        <v>0.22400515951837008</v>
      </c>
      <c r="N143">
        <f ca="1"/>
        <v>0.45166916053265699</v>
      </c>
      <c r="O143">
        <f ca="1"/>
        <v>0</v>
      </c>
      <c r="P143">
        <f ca="1"/>
        <v>1.3386898147826627</v>
      </c>
      <c r="Q143">
        <f ca="1"/>
        <v>0</v>
      </c>
      <c r="R143">
        <f ca="1"/>
        <v>0</v>
      </c>
      <c r="S143">
        <f ca="1"/>
        <v>0.980028469041899</v>
      </c>
      <c r="T143">
        <f ca="1"/>
        <v>0</v>
      </c>
      <c r="U143">
        <f ca="1"/>
        <v>0</v>
      </c>
      <c r="V143">
        <f ca="1"/>
        <v>6.6928509242848624E-3</v>
      </c>
      <c r="X143" s="2">
        <f t="shared" ca="1" si="15"/>
        <v>45526</v>
      </c>
      <c r="Y143">
        <f t="shared" ca="1" si="16"/>
        <v>0</v>
      </c>
      <c r="AA143" s="63">
        <f t="shared" ca="1" si="18"/>
        <v>77.047582828645034</v>
      </c>
      <c r="AB143" s="63">
        <f t="shared" ca="1" si="19"/>
        <v>77.047582828645034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45527</v>
      </c>
      <c r="K144">
        <f ca="1"/>
        <v>77.745918555835743</v>
      </c>
      <c r="L144">
        <f ca="1"/>
        <v>0</v>
      </c>
      <c r="M144">
        <f ca="1"/>
        <v>0.22715149742766982</v>
      </c>
      <c r="N144">
        <f ca="1"/>
        <v>0.47118422976304208</v>
      </c>
      <c r="O144">
        <f ca="1"/>
        <v>0</v>
      </c>
      <c r="P144">
        <f ca="1"/>
        <v>1.3386898147826627</v>
      </c>
      <c r="Q144">
        <f ca="1"/>
        <v>0</v>
      </c>
      <c r="R144">
        <f ca="1"/>
        <v>0</v>
      </c>
      <c r="S144">
        <f ca="1"/>
        <v>0.98476747894386918</v>
      </c>
      <c r="T144">
        <f ca="1"/>
        <v>0</v>
      </c>
      <c r="U144">
        <f ca="1"/>
        <v>0</v>
      </c>
      <c r="V144">
        <f ca="1"/>
        <v>6.6928509242848624E-3</v>
      </c>
      <c r="X144" s="2">
        <f t="shared" ca="1" si="15"/>
        <v>45527</v>
      </c>
      <c r="Y144">
        <f t="shared" ca="1" si="16"/>
        <v>0</v>
      </c>
      <c r="AA144" s="63">
        <f t="shared" ca="1" si="18"/>
        <v>77.745918555835743</v>
      </c>
      <c r="AB144" s="63">
        <f t="shared" ca="1" si="19"/>
        <v>77.745918555835743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45528</v>
      </c>
      <c r="K145">
        <f ca="1"/>
        <v>78.470190587114018</v>
      </c>
      <c r="L145">
        <f ca="1"/>
        <v>0</v>
      </c>
      <c r="M145">
        <f ca="1"/>
        <v>0.23088265790837781</v>
      </c>
      <c r="N145">
        <f ca="1"/>
        <v>0.49338937336988758</v>
      </c>
      <c r="O145">
        <f ca="1"/>
        <v>0</v>
      </c>
      <c r="P145">
        <f ca="1"/>
        <v>1.3386898147826627</v>
      </c>
      <c r="Q145">
        <f ca="1"/>
        <v>0</v>
      </c>
      <c r="R145">
        <f ca="1"/>
        <v>0</v>
      </c>
      <c r="S145">
        <f ca="1"/>
        <v>0.98994068838466898</v>
      </c>
      <c r="T145">
        <f ca="1"/>
        <v>0</v>
      </c>
      <c r="U145">
        <f ca="1"/>
        <v>0</v>
      </c>
      <c r="V145">
        <f ca="1"/>
        <v>6.6928509242848624E-3</v>
      </c>
      <c r="X145" s="2">
        <f t="shared" ca="1" si="15"/>
        <v>45528</v>
      </c>
      <c r="Y145">
        <f t="shared" ca="1" si="16"/>
        <v>0</v>
      </c>
      <c r="AA145" s="63">
        <f t="shared" ca="1" si="18"/>
        <v>78.470190587114018</v>
      </c>
      <c r="AB145" s="63">
        <f t="shared" ca="1" si="19"/>
        <v>78.470190587114018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45529</v>
      </c>
      <c r="K146">
        <f ca="1"/>
        <v>79.216749293715452</v>
      </c>
      <c r="L146">
        <f ca="1"/>
        <v>0</v>
      </c>
      <c r="M146">
        <f ca="1"/>
        <v>0.2335999263894557</v>
      </c>
      <c r="N146">
        <f ca="1"/>
        <v>0.51295878021197994</v>
      </c>
      <c r="O146">
        <f ca="1"/>
        <v>0</v>
      </c>
      <c r="P146">
        <f ca="1"/>
        <v>1.3386898147826627</v>
      </c>
      <c r="Q146">
        <f ca="1"/>
        <v>0</v>
      </c>
      <c r="R146">
        <f ca="1"/>
        <v>0</v>
      </c>
      <c r="S146">
        <f ca="1"/>
        <v>0.97789965380247879</v>
      </c>
      <c r="T146">
        <f ca="1"/>
        <v>0</v>
      </c>
      <c r="U146">
        <f ca="1"/>
        <v>0</v>
      </c>
      <c r="V146">
        <f ca="1"/>
        <v>6.6928509242848624E-3</v>
      </c>
      <c r="X146" s="2">
        <f t="shared" ca="1" si="15"/>
        <v>45529</v>
      </c>
      <c r="Y146">
        <f t="shared" ca="1" si="16"/>
        <v>0</v>
      </c>
      <c r="AA146" s="63">
        <f t="shared" ca="1" si="18"/>
        <v>79.216749293715452</v>
      </c>
      <c r="AB146" s="63">
        <f t="shared" ca="1" si="19"/>
        <v>79.216749293715452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45530</v>
      </c>
      <c r="K147">
        <f ca="1"/>
        <v>79.918507665347079</v>
      </c>
      <c r="L147">
        <f ca="1"/>
        <v>0</v>
      </c>
      <c r="M147">
        <f ca="1"/>
        <v>0.22113978357914732</v>
      </c>
      <c r="N147">
        <f ca="1"/>
        <v>0.48061858805247931</v>
      </c>
      <c r="O147">
        <f ca="1"/>
        <v>0</v>
      </c>
      <c r="P147">
        <f ca="1"/>
        <v>1.3386898147826627</v>
      </c>
      <c r="Q147">
        <f ca="1"/>
        <v>0</v>
      </c>
      <c r="R147">
        <f ca="1"/>
        <v>0</v>
      </c>
      <c r="S147">
        <f ca="1"/>
        <v>0.97285813866960991</v>
      </c>
      <c r="T147">
        <f ca="1"/>
        <v>0</v>
      </c>
      <c r="U147">
        <f ca="1"/>
        <v>0</v>
      </c>
      <c r="V147">
        <f ca="1"/>
        <v>6.6928509242848624E-3</v>
      </c>
      <c r="X147" s="2">
        <f t="shared" ca="1" si="15"/>
        <v>45530</v>
      </c>
      <c r="Y147">
        <f t="shared" ca="1" si="16"/>
        <v>0</v>
      </c>
      <c r="AA147" s="63">
        <f t="shared" ca="1" si="18"/>
        <v>79.918507665347079</v>
      </c>
      <c r="AB147" s="63">
        <f t="shared" ca="1" si="19"/>
        <v>79.918507665347079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45531</v>
      </c>
      <c r="K148">
        <f ca="1"/>
        <v>80.649799438382928</v>
      </c>
      <c r="L148">
        <f ca="1"/>
        <v>0</v>
      </c>
      <c r="M148">
        <f ca="1"/>
        <v>0.22545713579182802</v>
      </c>
      <c r="N148">
        <f ca="1"/>
        <v>0.50583463724402045</v>
      </c>
      <c r="O148">
        <f ca="1"/>
        <v>0</v>
      </c>
      <c r="P148">
        <f ca="1"/>
        <v>1.3386898147826627</v>
      </c>
      <c r="Q148">
        <f ca="1"/>
        <v>0</v>
      </c>
      <c r="R148">
        <f ca="1"/>
        <v>0</v>
      </c>
      <c r="S148">
        <f ca="1"/>
        <v>0.96217002758815517</v>
      </c>
      <c r="T148">
        <f ca="1"/>
        <v>0</v>
      </c>
      <c r="U148">
        <f ca="1"/>
        <v>0</v>
      </c>
      <c r="V148">
        <f ca="1"/>
        <v>6.6928509242848624E-3</v>
      </c>
      <c r="X148" s="2">
        <f t="shared" ca="1" si="15"/>
        <v>45531</v>
      </c>
      <c r="Y148">
        <f t="shared" ca="1" si="16"/>
        <v>0</v>
      </c>
      <c r="AA148" s="63">
        <f t="shared" ca="1" si="18"/>
        <v>80.649799438382928</v>
      </c>
      <c r="AB148" s="63">
        <f t="shared" ca="1" si="19"/>
        <v>80.649799438382928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45532</v>
      </c>
      <c r="K149">
        <f ca="1"/>
        <v>81.382962286532745</v>
      </c>
      <c r="L149">
        <f ca="1"/>
        <v>0</v>
      </c>
      <c r="M149">
        <f ca="1"/>
        <v>0.22350021727677216</v>
      </c>
      <c r="N149">
        <f ca="1"/>
        <v>0.50966263087303321</v>
      </c>
      <c r="O149">
        <f ca="1"/>
        <v>0</v>
      </c>
      <c r="P149">
        <f ca="1"/>
        <v>1.3386898147826627</v>
      </c>
      <c r="Q149">
        <f ca="1"/>
        <v>0</v>
      </c>
      <c r="R149">
        <f ca="1"/>
        <v>0</v>
      </c>
      <c r="S149">
        <f ca="1"/>
        <v>0.96694110550820778</v>
      </c>
      <c r="T149">
        <f ca="1"/>
        <v>0</v>
      </c>
      <c r="U149">
        <f ca="1"/>
        <v>0</v>
      </c>
      <c r="V149">
        <f ca="1"/>
        <v>6.6928509242848624E-3</v>
      </c>
      <c r="X149" s="2">
        <f t="shared" ca="1" si="15"/>
        <v>45532</v>
      </c>
      <c r="Y149">
        <f t="shared" ca="1" si="16"/>
        <v>0</v>
      </c>
      <c r="AA149" s="63">
        <f t="shared" ca="1" si="18"/>
        <v>81.382962286532745</v>
      </c>
      <c r="AB149" s="63">
        <f t="shared" ca="1" si="19"/>
        <v>81.382962286532745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45533</v>
      </c>
      <c r="K150">
        <f ca="1"/>
        <v>82.128672067893206</v>
      </c>
      <c r="L150">
        <f ca="1"/>
        <v>0</v>
      </c>
      <c r="M150">
        <f ca="1"/>
        <v>0.22429030360780899</v>
      </c>
      <c r="N150">
        <f ca="1"/>
        <v>0.52141947775264819</v>
      </c>
      <c r="O150">
        <f ca="1"/>
        <v>0</v>
      </c>
      <c r="P150">
        <f ca="1"/>
        <v>1.3386898147826627</v>
      </c>
      <c r="Q150">
        <f ca="1"/>
        <v>0</v>
      </c>
      <c r="R150">
        <f ca="1"/>
        <v>0</v>
      </c>
      <c r="S150">
        <f ca="1"/>
        <v>0.95737400621083224</v>
      </c>
      <c r="T150">
        <f ca="1"/>
        <v>0</v>
      </c>
      <c r="U150">
        <f ca="1"/>
        <v>0</v>
      </c>
      <c r="V150">
        <f ca="1"/>
        <v>6.6928509242848624E-3</v>
      </c>
      <c r="X150" s="2">
        <f t="shared" ca="1" si="15"/>
        <v>45533</v>
      </c>
      <c r="Y150">
        <f t="shared" ca="1" si="16"/>
        <v>0</v>
      </c>
      <c r="AA150" s="63">
        <f t="shared" ca="1" si="18"/>
        <v>82.128672067893191</v>
      </c>
      <c r="AB150" s="63">
        <f t="shared" ca="1" si="19"/>
        <v>82.128672067893206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45534</v>
      </c>
      <c r="K151">
        <f ca="1"/>
        <v>82.799375180804716</v>
      </c>
      <c r="L151">
        <f ca="1"/>
        <v>0</v>
      </c>
      <c r="M151">
        <f ca="1"/>
        <v>0.20817127943308833</v>
      </c>
      <c r="N151">
        <f ca="1"/>
        <v>0.46253183347842591</v>
      </c>
      <c r="O151">
        <f ca="1"/>
        <v>0</v>
      </c>
      <c r="P151">
        <f ca="1"/>
        <v>1.3386898147826627</v>
      </c>
      <c r="Q151">
        <f ca="1"/>
        <v>0</v>
      </c>
      <c r="R151">
        <f ca="1"/>
        <v>0</v>
      </c>
      <c r="S151">
        <f ca="1"/>
        <v>0.93777618323729095</v>
      </c>
      <c r="T151">
        <f ca="1"/>
        <v>0</v>
      </c>
      <c r="U151">
        <f ca="1"/>
        <v>0</v>
      </c>
      <c r="V151">
        <f ca="1"/>
        <v>6.6928509242848624E-3</v>
      </c>
      <c r="X151" s="2">
        <f t="shared" ca="1" si="15"/>
        <v>45534</v>
      </c>
      <c r="Y151">
        <f t="shared" ca="1" si="16"/>
        <v>0</v>
      </c>
      <c r="AA151" s="63">
        <f t="shared" ca="1" si="18"/>
        <v>82.799375180804716</v>
      </c>
      <c r="AB151" s="63">
        <f t="shared" ca="1" si="19"/>
        <v>82.799375180804716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45535</v>
      </c>
      <c r="K152">
        <f ca="1"/>
        <v>83.461861099668099</v>
      </c>
      <c r="L152">
        <f ca="1"/>
        <v>0</v>
      </c>
      <c r="M152">
        <f ca="1"/>
        <v>0.20318288085772451</v>
      </c>
      <c r="N152">
        <f ca="1"/>
        <v>0.45930303800566147</v>
      </c>
      <c r="O152">
        <f ca="1"/>
        <v>0</v>
      </c>
      <c r="P152">
        <f ca="1"/>
        <v>1.3386898147826627</v>
      </c>
      <c r="Q152">
        <f ca="1"/>
        <v>0</v>
      </c>
      <c r="R152">
        <f ca="1"/>
        <v>0</v>
      </c>
      <c r="S152">
        <f ca="1"/>
        <v>0.94629501850431053</v>
      </c>
      <c r="T152">
        <f ca="1"/>
        <v>0</v>
      </c>
      <c r="U152">
        <f ca="1"/>
        <v>0</v>
      </c>
      <c r="V152">
        <f ca="1"/>
        <v>6.6928509242848624E-3</v>
      </c>
      <c r="X152" s="2">
        <f t="shared" ca="1" si="15"/>
        <v>45535</v>
      </c>
      <c r="Y152">
        <f t="shared" ca="1" si="16"/>
        <v>0</v>
      </c>
      <c r="AA152" s="63">
        <f t="shared" ca="1" si="18"/>
        <v>83.461861099668099</v>
      </c>
      <c r="AB152" s="63">
        <f t="shared" ca="1" si="19"/>
        <v>83.461861099668099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45536</v>
      </c>
      <c r="K153">
        <f ca="1"/>
        <v>84.175785178808766</v>
      </c>
      <c r="L153">
        <f ca="1"/>
        <v>0</v>
      </c>
      <c r="M153">
        <f ca="1"/>
        <v>0.21217317314593132</v>
      </c>
      <c r="N153">
        <f ca="1"/>
        <v>0.50175090599473759</v>
      </c>
      <c r="O153">
        <f ca="1"/>
        <v>0</v>
      </c>
      <c r="P153">
        <f ca="1"/>
        <v>1.3386898147826627</v>
      </c>
      <c r="Q153">
        <f ca="1"/>
        <v>0</v>
      </c>
      <c r="R153">
        <f ca="1"/>
        <v>0</v>
      </c>
      <c r="S153">
        <f ca="1"/>
        <v>0.94543372871908182</v>
      </c>
      <c r="T153">
        <f ca="1"/>
        <v>0</v>
      </c>
      <c r="U153">
        <f ca="1"/>
        <v>0</v>
      </c>
      <c r="V153">
        <f ca="1"/>
        <v>6.6928509242848624E-3</v>
      </c>
      <c r="X153" s="2">
        <f t="shared" ca="1" si="15"/>
        <v>45536</v>
      </c>
      <c r="Y153">
        <f t="shared" ca="1" si="16"/>
        <v>0</v>
      </c>
      <c r="AA153" s="63">
        <f t="shared" ca="1" si="18"/>
        <v>84.175785178808766</v>
      </c>
      <c r="AB153" s="63">
        <f t="shared" ca="1" si="19"/>
        <v>84.175785178808766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45537</v>
      </c>
      <c r="K154">
        <f ca="1"/>
        <v>84.896161042003754</v>
      </c>
      <c r="L154">
        <f ca="1"/>
        <v>0</v>
      </c>
      <c r="M154">
        <f ca="1"/>
        <v>0.20965644000004247</v>
      </c>
      <c r="N154">
        <f ca="1"/>
        <v>0.51071942319494745</v>
      </c>
      <c r="O154">
        <f ca="1"/>
        <v>0</v>
      </c>
      <c r="P154">
        <f ca="1"/>
        <v>1.3386898147826627</v>
      </c>
      <c r="Q154">
        <f ca="1"/>
        <v>0</v>
      </c>
      <c r="R154">
        <f ca="1"/>
        <v>0</v>
      </c>
      <c r="S154">
        <f ca="1"/>
        <v>0.9570406935839455</v>
      </c>
      <c r="T154">
        <f ca="1"/>
        <v>0</v>
      </c>
      <c r="U154">
        <f ca="1"/>
        <v>0</v>
      </c>
      <c r="V154">
        <f ca="1"/>
        <v>6.6928509242848624E-3</v>
      </c>
      <c r="X154" s="2">
        <f t="shared" ca="1" si="15"/>
        <v>45537</v>
      </c>
      <c r="Y154">
        <f t="shared" ca="1" si="16"/>
        <v>0</v>
      </c>
      <c r="AA154" s="63">
        <f t="shared" ca="1" si="18"/>
        <v>84.896161042003754</v>
      </c>
      <c r="AB154" s="63">
        <f t="shared" ca="1" si="19"/>
        <v>84.896161042003754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45538</v>
      </c>
      <c r="K155">
        <f ca="1"/>
        <v>85.6240658775383</v>
      </c>
      <c r="L155">
        <f ca="1"/>
        <v>0</v>
      </c>
      <c r="M155">
        <f ca="1"/>
        <v>0.21103406790628298</v>
      </c>
      <c r="N155">
        <f ca="1"/>
        <v>0.516870767628268</v>
      </c>
      <c r="O155">
        <f ca="1"/>
        <v>0</v>
      </c>
      <c r="P155">
        <f ca="1"/>
        <v>1.3386898147826627</v>
      </c>
      <c r="Q155">
        <f ca="1"/>
        <v>0</v>
      </c>
      <c r="R155">
        <f ca="1"/>
        <v>0</v>
      </c>
      <c r="S155">
        <f ca="1"/>
        <v>0.94100139598396926</v>
      </c>
      <c r="T155">
        <f ca="1"/>
        <v>0</v>
      </c>
      <c r="U155">
        <f ca="1"/>
        <v>0</v>
      </c>
      <c r="V155">
        <f ca="1"/>
        <v>6.6928509242848624E-3</v>
      </c>
      <c r="X155" s="2">
        <f t="shared" ca="1" si="15"/>
        <v>45538</v>
      </c>
      <c r="Y155">
        <f t="shared" ca="1" si="16"/>
        <v>0</v>
      </c>
      <c r="AA155" s="63">
        <f t="shared" ca="1" si="18"/>
        <v>85.6240658775383</v>
      </c>
      <c r="AB155" s="63">
        <f t="shared" ca="1" si="19"/>
        <v>85.6240658775383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45539</v>
      </c>
      <c r="K156">
        <f ca="1"/>
        <v>86.37071498582263</v>
      </c>
      <c r="L156">
        <f ca="1"/>
        <v>0</v>
      </c>
      <c r="M156">
        <f ca="1"/>
        <v>0.21454452544380942</v>
      </c>
      <c r="N156">
        <f ca="1"/>
        <v>0.53210458284051809</v>
      </c>
      <c r="O156">
        <f ca="1"/>
        <v>0</v>
      </c>
      <c r="P156">
        <f ca="1"/>
        <v>1.3386898147826627</v>
      </c>
      <c r="Q156">
        <f ca="1"/>
        <v>0</v>
      </c>
      <c r="R156">
        <f ca="1"/>
        <v>0</v>
      </c>
      <c r="S156">
        <f ca="1"/>
        <v>0.9264170337885882</v>
      </c>
      <c r="T156">
        <f ca="1"/>
        <v>0</v>
      </c>
      <c r="U156">
        <f ca="1"/>
        <v>0</v>
      </c>
      <c r="V156">
        <f ca="1"/>
        <v>6.6928509242848624E-3</v>
      </c>
      <c r="X156" s="2">
        <f t="shared" ca="1" si="15"/>
        <v>45539</v>
      </c>
      <c r="Y156">
        <f t="shared" ca="1" si="16"/>
        <v>0</v>
      </c>
      <c r="AA156" s="63">
        <f t="shared" ca="1" si="18"/>
        <v>86.37071498582263</v>
      </c>
      <c r="AB156" s="63">
        <f t="shared" ca="1" si="19"/>
        <v>86.37071498582263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45540</v>
      </c>
      <c r="K157">
        <f ca="1"/>
        <v>87.107250436147524</v>
      </c>
      <c r="L157">
        <f ca="1"/>
        <v>0</v>
      </c>
      <c r="M157">
        <f ca="1"/>
        <v>0.20774682844120917</v>
      </c>
      <c r="N157">
        <f ca="1"/>
        <v>0.52878862188368336</v>
      </c>
      <c r="O157">
        <f ca="1"/>
        <v>0</v>
      </c>
      <c r="P157">
        <f ca="1"/>
        <v>1.3386898147826627</v>
      </c>
      <c r="Q157">
        <f ca="1"/>
        <v>0</v>
      </c>
      <c r="R157">
        <f ca="1"/>
        <v>0</v>
      </c>
      <c r="S157">
        <f ca="1"/>
        <v>0.94231715148232797</v>
      </c>
      <c r="T157">
        <f ca="1"/>
        <v>0</v>
      </c>
      <c r="U157">
        <f ca="1"/>
        <v>0</v>
      </c>
      <c r="V157">
        <f ca="1"/>
        <v>6.6928509242848624E-3</v>
      </c>
      <c r="X157" s="2">
        <f t="shared" ca="1" si="15"/>
        <v>45540</v>
      </c>
      <c r="Y157">
        <f t="shared" ca="1" si="16"/>
        <v>0</v>
      </c>
      <c r="AA157" s="63">
        <f t="shared" ca="1" si="18"/>
        <v>87.107250436147524</v>
      </c>
      <c r="AB157" s="63">
        <f t="shared" ca="1" si="19"/>
        <v>87.107250436147524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45541</v>
      </c>
      <c r="K158">
        <f ca="1"/>
        <v>87.844644769679576</v>
      </c>
      <c r="L158">
        <f ca="1"/>
        <v>0</v>
      </c>
      <c r="M158">
        <f ca="1"/>
        <v>0.20483362248334913</v>
      </c>
      <c r="N158">
        <f ca="1"/>
        <v>0.53256071104869707</v>
      </c>
      <c r="O158">
        <f ca="1"/>
        <v>0</v>
      </c>
      <c r="P158">
        <f ca="1"/>
        <v>1.3386898147826627</v>
      </c>
      <c r="Q158">
        <f ca="1"/>
        <v>0</v>
      </c>
      <c r="R158">
        <f ca="1"/>
        <v>0</v>
      </c>
      <c r="S158">
        <f ca="1"/>
        <v>0.94715536471460149</v>
      </c>
      <c r="T158">
        <f ca="1"/>
        <v>0</v>
      </c>
      <c r="U158">
        <f ca="1"/>
        <v>0</v>
      </c>
      <c r="V158">
        <f ca="1"/>
        <v>6.6928509242848624E-3</v>
      </c>
      <c r="X158" s="2">
        <f t="shared" ca="1" si="15"/>
        <v>45541</v>
      </c>
      <c r="Y158">
        <f t="shared" ca="1" si="16"/>
        <v>0</v>
      </c>
      <c r="AA158" s="63">
        <f t="shared" ca="1" si="18"/>
        <v>87.844644769679576</v>
      </c>
      <c r="AB158" s="63">
        <f t="shared" ca="1" si="19"/>
        <v>87.844644769679576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45542</v>
      </c>
      <c r="K159">
        <f ca="1"/>
        <v>88.518814164261556</v>
      </c>
      <c r="L159">
        <f ca="1"/>
        <v>0</v>
      </c>
      <c r="M159">
        <f ca="1"/>
        <v>0.1882563232548975</v>
      </c>
      <c r="N159">
        <f ca="1"/>
        <v>0.48591307132708489</v>
      </c>
      <c r="O159">
        <f ca="1"/>
        <v>0</v>
      </c>
      <c r="P159">
        <f ca="1"/>
        <v>1.3386898147826627</v>
      </c>
      <c r="Q159">
        <f ca="1"/>
        <v>0</v>
      </c>
      <c r="R159">
        <f ca="1"/>
        <v>0</v>
      </c>
      <c r="S159">
        <f ca="1"/>
        <v>0.97250035649392708</v>
      </c>
      <c r="T159">
        <f ca="1"/>
        <v>0</v>
      </c>
      <c r="U159">
        <f ca="1"/>
        <v>0</v>
      </c>
      <c r="V159">
        <f ca="1"/>
        <v>6.6928509242848624E-3</v>
      </c>
      <c r="X159" s="2">
        <f t="shared" ca="1" si="15"/>
        <v>45542</v>
      </c>
      <c r="Y159">
        <f t="shared" ca="1" si="16"/>
        <v>0</v>
      </c>
      <c r="AA159" s="63">
        <f t="shared" ca="1" si="18"/>
        <v>88.51881416426157</v>
      </c>
      <c r="AB159" s="63">
        <f t="shared" ca="1" si="19"/>
        <v>88.518814164261556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45543</v>
      </c>
      <c r="K160">
        <f ca="1"/>
        <v>89.192492651883938</v>
      </c>
      <c r="L160">
        <f ca="1"/>
        <v>0</v>
      </c>
      <c r="M160">
        <f ca="1"/>
        <v>0.18770576861273369</v>
      </c>
      <c r="N160">
        <f ca="1"/>
        <v>0.48597271900965167</v>
      </c>
      <c r="O160">
        <f ca="1"/>
        <v>0</v>
      </c>
      <c r="P160">
        <f ca="1"/>
        <v>1.3386898147826627</v>
      </c>
      <c r="Q160">
        <f ca="1"/>
        <v>0</v>
      </c>
      <c r="R160">
        <f ca="1"/>
        <v>0</v>
      </c>
      <c r="S160">
        <f ca="1"/>
        <v>0.94667228734679665</v>
      </c>
      <c r="T160">
        <f ca="1"/>
        <v>0</v>
      </c>
      <c r="U160">
        <f ca="1"/>
        <v>0</v>
      </c>
      <c r="V160">
        <f ca="1"/>
        <v>6.6928509242848624E-3</v>
      </c>
      <c r="X160" s="2">
        <f t="shared" ca="1" si="15"/>
        <v>45543</v>
      </c>
      <c r="Y160">
        <f t="shared" ca="1" si="16"/>
        <v>0</v>
      </c>
      <c r="AA160" s="63">
        <f t="shared" ca="1" si="18"/>
        <v>89.192492651883938</v>
      </c>
      <c r="AB160" s="63">
        <f t="shared" ca="1" si="19"/>
        <v>89.192492651883938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45544</v>
      </c>
      <c r="K161">
        <f ca="1"/>
        <v>89.938583648560666</v>
      </c>
      <c r="L161">
        <f ca="1"/>
        <v>0</v>
      </c>
      <c r="M161">
        <f ca="1"/>
        <v>0.19948068167612121</v>
      </c>
      <c r="N161">
        <f ca="1"/>
        <v>0.54661031500060564</v>
      </c>
      <c r="O161">
        <f ca="1"/>
        <v>0</v>
      </c>
      <c r="P161">
        <f ca="1"/>
        <v>1.3386898147826627</v>
      </c>
      <c r="Q161">
        <f ca="1"/>
        <v>0</v>
      </c>
      <c r="R161">
        <f ca="1"/>
        <v>0</v>
      </c>
      <c r="S161">
        <f ca="1"/>
        <v>0.94785657749198449</v>
      </c>
      <c r="T161">
        <f ca="1"/>
        <v>0</v>
      </c>
      <c r="U161">
        <f ca="1"/>
        <v>0</v>
      </c>
      <c r="V161">
        <f ca="1"/>
        <v>6.6928509242848624E-3</v>
      </c>
      <c r="X161" s="2">
        <f t="shared" ca="1" si="15"/>
        <v>45544</v>
      </c>
      <c r="Y161">
        <f t="shared" ca="1" si="16"/>
        <v>0</v>
      </c>
      <c r="AA161" s="63">
        <f t="shared" ca="1" si="18"/>
        <v>89.938583648560666</v>
      </c>
      <c r="AB161" s="63">
        <f t="shared" ca="1" si="19"/>
        <v>89.938583648560666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45545</v>
      </c>
      <c r="K162">
        <f ca="1"/>
        <v>90.696176590052744</v>
      </c>
      <c r="L162">
        <f ca="1"/>
        <v>0</v>
      </c>
      <c r="M162">
        <f ca="1"/>
        <v>0.20067864712692796</v>
      </c>
      <c r="N162">
        <f ca="1"/>
        <v>0.55691429436514484</v>
      </c>
      <c r="O162">
        <f ca="1"/>
        <v>0</v>
      </c>
      <c r="P162">
        <f ca="1"/>
        <v>1.3386898147826627</v>
      </c>
      <c r="Q162">
        <f ca="1"/>
        <v>0</v>
      </c>
      <c r="R162">
        <f ca="1"/>
        <v>0</v>
      </c>
      <c r="S162">
        <f ca="1"/>
        <v>0.93707754513745822</v>
      </c>
      <c r="T162">
        <f ca="1"/>
        <v>0</v>
      </c>
      <c r="U162">
        <f ca="1"/>
        <v>0</v>
      </c>
      <c r="V162">
        <f ca="1"/>
        <v>6.6928509242848624E-3</v>
      </c>
      <c r="X162" s="2">
        <f t="shared" ca="1" si="15"/>
        <v>45545</v>
      </c>
      <c r="Y162">
        <f t="shared" ca="1" si="16"/>
        <v>0</v>
      </c>
      <c r="AA162" s="63">
        <f t="shared" ca="1" si="18"/>
        <v>90.69617659005273</v>
      </c>
      <c r="AB162" s="63">
        <f t="shared" ca="1" si="19"/>
        <v>90.696176590052744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45546</v>
      </c>
      <c r="K163">
        <f ca="1"/>
        <v>91.426004375509748</v>
      </c>
      <c r="L163">
        <f ca="1"/>
        <v>0</v>
      </c>
      <c r="M163">
        <f ca="1"/>
        <v>0.19165709276073173</v>
      </c>
      <c r="N163">
        <f ca="1"/>
        <v>0.5381706926962645</v>
      </c>
      <c r="O163">
        <f ca="1"/>
        <v>0</v>
      </c>
      <c r="P163">
        <f ca="1"/>
        <v>1.3386898147826627</v>
      </c>
      <c r="Q163">
        <f ca="1"/>
        <v>0</v>
      </c>
      <c r="R163">
        <f ca="1"/>
        <v>0</v>
      </c>
      <c r="S163">
        <f ca="1"/>
        <v>0.9462905698988644</v>
      </c>
      <c r="T163">
        <f ca="1"/>
        <v>0</v>
      </c>
      <c r="U163">
        <f ca="1"/>
        <v>0</v>
      </c>
      <c r="V163">
        <f ca="1"/>
        <v>6.6928509242848624E-3</v>
      </c>
      <c r="X163" s="2">
        <f t="shared" ca="1" si="15"/>
        <v>45546</v>
      </c>
      <c r="Y163">
        <f t="shared" ca="1" si="16"/>
        <v>0</v>
      </c>
      <c r="AA163" s="63">
        <f t="shared" ca="1" si="18"/>
        <v>91.426004375509748</v>
      </c>
      <c r="AB163" s="63">
        <f t="shared" ca="1" si="19"/>
        <v>91.426004375509748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45547</v>
      </c>
      <c r="K164">
        <f ca="1"/>
        <v>92.168910328459077</v>
      </c>
      <c r="L164">
        <f ca="1"/>
        <v>0</v>
      </c>
      <c r="M164">
        <f ca="1"/>
        <v>0.19334080882688198</v>
      </c>
      <c r="N164">
        <f ca="1"/>
        <v>0.54956514412244473</v>
      </c>
      <c r="O164">
        <f ca="1"/>
        <v>0</v>
      </c>
      <c r="P164">
        <f ca="1"/>
        <v>1.3386898147826627</v>
      </c>
      <c r="Q164">
        <f ca="1"/>
        <v>0</v>
      </c>
      <c r="R164">
        <f ca="1"/>
        <v>0</v>
      </c>
      <c r="S164">
        <f ca="1"/>
        <v>0.93390614219136281</v>
      </c>
      <c r="T164">
        <f ca="1"/>
        <v>0</v>
      </c>
      <c r="U164">
        <f ca="1"/>
        <v>0</v>
      </c>
      <c r="V164">
        <f ca="1"/>
        <v>6.6928509242848624E-3</v>
      </c>
      <c r="X164" s="2">
        <f t="shared" ca="1" si="15"/>
        <v>45547</v>
      </c>
      <c r="Y164">
        <f t="shared" ca="1" si="16"/>
        <v>0</v>
      </c>
      <c r="AA164" s="63">
        <f t="shared" ca="1" si="18"/>
        <v>92.168910328459063</v>
      </c>
      <c r="AB164" s="63">
        <f t="shared" ca="1" si="19"/>
        <v>92.168910328459077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45548</v>
      </c>
      <c r="K165">
        <f ca="1"/>
        <v>92.886822861301397</v>
      </c>
      <c r="L165">
        <f ca="1"/>
        <v>0</v>
      </c>
      <c r="M165">
        <f ca="1"/>
        <v>0.19018561507052567</v>
      </c>
      <c r="N165">
        <f ca="1"/>
        <v>0.5277269177717846</v>
      </c>
      <c r="O165">
        <f ca="1"/>
        <v>0</v>
      </c>
      <c r="P165">
        <f ca="1"/>
        <v>1.3386898147826627</v>
      </c>
      <c r="Q165">
        <f ca="1"/>
        <v>0</v>
      </c>
      <c r="R165">
        <f ca="1"/>
        <v>0</v>
      </c>
      <c r="S165">
        <f ca="1"/>
        <v>0.90259556069167179</v>
      </c>
      <c r="T165">
        <f ca="1"/>
        <v>0</v>
      </c>
      <c r="U165">
        <f ca="1"/>
        <v>0</v>
      </c>
      <c r="V165">
        <f ca="1"/>
        <v>6.6928509242848624E-3</v>
      </c>
      <c r="X165" s="2">
        <f t="shared" ca="1" si="15"/>
        <v>45548</v>
      </c>
      <c r="Y165">
        <f t="shared" ca="1" si="16"/>
        <v>0</v>
      </c>
      <c r="AA165" s="63">
        <f t="shared" ca="1" si="18"/>
        <v>92.886822861301397</v>
      </c>
      <c r="AB165" s="63">
        <f t="shared" ca="1" si="19"/>
        <v>92.886822861301397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45549</v>
      </c>
      <c r="K166">
        <f ca="1"/>
        <v>93.630857137818637</v>
      </c>
      <c r="L166">
        <f ca="1"/>
        <v>0</v>
      </c>
      <c r="M166">
        <f ca="1"/>
        <v>0.19295085390282551</v>
      </c>
      <c r="N166">
        <f ca="1"/>
        <v>0.55108342261440646</v>
      </c>
      <c r="O166">
        <f ca="1"/>
        <v>0</v>
      </c>
      <c r="P166">
        <f ca="1"/>
        <v>1.3386898147826627</v>
      </c>
      <c r="Q166">
        <f ca="1"/>
        <v>0</v>
      </c>
      <c r="R166">
        <f ca="1"/>
        <v>0</v>
      </c>
      <c r="S166">
        <f ca="1"/>
        <v>0.90109504258145612</v>
      </c>
      <c r="T166">
        <f ca="1"/>
        <v>0</v>
      </c>
      <c r="U166">
        <f ca="1"/>
        <v>0</v>
      </c>
      <c r="V166">
        <f ca="1"/>
        <v>6.6928509242848624E-3</v>
      </c>
      <c r="X166" s="2">
        <f t="shared" ca="1" si="15"/>
        <v>45549</v>
      </c>
      <c r="Y166">
        <f t="shared" ca="1" si="16"/>
        <v>0</v>
      </c>
      <c r="AA166" s="63">
        <f t="shared" ca="1" si="18"/>
        <v>93.630857137818637</v>
      </c>
      <c r="AB166" s="63">
        <f t="shared" ca="1" si="19"/>
        <v>93.630857137818637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45550</v>
      </c>
      <c r="K167">
        <f ca="1"/>
        <v>94.334062717133989</v>
      </c>
      <c r="L167">
        <f ca="1"/>
        <v>0</v>
      </c>
      <c r="M167">
        <f ca="1"/>
        <v>0.18289865275143313</v>
      </c>
      <c r="N167">
        <f ca="1"/>
        <v>0.52030692656391853</v>
      </c>
      <c r="O167">
        <f ca="1"/>
        <v>0</v>
      </c>
      <c r="P167">
        <f ca="1"/>
        <v>1.3386898147826627</v>
      </c>
      <c r="Q167">
        <f ca="1"/>
        <v>0</v>
      </c>
      <c r="R167">
        <f ca="1"/>
        <v>0</v>
      </c>
      <c r="S167">
        <f ca="1"/>
        <v>0.89961342320471871</v>
      </c>
      <c r="T167">
        <f ca="1"/>
        <v>0</v>
      </c>
      <c r="U167">
        <f ca="1"/>
        <v>0</v>
      </c>
      <c r="V167">
        <f ca="1"/>
        <v>6.6928509242848624E-3</v>
      </c>
      <c r="X167" s="2">
        <f t="shared" ca="1" si="15"/>
        <v>45550</v>
      </c>
      <c r="Y167">
        <f t="shared" ca="1" si="16"/>
        <v>0</v>
      </c>
      <c r="AA167" s="63">
        <f t="shared" ca="1" si="18"/>
        <v>94.334062717133989</v>
      </c>
      <c r="AB167" s="63">
        <f t="shared" ca="1" si="19"/>
        <v>94.334062717133989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45551</v>
      </c>
      <c r="K168">
        <f ca="1"/>
        <v>95.020108385231907</v>
      </c>
      <c r="L168">
        <f ca="1"/>
        <v>0</v>
      </c>
      <c r="M168">
        <f ca="1"/>
        <v>0.17879200488787816</v>
      </c>
      <c r="N168">
        <f ca="1"/>
        <v>0.50725366321003473</v>
      </c>
      <c r="O168">
        <f ca="1"/>
        <v>0</v>
      </c>
      <c r="P168">
        <f ca="1"/>
        <v>1.3386898147826627</v>
      </c>
      <c r="Q168">
        <f ca="1"/>
        <v>0</v>
      </c>
      <c r="R168">
        <f ca="1"/>
        <v>0</v>
      </c>
      <c r="S168">
        <f ca="1"/>
        <v>0.88782116931696775</v>
      </c>
      <c r="T168">
        <f ca="1"/>
        <v>0</v>
      </c>
      <c r="U168">
        <f ca="1"/>
        <v>0</v>
      </c>
      <c r="V168">
        <f ca="1"/>
        <v>6.6928509242848624E-3</v>
      </c>
      <c r="X168" s="2">
        <f t="shared" ca="1" si="15"/>
        <v>45551</v>
      </c>
      <c r="Y168">
        <f t="shared" ca="1" si="16"/>
        <v>0</v>
      </c>
      <c r="AA168" s="63">
        <f t="shared" ca="1" si="18"/>
        <v>95.020108385231907</v>
      </c>
      <c r="AB168" s="63">
        <f t="shared" ca="1" si="19"/>
        <v>95.020108385231907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45552</v>
      </c>
      <c r="K169">
        <f ca="1"/>
        <v>95.670678638123661</v>
      </c>
      <c r="L169">
        <f ca="1"/>
        <v>0</v>
      </c>
      <c r="M169">
        <f ca="1"/>
        <v>0.1705119591017521</v>
      </c>
      <c r="N169">
        <f ca="1"/>
        <v>0.4800582937899931</v>
      </c>
      <c r="O169">
        <f ca="1"/>
        <v>0</v>
      </c>
      <c r="P169">
        <f ca="1"/>
        <v>1.3386898147826627</v>
      </c>
      <c r="Q169">
        <f ca="1"/>
        <v>0</v>
      </c>
      <c r="R169">
        <f ca="1"/>
        <v>0</v>
      </c>
      <c r="S169">
        <f ca="1"/>
        <v>0.88256717819349639</v>
      </c>
      <c r="T169">
        <f ca="1"/>
        <v>0</v>
      </c>
      <c r="U169">
        <f ca="1"/>
        <v>0</v>
      </c>
      <c r="V169">
        <f ca="1"/>
        <v>6.6928509242848624E-3</v>
      </c>
      <c r="X169" s="2">
        <f t="shared" ca="1" si="15"/>
        <v>45552</v>
      </c>
      <c r="Y169">
        <f t="shared" ca="1" si="16"/>
        <v>0</v>
      </c>
      <c r="AA169" s="63">
        <f t="shared" ca="1" si="18"/>
        <v>95.670678638123661</v>
      </c>
      <c r="AB169" s="63">
        <f t="shared" ca="1" si="19"/>
        <v>95.670678638123661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45553</v>
      </c>
      <c r="K170">
        <f ca="1"/>
        <v>96.367936144834573</v>
      </c>
      <c r="L170">
        <f ca="1"/>
        <v>0</v>
      </c>
      <c r="M170">
        <f ca="1"/>
        <v>0.17668289818831084</v>
      </c>
      <c r="N170">
        <f ca="1"/>
        <v>0.52057460852260429</v>
      </c>
      <c r="O170">
        <f ca="1"/>
        <v>0</v>
      </c>
      <c r="P170">
        <f ca="1"/>
        <v>1.3386898147826627</v>
      </c>
      <c r="Q170">
        <f ca="1"/>
        <v>0</v>
      </c>
      <c r="R170">
        <f ca="1"/>
        <v>0</v>
      </c>
      <c r="S170">
        <f ca="1"/>
        <v>0.88535330198936624</v>
      </c>
      <c r="T170">
        <f ca="1"/>
        <v>0</v>
      </c>
      <c r="U170">
        <f ca="1"/>
        <v>0</v>
      </c>
      <c r="V170">
        <f ca="1"/>
        <v>6.6928509242848624E-3</v>
      </c>
      <c r="X170" s="2">
        <f t="shared" ca="1" si="15"/>
        <v>45553</v>
      </c>
      <c r="Y170">
        <f t="shared" ca="1" si="16"/>
        <v>0</v>
      </c>
      <c r="AA170" s="63">
        <f t="shared" ca="1" si="18"/>
        <v>96.367936144834587</v>
      </c>
      <c r="AB170" s="63">
        <f t="shared" ca="1" si="19"/>
        <v>96.367936144834573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45554</v>
      </c>
      <c r="K171">
        <f ca="1"/>
        <v>97.067708654858947</v>
      </c>
      <c r="L171">
        <f ca="1"/>
        <v>0</v>
      </c>
      <c r="M171">
        <f ca="1"/>
        <v>0.17758783231755615</v>
      </c>
      <c r="N171">
        <f ca="1"/>
        <v>0.52218467770682186</v>
      </c>
      <c r="O171">
        <f ca="1"/>
        <v>0</v>
      </c>
      <c r="P171">
        <f ca="1"/>
        <v>1.3386898147826627</v>
      </c>
      <c r="Q171">
        <f ca="1"/>
        <v>0</v>
      </c>
      <c r="R171">
        <f ca="1"/>
        <v>0</v>
      </c>
      <c r="S171">
        <f ca="1"/>
        <v>0.86287078689710828</v>
      </c>
      <c r="T171">
        <f ca="1"/>
        <v>0</v>
      </c>
      <c r="U171">
        <f ca="1"/>
        <v>0</v>
      </c>
      <c r="V171">
        <f ca="1"/>
        <v>6.6928509242848624E-3</v>
      </c>
      <c r="X171" s="2">
        <f t="shared" ca="1" si="15"/>
        <v>45554</v>
      </c>
      <c r="Y171">
        <f t="shared" ca="1" si="16"/>
        <v>0</v>
      </c>
      <c r="AA171" s="63">
        <f t="shared" ca="1" si="18"/>
        <v>97.067708654858947</v>
      </c>
      <c r="AB171" s="63">
        <f t="shared" ca="1" si="19"/>
        <v>97.067708654858947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45555</v>
      </c>
      <c r="K172">
        <f ca="1"/>
        <v>97.736648346864982</v>
      </c>
      <c r="L172">
        <f ca="1"/>
        <v>0</v>
      </c>
      <c r="M172">
        <f ca="1"/>
        <v>0.16945758660211752</v>
      </c>
      <c r="N172">
        <f ca="1"/>
        <v>0.4994821054039203</v>
      </c>
      <c r="O172">
        <f ca="1"/>
        <v>0</v>
      </c>
      <c r="P172">
        <f ca="1"/>
        <v>1.3386898147826627</v>
      </c>
      <c r="Q172">
        <f ca="1"/>
        <v>0</v>
      </c>
      <c r="R172">
        <f ca="1"/>
        <v>0</v>
      </c>
      <c r="S172">
        <f ca="1"/>
        <v>0.86352841331109009</v>
      </c>
      <c r="T172">
        <f ca="1"/>
        <v>0</v>
      </c>
      <c r="U172">
        <f ca="1"/>
        <v>0</v>
      </c>
      <c r="V172">
        <f ca="1"/>
        <v>6.6928509242848624E-3</v>
      </c>
      <c r="X172" s="2">
        <f t="shared" ca="1" si="15"/>
        <v>45555</v>
      </c>
      <c r="Y172">
        <f t="shared" ca="1" si="16"/>
        <v>0</v>
      </c>
      <c r="AA172" s="63">
        <f t="shared" ca="1" si="18"/>
        <v>97.736648346864982</v>
      </c>
      <c r="AB172" s="63">
        <f t="shared" ca="1" si="19"/>
        <v>97.736648346864982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45556</v>
      </c>
      <c r="K173">
        <f ca="1"/>
        <v>97.338766122887321</v>
      </c>
      <c r="L173">
        <f ca="1"/>
        <v>1.0353288923813406</v>
      </c>
      <c r="M173">
        <f ca="1"/>
        <v>0.15945080509283827</v>
      </c>
      <c r="N173">
        <f ca="1"/>
        <v>0.47799586331084187</v>
      </c>
      <c r="O173">
        <f ca="1"/>
        <v>0</v>
      </c>
      <c r="P173">
        <f ca="1"/>
        <v>2.3740187071640033</v>
      </c>
      <c r="Q173">
        <f ca="1"/>
        <v>0</v>
      </c>
      <c r="R173">
        <f ca="1"/>
        <v>0</v>
      </c>
      <c r="S173">
        <f ca="1"/>
        <v>0.88252241717574209</v>
      </c>
      <c r="T173">
        <f ca="1"/>
        <v>0</v>
      </c>
      <c r="U173">
        <f ca="1"/>
        <v>0</v>
      </c>
      <c r="V173">
        <f ca="1"/>
        <v>2.7795114167965325E-2</v>
      </c>
      <c r="X173" s="2">
        <f t="shared" ca="1" si="15"/>
        <v>45556</v>
      </c>
      <c r="Y173">
        <f t="shared" ca="1" si="16"/>
        <v>0</v>
      </c>
      <c r="AA173" s="63">
        <f t="shared" ca="1" si="18"/>
        <v>98.374095015268665</v>
      </c>
      <c r="AB173" s="63">
        <f t="shared" ca="1" si="19"/>
        <v>98.374095015268665</v>
      </c>
      <c r="AC173" s="3">
        <f t="shared" ca="1" si="20"/>
        <v>0</v>
      </c>
    </row>
    <row r="174" spans="8:29">
      <c r="H174" t="b">
        <f t="shared" ca="1" si="17"/>
        <v>1</v>
      </c>
      <c r="I174" t="b">
        <f t="shared" ca="1" si="14"/>
        <v>1</v>
      </c>
      <c r="J174" s="2">
        <f ca="1"/>
        <v>45557</v>
      </c>
      <c r="K174">
        <f ca="1"/>
        <v>94.247451328965724</v>
      </c>
      <c r="L174">
        <f ca="1"/>
        <v>3.7532950060044854</v>
      </c>
      <c r="M174">
        <f ca="1"/>
        <v>0.16271333219305006</v>
      </c>
      <c r="N174">
        <f ca="1"/>
        <v>0.49926687988984031</v>
      </c>
      <c r="O174">
        <f ca="1"/>
        <v>0</v>
      </c>
      <c r="P174">
        <f ca="1"/>
        <v>6.1273137131684887</v>
      </c>
      <c r="Q174">
        <f ca="1"/>
        <v>0</v>
      </c>
      <c r="R174">
        <f ca="1"/>
        <v>0</v>
      </c>
      <c r="S174">
        <f ca="1"/>
        <v>0.87375093700730977</v>
      </c>
      <c r="T174">
        <f ca="1"/>
        <v>0</v>
      </c>
      <c r="U174">
        <f ca="1"/>
        <v>0</v>
      </c>
      <c r="V174">
        <f ca="1"/>
        <v>0.24299231051914963</v>
      </c>
      <c r="X174" s="2">
        <f t="shared" ca="1" si="15"/>
        <v>45557</v>
      </c>
      <c r="Y174">
        <f t="shared" ca="1" si="16"/>
        <v>0</v>
      </c>
      <c r="AA174" s="63">
        <f t="shared" ca="1" si="18"/>
        <v>98.000746334970216</v>
      </c>
      <c r="AB174" s="63">
        <f t="shared" ca="1" si="19"/>
        <v>98.000746334970216</v>
      </c>
      <c r="AC174" s="3">
        <f t="shared" ca="1" si="20"/>
        <v>0</v>
      </c>
    </row>
    <row r="175" spans="8:29">
      <c r="H175" t="b">
        <f t="shared" ca="1" si="17"/>
        <v>1</v>
      </c>
      <c r="I175" t="b">
        <f t="shared" ca="1" si="14"/>
        <v>1</v>
      </c>
      <c r="J175" s="2">
        <f ca="1"/>
        <v>45558</v>
      </c>
      <c r="K175">
        <f ca="1"/>
        <v>107.26472529051328</v>
      </c>
      <c r="L175">
        <f ca="1"/>
        <v>9.7620093392964726</v>
      </c>
      <c r="M175">
        <f ca="1"/>
        <v>0.16154812854975376</v>
      </c>
      <c r="N175">
        <f ca="1"/>
        <v>0.50455737008837609</v>
      </c>
      <c r="O175">
        <f ca="1"/>
        <v>22.113177802205897</v>
      </c>
      <c r="P175">
        <f ca="1"/>
        <v>15.889323052464961</v>
      </c>
      <c r="Q175">
        <f ca="1"/>
        <v>0</v>
      </c>
      <c r="R175">
        <f ca="1"/>
        <v>0</v>
      </c>
      <c r="S175">
        <f ca="1"/>
        <v>0.87142021755624</v>
      </c>
      <c r="T175">
        <f ca="1"/>
        <v>0</v>
      </c>
      <c r="U175">
        <f ca="1"/>
        <v>0</v>
      </c>
      <c r="V175">
        <f ca="1"/>
        <v>0.79819209986710826</v>
      </c>
      <c r="X175" s="2">
        <f t="shared" ca="1" si="15"/>
        <v>45558</v>
      </c>
      <c r="Y175">
        <f t="shared" ca="1" si="16"/>
        <v>22.113177802205897</v>
      </c>
      <c r="AA175" s="63">
        <f t="shared" ca="1" si="18"/>
        <v>117.02673462980975</v>
      </c>
      <c r="AB175" s="63">
        <f t="shared" ca="1" si="19"/>
        <v>117.02673462980975</v>
      </c>
      <c r="AC175" s="3">
        <f t="shared" ca="1" si="20"/>
        <v>0</v>
      </c>
    </row>
    <row r="176" spans="8:29">
      <c r="H176" t="b">
        <f t="shared" ca="1" si="17"/>
        <v>1</v>
      </c>
      <c r="I176" t="b">
        <f t="shared" ca="1" si="14"/>
        <v>1</v>
      </c>
      <c r="J176" s="2">
        <f ca="1"/>
        <v>45559</v>
      </c>
      <c r="K176">
        <f ca="1"/>
        <v>110.01541197309308</v>
      </c>
      <c r="L176">
        <f ca="1"/>
        <v>20.010686856424037</v>
      </c>
      <c r="M176">
        <f ca="1"/>
        <v>0.15611692771282293</v>
      </c>
      <c r="N176">
        <f ca="1"/>
        <v>0.47416904724489461</v>
      </c>
      <c r="O176">
        <f ca="1"/>
        <v>22.131087564046105</v>
      </c>
      <c r="P176">
        <f ca="1"/>
        <v>35.900009908888997</v>
      </c>
      <c r="Q176">
        <f ca="1"/>
        <v>0</v>
      </c>
      <c r="R176">
        <f ca="1"/>
        <v>0</v>
      </c>
      <c r="S176">
        <f ca="1"/>
        <v>0.84416499334475992</v>
      </c>
      <c r="T176">
        <f ca="1"/>
        <v>0</v>
      </c>
      <c r="U176">
        <f ca="1"/>
        <v>0</v>
      </c>
      <c r="V176">
        <f ca="1"/>
        <v>0.97588196619475664</v>
      </c>
      <c r="X176" s="2">
        <f t="shared" ca="1" si="15"/>
        <v>45559</v>
      </c>
      <c r="Y176">
        <f t="shared" ca="1" si="16"/>
        <v>22.131087564046105</v>
      </c>
      <c r="AA176" s="63">
        <f t="shared" ca="1" si="18"/>
        <v>130.02609882951711</v>
      </c>
      <c r="AB176" s="63">
        <f t="shared" ca="1" si="19"/>
        <v>130.02609882951711</v>
      </c>
      <c r="AC176" s="3">
        <f t="shared" ca="1" si="20"/>
        <v>0</v>
      </c>
    </row>
    <row r="177" spans="8:29">
      <c r="H177" t="b">
        <f t="shared" ca="1" si="17"/>
        <v>1</v>
      </c>
      <c r="I177" t="b">
        <f t="shared" ca="1" si="14"/>
        <v>1</v>
      </c>
      <c r="J177" s="2">
        <f ca="1"/>
        <v>45560</v>
      </c>
      <c r="K177">
        <f ca="1"/>
        <v>84.288295109549708</v>
      </c>
      <c r="L177">
        <f ca="1"/>
        <v>48.488490402547178</v>
      </c>
      <c r="M177">
        <f ca="1"/>
        <v>0.1641066280132506</v>
      </c>
      <c r="N177">
        <f ca="1"/>
        <v>0.51031709717871365</v>
      </c>
      <c r="O177">
        <f ca="1"/>
        <v>22.086949813811849</v>
      </c>
      <c r="P177">
        <f ca="1"/>
        <v>84.388500311436175</v>
      </c>
      <c r="Q177">
        <f ca="1"/>
        <v>0</v>
      </c>
      <c r="R177">
        <f ca="1"/>
        <v>0</v>
      </c>
      <c r="S177">
        <f ca="1"/>
        <v>0.82454506830350804</v>
      </c>
      <c r="T177">
        <f ca="1"/>
        <v>0</v>
      </c>
      <c r="U177">
        <f ca="1"/>
        <v>0</v>
      </c>
      <c r="V177">
        <f ca="1"/>
        <v>0.99878597931553936</v>
      </c>
      <c r="X177" s="2">
        <f t="shared" ca="1" si="15"/>
        <v>45560</v>
      </c>
      <c r="Y177">
        <f t="shared" ca="1" si="16"/>
        <v>22.086949813811849</v>
      </c>
      <c r="AA177" s="63">
        <f t="shared" ca="1" si="18"/>
        <v>132.77678551209689</v>
      </c>
      <c r="AB177" s="63">
        <f t="shared" ca="1" si="19"/>
        <v>132.77678551209689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1</v>
      </c>
      <c r="J178" s="2">
        <f ca="1"/>
        <v>45561</v>
      </c>
      <c r="K178">
        <f ca="1"/>
        <v>29.325576274808029</v>
      </c>
      <c r="L178">
        <f ca="1"/>
        <v>55.611499688563825</v>
      </c>
      <c r="M178">
        <f ca="1"/>
        <v>0.15964775936664921</v>
      </c>
      <c r="N178">
        <f ca="1"/>
        <v>0.48913309445550174</v>
      </c>
      <c r="O178">
        <f ca="1"/>
        <v>0</v>
      </c>
      <c r="P178">
        <f ca="1"/>
        <v>140</v>
      </c>
      <c r="Q178">
        <f ca="1"/>
        <v>0</v>
      </c>
      <c r="R178">
        <f ca="1"/>
        <v>0</v>
      </c>
      <c r="S178">
        <f ca="1"/>
        <v>0.80361973700979317</v>
      </c>
      <c r="T178">
        <f ca="1"/>
        <v>0</v>
      </c>
      <c r="U178">
        <f ca="1"/>
        <v>0</v>
      </c>
      <c r="V178">
        <f ca="1"/>
        <v>0.99993345063478134</v>
      </c>
      <c r="X178" s="2">
        <f t="shared" ca="1" si="15"/>
        <v>45561</v>
      </c>
      <c r="Y178">
        <f t="shared" ca="1" si="16"/>
        <v>0</v>
      </c>
      <c r="AA178" s="63">
        <f t="shared" ca="1" si="18"/>
        <v>84.937075963371854</v>
      </c>
      <c r="AB178" s="63">
        <f t="shared" ca="1" si="19"/>
        <v>84.937075963371854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45562</v>
      </c>
      <c r="K179">
        <f ca="1"/>
        <v>29.055627965404732</v>
      </c>
      <c r="L179">
        <f ca="1"/>
        <v>0</v>
      </c>
      <c r="M179">
        <f ca="1"/>
        <v>-0.75617282032825273</v>
      </c>
      <c r="N179">
        <f ca="1"/>
        <v>0.48622451092495594</v>
      </c>
      <c r="O179">
        <f ca="1"/>
        <v>0</v>
      </c>
      <c r="P179">
        <f ca="1"/>
        <v>0</v>
      </c>
      <c r="Q179">
        <f ca="1"/>
        <v>0</v>
      </c>
      <c r="R179">
        <f ca="1"/>
        <v>0</v>
      </c>
      <c r="S179">
        <f ca="1"/>
        <v>0.81315451965303986</v>
      </c>
      <c r="T179">
        <f ca="1"/>
        <v>0</v>
      </c>
      <c r="U179">
        <f ca="1"/>
        <v>0</v>
      </c>
      <c r="V179">
        <f ca="1"/>
        <v>0</v>
      </c>
      <c r="X179" s="2">
        <f t="shared" ca="1" si="15"/>
        <v>45562</v>
      </c>
      <c r="Y179">
        <f t="shared" ca="1" si="16"/>
        <v>0</v>
      </c>
      <c r="AA179" s="63">
        <f t="shared" ca="1" si="18"/>
        <v>29.055627965404732</v>
      </c>
      <c r="AB179" s="63">
        <f t="shared" ca="1" si="19"/>
        <v>29.055627965404732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45563</v>
      </c>
      <c r="K180">
        <f ca="1"/>
        <v>28.827519261186605</v>
      </c>
      <c r="L180">
        <f ca="1"/>
        <v>0</v>
      </c>
      <c r="M180">
        <f ca="1"/>
        <v>-0.69825907627857475</v>
      </c>
      <c r="N180">
        <f ca="1"/>
        <v>0.47015037206044952</v>
      </c>
      <c r="O180">
        <f ca="1"/>
        <v>0</v>
      </c>
      <c r="P180">
        <f ca="1"/>
        <v>0</v>
      </c>
      <c r="Q180">
        <f ca="1"/>
        <v>0</v>
      </c>
      <c r="R180">
        <f ca="1"/>
        <v>0</v>
      </c>
      <c r="S180">
        <f ca="1"/>
        <v>0.78266785942729278</v>
      </c>
      <c r="T180">
        <f ca="1"/>
        <v>0</v>
      </c>
      <c r="U180">
        <f ca="1"/>
        <v>0</v>
      </c>
      <c r="V180">
        <f ca="1"/>
        <v>0</v>
      </c>
      <c r="X180" s="2">
        <f t="shared" ca="1" si="15"/>
        <v>45563</v>
      </c>
      <c r="Y180">
        <f t="shared" ca="1" si="16"/>
        <v>0</v>
      </c>
      <c r="AA180" s="63">
        <f t="shared" ca="1" si="18"/>
        <v>28.827519261186605</v>
      </c>
      <c r="AB180" s="63">
        <f t="shared" ca="1" si="19"/>
        <v>28.827519261186605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45564</v>
      </c>
      <c r="K181">
        <f ca="1"/>
        <v>28.669198326770552</v>
      </c>
      <c r="L181">
        <f ca="1"/>
        <v>0</v>
      </c>
      <c r="M181">
        <f ca="1"/>
        <v>-0.6782001368526025</v>
      </c>
      <c r="N181">
        <f ca="1"/>
        <v>0.51987920243655039</v>
      </c>
      <c r="O181">
        <f ca="1"/>
        <v>0</v>
      </c>
      <c r="P181">
        <f ca="1"/>
        <v>0</v>
      </c>
      <c r="Q181">
        <f ca="1"/>
        <v>0</v>
      </c>
      <c r="R181">
        <f ca="1"/>
        <v>0</v>
      </c>
      <c r="S181">
        <f ca="1"/>
        <v>0.79189964435202065</v>
      </c>
      <c r="T181">
        <f ca="1"/>
        <v>0</v>
      </c>
      <c r="U181">
        <f ca="1"/>
        <v>0</v>
      </c>
      <c r="V181">
        <f ca="1"/>
        <v>0</v>
      </c>
      <c r="X181" s="2">
        <f t="shared" ca="1" si="15"/>
        <v>45564</v>
      </c>
      <c r="Y181">
        <f t="shared" ca="1" si="16"/>
        <v>0</v>
      </c>
      <c r="AA181" s="63">
        <f t="shared" ca="1" si="18"/>
        <v>28.669198326770552</v>
      </c>
      <c r="AB181" s="63">
        <f t="shared" ca="1" si="19"/>
        <v>28.669198326770552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45565</v>
      </c>
      <c r="K182">
        <f ca="1"/>
        <v>28.570448640712854</v>
      </c>
      <c r="L182">
        <f ca="1"/>
        <v>0</v>
      </c>
      <c r="M182">
        <f ca="1"/>
        <v>-0.62728340704975949</v>
      </c>
      <c r="N182">
        <f ca="1"/>
        <v>0.52853372099206364</v>
      </c>
      <c r="O182">
        <f ca="1"/>
        <v>0</v>
      </c>
      <c r="P182">
        <f ca="1"/>
        <v>0</v>
      </c>
      <c r="Q182">
        <f ca="1"/>
        <v>0</v>
      </c>
      <c r="R182">
        <f ca="1"/>
        <v>0</v>
      </c>
      <c r="S182">
        <f ca="1"/>
        <v>0.78268899770701794</v>
      </c>
      <c r="T182">
        <f ca="1"/>
        <v>0</v>
      </c>
      <c r="U182">
        <f ca="1"/>
        <v>0</v>
      </c>
      <c r="V182">
        <f ca="1"/>
        <v>0</v>
      </c>
      <c r="X182" s="2">
        <f t="shared" ca="1" si="15"/>
        <v>45565</v>
      </c>
      <c r="Y182">
        <f t="shared" ca="1" si="16"/>
        <v>0</v>
      </c>
      <c r="AA182" s="63">
        <f t="shared" ca="1" si="18"/>
        <v>28.570448640712854</v>
      </c>
      <c r="AB182" s="63">
        <f t="shared" ca="1" si="19"/>
        <v>28.570448640712854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45566</v>
      </c>
      <c r="K183">
        <f ca="1"/>
        <v>28.53857249947345</v>
      </c>
      <c r="L183">
        <f ca="1"/>
        <v>0</v>
      </c>
      <c r="M183">
        <f ca="1"/>
        <v>-0.58097224677237946</v>
      </c>
      <c r="N183">
        <f ca="1"/>
        <v>0.5490961055329735</v>
      </c>
      <c r="O183">
        <f ca="1"/>
        <v>0</v>
      </c>
      <c r="P183">
        <f ca="1"/>
        <v>0</v>
      </c>
      <c r="Q183">
        <f ca="1"/>
        <v>0</v>
      </c>
      <c r="R183">
        <f ca="1"/>
        <v>0</v>
      </c>
      <c r="S183">
        <f ca="1"/>
        <v>0.78065535765474081</v>
      </c>
      <c r="T183">
        <f ca="1"/>
        <v>0</v>
      </c>
      <c r="U183">
        <f ca="1"/>
        <v>0</v>
      </c>
      <c r="V183">
        <f ca="1"/>
        <v>0</v>
      </c>
      <c r="X183" s="2">
        <f t="shared" ca="1" si="15"/>
        <v>45566</v>
      </c>
      <c r="Y183">
        <f t="shared" ca="1" si="16"/>
        <v>0</v>
      </c>
      <c r="AA183" s="63">
        <f t="shared" ca="1" si="18"/>
        <v>28.53857249947345</v>
      </c>
      <c r="AB183" s="63">
        <f t="shared" ca="1" si="19"/>
        <v>28.53857249947345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45567</v>
      </c>
      <c r="K184">
        <f ca="1"/>
        <v>28.549058035391589</v>
      </c>
      <c r="L184">
        <f ca="1"/>
        <v>0</v>
      </c>
      <c r="M184">
        <f ca="1"/>
        <v>-0.46911337493606808</v>
      </c>
      <c r="N184">
        <f ca="1"/>
        <v>0.47959891085420908</v>
      </c>
      <c r="O184">
        <f ca="1"/>
        <v>0</v>
      </c>
      <c r="P184">
        <f ca="1"/>
        <v>0</v>
      </c>
      <c r="Q184">
        <f ca="1"/>
        <v>0</v>
      </c>
      <c r="R184">
        <f ca="1"/>
        <v>0</v>
      </c>
      <c r="S184">
        <f ca="1"/>
        <v>0.79320801768224625</v>
      </c>
      <c r="T184">
        <f ca="1"/>
        <v>0</v>
      </c>
      <c r="U184">
        <f ca="1"/>
        <v>0</v>
      </c>
      <c r="V184">
        <f ca="1"/>
        <v>0</v>
      </c>
      <c r="X184" s="2">
        <f t="shared" ca="1" si="15"/>
        <v>45567</v>
      </c>
      <c r="Y184">
        <f t="shared" ca="1" si="16"/>
        <v>0</v>
      </c>
      <c r="AA184" s="63">
        <f t="shared" ca="1" si="18"/>
        <v>28.549058035391589</v>
      </c>
      <c r="AB184" s="63">
        <f t="shared" ca="1" si="19"/>
        <v>28.549058035391589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45568</v>
      </c>
      <c r="K185">
        <f ca="1"/>
        <v>28.61884453883528</v>
      </c>
      <c r="L185">
        <f ca="1"/>
        <v>0</v>
      </c>
      <c r="M185">
        <f ca="1"/>
        <v>-0.41200372900160076</v>
      </c>
      <c r="N185">
        <f ca="1"/>
        <v>0.48179023244529218</v>
      </c>
      <c r="O185">
        <f ca="1"/>
        <v>0</v>
      </c>
      <c r="P185">
        <f ca="1"/>
        <v>0</v>
      </c>
      <c r="Q185">
        <f ca="1"/>
        <v>0</v>
      </c>
      <c r="R185">
        <f ca="1"/>
        <v>0</v>
      </c>
      <c r="S185">
        <f ca="1"/>
        <v>0.82272399756179615</v>
      </c>
      <c r="T185">
        <f ca="1"/>
        <v>0</v>
      </c>
      <c r="U185">
        <f ca="1"/>
        <v>0</v>
      </c>
      <c r="V185">
        <f ca="1"/>
        <v>0</v>
      </c>
      <c r="X185" s="2">
        <f t="shared" ca="1" si="15"/>
        <v>45568</v>
      </c>
      <c r="Y185">
        <f t="shared" ca="1" si="16"/>
        <v>0</v>
      </c>
      <c r="AA185" s="63">
        <f t="shared" ca="1" si="18"/>
        <v>28.61884453883528</v>
      </c>
      <c r="AB185" s="63">
        <f t="shared" ca="1" si="19"/>
        <v>28.61884453883528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45569</v>
      </c>
      <c r="K186">
        <f ca="1"/>
        <v>28.740240302132644</v>
      </c>
      <c r="L186">
        <f ca="1"/>
        <v>0</v>
      </c>
      <c r="M186">
        <f ca="1"/>
        <v>-0.37940238873831689</v>
      </c>
      <c r="N186">
        <f ca="1"/>
        <v>0.50079815203568112</v>
      </c>
      <c r="O186">
        <f ca="1"/>
        <v>0</v>
      </c>
      <c r="P186">
        <f ca="1"/>
        <v>0</v>
      </c>
      <c r="Q186">
        <f ca="1"/>
        <v>0</v>
      </c>
      <c r="R186">
        <f ca="1"/>
        <v>0</v>
      </c>
      <c r="S186">
        <f ca="1"/>
        <v>0.81627636806762216</v>
      </c>
      <c r="T186">
        <f ca="1"/>
        <v>0</v>
      </c>
      <c r="U186">
        <f ca="1"/>
        <v>0</v>
      </c>
      <c r="V186">
        <f ca="1"/>
        <v>0</v>
      </c>
      <c r="X186" s="2">
        <f t="shared" ca="1" si="15"/>
        <v>45569</v>
      </c>
      <c r="Y186">
        <f t="shared" ca="1" si="16"/>
        <v>0</v>
      </c>
      <c r="AA186" s="63">
        <f t="shared" ca="1" si="18"/>
        <v>28.740240302132644</v>
      </c>
      <c r="AB186" s="63">
        <f t="shared" ca="1" si="19"/>
        <v>28.740240302132644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45570</v>
      </c>
      <c r="K187">
        <f ca="1"/>
        <v>28.918382700012277</v>
      </c>
      <c r="L187">
        <f ca="1"/>
        <v>0</v>
      </c>
      <c r="M187">
        <f ca="1"/>
        <v>-0.34396719996438208</v>
      </c>
      <c r="N187">
        <f ca="1"/>
        <v>0.5221095978440139</v>
      </c>
      <c r="O187">
        <f ca="1"/>
        <v>0</v>
      </c>
      <c r="P187">
        <f ca="1"/>
        <v>0</v>
      </c>
      <c r="Q187">
        <f ca="1"/>
        <v>0</v>
      </c>
      <c r="R187">
        <f ca="1"/>
        <v>0</v>
      </c>
      <c r="S187">
        <f ca="1"/>
        <v>0.81657457113264353</v>
      </c>
      <c r="T187">
        <f ca="1"/>
        <v>0</v>
      </c>
      <c r="U187">
        <f ca="1"/>
        <v>0</v>
      </c>
      <c r="V187">
        <f ca="1"/>
        <v>0</v>
      </c>
      <c r="X187" s="2">
        <f t="shared" ca="1" si="15"/>
        <v>45570</v>
      </c>
      <c r="Y187">
        <f t="shared" ca="1" si="16"/>
        <v>0</v>
      </c>
      <c r="AA187" s="63">
        <f t="shared" ca="1" si="18"/>
        <v>28.918382700012277</v>
      </c>
      <c r="AB187" s="63">
        <f t="shared" ca="1" si="19"/>
        <v>28.918382700012277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45571</v>
      </c>
      <c r="K188">
        <f ca="1"/>
        <v>29.155552210957296</v>
      </c>
      <c r="L188">
        <f ca="1"/>
        <v>0</v>
      </c>
      <c r="M188">
        <f ca="1"/>
        <v>-0.30274981858316963</v>
      </c>
      <c r="N188">
        <f ca="1"/>
        <v>0.53991932952818988</v>
      </c>
      <c r="O188">
        <f ca="1"/>
        <v>0</v>
      </c>
      <c r="P188">
        <f ca="1"/>
        <v>0</v>
      </c>
      <c r="Q188">
        <f ca="1"/>
        <v>0</v>
      </c>
      <c r="R188">
        <f ca="1"/>
        <v>0</v>
      </c>
      <c r="S188">
        <f ca="1"/>
        <v>0.82861447385018194</v>
      </c>
      <c r="T188">
        <f ca="1"/>
        <v>0</v>
      </c>
      <c r="U188">
        <f ca="1"/>
        <v>0</v>
      </c>
      <c r="V188">
        <f ca="1"/>
        <v>0</v>
      </c>
      <c r="X188" s="2">
        <f t="shared" ca="1" si="15"/>
        <v>45571</v>
      </c>
      <c r="Y188">
        <f t="shared" ca="1" si="16"/>
        <v>0</v>
      </c>
      <c r="AA188" s="63">
        <f t="shared" ca="1" si="18"/>
        <v>29.155552210957296</v>
      </c>
      <c r="AB188" s="63">
        <f t="shared" ca="1" si="19"/>
        <v>29.155552210957296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45572</v>
      </c>
      <c r="K189">
        <f ca="1"/>
        <v>29.427215558989197</v>
      </c>
      <c r="L189">
        <f ca="1"/>
        <v>0</v>
      </c>
      <c r="M189">
        <f ca="1"/>
        <v>-0.25548745727152422</v>
      </c>
      <c r="N189">
        <f ca="1"/>
        <v>0.52715080530342429</v>
      </c>
      <c r="O189">
        <f ca="1"/>
        <v>0</v>
      </c>
      <c r="P189">
        <f ca="1"/>
        <v>0</v>
      </c>
      <c r="Q189">
        <f ca="1"/>
        <v>0</v>
      </c>
      <c r="R189">
        <f ca="1"/>
        <v>0</v>
      </c>
      <c r="S189">
        <f ca="1"/>
        <v>0.82784472725165259</v>
      </c>
      <c r="T189">
        <f ca="1"/>
        <v>0</v>
      </c>
      <c r="U189">
        <f ca="1"/>
        <v>0</v>
      </c>
      <c r="V189">
        <f ca="1"/>
        <v>0</v>
      </c>
      <c r="X189" s="2">
        <f t="shared" ca="1" si="15"/>
        <v>45572</v>
      </c>
      <c r="Y189">
        <f t="shared" ca="1" si="16"/>
        <v>0</v>
      </c>
      <c r="AA189" s="63">
        <f t="shared" ca="1" si="18"/>
        <v>29.427215558989197</v>
      </c>
      <c r="AB189" s="63">
        <f t="shared" ca="1" si="19"/>
        <v>29.427215558989197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45573</v>
      </c>
      <c r="K190">
        <f ca="1"/>
        <v>29.720335283434007</v>
      </c>
      <c r="L190">
        <f ca="1"/>
        <v>0</v>
      </c>
      <c r="M190">
        <f ca="1"/>
        <v>-0.21025597967272347</v>
      </c>
      <c r="N190">
        <f ca="1"/>
        <v>0.50337570411753474</v>
      </c>
      <c r="O190">
        <f ca="1"/>
        <v>0</v>
      </c>
      <c r="P190">
        <f ca="1"/>
        <v>0</v>
      </c>
      <c r="Q190">
        <f ca="1"/>
        <v>0</v>
      </c>
      <c r="R190">
        <f ca="1"/>
        <v>0</v>
      </c>
      <c r="S190">
        <f ca="1"/>
        <v>0.8225805090037317</v>
      </c>
      <c r="T190">
        <f ca="1"/>
        <v>0</v>
      </c>
      <c r="U190">
        <f ca="1"/>
        <v>0</v>
      </c>
      <c r="V190">
        <f ca="1"/>
        <v>0</v>
      </c>
      <c r="X190" s="2">
        <f t="shared" ca="1" si="15"/>
        <v>45573</v>
      </c>
      <c r="Y190">
        <f t="shared" ca="1" si="16"/>
        <v>0</v>
      </c>
      <c r="AA190" s="63">
        <f t="shared" ca="1" si="18"/>
        <v>29.720335283434007</v>
      </c>
      <c r="AB190" s="63">
        <f t="shared" ca="1" si="19"/>
        <v>29.720335283434007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45574</v>
      </c>
      <c r="K191">
        <f ca="1"/>
        <v>30.046912092335415</v>
      </c>
      <c r="L191">
        <f ca="1"/>
        <v>0</v>
      </c>
      <c r="M191">
        <f ca="1"/>
        <v>-0.17178090122355272</v>
      </c>
      <c r="N191">
        <f ca="1"/>
        <v>0.49835771012496122</v>
      </c>
      <c r="O191">
        <f ca="1"/>
        <v>0</v>
      </c>
      <c r="P191">
        <f ca="1"/>
        <v>0</v>
      </c>
      <c r="Q191">
        <f ca="1"/>
        <v>0</v>
      </c>
      <c r="R191">
        <f ca="1"/>
        <v>0</v>
      </c>
      <c r="S191">
        <f ca="1"/>
        <v>0.83295984748667329</v>
      </c>
      <c r="T191">
        <f ca="1"/>
        <v>0</v>
      </c>
      <c r="U191">
        <f ca="1"/>
        <v>0</v>
      </c>
      <c r="V191">
        <f ca="1"/>
        <v>0</v>
      </c>
      <c r="X191" s="2">
        <f t="shared" ca="1" si="15"/>
        <v>45574</v>
      </c>
      <c r="Y191">
        <f t="shared" ca="1" si="16"/>
        <v>0</v>
      </c>
      <c r="AA191" s="63">
        <f t="shared" ca="1" si="18"/>
        <v>30.046912092335415</v>
      </c>
      <c r="AB191" s="63">
        <f t="shared" ca="1" si="19"/>
        <v>30.046912092335415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45575</v>
      </c>
      <c r="K192">
        <f ca="1"/>
        <v>30.419624283476342</v>
      </c>
      <c r="L192">
        <f ca="1"/>
        <v>0</v>
      </c>
      <c r="M192">
        <f ca="1"/>
        <v>-0.14603591411340844</v>
      </c>
      <c r="N192">
        <f ca="1"/>
        <v>0.5187481052543349</v>
      </c>
      <c r="O192">
        <f ca="1"/>
        <v>0</v>
      </c>
      <c r="P192">
        <f ca="1"/>
        <v>0</v>
      </c>
      <c r="Q192">
        <f ca="1"/>
        <v>0</v>
      </c>
      <c r="R192">
        <f ca="1"/>
        <v>0</v>
      </c>
      <c r="S192">
        <f ca="1"/>
        <v>0.79782758982959001</v>
      </c>
      <c r="T192">
        <f ca="1"/>
        <v>0</v>
      </c>
      <c r="U192">
        <f ca="1"/>
        <v>0</v>
      </c>
      <c r="V192">
        <f ca="1"/>
        <v>0</v>
      </c>
      <c r="X192" s="2">
        <f t="shared" ca="1" si="15"/>
        <v>45575</v>
      </c>
      <c r="Y192">
        <f t="shared" ca="1" si="16"/>
        <v>0</v>
      </c>
      <c r="AA192" s="63">
        <f t="shared" ca="1" si="18"/>
        <v>30.419624283476342</v>
      </c>
      <c r="AB192" s="63">
        <f t="shared" ca="1" si="19"/>
        <v>30.419624283476342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45576</v>
      </c>
      <c r="K193">
        <f ca="1"/>
        <v>30.831310325640242</v>
      </c>
      <c r="L193">
        <f ca="1"/>
        <v>0</v>
      </c>
      <c r="M193">
        <f ca="1"/>
        <v>-0.11152236363137291</v>
      </c>
      <c r="N193">
        <f ca="1"/>
        <v>0.52320840579527395</v>
      </c>
      <c r="O193">
        <f ca="1"/>
        <v>0</v>
      </c>
      <c r="P193">
        <f ca="1"/>
        <v>1.529267210055852</v>
      </c>
      <c r="Q193">
        <f ca="1"/>
        <v>1.4150686846296032</v>
      </c>
      <c r="R193">
        <f ca="1"/>
        <v>0</v>
      </c>
      <c r="S193">
        <f ca="1"/>
        <v>0.79527433685477211</v>
      </c>
      <c r="T193">
        <f ca="1"/>
        <v>0</v>
      </c>
      <c r="U193">
        <f ca="1"/>
        <v>0</v>
      </c>
      <c r="V193">
        <f ca="1"/>
        <v>7.3557979940067934E-3</v>
      </c>
      <c r="X193" s="2">
        <f t="shared" ca="1" si="15"/>
        <v>45576</v>
      </c>
      <c r="Y193">
        <f t="shared" ca="1" si="16"/>
        <v>0</v>
      </c>
      <c r="AA193" s="63">
        <f t="shared" ca="1" si="18"/>
        <v>30.831310325640242</v>
      </c>
      <c r="AB193" s="63">
        <f t="shared" ca="1" si="19"/>
        <v>30.831310325640242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45577</v>
      </c>
      <c r="K194">
        <f ca="1"/>
        <v>31.195509875339418</v>
      </c>
      <c r="L194">
        <f ca="1"/>
        <v>5.3946022171413199E-2</v>
      </c>
      <c r="M194">
        <f ca="1"/>
        <v>-7.4185900868673826E-2</v>
      </c>
      <c r="N194">
        <f ca="1"/>
        <v>0.49233147273926209</v>
      </c>
      <c r="O194">
        <f ca="1"/>
        <v>0</v>
      </c>
      <c r="P194">
        <f ca="1"/>
        <v>1.5832132322272652</v>
      </c>
      <c r="Q194">
        <f ca="1"/>
        <v>1.4649862700804239</v>
      </c>
      <c r="R194">
        <f ca="1"/>
        <v>0</v>
      </c>
      <c r="S194">
        <f ca="1"/>
        <v>0.8109750096795183</v>
      </c>
      <c r="T194">
        <f ca="1"/>
        <v>0</v>
      </c>
      <c r="U194">
        <f ca="1"/>
        <v>0</v>
      </c>
      <c r="V194">
        <f ca="1"/>
        <v>8.0213359512825624E-3</v>
      </c>
      <c r="X194" s="2">
        <f t="shared" ca="1" si="15"/>
        <v>45577</v>
      </c>
      <c r="Y194">
        <f t="shared" ca="1" si="16"/>
        <v>0</v>
      </c>
      <c r="AA194" s="63">
        <f t="shared" ca="1" si="18"/>
        <v>31.249455897510831</v>
      </c>
      <c r="AB194" s="63">
        <f t="shared" ca="1" si="19"/>
        <v>31.249455897510831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45578</v>
      </c>
      <c r="K195">
        <f ca="1"/>
        <v>31.60087889540711</v>
      </c>
      <c r="L195">
        <f ca="1"/>
        <v>5.3571807784400294E-2</v>
      </c>
      <c r="M195">
        <f ca="1"/>
        <v>-4.4632740100507107E-2</v>
      </c>
      <c r="N195">
        <f ca="1"/>
        <v>0.50357356795259911</v>
      </c>
      <c r="O195">
        <f ca="1"/>
        <v>0</v>
      </c>
      <c r="P195">
        <f ca="1"/>
        <v>1.6367850400116655</v>
      </c>
      <c r="Q195">
        <f ca="1"/>
        <v>1.5145575857250799</v>
      </c>
      <c r="R195">
        <f ca="1"/>
        <v>0</v>
      </c>
      <c r="S195">
        <f ca="1"/>
        <v>0.85698716935683039</v>
      </c>
      <c r="T195">
        <f ca="1"/>
        <v>0</v>
      </c>
      <c r="U195">
        <f ca="1"/>
        <v>0</v>
      </c>
      <c r="V195">
        <f ca="1"/>
        <v>8.7164406800615598E-3</v>
      </c>
      <c r="X195" s="2">
        <f t="shared" ca="1" si="15"/>
        <v>45578</v>
      </c>
      <c r="Y195">
        <f t="shared" ca="1" si="16"/>
        <v>0</v>
      </c>
      <c r="AA195" s="63">
        <f t="shared" ca="1" si="18"/>
        <v>31.654450703191511</v>
      </c>
      <c r="AB195" s="63">
        <f t="shared" ca="1" si="19"/>
        <v>31.654450703191511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45579</v>
      </c>
      <c r="K196">
        <f ca="1"/>
        <v>32.034608337764922</v>
      </c>
      <c r="L196">
        <f ca="1"/>
        <v>5.7319341410490665E-2</v>
      </c>
      <c r="M196">
        <f ca="1"/>
        <v>-1.8788677468212001E-2</v>
      </c>
      <c r="N196">
        <f ca="1"/>
        <v>0.50983746123651619</v>
      </c>
      <c r="O196">
        <f ca="1"/>
        <v>0</v>
      </c>
      <c r="P196">
        <f ca="1"/>
        <v>1.6941043814221561</v>
      </c>
      <c r="Q196">
        <f ca="1"/>
        <v>1.5675965867055663</v>
      </c>
      <c r="R196">
        <f ca="1"/>
        <v>0</v>
      </c>
      <c r="S196">
        <f ca="1"/>
        <v>0.84267930695845394</v>
      </c>
      <c r="T196">
        <f ca="1"/>
        <v>0</v>
      </c>
      <c r="U196">
        <f ca="1"/>
        <v>0</v>
      </c>
      <c r="V196">
        <f ca="1"/>
        <v>9.498450071157424E-3</v>
      </c>
      <c r="X196" s="2">
        <f t="shared" ca="1" si="15"/>
        <v>45579</v>
      </c>
      <c r="Y196">
        <f t="shared" ca="1" si="16"/>
        <v>0</v>
      </c>
      <c r="AA196" s="63">
        <f t="shared" ca="1" si="18"/>
        <v>32.091927679175413</v>
      </c>
      <c r="AB196" s="63">
        <f t="shared" ca="1" si="19"/>
        <v>32.091927679175413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45580</v>
      </c>
      <c r="K197">
        <f ca="1"/>
        <v>32.539160864324423</v>
      </c>
      <c r="L197">
        <f ca="1"/>
        <v>6.6318994409380938E-2</v>
      </c>
      <c r="M197">
        <f ca="1"/>
        <v>8.356633933782831E-3</v>
      </c>
      <c r="N197">
        <f ca="1"/>
        <v>0.56251488703510066</v>
      </c>
      <c r="O197">
        <f ca="1"/>
        <v>0</v>
      </c>
      <c r="P197">
        <f ca="1"/>
        <v>1.7604233758315371</v>
      </c>
      <c r="Q197">
        <f ca="1"/>
        <v>1.628963188675286</v>
      </c>
      <c r="R197">
        <f ca="1"/>
        <v>0</v>
      </c>
      <c r="S197">
        <f ca="1"/>
        <v>0.83816422231098475</v>
      </c>
      <c r="T197">
        <f ca="1"/>
        <v>0</v>
      </c>
      <c r="U197">
        <f ca="1"/>
        <v>0</v>
      </c>
      <c r="V197">
        <f ca="1"/>
        <v>1.0453364861735048E-2</v>
      </c>
      <c r="X197" s="2">
        <f t="shared" ca="1" si="15"/>
        <v>45580</v>
      </c>
      <c r="Y197">
        <f t="shared" ca="1" si="16"/>
        <v>0</v>
      </c>
      <c r="AA197" s="63">
        <f t="shared" ca="1" si="18"/>
        <v>32.605479858733808</v>
      </c>
      <c r="AB197" s="63">
        <f t="shared" ca="1" si="19"/>
        <v>32.605479858733801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45581</v>
      </c>
      <c r="K198">
        <f ca="1"/>
        <v>33.109735165096971</v>
      </c>
      <c r="L198">
        <f ca="1"/>
        <v>7.2052560763553597E-2</v>
      </c>
      <c r="M198">
        <f ca="1"/>
        <v>3.7864953037868077E-2</v>
      </c>
      <c r="N198">
        <f ca="1"/>
        <v>0.60476190849823508</v>
      </c>
      <c r="O198">
        <f ca="1"/>
        <v>0</v>
      </c>
      <c r="P198">
        <f ca="1"/>
        <v>1.8324759365950907</v>
      </c>
      <c r="Q198">
        <f ca="1"/>
        <v>1.6956352010701328</v>
      </c>
      <c r="R198">
        <f ca="1"/>
        <v>0</v>
      </c>
      <c r="S198">
        <f ca="1"/>
        <v>0.86033229092776198</v>
      </c>
      <c r="T198">
        <f ca="1"/>
        <v>0</v>
      </c>
      <c r="U198">
        <f ca="1"/>
        <v>0</v>
      </c>
      <c r="V198">
        <f ca="1"/>
        <v>1.1552732527719404E-2</v>
      </c>
      <c r="X198" s="2">
        <f t="shared" ca="1" si="15"/>
        <v>45581</v>
      </c>
      <c r="Y198">
        <f t="shared" ca="1" si="16"/>
        <v>0</v>
      </c>
      <c r="AA198" s="63">
        <f t="shared" ca="1" si="18"/>
        <v>33.181787725860524</v>
      </c>
      <c r="AB198" s="63">
        <f t="shared" ca="1" si="19"/>
        <v>33.181787725860524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ca="1" si="14"/>
        <v>0</v>
      </c>
      <c r="J199" s="2">
        <f ca="1"/>
        <v>45582</v>
      </c>
      <c r="K199">
        <f ca="1"/>
        <v>33.700299538220811</v>
      </c>
      <c r="L199">
        <f ca="1"/>
        <v>7.4171762974651001E-2</v>
      </c>
      <c r="M199">
        <f ca="1"/>
        <v>6.5201737262665205E-2</v>
      </c>
      <c r="N199">
        <f ca="1"/>
        <v>0.59953439883582504</v>
      </c>
      <c r="O199">
        <f ca="1"/>
        <v>0</v>
      </c>
      <c r="P199">
        <f ca="1"/>
        <v>1.9066476995697417</v>
      </c>
      <c r="Q199">
        <f ca="1"/>
        <v>1.7642681635629103</v>
      </c>
      <c r="R199">
        <f ca="1"/>
        <v>0</v>
      </c>
      <c r="S199">
        <f ca="1"/>
        <v>0.86187462254838776</v>
      </c>
      <c r="T199">
        <f ca="1"/>
        <v>0</v>
      </c>
      <c r="U199">
        <f ca="1"/>
        <v>0</v>
      </c>
      <c r="V199">
        <f ca="1"/>
        <v>1.2752833710014649E-2</v>
      </c>
      <c r="X199" s="2">
        <f t="shared" ca="1" si="15"/>
        <v>45582</v>
      </c>
      <c r="Y199">
        <f t="shared" ca="1" si="16"/>
        <v>0</v>
      </c>
      <c r="AA199" s="63">
        <f t="shared" ca="1" si="18"/>
        <v>33.774471301195462</v>
      </c>
      <c r="AB199" s="63">
        <f t="shared" ca="1" si="19"/>
        <v>33.774471301195462</v>
      </c>
      <c r="AC199" s="3">
        <f t="shared" ca="1" si="20"/>
        <v>0</v>
      </c>
    </row>
    <row r="200" spans="8:29">
      <c r="H200" t="b">
        <f t="shared" ca="1" si="17"/>
        <v>0</v>
      </c>
      <c r="I200" t="b">
        <f t="shared" ca="1" si="14"/>
        <v>0</v>
      </c>
      <c r="J200" s="2">
        <f ca="1"/>
        <v>45583</v>
      </c>
      <c r="K200">
        <f ca="1"/>
        <v>34.293626237242002</v>
      </c>
      <c r="L200">
        <f ca="1"/>
        <v>7.2818643497587265E-2</v>
      </c>
      <c r="M200">
        <f ca="1"/>
        <v>8.7066211989437647E-2</v>
      </c>
      <c r="N200">
        <f ca="1"/>
        <v>0.57907913052933568</v>
      </c>
      <c r="O200">
        <f ca="1"/>
        <v>0</v>
      </c>
      <c r="P200">
        <f ca="1"/>
        <v>1.9794663430673289</v>
      </c>
      <c r="Q200">
        <f ca="1"/>
        <v>1.8316490512148982</v>
      </c>
      <c r="R200">
        <f ca="1"/>
        <v>0</v>
      </c>
      <c r="S200">
        <f ca="1"/>
        <v>0.87843713746197882</v>
      </c>
      <c r="T200">
        <f ca="1"/>
        <v>0</v>
      </c>
      <c r="U200">
        <f ca="1"/>
        <v>0</v>
      </c>
      <c r="V200">
        <f ca="1"/>
        <v>1.3999567473550474E-2</v>
      </c>
      <c r="X200" s="2">
        <f t="shared" ca="1" si="15"/>
        <v>45583</v>
      </c>
      <c r="Y200">
        <f t="shared" ca="1" si="16"/>
        <v>0</v>
      </c>
      <c r="AA200" s="63">
        <f t="shared" ca="1" si="18"/>
        <v>34.366444880739586</v>
      </c>
      <c r="AB200" s="63">
        <f t="shared" ca="1" si="19"/>
        <v>34.366444880739586</v>
      </c>
      <c r="AC200" s="3">
        <f t="shared" ca="1" si="20"/>
        <v>0</v>
      </c>
    </row>
    <row r="201" spans="8:29">
      <c r="H201" t="b">
        <f t="shared" ca="1" si="17"/>
        <v>0</v>
      </c>
      <c r="I201" t="b">
        <f t="shared" ca="1" si="14"/>
        <v>0</v>
      </c>
      <c r="J201" s="2">
        <f ca="1"/>
        <v>45584</v>
      </c>
      <c r="K201">
        <f ca="1"/>
        <v>34.939258421139499</v>
      </c>
      <c r="L201">
        <f ca="1"/>
        <v>8.1406734192463803E-2</v>
      </c>
      <c r="M201">
        <f ca="1"/>
        <v>0.115908621258626</v>
      </c>
      <c r="N201">
        <f ca="1"/>
        <v>0.61113029683133191</v>
      </c>
      <c r="O201">
        <f ca="1"/>
        <v>0</v>
      </c>
      <c r="P201">
        <f ca="1"/>
        <v>2.0608730772597927</v>
      </c>
      <c r="Q201">
        <f ca="1"/>
        <v>1.9069767111007823</v>
      </c>
      <c r="R201">
        <f ca="1"/>
        <v>0</v>
      </c>
      <c r="S201">
        <f ca="1"/>
        <v>0.86397846717829996</v>
      </c>
      <c r="T201">
        <f ca="1"/>
        <v>0</v>
      </c>
      <c r="U201">
        <f ca="1"/>
        <v>0</v>
      </c>
      <c r="V201">
        <f ca="1"/>
        <v>1.5474889698046822E-2</v>
      </c>
      <c r="X201" s="2">
        <f t="shared" ca="1" si="15"/>
        <v>45584</v>
      </c>
      <c r="Y201">
        <f t="shared" ca="1" si="16"/>
        <v>0</v>
      </c>
      <c r="AA201" s="63">
        <f t="shared" ca="1" si="18"/>
        <v>35.020665155331962</v>
      </c>
      <c r="AB201" s="63">
        <f t="shared" ca="1" si="19"/>
        <v>35.020665155331962</v>
      </c>
      <c r="AC201" s="3">
        <f t="shared" ca="1" si="20"/>
        <v>0</v>
      </c>
    </row>
    <row r="202" spans="8:29">
      <c r="H202" t="b">
        <f t="shared" ca="1" si="17"/>
        <v>0</v>
      </c>
      <c r="I202" t="b">
        <f t="shared" ca="1" si="14"/>
        <v>0</v>
      </c>
      <c r="J202" s="2">
        <f ca="1"/>
        <v>45585</v>
      </c>
      <c r="K202">
        <f ca="1"/>
        <v>35.607001018870456</v>
      </c>
      <c r="L202">
        <f ca="1"/>
        <v>8.4803842675953867E-2</v>
      </c>
      <c r="M202">
        <f ca="1"/>
        <v>0.13935318089983895</v>
      </c>
      <c r="N202">
        <f ca="1"/>
        <v>0.61319325950706982</v>
      </c>
      <c r="O202">
        <f ca="1"/>
        <v>0</v>
      </c>
      <c r="P202">
        <f ca="1"/>
        <v>2.1456769199357466</v>
      </c>
      <c r="Q202">
        <f ca="1"/>
        <v>1.9854477992911939</v>
      </c>
      <c r="R202">
        <f ca="1"/>
        <v>0</v>
      </c>
      <c r="S202">
        <f ca="1"/>
        <v>0.86585442593617812</v>
      </c>
      <c r="T202">
        <f ca="1"/>
        <v>0</v>
      </c>
      <c r="U202">
        <f ca="1"/>
        <v>0</v>
      </c>
      <c r="V202">
        <f ca="1"/>
        <v>1.7104614612921901E-2</v>
      </c>
      <c r="X202" s="2">
        <f t="shared" ca="1" si="15"/>
        <v>45585</v>
      </c>
      <c r="Y202">
        <f t="shared" ca="1" si="16"/>
        <v>0</v>
      </c>
      <c r="AA202" s="63">
        <f t="shared" ca="1" si="18"/>
        <v>35.691804861546409</v>
      </c>
      <c r="AB202" s="63">
        <f t="shared" ca="1" si="19"/>
        <v>35.691804861546409</v>
      </c>
      <c r="AC202" s="3">
        <f t="shared" ca="1" si="20"/>
        <v>0</v>
      </c>
    </row>
    <row r="203" spans="8:29">
      <c r="H203" t="b">
        <f t="shared" ca="1" si="17"/>
        <v>0</v>
      </c>
      <c r="I203" t="b">
        <f t="shared" ref="I203:I266" ca="1" si="21">AND(IF(J203&gt;($J$7-1),TRUE,FALSE),IF(J203&lt;($J$8+1),TRUE,FALSE))</f>
        <v>0</v>
      </c>
      <c r="J203" s="2">
        <f ca="1"/>
        <v>45586</v>
      </c>
      <c r="K203">
        <f ca="1"/>
        <v>36.235512963568667</v>
      </c>
      <c r="L203">
        <f ca="1"/>
        <v>7.9894373249972173E-2</v>
      </c>
      <c r="M203">
        <f ca="1"/>
        <v>0.1499964757254908</v>
      </c>
      <c r="N203">
        <f ca="1"/>
        <v>0.55840984222269319</v>
      </c>
      <c r="O203">
        <f ca="1"/>
        <v>0</v>
      </c>
      <c r="P203">
        <f ca="1"/>
        <v>2.2255712931857188</v>
      </c>
      <c r="Q203">
        <f ca="1"/>
        <v>2.0593760342789933</v>
      </c>
      <c r="R203">
        <f ca="1"/>
        <v>0</v>
      </c>
      <c r="S203">
        <f ca="1"/>
        <v>0.86791417842074947</v>
      </c>
      <c r="T203">
        <f ca="1"/>
        <v>0</v>
      </c>
      <c r="U203">
        <f ca="1"/>
        <v>0</v>
      </c>
      <c r="V203">
        <f ca="1"/>
        <v>1.8727795562493092E-2</v>
      </c>
      <c r="X203" s="2">
        <f t="shared" ref="X203:X266" ca="1" si="22">IFERROR(J203,$X$9)</f>
        <v>45586</v>
      </c>
      <c r="Y203">
        <f t="shared" ref="Y203:Y266" ca="1" si="23">IFERROR(O203,0)</f>
        <v>0</v>
      </c>
      <c r="AA203" s="63">
        <f t="shared" ca="1" si="18"/>
        <v>36.315407336818645</v>
      </c>
      <c r="AB203" s="63">
        <f t="shared" ca="1" si="19"/>
        <v>36.315407336818637</v>
      </c>
      <c r="AC203" s="3">
        <f t="shared" ca="1" si="20"/>
        <v>0</v>
      </c>
    </row>
    <row r="204" spans="8:29">
      <c r="H204" t="b">
        <f t="shared" ref="H204:H267" ca="1" si="24">IF(J204&lt;$J$8,TRUE,FALSE)</f>
        <v>0</v>
      </c>
      <c r="I204" t="b">
        <f t="shared" ca="1" si="21"/>
        <v>0</v>
      </c>
      <c r="J204" s="2">
        <f ca="1"/>
        <v>45587</v>
      </c>
      <c r="K204">
        <f ca="1"/>
        <v>36.893359026528032</v>
      </c>
      <c r="L204">
        <f ca="1"/>
        <v>8.3809433522760379E-2</v>
      </c>
      <c r="M204">
        <f ca="1"/>
        <v>0.16927584590223788</v>
      </c>
      <c r="N204">
        <f ca="1"/>
        <v>0.57237965057988915</v>
      </c>
      <c r="O204">
        <f ca="1"/>
        <v>0</v>
      </c>
      <c r="P204">
        <f ca="1"/>
        <v>2.3093807267084792</v>
      </c>
      <c r="Q204">
        <f ca="1"/>
        <v>2.1369269711425862</v>
      </c>
      <c r="R204">
        <f ca="1"/>
        <v>0</v>
      </c>
      <c r="S204">
        <f ca="1"/>
        <v>0.87865711840077354</v>
      </c>
      <c r="T204">
        <f ca="1"/>
        <v>0</v>
      </c>
      <c r="U204">
        <f ca="1"/>
        <v>0</v>
      </c>
      <c r="V204">
        <f ca="1"/>
        <v>2.0523162384495978E-2</v>
      </c>
      <c r="X204" s="2">
        <f t="shared" ca="1" si="22"/>
        <v>45587</v>
      </c>
      <c r="Y204">
        <f t="shared" ca="1" si="23"/>
        <v>0</v>
      </c>
      <c r="AA204" s="63">
        <f t="shared" ca="1" si="18"/>
        <v>36.977168460050791</v>
      </c>
      <c r="AB204" s="63">
        <f t="shared" ca="1" si="19"/>
        <v>36.977168460050791</v>
      </c>
      <c r="AC204" s="3">
        <f t="shared" ca="1" si="20"/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45588</v>
      </c>
      <c r="K205">
        <f ca="1"/>
        <v>37.606293853934886</v>
      </c>
      <c r="L205">
        <f ca="1"/>
        <v>9.5192855874189686E-2</v>
      </c>
      <c r="M205">
        <f ca="1"/>
        <v>0.19889167262292418</v>
      </c>
      <c r="N205">
        <f ca="1"/>
        <v>0.60923601065811261</v>
      </c>
      <c r="O205">
        <f ca="1"/>
        <v>0</v>
      </c>
      <c r="P205">
        <f ca="1"/>
        <v>2.4045735825826688</v>
      </c>
      <c r="Q205">
        <f ca="1"/>
        <v>2.2250112695975992</v>
      </c>
      <c r="R205">
        <f ca="1"/>
        <v>0</v>
      </c>
      <c r="S205">
        <f ca="1"/>
        <v>0.85855274652978086</v>
      </c>
      <c r="T205">
        <f ca="1"/>
        <v>0</v>
      </c>
      <c r="U205">
        <f ca="1"/>
        <v>0</v>
      </c>
      <c r="V205">
        <f ca="1"/>
        <v>2.2678725124693922E-2</v>
      </c>
      <c r="X205" s="2">
        <f t="shared" ca="1" si="22"/>
        <v>45588</v>
      </c>
      <c r="Y205">
        <f t="shared" ca="1" si="23"/>
        <v>0</v>
      </c>
      <c r="AA205" s="63">
        <f ca="1">K204+M205+N205+O205</f>
        <v>37.701486709809068</v>
      </c>
      <c r="AB205" s="63">
        <f ca="1">K205+L205+R205</f>
        <v>37.701486709809075</v>
      </c>
      <c r="AC205" s="3">
        <f ca="1">AB205-AA205</f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45589</v>
      </c>
      <c r="K206">
        <f ca="1"/>
        <v>38.297883591681462</v>
      </c>
      <c r="L206">
        <f ca="1"/>
        <v>9.7827761317718309E-2</v>
      </c>
      <c r="M206">
        <f ca="1"/>
        <v>0.2148879783164972</v>
      </c>
      <c r="N206">
        <f ca="1"/>
        <v>0.57452952074779318</v>
      </c>
      <c r="O206">
        <f ca="1"/>
        <v>0</v>
      </c>
      <c r="P206">
        <f ca="1"/>
        <v>2.5024013439003872</v>
      </c>
      <c r="Q206">
        <f ca="1"/>
        <v>2.315533711076657</v>
      </c>
      <c r="R206">
        <f ca="1"/>
        <v>0</v>
      </c>
      <c r="S206">
        <f ca="1"/>
        <v>0.82282949538959826</v>
      </c>
      <c r="T206">
        <f ca="1"/>
        <v>0</v>
      </c>
      <c r="U206">
        <f ca="1"/>
        <v>0</v>
      </c>
      <c r="V206">
        <f ca="1"/>
        <v>2.5024219543952987E-2</v>
      </c>
      <c r="X206" s="2">
        <f t="shared" ca="1" si="22"/>
        <v>45589</v>
      </c>
      <c r="Y206">
        <f t="shared" ca="1" si="23"/>
        <v>0</v>
      </c>
      <c r="AA206" s="63">
        <f ca="1">K205+M206+N206+O206</f>
        <v>38.395711352999179</v>
      </c>
      <c r="AB206" s="63">
        <f ca="1">K206+L206+R206</f>
        <v>38.395711352999179</v>
      </c>
      <c r="AC206" s="3">
        <f ca="1">AB206-AA206</f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45590</v>
      </c>
      <c r="K207">
        <f ca="1"/>
        <v>39.043112977285496</v>
      </c>
      <c r="L207">
        <f ca="1"/>
        <v>0.108235525407538</v>
      </c>
      <c r="M207">
        <f ca="1"/>
        <v>0.24240865062992611</v>
      </c>
      <c r="N207">
        <f ca="1"/>
        <v>0.61105626038164795</v>
      </c>
      <c r="O207">
        <f ca="1"/>
        <v>0</v>
      </c>
      <c r="P207">
        <f ca="1"/>
        <v>2.6106368693079252</v>
      </c>
      <c r="Q207">
        <f ca="1"/>
        <v>2.4156867134829825</v>
      </c>
      <c r="R207">
        <f ca="1"/>
        <v>0</v>
      </c>
      <c r="S207">
        <f ca="1"/>
        <v>0.82237766691378678</v>
      </c>
      <c r="T207">
        <f ca="1"/>
        <v>0</v>
      </c>
      <c r="U207">
        <f ca="1"/>
        <v>0</v>
      </c>
      <c r="V207">
        <f ca="1"/>
        <v>2.77746007418306E-2</v>
      </c>
      <c r="X207" s="2">
        <f t="shared" ca="1" si="22"/>
        <v>45590</v>
      </c>
      <c r="Y207">
        <f t="shared" ca="1" si="23"/>
        <v>0</v>
      </c>
      <c r="AA207" s="63">
        <f ca="1">K206+M207+N207+O207</f>
        <v>39.151348502693033</v>
      </c>
      <c r="AB207" s="63">
        <f ca="1">K207+L207+R207</f>
        <v>39.151348502693033</v>
      </c>
      <c r="AC207" s="3">
        <f ca="1">AB207-AA207</f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45591</v>
      </c>
      <c r="K208">
        <f ca="1"/>
        <v>39.733761441467102</v>
      </c>
      <c r="L208">
        <f ca="1"/>
        <v>0.10475821222753279</v>
      </c>
      <c r="M208">
        <f ca="1"/>
        <v>0.24508519828788522</v>
      </c>
      <c r="N208">
        <f ca="1"/>
        <v>0.55032147812125309</v>
      </c>
      <c r="O208">
        <f ca="1"/>
        <v>0</v>
      </c>
      <c r="P208">
        <f ca="1"/>
        <v>2.7153950815354579</v>
      </c>
      <c r="Q208">
        <f ca="1"/>
        <v>2.5126220722000179</v>
      </c>
      <c r="R208">
        <f ca="1"/>
        <v>0</v>
      </c>
      <c r="S208">
        <f ca="1"/>
        <v>0.79941978715467588</v>
      </c>
      <c r="T208">
        <f ca="1"/>
        <v>0</v>
      </c>
      <c r="U208">
        <f ca="1"/>
        <v>0</v>
      </c>
      <c r="V208">
        <f ca="1"/>
        <v>3.0593316362962527E-2</v>
      </c>
      <c r="X208" s="2">
        <f t="shared" ca="1" si="22"/>
        <v>45591</v>
      </c>
      <c r="Y208">
        <f t="shared" ca="1" si="23"/>
        <v>0</v>
      </c>
      <c r="AA208" s="63">
        <f t="shared" ref="AA208:AA271" ca="1" si="25">K207+M208+N208+O208</f>
        <v>39.83851965369464</v>
      </c>
      <c r="AB208" s="63">
        <f t="shared" ref="AB208:AB271" ca="1" si="26">K208+L208+R208</f>
        <v>39.838519653694632</v>
      </c>
      <c r="AC208" s="3">
        <f t="shared" ref="AC208:AC271" ca="1" si="27">AB208-AA208</f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45592</v>
      </c>
      <c r="K209">
        <f ca="1"/>
        <v>40.450662573951313</v>
      </c>
      <c r="L209">
        <f ca="1"/>
        <v>0.11462642373672827</v>
      </c>
      <c r="M209">
        <f ca="1"/>
        <v>0.26895940288887843</v>
      </c>
      <c r="N209">
        <f ca="1"/>
        <v>0.56256815333206367</v>
      </c>
      <c r="O209">
        <f ca="1"/>
        <v>0</v>
      </c>
      <c r="P209">
        <f ca="1"/>
        <v>2.8300215052721862</v>
      </c>
      <c r="Q209">
        <f ca="1"/>
        <v>2.6186887305278348</v>
      </c>
      <c r="R209">
        <f ca="1"/>
        <v>0</v>
      </c>
      <c r="S209">
        <f ca="1"/>
        <v>0.7771769037595172</v>
      </c>
      <c r="T209">
        <f ca="1"/>
        <v>0</v>
      </c>
      <c r="U209">
        <f ca="1"/>
        <v>0</v>
      </c>
      <c r="V209">
        <f ca="1"/>
        <v>3.3855352584012982E-2</v>
      </c>
      <c r="X209" s="2">
        <f t="shared" ca="1" si="22"/>
        <v>45592</v>
      </c>
      <c r="Y209">
        <f t="shared" ca="1" si="23"/>
        <v>0</v>
      </c>
      <c r="AA209" s="63">
        <f t="shared" ca="1" si="25"/>
        <v>40.565288997688043</v>
      </c>
      <c r="AB209" s="63">
        <f t="shared" ca="1" si="26"/>
        <v>40.565288997688043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45593</v>
      </c>
      <c r="K210">
        <f ca="1"/>
        <v>41.196218352135787</v>
      </c>
      <c r="L210">
        <f ca="1"/>
        <v>0.12029976122912256</v>
      </c>
      <c r="M210">
        <f ca="1"/>
        <v>0.28441792937512744</v>
      </c>
      <c r="N210">
        <f ca="1"/>
        <v>0.58143761003846706</v>
      </c>
      <c r="O210">
        <f ca="1"/>
        <v>0</v>
      </c>
      <c r="P210">
        <f ca="1"/>
        <v>2.9503212665013088</v>
      </c>
      <c r="Q210">
        <f ca="1"/>
        <v>2.7300050680288082</v>
      </c>
      <c r="R210">
        <f ca="1"/>
        <v>0</v>
      </c>
      <c r="S210">
        <f ca="1"/>
        <v>0.79658029016650955</v>
      </c>
      <c r="T210">
        <f ca="1"/>
        <v>0</v>
      </c>
      <c r="U210">
        <f ca="1"/>
        <v>0</v>
      </c>
      <c r="V210">
        <f ca="1"/>
        <v>3.7479655456775951E-2</v>
      </c>
      <c r="X210" s="2">
        <f t="shared" ca="1" si="22"/>
        <v>45593</v>
      </c>
      <c r="Y210">
        <f t="shared" ca="1" si="23"/>
        <v>0</v>
      </c>
      <c r="AA210" s="63">
        <f t="shared" ca="1" si="25"/>
        <v>41.316518113364907</v>
      </c>
      <c r="AB210" s="63">
        <f t="shared" ca="1" si="26"/>
        <v>41.316518113364907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45594</v>
      </c>
      <c r="K211">
        <f ca="1"/>
        <v>41.959274687725639</v>
      </c>
      <c r="L211">
        <f ca="1"/>
        <v>0.12803921856648826</v>
      </c>
      <c r="M211">
        <f ca="1"/>
        <v>0.30219983970690123</v>
      </c>
      <c r="N211">
        <f ca="1"/>
        <v>0.58889571444943778</v>
      </c>
      <c r="O211">
        <f ca="1"/>
        <v>0</v>
      </c>
      <c r="P211">
        <f ca="1"/>
        <v>3.078360485067797</v>
      </c>
      <c r="Q211">
        <f ca="1"/>
        <v>2.8484829163776695</v>
      </c>
      <c r="R211">
        <f ca="1"/>
        <v>0</v>
      </c>
      <c r="S211">
        <f ca="1"/>
        <v>0.7896373604463236</v>
      </c>
      <c r="T211">
        <f ca="1"/>
        <v>0</v>
      </c>
      <c r="U211">
        <f ca="1"/>
        <v>0</v>
      </c>
      <c r="V211">
        <f ca="1"/>
        <v>4.1563769151027677E-2</v>
      </c>
      <c r="X211" s="2">
        <f t="shared" ca="1" si="22"/>
        <v>45594</v>
      </c>
      <c r="Y211">
        <f t="shared" ca="1" si="23"/>
        <v>0</v>
      </c>
      <c r="AA211" s="63">
        <f t="shared" ca="1" si="25"/>
        <v>42.087313906292124</v>
      </c>
      <c r="AB211" s="63">
        <f t="shared" ca="1" si="26"/>
        <v>42.087313906292124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45595</v>
      </c>
      <c r="K212">
        <f ca="1"/>
        <v>42.728275277090582</v>
      </c>
      <c r="L212">
        <f ca="1"/>
        <v>0.13571719104548485</v>
      </c>
      <c r="M212">
        <f ca="1"/>
        <v>0.31844849522091323</v>
      </c>
      <c r="N212">
        <f ca="1"/>
        <v>0.58626928518951904</v>
      </c>
      <c r="O212">
        <f ca="1"/>
        <v>0</v>
      </c>
      <c r="P212">
        <f ca="1"/>
        <v>3.2140776761132819</v>
      </c>
      <c r="Q212">
        <f ca="1"/>
        <v>2.9740653821178098</v>
      </c>
      <c r="R212">
        <f ca="1"/>
        <v>0</v>
      </c>
      <c r="S212">
        <f ca="1"/>
        <v>0.77327384840583513</v>
      </c>
      <c r="T212">
        <f ca="1"/>
        <v>0</v>
      </c>
      <c r="U212">
        <f ca="1"/>
        <v>0</v>
      </c>
      <c r="V212">
        <f ca="1"/>
        <v>4.6148150679604753E-2</v>
      </c>
      <c r="X212" s="2">
        <f t="shared" ca="1" si="22"/>
        <v>45595</v>
      </c>
      <c r="Y212">
        <f t="shared" ca="1" si="23"/>
        <v>0</v>
      </c>
      <c r="AA212" s="63">
        <f t="shared" ca="1" si="25"/>
        <v>42.863992468136068</v>
      </c>
      <c r="AB212" s="63">
        <f t="shared" ca="1" si="26"/>
        <v>42.863992468136068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45596</v>
      </c>
      <c r="K213">
        <f ca="1"/>
        <v>43.486677171202018</v>
      </c>
      <c r="L213">
        <f ca="1"/>
        <v>0.14122478157463592</v>
      </c>
      <c r="M213">
        <f ca="1"/>
        <v>0.32921133913039924</v>
      </c>
      <c r="N213">
        <f ca="1"/>
        <v>0.57041533655567345</v>
      </c>
      <c r="O213">
        <f ca="1"/>
        <v>0</v>
      </c>
      <c r="P213">
        <f ca="1"/>
        <v>3.3553024576879178</v>
      </c>
      <c r="Q213">
        <f ca="1"/>
        <v>3.104744157276158</v>
      </c>
      <c r="R213">
        <f ca="1"/>
        <v>0</v>
      </c>
      <c r="S213">
        <f ca="1"/>
        <v>0.7545466028487714</v>
      </c>
      <c r="T213">
        <f ca="1"/>
        <v>0</v>
      </c>
      <c r="U213">
        <f ca="1"/>
        <v>0</v>
      </c>
      <c r="V213">
        <f ca="1"/>
        <v>5.1197072199023801E-2</v>
      </c>
      <c r="X213" s="2">
        <f t="shared" ca="1" si="22"/>
        <v>45596</v>
      </c>
      <c r="Y213">
        <f t="shared" ca="1" si="23"/>
        <v>0</v>
      </c>
      <c r="AA213" s="63">
        <f t="shared" ca="1" si="25"/>
        <v>43.627901952776661</v>
      </c>
      <c r="AB213" s="63">
        <f t="shared" ca="1" si="26"/>
        <v>43.627901952776654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45597</v>
      </c>
      <c r="K214">
        <f ca="1"/>
        <v>44.182851182713769</v>
      </c>
      <c r="L214">
        <f ca="1"/>
        <v>0.13535537352185578</v>
      </c>
      <c r="M214">
        <f ca="1"/>
        <v>0.31879229531818254</v>
      </c>
      <c r="N214">
        <f ca="1"/>
        <v>0.51273708971542076</v>
      </c>
      <c r="O214">
        <f ca="1"/>
        <v>0</v>
      </c>
      <c r="P214">
        <f ca="1"/>
        <v>3.4906578312097736</v>
      </c>
      <c r="Q214">
        <f ca="1"/>
        <v>3.2299918243337196</v>
      </c>
      <c r="R214">
        <f ca="1"/>
        <v>0</v>
      </c>
      <c r="S214">
        <f ca="1"/>
        <v>0.73883694542875011</v>
      </c>
      <c r="T214">
        <f ca="1"/>
        <v>0</v>
      </c>
      <c r="U214">
        <f ca="1"/>
        <v>0</v>
      </c>
      <c r="V214">
        <f ca="1"/>
        <v>5.6301489889233669E-2</v>
      </c>
      <c r="X214" s="2">
        <f t="shared" ca="1" si="22"/>
        <v>45597</v>
      </c>
      <c r="Y214">
        <f t="shared" ca="1" si="23"/>
        <v>0</v>
      </c>
      <c r="AA214" s="63">
        <f t="shared" ca="1" si="25"/>
        <v>44.318206556235623</v>
      </c>
      <c r="AB214" s="63">
        <f t="shared" ca="1" si="26"/>
        <v>44.318206556235623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45598</v>
      </c>
      <c r="K215">
        <f ca="1"/>
        <v>44.870380169326992</v>
      </c>
      <c r="L215">
        <f ca="1"/>
        <v>0.14072419160255567</v>
      </c>
      <c r="M215">
        <f ca="1"/>
        <v>0.32717089194339977</v>
      </c>
      <c r="N215">
        <f ca="1"/>
        <v>0.50108228627238716</v>
      </c>
      <c r="O215">
        <f ca="1"/>
        <v>0</v>
      </c>
      <c r="P215">
        <f ca="1"/>
        <v>3.6313820228123292</v>
      </c>
      <c r="Q215">
        <f ca="1"/>
        <v>3.3602073912386818</v>
      </c>
      <c r="R215">
        <f ca="1"/>
        <v>0</v>
      </c>
      <c r="S215">
        <f ca="1"/>
        <v>0.72143708032592513</v>
      </c>
      <c r="T215">
        <f ca="1"/>
        <v>0</v>
      </c>
      <c r="U215">
        <f ca="1"/>
        <v>0</v>
      </c>
      <c r="V215">
        <f ca="1"/>
        <v>6.1881632991204187E-2</v>
      </c>
      <c r="X215" s="2">
        <f t="shared" ca="1" si="22"/>
        <v>45598</v>
      </c>
      <c r="Y215">
        <f t="shared" ca="1" si="23"/>
        <v>0</v>
      </c>
      <c r="AA215" s="63">
        <f t="shared" ca="1" si="25"/>
        <v>45.011104360929558</v>
      </c>
      <c r="AB215" s="63">
        <f t="shared" ca="1" si="26"/>
        <v>45.011104360929551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45599</v>
      </c>
      <c r="K216">
        <f ca="1"/>
        <v>45.555988039852167</v>
      </c>
      <c r="L216">
        <f ca="1"/>
        <v>0.14644200133875573</v>
      </c>
      <c r="M216">
        <f ca="1"/>
        <v>0.33502562840935113</v>
      </c>
      <c r="N216">
        <f ca="1"/>
        <v>0.49702424345457363</v>
      </c>
      <c r="O216">
        <f ca="1"/>
        <v>0</v>
      </c>
      <c r="P216">
        <f ca="1"/>
        <v>3.777824024151085</v>
      </c>
      <c r="Q216">
        <f ca="1"/>
        <v>3.4957137885813609</v>
      </c>
      <c r="R216">
        <f ca="1"/>
        <v>0</v>
      </c>
      <c r="S216">
        <f ca="1"/>
        <v>0.71456281445434944</v>
      </c>
      <c r="T216">
        <f ca="1"/>
        <v>0</v>
      </c>
      <c r="U216">
        <f ca="1"/>
        <v>0</v>
      </c>
      <c r="V216">
        <f ca="1"/>
        <v>6.7981121512859302E-2</v>
      </c>
      <c r="X216" s="2">
        <f t="shared" ca="1" si="22"/>
        <v>45599</v>
      </c>
      <c r="Y216">
        <f t="shared" ca="1" si="23"/>
        <v>0</v>
      </c>
      <c r="AA216" s="63">
        <f t="shared" ca="1" si="25"/>
        <v>45.702430041190922</v>
      </c>
      <c r="AB216" s="63">
        <f t="shared" ca="1" si="26"/>
        <v>45.702430041190922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45600</v>
      </c>
      <c r="K217">
        <f ca="1"/>
        <v>46.254023573981478</v>
      </c>
      <c r="L217">
        <f ca="1"/>
        <v>0.15298656402412147</v>
      </c>
      <c r="M217">
        <f ca="1"/>
        <v>0.34313291642222055</v>
      </c>
      <c r="N217">
        <f ca="1"/>
        <v>0.50788918173120823</v>
      </c>
      <c r="O217">
        <f ca="1"/>
        <v>0</v>
      </c>
      <c r="P217">
        <f ca="1"/>
        <v>3.9308105881752065</v>
      </c>
      <c r="Q217">
        <f ca="1"/>
        <v>3.6372760312660191</v>
      </c>
      <c r="R217">
        <f ca="1"/>
        <v>0</v>
      </c>
      <c r="S217">
        <f ca="1"/>
        <v>0.72724434112814107</v>
      </c>
      <c r="T217">
        <f ca="1"/>
        <v>0</v>
      </c>
      <c r="U217">
        <f ca="1"/>
        <v>0</v>
      </c>
      <c r="V217">
        <f ca="1"/>
        <v>7.4667374538321521E-2</v>
      </c>
      <c r="X217" s="2">
        <f t="shared" ca="1" si="22"/>
        <v>45600</v>
      </c>
      <c r="Y217">
        <f t="shared" ca="1" si="23"/>
        <v>0</v>
      </c>
      <c r="AA217" s="63">
        <f t="shared" ca="1" si="25"/>
        <v>46.407010138005596</v>
      </c>
      <c r="AB217" s="63">
        <f t="shared" ca="1" si="26"/>
        <v>46.407010138005596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45601</v>
      </c>
      <c r="K218">
        <f ca="1"/>
        <v>46.981120033155484</v>
      </c>
      <c r="L218">
        <f ca="1"/>
        <v>0.17290012616392225</v>
      </c>
      <c r="M218">
        <f ca="1"/>
        <v>0.37182740909171486</v>
      </c>
      <c r="N218">
        <f ca="1"/>
        <v>0.5281691762462134</v>
      </c>
      <c r="O218">
        <f ca="1"/>
        <v>0</v>
      </c>
      <c r="P218">
        <f ca="1"/>
        <v>4.1037107143391287</v>
      </c>
      <c r="Q218">
        <f ca="1"/>
        <v>3.7972647843722456</v>
      </c>
      <c r="R218">
        <f ca="1"/>
        <v>0</v>
      </c>
      <c r="S218">
        <f ca="1"/>
        <v>0.69281691305641435</v>
      </c>
      <c r="T218">
        <f ca="1"/>
        <v>0</v>
      </c>
      <c r="U218">
        <f ca="1"/>
        <v>0</v>
      </c>
      <c r="V218">
        <f ca="1"/>
        <v>8.2603023773411874E-2</v>
      </c>
      <c r="X218" s="2">
        <f t="shared" ca="1" si="22"/>
        <v>45601</v>
      </c>
      <c r="Y218">
        <f t="shared" ca="1" si="23"/>
        <v>0</v>
      </c>
      <c r="AA218" s="63">
        <f t="shared" ca="1" si="25"/>
        <v>47.154020159319408</v>
      </c>
      <c r="AB218" s="63">
        <f t="shared" ca="1" si="26"/>
        <v>47.154020159319408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45602</v>
      </c>
      <c r="K219">
        <f ca="1"/>
        <v>47.704579648904257</v>
      </c>
      <c r="L219">
        <f ca="1"/>
        <v>0.18002968641336903</v>
      </c>
      <c r="M219">
        <f ca="1"/>
        <v>0.37759870287402464</v>
      </c>
      <c r="N219">
        <f ca="1"/>
        <v>0.52589059928812032</v>
      </c>
      <c r="O219">
        <f ca="1"/>
        <v>0</v>
      </c>
      <c r="P219">
        <f ca="1"/>
        <v>4.2837404007524977</v>
      </c>
      <c r="Q219">
        <f ca="1"/>
        <v>3.9638506955014998</v>
      </c>
      <c r="R219">
        <f ca="1"/>
        <v>0</v>
      </c>
      <c r="S219">
        <f ca="1"/>
        <v>0.69097482639020824</v>
      </c>
      <c r="T219">
        <f ca="1"/>
        <v>0</v>
      </c>
      <c r="U219">
        <f ca="1"/>
        <v>0</v>
      </c>
      <c r="V219">
        <f ca="1"/>
        <v>9.1282821161457223E-2</v>
      </c>
      <c r="X219" s="2">
        <f t="shared" ca="1" si="22"/>
        <v>45602</v>
      </c>
      <c r="Y219">
        <f t="shared" ca="1" si="23"/>
        <v>0</v>
      </c>
      <c r="AA219" s="63">
        <f t="shared" ca="1" si="25"/>
        <v>47.884609335317627</v>
      </c>
      <c r="AB219" s="63">
        <f t="shared" ca="1" si="26"/>
        <v>47.884609335317627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45603</v>
      </c>
      <c r="K220">
        <f ca="1"/>
        <v>48.396299131736022</v>
      </c>
      <c r="L220">
        <f ca="1"/>
        <v>0.18285469666415555</v>
      </c>
      <c r="M220">
        <f ca="1"/>
        <v>0.3754639277975329</v>
      </c>
      <c r="N220">
        <f ca="1"/>
        <v>0.49911025169838835</v>
      </c>
      <c r="O220">
        <f ca="1"/>
        <v>0</v>
      </c>
      <c r="P220">
        <f ca="1"/>
        <v>4.4665950974166533</v>
      </c>
      <c r="Q220">
        <f ca="1"/>
        <v>4.1330506583238513</v>
      </c>
      <c r="R220">
        <f ca="1"/>
        <v>0</v>
      </c>
      <c r="S220">
        <f ca="1"/>
        <v>0.67224257469264603</v>
      </c>
      <c r="T220">
        <f ca="1"/>
        <v>0</v>
      </c>
      <c r="U220">
        <f ca="1"/>
        <v>0</v>
      </c>
      <c r="V220">
        <f ca="1"/>
        <v>0.10052074808471739</v>
      </c>
      <c r="X220" s="2">
        <f t="shared" ca="1" si="22"/>
        <v>45603</v>
      </c>
      <c r="Y220">
        <f t="shared" ca="1" si="23"/>
        <v>0</v>
      </c>
      <c r="AA220" s="63">
        <f t="shared" ca="1" si="25"/>
        <v>48.57915382840018</v>
      </c>
      <c r="AB220" s="63">
        <f t="shared" ca="1" si="26"/>
        <v>48.57915382840018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45604</v>
      </c>
      <c r="K221">
        <f ca="1"/>
        <v>49.100859876530983</v>
      </c>
      <c r="L221">
        <f ca="1"/>
        <v>0.19437070796767308</v>
      </c>
      <c r="M221">
        <f ca="1"/>
        <v>0.38599840921223816</v>
      </c>
      <c r="N221">
        <f ca="1"/>
        <v>0.51293304355039793</v>
      </c>
      <c r="O221">
        <f ca="1"/>
        <v>0</v>
      </c>
      <c r="P221">
        <f ca="1"/>
        <v>4.6609658053843264</v>
      </c>
      <c r="Q221">
        <f ca="1"/>
        <v>4.3129066705666661</v>
      </c>
      <c r="R221">
        <f ca="1"/>
        <v>0</v>
      </c>
      <c r="S221">
        <f ca="1"/>
        <v>0.67715801489542504</v>
      </c>
      <c r="T221">
        <f ca="1"/>
        <v>0</v>
      </c>
      <c r="U221">
        <f ca="1"/>
        <v>0</v>
      </c>
      <c r="V221">
        <f ca="1"/>
        <v>0.11078912671824497</v>
      </c>
      <c r="X221" s="2">
        <f t="shared" ca="1" si="22"/>
        <v>45604</v>
      </c>
      <c r="Y221">
        <f t="shared" ca="1" si="23"/>
        <v>0</v>
      </c>
      <c r="AA221" s="63">
        <f t="shared" ca="1" si="25"/>
        <v>49.295230584498661</v>
      </c>
      <c r="AB221" s="63">
        <f t="shared" ca="1" si="26"/>
        <v>49.295230584498654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45605</v>
      </c>
      <c r="K222">
        <f ca="1"/>
        <v>49.814392536149846</v>
      </c>
      <c r="L222">
        <f ca="1"/>
        <v>0.21257847354325499</v>
      </c>
      <c r="M222">
        <f ca="1"/>
        <v>0.40510385046282948</v>
      </c>
      <c r="N222">
        <f ca="1"/>
        <v>0.52100728269928598</v>
      </c>
      <c r="O222">
        <f ca="1"/>
        <v>0</v>
      </c>
      <c r="P222">
        <f ca="1"/>
        <v>4.8735442789275814</v>
      </c>
      <c r="Q222">
        <f ca="1"/>
        <v>4.509610777579093</v>
      </c>
      <c r="R222">
        <f ca="1"/>
        <v>0</v>
      </c>
      <c r="S222">
        <f ca="1"/>
        <v>0.65109883026992532</v>
      </c>
      <c r="T222">
        <f ca="1"/>
        <v>0</v>
      </c>
      <c r="U222">
        <f ca="1"/>
        <v>0</v>
      </c>
      <c r="V222">
        <f ca="1"/>
        <v>0.12252429761684591</v>
      </c>
      <c r="X222" s="2">
        <f t="shared" ca="1" si="22"/>
        <v>45605</v>
      </c>
      <c r="Y222">
        <f t="shared" ca="1" si="23"/>
        <v>0</v>
      </c>
      <c r="AA222" s="63">
        <f t="shared" ca="1" si="25"/>
        <v>50.026971009693099</v>
      </c>
      <c r="AB222" s="63">
        <f t="shared" ca="1" si="26"/>
        <v>50.026971009693099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45606</v>
      </c>
      <c r="K223">
        <f ca="1"/>
        <v>50.48888904243929</v>
      </c>
      <c r="L223">
        <f ca="1"/>
        <v>0.21377521157487056</v>
      </c>
      <c r="M223">
        <f ca="1"/>
        <v>0.39683441355874294</v>
      </c>
      <c r="N223">
        <f ca="1"/>
        <v>0.49143730430556887</v>
      </c>
      <c r="O223">
        <f ca="1"/>
        <v>0</v>
      </c>
      <c r="P223">
        <f ca="1"/>
        <v>5.0873194905024519</v>
      </c>
      <c r="Q223">
        <f ca="1"/>
        <v>4.707422255822074</v>
      </c>
      <c r="R223">
        <f ca="1"/>
        <v>0</v>
      </c>
      <c r="S223">
        <f ca="1"/>
        <v>0.63727774858211528</v>
      </c>
      <c r="T223">
        <f ca="1"/>
        <v>0</v>
      </c>
      <c r="U223">
        <f ca="1"/>
        <v>0</v>
      </c>
      <c r="V223">
        <f ca="1"/>
        <v>0.13482775314364354</v>
      </c>
      <c r="X223" s="2">
        <f t="shared" ca="1" si="22"/>
        <v>45606</v>
      </c>
      <c r="Y223">
        <f t="shared" ca="1" si="23"/>
        <v>0</v>
      </c>
      <c r="AA223" s="63">
        <f t="shared" ca="1" si="25"/>
        <v>50.702664254014159</v>
      </c>
      <c r="AB223" s="63">
        <f t="shared" ca="1" si="26"/>
        <v>50.702664254014159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45607</v>
      </c>
      <c r="K224">
        <f ca="1"/>
        <v>51.109167065618308</v>
      </c>
      <c r="L224">
        <f ca="1"/>
        <v>0.20431867265520864</v>
      </c>
      <c r="M224">
        <f ca="1"/>
        <v>0.37477151951341625</v>
      </c>
      <c r="N224">
        <f ca="1"/>
        <v>0.44982517632081676</v>
      </c>
      <c r="O224">
        <f ca="1"/>
        <v>0</v>
      </c>
      <c r="P224">
        <f ca="1"/>
        <v>5.2916381631576606</v>
      </c>
      <c r="Q224">
        <f ca="1"/>
        <v>4.8964833652595239</v>
      </c>
      <c r="R224">
        <f ca="1"/>
        <v>0</v>
      </c>
      <c r="S224">
        <f ca="1"/>
        <v>0.63736573620464676</v>
      </c>
      <c r="T224">
        <f ca="1"/>
        <v>0</v>
      </c>
      <c r="U224">
        <f ca="1"/>
        <v>0</v>
      </c>
      <c r="V224">
        <f ca="1"/>
        <v>0.14702709696226404</v>
      </c>
      <c r="X224" s="2">
        <f t="shared" ca="1" si="22"/>
        <v>45607</v>
      </c>
      <c r="Y224">
        <f t="shared" ca="1" si="23"/>
        <v>0</v>
      </c>
      <c r="AA224" s="63">
        <f t="shared" ca="1" si="25"/>
        <v>51.313485738273521</v>
      </c>
      <c r="AB224" s="63">
        <f t="shared" ca="1" si="26"/>
        <v>51.313485738273513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45608</v>
      </c>
      <c r="K225">
        <f ca="1"/>
        <v>51.724466290138665</v>
      </c>
      <c r="L225">
        <f ca="1"/>
        <v>0.21542763325044501</v>
      </c>
      <c r="M225">
        <f ca="1"/>
        <v>0.38087206832825515</v>
      </c>
      <c r="N225">
        <f ca="1"/>
        <v>0.44985478944254947</v>
      </c>
      <c r="O225">
        <f ca="1"/>
        <v>0</v>
      </c>
      <c r="P225">
        <f ca="1"/>
        <v>5.5070657964081056</v>
      </c>
      <c r="Q225">
        <f ca="1"/>
        <v>5.0958238700529543</v>
      </c>
      <c r="R225">
        <f ca="1"/>
        <v>0</v>
      </c>
      <c r="S225">
        <f ca="1"/>
        <v>0.62655691283793402</v>
      </c>
      <c r="T225">
        <f ca="1"/>
        <v>0</v>
      </c>
      <c r="U225">
        <f ca="1"/>
        <v>0</v>
      </c>
      <c r="V225">
        <f ca="1"/>
        <v>0.1603210495847267</v>
      </c>
      <c r="X225" s="2">
        <f t="shared" ca="1" si="22"/>
        <v>45608</v>
      </c>
      <c r="Y225">
        <f t="shared" ca="1" si="23"/>
        <v>0</v>
      </c>
      <c r="AA225" s="63">
        <f t="shared" ca="1" si="25"/>
        <v>51.939893923389114</v>
      </c>
      <c r="AB225" s="63">
        <f t="shared" ca="1" si="26"/>
        <v>51.939893923389107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45609</v>
      </c>
      <c r="K226">
        <f ca="1"/>
        <v>52.359831520054094</v>
      </c>
      <c r="L226">
        <f ca="1"/>
        <v>0.23714355625810857</v>
      </c>
      <c r="M226">
        <f ca="1"/>
        <v>0.39917621638855039</v>
      </c>
      <c r="N226">
        <f ca="1"/>
        <v>0.47333256978498667</v>
      </c>
      <c r="O226">
        <f ca="1"/>
        <v>0</v>
      </c>
      <c r="P226">
        <f ca="1"/>
        <v>5.7442093526662141</v>
      </c>
      <c r="Q226">
        <f ca="1"/>
        <v>5.3152586542528288</v>
      </c>
      <c r="R226">
        <f ca="1"/>
        <v>0</v>
      </c>
      <c r="S226">
        <f ca="1"/>
        <v>0.62112040423709436</v>
      </c>
      <c r="T226">
        <f ca="1"/>
        <v>0</v>
      </c>
      <c r="U226">
        <f ca="1"/>
        <v>0</v>
      </c>
      <c r="V226">
        <f ca="1"/>
        <v>0.17542229892700267</v>
      </c>
      <c r="X226" s="2">
        <f t="shared" ca="1" si="22"/>
        <v>45609</v>
      </c>
      <c r="Y226">
        <f t="shared" ca="1" si="23"/>
        <v>0</v>
      </c>
      <c r="AA226" s="63">
        <f t="shared" ca="1" si="25"/>
        <v>52.596975076312205</v>
      </c>
      <c r="AB226" s="63">
        <f t="shared" ca="1" si="26"/>
        <v>52.596975076312205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45610</v>
      </c>
      <c r="K227">
        <f ca="1"/>
        <v>52.99092267189387</v>
      </c>
      <c r="L227">
        <f ca="1"/>
        <v>0.25045126708723053</v>
      </c>
      <c r="M227">
        <f ca="1"/>
        <v>0.40478827976684073</v>
      </c>
      <c r="N227">
        <f ca="1"/>
        <v>0.47675413916016607</v>
      </c>
      <c r="O227">
        <f ca="1"/>
        <v>0</v>
      </c>
      <c r="P227">
        <f ca="1"/>
        <v>5.9946606197534447</v>
      </c>
      <c r="Q227">
        <f ca="1"/>
        <v>5.5470073916549731</v>
      </c>
      <c r="R227">
        <f ca="1"/>
        <v>0</v>
      </c>
      <c r="S227">
        <f ca="1"/>
        <v>0.61594820193953748</v>
      </c>
      <c r="T227">
        <f ca="1"/>
        <v>0</v>
      </c>
      <c r="U227">
        <f ca="1"/>
        <v>0</v>
      </c>
      <c r="V227">
        <f ca="1"/>
        <v>0.19184608047182308</v>
      </c>
      <c r="X227" s="2">
        <f t="shared" ca="1" si="22"/>
        <v>45610</v>
      </c>
      <c r="Y227">
        <f t="shared" ca="1" si="23"/>
        <v>0</v>
      </c>
      <c r="AA227" s="63">
        <f t="shared" ca="1" si="25"/>
        <v>53.241373938981098</v>
      </c>
      <c r="AB227" s="63">
        <f t="shared" ca="1" si="26"/>
        <v>53.241373938981098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45611</v>
      </c>
      <c r="K228">
        <f ca="1"/>
        <v>53.620272348532644</v>
      </c>
      <c r="L228">
        <f ca="1"/>
        <v>0.25658882029708874</v>
      </c>
      <c r="M228">
        <f ca="1"/>
        <v>0.40045693181057018</v>
      </c>
      <c r="N228">
        <f ca="1"/>
        <v>0.48548156512529128</v>
      </c>
      <c r="O228">
        <f ca="1"/>
        <v>0</v>
      </c>
      <c r="P228">
        <f ca="1"/>
        <v>6.2512494400505334</v>
      </c>
      <c r="Q228">
        <f ca="1"/>
        <v>5.7844353584883184</v>
      </c>
      <c r="R228">
        <f ca="1"/>
        <v>0</v>
      </c>
      <c r="S228">
        <f ca="1"/>
        <v>0.64294568552247844</v>
      </c>
      <c r="T228">
        <f ca="1"/>
        <v>0</v>
      </c>
      <c r="U228">
        <f ca="1"/>
        <v>0</v>
      </c>
      <c r="V228">
        <f ca="1"/>
        <v>0.20911309950431994</v>
      </c>
      <c r="X228" s="2">
        <f t="shared" ca="1" si="22"/>
        <v>45611</v>
      </c>
      <c r="Y228">
        <f t="shared" ca="1" si="23"/>
        <v>0</v>
      </c>
      <c r="AA228" s="63">
        <f t="shared" ca="1" si="25"/>
        <v>53.876861168829727</v>
      </c>
      <c r="AB228" s="63">
        <f t="shared" ca="1" si="26"/>
        <v>53.876861168829734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45612</v>
      </c>
      <c r="K229">
        <f ca="1"/>
        <v>54.187587115167887</v>
      </c>
      <c r="L229">
        <f ca="1"/>
        <v>0.23308404585534692</v>
      </c>
      <c r="M229">
        <f ca="1"/>
        <v>0.36389546346335422</v>
      </c>
      <c r="N229">
        <f ca="1"/>
        <v>0.43650334902723437</v>
      </c>
      <c r="O229">
        <f ca="1"/>
        <v>0</v>
      </c>
      <c r="P229">
        <f ca="1"/>
        <v>6.4843334859058803</v>
      </c>
      <c r="Q229">
        <f ca="1"/>
        <v>6.0001137775427784</v>
      </c>
      <c r="R229">
        <f ca="1"/>
        <v>0</v>
      </c>
      <c r="S229">
        <f ca="1"/>
        <v>0.66481019781181683</v>
      </c>
      <c r="T229">
        <f ca="1"/>
        <v>0</v>
      </c>
      <c r="U229">
        <f ca="1"/>
        <v>0</v>
      </c>
      <c r="V229">
        <f ca="1"/>
        <v>0.22512722979780073</v>
      </c>
      <c r="X229" s="2">
        <f t="shared" ca="1" si="22"/>
        <v>45612</v>
      </c>
      <c r="Y229">
        <f t="shared" ca="1" si="23"/>
        <v>0</v>
      </c>
      <c r="AA229" s="63">
        <f t="shared" ca="1" si="25"/>
        <v>54.420671161023236</v>
      </c>
      <c r="AB229" s="63">
        <f t="shared" ca="1" si="26"/>
        <v>54.420671161023236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45613</v>
      </c>
      <c r="K230">
        <f ca="1"/>
        <v>54.742894974907159</v>
      </c>
      <c r="L230">
        <f ca="1"/>
        <v>0.23822476594370467</v>
      </c>
      <c r="M230">
        <f ca="1"/>
        <v>0.36077242699313672</v>
      </c>
      <c r="N230">
        <f ca="1"/>
        <v>0.43276019868984078</v>
      </c>
      <c r="O230">
        <f ca="1"/>
        <v>0</v>
      </c>
      <c r="P230">
        <f ca="1"/>
        <v>6.722558251849585</v>
      </c>
      <c r="Q230">
        <f ca="1"/>
        <v>6.2205490317439338</v>
      </c>
      <c r="R230">
        <f ca="1"/>
        <v>0</v>
      </c>
      <c r="S230">
        <f ca="1"/>
        <v>0.66805006893778895</v>
      </c>
      <c r="T230">
        <f ca="1"/>
        <v>0</v>
      </c>
      <c r="U230">
        <f ca="1"/>
        <v>0</v>
      </c>
      <c r="V230">
        <f ca="1"/>
        <v>0.24176206798065877</v>
      </c>
      <c r="X230" s="2">
        <f t="shared" ca="1" si="22"/>
        <v>45613</v>
      </c>
      <c r="Y230">
        <f t="shared" ca="1" si="23"/>
        <v>0</v>
      </c>
      <c r="AA230" s="63">
        <f t="shared" ca="1" si="25"/>
        <v>54.981119740850865</v>
      </c>
      <c r="AB230" s="63">
        <f t="shared" ca="1" si="26"/>
        <v>54.981119740850865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45614</v>
      </c>
      <c r="K231">
        <f ca="1"/>
        <v>55.317788990959109</v>
      </c>
      <c r="L231">
        <f ca="1"/>
        <v>0.25896540776242194</v>
      </c>
      <c r="M231">
        <f ca="1"/>
        <v>0.3725759097240946</v>
      </c>
      <c r="N231">
        <f ca="1"/>
        <v>0.46128351409027757</v>
      </c>
      <c r="O231">
        <f ca="1"/>
        <v>0</v>
      </c>
      <c r="P231">
        <f ca="1"/>
        <v>6.9815236596120069</v>
      </c>
      <c r="Q231">
        <f ca="1"/>
        <v>6.460176113602019</v>
      </c>
      <c r="R231">
        <f ca="1"/>
        <v>0</v>
      </c>
      <c r="S231">
        <f ca="1"/>
        <v>0.68110722151228442</v>
      </c>
      <c r="T231">
        <f ca="1"/>
        <v>0</v>
      </c>
      <c r="U231">
        <f ca="1"/>
        <v>0</v>
      </c>
      <c r="V231">
        <f ca="1"/>
        <v>0.26008822644904944</v>
      </c>
      <c r="X231" s="2">
        <f t="shared" ca="1" si="22"/>
        <v>45614</v>
      </c>
      <c r="Y231">
        <f t="shared" ca="1" si="23"/>
        <v>0</v>
      </c>
      <c r="AA231" s="63">
        <f t="shared" ca="1" si="25"/>
        <v>55.576754398721526</v>
      </c>
      <c r="AB231" s="63">
        <f t="shared" ca="1" si="26"/>
        <v>55.576754398721533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45615</v>
      </c>
      <c r="K232">
        <f ca="1"/>
        <v>55.922778694722666</v>
      </c>
      <c r="L232">
        <f ca="1"/>
        <v>0.27728206416281687</v>
      </c>
      <c r="M232">
        <f ca="1"/>
        <v>0.38048902407098595</v>
      </c>
      <c r="N232">
        <f ca="1"/>
        <v>0.50178274385538812</v>
      </c>
      <c r="O232">
        <f ca="1"/>
        <v>0</v>
      </c>
      <c r="P232">
        <f ca="1"/>
        <v>7.2588057237748238</v>
      </c>
      <c r="Q232">
        <f ca="1"/>
        <v>6.7167520495968347</v>
      </c>
      <c r="R232">
        <f ca="1"/>
        <v>0</v>
      </c>
      <c r="S232">
        <f ca="1"/>
        <v>0.72102768168490505</v>
      </c>
      <c r="T232">
        <f ca="1"/>
        <v>0</v>
      </c>
      <c r="U232">
        <f ca="1"/>
        <v>0</v>
      </c>
      <c r="V232">
        <f ca="1"/>
        <v>0.27991491498802423</v>
      </c>
      <c r="X232" s="2">
        <f t="shared" ca="1" si="22"/>
        <v>45615</v>
      </c>
      <c r="Y232">
        <f t="shared" ca="1" si="23"/>
        <v>0</v>
      </c>
      <c r="AA232" s="63">
        <f t="shared" ca="1" si="25"/>
        <v>56.200060758885485</v>
      </c>
      <c r="AB232" s="63">
        <f t="shared" ca="1" si="26"/>
        <v>56.200060758885485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45616</v>
      </c>
      <c r="K233">
        <f ca="1"/>
        <v>56.515458299456107</v>
      </c>
      <c r="L233">
        <f ca="1"/>
        <v>0.27157805300243876</v>
      </c>
      <c r="M233">
        <f ca="1"/>
        <v>0.36481013326919864</v>
      </c>
      <c r="N233">
        <f ca="1"/>
        <v>0.49944752446668261</v>
      </c>
      <c r="O233">
        <f ca="1"/>
        <v>0</v>
      </c>
      <c r="P233">
        <f ca="1"/>
        <v>7.5303837767772626</v>
      </c>
      <c r="Q233">
        <f ca="1"/>
        <v>6.9680499233166229</v>
      </c>
      <c r="R233">
        <f ca="1"/>
        <v>0</v>
      </c>
      <c r="S233">
        <f ca="1"/>
        <v>0.76054211848415865</v>
      </c>
      <c r="T233">
        <f ca="1"/>
        <v>0</v>
      </c>
      <c r="U233">
        <f ca="1"/>
        <v>0</v>
      </c>
      <c r="V233">
        <f ca="1"/>
        <v>0.29946142756102845</v>
      </c>
      <c r="X233" s="2">
        <f t="shared" ca="1" si="22"/>
        <v>45616</v>
      </c>
      <c r="Y233">
        <f t="shared" ca="1" si="23"/>
        <v>0</v>
      </c>
      <c r="AA233" s="63">
        <f t="shared" ca="1" si="25"/>
        <v>56.78703635245855</v>
      </c>
      <c r="AB233" s="63">
        <f t="shared" ca="1" si="26"/>
        <v>56.787036352458543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45617</v>
      </c>
      <c r="K234">
        <f ca="1"/>
        <v>57.090878403682595</v>
      </c>
      <c r="L234">
        <f ca="1"/>
        <v>0.28690266121033758</v>
      </c>
      <c r="M234">
        <f ca="1"/>
        <v>0.36871361012715909</v>
      </c>
      <c r="N234">
        <f ca="1"/>
        <v>0.49360915530965954</v>
      </c>
      <c r="O234">
        <f ca="1"/>
        <v>0</v>
      </c>
      <c r="P234">
        <f ca="1"/>
        <v>7.8172864379876001</v>
      </c>
      <c r="Q234">
        <f ca="1"/>
        <v>7.2335280351508642</v>
      </c>
      <c r="R234">
        <f ca="1"/>
        <v>0</v>
      </c>
      <c r="S234">
        <f ca="1"/>
        <v>0.73739402925690956</v>
      </c>
      <c r="T234">
        <f ca="1"/>
        <v>0</v>
      </c>
      <c r="U234">
        <f ca="1"/>
        <v>0</v>
      </c>
      <c r="V234">
        <f ca="1"/>
        <v>0.32016637416158789</v>
      </c>
      <c r="X234" s="2">
        <f t="shared" ca="1" si="22"/>
        <v>45617</v>
      </c>
      <c r="Y234">
        <f t="shared" ca="1" si="23"/>
        <v>0</v>
      </c>
      <c r="AA234" s="63">
        <f t="shared" ca="1" si="25"/>
        <v>57.377781064892929</v>
      </c>
      <c r="AB234" s="63">
        <f t="shared" ca="1" si="26"/>
        <v>57.377781064892929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45618</v>
      </c>
      <c r="K235">
        <f ca="1"/>
        <v>57.702627104054628</v>
      </c>
      <c r="L235">
        <f ca="1"/>
        <v>0.34833615083789393</v>
      </c>
      <c r="M235">
        <f ca="1"/>
        <v>0.41284212100474349</v>
      </c>
      <c r="N235">
        <f ca="1"/>
        <v>0.54724273020518455</v>
      </c>
      <c r="O235">
        <f ca="1"/>
        <v>0</v>
      </c>
      <c r="P235">
        <f ca="1"/>
        <v>8.1656225888254941</v>
      </c>
      <c r="Q235">
        <f ca="1"/>
        <v>7.5558520708287853</v>
      </c>
      <c r="R235">
        <f ca="1"/>
        <v>0</v>
      </c>
      <c r="S235">
        <f ca="1"/>
        <v>0.69426602376491919</v>
      </c>
      <c r="T235">
        <f ca="1"/>
        <v>0</v>
      </c>
      <c r="U235">
        <f ca="1"/>
        <v>0</v>
      </c>
      <c r="V235">
        <f ca="1"/>
        <v>0.34526656306472447</v>
      </c>
      <c r="X235" s="2">
        <f t="shared" ca="1" si="22"/>
        <v>45618</v>
      </c>
      <c r="Y235">
        <f t="shared" ca="1" si="23"/>
        <v>0</v>
      </c>
      <c r="AA235" s="63">
        <f t="shared" ca="1" si="25"/>
        <v>58.050963254892523</v>
      </c>
      <c r="AB235" s="63">
        <f t="shared" ca="1" si="26"/>
        <v>58.050963254892523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45619</v>
      </c>
      <c r="K236">
        <f ca="1"/>
        <v>58.323713593982696</v>
      </c>
      <c r="L236">
        <f ca="1"/>
        <v>0.37084501372231493</v>
      </c>
      <c r="M236">
        <f ca="1"/>
        <v>0.41793392559350195</v>
      </c>
      <c r="N236">
        <f ca="1"/>
        <v>0.57399757805688023</v>
      </c>
      <c r="O236">
        <f ca="1"/>
        <v>0</v>
      </c>
      <c r="P236">
        <f ca="1"/>
        <v>8.536467602547809</v>
      </c>
      <c r="Q236">
        <f ca="1"/>
        <v>7.8990041127471597</v>
      </c>
      <c r="R236">
        <f ca="1"/>
        <v>0</v>
      </c>
      <c r="S236">
        <f ca="1"/>
        <v>0.71356275725150753</v>
      </c>
      <c r="T236">
        <f ca="1"/>
        <v>0</v>
      </c>
      <c r="U236">
        <f ca="1"/>
        <v>0</v>
      </c>
      <c r="V236">
        <f ca="1"/>
        <v>0.37180161301090991</v>
      </c>
      <c r="X236" s="2">
        <f t="shared" ca="1" si="22"/>
        <v>45619</v>
      </c>
      <c r="Y236">
        <f t="shared" ca="1" si="23"/>
        <v>0</v>
      </c>
      <c r="AA236" s="63">
        <f t="shared" ca="1" si="25"/>
        <v>58.694558607705012</v>
      </c>
      <c r="AB236" s="63">
        <f t="shared" ca="1" si="26"/>
        <v>58.694558607705012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45620</v>
      </c>
      <c r="K237">
        <f ca="1"/>
        <v>58.929884976121741</v>
      </c>
      <c r="L237">
        <f ca="1"/>
        <v>0.3896263357293499</v>
      </c>
      <c r="M237">
        <f ca="1"/>
        <v>0.41809032134631252</v>
      </c>
      <c r="N237">
        <f ca="1"/>
        <v>0.57770739652207681</v>
      </c>
      <c r="O237">
        <f ca="1"/>
        <v>0</v>
      </c>
      <c r="P237">
        <f ca="1"/>
        <v>8.9260939382771589</v>
      </c>
      <c r="Q237">
        <f ca="1"/>
        <v>8.2595349753538638</v>
      </c>
      <c r="R237">
        <f ca="1"/>
        <v>0</v>
      </c>
      <c r="S237">
        <f ca="1"/>
        <v>0.71288674799262408</v>
      </c>
      <c r="T237">
        <f ca="1"/>
        <v>0</v>
      </c>
      <c r="U237">
        <f ca="1"/>
        <v>0</v>
      </c>
      <c r="V237">
        <f ca="1"/>
        <v>0.3993182636611311</v>
      </c>
      <c r="X237" s="2">
        <f t="shared" ca="1" si="22"/>
        <v>45620</v>
      </c>
      <c r="Y237">
        <f t="shared" ca="1" si="23"/>
        <v>0</v>
      </c>
      <c r="AA237" s="63">
        <f t="shared" ca="1" si="25"/>
        <v>59.319511311851087</v>
      </c>
      <c r="AB237" s="63">
        <f t="shared" ca="1" si="26"/>
        <v>59.319511311851087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45621</v>
      </c>
      <c r="K238">
        <f ca="1"/>
        <v>59.549121445062831</v>
      </c>
      <c r="L238">
        <f ca="1"/>
        <v>0.43292190131328745</v>
      </c>
      <c r="M238">
        <f ca="1"/>
        <v>0.4380392270316662</v>
      </c>
      <c r="N238">
        <f ca="1"/>
        <v>0.61411914322270944</v>
      </c>
      <c r="O238">
        <f ca="1"/>
        <v>0</v>
      </c>
      <c r="P238">
        <f ca="1"/>
        <v>9.3590158395904464</v>
      </c>
      <c r="Q238">
        <f ca="1"/>
        <v>8.6601282931275243</v>
      </c>
      <c r="R238">
        <f ca="1"/>
        <v>0</v>
      </c>
      <c r="S238">
        <f ca="1"/>
        <v>0.70715799101022592</v>
      </c>
      <c r="T238">
        <f ca="1"/>
        <v>0</v>
      </c>
      <c r="U238">
        <f ca="1"/>
        <v>0</v>
      </c>
      <c r="V238">
        <f ca="1"/>
        <v>0.42928450077448155</v>
      </c>
      <c r="X238" s="2">
        <f t="shared" ca="1" si="22"/>
        <v>45621</v>
      </c>
      <c r="Y238">
        <f t="shared" ca="1" si="23"/>
        <v>0</v>
      </c>
      <c r="AA238" s="63">
        <f t="shared" ca="1" si="25"/>
        <v>59.982043346376116</v>
      </c>
      <c r="AB238" s="63">
        <f t="shared" ca="1" si="26"/>
        <v>59.982043346376116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45622</v>
      </c>
      <c r="K239">
        <f ca="1"/>
        <v>60.094011201245038</v>
      </c>
      <c r="L239">
        <f ca="1"/>
        <v>0.42687866268732044</v>
      </c>
      <c r="M239">
        <f ca="1"/>
        <v>0.41389830063893385</v>
      </c>
      <c r="N239">
        <f ca="1"/>
        <v>0.55787011823059918</v>
      </c>
      <c r="O239">
        <f ca="1"/>
        <v>0</v>
      </c>
      <c r="P239">
        <f ca="1"/>
        <v>9.7858945022777668</v>
      </c>
      <c r="Q239">
        <f ca="1"/>
        <v>9.0551296530816998</v>
      </c>
      <c r="R239">
        <f ca="1"/>
        <v>0</v>
      </c>
      <c r="S239">
        <f ca="1"/>
        <v>0.68380497016251018</v>
      </c>
      <c r="T239">
        <f ca="1"/>
        <v>0</v>
      </c>
      <c r="U239">
        <f ca="1"/>
        <v>0</v>
      </c>
      <c r="V239">
        <f ca="1"/>
        <v>0.45805005130043952</v>
      </c>
      <c r="X239" s="2">
        <f t="shared" ca="1" si="22"/>
        <v>45622</v>
      </c>
      <c r="Y239">
        <f t="shared" ca="1" si="23"/>
        <v>0</v>
      </c>
      <c r="AA239" s="63">
        <f t="shared" ca="1" si="25"/>
        <v>60.520889863932361</v>
      </c>
      <c r="AB239" s="63">
        <f t="shared" ca="1" si="26"/>
        <v>60.520889863932361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45623</v>
      </c>
      <c r="K240">
        <f ca="1"/>
        <v>60.603221502401297</v>
      </c>
      <c r="L240">
        <f ca="1"/>
        <v>0.42806638516577422</v>
      </c>
      <c r="M240">
        <f ca="1"/>
        <v>0.39805595038601638</v>
      </c>
      <c r="N240">
        <f ca="1"/>
        <v>0.5392207359360095</v>
      </c>
      <c r="O240">
        <f ca="1"/>
        <v>0</v>
      </c>
      <c r="P240">
        <f ca="1"/>
        <v>10.213960887443541</v>
      </c>
      <c r="Q240">
        <f ca="1"/>
        <v>9.4512300419526269</v>
      </c>
      <c r="R240">
        <f ca="1"/>
        <v>0</v>
      </c>
      <c r="S240">
        <f ca="1"/>
        <v>0.69013346028547862</v>
      </c>
      <c r="T240">
        <f ca="1"/>
        <v>0</v>
      </c>
      <c r="U240">
        <f ca="1"/>
        <v>0</v>
      </c>
      <c r="V240">
        <f ca="1"/>
        <v>0.48598718960319215</v>
      </c>
      <c r="X240" s="2">
        <f t="shared" ca="1" si="22"/>
        <v>45623</v>
      </c>
      <c r="Y240">
        <f t="shared" ca="1" si="23"/>
        <v>0</v>
      </c>
      <c r="AA240" s="63">
        <f t="shared" ca="1" si="25"/>
        <v>61.031287887567068</v>
      </c>
      <c r="AB240" s="63">
        <f t="shared" ca="1" si="26"/>
        <v>61.031287887567075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45624</v>
      </c>
      <c r="K241">
        <f ca="1"/>
        <v>61.073525400211835</v>
      </c>
      <c r="L241">
        <f ca="1"/>
        <v>0.43721696145948208</v>
      </c>
      <c r="M241">
        <f ca="1"/>
        <v>0.38908540941574543</v>
      </c>
      <c r="N241">
        <f ca="1"/>
        <v>0.51843544985427081</v>
      </c>
      <c r="O241">
        <f ca="1"/>
        <v>0</v>
      </c>
      <c r="P241">
        <f ca="1"/>
        <v>10.651177848903023</v>
      </c>
      <c r="Q241">
        <f ca="1"/>
        <v>9.8557976848615638</v>
      </c>
      <c r="R241">
        <f ca="1"/>
        <v>0</v>
      </c>
      <c r="S241">
        <f ca="1"/>
        <v>0.67600651383825883</v>
      </c>
      <c r="T241">
        <f ca="1"/>
        <v>0</v>
      </c>
      <c r="U241">
        <f ca="1"/>
        <v>0</v>
      </c>
      <c r="V241">
        <f ca="1"/>
        <v>0.51348092066761564</v>
      </c>
      <c r="X241" s="2">
        <f t="shared" ca="1" si="22"/>
        <v>45624</v>
      </c>
      <c r="Y241">
        <f t="shared" ca="1" si="23"/>
        <v>0</v>
      </c>
      <c r="AA241" s="63">
        <f t="shared" ca="1" si="25"/>
        <v>61.510742361671312</v>
      </c>
      <c r="AB241" s="63">
        <f t="shared" ca="1" si="26"/>
        <v>61.510742361671319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45625</v>
      </c>
      <c r="K242">
        <f ca="1"/>
        <v>61.541424815671014</v>
      </c>
      <c r="L242">
        <f ca="1"/>
        <v>0.48106639985282662</v>
      </c>
      <c r="M242">
        <f ca="1"/>
        <v>0.4034110773782551</v>
      </c>
      <c r="N242">
        <f ca="1"/>
        <v>0.54555473793375586</v>
      </c>
      <c r="O242">
        <f ca="1"/>
        <v>0</v>
      </c>
      <c r="P242">
        <f ca="1"/>
        <v>11.13224424875585</v>
      </c>
      <c r="Q242">
        <f ca="1"/>
        <v>10.300940295114991</v>
      </c>
      <c r="R242">
        <f ca="1"/>
        <v>0</v>
      </c>
      <c r="S242">
        <f ca="1"/>
        <v>0.66977924274744904</v>
      </c>
      <c r="T242">
        <f ca="1"/>
        <v>0</v>
      </c>
      <c r="U242">
        <f ca="1"/>
        <v>0</v>
      </c>
      <c r="V242">
        <f ca="1"/>
        <v>0.54242918317945377</v>
      </c>
      <c r="X242" s="2">
        <f t="shared" ca="1" si="22"/>
        <v>45625</v>
      </c>
      <c r="Y242">
        <f t="shared" ca="1" si="23"/>
        <v>0</v>
      </c>
      <c r="AA242" s="63">
        <f t="shared" ca="1" si="25"/>
        <v>62.022491215523843</v>
      </c>
      <c r="AB242" s="63">
        <f t="shared" ca="1" si="26"/>
        <v>62.022491215523843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45626</v>
      </c>
      <c r="K243">
        <f ca="1"/>
        <v>61.994913073937951</v>
      </c>
      <c r="L243">
        <f ca="1"/>
        <v>0.53229980262545595</v>
      </c>
      <c r="M243">
        <f ca="1"/>
        <v>0.4201875689398662</v>
      </c>
      <c r="N243">
        <f ca="1"/>
        <v>0.56560049195252093</v>
      </c>
      <c r="O243">
        <f ca="1"/>
        <v>0</v>
      </c>
      <c r="P243">
        <f ca="1"/>
        <v>11.664544051381306</v>
      </c>
      <c r="Q243">
        <f ca="1"/>
        <v>10.79349043715478</v>
      </c>
      <c r="R243">
        <f ca="1"/>
        <v>0</v>
      </c>
      <c r="S243">
        <f ca="1"/>
        <v>0.6479713449697363</v>
      </c>
      <c r="T243">
        <f ca="1"/>
        <v>0</v>
      </c>
      <c r="U243">
        <f ca="1"/>
        <v>0</v>
      </c>
      <c r="V243">
        <f ca="1"/>
        <v>0.57279765469090804</v>
      </c>
      <c r="X243" s="2">
        <f t="shared" ca="1" si="22"/>
        <v>45626</v>
      </c>
      <c r="Y243">
        <f t="shared" ca="1" si="23"/>
        <v>0</v>
      </c>
      <c r="AA243" s="63">
        <f t="shared" ca="1" si="25"/>
        <v>62.527212876563404</v>
      </c>
      <c r="AB243" s="63">
        <f t="shared" ca="1" si="26"/>
        <v>62.527212876563411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45627</v>
      </c>
      <c r="K244">
        <f ca="1"/>
        <v>62.416828506040211</v>
      </c>
      <c r="L244">
        <f ca="1"/>
        <v>0.56742486045134122</v>
      </c>
      <c r="M244">
        <f ca="1"/>
        <v>0.42325958082133752</v>
      </c>
      <c r="N244">
        <f ca="1"/>
        <v>0.56608071173225938</v>
      </c>
      <c r="O244">
        <f ca="1"/>
        <v>0</v>
      </c>
      <c r="P244">
        <f ca="1"/>
        <v>12.231968911832647</v>
      </c>
      <c r="Q244">
        <f ca="1"/>
        <v>11.318542661923066</v>
      </c>
      <c r="R244">
        <f ca="1"/>
        <v>0</v>
      </c>
      <c r="S244">
        <f ca="1"/>
        <v>0.63192787495549441</v>
      </c>
      <c r="T244">
        <f ca="1"/>
        <v>0</v>
      </c>
      <c r="U244">
        <f ca="1"/>
        <v>0</v>
      </c>
      <c r="V244">
        <f ca="1"/>
        <v>0.60320568443838707</v>
      </c>
      <c r="X244" s="2">
        <f t="shared" ca="1" si="22"/>
        <v>45627</v>
      </c>
      <c r="Y244">
        <f t="shared" ca="1" si="23"/>
        <v>0</v>
      </c>
      <c r="AA244" s="63">
        <f t="shared" ca="1" si="25"/>
        <v>62.984253366491551</v>
      </c>
      <c r="AB244" s="63">
        <f t="shared" ca="1" si="26"/>
        <v>62.984253366491551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45628</v>
      </c>
      <c r="K245">
        <f ca="1"/>
        <v>62.791742151940753</v>
      </c>
      <c r="L245">
        <f ca="1"/>
        <v>0.57979240059724724</v>
      </c>
      <c r="M245">
        <f ca="1"/>
        <v>0.41046978111108245</v>
      </c>
      <c r="N245">
        <f ca="1"/>
        <v>0.544236265386706</v>
      </c>
      <c r="O245">
        <f ca="1"/>
        <v>0</v>
      </c>
      <c r="P245">
        <f ca="1"/>
        <v>12.811761312429894</v>
      </c>
      <c r="Q245">
        <f ca="1"/>
        <v>11.855038876761428</v>
      </c>
      <c r="R245">
        <f ca="1"/>
        <v>0</v>
      </c>
      <c r="S245">
        <f ca="1"/>
        <v>0.62178809224447862</v>
      </c>
      <c r="T245">
        <f ca="1"/>
        <v>0</v>
      </c>
      <c r="U245">
        <f ca="1"/>
        <v>0</v>
      </c>
      <c r="V245">
        <f ca="1"/>
        <v>0.63218509951077384</v>
      </c>
      <c r="X245" s="2">
        <f t="shared" ca="1" si="22"/>
        <v>45628</v>
      </c>
      <c r="Y245">
        <f t="shared" ca="1" si="23"/>
        <v>0</v>
      </c>
      <c r="AA245" s="63">
        <f t="shared" ca="1" si="25"/>
        <v>63.371534552538002</v>
      </c>
      <c r="AB245" s="63">
        <f t="shared" ca="1" si="26"/>
        <v>63.371534552538002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45629</v>
      </c>
      <c r="K246">
        <f ca="1"/>
        <v>63.10684533401966</v>
      </c>
      <c r="L246">
        <f ca="1"/>
        <v>0.61378371778446628</v>
      </c>
      <c r="M246">
        <f ca="1"/>
        <v>0.41076641349222598</v>
      </c>
      <c r="N246">
        <f ca="1"/>
        <v>0.51812048637114494</v>
      </c>
      <c r="O246">
        <f ca="1"/>
        <v>0</v>
      </c>
      <c r="P246">
        <f ca="1"/>
        <v>13.42554503021436</v>
      </c>
      <c r="Q246">
        <f ca="1"/>
        <v>12.422988096139912</v>
      </c>
      <c r="R246">
        <f ca="1"/>
        <v>0</v>
      </c>
      <c r="S246">
        <f ca="1"/>
        <v>0.57353965245544569</v>
      </c>
      <c r="T246">
        <f ca="1"/>
        <v>0</v>
      </c>
      <c r="U246">
        <f ca="1"/>
        <v>0</v>
      </c>
      <c r="V246">
        <f ca="1"/>
        <v>0.66060868475720003</v>
      </c>
      <c r="X246" s="2">
        <f t="shared" ca="1" si="22"/>
        <v>45629</v>
      </c>
      <c r="Y246">
        <f t="shared" ca="1" si="23"/>
        <v>0</v>
      </c>
      <c r="AA246" s="63">
        <f t="shared" ca="1" si="25"/>
        <v>63.720629051804124</v>
      </c>
      <c r="AB246" s="63">
        <f t="shared" ca="1" si="26"/>
        <v>63.720629051804124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45630</v>
      </c>
      <c r="K247">
        <f ca="1"/>
        <v>63.387612113261881</v>
      </c>
      <c r="L247">
        <f ca="1"/>
        <v>0.64221081882821451</v>
      </c>
      <c r="M247">
        <f ca="1"/>
        <v>0.40657828126862938</v>
      </c>
      <c r="N247">
        <f ca="1"/>
        <v>0.51639931680181994</v>
      </c>
      <c r="O247">
        <f ca="1"/>
        <v>0</v>
      </c>
      <c r="P247">
        <f ca="1"/>
        <v>14.067755849042575</v>
      </c>
      <c r="Q247">
        <f ca="1"/>
        <v>13.017241613562124</v>
      </c>
      <c r="R247">
        <f ca="1"/>
        <v>0</v>
      </c>
      <c r="S247">
        <f ca="1"/>
        <v>0.56970509316907658</v>
      </c>
      <c r="T247">
        <f ca="1"/>
        <v>0</v>
      </c>
      <c r="U247">
        <f ca="1"/>
        <v>0</v>
      </c>
      <c r="V247">
        <f ca="1"/>
        <v>0.68796158843065269</v>
      </c>
      <c r="X247" s="2">
        <f t="shared" ca="1" si="22"/>
        <v>45630</v>
      </c>
      <c r="Y247">
        <f t="shared" ca="1" si="23"/>
        <v>0</v>
      </c>
      <c r="AA247" s="63">
        <f t="shared" ca="1" si="25"/>
        <v>64.029822932090113</v>
      </c>
      <c r="AB247" s="63">
        <f t="shared" ca="1" si="26"/>
        <v>64.029822932090099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45631</v>
      </c>
      <c r="K248">
        <f ca="1"/>
        <v>63.61256329090601</v>
      </c>
      <c r="L248">
        <f ca="1"/>
        <v>0.66329741005222154</v>
      </c>
      <c r="M248">
        <f ca="1"/>
        <v>0.39782430872327268</v>
      </c>
      <c r="N248">
        <f ca="1"/>
        <v>0.49042427897308127</v>
      </c>
      <c r="O248">
        <f ca="1"/>
        <v>0</v>
      </c>
      <c r="P248">
        <f ca="1"/>
        <v>14.731053259094796</v>
      </c>
      <c r="Q248">
        <f ca="1"/>
        <v>13.631007074162394</v>
      </c>
      <c r="R248">
        <f ca="1"/>
        <v>0</v>
      </c>
      <c r="S248">
        <f ca="1"/>
        <v>0.54026360221859315</v>
      </c>
      <c r="T248">
        <f ca="1"/>
        <v>0</v>
      </c>
      <c r="U248">
        <f ca="1"/>
        <v>0</v>
      </c>
      <c r="V248">
        <f ca="1"/>
        <v>0.71378780351456239</v>
      </c>
      <c r="X248" s="2">
        <f t="shared" ca="1" si="22"/>
        <v>45631</v>
      </c>
      <c r="Y248">
        <f t="shared" ca="1" si="23"/>
        <v>0</v>
      </c>
      <c r="AA248" s="63">
        <f t="shared" ca="1" si="25"/>
        <v>64.275860700958233</v>
      </c>
      <c r="AB248" s="63">
        <f t="shared" ca="1" si="26"/>
        <v>64.275860700958233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45632</v>
      </c>
      <c r="K249">
        <f ca="1"/>
        <v>63.785703149116216</v>
      </c>
      <c r="L249">
        <f ca="1"/>
        <v>0.68945744702648248</v>
      </c>
      <c r="M249">
        <f ca="1"/>
        <v>0.39155007488675153</v>
      </c>
      <c r="N249">
        <f ca="1"/>
        <v>0.471047230349945</v>
      </c>
      <c r="O249">
        <f ca="1"/>
        <v>0</v>
      </c>
      <c r="P249">
        <f ca="1"/>
        <v>15.420510706121279</v>
      </c>
      <c r="Q249">
        <f ca="1"/>
        <v>14.268979062482353</v>
      </c>
      <c r="R249">
        <f ca="1"/>
        <v>0</v>
      </c>
      <c r="S249">
        <f ca="1"/>
        <v>0.51317471917975888</v>
      </c>
      <c r="T249">
        <f ca="1"/>
        <v>0</v>
      </c>
      <c r="U249">
        <f ca="1"/>
        <v>0</v>
      </c>
      <c r="V249">
        <f ca="1"/>
        <v>0.73819623549276692</v>
      </c>
      <c r="X249" s="2">
        <f t="shared" ca="1" si="22"/>
        <v>45632</v>
      </c>
      <c r="Y249">
        <f t="shared" ca="1" si="23"/>
        <v>0</v>
      </c>
      <c r="AA249" s="63">
        <f t="shared" ca="1" si="25"/>
        <v>64.4751605961427</v>
      </c>
      <c r="AB249" s="63">
        <f t="shared" ca="1" si="26"/>
        <v>64.4751605961427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45633</v>
      </c>
      <c r="K250">
        <f ca="1"/>
        <v>63.891926245757347</v>
      </c>
      <c r="L250">
        <f ca="1"/>
        <v>0.65915233598590639</v>
      </c>
      <c r="M250">
        <f ca="1"/>
        <v>0.35103001480759133</v>
      </c>
      <c r="N250">
        <f ca="1"/>
        <v>0.41434541781944761</v>
      </c>
      <c r="O250">
        <f ca="1"/>
        <v>0</v>
      </c>
      <c r="P250">
        <f ca="1"/>
        <v>16.079663042107185</v>
      </c>
      <c r="Q250">
        <f ca="1"/>
        <v>14.878908983768012</v>
      </c>
      <c r="R250">
        <f ca="1"/>
        <v>0</v>
      </c>
      <c r="S250">
        <f ca="1"/>
        <v>0.48769250179055895</v>
      </c>
      <c r="T250">
        <f ca="1"/>
        <v>0</v>
      </c>
      <c r="U250">
        <f ca="1"/>
        <v>0</v>
      </c>
      <c r="V250">
        <f ca="1"/>
        <v>0.75938736723386802</v>
      </c>
      <c r="X250" s="2">
        <f t="shared" ca="1" si="22"/>
        <v>45633</v>
      </c>
      <c r="Y250">
        <f t="shared" ca="1" si="23"/>
        <v>0</v>
      </c>
      <c r="AA250" s="63">
        <f t="shared" ca="1" si="25"/>
        <v>64.551078581743255</v>
      </c>
      <c r="AB250" s="63">
        <f t="shared" ca="1" si="26"/>
        <v>64.551078581743255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45634</v>
      </c>
      <c r="K251">
        <f ca="1"/>
        <v>63.94899550382118</v>
      </c>
      <c r="L251">
        <f ca="1"/>
        <v>0.72278383402297663</v>
      </c>
      <c r="M251">
        <f ca="1"/>
        <v>0.35014706157671327</v>
      </c>
      <c r="N251">
        <f ca="1"/>
        <v>0.42970603051009632</v>
      </c>
      <c r="O251">
        <f ca="1"/>
        <v>0</v>
      </c>
      <c r="P251">
        <f ca="1"/>
        <v>16.802446876130162</v>
      </c>
      <c r="Q251">
        <f ca="1"/>
        <v>15.547718700315247</v>
      </c>
      <c r="R251">
        <f ca="1"/>
        <v>0</v>
      </c>
      <c r="S251">
        <f ca="1"/>
        <v>0.47132188543750964</v>
      </c>
      <c r="T251">
        <f ca="1"/>
        <v>0</v>
      </c>
      <c r="U251">
        <f ca="1"/>
        <v>0</v>
      </c>
      <c r="V251">
        <f ca="1"/>
        <v>0.78042122105152256</v>
      </c>
      <c r="X251" s="2">
        <f t="shared" ca="1" si="22"/>
        <v>45634</v>
      </c>
      <c r="Y251">
        <f t="shared" ca="1" si="23"/>
        <v>0</v>
      </c>
      <c r="AA251" s="63">
        <f t="shared" ca="1" si="25"/>
        <v>64.671779337844157</v>
      </c>
      <c r="AB251" s="63">
        <f t="shared" ca="1" si="26"/>
        <v>64.671779337844157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45635</v>
      </c>
      <c r="K252">
        <f ca="1"/>
        <v>63.958958305585774</v>
      </c>
      <c r="L252">
        <f ca="1"/>
        <v>0.78122993158439868</v>
      </c>
      <c r="M252">
        <f ca="1"/>
        <v>0.34924451349552754</v>
      </c>
      <c r="N252">
        <f ca="1"/>
        <v>0.4419482198534519</v>
      </c>
      <c r="O252">
        <f ca="1"/>
        <v>0</v>
      </c>
      <c r="P252">
        <f ca="1"/>
        <v>17.583676807714561</v>
      </c>
      <c r="Q252">
        <f ca="1"/>
        <v>16.270610033112501</v>
      </c>
      <c r="R252">
        <f ca="1"/>
        <v>0</v>
      </c>
      <c r="S252">
        <f ca="1"/>
        <v>0.46107745476967243</v>
      </c>
      <c r="T252">
        <f ca="1"/>
        <v>0</v>
      </c>
      <c r="U252">
        <f ca="1"/>
        <v>0</v>
      </c>
      <c r="V252">
        <f ca="1"/>
        <v>0.80081058860297472</v>
      </c>
      <c r="X252" s="2">
        <f t="shared" ca="1" si="22"/>
        <v>45635</v>
      </c>
      <c r="Y252">
        <f t="shared" ca="1" si="23"/>
        <v>0</v>
      </c>
      <c r="AA252" s="63">
        <f t="shared" ca="1" si="25"/>
        <v>64.740188237170173</v>
      </c>
      <c r="AB252" s="63">
        <f t="shared" ca="1" si="26"/>
        <v>64.740188237170173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45636</v>
      </c>
      <c r="K253">
        <f ca="1"/>
        <v>63.910024630186676</v>
      </c>
      <c r="L253">
        <f ca="1"/>
        <v>0.87563405270986294</v>
      </c>
      <c r="M253">
        <f ca="1"/>
        <v>0.35591961991437415</v>
      </c>
      <c r="N253">
        <f ca="1"/>
        <v>0.47078075739639347</v>
      </c>
      <c r="O253">
        <f ca="1"/>
        <v>0</v>
      </c>
      <c r="P253">
        <f ca="1"/>
        <v>18.459310860424424</v>
      </c>
      <c r="Q253">
        <f ca="1"/>
        <v>17.080855828639482</v>
      </c>
      <c r="R253">
        <f ca="1"/>
        <v>0</v>
      </c>
      <c r="S253">
        <f ca="1"/>
        <v>0.44604879328930996</v>
      </c>
      <c r="T253">
        <f ca="1"/>
        <v>0</v>
      </c>
      <c r="U253">
        <f ca="1"/>
        <v>0</v>
      </c>
      <c r="V253">
        <f ca="1"/>
        <v>0.82108269759753383</v>
      </c>
      <c r="X253" s="2">
        <f t="shared" ca="1" si="22"/>
        <v>45636</v>
      </c>
      <c r="Y253">
        <f t="shared" ca="1" si="23"/>
        <v>0</v>
      </c>
      <c r="AA253" s="63">
        <f t="shared" ca="1" si="25"/>
        <v>64.785658682896553</v>
      </c>
      <c r="AB253" s="63">
        <f t="shared" ca="1" si="26"/>
        <v>64.785658682896539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45637</v>
      </c>
      <c r="K254">
        <f ca="1"/>
        <v>63.845925205795673</v>
      </c>
      <c r="L254">
        <f ca="1"/>
        <v>0.94651366257854619</v>
      </c>
      <c r="M254">
        <f ca="1"/>
        <v>0.37923191239329412</v>
      </c>
      <c r="N254">
        <f ca="1"/>
        <v>0.5031823257942557</v>
      </c>
      <c r="O254">
        <f ca="1"/>
        <v>0</v>
      </c>
      <c r="P254">
        <f ca="1"/>
        <v>19.40582452300297</v>
      </c>
      <c r="Q254">
        <f ca="1"/>
        <v>17.956688276155347</v>
      </c>
      <c r="R254">
        <f ca="1"/>
        <v>0</v>
      </c>
      <c r="S254">
        <f ca="1"/>
        <v>0.46692335568640897</v>
      </c>
      <c r="T254">
        <f ca="1"/>
        <v>0</v>
      </c>
      <c r="U254">
        <f ca="1"/>
        <v>0</v>
      </c>
      <c r="V254">
        <f ca="1"/>
        <v>0.84030222619778372</v>
      </c>
      <c r="X254" s="2">
        <f t="shared" ca="1" si="22"/>
        <v>45637</v>
      </c>
      <c r="Y254">
        <f t="shared" ca="1" si="23"/>
        <v>0</v>
      </c>
      <c r="AA254" s="63">
        <f t="shared" ca="1" si="25"/>
        <v>64.792438868374234</v>
      </c>
      <c r="AB254" s="63">
        <f t="shared" ca="1" si="26"/>
        <v>64.792438868374219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45638</v>
      </c>
      <c r="K255">
        <f ca="1"/>
        <v>63.749585758291445</v>
      </c>
      <c r="L255">
        <f ca="1"/>
        <v>0.94510327368216451</v>
      </c>
      <c r="M255">
        <f ca="1"/>
        <v>0.36563507036846232</v>
      </c>
      <c r="N255">
        <f ca="1"/>
        <v>0.48312875580947634</v>
      </c>
      <c r="O255">
        <f ca="1"/>
        <v>0</v>
      </c>
      <c r="P255">
        <f ca="1"/>
        <v>20.350927796685134</v>
      </c>
      <c r="Q255">
        <f ca="1"/>
        <v>18.831215656023584</v>
      </c>
      <c r="R255">
        <f ca="1"/>
        <v>0</v>
      </c>
      <c r="S255">
        <f ca="1"/>
        <v>0.47734868957838605</v>
      </c>
      <c r="T255">
        <f ca="1"/>
        <v>0</v>
      </c>
      <c r="U255">
        <f ca="1"/>
        <v>0</v>
      </c>
      <c r="V255">
        <f ca="1"/>
        <v>0.85707030676510387</v>
      </c>
      <c r="X255" s="2">
        <f t="shared" ca="1" si="22"/>
        <v>45638</v>
      </c>
      <c r="Y255">
        <f t="shared" ca="1" si="23"/>
        <v>0</v>
      </c>
      <c r="AA255" s="63">
        <f t="shared" ca="1" si="25"/>
        <v>64.69468903197361</v>
      </c>
      <c r="AB255" s="63">
        <f t="shared" ca="1" si="26"/>
        <v>64.69468903197361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45639</v>
      </c>
      <c r="K256">
        <f ca="1"/>
        <v>63.617177686660327</v>
      </c>
      <c r="L256">
        <f ca="1"/>
        <v>0.93711677219492984</v>
      </c>
      <c r="M256">
        <f ca="1"/>
        <v>0.34671710160296243</v>
      </c>
      <c r="N256">
        <f ca="1"/>
        <v>0.45799159896084007</v>
      </c>
      <c r="O256">
        <f ca="1"/>
        <v>0</v>
      </c>
      <c r="P256">
        <f ca="1"/>
        <v>21.288044568880064</v>
      </c>
      <c r="Q256">
        <f ca="1"/>
        <v>19.698352928996162</v>
      </c>
      <c r="R256">
        <f ca="1"/>
        <v>0</v>
      </c>
      <c r="S256">
        <f ca="1"/>
        <v>0.48091318321167859</v>
      </c>
      <c r="T256">
        <f ca="1"/>
        <v>0</v>
      </c>
      <c r="U256">
        <f ca="1"/>
        <v>0</v>
      </c>
      <c r="V256">
        <f ca="1"/>
        <v>0.87163309075106932</v>
      </c>
      <c r="X256" s="2">
        <f t="shared" ca="1" si="22"/>
        <v>45639</v>
      </c>
      <c r="Y256">
        <f t="shared" ca="1" si="23"/>
        <v>0</v>
      </c>
      <c r="AA256" s="63">
        <f t="shared" ca="1" si="25"/>
        <v>64.554294458855253</v>
      </c>
      <c r="AB256" s="63">
        <f t="shared" ca="1" si="26"/>
        <v>64.554294458855253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45640</v>
      </c>
      <c r="K257">
        <f ca="1"/>
        <v>63.471017853283875</v>
      </c>
      <c r="L257">
        <f ca="1"/>
        <v>0.95380266390868229</v>
      </c>
      <c r="M257">
        <f ca="1"/>
        <v>0.34829004859557244</v>
      </c>
      <c r="N257">
        <f ca="1"/>
        <v>0.45935278193665335</v>
      </c>
      <c r="O257">
        <f ca="1"/>
        <v>0</v>
      </c>
      <c r="P257">
        <f ca="1"/>
        <v>22.241847232788746</v>
      </c>
      <c r="Q257">
        <f ca="1"/>
        <v>20.580930069301274</v>
      </c>
      <c r="R257">
        <f ca="1"/>
        <v>0</v>
      </c>
      <c r="S257">
        <f ca="1"/>
        <v>0.50226205166345617</v>
      </c>
      <c r="T257">
        <f ca="1"/>
        <v>0</v>
      </c>
      <c r="U257">
        <f ca="1"/>
        <v>0</v>
      </c>
      <c r="V257">
        <f ca="1"/>
        <v>0.88463541518381594</v>
      </c>
      <c r="X257" s="2">
        <f t="shared" ca="1" si="22"/>
        <v>45640</v>
      </c>
      <c r="Y257">
        <f t="shared" ca="1" si="23"/>
        <v>0</v>
      </c>
      <c r="AA257" s="63">
        <f t="shared" ca="1" si="25"/>
        <v>64.424820517192558</v>
      </c>
      <c r="AB257" s="63">
        <f t="shared" ca="1" si="26"/>
        <v>64.424820517192558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45641</v>
      </c>
      <c r="K258">
        <f ca="1"/>
        <v>63.281293997132238</v>
      </c>
      <c r="L258">
        <f ca="1"/>
        <v>0.99716622884723449</v>
      </c>
      <c r="M258">
        <f ca="1"/>
        <v>0.34461142987462523</v>
      </c>
      <c r="N258">
        <f ca="1"/>
        <v>0.4628309428209777</v>
      </c>
      <c r="O258">
        <f ca="1"/>
        <v>0</v>
      </c>
      <c r="P258">
        <f ca="1"/>
        <v>23.239013461635981</v>
      </c>
      <c r="Q258">
        <f ca="1"/>
        <v>21.503632586254074</v>
      </c>
      <c r="R258">
        <f ca="1"/>
        <v>0</v>
      </c>
      <c r="S258">
        <f ca="1"/>
        <v>0.50322022255162002</v>
      </c>
      <c r="T258">
        <f ca="1"/>
        <v>0</v>
      </c>
      <c r="U258">
        <f ca="1"/>
        <v>0</v>
      </c>
      <c r="V258">
        <f ca="1"/>
        <v>0.89653992931138915</v>
      </c>
      <c r="X258" s="2">
        <f t="shared" ca="1" si="22"/>
        <v>45641</v>
      </c>
      <c r="Y258">
        <f t="shared" ca="1" si="23"/>
        <v>0</v>
      </c>
      <c r="AA258" s="63">
        <f t="shared" ca="1" si="25"/>
        <v>64.278460225979472</v>
      </c>
      <c r="AB258" s="63">
        <f t="shared" ca="1" si="26"/>
        <v>64.278460225979472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45642</v>
      </c>
      <c r="K259">
        <f ca="1"/>
        <v>63.012400480326498</v>
      </c>
      <c r="L259">
        <f ca="1"/>
        <v>1.0606120094028952</v>
      </c>
      <c r="M259">
        <f ca="1"/>
        <v>0.33161543955123562</v>
      </c>
      <c r="N259">
        <f ca="1"/>
        <v>0.4601030530459152</v>
      </c>
      <c r="O259">
        <f ca="1"/>
        <v>0</v>
      </c>
      <c r="P259">
        <f ca="1"/>
        <v>24.299625471038876</v>
      </c>
      <c r="Q259">
        <f ca="1"/>
        <v>22.485043049500263</v>
      </c>
      <c r="R259">
        <f ca="1"/>
        <v>0</v>
      </c>
      <c r="S259">
        <f ca="1"/>
        <v>0.47899240912541752</v>
      </c>
      <c r="T259">
        <f ca="1"/>
        <v>0</v>
      </c>
      <c r="U259">
        <f ca="1"/>
        <v>0</v>
      </c>
      <c r="V259">
        <f ca="1"/>
        <v>0.90758007580185918</v>
      </c>
      <c r="X259" s="2">
        <f t="shared" ca="1" si="22"/>
        <v>45642</v>
      </c>
      <c r="Y259">
        <f t="shared" ca="1" si="23"/>
        <v>0</v>
      </c>
      <c r="AA259" s="63">
        <f t="shared" ca="1" si="25"/>
        <v>64.073012489729393</v>
      </c>
      <c r="AB259" s="63">
        <f t="shared" ca="1" si="26"/>
        <v>64.073012489729393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45643</v>
      </c>
      <c r="K260">
        <f ca="1"/>
        <v>62.675002534347371</v>
      </c>
      <c r="L260">
        <f ca="1"/>
        <v>1.1201499104839101</v>
      </c>
      <c r="M260">
        <f ca="1"/>
        <v>0.32218941716588034</v>
      </c>
      <c r="N260">
        <f ca="1"/>
        <v>0.46056254733890195</v>
      </c>
      <c r="O260">
        <f ca="1"/>
        <v>0</v>
      </c>
      <c r="P260">
        <f ca="1"/>
        <v>25.419775381522786</v>
      </c>
      <c r="Q260">
        <f ca="1"/>
        <v>23.521545401733746</v>
      </c>
      <c r="R260">
        <f ca="1"/>
        <v>0</v>
      </c>
      <c r="S260">
        <f ca="1"/>
        <v>0.46618970760575912</v>
      </c>
      <c r="T260">
        <f ca="1"/>
        <v>0</v>
      </c>
      <c r="U260">
        <f ca="1"/>
        <v>0</v>
      </c>
      <c r="V260">
        <f ca="1"/>
        <v>0.91769661462834096</v>
      </c>
      <c r="X260" s="2">
        <f t="shared" ca="1" si="22"/>
        <v>45643</v>
      </c>
      <c r="Y260">
        <f t="shared" ca="1" si="23"/>
        <v>0</v>
      </c>
      <c r="AA260" s="63">
        <f t="shared" ca="1" si="25"/>
        <v>63.795152444831281</v>
      </c>
      <c r="AB260" s="63">
        <f t="shared" ca="1" si="26"/>
        <v>63.795152444831281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45644</v>
      </c>
      <c r="K261">
        <f ca="1"/>
        <v>62.318671013882309</v>
      </c>
      <c r="L261">
        <f ca="1"/>
        <v>1.097069254925799</v>
      </c>
      <c r="M261">
        <f ca="1"/>
        <v>0.30589093005193746</v>
      </c>
      <c r="N261">
        <f ca="1"/>
        <v>0.43484680440880169</v>
      </c>
      <c r="O261">
        <f ca="1"/>
        <v>0</v>
      </c>
      <c r="P261">
        <f ca="1"/>
        <v>26.516844636448585</v>
      </c>
      <c r="Q261">
        <f ca="1"/>
        <v>24.536690653856645</v>
      </c>
      <c r="R261">
        <f ca="1"/>
        <v>0</v>
      </c>
      <c r="S261">
        <f ca="1"/>
        <v>0.47349450161419748</v>
      </c>
      <c r="T261">
        <f ca="1"/>
        <v>0</v>
      </c>
      <c r="U261">
        <f ca="1"/>
        <v>0</v>
      </c>
      <c r="V261">
        <f ca="1"/>
        <v>0.92630170054293026</v>
      </c>
      <c r="X261" s="2">
        <f t="shared" ca="1" si="22"/>
        <v>45644</v>
      </c>
      <c r="Y261">
        <f t="shared" ca="1" si="23"/>
        <v>0</v>
      </c>
      <c r="AA261" s="63">
        <f t="shared" ca="1" si="25"/>
        <v>63.415740268808108</v>
      </c>
      <c r="AB261" s="63">
        <f t="shared" ca="1" si="26"/>
        <v>63.415740268808108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45645</v>
      </c>
      <c r="K262">
        <f ca="1"/>
        <v>61.932618072341242</v>
      </c>
      <c r="L262">
        <f ca="1"/>
        <v>1.2163129195165716</v>
      </c>
      <c r="M262">
        <f ca="1"/>
        <v>0.33682908539556422</v>
      </c>
      <c r="N262">
        <f ca="1"/>
        <v>0.49343089257993655</v>
      </c>
      <c r="O262">
        <f ca="1"/>
        <v>0</v>
      </c>
      <c r="P262">
        <f ca="1"/>
        <v>27.733157555965157</v>
      </c>
      <c r="Q262">
        <f ca="1"/>
        <v>25.662175011201526</v>
      </c>
      <c r="R262">
        <f ca="1"/>
        <v>0</v>
      </c>
      <c r="S262">
        <f ca="1"/>
        <v>0.51273492865964565</v>
      </c>
      <c r="T262">
        <f ca="1"/>
        <v>0</v>
      </c>
      <c r="U262">
        <f ca="1"/>
        <v>0</v>
      </c>
      <c r="V262">
        <f ca="1"/>
        <v>0.93456999807960273</v>
      </c>
      <c r="X262" s="2">
        <f t="shared" ca="1" si="22"/>
        <v>45645</v>
      </c>
      <c r="Y262">
        <f t="shared" ca="1" si="23"/>
        <v>0</v>
      </c>
      <c r="AA262" s="63">
        <f t="shared" ca="1" si="25"/>
        <v>63.14893099185781</v>
      </c>
      <c r="AB262" s="63">
        <f t="shared" ca="1" si="26"/>
        <v>63.14893099185781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45646</v>
      </c>
      <c r="K263">
        <f ca="1"/>
        <v>61.487167617606957</v>
      </c>
      <c r="L263">
        <f ca="1"/>
        <v>1.3173235341410958</v>
      </c>
      <c r="M263">
        <f ca="1"/>
        <v>0.34371924822954725</v>
      </c>
      <c r="N263">
        <f ca="1"/>
        <v>0.52815383117726056</v>
      </c>
      <c r="O263">
        <f ca="1"/>
        <v>0</v>
      </c>
      <c r="P263">
        <f ca="1"/>
        <v>29.050481090106253</v>
      </c>
      <c r="Q263">
        <f ca="1"/>
        <v>26.881126982728187</v>
      </c>
      <c r="R263">
        <f ca="1"/>
        <v>0</v>
      </c>
      <c r="S263">
        <f ca="1"/>
        <v>0.52795076550280107</v>
      </c>
      <c r="T263">
        <f ca="1"/>
        <v>0</v>
      </c>
      <c r="U263">
        <f ca="1"/>
        <v>0</v>
      </c>
      <c r="V263">
        <f ca="1"/>
        <v>0.94225871581054554</v>
      </c>
      <c r="X263" s="2">
        <f t="shared" ca="1" si="22"/>
        <v>45646</v>
      </c>
      <c r="Y263">
        <f t="shared" ca="1" si="23"/>
        <v>0</v>
      </c>
      <c r="AA263" s="63">
        <f t="shared" ca="1" si="25"/>
        <v>62.804491151748053</v>
      </c>
      <c r="AB263" s="63">
        <f t="shared" ca="1" si="26"/>
        <v>62.804491151748053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45647</v>
      </c>
      <c r="K264">
        <f ca="1"/>
        <v>61.030815218653558</v>
      </c>
      <c r="L264">
        <f ca="1"/>
        <v>1.2708014106129752</v>
      </c>
      <c r="M264">
        <f ca="1"/>
        <v>0.31545418957612981</v>
      </c>
      <c r="N264">
        <f ca="1"/>
        <v>0.49899482208344459</v>
      </c>
      <c r="O264">
        <f ca="1"/>
        <v>0</v>
      </c>
      <c r="P264">
        <f ca="1"/>
        <v>30.321282500719228</v>
      </c>
      <c r="Q264">
        <f ca="1"/>
        <v>28.057030885405783</v>
      </c>
      <c r="R264">
        <f ca="1"/>
        <v>0</v>
      </c>
      <c r="S264">
        <f ca="1"/>
        <v>0.54995289886562337</v>
      </c>
      <c r="T264">
        <f ca="1"/>
        <v>0</v>
      </c>
      <c r="U264">
        <f ca="1"/>
        <v>0</v>
      </c>
      <c r="V264">
        <f ca="1"/>
        <v>0.9486334997751632</v>
      </c>
      <c r="X264" s="2">
        <f t="shared" ca="1" si="22"/>
        <v>45647</v>
      </c>
      <c r="Y264">
        <f t="shared" ca="1" si="23"/>
        <v>0</v>
      </c>
      <c r="AA264" s="63">
        <f t="shared" ca="1" si="25"/>
        <v>62.301616629266533</v>
      </c>
      <c r="AB264" s="63">
        <f t="shared" ca="1" si="26"/>
        <v>62.301616629266533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45648</v>
      </c>
      <c r="K265">
        <f ca="1"/>
        <v>60.526209366740915</v>
      </c>
      <c r="L265">
        <f ca="1"/>
        <v>1.3444243595692633</v>
      </c>
      <c r="M265">
        <f ca="1"/>
        <v>0.31556262539219659</v>
      </c>
      <c r="N265">
        <f ca="1"/>
        <v>0.52425588226442643</v>
      </c>
      <c r="O265">
        <f ca="1"/>
        <v>0</v>
      </c>
      <c r="P265">
        <f ca="1"/>
        <v>31.665706860288491</v>
      </c>
      <c r="Q265">
        <f ca="1"/>
        <v>29.301059919422791</v>
      </c>
      <c r="R265">
        <f ca="1"/>
        <v>0</v>
      </c>
      <c r="S265">
        <f ca="1"/>
        <v>0.56972609714608402</v>
      </c>
      <c r="T265">
        <f ca="1"/>
        <v>0</v>
      </c>
      <c r="U265">
        <f ca="1"/>
        <v>0</v>
      </c>
      <c r="V265">
        <f ca="1"/>
        <v>0.95444799006253289</v>
      </c>
      <c r="X265" s="2">
        <f t="shared" ca="1" si="22"/>
        <v>45648</v>
      </c>
      <c r="Y265">
        <f t="shared" ca="1" si="23"/>
        <v>0</v>
      </c>
      <c r="AA265" s="63">
        <f t="shared" ca="1" si="25"/>
        <v>61.870633726310182</v>
      </c>
      <c r="AB265" s="63">
        <f t="shared" ca="1" si="26"/>
        <v>61.870633726310174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45649</v>
      </c>
      <c r="K266">
        <f ca="1"/>
        <v>59.951738053853759</v>
      </c>
      <c r="L266">
        <f ca="1"/>
        <v>1.4545189766126931</v>
      </c>
      <c r="M266">
        <f ca="1"/>
        <v>0.32206057500332008</v>
      </c>
      <c r="N266">
        <f ca="1"/>
        <v>0.55798708872221847</v>
      </c>
      <c r="O266">
        <f ca="1"/>
        <v>0</v>
      </c>
      <c r="P266">
        <f ca="1"/>
        <v>33.120225836901184</v>
      </c>
      <c r="Q266">
        <f ca="1"/>
        <v>30.646962219210508</v>
      </c>
      <c r="R266">
        <f ca="1"/>
        <v>0</v>
      </c>
      <c r="S266">
        <f ca="1"/>
        <v>0.57972305269058733</v>
      </c>
      <c r="T266">
        <f ca="1"/>
        <v>0</v>
      </c>
      <c r="U266">
        <f ca="1"/>
        <v>0</v>
      </c>
      <c r="V266">
        <f ca="1"/>
        <v>0.95984148410656589</v>
      </c>
      <c r="X266" s="2">
        <f t="shared" ca="1" si="22"/>
        <v>45649</v>
      </c>
      <c r="Y266">
        <f t="shared" ca="1" si="23"/>
        <v>0</v>
      </c>
      <c r="AA266" s="63">
        <f t="shared" ca="1" si="25"/>
        <v>61.406257030466456</v>
      </c>
      <c r="AB266" s="63">
        <f t="shared" ca="1" si="26"/>
        <v>61.406257030466449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45650</v>
      </c>
      <c r="K267">
        <f ca="1"/>
        <v>59.33017231694356</v>
      </c>
      <c r="L267">
        <f ca="1"/>
        <v>1.4797234698761557</v>
      </c>
      <c r="M267">
        <f ca="1"/>
        <v>0.31039694072183011</v>
      </c>
      <c r="N267">
        <f ca="1"/>
        <v>0.5477607922441291</v>
      </c>
      <c r="O267">
        <f ca="1"/>
        <v>0</v>
      </c>
      <c r="P267">
        <f ca="1"/>
        <v>34.59994930677734</v>
      </c>
      <c r="Q267">
        <f ca="1"/>
        <v>32.016186858543968</v>
      </c>
      <c r="R267">
        <f ca="1"/>
        <v>0</v>
      </c>
      <c r="S267">
        <f ca="1"/>
        <v>0.58284181433330084</v>
      </c>
      <c r="T267">
        <f ca="1"/>
        <v>0</v>
      </c>
      <c r="U267">
        <f ca="1"/>
        <v>0</v>
      </c>
      <c r="V267">
        <f ca="1"/>
        <v>0.96453417180729883</v>
      </c>
      <c r="X267" s="2">
        <f t="shared" ref="X267:X330" ca="1" si="29">IFERROR(J267,$X$9)</f>
        <v>45650</v>
      </c>
      <c r="Y267">
        <f t="shared" ref="Y267:Y330" ca="1" si="30">IFERROR(O267,0)</f>
        <v>0</v>
      </c>
      <c r="AA267" s="63">
        <f t="shared" ca="1" si="25"/>
        <v>60.809895786819716</v>
      </c>
      <c r="AB267" s="63">
        <f t="shared" ca="1" si="26"/>
        <v>60.809895786819716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45651</v>
      </c>
      <c r="K268">
        <f ca="1"/>
        <v>58.625136439776071</v>
      </c>
      <c r="L268">
        <f ca="1"/>
        <v>1.6160323938725938</v>
      </c>
      <c r="M268">
        <f ca="1"/>
        <v>0.3197882168716788</v>
      </c>
      <c r="N268">
        <f ca="1"/>
        <v>0.5912082998334286</v>
      </c>
      <c r="O268">
        <f ca="1"/>
        <v>0</v>
      </c>
      <c r="P268">
        <f ca="1"/>
        <v>36.215981700649934</v>
      </c>
      <c r="Q268">
        <f ca="1"/>
        <v>33.511541508718281</v>
      </c>
      <c r="R268">
        <f ca="1"/>
        <v>0</v>
      </c>
      <c r="S268">
        <f ca="1"/>
        <v>0.59404092697587685</v>
      </c>
      <c r="T268">
        <f ca="1"/>
        <v>0</v>
      </c>
      <c r="U268">
        <f ca="1"/>
        <v>0</v>
      </c>
      <c r="V268">
        <f ca="1"/>
        <v>0.96890382949970588</v>
      </c>
      <c r="X268" s="2">
        <f t="shared" ca="1" si="29"/>
        <v>45651</v>
      </c>
      <c r="Y268">
        <f t="shared" ca="1" si="30"/>
        <v>0</v>
      </c>
      <c r="AA268" s="63">
        <f t="shared" ca="1" si="25"/>
        <v>60.241168833648665</v>
      </c>
      <c r="AB268" s="63">
        <f t="shared" ca="1" si="26"/>
        <v>60.241168833648665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45652</v>
      </c>
      <c r="K269">
        <f ca="1"/>
        <v>57.83573360235026</v>
      </c>
      <c r="L269">
        <f ca="1"/>
        <v>1.7574119819634362</v>
      </c>
      <c r="M269">
        <f ca="1"/>
        <v>0.32815741424295197</v>
      </c>
      <c r="N269">
        <f ca="1"/>
        <v>0.63985173029467524</v>
      </c>
      <c r="O269">
        <f ca="1"/>
        <v>0</v>
      </c>
      <c r="P269">
        <f ca="1"/>
        <v>37.97339368261337</v>
      </c>
      <c r="Q269">
        <f ca="1"/>
        <v>35.137718180340293</v>
      </c>
      <c r="R269">
        <f ca="1"/>
        <v>0</v>
      </c>
      <c r="S269">
        <f ca="1"/>
        <v>0.61086561338578416</v>
      </c>
      <c r="T269">
        <f ca="1"/>
        <v>0</v>
      </c>
      <c r="U269">
        <f ca="1"/>
        <v>0</v>
      </c>
      <c r="V269">
        <f ca="1"/>
        <v>0.97292146939427793</v>
      </c>
      <c r="X269" s="2">
        <f t="shared" ca="1" si="29"/>
        <v>45652</v>
      </c>
      <c r="Y269">
        <f t="shared" ca="1" si="30"/>
        <v>0</v>
      </c>
      <c r="AA269" s="63">
        <f t="shared" ca="1" si="25"/>
        <v>59.593145584313696</v>
      </c>
      <c r="AB269" s="63">
        <f t="shared" ca="1" si="26"/>
        <v>59.593145584313696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45653</v>
      </c>
      <c r="K270">
        <f ca="1"/>
        <v>57.013868901238261</v>
      </c>
      <c r="L270">
        <f ca="1"/>
        <v>1.7272646977264543</v>
      </c>
      <c r="M270">
        <f ca="1"/>
        <v>0.30470295668595782</v>
      </c>
      <c r="N270">
        <f ca="1"/>
        <v>0.60069703992850088</v>
      </c>
      <c r="O270">
        <f ca="1"/>
        <v>0</v>
      </c>
      <c r="P270">
        <f ca="1"/>
        <v>39.700658380339824</v>
      </c>
      <c r="Q270">
        <f ca="1"/>
        <v>36.735998825963797</v>
      </c>
      <c r="R270">
        <f ca="1"/>
        <v>0</v>
      </c>
      <c r="S270">
        <f ca="1"/>
        <v>0.61239234765291517</v>
      </c>
      <c r="T270">
        <f ca="1"/>
        <v>0</v>
      </c>
      <c r="U270">
        <f ca="1"/>
        <v>0</v>
      </c>
      <c r="V270">
        <f ca="1"/>
        <v>0.97626076633333791</v>
      </c>
      <c r="X270" s="2">
        <f t="shared" ca="1" si="29"/>
        <v>45653</v>
      </c>
      <c r="Y270">
        <f t="shared" ca="1" si="30"/>
        <v>0</v>
      </c>
      <c r="AA270" s="63">
        <f t="shared" ca="1" si="25"/>
        <v>58.741133598964716</v>
      </c>
      <c r="AB270" s="63">
        <f t="shared" ca="1" si="26"/>
        <v>58.741133598964716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45654</v>
      </c>
      <c r="K271">
        <f ca="1"/>
        <v>56.106568749227776</v>
      </c>
      <c r="L271">
        <f ca="1"/>
        <v>1.8074545487575548</v>
      </c>
      <c r="M271">
        <f ca="1"/>
        <v>0.30162136231584213</v>
      </c>
      <c r="N271">
        <f ca="1"/>
        <v>0.59853303443122985</v>
      </c>
      <c r="O271">
        <f ca="1"/>
        <v>0</v>
      </c>
      <c r="P271">
        <f ca="1"/>
        <v>41.508112929097379</v>
      </c>
      <c r="Q271">
        <f ca="1"/>
        <v>38.408481119456994</v>
      </c>
      <c r="R271">
        <f ca="1"/>
        <v>0</v>
      </c>
      <c r="S271">
        <f ca="1"/>
        <v>0.60007178704320074</v>
      </c>
      <c r="T271">
        <f ca="1"/>
        <v>0</v>
      </c>
      <c r="U271">
        <f ca="1"/>
        <v>0</v>
      </c>
      <c r="V271">
        <f ca="1"/>
        <v>0.97922658476811419</v>
      </c>
      <c r="X271" s="2">
        <f t="shared" ca="1" si="29"/>
        <v>45654</v>
      </c>
      <c r="Y271">
        <f t="shared" ca="1" si="30"/>
        <v>0</v>
      </c>
      <c r="AA271" s="63">
        <f t="shared" ca="1" si="25"/>
        <v>57.914023297985331</v>
      </c>
      <c r="AB271" s="63">
        <f t="shared" ca="1" si="26"/>
        <v>57.914023297985331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45655</v>
      </c>
      <c r="K272">
        <f ca="1"/>
        <v>55.131367224756339</v>
      </c>
      <c r="L272">
        <f ca="1"/>
        <v>1.8403307119532997</v>
      </c>
      <c r="M272">
        <f ca="1"/>
        <v>0.29096221121297816</v>
      </c>
      <c r="N272">
        <f ca="1"/>
        <v>0.57416697626888524</v>
      </c>
      <c r="O272">
        <f ca="1"/>
        <v>0</v>
      </c>
      <c r="P272">
        <f ca="1"/>
        <v>43.348443641050679</v>
      </c>
      <c r="Q272">
        <f ca="1"/>
        <v>40.111384537985202</v>
      </c>
      <c r="R272">
        <f ca="1"/>
        <v>0</v>
      </c>
      <c r="S272">
        <f ca="1"/>
        <v>0.58303078693301524</v>
      </c>
      <c r="T272">
        <f ca="1"/>
        <v>0</v>
      </c>
      <c r="U272">
        <f ca="1"/>
        <v>0</v>
      </c>
      <c r="V272">
        <f ca="1"/>
        <v>0.98179079124562629</v>
      </c>
      <c r="X272" s="2">
        <f t="shared" ca="1" si="29"/>
        <v>45655</v>
      </c>
      <c r="Y272">
        <f t="shared" ca="1" si="30"/>
        <v>0</v>
      </c>
      <c r="AA272" s="63">
        <f t="shared" ref="AA272:AA335" ca="1" si="32">K271+M272+N272+O272</f>
        <v>56.971697936709639</v>
      </c>
      <c r="AB272" s="63">
        <f t="shared" ref="AB272:AB335" ca="1" si="33">K272+L272+R272</f>
        <v>56.971697936709639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45656</v>
      </c>
      <c r="K273">
        <f ca="1"/>
        <v>54.114472507979855</v>
      </c>
      <c r="L273">
        <f ca="1"/>
        <v>1.844288229233662</v>
      </c>
      <c r="M273">
        <f ca="1"/>
        <v>0.27707503956237645</v>
      </c>
      <c r="N273">
        <f ca="1"/>
        <v>0.55031847289480296</v>
      </c>
      <c r="O273">
        <f ca="1"/>
        <v>0</v>
      </c>
      <c r="P273">
        <f ca="1"/>
        <v>45.192731870284341</v>
      </c>
      <c r="Q273">
        <f ca="1"/>
        <v>41.817949944905969</v>
      </c>
      <c r="R273">
        <f ca="1"/>
        <v>0</v>
      </c>
      <c r="S273">
        <f ca="1"/>
        <v>0.57781928894868562</v>
      </c>
      <c r="T273">
        <f ca="1"/>
        <v>0</v>
      </c>
      <c r="U273">
        <f ca="1"/>
        <v>0</v>
      </c>
      <c r="V273">
        <f ca="1"/>
        <v>0.98398128901086512</v>
      </c>
      <c r="X273" s="2">
        <f t="shared" ca="1" si="29"/>
        <v>45656</v>
      </c>
      <c r="Y273">
        <f t="shared" ca="1" si="30"/>
        <v>0</v>
      </c>
      <c r="AA273" s="63">
        <f t="shared" ca="1" si="32"/>
        <v>55.958760737213517</v>
      </c>
      <c r="AB273" s="63">
        <f t="shared" ca="1" si="33"/>
        <v>55.958760737213517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45657</v>
      </c>
      <c r="K274">
        <f ca="1"/>
        <v>53.249354535466736</v>
      </c>
      <c r="L274">
        <f ca="1"/>
        <v>1.5948701492213431</v>
      </c>
      <c r="M274">
        <f ca="1"/>
        <v>0.23422748681034733</v>
      </c>
      <c r="N274">
        <f ca="1"/>
        <v>0.49552468989787962</v>
      </c>
      <c r="O274">
        <f ca="1"/>
        <v>0</v>
      </c>
      <c r="P274">
        <f ca="1"/>
        <v>46.787602019505684</v>
      </c>
      <c r="Q274">
        <f ca="1"/>
        <v>43.293722647919218</v>
      </c>
      <c r="R274">
        <f ca="1"/>
        <v>0</v>
      </c>
      <c r="S274">
        <f ca="1"/>
        <v>0.6448938174923442</v>
      </c>
      <c r="T274">
        <f ca="1"/>
        <v>0</v>
      </c>
      <c r="U274">
        <f ca="1"/>
        <v>0</v>
      </c>
      <c r="V274">
        <f ca="1"/>
        <v>0.98562046627575661</v>
      </c>
      <c r="X274" s="2">
        <f t="shared" ca="1" si="29"/>
        <v>45657</v>
      </c>
      <c r="Y274">
        <f t="shared" ca="1" si="30"/>
        <v>0</v>
      </c>
      <c r="AA274" s="63">
        <f t="shared" ca="1" si="32"/>
        <v>54.844224684688079</v>
      </c>
      <c r="AB274" s="63">
        <f t="shared" ca="1" si="33"/>
        <v>54.844224684688079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45658</v>
      </c>
      <c r="K275">
        <f ca="1"/>
        <v>52.072273704840818</v>
      </c>
      <c r="L275">
        <f ca="1"/>
        <v>2.0956343568956086</v>
      </c>
      <c r="M275">
        <f ca="1"/>
        <v>0.28545619073172901</v>
      </c>
      <c r="N275">
        <f ca="1"/>
        <v>0.63309733553795955</v>
      </c>
      <c r="O275">
        <f ca="1"/>
        <v>0</v>
      </c>
      <c r="P275">
        <f ca="1"/>
        <v>48.883236376401292</v>
      </c>
      <c r="Q275">
        <f ca="1"/>
        <v>45.232864828812893</v>
      </c>
      <c r="R275">
        <f ca="1"/>
        <v>0</v>
      </c>
      <c r="S275">
        <f ca="1"/>
        <v>0.61926822506183032</v>
      </c>
      <c r="T275">
        <f ca="1"/>
        <v>0</v>
      </c>
      <c r="U275">
        <f ca="1"/>
        <v>0</v>
      </c>
      <c r="V275">
        <f ca="1"/>
        <v>0.98747511325115822</v>
      </c>
      <c r="X275" s="2">
        <f t="shared" ca="1" si="29"/>
        <v>45658</v>
      </c>
      <c r="Y275">
        <f t="shared" ca="1" si="30"/>
        <v>0</v>
      </c>
      <c r="AA275" s="63">
        <f t="shared" ca="1" si="32"/>
        <v>54.167908061736426</v>
      </c>
      <c r="AB275" s="63">
        <f t="shared" ca="1" si="33"/>
        <v>54.167908061736426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45659</v>
      </c>
      <c r="K276">
        <f ca="1"/>
        <v>50.877417941008716</v>
      </c>
      <c r="L276">
        <f ca="1"/>
        <v>2.108807405450797</v>
      </c>
      <c r="M276">
        <f ca="1"/>
        <v>0.27256975962518482</v>
      </c>
      <c r="N276">
        <f ca="1"/>
        <v>0.64138188199350843</v>
      </c>
      <c r="O276">
        <f ca="1"/>
        <v>0</v>
      </c>
      <c r="P276">
        <f ca="1"/>
        <v>50.99204378185209</v>
      </c>
      <c r="Q276">
        <f ca="1"/>
        <v>47.184196356583911</v>
      </c>
      <c r="R276">
        <f ca="1"/>
        <v>0</v>
      </c>
      <c r="S276">
        <f ca="1"/>
        <v>0.65126252165222254</v>
      </c>
      <c r="T276">
        <f ca="1"/>
        <v>0</v>
      </c>
      <c r="U276">
        <f ca="1"/>
        <v>0</v>
      </c>
      <c r="V276">
        <f ca="1"/>
        <v>0.98905664018575978</v>
      </c>
      <c r="X276" s="2">
        <f t="shared" ca="1" si="29"/>
        <v>45659</v>
      </c>
      <c r="Y276">
        <f t="shared" ca="1" si="30"/>
        <v>0</v>
      </c>
      <c r="AA276" s="63">
        <f t="shared" ca="1" si="32"/>
        <v>52.986225346459513</v>
      </c>
      <c r="AB276" s="63">
        <f t="shared" ca="1" si="33"/>
        <v>52.986225346459513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45660</v>
      </c>
      <c r="K277">
        <f ca="1"/>
        <v>49.618228363054705</v>
      </c>
      <c r="L277">
        <f ca="1"/>
        <v>2.1684021039058408</v>
      </c>
      <c r="M277">
        <f ca="1"/>
        <v>0.26631226901568539</v>
      </c>
      <c r="N277">
        <f ca="1"/>
        <v>0.64290025693614472</v>
      </c>
      <c r="O277">
        <f ca="1"/>
        <v>0</v>
      </c>
      <c r="P277">
        <f ca="1"/>
        <v>53.16044588575793</v>
      </c>
      <c r="Q277">
        <f ca="1"/>
        <v>49.19067232935393</v>
      </c>
      <c r="R277">
        <f ca="1"/>
        <v>0</v>
      </c>
      <c r="S277">
        <f ca="1"/>
        <v>0.65431644380033438</v>
      </c>
      <c r="T277">
        <f ca="1"/>
        <v>0</v>
      </c>
      <c r="U277">
        <f ca="1"/>
        <v>0</v>
      </c>
      <c r="V277">
        <f ca="1"/>
        <v>0.99043856915999884</v>
      </c>
      <c r="X277" s="2">
        <f t="shared" ca="1" si="29"/>
        <v>45660</v>
      </c>
      <c r="Y277">
        <f t="shared" ca="1" si="30"/>
        <v>0</v>
      </c>
      <c r="AA277" s="63">
        <f t="shared" ca="1" si="32"/>
        <v>51.786630466960546</v>
      </c>
      <c r="AB277" s="63">
        <f t="shared" ca="1" si="33"/>
        <v>51.786630466960546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45661</v>
      </c>
      <c r="K278">
        <f ca="1"/>
        <v>48.26837140583752</v>
      </c>
      <c r="L278">
        <f ca="1"/>
        <v>2.2913124540959799</v>
      </c>
      <c r="M278">
        <f ca="1"/>
        <v>0.26739120398066518</v>
      </c>
      <c r="N278">
        <f ca="1"/>
        <v>0.67406429289812719</v>
      </c>
      <c r="O278">
        <f ca="1"/>
        <v>0</v>
      </c>
      <c r="P278">
        <f ca="1"/>
        <v>55.45175833985391</v>
      </c>
      <c r="Q278">
        <f ca="1"/>
        <v>51.31088028200768</v>
      </c>
      <c r="R278">
        <f ca="1"/>
        <v>0</v>
      </c>
      <c r="S278">
        <f ca="1"/>
        <v>0.66565727755796444</v>
      </c>
      <c r="T278">
        <f ca="1"/>
        <v>0</v>
      </c>
      <c r="U278">
        <f ca="1"/>
        <v>0</v>
      </c>
      <c r="V278">
        <f ca="1"/>
        <v>0.99167783109059149</v>
      </c>
      <c r="X278" s="2">
        <f t="shared" ca="1" si="29"/>
        <v>45661</v>
      </c>
      <c r="Y278">
        <f t="shared" ca="1" si="30"/>
        <v>0</v>
      </c>
      <c r="AA278" s="63">
        <f t="shared" ca="1" si="32"/>
        <v>50.5596838599335</v>
      </c>
      <c r="AB278" s="63">
        <f t="shared" ca="1" si="33"/>
        <v>50.5596838599335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45662</v>
      </c>
      <c r="K279">
        <f ca="1"/>
        <v>46.779278059619266</v>
      </c>
      <c r="L279">
        <f ca="1"/>
        <v>2.4366401376076396</v>
      </c>
      <c r="M279">
        <f ca="1"/>
        <v>0.27029437960231917</v>
      </c>
      <c r="N279">
        <f ca="1"/>
        <v>0.67725241178706663</v>
      </c>
      <c r="O279">
        <f ca="1"/>
        <v>0</v>
      </c>
      <c r="P279">
        <f ca="1"/>
        <v>57.88839847746155</v>
      </c>
      <c r="Q279">
        <f ca="1"/>
        <v>53.56556352622254</v>
      </c>
      <c r="R279">
        <f ca="1"/>
        <v>0</v>
      </c>
      <c r="S279">
        <f ca="1"/>
        <v>0.63846740815952296</v>
      </c>
      <c r="T279">
        <f ca="1"/>
        <v>0</v>
      </c>
      <c r="U279">
        <f ca="1"/>
        <v>0</v>
      </c>
      <c r="V279">
        <f ca="1"/>
        <v>0.99279162173120594</v>
      </c>
      <c r="X279" s="2">
        <f t="shared" ca="1" si="29"/>
        <v>45662</v>
      </c>
      <c r="Y279">
        <f t="shared" ca="1" si="30"/>
        <v>0</v>
      </c>
      <c r="AA279" s="63">
        <f t="shared" ca="1" si="32"/>
        <v>49.215918197226905</v>
      </c>
      <c r="AB279" s="63">
        <f t="shared" ca="1" si="33"/>
        <v>49.215918197226905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45663</v>
      </c>
      <c r="K280">
        <f ca="1"/>
        <v>45.223066538036015</v>
      </c>
      <c r="L280">
        <f ca="1"/>
        <v>2.479008881407438</v>
      </c>
      <c r="M280">
        <f ca="1"/>
        <v>0.26125354362378772</v>
      </c>
      <c r="N280">
        <f ca="1"/>
        <v>0.66154381620039615</v>
      </c>
      <c r="O280">
        <f ca="1"/>
        <v>0</v>
      </c>
      <c r="P280">
        <f ca="1"/>
        <v>60.367407358868988</v>
      </c>
      <c r="Q280">
        <f ca="1"/>
        <v>55.859451614537861</v>
      </c>
      <c r="R280">
        <f ca="1"/>
        <v>0</v>
      </c>
      <c r="S280">
        <f ca="1"/>
        <v>0.63022283699846027</v>
      </c>
      <c r="T280">
        <f ca="1"/>
        <v>0</v>
      </c>
      <c r="U280">
        <f ca="1"/>
        <v>0</v>
      </c>
      <c r="V280">
        <f ca="1"/>
        <v>0.99374828594333886</v>
      </c>
      <c r="X280" s="2">
        <f t="shared" ca="1" si="29"/>
        <v>45663</v>
      </c>
      <c r="Y280">
        <f t="shared" ca="1" si="30"/>
        <v>0</v>
      </c>
      <c r="AA280" s="63">
        <f t="shared" ca="1" si="32"/>
        <v>47.702075419443446</v>
      </c>
      <c r="AB280" s="63">
        <f t="shared" ca="1" si="33"/>
        <v>47.702075419443453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45664</v>
      </c>
      <c r="K281">
        <f ca="1"/>
        <v>43.6600590314982</v>
      </c>
      <c r="L281">
        <f ca="1"/>
        <v>2.4589003263042741</v>
      </c>
      <c r="M281">
        <f ca="1"/>
        <v>0.24671768905810865</v>
      </c>
      <c r="N281">
        <f ca="1"/>
        <v>0.6491751307083522</v>
      </c>
      <c r="O281">
        <f ca="1"/>
        <v>0</v>
      </c>
      <c r="P281">
        <f ca="1"/>
        <v>62.826307685173262</v>
      </c>
      <c r="Q281">
        <f ca="1"/>
        <v>58.134732760631096</v>
      </c>
      <c r="R281">
        <f ca="1"/>
        <v>0</v>
      </c>
      <c r="S281">
        <f ca="1"/>
        <v>0.64693483123279782</v>
      </c>
      <c r="T281">
        <f ca="1"/>
        <v>0</v>
      </c>
      <c r="U281">
        <f ca="1"/>
        <v>0</v>
      </c>
      <c r="V281">
        <f ca="1"/>
        <v>0.99455308043832036</v>
      </c>
      <c r="X281" s="2">
        <f t="shared" ca="1" si="29"/>
        <v>45664</v>
      </c>
      <c r="Y281">
        <f t="shared" ca="1" si="30"/>
        <v>0</v>
      </c>
      <c r="AA281" s="63">
        <f t="shared" ca="1" si="32"/>
        <v>46.118959357802474</v>
      </c>
      <c r="AB281" s="63">
        <f t="shared" ca="1" si="33"/>
        <v>46.118959357802474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45665</v>
      </c>
      <c r="K282">
        <f ca="1"/>
        <v>42.09333178962364</v>
      </c>
      <c r="L282">
        <f ca="1"/>
        <v>2.4363885319079372</v>
      </c>
      <c r="M282">
        <f ca="1"/>
        <v>0.23361487299372641</v>
      </c>
      <c r="N282">
        <f ca="1"/>
        <v>0.63604641703965292</v>
      </c>
      <c r="O282">
        <f ca="1"/>
        <v>0</v>
      </c>
      <c r="P282">
        <f ca="1"/>
        <v>65.262696217081199</v>
      </c>
      <c r="Q282">
        <f ca="1"/>
        <v>60.389183187883575</v>
      </c>
      <c r="R282">
        <f ca="1"/>
        <v>0</v>
      </c>
      <c r="S282">
        <f ca="1"/>
        <v>0.66105960822367327</v>
      </c>
      <c r="T282">
        <f ca="1"/>
        <v>0</v>
      </c>
      <c r="U282">
        <f ca="1"/>
        <v>0</v>
      </c>
      <c r="V282">
        <f ca="1"/>
        <v>0.99523372109609498</v>
      </c>
      <c r="X282" s="2">
        <f t="shared" ca="1" si="29"/>
        <v>45665</v>
      </c>
      <c r="Y282">
        <f t="shared" ca="1" si="30"/>
        <v>0</v>
      </c>
      <c r="AA282" s="63">
        <f t="shared" ca="1" si="32"/>
        <v>44.529720321531578</v>
      </c>
      <c r="AB282" s="63">
        <f t="shared" ca="1" si="33"/>
        <v>44.529720321531578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45666</v>
      </c>
      <c r="K283">
        <f ca="1"/>
        <v>40.550660662633035</v>
      </c>
      <c r="L283">
        <f ca="1"/>
        <v>2.4393947908936155</v>
      </c>
      <c r="M283">
        <f ca="1"/>
        <v>0.22408187969034543</v>
      </c>
      <c r="N283">
        <f ca="1"/>
        <v>0.6726417842126623</v>
      </c>
      <c r="O283">
        <f ca="1"/>
        <v>0</v>
      </c>
      <c r="P283">
        <f ca="1"/>
        <v>67.702091007974815</v>
      </c>
      <c r="Q283">
        <f ca="1"/>
        <v>62.646415380755919</v>
      </c>
      <c r="R283">
        <f ca="1"/>
        <v>0</v>
      </c>
      <c r="S283">
        <f ca="1"/>
        <v>0.72138790982221013</v>
      </c>
      <c r="T283">
        <f ca="1"/>
        <v>0</v>
      </c>
      <c r="U283">
        <f ca="1"/>
        <v>0</v>
      </c>
      <c r="V283">
        <f ca="1"/>
        <v>0.99581841101655555</v>
      </c>
      <c r="X283" s="2">
        <f t="shared" ca="1" si="29"/>
        <v>45666</v>
      </c>
      <c r="Y283">
        <f t="shared" ca="1" si="30"/>
        <v>0</v>
      </c>
      <c r="AA283" s="63">
        <f t="shared" ca="1" si="32"/>
        <v>42.990055453526651</v>
      </c>
      <c r="AB283" s="63">
        <f t="shared" ca="1" si="33"/>
        <v>42.990055453526651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45667</v>
      </c>
      <c r="K284">
        <f ca="1"/>
        <v>38.95117970237591</v>
      </c>
      <c r="L284">
        <f ca="1"/>
        <v>2.4762828897596449</v>
      </c>
      <c r="M284">
        <f ca="1"/>
        <v>0.21811860876933054</v>
      </c>
      <c r="N284">
        <f ca="1"/>
        <v>0.65868332073319114</v>
      </c>
      <c r="O284">
        <f ca="1"/>
        <v>0</v>
      </c>
      <c r="P284">
        <f ca="1"/>
        <v>70.17837389773446</v>
      </c>
      <c r="Q284">
        <f ca="1"/>
        <v>64.937781041734794</v>
      </c>
      <c r="R284">
        <f ca="1"/>
        <v>0</v>
      </c>
      <c r="S284">
        <f ca="1"/>
        <v>0.71014740156649281</v>
      </c>
      <c r="T284">
        <f ca="1"/>
        <v>0</v>
      </c>
      <c r="U284">
        <f ca="1"/>
        <v>0</v>
      </c>
      <c r="V284">
        <f ca="1"/>
        <v>0.99632916621978074</v>
      </c>
      <c r="X284" s="2">
        <f t="shared" ca="1" si="29"/>
        <v>45667</v>
      </c>
      <c r="Y284">
        <f t="shared" ca="1" si="30"/>
        <v>0</v>
      </c>
      <c r="AA284" s="63">
        <f t="shared" ca="1" si="32"/>
        <v>41.427462592135555</v>
      </c>
      <c r="AB284" s="63">
        <f t="shared" ca="1" si="33"/>
        <v>41.427462592135555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45668</v>
      </c>
      <c r="K285">
        <f ca="1"/>
        <v>37.203201837077799</v>
      </c>
      <c r="L285">
        <f ca="1"/>
        <v>2.6535538480742247</v>
      </c>
      <c r="M285">
        <f ca="1"/>
        <v>0.22365959282853964</v>
      </c>
      <c r="N285">
        <f ca="1"/>
        <v>0.68191638994757431</v>
      </c>
      <c r="O285">
        <f ca="1"/>
        <v>0</v>
      </c>
      <c r="P285">
        <f ca="1"/>
        <v>72.831927745808684</v>
      </c>
      <c r="Q285">
        <f ca="1"/>
        <v>67.393179894660634</v>
      </c>
      <c r="R285">
        <f ca="1"/>
        <v>0</v>
      </c>
      <c r="S285">
        <f ca="1"/>
        <v>0.69154466737479769</v>
      </c>
      <c r="T285">
        <f ca="1"/>
        <v>0</v>
      </c>
      <c r="U285">
        <f ca="1"/>
        <v>0</v>
      </c>
      <c r="V285">
        <f ca="1"/>
        <v>0.99679908933717076</v>
      </c>
      <c r="X285" s="2">
        <f t="shared" ca="1" si="29"/>
        <v>45668</v>
      </c>
      <c r="Y285">
        <f t="shared" ca="1" si="30"/>
        <v>0</v>
      </c>
      <c r="AA285" s="63">
        <f t="shared" ca="1" si="32"/>
        <v>39.856755685152024</v>
      </c>
      <c r="AB285" s="63">
        <f t="shared" ca="1" si="33"/>
        <v>39.856755685152024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45669</v>
      </c>
      <c r="K286">
        <f ca="1"/>
        <v>35.378778501041992</v>
      </c>
      <c r="L286">
        <f ca="1"/>
        <v>2.7244083253281985</v>
      </c>
      <c r="M286">
        <f ca="1"/>
        <v>0.22013406401956814</v>
      </c>
      <c r="N286">
        <f ca="1"/>
        <v>0.67985092527282265</v>
      </c>
      <c r="O286">
        <f ca="1"/>
        <v>0</v>
      </c>
      <c r="P286">
        <f ca="1"/>
        <v>75.556336071136883</v>
      </c>
      <c r="Q286">
        <f ca="1"/>
        <v>69.914142143746787</v>
      </c>
      <c r="R286">
        <f ca="1"/>
        <v>0</v>
      </c>
      <c r="S286">
        <f ca="1"/>
        <v>0.68223845679475148</v>
      </c>
      <c r="T286">
        <f ca="1"/>
        <v>0</v>
      </c>
      <c r="U286">
        <f ca="1"/>
        <v>0</v>
      </c>
      <c r="V286">
        <f ca="1"/>
        <v>0.99721198137677691</v>
      </c>
      <c r="X286" s="2">
        <f t="shared" ca="1" si="29"/>
        <v>45669</v>
      </c>
      <c r="Y286">
        <f t="shared" ca="1" si="30"/>
        <v>0</v>
      </c>
      <c r="AA286" s="63">
        <f t="shared" ca="1" si="32"/>
        <v>38.103186826370191</v>
      </c>
      <c r="AB286" s="63">
        <f t="shared" ca="1" si="33"/>
        <v>38.103186826370191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45670</v>
      </c>
      <c r="K287">
        <f ca="1"/>
        <v>33.537317377626408</v>
      </c>
      <c r="L287">
        <f ca="1"/>
        <v>2.7252826977699556</v>
      </c>
      <c r="M287">
        <f ca="1"/>
        <v>0.2114646059049079</v>
      </c>
      <c r="N287">
        <f ca="1"/>
        <v>0.67235696844946025</v>
      </c>
      <c r="O287">
        <f ca="1"/>
        <v>0</v>
      </c>
      <c r="P287">
        <f ca="1"/>
        <v>78.281618768906839</v>
      </c>
      <c r="Q287">
        <f ca="1"/>
        <v>72.43591347122873</v>
      </c>
      <c r="R287">
        <f ca="1"/>
        <v>0</v>
      </c>
      <c r="S287">
        <f ca="1"/>
        <v>0.68925675487813465</v>
      </c>
      <c r="T287">
        <f ca="1"/>
        <v>0</v>
      </c>
      <c r="U287">
        <f ca="1"/>
        <v>0</v>
      </c>
      <c r="V287">
        <f ca="1"/>
        <v>0.99756611720423782</v>
      </c>
      <c r="X287" s="2">
        <f t="shared" ca="1" si="29"/>
        <v>45670</v>
      </c>
      <c r="Y287">
        <f t="shared" ca="1" si="30"/>
        <v>0</v>
      </c>
      <c r="AA287" s="63">
        <f t="shared" ca="1" si="32"/>
        <v>36.262600075396364</v>
      </c>
      <c r="AB287" s="63">
        <f t="shared" ca="1" si="33"/>
        <v>36.262600075396364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45671</v>
      </c>
      <c r="K288">
        <f ca="1"/>
        <v>31.647460972287639</v>
      </c>
      <c r="L288">
        <f ca="1"/>
        <v>2.7723909335196311</v>
      </c>
      <c r="M288">
        <f ca="1"/>
        <v>0.20684131445643317</v>
      </c>
      <c r="N288">
        <f ca="1"/>
        <v>0.67569321372443014</v>
      </c>
      <c r="O288">
        <f ca="1"/>
        <v>0</v>
      </c>
      <c r="P288">
        <f ca="1"/>
        <v>81.05400970242647</v>
      </c>
      <c r="Q288">
        <f ca="1"/>
        <v>75.001275211660854</v>
      </c>
      <c r="R288">
        <f ca="1"/>
        <v>0</v>
      </c>
      <c r="S288">
        <f ca="1"/>
        <v>0.69169705683855032</v>
      </c>
      <c r="T288">
        <f ca="1"/>
        <v>0</v>
      </c>
      <c r="U288">
        <f ca="1"/>
        <v>0</v>
      </c>
      <c r="V288">
        <f ca="1"/>
        <v>0.99787577615683298</v>
      </c>
      <c r="X288" s="2">
        <f t="shared" ca="1" si="29"/>
        <v>45671</v>
      </c>
      <c r="Y288">
        <f t="shared" ca="1" si="30"/>
        <v>0</v>
      </c>
      <c r="AA288" s="63">
        <f t="shared" ca="1" si="32"/>
        <v>34.41985190580727</v>
      </c>
      <c r="AB288" s="63">
        <f t="shared" ca="1" si="33"/>
        <v>34.41985190580727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45672</v>
      </c>
      <c r="K289">
        <f ca="1"/>
        <v>29.721970359587523</v>
      </c>
      <c r="L289">
        <f ca="1"/>
        <v>2.78238221693951</v>
      </c>
      <c r="M289">
        <f ca="1"/>
        <v>0.1999453530610964</v>
      </c>
      <c r="N289">
        <f ca="1"/>
        <v>0.6569462511782963</v>
      </c>
      <c r="O289">
        <f ca="1"/>
        <v>0</v>
      </c>
      <c r="P289">
        <f ca="1"/>
        <v>83.83639191936598</v>
      </c>
      <c r="Q289">
        <f ca="1"/>
        <v>77.575882133179562</v>
      </c>
      <c r="R289">
        <f ca="1"/>
        <v>0</v>
      </c>
      <c r="S289">
        <f ca="1"/>
        <v>0.68018455805839506</v>
      </c>
      <c r="T289">
        <f ca="1"/>
        <v>0</v>
      </c>
      <c r="U289">
        <f ca="1"/>
        <v>0</v>
      </c>
      <c r="V289">
        <f ca="1"/>
        <v>0.99814342592352689</v>
      </c>
      <c r="X289" s="2">
        <f t="shared" ca="1" si="29"/>
        <v>45672</v>
      </c>
      <c r="Y289">
        <f t="shared" ca="1" si="30"/>
        <v>0</v>
      </c>
      <c r="AA289" s="63">
        <f t="shared" ca="1" si="32"/>
        <v>32.504352576527033</v>
      </c>
      <c r="AB289" s="63">
        <f t="shared" ca="1" si="33"/>
        <v>32.504352576527033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45673</v>
      </c>
      <c r="K290">
        <f ca="1"/>
        <v>27.763290032328655</v>
      </c>
      <c r="L290">
        <f ca="1"/>
        <v>2.7817820424501889</v>
      </c>
      <c r="M290">
        <f ca="1"/>
        <v>0.19290668458144467</v>
      </c>
      <c r="N290">
        <f ca="1"/>
        <v>0.63019503060987447</v>
      </c>
      <c r="O290">
        <f ca="1"/>
        <v>0</v>
      </c>
      <c r="P290">
        <f ca="1"/>
        <v>86.618173961816169</v>
      </c>
      <c r="Q290">
        <f ca="1"/>
        <v>80.149933698433784</v>
      </c>
      <c r="R290">
        <f ca="1"/>
        <v>0</v>
      </c>
      <c r="S290">
        <f ca="1"/>
        <v>0.66058818948890818</v>
      </c>
      <c r="T290">
        <f ca="1"/>
        <v>0</v>
      </c>
      <c r="U290">
        <f ca="1"/>
        <v>0</v>
      </c>
      <c r="V290">
        <f ca="1"/>
        <v>0.99837458588867867</v>
      </c>
      <c r="X290" s="2">
        <f t="shared" ca="1" si="29"/>
        <v>45673</v>
      </c>
      <c r="Y290">
        <f t="shared" ca="1" si="30"/>
        <v>0</v>
      </c>
      <c r="AA290" s="63">
        <f t="shared" ca="1" si="32"/>
        <v>30.545072074778844</v>
      </c>
      <c r="AB290" s="63">
        <f t="shared" ca="1" si="33"/>
        <v>30.545072074778844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45674</v>
      </c>
      <c r="K291">
        <f ca="1"/>
        <v>25.747907838914539</v>
      </c>
      <c r="L291">
        <f ca="1"/>
        <v>2.9017347269446105</v>
      </c>
      <c r="M291">
        <f ca="1"/>
        <v>0.19409202853077545</v>
      </c>
      <c r="N291">
        <f ca="1"/>
        <v>0.69226050499972092</v>
      </c>
      <c r="O291">
        <f ca="1"/>
        <v>0</v>
      </c>
      <c r="P291">
        <f ca="1"/>
        <v>89.519908688760779</v>
      </c>
      <c r="Q291">
        <f ca="1"/>
        <v>82.834980442522152</v>
      </c>
      <c r="R291">
        <f ca="1"/>
        <v>0</v>
      </c>
      <c r="S291">
        <f ca="1"/>
        <v>0.70352578133607835</v>
      </c>
      <c r="T291">
        <f ca="1"/>
        <v>0</v>
      </c>
      <c r="U291">
        <f ca="1"/>
        <v>0</v>
      </c>
      <c r="V291">
        <f ca="1"/>
        <v>0.99858289947685275</v>
      </c>
      <c r="X291" s="2">
        <f t="shared" ca="1" si="29"/>
        <v>45674</v>
      </c>
      <c r="Y291">
        <f t="shared" ca="1" si="30"/>
        <v>0</v>
      </c>
      <c r="AA291" s="63">
        <f t="shared" ca="1" si="32"/>
        <v>28.64964256585915</v>
      </c>
      <c r="AB291" s="63">
        <f t="shared" ca="1" si="33"/>
        <v>28.64964256585915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45675</v>
      </c>
      <c r="K292">
        <f ca="1"/>
        <v>23.621533890152971</v>
      </c>
      <c r="L292">
        <f ca="1"/>
        <v>2.9979045628807057</v>
      </c>
      <c r="M292">
        <f ca="1"/>
        <v>0.19365821455959065</v>
      </c>
      <c r="N292">
        <f ca="1"/>
        <v>0.67787239955954748</v>
      </c>
      <c r="O292">
        <f ca="1"/>
        <v>0</v>
      </c>
      <c r="P292">
        <f ca="1"/>
        <v>92.517813251641485</v>
      </c>
      <c r="Q292">
        <f ca="1"/>
        <v>85.6090155088241</v>
      </c>
      <c r="R292">
        <f ca="1"/>
        <v>0</v>
      </c>
      <c r="S292">
        <f ca="1"/>
        <v>0.66735800843279958</v>
      </c>
      <c r="T292">
        <f ca="1"/>
        <v>0</v>
      </c>
      <c r="U292">
        <f ca="1"/>
        <v>0</v>
      </c>
      <c r="V292">
        <f ca="1"/>
        <v>0.9987683594874327</v>
      </c>
      <c r="X292" s="2">
        <f t="shared" ca="1" si="29"/>
        <v>45675</v>
      </c>
      <c r="Y292">
        <f t="shared" ca="1" si="30"/>
        <v>0</v>
      </c>
      <c r="AA292" s="63">
        <f t="shared" ca="1" si="32"/>
        <v>26.619438453033677</v>
      </c>
      <c r="AB292" s="63">
        <f t="shared" ca="1" si="33"/>
        <v>26.619438453033677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45676</v>
      </c>
      <c r="K293">
        <f ca="1"/>
        <v>21.644047966221706</v>
      </c>
      <c r="L293">
        <f ca="1"/>
        <v>2.7782523623333617</v>
      </c>
      <c r="M293">
        <f ca="1"/>
        <v>0.17424641057393586</v>
      </c>
      <c r="N293">
        <f ca="1"/>
        <v>0.62652002782816207</v>
      </c>
      <c r="O293">
        <f ca="1"/>
        <v>0</v>
      </c>
      <c r="P293">
        <f ca="1"/>
        <v>95.296065613974847</v>
      </c>
      <c r="Q293">
        <f ca="1"/>
        <v>88.179800973970231</v>
      </c>
      <c r="R293">
        <f ca="1"/>
        <v>0</v>
      </c>
      <c r="S293">
        <f ca="1"/>
        <v>0.68427131912580996</v>
      </c>
      <c r="T293">
        <f ca="1"/>
        <v>0</v>
      </c>
      <c r="U293">
        <f ca="1"/>
        <v>0</v>
      </c>
      <c r="V293">
        <f ca="1"/>
        <v>0.99891730767727815</v>
      </c>
      <c r="X293" s="2">
        <f t="shared" ca="1" si="29"/>
        <v>45676</v>
      </c>
      <c r="Y293">
        <f t="shared" ca="1" si="30"/>
        <v>0</v>
      </c>
      <c r="AA293" s="63">
        <f t="shared" ca="1" si="32"/>
        <v>24.422300328555067</v>
      </c>
      <c r="AB293" s="63">
        <f t="shared" ca="1" si="33"/>
        <v>24.422300328555067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45677</v>
      </c>
      <c r="K294">
        <f ca="1"/>
        <v>19.497853170756972</v>
      </c>
      <c r="L294">
        <f ca="1"/>
        <v>2.9383372944344899</v>
      </c>
      <c r="M294">
        <f ca="1"/>
        <v>0.17829012801468735</v>
      </c>
      <c r="N294">
        <f ca="1"/>
        <v>0.61385237095506917</v>
      </c>
      <c r="O294">
        <f ca="1"/>
        <v>0</v>
      </c>
      <c r="P294">
        <f ca="1"/>
        <v>98.234402908409336</v>
      </c>
      <c r="Q294">
        <f ca="1"/>
        <v>90.898716976937209</v>
      </c>
      <c r="R294">
        <f ca="1"/>
        <v>0</v>
      </c>
      <c r="S294">
        <f ca="1"/>
        <v>0.62541773933095113</v>
      </c>
      <c r="T294">
        <f ca="1"/>
        <v>0</v>
      </c>
      <c r="U294">
        <f ca="1"/>
        <v>0</v>
      </c>
      <c r="V294">
        <f ca="1"/>
        <v>0.99905439816600228</v>
      </c>
      <c r="X294" s="2">
        <f t="shared" ca="1" si="29"/>
        <v>45677</v>
      </c>
      <c r="Y294">
        <f t="shared" ca="1" si="30"/>
        <v>0</v>
      </c>
      <c r="AA294" s="63">
        <f t="shared" ca="1" si="32"/>
        <v>22.436190465191462</v>
      </c>
      <c r="AB294" s="63">
        <f t="shared" ca="1" si="33"/>
        <v>22.436190465191462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45678</v>
      </c>
      <c r="K295">
        <f ca="1"/>
        <v>17.118569229378959</v>
      </c>
      <c r="L295">
        <f ca="1"/>
        <v>3.2175077231785565</v>
      </c>
      <c r="M295">
        <f ca="1"/>
        <v>0.18945136030205845</v>
      </c>
      <c r="N295">
        <f ca="1"/>
        <v>0.64877242149848391</v>
      </c>
      <c r="O295">
        <f ca="1"/>
        <v>0</v>
      </c>
      <c r="P295">
        <f ca="1"/>
        <v>101.45191063158789</v>
      </c>
      <c r="Q295">
        <f ca="1"/>
        <v>93.875956266242042</v>
      </c>
      <c r="R295">
        <f ca="1"/>
        <v>0</v>
      </c>
      <c r="S295">
        <f ca="1"/>
        <v>0.58893963233612845</v>
      </c>
      <c r="T295">
        <f ca="1"/>
        <v>0</v>
      </c>
      <c r="U295">
        <f ca="1"/>
        <v>0</v>
      </c>
      <c r="V295">
        <f ca="1"/>
        <v>0.99918397638572376</v>
      </c>
      <c r="X295" s="2">
        <f t="shared" ca="1" si="29"/>
        <v>45678</v>
      </c>
      <c r="Y295">
        <f t="shared" ca="1" si="30"/>
        <v>0</v>
      </c>
      <c r="AA295" s="63">
        <f t="shared" ca="1" si="32"/>
        <v>20.336076952557516</v>
      </c>
      <c r="AB295" s="63">
        <f t="shared" ca="1" si="33"/>
        <v>20.336076952557516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45679</v>
      </c>
      <c r="K296">
        <f ca="1"/>
        <v>14.81058954487105</v>
      </c>
      <c r="L296">
        <f ca="1"/>
        <v>3.1177346191560673</v>
      </c>
      <c r="M296">
        <f ca="1"/>
        <v>0.17781683249736346</v>
      </c>
      <c r="N296">
        <f ca="1"/>
        <v>0.63193810215079305</v>
      </c>
      <c r="O296">
        <f ca="1"/>
        <v>0</v>
      </c>
      <c r="P296">
        <f ca="1"/>
        <v>104.56964525074396</v>
      </c>
      <c r="Q296">
        <f ca="1"/>
        <v>96.760873040461135</v>
      </c>
      <c r="R296">
        <f ca="1"/>
        <v>0</v>
      </c>
      <c r="S296">
        <f ca="1"/>
        <v>0.60279125340664574</v>
      </c>
      <c r="T296">
        <f ca="1"/>
        <v>0</v>
      </c>
      <c r="U296">
        <f ca="1"/>
        <v>0</v>
      </c>
      <c r="V296">
        <f ca="1"/>
        <v>0.99929212795257616</v>
      </c>
      <c r="X296" s="2">
        <f t="shared" ca="1" si="29"/>
        <v>45679</v>
      </c>
      <c r="Y296">
        <f t="shared" ca="1" si="30"/>
        <v>0</v>
      </c>
      <c r="AA296" s="63">
        <f t="shared" ca="1" si="32"/>
        <v>17.928324164027117</v>
      </c>
      <c r="AB296" s="63">
        <f t="shared" ca="1" si="33"/>
        <v>17.928324164027117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45680</v>
      </c>
      <c r="K297">
        <f ca="1"/>
        <v>12.581633937800667</v>
      </c>
      <c r="L297">
        <f ca="1"/>
        <v>2.9904695925818601</v>
      </c>
      <c r="M297">
        <f ca="1"/>
        <v>0.16589882105499498</v>
      </c>
      <c r="N297">
        <f ca="1"/>
        <v>0.59561516445648177</v>
      </c>
      <c r="O297">
        <f ca="1"/>
        <v>0</v>
      </c>
      <c r="P297">
        <f ca="1"/>
        <v>107.56011484332582</v>
      </c>
      <c r="Q297">
        <f ca="1"/>
        <v>99.52802834528525</v>
      </c>
      <c r="R297">
        <f ca="1"/>
        <v>0</v>
      </c>
      <c r="S297">
        <f ca="1"/>
        <v>0.59896815969899775</v>
      </c>
      <c r="T297">
        <f ca="1"/>
        <v>0</v>
      </c>
      <c r="U297">
        <f ca="1"/>
        <v>0</v>
      </c>
      <c r="V297">
        <f ca="1"/>
        <v>0.9993821462990754</v>
      </c>
      <c r="X297" s="2">
        <f t="shared" ca="1" si="29"/>
        <v>45680</v>
      </c>
      <c r="Y297">
        <f t="shared" ca="1" si="30"/>
        <v>0</v>
      </c>
      <c r="AA297" s="63">
        <f t="shared" ca="1" si="32"/>
        <v>15.572103530382527</v>
      </c>
      <c r="AB297" s="63">
        <f t="shared" ca="1" si="33"/>
        <v>15.572103530382527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45681</v>
      </c>
      <c r="K298">
        <f ca="1"/>
        <v>10.322248545355098</v>
      </c>
      <c r="L298">
        <f ca="1"/>
        <v>3.0047298555262358</v>
      </c>
      <c r="M298">
        <f ca="1"/>
        <v>0.16243014008465906</v>
      </c>
      <c r="N298">
        <f ca="1"/>
        <v>0.58291432299600787</v>
      </c>
      <c r="O298">
        <f ca="1"/>
        <v>0</v>
      </c>
      <c r="P298">
        <f ca="1"/>
        <v>110.56484469885206</v>
      </c>
      <c r="Q298">
        <f ca="1"/>
        <v>102.30837902328842</v>
      </c>
      <c r="R298">
        <f ca="1"/>
        <v>0</v>
      </c>
      <c r="S298">
        <f ca="1"/>
        <v>0.5796011307913852</v>
      </c>
      <c r="T298">
        <f ca="1"/>
        <v>0</v>
      </c>
      <c r="U298">
        <f ca="1"/>
        <v>0</v>
      </c>
      <c r="V298">
        <f ca="1"/>
        <v>0.99946098384911053</v>
      </c>
      <c r="X298" s="2">
        <f t="shared" ca="1" si="29"/>
        <v>45681</v>
      </c>
      <c r="Y298">
        <f t="shared" ca="1" si="30"/>
        <v>0</v>
      </c>
      <c r="AA298" s="63">
        <f t="shared" ca="1" si="32"/>
        <v>13.326978400881334</v>
      </c>
      <c r="AB298" s="63">
        <f t="shared" ca="1" si="33"/>
        <v>13.326978400881334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45682</v>
      </c>
      <c r="K299">
        <f ca="1"/>
        <v>8.0706817953276548</v>
      </c>
      <c r="L299">
        <f ca="1"/>
        <v>2.9635349651793064</v>
      </c>
      <c r="M299">
        <f ca="1"/>
        <v>0.1564144057415362</v>
      </c>
      <c r="N299">
        <f ca="1"/>
        <v>0.55555380941032639</v>
      </c>
      <c r="O299">
        <f ca="1"/>
        <v>0</v>
      </c>
      <c r="P299">
        <f ca="1"/>
        <v>113.52837966403136</v>
      </c>
      <c r="Q299">
        <f ca="1"/>
        <v>105.05061105275628</v>
      </c>
      <c r="R299">
        <f ca="1"/>
        <v>0</v>
      </c>
      <c r="S299">
        <f ca="1"/>
        <v>0.55569638289849221</v>
      </c>
      <c r="T299">
        <f ca="1"/>
        <v>0</v>
      </c>
      <c r="U299">
        <f ca="1"/>
        <v>0</v>
      </c>
      <c r="V299">
        <f ca="1"/>
        <v>0.99952890251818705</v>
      </c>
      <c r="X299" s="2">
        <f t="shared" ca="1" si="29"/>
        <v>45682</v>
      </c>
      <c r="Y299">
        <f t="shared" ca="1" si="30"/>
        <v>0</v>
      </c>
      <c r="AA299" s="63">
        <f t="shared" ca="1" si="32"/>
        <v>11.034216760506961</v>
      </c>
      <c r="AB299" s="63">
        <f t="shared" ca="1" si="33"/>
        <v>11.034216760506961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45683</v>
      </c>
      <c r="K300">
        <f ca="1"/>
        <v>5.8062969873623409</v>
      </c>
      <c r="L300">
        <f ca="1"/>
        <v>2.9881029455395662</v>
      </c>
      <c r="M300">
        <f ca="1"/>
        <v>0.15409961195724975</v>
      </c>
      <c r="N300">
        <f ca="1"/>
        <v>0.56961852561700177</v>
      </c>
      <c r="O300">
        <f ca="1"/>
        <v>0</v>
      </c>
      <c r="P300">
        <f ca="1"/>
        <v>116.51648260957093</v>
      </c>
      <c r="Q300">
        <f ca="1"/>
        <v>107.81557644067439</v>
      </c>
      <c r="R300">
        <f ca="1"/>
        <v>0</v>
      </c>
      <c r="S300">
        <f ca="1"/>
        <v>0.56548014752155185</v>
      </c>
      <c r="T300">
        <f ca="1"/>
        <v>0</v>
      </c>
      <c r="U300">
        <f ca="1"/>
        <v>0</v>
      </c>
      <c r="V300">
        <f ca="1"/>
        <v>0.9995888232150979</v>
      </c>
      <c r="X300" s="2">
        <f t="shared" ca="1" si="29"/>
        <v>45683</v>
      </c>
      <c r="Y300">
        <f t="shared" ca="1" si="30"/>
        <v>0</v>
      </c>
      <c r="AA300" s="63">
        <f t="shared" ca="1" si="32"/>
        <v>8.7943999329019071</v>
      </c>
      <c r="AB300" s="63">
        <f t="shared" ca="1" si="33"/>
        <v>8.7943999329019071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45684</v>
      </c>
      <c r="K301">
        <f ca="1"/>
        <v>3.5328174839634849</v>
      </c>
      <c r="L301">
        <f ca="1"/>
        <v>2.9742772720537971</v>
      </c>
      <c r="M301">
        <f ca="1"/>
        <v>0.15011627408593142</v>
      </c>
      <c r="N301">
        <f ca="1"/>
        <v>0.55068149456900939</v>
      </c>
      <c r="O301">
        <f ca="1"/>
        <v>0</v>
      </c>
      <c r="P301">
        <f ca="1"/>
        <v>119.49075988162473</v>
      </c>
      <c r="Q301">
        <f ca="1"/>
        <v>110.56774859176315</v>
      </c>
      <c r="R301">
        <f ca="1"/>
        <v>0</v>
      </c>
      <c r="S301">
        <f ca="1"/>
        <v>0.54132412904735794</v>
      </c>
      <c r="T301">
        <f ca="1"/>
        <v>0</v>
      </c>
      <c r="U301">
        <f ca="1"/>
        <v>0</v>
      </c>
      <c r="V301">
        <f ca="1"/>
        <v>0.99964105574328166</v>
      </c>
      <c r="X301" s="2">
        <f t="shared" ca="1" si="29"/>
        <v>45684</v>
      </c>
      <c r="Y301">
        <f t="shared" ca="1" si="30"/>
        <v>0</v>
      </c>
      <c r="AA301" s="63">
        <f t="shared" ca="1" si="32"/>
        <v>6.507094756017282</v>
      </c>
      <c r="AB301" s="63">
        <f t="shared" ca="1" si="33"/>
        <v>6.507094756017282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45685</v>
      </c>
      <c r="K302">
        <f ca="1"/>
        <v>1.134874418468188</v>
      </c>
      <c r="L302">
        <f ca="1"/>
        <v>3.1052272065992241</v>
      </c>
      <c r="M302">
        <f ca="1"/>
        <v>0.15350911374611798</v>
      </c>
      <c r="N302">
        <f ca="1"/>
        <v>0.55377502735780959</v>
      </c>
      <c r="O302">
        <f ca="1"/>
        <v>0</v>
      </c>
      <c r="P302">
        <f ca="1"/>
        <v>122.59598708822395</v>
      </c>
      <c r="Q302">
        <f ca="1"/>
        <v>113.4410919485189</v>
      </c>
      <c r="R302">
        <f ca="1"/>
        <v>0</v>
      </c>
      <c r="S302">
        <f ca="1"/>
        <v>0.50143843196661153</v>
      </c>
      <c r="T302">
        <f ca="1"/>
        <v>0</v>
      </c>
      <c r="U302">
        <f ca="1"/>
        <v>0</v>
      </c>
      <c r="V302">
        <f ca="1"/>
        <v>0.9996887374909621</v>
      </c>
      <c r="X302" s="2">
        <f t="shared" ca="1" si="29"/>
        <v>45685</v>
      </c>
      <c r="Y302">
        <f t="shared" ca="1" si="30"/>
        <v>0</v>
      </c>
      <c r="AA302" s="63">
        <f t="shared" ca="1" si="32"/>
        <v>4.2401016250674122</v>
      </c>
      <c r="AB302" s="63">
        <f t="shared" ca="1" si="33"/>
        <v>4.2401016250674122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45686</v>
      </c>
      <c r="K303">
        <f ca="1"/>
        <v>-1.3506458392936831</v>
      </c>
      <c r="L303">
        <f ca="1"/>
        <v>3.1892039079628631</v>
      </c>
      <c r="M303">
        <f ca="1"/>
        <v>0.14682020365951587</v>
      </c>
      <c r="N303">
        <f ca="1"/>
        <v>0.55686344654147624</v>
      </c>
      <c r="O303">
        <f ca="1"/>
        <v>0</v>
      </c>
      <c r="P303">
        <f ca="1"/>
        <v>125.78519099618681</v>
      </c>
      <c r="Q303">
        <f ca="1"/>
        <v>116.39214101919885</v>
      </c>
      <c r="R303">
        <f ca="1"/>
        <v>0</v>
      </c>
      <c r="S303">
        <f ca="1"/>
        <v>0.47406101746734419</v>
      </c>
      <c r="T303">
        <f ca="1"/>
        <v>0</v>
      </c>
      <c r="U303">
        <f ca="1"/>
        <v>0</v>
      </c>
      <c r="V303">
        <f ca="1"/>
        <v>0.99973138799503203</v>
      </c>
      <c r="X303" s="2">
        <f t="shared" ca="1" si="29"/>
        <v>45686</v>
      </c>
      <c r="Y303">
        <f t="shared" ca="1" si="30"/>
        <v>0</v>
      </c>
      <c r="AA303" s="63">
        <f t="shared" ca="1" si="32"/>
        <v>1.83855806866918</v>
      </c>
      <c r="AB303" s="63">
        <f t="shared" ca="1" si="33"/>
        <v>1.83855806866918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45687</v>
      </c>
      <c r="K304">
        <f ca="1"/>
        <v>-3.8275575829694266</v>
      </c>
      <c r="L304">
        <f ca="1"/>
        <v>3.182995763804783</v>
      </c>
      <c r="M304">
        <f ca="1"/>
        <v>0.14423049012236788</v>
      </c>
      <c r="N304">
        <f ca="1"/>
        <v>0.56185353000667171</v>
      </c>
      <c r="O304">
        <f ca="1"/>
        <v>0</v>
      </c>
      <c r="P304">
        <f ca="1"/>
        <v>128.9681867599916</v>
      </c>
      <c r="Q304">
        <f ca="1"/>
        <v>119.33744554090133</v>
      </c>
      <c r="R304">
        <f ca="1"/>
        <v>0</v>
      </c>
      <c r="S304">
        <f ca="1"/>
        <v>0.47460905536433601</v>
      </c>
      <c r="T304">
        <f ca="1"/>
        <v>0</v>
      </c>
      <c r="U304">
        <f ca="1"/>
        <v>0</v>
      </c>
      <c r="V304">
        <f ca="1"/>
        <v>0.99976841961119511</v>
      </c>
      <c r="X304" s="2">
        <f t="shared" ca="1" si="29"/>
        <v>45687</v>
      </c>
      <c r="Y304">
        <f t="shared" ca="1" si="30"/>
        <v>0</v>
      </c>
      <c r="AA304" s="63">
        <f t="shared" ca="1" si="32"/>
        <v>-0.6445618191646435</v>
      </c>
      <c r="AB304" s="63">
        <f t="shared" ca="1" si="33"/>
        <v>-0.64456181916464361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45688</v>
      </c>
      <c r="K305">
        <f ca="1"/>
        <v>-6.1926453045652758</v>
      </c>
      <c r="L305">
        <f ca="1"/>
        <v>3.0505925207547477</v>
      </c>
      <c r="M305">
        <f ca="1"/>
        <v>0.13874671153248386</v>
      </c>
      <c r="N305">
        <f ca="1"/>
        <v>0.54675808762641487</v>
      </c>
      <c r="O305">
        <f ca="1"/>
        <v>0</v>
      </c>
      <c r="P305">
        <f ca="1"/>
        <v>132.01877928074634</v>
      </c>
      <c r="Q305">
        <f ca="1"/>
        <v>122.16023407471657</v>
      </c>
      <c r="R305">
        <f ca="1"/>
        <v>0</v>
      </c>
      <c r="S305">
        <f ca="1"/>
        <v>0.4847326674623218</v>
      </c>
      <c r="T305">
        <f ca="1"/>
        <v>0</v>
      </c>
      <c r="U305">
        <f ca="1"/>
        <v>0</v>
      </c>
      <c r="V305">
        <f ca="1"/>
        <v>0.99979939925429029</v>
      </c>
      <c r="X305" s="2">
        <f t="shared" ca="1" si="29"/>
        <v>45688</v>
      </c>
      <c r="Y305">
        <f t="shared" ca="1" si="30"/>
        <v>0</v>
      </c>
      <c r="AA305" s="63">
        <f t="shared" ca="1" si="32"/>
        <v>-3.1420527838105281</v>
      </c>
      <c r="AB305" s="63">
        <f t="shared" ca="1" si="33"/>
        <v>-3.1420527838105281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45689</v>
      </c>
      <c r="K306">
        <f ca="1"/>
        <v>-8.4960535677965083</v>
      </c>
      <c r="L306">
        <f ca="1"/>
        <v>2.9774149663557239</v>
      </c>
      <c r="M306">
        <f ca="1"/>
        <v>0.13412896285571918</v>
      </c>
      <c r="N306">
        <f ca="1"/>
        <v>0.53987774026877244</v>
      </c>
      <c r="O306">
        <f ca="1"/>
        <v>0</v>
      </c>
      <c r="P306">
        <f ca="1"/>
        <v>134.99619424710207</v>
      </c>
      <c r="Q306">
        <f ca="1"/>
        <v>124.91530961176652</v>
      </c>
      <c r="R306">
        <f ca="1"/>
        <v>0</v>
      </c>
      <c r="S306">
        <f ca="1"/>
        <v>0.48717856027704703</v>
      </c>
      <c r="T306">
        <f ca="1"/>
        <v>0</v>
      </c>
      <c r="U306">
        <f ca="1"/>
        <v>0</v>
      </c>
      <c r="V306">
        <f ca="1"/>
        <v>0.99982591594520187</v>
      </c>
      <c r="X306" s="2">
        <f t="shared" ca="1" si="29"/>
        <v>45689</v>
      </c>
      <c r="Y306">
        <f t="shared" ca="1" si="30"/>
        <v>0</v>
      </c>
      <c r="AA306" s="63">
        <f t="shared" ca="1" si="32"/>
        <v>-5.5186386014407844</v>
      </c>
      <c r="AB306" s="63">
        <f t="shared" ca="1" si="33"/>
        <v>-5.5186386014407844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45690</v>
      </c>
      <c r="K307">
        <f ca="1"/>
        <v>-10.682977887671258</v>
      </c>
      <c r="L307">
        <f ca="1"/>
        <v>2.8139201747502796</v>
      </c>
      <c r="M307">
        <f ca="1"/>
        <v>0.12243142965945708</v>
      </c>
      <c r="N307">
        <f ca="1"/>
        <v>0.50456442521607225</v>
      </c>
      <c r="O307">
        <f ca="1"/>
        <v>0</v>
      </c>
      <c r="P307">
        <f ca="1"/>
        <v>137.81011442185235</v>
      </c>
      <c r="Q307">
        <f ca="1"/>
        <v>127.5190993838569</v>
      </c>
      <c r="R307">
        <f ca="1"/>
        <v>0</v>
      </c>
      <c r="S307">
        <f ca="1"/>
        <v>0.47623302437614384</v>
      </c>
      <c r="T307">
        <f ca="1"/>
        <v>0</v>
      </c>
      <c r="U307">
        <f ca="1"/>
        <v>0</v>
      </c>
      <c r="V307">
        <f ca="1"/>
        <v>0.99984800535805185</v>
      </c>
      <c r="X307" s="2">
        <f t="shared" ca="1" si="29"/>
        <v>45690</v>
      </c>
      <c r="Y307">
        <f t="shared" ca="1" si="30"/>
        <v>0</v>
      </c>
      <c r="AA307" s="63">
        <f t="shared" ca="1" si="32"/>
        <v>-7.8690577129209789</v>
      </c>
      <c r="AB307" s="63">
        <f t="shared" ca="1" si="33"/>
        <v>-7.8690577129209789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45691</v>
      </c>
      <c r="K308">
        <f ca="1"/>
        <v>-12.937948143552454</v>
      </c>
      <c r="L308">
        <f ca="1"/>
        <v>2.9050679863950677</v>
      </c>
      <c r="M308">
        <f ca="1"/>
        <v>0.12272654397221316</v>
      </c>
      <c r="N308">
        <f ca="1"/>
        <v>0.52737118654165882</v>
      </c>
      <c r="O308">
        <f ca="1"/>
        <v>0</v>
      </c>
      <c r="P308">
        <f ca="1"/>
        <v>140.71518240824741</v>
      </c>
      <c r="Q308">
        <f ca="1"/>
        <v>130.20723047516401</v>
      </c>
      <c r="R308">
        <f ca="1"/>
        <v>0</v>
      </c>
      <c r="S308">
        <f ca="1"/>
        <v>0.46730873905388154</v>
      </c>
      <c r="T308">
        <f ca="1"/>
        <v>0</v>
      </c>
      <c r="U308">
        <f ca="1"/>
        <v>0</v>
      </c>
      <c r="V308">
        <f ca="1"/>
        <v>0.99986813607027192</v>
      </c>
      <c r="X308" s="2">
        <f t="shared" ca="1" si="29"/>
        <v>45691</v>
      </c>
      <c r="Y308">
        <f t="shared" ca="1" si="30"/>
        <v>0</v>
      </c>
      <c r="AA308" s="63">
        <f t="shared" ca="1" si="32"/>
        <v>-10.032880157157386</v>
      </c>
      <c r="AB308" s="63">
        <f t="shared" ca="1" si="33"/>
        <v>-10.032880157157386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45692</v>
      </c>
      <c r="K309">
        <f ca="1"/>
        <v>-15.1313252006172</v>
      </c>
      <c r="L309">
        <f ca="1"/>
        <v>2.855498376395218</v>
      </c>
      <c r="M309">
        <f ca="1"/>
        <v>0.12384015429397977</v>
      </c>
      <c r="N309">
        <f ca="1"/>
        <v>0.53828116503649193</v>
      </c>
      <c r="O309">
        <f ca="1"/>
        <v>0</v>
      </c>
      <c r="P309">
        <f ca="1"/>
        <v>143.57068078464263</v>
      </c>
      <c r="Q309">
        <f ca="1"/>
        <v>132.84949358319204</v>
      </c>
      <c r="R309">
        <f ca="1"/>
        <v>0</v>
      </c>
      <c r="S309">
        <f ca="1"/>
        <v>0.48427758830535828</v>
      </c>
      <c r="T309">
        <f ca="1"/>
        <v>0</v>
      </c>
      <c r="U309">
        <f ca="1"/>
        <v>0</v>
      </c>
      <c r="V309">
        <f ca="1"/>
        <v>0.99988557878829409</v>
      </c>
      <c r="X309" s="2">
        <f t="shared" ca="1" si="29"/>
        <v>45692</v>
      </c>
      <c r="Y309">
        <f t="shared" ca="1" si="30"/>
        <v>0</v>
      </c>
      <c r="AA309" s="63">
        <f t="shared" ca="1" si="32"/>
        <v>-12.275826824221982</v>
      </c>
      <c r="AB309" s="63">
        <f t="shared" ca="1" si="33"/>
        <v>-12.275826824221982</v>
      </c>
      <c r="AC309" s="3">
        <f t="shared" ca="1" si="34"/>
        <v>0</v>
      </c>
    </row>
    <row r="310" spans="8:29">
      <c r="H310" t="b">
        <f t="shared" ca="1" si="31"/>
        <v>0</v>
      </c>
      <c r="I310" t="b">
        <f t="shared" ca="1" si="28"/>
        <v>0</v>
      </c>
      <c r="J310" s="2">
        <f ca="1"/>
        <v>45693</v>
      </c>
      <c r="K310">
        <f ca="1"/>
        <v>-17.106134555413128</v>
      </c>
      <c r="L310">
        <f ca="1"/>
        <v>2.5410434092147227</v>
      </c>
      <c r="M310">
        <f ca="1"/>
        <v>0.10408150479311473</v>
      </c>
      <c r="N310">
        <f ca="1"/>
        <v>0.46215254962567842</v>
      </c>
      <c r="O310">
        <f ca="1"/>
        <v>0</v>
      </c>
      <c r="P310">
        <f ca="1"/>
        <v>146.11172419385736</v>
      </c>
      <c r="Q310">
        <f ca="1"/>
        <v>135.20078375080956</v>
      </c>
      <c r="R310">
        <f ca="1"/>
        <v>0</v>
      </c>
      <c r="S310">
        <f ca="1"/>
        <v>0.45936499056871755</v>
      </c>
      <c r="T310">
        <f ca="1"/>
        <v>0</v>
      </c>
      <c r="U310">
        <f ca="1"/>
        <v>0</v>
      </c>
      <c r="V310">
        <f ca="1"/>
        <v>0.99989936183249795</v>
      </c>
      <c r="X310" s="2">
        <f t="shared" ca="1" si="29"/>
        <v>45693</v>
      </c>
      <c r="Y310">
        <f t="shared" ca="1" si="30"/>
        <v>0</v>
      </c>
      <c r="AA310" s="63">
        <f t="shared" ca="1" si="32"/>
        <v>-14.565091146198407</v>
      </c>
      <c r="AB310" s="63">
        <f t="shared" ca="1" si="33"/>
        <v>-14.565091146198405</v>
      </c>
      <c r="AC310" s="3">
        <f t="shared" ca="1" si="34"/>
        <v>0</v>
      </c>
    </row>
    <row r="311" spans="8:29">
      <c r="H311" t="b">
        <f t="shared" ca="1" si="31"/>
        <v>0</v>
      </c>
      <c r="I311" t="b">
        <f t="shared" ca="1" si="28"/>
        <v>0</v>
      </c>
      <c r="J311" s="2">
        <f ca="1"/>
        <v>45694</v>
      </c>
      <c r="K311">
        <f ca="1"/>
        <v>-19.146834397157559</v>
      </c>
      <c r="L311">
        <f ca="1"/>
        <v>2.6868212326073717</v>
      </c>
      <c r="M311">
        <f ca="1"/>
        <v>0.11755121684910819</v>
      </c>
      <c r="N311">
        <f ca="1"/>
        <v>0.52857017401383122</v>
      </c>
      <c r="O311">
        <f ca="1"/>
        <v>0</v>
      </c>
      <c r="P311">
        <f ca="1"/>
        <v>148.79854542646473</v>
      </c>
      <c r="Q311">
        <f ca="1"/>
        <v>137.68696573552742</v>
      </c>
      <c r="R311">
        <f ca="1"/>
        <v>0</v>
      </c>
      <c r="S311">
        <f ca="1"/>
        <v>0.4954624564167438</v>
      </c>
      <c r="T311">
        <f ca="1"/>
        <v>0</v>
      </c>
      <c r="U311">
        <f ca="1"/>
        <v>0</v>
      </c>
      <c r="V311">
        <f ca="1"/>
        <v>0.99991234462700507</v>
      </c>
      <c r="X311" s="2">
        <f t="shared" ca="1" si="29"/>
        <v>45694</v>
      </c>
      <c r="Y311">
        <f t="shared" ca="1" si="30"/>
        <v>0</v>
      </c>
      <c r="AA311" s="63">
        <f t="shared" ca="1" si="32"/>
        <v>-16.460013164550187</v>
      </c>
      <c r="AB311" s="63">
        <f t="shared" ca="1" si="33"/>
        <v>-16.460013164550187</v>
      </c>
      <c r="AC311" s="3">
        <f t="shared" ca="1" si="34"/>
        <v>0</v>
      </c>
    </row>
    <row r="312" spans="8:29">
      <c r="H312" t="b">
        <f t="shared" ca="1" si="31"/>
        <v>0</v>
      </c>
      <c r="I312" t="b">
        <f t="shared" ca="1" si="28"/>
        <v>0</v>
      </c>
      <c r="J312" s="2">
        <f ca="1"/>
        <v>45695</v>
      </c>
      <c r="K312">
        <f ca="1"/>
        <v>-21.05466089233186</v>
      </c>
      <c r="L312">
        <f ca="1"/>
        <v>2.5290873045306341</v>
      </c>
      <c r="M312">
        <f ca="1"/>
        <v>0.11109840664377657</v>
      </c>
      <c r="N312">
        <f ca="1"/>
        <v>0.51016240271255608</v>
      </c>
      <c r="O312">
        <f ca="1"/>
        <v>0</v>
      </c>
      <c r="P312">
        <f ca="1"/>
        <v>151.32763273099536</v>
      </c>
      <c r="Q312">
        <f ca="1"/>
        <v>140.02719262446001</v>
      </c>
      <c r="R312">
        <f ca="1"/>
        <v>0</v>
      </c>
      <c r="S312">
        <f ca="1"/>
        <v>0.50628386199896602</v>
      </c>
      <c r="T312">
        <f ca="1"/>
        <v>0</v>
      </c>
      <c r="U312">
        <f ca="1"/>
        <v>0</v>
      </c>
      <c r="V312">
        <f ca="1"/>
        <v>0.99992322350067819</v>
      </c>
      <c r="X312" s="2">
        <f t="shared" ca="1" si="29"/>
        <v>45695</v>
      </c>
      <c r="Y312">
        <f t="shared" ca="1" si="30"/>
        <v>0</v>
      </c>
      <c r="AA312" s="63">
        <f t="shared" ca="1" si="32"/>
        <v>-18.525573587801226</v>
      </c>
      <c r="AB312" s="63">
        <f t="shared" ca="1" si="33"/>
        <v>-18.525573587801226</v>
      </c>
      <c r="AC312" s="3">
        <f t="shared" ca="1" si="34"/>
        <v>0</v>
      </c>
    </row>
    <row r="313" spans="8:29">
      <c r="H313" t="b">
        <f t="shared" ca="1" si="31"/>
        <v>0</v>
      </c>
      <c r="I313" t="b">
        <f t="shared" ca="1" si="28"/>
        <v>0</v>
      </c>
      <c r="J313" s="2">
        <f ca="1"/>
        <v>45696</v>
      </c>
      <c r="K313">
        <f ca="1"/>
        <v>-23.060480452286328</v>
      </c>
      <c r="L313">
        <f ca="1"/>
        <v>2.6723672690046385</v>
      </c>
      <c r="M313">
        <f ca="1"/>
        <v>0.11553207833308221</v>
      </c>
      <c r="N313">
        <f ca="1"/>
        <v>0.55101563071709003</v>
      </c>
      <c r="O313">
        <f ca="1"/>
        <v>0</v>
      </c>
      <c r="P313">
        <f ca="1"/>
        <v>154</v>
      </c>
      <c r="Q313">
        <f ca="1"/>
        <v>142.50000000000003</v>
      </c>
      <c r="R313">
        <f ca="1"/>
        <v>0</v>
      </c>
      <c r="S313">
        <f ca="1"/>
        <v>0.49509716241973983</v>
      </c>
      <c r="T313">
        <f ca="1"/>
        <v>0</v>
      </c>
      <c r="U313">
        <f ca="1"/>
        <v>0</v>
      </c>
      <c r="V313">
        <f ca="1"/>
        <v>0.99993345063478134</v>
      </c>
      <c r="X313" s="2">
        <f t="shared" ca="1" si="29"/>
        <v>45696</v>
      </c>
      <c r="Y313">
        <f t="shared" ca="1" si="30"/>
        <v>0</v>
      </c>
      <c r="AA313" s="63">
        <f t="shared" ca="1" si="32"/>
        <v>-20.388113183281689</v>
      </c>
      <c r="AB313" s="63">
        <f t="shared" ca="1" si="33"/>
        <v>-20.388113183281689</v>
      </c>
      <c r="AC313" s="3">
        <f t="shared" ca="1" si="34"/>
        <v>0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ca="1" si="28"/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ca="1" si="29"/>
        <v>0</v>
      </c>
      <c r="Y327">
        <f t="shared" ca="1" si="30"/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ca="1" si="31"/>
        <v>#N/A</v>
      </c>
      <c r="I328" t="e">
        <f t="shared" ca="1" si="28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29"/>
        <v>0</v>
      </c>
      <c r="Y328">
        <f t="shared" ca="1" si="30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1"/>
        <v>#N/A</v>
      </c>
      <c r="I329" t="e">
        <f t="shared" ca="1" si="28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29"/>
        <v>0</v>
      </c>
      <c r="Y329">
        <f t="shared" ca="1" si="30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1"/>
        <v>#N/A</v>
      </c>
      <c r="I330" t="e">
        <f t="shared" ca="1" si="28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29"/>
        <v>0</v>
      </c>
      <c r="Y330">
        <f t="shared" ca="1" si="30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1"/>
        <v>#N/A</v>
      </c>
      <c r="I331" t="e">
        <f t="shared" ref="I331:I394" ca="1" si="35">AND(IF(J331&gt;($J$7-1),TRUE,FALSE),IF(J331&lt;($J$8+1),TRUE,FALSE))</f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ref="X331:X394" ca="1" si="36">IFERROR(J331,$X$9)</f>
        <v>0</v>
      </c>
      <c r="Y331">
        <f t="shared" ref="Y331:Y394" ca="1" si="37">IFERROR(O331,0)</f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ref="H332:H395" ca="1" si="38">IF(J332&lt;$J$8,TRUE,FALSE)</f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ca="1" si="32"/>
        <v>#N/A</v>
      </c>
      <c r="AB332" s="63" t="e">
        <f t="shared" ca="1" si="33"/>
        <v>#N/A</v>
      </c>
      <c r="AC332" s="3" t="e">
        <f t="shared" ca="1" si="34"/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2"/>
        <v>#N/A</v>
      </c>
      <c r="AB333" s="63" t="e">
        <f t="shared" ca="1" si="33"/>
        <v>#N/A</v>
      </c>
      <c r="AC333" s="3" t="e">
        <f t="shared" ca="1" si="34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2"/>
        <v>#N/A</v>
      </c>
      <c r="AB334" s="63" t="e">
        <f t="shared" ca="1" si="33"/>
        <v>#N/A</v>
      </c>
      <c r="AC334" s="3" t="e">
        <f t="shared" ca="1" si="34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2"/>
        <v>#N/A</v>
      </c>
      <c r="AB335" s="63" t="e">
        <f t="shared" ca="1" si="33"/>
        <v>#N/A</v>
      </c>
      <c r="AC335" s="3" t="e">
        <f t="shared" ca="1" si="34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ref="AA336:AA399" ca="1" si="39">K335+M336+N336+O336</f>
        <v>#N/A</v>
      </c>
      <c r="AB336" s="63" t="e">
        <f t="shared" ref="AB336:AB399" ca="1" si="40">K336+L336+R336</f>
        <v>#N/A</v>
      </c>
      <c r="AC336" s="3" t="e">
        <f t="shared" ref="AC336:AC399" ca="1" si="41">AB336-AA336</f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Y4" workbookViewId="0">
      <selection activeCell="AM11" sqref="AM11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  <col min="39" max="39" width="15.88671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280</v>
      </c>
      <c r="CT1" t="s">
        <v>281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282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272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280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273</v>
      </c>
      <c r="CS8" t="s">
        <v>250</v>
      </c>
      <c r="CT8" t="s">
        <v>250</v>
      </c>
      <c r="CU8" t="s">
        <v>250</v>
      </c>
    </row>
    <row r="9" spans="1:99" ht="1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281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274</v>
      </c>
      <c r="CS9" t="s">
        <v>251</v>
      </c>
      <c r="CT9" t="s">
        <v>251</v>
      </c>
      <c r="CU9" t="s">
        <v>251</v>
      </c>
    </row>
    <row r="10" spans="1:99" ht="1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283</v>
      </c>
      <c r="AN10">
        <v>16</v>
      </c>
      <c r="AR10" t="s">
        <v>275</v>
      </c>
      <c r="CS10" t="s">
        <v>252</v>
      </c>
      <c r="CT10" t="s">
        <v>252</v>
      </c>
      <c r="CU10" t="s">
        <v>252</v>
      </c>
    </row>
    <row r="11" spans="1:99" ht="1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276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" thickBot="1">
      <c r="A13" s="12"/>
      <c r="C13" s="49" t="s">
        <v>32</v>
      </c>
      <c r="D13" s="49" t="s">
        <v>49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" thickBot="1">
      <c r="A37" s="12"/>
      <c r="G37" s="51" t="s">
        <v>85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93" activePane="bottomRight" state="frozen"/>
      <selection pane="topRight" activeCell="G1" sqref="G1"/>
      <selection pane="bottomLeft" activeCell="A2" sqref="A2"/>
      <selection pane="bottomRight" activeCell="E35" sqref="E35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2024-06-22T06:28:15Z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