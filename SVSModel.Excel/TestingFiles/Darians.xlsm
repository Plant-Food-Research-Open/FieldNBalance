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12F48671-3056-447D-8893-6FE27F3C88E8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P8" i="3"/>
  <c r="O13" i="3"/>
  <c r="Y13" i="3" s="1"/>
  <c r="N18" i="3"/>
  <c r="M23" i="3"/>
  <c r="L28" i="3"/>
  <c r="K33" i="3"/>
  <c r="J38" i="3"/>
  <c r="V42" i="3"/>
  <c r="U47" i="3"/>
  <c r="T52" i="3"/>
  <c r="S57" i="3"/>
  <c r="O10" i="3"/>
  <c r="N15" i="3"/>
  <c r="M20" i="3"/>
  <c r="L25" i="3"/>
  <c r="K30" i="3"/>
  <c r="J35" i="3"/>
  <c r="J8" i="3"/>
  <c r="V12" i="3"/>
  <c r="U17" i="3"/>
  <c r="T22" i="3"/>
  <c r="S27" i="3"/>
  <c r="R32" i="3"/>
  <c r="Q37" i="3"/>
  <c r="P42" i="3"/>
  <c r="O47" i="3"/>
  <c r="Y47" i="3" s="1"/>
  <c r="N52" i="3"/>
  <c r="M57" i="3"/>
  <c r="V9" i="3"/>
  <c r="U14" i="3"/>
  <c r="T19" i="3"/>
  <c r="S24" i="3"/>
  <c r="R29" i="3"/>
  <c r="Q34" i="3"/>
  <c r="P39" i="3"/>
  <c r="O44" i="3"/>
  <c r="N49" i="3"/>
  <c r="M54" i="3"/>
  <c r="V6" i="3"/>
  <c r="U11" i="3"/>
  <c r="T16" i="3"/>
  <c r="S21" i="3"/>
  <c r="R26" i="3"/>
  <c r="Q31" i="3"/>
  <c r="P36" i="3"/>
  <c r="O41" i="3"/>
  <c r="N46" i="3"/>
  <c r="M51" i="3"/>
  <c r="L56" i="3"/>
  <c r="M16" i="3"/>
  <c r="P33" i="3"/>
  <c r="M44" i="3"/>
  <c r="K54" i="3"/>
  <c r="K61" i="3"/>
  <c r="J66" i="3"/>
  <c r="V70" i="3"/>
  <c r="U75" i="3"/>
  <c r="T80" i="3"/>
  <c r="S85" i="3"/>
  <c r="R90" i="3"/>
  <c r="S23" i="3"/>
  <c r="O38" i="3"/>
  <c r="M48" i="3"/>
  <c r="K58" i="3"/>
  <c r="J63" i="3"/>
  <c r="V67" i="3"/>
  <c r="U72" i="3"/>
  <c r="T77" i="3"/>
  <c r="S82" i="3"/>
  <c r="R87" i="3"/>
  <c r="Q92" i="3"/>
  <c r="M24" i="3"/>
  <c r="P38" i="3"/>
  <c r="N48" i="3"/>
  <c r="V16" i="3"/>
  <c r="P17" i="3"/>
  <c r="O27" i="3"/>
  <c r="K46" i="3"/>
  <c r="L59" i="3"/>
  <c r="T65" i="3"/>
  <c r="L7" i="3"/>
  <c r="K12" i="3"/>
  <c r="J17" i="3"/>
  <c r="V21" i="3"/>
  <c r="U26" i="3"/>
  <c r="K9" i="3"/>
  <c r="J14" i="3"/>
  <c r="V18" i="3"/>
  <c r="U23" i="3"/>
  <c r="T28" i="3"/>
  <c r="S33" i="3"/>
  <c r="R38" i="3"/>
  <c r="Q43" i="3"/>
  <c r="P48" i="3"/>
  <c r="O53" i="3"/>
  <c r="K6" i="3"/>
  <c r="J11" i="3"/>
  <c r="V15" i="3"/>
  <c r="U20" i="3"/>
  <c r="T25" i="3"/>
  <c r="S30" i="3"/>
  <c r="R35" i="3"/>
  <c r="R8" i="3"/>
  <c r="Q13" i="3"/>
  <c r="P18" i="3"/>
  <c r="O23" i="3"/>
  <c r="Y23" i="3" s="1"/>
  <c r="N28" i="3"/>
  <c r="M33" i="3"/>
  <c r="L38" i="3"/>
  <c r="K43" i="3"/>
  <c r="J48" i="3"/>
  <c r="V52" i="3"/>
  <c r="U57" i="3"/>
  <c r="Q10" i="3"/>
  <c r="P15" i="3"/>
  <c r="O20" i="3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V46" i="3"/>
  <c r="U51" i="3"/>
  <c r="T56" i="3"/>
  <c r="S18" i="3"/>
  <c r="U34" i="3"/>
  <c r="P45" i="3"/>
  <c r="N55" i="3"/>
  <c r="S61" i="3"/>
  <c r="R66" i="3"/>
  <c r="Q71" i="3"/>
  <c r="P76" i="3"/>
  <c r="O81" i="3"/>
  <c r="N86" i="3"/>
  <c r="P6" i="3"/>
  <c r="L26" i="3"/>
  <c r="R39" i="3"/>
  <c r="P49" i="3"/>
  <c r="S58" i="3"/>
  <c r="R63" i="3"/>
  <c r="Q68" i="3"/>
  <c r="P73" i="3"/>
  <c r="O78" i="3"/>
  <c r="N83" i="3"/>
  <c r="O8" i="3"/>
  <c r="Y8" i="3" s="1"/>
  <c r="N13" i="3"/>
  <c r="M18" i="3"/>
  <c r="L23" i="3"/>
  <c r="K28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Y33" i="3" s="1"/>
  <c r="N38" i="3"/>
  <c r="M43" i="3"/>
  <c r="L48" i="3"/>
  <c r="K53" i="3"/>
  <c r="J58" i="3"/>
  <c r="R23" i="3"/>
  <c r="K38" i="3"/>
  <c r="V47" i="3"/>
  <c r="T57" i="3"/>
  <c r="V62" i="3"/>
  <c r="U67" i="3"/>
  <c r="T72" i="3"/>
  <c r="S77" i="3"/>
  <c r="R82" i="3"/>
  <c r="Q87" i="3"/>
  <c r="O11" i="3"/>
  <c r="Y11" i="3" s="1"/>
  <c r="O30" i="3"/>
  <c r="K42" i="3"/>
  <c r="V51" i="3"/>
  <c r="V59" i="3"/>
  <c r="U64" i="3"/>
  <c r="T69" i="3"/>
  <c r="S74" i="3"/>
  <c r="R79" i="3"/>
  <c r="Q84" i="3"/>
  <c r="P89" i="3"/>
  <c r="V11" i="3"/>
  <c r="P30" i="3"/>
  <c r="L42" i="3"/>
  <c r="J52" i="3"/>
  <c r="N24" i="3"/>
  <c r="R12" i="3"/>
  <c r="V35" i="3"/>
  <c r="K52" i="3"/>
  <c r="R61" i="3"/>
  <c r="M68" i="3"/>
  <c r="J9" i="3"/>
  <c r="V13" i="3"/>
  <c r="U18" i="3"/>
  <c r="T23" i="3"/>
  <c r="J6" i="3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P10" i="3"/>
  <c r="O15" i="3"/>
  <c r="N20" i="3"/>
  <c r="M25" i="3"/>
  <c r="L30" i="3"/>
  <c r="K35" i="3"/>
  <c r="J40" i="3"/>
  <c r="V44" i="3"/>
  <c r="U49" i="3"/>
  <c r="T54" i="3"/>
  <c r="P7" i="3"/>
  <c r="O12" i="3"/>
  <c r="N17" i="3"/>
  <c r="M22" i="3"/>
  <c r="L27" i="3"/>
  <c r="K32" i="3"/>
  <c r="J37" i="3"/>
  <c r="V41" i="3"/>
  <c r="U46" i="3"/>
  <c r="T51" i="3"/>
  <c r="S56" i="3"/>
  <c r="O9" i="3"/>
  <c r="Y9" i="3" s="1"/>
  <c r="N14" i="3"/>
  <c r="M19" i="3"/>
  <c r="L24" i="3"/>
  <c r="K29" i="3"/>
  <c r="J34" i="3"/>
  <c r="V38" i="3"/>
  <c r="U43" i="3"/>
  <c r="T48" i="3"/>
  <c r="S53" i="3"/>
  <c r="O6" i="3"/>
  <c r="K26" i="3"/>
  <c r="N39" i="3"/>
  <c r="L49" i="3"/>
  <c r="R58" i="3"/>
  <c r="Q63" i="3"/>
  <c r="P68" i="3"/>
  <c r="O73" i="3"/>
  <c r="N78" i="3"/>
  <c r="M83" i="3"/>
  <c r="L88" i="3"/>
  <c r="U13" i="3"/>
  <c r="T31" i="3"/>
  <c r="N43" i="3"/>
  <c r="L53" i="3"/>
  <c r="Q60" i="3"/>
  <c r="P65" i="3"/>
  <c r="O70" i="3"/>
  <c r="N75" i="3"/>
  <c r="M80" i="3"/>
  <c r="L85" i="3"/>
  <c r="T7" i="3"/>
  <c r="R17" i="3"/>
  <c r="P27" i="3"/>
  <c r="R14" i="3"/>
  <c r="P24" i="3"/>
  <c r="N34" i="3"/>
  <c r="L44" i="3"/>
  <c r="J54" i="3"/>
  <c r="R11" i="3"/>
  <c r="P21" i="3"/>
  <c r="N31" i="3"/>
  <c r="M9" i="3"/>
  <c r="K19" i="3"/>
  <c r="V28" i="3"/>
  <c r="T38" i="3"/>
  <c r="R48" i="3"/>
  <c r="M6" i="3"/>
  <c r="K16" i="3"/>
  <c r="V25" i="3"/>
  <c r="T35" i="3"/>
  <c r="R45" i="3"/>
  <c r="P55" i="3"/>
  <c r="K13" i="3"/>
  <c r="V22" i="3"/>
  <c r="T32" i="3"/>
  <c r="R42" i="3"/>
  <c r="P52" i="3"/>
  <c r="L21" i="3"/>
  <c r="S46" i="3"/>
  <c r="N62" i="3"/>
  <c r="L72" i="3"/>
  <c r="J82" i="3"/>
  <c r="V8" i="3"/>
  <c r="U40" i="3"/>
  <c r="N59" i="3"/>
  <c r="L69" i="3"/>
  <c r="J79" i="3"/>
  <c r="M88" i="3"/>
  <c r="O14" i="3"/>
  <c r="Y14" i="3" s="1"/>
  <c r="O35" i="3"/>
  <c r="Q49" i="3"/>
  <c r="R7" i="3"/>
  <c r="K18" i="3"/>
  <c r="T47" i="3"/>
  <c r="Q62" i="3"/>
  <c r="S70" i="3"/>
  <c r="N77" i="3"/>
  <c r="T83" i="3"/>
  <c r="O90" i="3"/>
  <c r="S95" i="3"/>
  <c r="R100" i="3"/>
  <c r="Q105" i="3"/>
  <c r="K23" i="3"/>
  <c r="K44" i="3"/>
  <c r="P58" i="3"/>
  <c r="K65" i="3"/>
  <c r="S71" i="3"/>
  <c r="L78" i="3"/>
  <c r="T84" i="3"/>
  <c r="M91" i="3"/>
  <c r="O96" i="3"/>
  <c r="N101" i="3"/>
  <c r="M106" i="3"/>
  <c r="K34" i="3"/>
  <c r="M50" i="3"/>
  <c r="J61" i="3"/>
  <c r="R67" i="3"/>
  <c r="M74" i="3"/>
  <c r="S80" i="3"/>
  <c r="N87" i="3"/>
  <c r="O93" i="3"/>
  <c r="Y93" i="3" s="1"/>
  <c r="M29" i="3"/>
  <c r="L47" i="3"/>
  <c r="R59" i="3"/>
  <c r="M66" i="3"/>
  <c r="S72" i="3"/>
  <c r="R15" i="3"/>
  <c r="P41" i="3"/>
  <c r="N56" i="3"/>
  <c r="N45" i="3"/>
  <c r="O67" i="3"/>
  <c r="Y67" i="3" s="1"/>
  <c r="N80" i="3"/>
  <c r="U90" i="3"/>
  <c r="P98" i="3"/>
  <c r="K105" i="3"/>
  <c r="T110" i="3"/>
  <c r="R9" i="3"/>
  <c r="P19" i="3"/>
  <c r="R6" i="3"/>
  <c r="P16" i="3"/>
  <c r="N26" i="3"/>
  <c r="L36" i="3"/>
  <c r="J46" i="3"/>
  <c r="U55" i="3"/>
  <c r="P13" i="3"/>
  <c r="N23" i="3"/>
  <c r="L33" i="3"/>
  <c r="K11" i="3"/>
  <c r="V20" i="3"/>
  <c r="T30" i="3"/>
  <c r="R40" i="3"/>
  <c r="M10" i="3"/>
  <c r="K20" i="3"/>
  <c r="M7" i="3"/>
  <c r="K17" i="3"/>
  <c r="V26" i="3"/>
  <c r="T36" i="3"/>
  <c r="R46" i="3"/>
  <c r="P56" i="3"/>
  <c r="K14" i="3"/>
  <c r="V23" i="3"/>
  <c r="T33" i="3"/>
  <c r="S11" i="3"/>
  <c r="Q21" i="3"/>
  <c r="O31" i="3"/>
  <c r="M41" i="3"/>
  <c r="K51" i="3"/>
  <c r="S8" i="3"/>
  <c r="Q18" i="3"/>
  <c r="O28" i="3"/>
  <c r="M38" i="3"/>
  <c r="K48" i="3"/>
  <c r="V57" i="3"/>
  <c r="Q15" i="3"/>
  <c r="O25" i="3"/>
  <c r="M35" i="3"/>
  <c r="K45" i="3"/>
  <c r="V54" i="3"/>
  <c r="V29" i="3"/>
  <c r="R51" i="3"/>
  <c r="T64" i="3"/>
  <c r="R74" i="3"/>
  <c r="P84" i="3"/>
  <c r="T18" i="3"/>
  <c r="T45" i="3"/>
  <c r="T61" i="3"/>
  <c r="R71" i="3"/>
  <c r="P81" i="3"/>
  <c r="K90" i="3"/>
  <c r="N19" i="3"/>
  <c r="S39" i="3"/>
  <c r="K7" i="3"/>
  <c r="Q12" i="3"/>
  <c r="Q30" i="3"/>
  <c r="T53" i="3"/>
  <c r="K64" i="3"/>
  <c r="O72" i="3"/>
  <c r="U78" i="3"/>
  <c r="P85" i="3"/>
  <c r="U91" i="3"/>
  <c r="V96" i="3"/>
  <c r="U101" i="3"/>
  <c r="T106" i="3"/>
  <c r="J31" i="3"/>
  <c r="O48" i="3"/>
  <c r="L60" i="3"/>
  <c r="T66" i="3"/>
  <c r="M73" i="3"/>
  <c r="U10" i="3"/>
  <c r="S20" i="3"/>
  <c r="U7" i="3"/>
  <c r="S17" i="3"/>
  <c r="Q27" i="3"/>
  <c r="O37" i="3"/>
  <c r="M47" i="3"/>
  <c r="K57" i="3"/>
  <c r="S14" i="3"/>
  <c r="Q24" i="3"/>
  <c r="O34" i="3"/>
  <c r="Y34" i="3" s="1"/>
  <c r="N12" i="3"/>
  <c r="L22" i="3"/>
  <c r="J32" i="3"/>
  <c r="U41" i="3"/>
  <c r="S51" i="3"/>
  <c r="N9" i="3"/>
  <c r="L19" i="3"/>
  <c r="J29" i="3"/>
  <c r="U38" i="3"/>
  <c r="S48" i="3"/>
  <c r="N6" i="3"/>
  <c r="L16" i="3"/>
  <c r="J26" i="3"/>
  <c r="U35" i="3"/>
  <c r="S45" i="3"/>
  <c r="Q55" i="3"/>
  <c r="S31" i="3"/>
  <c r="U52" i="3"/>
  <c r="O65" i="3"/>
  <c r="M75" i="3"/>
  <c r="K85" i="3"/>
  <c r="M21" i="3"/>
  <c r="J47" i="3"/>
  <c r="O62" i="3"/>
  <c r="Y62" i="3" s="1"/>
  <c r="M72" i="3"/>
  <c r="K82" i="3"/>
  <c r="S90" i="3"/>
  <c r="T21" i="3"/>
  <c r="V40" i="3"/>
  <c r="Q9" i="3"/>
  <c r="J15" i="3"/>
  <c r="V32" i="3"/>
  <c r="L55" i="3"/>
  <c r="J65" i="3"/>
  <c r="L73" i="3"/>
  <c r="S12" i="3"/>
  <c r="Q22" i="3"/>
  <c r="S9" i="3"/>
  <c r="Q19" i="3"/>
  <c r="O29" i="3"/>
  <c r="Y29" i="3" s="1"/>
  <c r="M39" i="3"/>
  <c r="K49" i="3"/>
  <c r="S6" i="3"/>
  <c r="Q16" i="3"/>
  <c r="O26" i="3"/>
  <c r="M36" i="3"/>
  <c r="L14" i="3"/>
  <c r="J24" i="3"/>
  <c r="U33" i="3"/>
  <c r="S43" i="3"/>
  <c r="Q53" i="3"/>
  <c r="L11" i="3"/>
  <c r="J21" i="3"/>
  <c r="U30" i="3"/>
  <c r="S40" i="3"/>
  <c r="Q50" i="3"/>
  <c r="L8" i="3"/>
  <c r="J18" i="3"/>
  <c r="U27" i="3"/>
  <c r="S37" i="3"/>
  <c r="Q47" i="3"/>
  <c r="O57" i="3"/>
  <c r="Y57" i="3" s="1"/>
  <c r="R36" i="3"/>
  <c r="Q56" i="3"/>
  <c r="M67" i="3"/>
  <c r="K77" i="3"/>
  <c r="V86" i="3"/>
  <c r="R28" i="3"/>
  <c r="S50" i="3"/>
  <c r="M64" i="3"/>
  <c r="K74" i="3"/>
  <c r="V83" i="3"/>
  <c r="N91" i="3"/>
  <c r="S26" i="3"/>
  <c r="O43" i="3"/>
  <c r="J12" i="3"/>
  <c r="S7" i="3"/>
  <c r="V37" i="3"/>
  <c r="Q14" i="3"/>
  <c r="O24" i="3"/>
  <c r="Y24" i="3" s="1"/>
  <c r="Q11" i="3"/>
  <c r="O21" i="3"/>
  <c r="M31" i="3"/>
  <c r="K41" i="3"/>
  <c r="V50" i="3"/>
  <c r="Q8" i="3"/>
  <c r="O18" i="3"/>
  <c r="M28" i="3"/>
  <c r="L6" i="3"/>
  <c r="J16" i="3"/>
  <c r="U25" i="3"/>
  <c r="S35" i="3"/>
  <c r="Q45" i="3"/>
  <c r="O55" i="3"/>
  <c r="Y55" i="3" s="1"/>
  <c r="J13" i="3"/>
  <c r="U22" i="3"/>
  <c r="S32" i="3"/>
  <c r="Q42" i="3"/>
  <c r="O52" i="3"/>
  <c r="J10" i="3"/>
  <c r="U19" i="3"/>
  <c r="S29" i="3"/>
  <c r="Q39" i="3"/>
  <c r="O49" i="3"/>
  <c r="Y49" i="3" s="1"/>
  <c r="U8" i="3"/>
  <c r="Q40" i="3"/>
  <c r="M59" i="3"/>
  <c r="K69" i="3"/>
  <c r="V78" i="3"/>
  <c r="T88" i="3"/>
  <c r="Q33" i="3"/>
  <c r="O54" i="3"/>
  <c r="Y54" i="3" s="1"/>
  <c r="K66" i="3"/>
  <c r="V75" i="3"/>
  <c r="T85" i="3"/>
  <c r="V91" i="3"/>
  <c r="S28" i="3"/>
  <c r="R44" i="3"/>
  <c r="P14" i="3"/>
  <c r="L10" i="3"/>
  <c r="M40" i="3"/>
  <c r="O58" i="3"/>
  <c r="P67" i="3"/>
  <c r="U74" i="3"/>
  <c r="N81" i="3"/>
  <c r="V87" i="3"/>
  <c r="U93" i="3"/>
  <c r="T98" i="3"/>
  <c r="S103" i="3"/>
  <c r="R108" i="3"/>
  <c r="Q38" i="3"/>
  <c r="U53" i="3"/>
  <c r="R62" i="3"/>
  <c r="M69" i="3"/>
  <c r="S75" i="3"/>
  <c r="N82" i="3"/>
  <c r="V88" i="3"/>
  <c r="Q94" i="3"/>
  <c r="P99" i="3"/>
  <c r="O104" i="3"/>
  <c r="U24" i="3"/>
  <c r="S44" i="3"/>
  <c r="Q58" i="3"/>
  <c r="L65" i="3"/>
  <c r="T71" i="3"/>
  <c r="M78" i="3"/>
  <c r="U84" i="3"/>
  <c r="O91" i="3"/>
  <c r="K15" i="3"/>
  <c r="L41" i="3"/>
  <c r="M56" i="3"/>
  <c r="T63" i="3"/>
  <c r="M70" i="3"/>
  <c r="U76" i="3"/>
  <c r="S34" i="3"/>
  <c r="N51" i="3"/>
  <c r="T26" i="3"/>
  <c r="P62" i="3"/>
  <c r="Q75" i="3"/>
  <c r="T86" i="3"/>
  <c r="J96" i="3"/>
  <c r="R102" i="3"/>
  <c r="V108" i="3"/>
  <c r="L15" i="3"/>
  <c r="U31" i="3"/>
  <c r="J19" i="3"/>
  <c r="P26" i="3"/>
  <c r="R56" i="3"/>
  <c r="N33" i="3"/>
  <c r="N57" i="3"/>
  <c r="V30" i="3"/>
  <c r="N11" i="3"/>
  <c r="L64" i="3"/>
  <c r="J90" i="3"/>
  <c r="S66" i="3"/>
  <c r="U88" i="3"/>
  <c r="K47" i="3"/>
  <c r="M42" i="3"/>
  <c r="J69" i="3"/>
  <c r="Q80" i="3"/>
  <c r="L91" i="3"/>
  <c r="O99" i="3"/>
  <c r="Y99" i="3" s="1"/>
  <c r="O107" i="3"/>
  <c r="O42" i="3"/>
  <c r="Y42" i="3" s="1"/>
  <c r="U61" i="3"/>
  <c r="P72" i="3"/>
  <c r="Q81" i="3"/>
  <c r="P90" i="3"/>
  <c r="R97" i="3"/>
  <c r="T103" i="3"/>
  <c r="K31" i="3"/>
  <c r="V53" i="3"/>
  <c r="O64" i="3"/>
  <c r="Y64" i="3" s="1"/>
  <c r="N73" i="3"/>
  <c r="O82" i="3"/>
  <c r="Q90" i="3"/>
  <c r="P25" i="3"/>
  <c r="J51" i="3"/>
  <c r="U62" i="3"/>
  <c r="V71" i="3"/>
  <c r="Q25" i="3"/>
  <c r="J49" i="3"/>
  <c r="V39" i="3"/>
  <c r="R70" i="3"/>
  <c r="O85" i="3"/>
  <c r="S97" i="3"/>
  <c r="R106" i="3"/>
  <c r="M113" i="3"/>
  <c r="L118" i="3"/>
  <c r="K123" i="3"/>
  <c r="J128" i="3"/>
  <c r="V132" i="3"/>
  <c r="U137" i="3"/>
  <c r="T142" i="3"/>
  <c r="S147" i="3"/>
  <c r="V55" i="3"/>
  <c r="K71" i="3"/>
  <c r="V82" i="3"/>
  <c r="K93" i="3"/>
  <c r="M100" i="3"/>
  <c r="S106" i="3"/>
  <c r="K112" i="3"/>
  <c r="J117" i="3"/>
  <c r="V121" i="3"/>
  <c r="U126" i="3"/>
  <c r="T131" i="3"/>
  <c r="S136" i="3"/>
  <c r="R141" i="3"/>
  <c r="Q146" i="3"/>
  <c r="Q46" i="3"/>
  <c r="J68" i="3"/>
  <c r="P80" i="3"/>
  <c r="J91" i="3"/>
  <c r="R98" i="3"/>
  <c r="M105" i="3"/>
  <c r="V110" i="3"/>
  <c r="U115" i="3"/>
  <c r="T120" i="3"/>
  <c r="S125" i="3"/>
  <c r="R130" i="3"/>
  <c r="Q135" i="3"/>
  <c r="P140" i="3"/>
  <c r="O145" i="3"/>
  <c r="L31" i="3"/>
  <c r="S63" i="3"/>
  <c r="T76" i="3"/>
  <c r="S87" i="3"/>
  <c r="Q96" i="3"/>
  <c r="J103" i="3"/>
  <c r="N109" i="3"/>
  <c r="M114" i="3"/>
  <c r="L119" i="3"/>
  <c r="K124" i="3"/>
  <c r="J129" i="3"/>
  <c r="V43" i="3"/>
  <c r="K67" i="3"/>
  <c r="J80" i="3"/>
  <c r="N90" i="3"/>
  <c r="N98" i="3"/>
  <c r="T104" i="3"/>
  <c r="R110" i="3"/>
  <c r="Q115" i="3"/>
  <c r="P120" i="3"/>
  <c r="O125" i="3"/>
  <c r="Y125" i="3" s="1"/>
  <c r="N130" i="3"/>
  <c r="Q74" i="3"/>
  <c r="S99" i="3"/>
  <c r="J115" i="3"/>
  <c r="M128" i="3"/>
  <c r="P137" i="3"/>
  <c r="T15" i="3"/>
  <c r="P32" i="3"/>
  <c r="R19" i="3"/>
  <c r="J25" i="3"/>
  <c r="S41" i="3"/>
  <c r="U28" i="3"/>
  <c r="N36" i="3"/>
  <c r="R13" i="3"/>
  <c r="R37" i="3"/>
  <c r="M11" i="3"/>
  <c r="L40" i="3"/>
  <c r="Q28" i="3"/>
  <c r="N70" i="3"/>
  <c r="N35" i="3"/>
  <c r="J71" i="3"/>
  <c r="P9" i="3"/>
  <c r="O19" i="3"/>
  <c r="K50" i="3"/>
  <c r="P71" i="3"/>
  <c r="J83" i="3"/>
  <c r="M93" i="3"/>
  <c r="M101" i="3"/>
  <c r="T10" i="3"/>
  <c r="L50" i="3"/>
  <c r="N64" i="3"/>
  <c r="V74" i="3"/>
  <c r="J84" i="3"/>
  <c r="S92" i="3"/>
  <c r="U98" i="3"/>
  <c r="R105" i="3"/>
  <c r="S38" i="3"/>
  <c r="P57" i="3"/>
  <c r="U66" i="3"/>
  <c r="T75" i="3"/>
  <c r="K84" i="3"/>
  <c r="T92" i="3"/>
  <c r="M34" i="3"/>
  <c r="Q54" i="3"/>
  <c r="N65" i="3"/>
  <c r="O74" i="3"/>
  <c r="Y74" i="3" s="1"/>
  <c r="N32" i="3"/>
  <c r="S54" i="3"/>
  <c r="K55" i="3"/>
  <c r="U73" i="3"/>
  <c r="N89" i="3"/>
  <c r="L100" i="3"/>
  <c r="M108" i="3"/>
  <c r="P114" i="3"/>
  <c r="O119" i="3"/>
  <c r="N124" i="3"/>
  <c r="M129" i="3"/>
  <c r="L134" i="3"/>
  <c r="K139" i="3"/>
  <c r="R25" i="3"/>
  <c r="N42" i="3"/>
  <c r="P29" i="3"/>
  <c r="V36" i="3"/>
  <c r="M14" i="3"/>
  <c r="L43" i="3"/>
  <c r="V14" i="3"/>
  <c r="T40" i="3"/>
  <c r="T41" i="3"/>
  <c r="J74" i="3"/>
  <c r="S36" i="3"/>
  <c r="Q76" i="3"/>
  <c r="U16" i="3"/>
  <c r="U21" i="3"/>
  <c r="J57" i="3"/>
  <c r="V73" i="3"/>
  <c r="S84" i="3"/>
  <c r="P94" i="3"/>
  <c r="P102" i="3"/>
  <c r="L18" i="3"/>
  <c r="M52" i="3"/>
  <c r="U65" i="3"/>
  <c r="R76" i="3"/>
  <c r="Q85" i="3"/>
  <c r="N93" i="3"/>
  <c r="K100" i="3"/>
  <c r="U106" i="3"/>
  <c r="O40" i="3"/>
  <c r="P59" i="3"/>
  <c r="O68" i="3"/>
  <c r="Y68" i="3" s="1"/>
  <c r="S76" i="3"/>
  <c r="R85" i="3"/>
  <c r="J94" i="3"/>
  <c r="M37" i="3"/>
  <c r="R57" i="3"/>
  <c r="J67" i="3"/>
  <c r="L75" i="3"/>
  <c r="N37" i="3"/>
  <c r="L58" i="3"/>
  <c r="J59" i="3"/>
  <c r="M77" i="3"/>
  <c r="T91" i="3"/>
  <c r="V100" i="3"/>
  <c r="Q109" i="3"/>
  <c r="K115" i="3"/>
  <c r="J120" i="3"/>
  <c r="V124" i="3"/>
  <c r="U129" i="3"/>
  <c r="T134" i="3"/>
  <c r="S139" i="3"/>
  <c r="L12" i="3"/>
  <c r="Q51" i="3"/>
  <c r="T6" i="3"/>
  <c r="L46" i="3"/>
  <c r="V17" i="3"/>
  <c r="T43" i="3"/>
  <c r="P20" i="3"/>
  <c r="P44" i="3"/>
  <c r="J43" i="3"/>
  <c r="Q79" i="3"/>
  <c r="Q44" i="3"/>
  <c r="L77" i="3"/>
  <c r="M32" i="3"/>
  <c r="K10" i="3"/>
  <c r="K60" i="3"/>
  <c r="R75" i="3"/>
  <c r="M86" i="3"/>
  <c r="K95" i="3"/>
  <c r="K103" i="3"/>
  <c r="V27" i="3"/>
  <c r="S55" i="3"/>
  <c r="Q67" i="3"/>
  <c r="O77" i="3"/>
  <c r="P86" i="3"/>
  <c r="V93" i="3"/>
  <c r="S100" i="3"/>
  <c r="P107" i="3"/>
  <c r="S42" i="3"/>
  <c r="M60" i="3"/>
  <c r="N69" i="3"/>
  <c r="P77" i="3"/>
  <c r="Q86" i="3"/>
  <c r="R94" i="3"/>
  <c r="K39" i="3"/>
  <c r="U58" i="3"/>
  <c r="T67" i="3"/>
  <c r="K76" i="3"/>
  <c r="L39" i="3"/>
  <c r="V58" i="3"/>
  <c r="T60" i="3"/>
  <c r="T78" i="3"/>
  <c r="J93" i="3"/>
  <c r="S101" i="3"/>
  <c r="L110" i="3"/>
  <c r="S115" i="3"/>
  <c r="R120" i="3"/>
  <c r="Q125" i="3"/>
  <c r="P130" i="3"/>
  <c r="O135" i="3"/>
  <c r="Y135" i="3" s="1"/>
  <c r="N140" i="3"/>
  <c r="M145" i="3"/>
  <c r="T34" i="3"/>
  <c r="P64" i="3"/>
  <c r="Q77" i="3"/>
  <c r="O88" i="3"/>
  <c r="U96" i="3"/>
  <c r="P103" i="3"/>
  <c r="R109" i="3"/>
  <c r="Q114" i="3"/>
  <c r="P119" i="3"/>
  <c r="O124" i="3"/>
  <c r="N129" i="3"/>
  <c r="M134" i="3"/>
  <c r="L139" i="3"/>
  <c r="K144" i="3"/>
  <c r="S15" i="3"/>
  <c r="O61" i="3"/>
  <c r="Y61" i="3" s="1"/>
  <c r="P74" i="3"/>
  <c r="V85" i="3"/>
  <c r="N95" i="3"/>
  <c r="J102" i="3"/>
  <c r="O108" i="3"/>
  <c r="O113" i="3"/>
  <c r="Y113" i="3" s="1"/>
  <c r="N118" i="3"/>
  <c r="M123" i="3"/>
  <c r="L128" i="3"/>
  <c r="K133" i="3"/>
  <c r="J138" i="3"/>
  <c r="V142" i="3"/>
  <c r="U147" i="3"/>
  <c r="P53" i="3"/>
  <c r="L70" i="3"/>
  <c r="P82" i="3"/>
  <c r="P92" i="3"/>
  <c r="T99" i="3"/>
  <c r="T12" i="3"/>
  <c r="M17" i="3"/>
  <c r="T27" i="3"/>
  <c r="N30" i="3"/>
  <c r="P60" i="3"/>
  <c r="L61" i="3"/>
  <c r="U45" i="3"/>
  <c r="Q66" i="3"/>
  <c r="R89" i="3"/>
  <c r="L106" i="3"/>
  <c r="V60" i="3"/>
  <c r="R80" i="3"/>
  <c r="J97" i="3"/>
  <c r="J28" i="3"/>
  <c r="P63" i="3"/>
  <c r="R81" i="3"/>
  <c r="Q20" i="3"/>
  <c r="K62" i="3"/>
  <c r="R20" i="3"/>
  <c r="L34" i="3"/>
  <c r="M84" i="3"/>
  <c r="U105" i="3"/>
  <c r="Q117" i="3"/>
  <c r="O127" i="3"/>
  <c r="M137" i="3"/>
  <c r="U145" i="3"/>
  <c r="O51" i="3"/>
  <c r="N74" i="3"/>
  <c r="Q89" i="3"/>
  <c r="N99" i="3"/>
  <c r="N108" i="3"/>
  <c r="L115" i="3"/>
  <c r="N121" i="3"/>
  <c r="K128" i="3"/>
  <c r="U134" i="3"/>
  <c r="J141" i="3"/>
  <c r="T147" i="3"/>
  <c r="K63" i="3"/>
  <c r="N79" i="3"/>
  <c r="L93" i="3"/>
  <c r="T102" i="3"/>
  <c r="N110" i="3"/>
  <c r="K117" i="3"/>
  <c r="U123" i="3"/>
  <c r="J130" i="3"/>
  <c r="T136" i="3"/>
  <c r="Q143" i="3"/>
  <c r="O22" i="3"/>
  <c r="V66" i="3"/>
  <c r="R83" i="3"/>
  <c r="Q95" i="3"/>
  <c r="S104" i="3"/>
  <c r="L111" i="3"/>
  <c r="S116" i="3"/>
  <c r="M122" i="3"/>
  <c r="T127" i="3"/>
  <c r="J39" i="3"/>
  <c r="T68" i="3"/>
  <c r="Q82" i="3"/>
  <c r="S93" i="3"/>
  <c r="Q101" i="3"/>
  <c r="T108" i="3"/>
  <c r="N114" i="3"/>
  <c r="U119" i="3"/>
  <c r="J126" i="3"/>
  <c r="Q17" i="3"/>
  <c r="J86" i="3"/>
  <c r="P108" i="3"/>
  <c r="N123" i="3"/>
  <c r="N135" i="3"/>
  <c r="N144" i="3"/>
  <c r="V150" i="3"/>
  <c r="U155" i="3"/>
  <c r="T160" i="3"/>
  <c r="S165" i="3"/>
  <c r="R170" i="3"/>
  <c r="Q175" i="3"/>
  <c r="P180" i="3"/>
  <c r="O185" i="3"/>
  <c r="Y185" i="3" s="1"/>
  <c r="N190" i="3"/>
  <c r="M195" i="3"/>
  <c r="L200" i="3"/>
  <c r="K205" i="3"/>
  <c r="J210" i="3"/>
  <c r="V214" i="3"/>
  <c r="U219" i="3"/>
  <c r="J22" i="3"/>
  <c r="K27" i="3"/>
  <c r="V33" i="3"/>
  <c r="R34" i="3"/>
  <c r="S69" i="3"/>
  <c r="N67" i="3"/>
  <c r="T50" i="3"/>
  <c r="V69" i="3"/>
  <c r="R92" i="3"/>
  <c r="J108" i="3"/>
  <c r="O63" i="3"/>
  <c r="K83" i="3"/>
  <c r="M98" i="3"/>
  <c r="K36" i="3"/>
  <c r="V65" i="3"/>
  <c r="L83" i="3"/>
  <c r="R31" i="3"/>
  <c r="Q64" i="3"/>
  <c r="N29" i="3"/>
  <c r="U50" i="3"/>
  <c r="N88" i="3"/>
  <c r="Q107" i="3"/>
  <c r="T118" i="3"/>
  <c r="R128" i="3"/>
  <c r="P138" i="3"/>
  <c r="P146" i="3"/>
  <c r="K59" i="3"/>
  <c r="J76" i="3"/>
  <c r="V90" i="3"/>
  <c r="J101" i="3"/>
  <c r="J109" i="3"/>
  <c r="T115" i="3"/>
  <c r="Q122" i="3"/>
  <c r="S128" i="3"/>
  <c r="P135" i="3"/>
  <c r="M142" i="3"/>
  <c r="O148" i="3"/>
  <c r="R64" i="3"/>
  <c r="U81" i="3"/>
  <c r="M94" i="3"/>
  <c r="Q103" i="3"/>
  <c r="Q111" i="3"/>
  <c r="S117" i="3"/>
  <c r="P124" i="3"/>
  <c r="M131" i="3"/>
  <c r="O137" i="3"/>
  <c r="Y137" i="3" s="1"/>
  <c r="L144" i="3"/>
  <c r="U37" i="3"/>
  <c r="R68" i="3"/>
  <c r="J85" i="3"/>
  <c r="N97" i="3"/>
  <c r="P105" i="3"/>
  <c r="T111" i="3"/>
  <c r="N117" i="3"/>
  <c r="U122" i="3"/>
  <c r="O128" i="3"/>
  <c r="Y128" i="3" s="1"/>
  <c r="R49" i="3"/>
  <c r="P70" i="3"/>
  <c r="S83" i="3"/>
  <c r="T94" i="3"/>
  <c r="N102" i="3"/>
  <c r="O109" i="3"/>
  <c r="Y109" i="3" s="1"/>
  <c r="V114" i="3"/>
  <c r="K121" i="3"/>
  <c r="R126" i="3"/>
  <c r="T39" i="3"/>
  <c r="M89" i="3"/>
  <c r="K110" i="3"/>
  <c r="U124" i="3"/>
  <c r="O136" i="3"/>
  <c r="Y136" i="3" s="1"/>
  <c r="L145" i="3"/>
  <c r="Q151" i="3"/>
  <c r="P156" i="3"/>
  <c r="O161" i="3"/>
  <c r="N166" i="3"/>
  <c r="M171" i="3"/>
  <c r="L176" i="3"/>
  <c r="K181" i="3"/>
  <c r="J186" i="3"/>
  <c r="V190" i="3"/>
  <c r="U195" i="3"/>
  <c r="T200" i="3"/>
  <c r="S205" i="3"/>
  <c r="R210" i="3"/>
  <c r="Q215" i="3"/>
  <c r="R22" i="3"/>
  <c r="T46" i="3"/>
  <c r="P47" i="3"/>
  <c r="J50" i="3"/>
  <c r="L80" i="3"/>
  <c r="U80" i="3"/>
  <c r="N8" i="3"/>
  <c r="O76" i="3"/>
  <c r="N96" i="3"/>
  <c r="J33" i="3"/>
  <c r="N68" i="3"/>
  <c r="M87" i="3"/>
  <c r="V101" i="3"/>
  <c r="P46" i="3"/>
  <c r="K70" i="3"/>
  <c r="K88" i="3"/>
  <c r="U42" i="3"/>
  <c r="S68" i="3"/>
  <c r="P43" i="3"/>
  <c r="J64" i="3"/>
  <c r="K94" i="3"/>
  <c r="O111" i="3"/>
  <c r="M121" i="3"/>
  <c r="K131" i="3"/>
  <c r="V140" i="3"/>
  <c r="K147" i="3"/>
  <c r="M61" i="3"/>
  <c r="M79" i="3"/>
  <c r="L92" i="3"/>
  <c r="T101" i="3"/>
  <c r="M110" i="3"/>
  <c r="O116" i="3"/>
  <c r="L123" i="3"/>
  <c r="V129" i="3"/>
  <c r="K136" i="3"/>
  <c r="U142" i="3"/>
  <c r="L29" i="3"/>
  <c r="N66" i="3"/>
  <c r="O83" i="3"/>
  <c r="L96" i="3"/>
  <c r="P104" i="3"/>
  <c r="L112" i="3"/>
  <c r="V118" i="3"/>
  <c r="K125" i="3"/>
  <c r="U131" i="3"/>
  <c r="R138" i="3"/>
  <c r="T144" i="3"/>
  <c r="R43" i="3"/>
  <c r="U71" i="3"/>
  <c r="L86" i="3"/>
  <c r="K98" i="3"/>
  <c r="O106" i="3"/>
  <c r="Y106" i="3" s="1"/>
  <c r="O112" i="3"/>
  <c r="V117" i="3"/>
  <c r="P123" i="3"/>
  <c r="R129" i="3"/>
  <c r="P54" i="3"/>
  <c r="J72" i="3"/>
  <c r="M85" i="3"/>
  <c r="R95" i="3"/>
  <c r="M103" i="3"/>
  <c r="J110" i="3"/>
  <c r="L116" i="3"/>
  <c r="S121" i="3"/>
  <c r="M127" i="3"/>
  <c r="N53" i="3"/>
  <c r="O92" i="3"/>
  <c r="Y92" i="3" s="1"/>
  <c r="S111" i="3"/>
  <c r="P126" i="3"/>
  <c r="N138" i="3"/>
  <c r="M146" i="3"/>
  <c r="L152" i="3"/>
  <c r="K157" i="3"/>
  <c r="J162" i="3"/>
  <c r="V166" i="3"/>
  <c r="U171" i="3"/>
  <c r="T176" i="3"/>
  <c r="S181" i="3"/>
  <c r="R186" i="3"/>
  <c r="Q191" i="3"/>
  <c r="P196" i="3"/>
  <c r="O201" i="3"/>
  <c r="N206" i="3"/>
  <c r="M211" i="3"/>
  <c r="L216" i="3"/>
  <c r="L52" i="3"/>
  <c r="P23" i="3"/>
  <c r="N54" i="3"/>
  <c r="U56" i="3"/>
  <c r="J44" i="3"/>
  <c r="Q97" i="3"/>
  <c r="L57" i="3"/>
  <c r="S89" i="3"/>
  <c r="V19" i="3"/>
  <c r="J75" i="3"/>
  <c r="L45" i="3"/>
  <c r="R77" i="3"/>
  <c r="V68" i="3"/>
  <c r="L104" i="3"/>
  <c r="S123" i="3"/>
  <c r="Q141" i="3"/>
  <c r="J41" i="3"/>
  <c r="T81" i="3"/>
  <c r="Q98" i="3"/>
  <c r="S112" i="3"/>
  <c r="T123" i="3"/>
  <c r="J133" i="3"/>
  <c r="S144" i="3"/>
  <c r="Q59" i="3"/>
  <c r="P88" i="3"/>
  <c r="J106" i="3"/>
  <c r="M115" i="3"/>
  <c r="V126" i="3"/>
  <c r="L136" i="3"/>
  <c r="M147" i="3"/>
  <c r="Q73" i="3"/>
  <c r="R93" i="3"/>
  <c r="V107" i="3"/>
  <c r="K116" i="3"/>
  <c r="V125" i="3"/>
  <c r="N58" i="3"/>
  <c r="R78" i="3"/>
  <c r="O97" i="3"/>
  <c r="Y97" i="3" s="1"/>
  <c r="K108" i="3"/>
  <c r="J118" i="3"/>
  <c r="U127" i="3"/>
  <c r="S78" i="3"/>
  <c r="R116" i="3"/>
  <c r="P134" i="3"/>
  <c r="J149" i="3"/>
  <c r="S157" i="3"/>
  <c r="P164" i="3"/>
  <c r="K173" i="3"/>
  <c r="U179" i="3"/>
  <c r="P188" i="3"/>
  <c r="K197" i="3"/>
  <c r="U203" i="3"/>
  <c r="P212" i="3"/>
  <c r="M219" i="3"/>
  <c r="Q61" i="3"/>
  <c r="V92" i="3"/>
  <c r="O110" i="3"/>
  <c r="O123" i="3"/>
  <c r="Q134" i="3"/>
  <c r="P142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T213" i="3"/>
  <c r="S218" i="3"/>
  <c r="T42" i="3"/>
  <c r="S86" i="3"/>
  <c r="J107" i="3"/>
  <c r="N120" i="3"/>
  <c r="S132" i="3"/>
  <c r="R140" i="3"/>
  <c r="Q148" i="3"/>
  <c r="Q153" i="3"/>
  <c r="P158" i="3"/>
  <c r="O163" i="3"/>
  <c r="N168" i="3"/>
  <c r="M173" i="3"/>
  <c r="L178" i="3"/>
  <c r="K183" i="3"/>
  <c r="J188" i="3"/>
  <c r="V192" i="3"/>
  <c r="U197" i="3"/>
  <c r="T202" i="3"/>
  <c r="S207" i="3"/>
  <c r="R212" i="3"/>
  <c r="Q217" i="3"/>
  <c r="T29" i="3"/>
  <c r="Q83" i="3"/>
  <c r="U104" i="3"/>
  <c r="J119" i="3"/>
  <c r="V131" i="3"/>
  <c r="R139" i="3"/>
  <c r="Q147" i="3"/>
  <c r="S47" i="3"/>
  <c r="U87" i="3"/>
  <c r="T107" i="3"/>
  <c r="V120" i="3"/>
  <c r="L133" i="3"/>
  <c r="U140" i="3"/>
  <c r="T148" i="3"/>
  <c r="T153" i="3"/>
  <c r="S158" i="3"/>
  <c r="R163" i="3"/>
  <c r="Q168" i="3"/>
  <c r="P173" i="3"/>
  <c r="O178" i="3"/>
  <c r="Y178" i="3" s="1"/>
  <c r="N183" i="3"/>
  <c r="M188" i="3"/>
  <c r="L193" i="3"/>
  <c r="K198" i="3"/>
  <c r="J203" i="3"/>
  <c r="V207" i="3"/>
  <c r="U212" i="3"/>
  <c r="T217" i="3"/>
  <c r="S64" i="3"/>
  <c r="O94" i="3"/>
  <c r="Y94" i="3" s="1"/>
  <c r="N111" i="3"/>
  <c r="Q124" i="3"/>
  <c r="L135" i="3"/>
  <c r="K143" i="3"/>
  <c r="L150" i="3"/>
  <c r="K155" i="3"/>
  <c r="J160" i="3"/>
  <c r="V164" i="3"/>
  <c r="U169" i="3"/>
  <c r="T174" i="3"/>
  <c r="S179" i="3"/>
  <c r="R184" i="3"/>
  <c r="Q189" i="3"/>
  <c r="P194" i="3"/>
  <c r="O199" i="3"/>
  <c r="N204" i="3"/>
  <c r="M209" i="3"/>
  <c r="K106" i="3"/>
  <c r="K148" i="3"/>
  <c r="U162" i="3"/>
  <c r="U175" i="3"/>
  <c r="J189" i="3"/>
  <c r="M202" i="3"/>
  <c r="M214" i="3"/>
  <c r="K223" i="3"/>
  <c r="J228" i="3"/>
  <c r="V232" i="3"/>
  <c r="U237" i="3"/>
  <c r="T242" i="3"/>
  <c r="S247" i="3"/>
  <c r="R252" i="3"/>
  <c r="Q257" i="3"/>
  <c r="P262" i="3"/>
  <c r="O267" i="3"/>
  <c r="N272" i="3"/>
  <c r="M277" i="3"/>
  <c r="L282" i="3"/>
  <c r="K287" i="3"/>
  <c r="J292" i="3"/>
  <c r="V296" i="3"/>
  <c r="U301" i="3"/>
  <c r="N107" i="3"/>
  <c r="S148" i="3"/>
  <c r="V162" i="3"/>
  <c r="L9" i="3"/>
  <c r="K24" i="3"/>
  <c r="T13" i="3"/>
  <c r="O86" i="3"/>
  <c r="Y86" i="3" s="1"/>
  <c r="U60" i="3"/>
  <c r="L98" i="3"/>
  <c r="O59" i="3"/>
  <c r="J92" i="3"/>
  <c r="Q48" i="3"/>
  <c r="L79" i="3"/>
  <c r="V48" i="3"/>
  <c r="Q78" i="3"/>
  <c r="N72" i="3"/>
  <c r="J112" i="3"/>
  <c r="L126" i="3"/>
  <c r="L142" i="3"/>
  <c r="V45" i="3"/>
  <c r="N84" i="3"/>
  <c r="S102" i="3"/>
  <c r="N113" i="3"/>
  <c r="J125" i="3"/>
  <c r="R133" i="3"/>
  <c r="N145" i="3"/>
  <c r="Q69" i="3"/>
  <c r="U89" i="3"/>
  <c r="V106" i="3"/>
  <c r="P116" i="3"/>
  <c r="Q127" i="3"/>
  <c r="M139" i="3"/>
  <c r="P148" i="3"/>
  <c r="K75" i="3"/>
  <c r="S94" i="3"/>
  <c r="S108" i="3"/>
  <c r="Q118" i="3"/>
  <c r="Q126" i="3"/>
  <c r="R60" i="3"/>
  <c r="L81" i="3"/>
  <c r="K99" i="3"/>
  <c r="M111" i="3"/>
  <c r="R118" i="3"/>
  <c r="P128" i="3"/>
  <c r="L82" i="3"/>
  <c r="O118" i="3"/>
  <c r="O139" i="3"/>
  <c r="Y139" i="3" s="1"/>
  <c r="S149" i="3"/>
  <c r="N158" i="3"/>
  <c r="K165" i="3"/>
  <c r="S173" i="3"/>
  <c r="N182" i="3"/>
  <c r="K189" i="3"/>
  <c r="S197" i="3"/>
  <c r="P204" i="3"/>
  <c r="K213" i="3"/>
  <c r="P220" i="3"/>
  <c r="O66" i="3"/>
  <c r="P95" i="3"/>
  <c r="V111" i="3"/>
  <c r="L125" i="3"/>
  <c r="R135" i="3"/>
  <c r="N143" i="3"/>
  <c r="O150" i="3"/>
  <c r="Y150" i="3" s="1"/>
  <c r="N155" i="3"/>
  <c r="M160" i="3"/>
  <c r="L165" i="3"/>
  <c r="K170" i="3"/>
  <c r="J175" i="3"/>
  <c r="V179" i="3"/>
  <c r="U184" i="3"/>
  <c r="T189" i="3"/>
  <c r="S194" i="3"/>
  <c r="R199" i="3"/>
  <c r="Q204" i="3"/>
  <c r="P209" i="3"/>
  <c r="O214" i="3"/>
  <c r="N219" i="3"/>
  <c r="V56" i="3"/>
  <c r="L90" i="3"/>
  <c r="U108" i="3"/>
  <c r="K122" i="3"/>
  <c r="T133" i="3"/>
  <c r="P141" i="3"/>
  <c r="M149" i="3"/>
  <c r="L154" i="3"/>
  <c r="K159" i="3"/>
  <c r="J164" i="3"/>
  <c r="V168" i="3"/>
  <c r="U173" i="3"/>
  <c r="T178" i="3"/>
  <c r="S183" i="3"/>
  <c r="R188" i="3"/>
  <c r="Q193" i="3"/>
  <c r="P198" i="3"/>
  <c r="O203" i="3"/>
  <c r="Y203" i="3" s="1"/>
  <c r="N208" i="3"/>
  <c r="M213" i="3"/>
  <c r="L218" i="3"/>
  <c r="U44" i="3"/>
  <c r="O87" i="3"/>
  <c r="Y87" i="3" s="1"/>
  <c r="K107" i="3"/>
  <c r="Q120" i="3"/>
  <c r="T132" i="3"/>
  <c r="S140" i="3"/>
  <c r="R148" i="3"/>
  <c r="T59" i="3"/>
  <c r="P91" i="3"/>
  <c r="P109" i="3"/>
  <c r="S122" i="3"/>
  <c r="J134" i="3"/>
  <c r="V141" i="3"/>
  <c r="P149" i="3"/>
  <c r="O154" i="3"/>
  <c r="N159" i="3"/>
  <c r="M164" i="3"/>
  <c r="L169" i="3"/>
  <c r="K174" i="3"/>
  <c r="J179" i="3"/>
  <c r="V183" i="3"/>
  <c r="U188" i="3"/>
  <c r="T193" i="3"/>
  <c r="S198" i="3"/>
  <c r="R203" i="3"/>
  <c r="Q208" i="3"/>
  <c r="P213" i="3"/>
  <c r="O218" i="3"/>
  <c r="Y218" i="3" s="1"/>
  <c r="U68" i="3"/>
  <c r="L97" i="3"/>
  <c r="V112" i="3"/>
  <c r="K126" i="3"/>
  <c r="M136" i="3"/>
  <c r="V143" i="3"/>
  <c r="T150" i="3"/>
  <c r="S155" i="3"/>
  <c r="R160" i="3"/>
  <c r="Q165" i="3"/>
  <c r="P170" i="3"/>
  <c r="O175" i="3"/>
  <c r="N180" i="3"/>
  <c r="T9" i="3"/>
  <c r="J53" i="3"/>
  <c r="O50" i="3"/>
  <c r="Y50" i="3" s="1"/>
  <c r="J87" i="3"/>
  <c r="N63" i="3"/>
  <c r="J100" i="3"/>
  <c r="J70" i="3"/>
  <c r="L95" i="3"/>
  <c r="Q52" i="3"/>
  <c r="V79" i="3"/>
  <c r="S52" i="3"/>
  <c r="M45" i="3"/>
  <c r="S81" i="3"/>
  <c r="R112" i="3"/>
  <c r="T126" i="3"/>
  <c r="O143" i="3"/>
  <c r="T62" i="3"/>
  <c r="U85" i="3"/>
  <c r="M104" i="3"/>
  <c r="V113" i="3"/>
  <c r="R125" i="3"/>
  <c r="N137" i="3"/>
  <c r="V145" i="3"/>
  <c r="M71" i="3"/>
  <c r="M92" i="3"/>
  <c r="S107" i="3"/>
  <c r="Q119" i="3"/>
  <c r="T128" i="3"/>
  <c r="U139" i="3"/>
  <c r="K149" i="3"/>
  <c r="P78" i="3"/>
  <c r="J99" i="3"/>
  <c r="V109" i="3"/>
  <c r="T119" i="3"/>
  <c r="L127" i="3"/>
  <c r="L62" i="3"/>
  <c r="R86" i="3"/>
  <c r="U99" i="3"/>
  <c r="U111" i="3"/>
  <c r="M119" i="3"/>
  <c r="K129" i="3"/>
  <c r="O95" i="3"/>
  <c r="V119" i="3"/>
  <c r="M140" i="3"/>
  <c r="N150" i="3"/>
  <c r="V158" i="3"/>
  <c r="Q167" i="3"/>
  <c r="N174" i="3"/>
  <c r="V182" i="3"/>
  <c r="S189" i="3"/>
  <c r="N198" i="3"/>
  <c r="V206" i="3"/>
  <c r="S213" i="3"/>
  <c r="K221" i="3"/>
  <c r="Q70" i="3"/>
  <c r="V97" i="3"/>
  <c r="Q113" i="3"/>
  <c r="S126" i="3"/>
  <c r="P136" i="3"/>
  <c r="O144" i="3"/>
  <c r="Y144" i="3" s="1"/>
  <c r="J151" i="3"/>
  <c r="V155" i="3"/>
  <c r="U160" i="3"/>
  <c r="T165" i="3"/>
  <c r="S170" i="3"/>
  <c r="R175" i="3"/>
  <c r="Q180" i="3"/>
  <c r="P185" i="3"/>
  <c r="O190" i="3"/>
  <c r="N195" i="3"/>
  <c r="M200" i="3"/>
  <c r="L205" i="3"/>
  <c r="K210" i="3"/>
  <c r="J215" i="3"/>
  <c r="V219" i="3"/>
  <c r="M62" i="3"/>
  <c r="P93" i="3"/>
  <c r="P110" i="3"/>
  <c r="R123" i="3"/>
  <c r="R134" i="3"/>
  <c r="Q142" i="3"/>
  <c r="U149" i="3"/>
  <c r="T154" i="3"/>
  <c r="S159" i="3"/>
  <c r="R164" i="3"/>
  <c r="Q169" i="3"/>
  <c r="P174" i="3"/>
  <c r="O179" i="3"/>
  <c r="Y179" i="3" s="1"/>
  <c r="N184" i="3"/>
  <c r="M189" i="3"/>
  <c r="L194" i="3"/>
  <c r="K199" i="3"/>
  <c r="J204" i="3"/>
  <c r="V208" i="3"/>
  <c r="U213" i="3"/>
  <c r="T218" i="3"/>
  <c r="Q57" i="3"/>
  <c r="O7" i="3"/>
  <c r="R53" i="3"/>
  <c r="U59" i="3"/>
  <c r="J7" i="3"/>
  <c r="K78" i="3"/>
  <c r="N104" i="3"/>
  <c r="T70" i="3"/>
  <c r="T95" i="3"/>
  <c r="T55" i="3"/>
  <c r="J89" i="3"/>
  <c r="O60" i="3"/>
  <c r="Y60" i="3" s="1"/>
  <c r="N47" i="3"/>
  <c r="U82" i="3"/>
  <c r="U113" i="3"/>
  <c r="S131" i="3"/>
  <c r="J144" i="3"/>
  <c r="L66" i="3"/>
  <c r="U86" i="3"/>
  <c r="L105" i="3"/>
  <c r="R117" i="3"/>
  <c r="M126" i="3"/>
  <c r="V137" i="3"/>
  <c r="L147" i="3"/>
  <c r="V72" i="3"/>
  <c r="K97" i="3"/>
  <c r="K109" i="3"/>
  <c r="L120" i="3"/>
  <c r="O129" i="3"/>
  <c r="K141" i="3"/>
  <c r="U48" i="3"/>
  <c r="S79" i="3"/>
  <c r="Q100" i="3"/>
  <c r="Q110" i="3"/>
  <c r="O120" i="3"/>
  <c r="Y120" i="3" s="1"/>
  <c r="M130" i="3"/>
  <c r="U63" i="3"/>
  <c r="T87" i="3"/>
  <c r="T100" i="3"/>
  <c r="P112" i="3"/>
  <c r="N122" i="3"/>
  <c r="S129" i="3"/>
  <c r="P97" i="3"/>
  <c r="Q121" i="3"/>
  <c r="N141" i="3"/>
  <c r="T152" i="3"/>
  <c r="Q159" i="3"/>
  <c r="L168" i="3"/>
  <c r="V174" i="3"/>
  <c r="Q183" i="3"/>
  <c r="L192" i="3"/>
  <c r="V198" i="3"/>
  <c r="Q207" i="3"/>
  <c r="N214" i="3"/>
  <c r="S221" i="3"/>
  <c r="T74" i="3"/>
  <c r="V99" i="3"/>
  <c r="N115" i="3"/>
  <c r="N128" i="3"/>
  <c r="Q137" i="3"/>
  <c r="P145" i="3"/>
  <c r="R151" i="3"/>
  <c r="Q156" i="3"/>
  <c r="P161" i="3"/>
  <c r="O166" i="3"/>
  <c r="Y166" i="3" s="1"/>
  <c r="N171" i="3"/>
  <c r="M176" i="3"/>
  <c r="L181" i="3"/>
  <c r="K186" i="3"/>
  <c r="J191" i="3"/>
  <c r="V195" i="3"/>
  <c r="U200" i="3"/>
  <c r="T205" i="3"/>
  <c r="S210" i="3"/>
  <c r="R215" i="3"/>
  <c r="Q220" i="3"/>
  <c r="P66" i="3"/>
  <c r="V95" i="3"/>
  <c r="M112" i="3"/>
  <c r="M125" i="3"/>
  <c r="S135" i="3"/>
  <c r="R143" i="3"/>
  <c r="P150" i="3"/>
  <c r="O155" i="3"/>
  <c r="Y155" i="3" s="1"/>
  <c r="N160" i="3"/>
  <c r="M165" i="3"/>
  <c r="L170" i="3"/>
  <c r="K175" i="3"/>
  <c r="J180" i="3"/>
  <c r="V184" i="3"/>
  <c r="U189" i="3"/>
  <c r="T194" i="3"/>
  <c r="S199" i="3"/>
  <c r="R204" i="3"/>
  <c r="Q209" i="3"/>
  <c r="P214" i="3"/>
  <c r="O219" i="3"/>
  <c r="L63" i="3"/>
  <c r="Q93" i="3"/>
  <c r="S110" i="3"/>
  <c r="V123" i="3"/>
  <c r="S134" i="3"/>
  <c r="R142" i="3"/>
  <c r="V149" i="3"/>
  <c r="L68" i="3"/>
  <c r="S96" i="3"/>
  <c r="U112" i="3"/>
  <c r="U125" i="3"/>
  <c r="V135" i="3"/>
  <c r="U143" i="3"/>
  <c r="S150" i="3"/>
  <c r="R155" i="3"/>
  <c r="Q160" i="3"/>
  <c r="P165" i="3"/>
  <c r="O170" i="3"/>
  <c r="Y170" i="3" s="1"/>
  <c r="N175" i="3"/>
  <c r="M180" i="3"/>
  <c r="L185" i="3"/>
  <c r="K190" i="3"/>
  <c r="J195" i="3"/>
  <c r="V199" i="3"/>
  <c r="U204" i="3"/>
  <c r="T209" i="3"/>
  <c r="S214" i="3"/>
  <c r="R219" i="3"/>
  <c r="V77" i="3"/>
  <c r="O101" i="3"/>
  <c r="M116" i="3"/>
  <c r="P129" i="3"/>
  <c r="L138" i="3"/>
  <c r="K146" i="3"/>
  <c r="J152" i="3"/>
  <c r="V156" i="3"/>
  <c r="U161" i="3"/>
  <c r="T166" i="3"/>
  <c r="S171" i="3"/>
  <c r="R176" i="3"/>
  <c r="Q181" i="3"/>
  <c r="P186" i="3"/>
  <c r="O191" i="3"/>
  <c r="Y191" i="3" s="1"/>
  <c r="N196" i="3"/>
  <c r="M201" i="3"/>
  <c r="L206" i="3"/>
  <c r="K211" i="3"/>
  <c r="O126" i="3"/>
  <c r="Q154" i="3"/>
  <c r="T167" i="3"/>
  <c r="T180" i="3"/>
  <c r="V193" i="3"/>
  <c r="L207" i="3"/>
  <c r="V217" i="3"/>
  <c r="V224" i="3"/>
  <c r="U229" i="3"/>
  <c r="T234" i="3"/>
  <c r="S239" i="3"/>
  <c r="R244" i="3"/>
  <c r="Q249" i="3"/>
  <c r="P254" i="3"/>
  <c r="O259" i="3"/>
  <c r="N264" i="3"/>
  <c r="M269" i="3"/>
  <c r="L274" i="3"/>
  <c r="K279" i="3"/>
  <c r="J284" i="3"/>
  <c r="V288" i="3"/>
  <c r="U293" i="3"/>
  <c r="T298" i="3"/>
  <c r="S303" i="3"/>
  <c r="N127" i="3"/>
  <c r="U154" i="3"/>
  <c r="U167" i="3"/>
  <c r="R16" i="3"/>
  <c r="U83" i="3"/>
  <c r="T79" i="3"/>
  <c r="L74" i="3"/>
  <c r="V61" i="3"/>
  <c r="N61" i="3"/>
  <c r="V94" i="3"/>
  <c r="N132" i="3"/>
  <c r="S67" i="3"/>
  <c r="V105" i="3"/>
  <c r="P127" i="3"/>
  <c r="P35" i="3"/>
  <c r="U97" i="3"/>
  <c r="O121" i="3"/>
  <c r="Y121" i="3" s="1"/>
  <c r="S141" i="3"/>
  <c r="K81" i="3"/>
  <c r="J113" i="3"/>
  <c r="U130" i="3"/>
  <c r="L89" i="3"/>
  <c r="K113" i="3"/>
  <c r="V130" i="3"/>
  <c r="T129" i="3"/>
  <c r="O153" i="3"/>
  <c r="Y153" i="3" s="1"/>
  <c r="T168" i="3"/>
  <c r="L184" i="3"/>
  <c r="Q199" i="3"/>
  <c r="T216" i="3"/>
  <c r="O79" i="3"/>
  <c r="U116" i="3"/>
  <c r="O138" i="3"/>
  <c r="M152" i="3"/>
  <c r="K162" i="3"/>
  <c r="V171" i="3"/>
  <c r="T181" i="3"/>
  <c r="R191" i="3"/>
  <c r="P201" i="3"/>
  <c r="N211" i="3"/>
  <c r="L221" i="3"/>
  <c r="J98" i="3"/>
  <c r="J127" i="3"/>
  <c r="P144" i="3"/>
  <c r="J156" i="3"/>
  <c r="U165" i="3"/>
  <c r="S175" i="3"/>
  <c r="Q185" i="3"/>
  <c r="O195" i="3"/>
  <c r="Y195" i="3" s="1"/>
  <c r="M205" i="3"/>
  <c r="K215" i="3"/>
  <c r="L67" i="3"/>
  <c r="U102" i="3"/>
  <c r="K127" i="3"/>
  <c r="T141" i="3"/>
  <c r="T151" i="3"/>
  <c r="V98" i="3"/>
  <c r="N119" i="3"/>
  <c r="K138" i="3"/>
  <c r="K150" i="3"/>
  <c r="P157" i="3"/>
  <c r="K166" i="3"/>
  <c r="U172" i="3"/>
  <c r="P181" i="3"/>
  <c r="P189" i="3"/>
  <c r="U196" i="3"/>
  <c r="P205" i="3"/>
  <c r="M212" i="3"/>
  <c r="Q36" i="3"/>
  <c r="L99" i="3"/>
  <c r="L121" i="3"/>
  <c r="J139" i="3"/>
  <c r="Q149" i="3"/>
  <c r="L158" i="3"/>
  <c r="L166" i="3"/>
  <c r="Q173" i="3"/>
  <c r="L182" i="3"/>
  <c r="N188" i="3"/>
  <c r="K195" i="3"/>
  <c r="U201" i="3"/>
  <c r="J208" i="3"/>
  <c r="L113" i="3"/>
  <c r="L156" i="3"/>
  <c r="S172" i="3"/>
  <c r="R190" i="3"/>
  <c r="S208" i="3"/>
  <c r="P221" i="3"/>
  <c r="R228" i="3"/>
  <c r="O235" i="3"/>
  <c r="Y235" i="3" s="1"/>
  <c r="Q241" i="3"/>
  <c r="N248" i="3"/>
  <c r="K255" i="3"/>
  <c r="M261" i="3"/>
  <c r="J268" i="3"/>
  <c r="T274" i="3"/>
  <c r="V280" i="3"/>
  <c r="S287" i="3"/>
  <c r="P294" i="3"/>
  <c r="R300" i="3"/>
  <c r="L114" i="3"/>
  <c r="O156" i="3"/>
  <c r="T172" i="3"/>
  <c r="V185" i="3"/>
  <c r="L199" i="3"/>
  <c r="K212" i="3"/>
  <c r="Q221" i="3"/>
  <c r="U226" i="3"/>
  <c r="T231" i="3"/>
  <c r="S236" i="3"/>
  <c r="R241" i="3"/>
  <c r="Q246" i="3"/>
  <c r="P251" i="3"/>
  <c r="O256" i="3"/>
  <c r="Y256" i="3" s="1"/>
  <c r="N261" i="3"/>
  <c r="M266" i="3"/>
  <c r="L271" i="3"/>
  <c r="K276" i="3"/>
  <c r="J281" i="3"/>
  <c r="V285" i="3"/>
  <c r="S60" i="3"/>
  <c r="O134" i="3"/>
  <c r="Y134" i="3" s="1"/>
  <c r="J157" i="3"/>
  <c r="P50" i="3"/>
  <c r="O89" i="3"/>
  <c r="Y89" i="3" s="1"/>
  <c r="M82" i="3"/>
  <c r="K79" i="3"/>
  <c r="S62" i="3"/>
  <c r="P69" i="3"/>
  <c r="T96" i="3"/>
  <c r="Q133" i="3"/>
  <c r="O69" i="3"/>
  <c r="Y69" i="3" s="1"/>
  <c r="R107" i="3"/>
  <c r="Q130" i="3"/>
  <c r="Q41" i="3"/>
  <c r="Q99" i="3"/>
  <c r="J122" i="3"/>
  <c r="N142" i="3"/>
  <c r="K89" i="3"/>
  <c r="R113" i="3"/>
  <c r="P131" i="3"/>
  <c r="R91" i="3"/>
  <c r="S113" i="3"/>
  <c r="P61" i="3"/>
  <c r="O131" i="3"/>
  <c r="J154" i="3"/>
  <c r="O169" i="3"/>
  <c r="T184" i="3"/>
  <c r="J202" i="3"/>
  <c r="O217" i="3"/>
  <c r="T82" i="3"/>
  <c r="P118" i="3"/>
  <c r="P139" i="3"/>
  <c r="U152" i="3"/>
  <c r="S162" i="3"/>
  <c r="Q172" i="3"/>
  <c r="O182" i="3"/>
  <c r="Y182" i="3" s="1"/>
  <c r="M192" i="3"/>
  <c r="K202" i="3"/>
  <c r="V211" i="3"/>
  <c r="T221" i="3"/>
  <c r="O100" i="3"/>
  <c r="Y100" i="3" s="1"/>
  <c r="Q128" i="3"/>
  <c r="Q145" i="3"/>
  <c r="R156" i="3"/>
  <c r="P166" i="3"/>
  <c r="N176" i="3"/>
  <c r="L186" i="3"/>
  <c r="J196" i="3"/>
  <c r="U205" i="3"/>
  <c r="S215" i="3"/>
  <c r="O71" i="3"/>
  <c r="Y71" i="3" s="1"/>
  <c r="L109" i="3"/>
  <c r="U128" i="3"/>
  <c r="S143" i="3"/>
  <c r="U32" i="3"/>
  <c r="L101" i="3"/>
  <c r="M124" i="3"/>
  <c r="V138" i="3"/>
  <c r="N151" i="3"/>
  <c r="K158" i="3"/>
  <c r="S166" i="3"/>
  <c r="S174" i="3"/>
  <c r="K182" i="3"/>
  <c r="S190" i="3"/>
  <c r="P197" i="3"/>
  <c r="K206" i="3"/>
  <c r="K214" i="3"/>
  <c r="T49" i="3"/>
  <c r="R103" i="3"/>
  <c r="T122" i="3"/>
  <c r="K140" i="3"/>
  <c r="O151" i="3"/>
  <c r="Y151" i="3" s="1"/>
  <c r="T158" i="3"/>
  <c r="O167" i="3"/>
  <c r="L174" i="3"/>
  <c r="T182" i="3"/>
  <c r="V188" i="3"/>
  <c r="S195" i="3"/>
  <c r="P202" i="3"/>
  <c r="R208" i="3"/>
  <c r="S119" i="3"/>
  <c r="V157" i="3"/>
  <c r="M174" i="3"/>
  <c r="O192" i="3"/>
  <c r="Y192" i="3" s="1"/>
  <c r="N210" i="3"/>
  <c r="P222" i="3"/>
  <c r="M229" i="3"/>
  <c r="J236" i="3"/>
  <c r="L242" i="3"/>
  <c r="V248" i="3"/>
  <c r="S255" i="3"/>
  <c r="U261" i="3"/>
  <c r="R268" i="3"/>
  <c r="O275" i="3"/>
  <c r="Q281" i="3"/>
  <c r="N288" i="3"/>
  <c r="K295" i="3"/>
  <c r="M301" i="3"/>
  <c r="U120" i="3"/>
  <c r="J56" i="3"/>
  <c r="N16" i="3"/>
  <c r="L87" i="3"/>
  <c r="U79" i="3"/>
  <c r="U70" i="3"/>
  <c r="L71" i="3"/>
  <c r="M99" i="3"/>
  <c r="J136" i="3"/>
  <c r="R72" i="3"/>
  <c r="U110" i="3"/>
  <c r="L131" i="3"/>
  <c r="P51" i="3"/>
  <c r="N100" i="3"/>
  <c r="R122" i="3"/>
  <c r="J146" i="3"/>
  <c r="M90" i="3"/>
  <c r="U114" i="3"/>
  <c r="P22" i="3"/>
  <c r="U92" i="3"/>
  <c r="T116" i="3"/>
  <c r="R65" i="3"/>
  <c r="Q132" i="3"/>
  <c r="R154" i="3"/>
  <c r="J170" i="3"/>
  <c r="M187" i="3"/>
  <c r="R202" i="3"/>
  <c r="J218" i="3"/>
  <c r="K86" i="3"/>
  <c r="M120" i="3"/>
  <c r="Q140" i="3"/>
  <c r="P153" i="3"/>
  <c r="N163" i="3"/>
  <c r="L173" i="3"/>
  <c r="J183" i="3"/>
  <c r="U192" i="3"/>
  <c r="S202" i="3"/>
  <c r="Q212" i="3"/>
  <c r="O222" i="3"/>
  <c r="Y222" i="3" s="1"/>
  <c r="O102" i="3"/>
  <c r="L130" i="3"/>
  <c r="O146" i="3"/>
  <c r="Y146" i="3" s="1"/>
  <c r="M157" i="3"/>
  <c r="K167" i="3"/>
  <c r="V176" i="3"/>
  <c r="T186" i="3"/>
  <c r="R196" i="3"/>
  <c r="P206" i="3"/>
  <c r="N216" i="3"/>
  <c r="M76" i="3"/>
  <c r="N112" i="3"/>
  <c r="O130" i="3"/>
  <c r="Q144" i="3"/>
  <c r="V63" i="3"/>
  <c r="N103" i="3"/>
  <c r="R127" i="3"/>
  <c r="J140" i="3"/>
  <c r="V151" i="3"/>
  <c r="V159" i="3"/>
  <c r="N167" i="3"/>
  <c r="V175" i="3"/>
  <c r="S182" i="3"/>
  <c r="N191" i="3"/>
  <c r="N199" i="3"/>
  <c r="S206" i="3"/>
  <c r="N215" i="3"/>
  <c r="J60" i="3"/>
  <c r="T105" i="3"/>
  <c r="S127" i="3"/>
  <c r="L141" i="3"/>
  <c r="R152" i="3"/>
  <c r="O159" i="3"/>
  <c r="J168" i="3"/>
  <c r="J176" i="3"/>
  <c r="O183" i="3"/>
  <c r="L190" i="3"/>
  <c r="V196" i="3"/>
  <c r="K203" i="3"/>
  <c r="U209" i="3"/>
  <c r="M132" i="3"/>
  <c r="P159" i="3"/>
  <c r="R177" i="3"/>
  <c r="Q195" i="3"/>
  <c r="T211" i="3"/>
  <c r="S223" i="3"/>
  <c r="P230" i="3"/>
  <c r="R236" i="3"/>
  <c r="K8" i="3"/>
  <c r="R55" i="3"/>
  <c r="S88" i="3"/>
  <c r="J88" i="3"/>
  <c r="Q72" i="3"/>
  <c r="R73" i="3"/>
  <c r="O103" i="3"/>
  <c r="R136" i="3"/>
  <c r="O80" i="3"/>
  <c r="P111" i="3"/>
  <c r="O132" i="3"/>
  <c r="Y132" i="3" s="1"/>
  <c r="O56" i="3"/>
  <c r="K101" i="3"/>
  <c r="N126" i="3"/>
  <c r="R146" i="3"/>
  <c r="Q91" i="3"/>
  <c r="P115" i="3"/>
  <c r="O32" i="3"/>
  <c r="Y32" i="3" s="1"/>
  <c r="R96" i="3"/>
  <c r="O117" i="3"/>
  <c r="U69" i="3"/>
  <c r="O133" i="3"/>
  <c r="M155" i="3"/>
  <c r="P172" i="3"/>
  <c r="U187" i="3"/>
  <c r="M203" i="3"/>
  <c r="R218" i="3"/>
  <c r="V89" i="3"/>
  <c r="T121" i="3"/>
  <c r="O141" i="3"/>
  <c r="K154" i="3"/>
  <c r="V163" i="3"/>
  <c r="T173" i="3"/>
  <c r="R183" i="3"/>
  <c r="P193" i="3"/>
  <c r="N203" i="3"/>
  <c r="L213" i="3"/>
  <c r="V24" i="3"/>
  <c r="R104" i="3"/>
  <c r="R131" i="3"/>
  <c r="P147" i="3"/>
  <c r="U157" i="3"/>
  <c r="S167" i="3"/>
  <c r="Q177" i="3"/>
  <c r="O187" i="3"/>
  <c r="M197" i="3"/>
  <c r="K207" i="3"/>
  <c r="V216" i="3"/>
  <c r="K80" i="3"/>
  <c r="K114" i="3"/>
  <c r="U133" i="3"/>
  <c r="R145" i="3"/>
  <c r="J73" i="3"/>
  <c r="O105" i="3"/>
  <c r="Y105" i="3" s="1"/>
  <c r="L129" i="3"/>
  <c r="J143" i="3"/>
  <c r="Q152" i="3"/>
  <c r="L161" i="3"/>
  <c r="V167" i="3"/>
  <c r="Q176" i="3"/>
  <c r="Q184" i="3"/>
  <c r="V191" i="3"/>
  <c r="Q200" i="3"/>
  <c r="N207" i="3"/>
  <c r="V215" i="3"/>
  <c r="K73" i="3"/>
  <c r="U107" i="3"/>
  <c r="J131" i="3"/>
  <c r="J142" i="3"/>
  <c r="M153" i="3"/>
  <c r="M161" i="3"/>
  <c r="R168" i="3"/>
  <c r="M177" i="3"/>
  <c r="J184" i="3"/>
  <c r="T190" i="3"/>
  <c r="Q197" i="3"/>
  <c r="S203" i="3"/>
  <c r="P210" i="3"/>
  <c r="N136" i="3"/>
  <c r="K161" i="3"/>
  <c r="L179" i="3"/>
  <c r="N197" i="3"/>
  <c r="J213" i="3"/>
  <c r="N224" i="3"/>
  <c r="K231" i="3"/>
  <c r="M237" i="3"/>
  <c r="J244" i="3"/>
  <c r="T250" i="3"/>
  <c r="V256" i="3"/>
  <c r="S263" i="3"/>
  <c r="P270" i="3"/>
  <c r="R276" i="3"/>
  <c r="O283" i="3"/>
  <c r="L290" i="3"/>
  <c r="N296" i="3"/>
  <c r="K303" i="3"/>
  <c r="V136" i="3"/>
  <c r="N161" i="3"/>
  <c r="S177" i="3"/>
  <c r="U190" i="3"/>
  <c r="K204" i="3"/>
  <c r="T215" i="3"/>
  <c r="T223" i="3"/>
  <c r="S228" i="3"/>
  <c r="R233" i="3"/>
  <c r="Q238" i="3"/>
  <c r="P243" i="3"/>
  <c r="O248" i="3"/>
  <c r="N253" i="3"/>
  <c r="M258" i="3"/>
  <c r="L263" i="3"/>
  <c r="K268" i="3"/>
  <c r="J273" i="3"/>
  <c r="V277" i="3"/>
  <c r="U282" i="3"/>
  <c r="T287" i="3"/>
  <c r="R101" i="3"/>
  <c r="L146" i="3"/>
  <c r="V161" i="3"/>
  <c r="L175" i="3"/>
  <c r="L188" i="3"/>
  <c r="N201" i="3"/>
  <c r="R213" i="3"/>
  <c r="T222" i="3"/>
  <c r="S227" i="3"/>
  <c r="R232" i="3"/>
  <c r="Q237" i="3"/>
  <c r="P242" i="3"/>
  <c r="O247" i="3"/>
  <c r="N252" i="3"/>
  <c r="M257" i="3"/>
  <c r="L262" i="3"/>
  <c r="K267" i="3"/>
  <c r="J272" i="3"/>
  <c r="V276" i="3"/>
  <c r="U281" i="3"/>
  <c r="T286" i="3"/>
  <c r="V80" i="3"/>
  <c r="U138" i="3"/>
  <c r="U158" i="3"/>
  <c r="K172" i="3"/>
  <c r="K185" i="3"/>
  <c r="M198" i="3"/>
  <c r="P211" i="3"/>
  <c r="J221" i="3"/>
  <c r="Q226" i="3"/>
  <c r="P231" i="3"/>
  <c r="O236" i="3"/>
  <c r="N241" i="3"/>
  <c r="M246" i="3"/>
  <c r="L251" i="3"/>
  <c r="K256" i="3"/>
  <c r="J261" i="3"/>
  <c r="V265" i="3"/>
  <c r="U270" i="3"/>
  <c r="T275" i="3"/>
  <c r="S280" i="3"/>
  <c r="R285" i="3"/>
  <c r="R147" i="3"/>
  <c r="T175" i="3"/>
  <c r="V201" i="3"/>
  <c r="J223" i="3"/>
  <c r="U232" i="3"/>
  <c r="S242" i="3"/>
  <c r="Q252" i="3"/>
  <c r="O262" i="3"/>
  <c r="M272" i="3"/>
  <c r="K282" i="3"/>
  <c r="U290" i="3"/>
  <c r="P296" i="3"/>
  <c r="K302" i="3"/>
  <c r="M307" i="3"/>
  <c r="L312" i="3"/>
  <c r="K317" i="3"/>
  <c r="J322" i="3"/>
  <c r="V326" i="3"/>
  <c r="U331" i="3"/>
  <c r="T336" i="3"/>
  <c r="S341" i="3"/>
  <c r="R88" i="3"/>
  <c r="U159" i="3"/>
  <c r="M186" i="3"/>
  <c r="L212" i="3"/>
  <c r="V226" i="3"/>
  <c r="T236" i="3"/>
  <c r="R246" i="3"/>
  <c r="P256" i="3"/>
  <c r="N266" i="3"/>
  <c r="L276" i="3"/>
  <c r="J286" i="3"/>
  <c r="J293" i="3"/>
  <c r="R298" i="3"/>
  <c r="M304" i="3"/>
  <c r="L309" i="3"/>
  <c r="K314" i="3"/>
  <c r="J319" i="3"/>
  <c r="V323" i="3"/>
  <c r="U328" i="3"/>
  <c r="T333" i="3"/>
  <c r="S338" i="3"/>
  <c r="R343" i="3"/>
  <c r="U141" i="3"/>
  <c r="N173" i="3"/>
  <c r="P199" i="3"/>
  <c r="V221" i="3"/>
  <c r="V231" i="3"/>
  <c r="T241" i="3"/>
  <c r="R251" i="3"/>
  <c r="P261" i="3"/>
  <c r="N271" i="3"/>
  <c r="L281" i="3"/>
  <c r="K290" i="3"/>
  <c r="V295" i="3"/>
  <c r="Q301" i="3"/>
  <c r="T306" i="3"/>
  <c r="S311" i="3"/>
  <c r="R316" i="3"/>
  <c r="Q321" i="3"/>
  <c r="P326" i="3"/>
  <c r="O331" i="3"/>
  <c r="N336" i="3"/>
  <c r="M341" i="3"/>
  <c r="T73" i="3"/>
  <c r="M158" i="3"/>
  <c r="P184" i="3"/>
  <c r="U210" i="3"/>
  <c r="N226" i="3"/>
  <c r="L236" i="3"/>
  <c r="J246" i="3"/>
  <c r="U255" i="3"/>
  <c r="S265" i="3"/>
  <c r="Q275" i="3"/>
  <c r="O285" i="3"/>
  <c r="S292" i="3"/>
  <c r="R10" i="3"/>
  <c r="R33" i="3"/>
  <c r="V104" i="3"/>
  <c r="Q102" i="3"/>
  <c r="T89" i="3"/>
  <c r="M53" i="3"/>
  <c r="N116" i="3"/>
  <c r="R144" i="3"/>
  <c r="L94" i="3"/>
  <c r="M118" i="3"/>
  <c r="Q138" i="3"/>
  <c r="L76" i="3"/>
  <c r="S109" i="3"/>
  <c r="P132" i="3"/>
  <c r="M58" i="3"/>
  <c r="P101" i="3"/>
  <c r="J121" i="3"/>
  <c r="Q65" i="3"/>
  <c r="J104" i="3"/>
  <c r="V122" i="3"/>
  <c r="K102" i="3"/>
  <c r="O142" i="3"/>
  <c r="Y142" i="3" s="1"/>
  <c r="L160" i="3"/>
  <c r="O177" i="3"/>
  <c r="Y177" i="3" s="1"/>
  <c r="T192" i="3"/>
  <c r="L208" i="3"/>
  <c r="N222" i="3"/>
  <c r="L102" i="3"/>
  <c r="K130" i="3"/>
  <c r="N146" i="3"/>
  <c r="L157" i="3"/>
  <c r="J167" i="3"/>
  <c r="U176" i="3"/>
  <c r="S186" i="3"/>
  <c r="Q196" i="3"/>
  <c r="O206" i="3"/>
  <c r="M216" i="3"/>
  <c r="N71" i="3"/>
  <c r="T113" i="3"/>
  <c r="Q136" i="3"/>
  <c r="K151" i="3"/>
  <c r="V160" i="3"/>
  <c r="T170" i="3"/>
  <c r="R180" i="3"/>
  <c r="P190" i="3"/>
  <c r="N200" i="3"/>
  <c r="L210" i="3"/>
  <c r="J220" i="3"/>
  <c r="T90" i="3"/>
  <c r="R115" i="3"/>
  <c r="T135" i="3"/>
  <c r="S146" i="3"/>
  <c r="J77" i="3"/>
  <c r="K111" i="3"/>
  <c r="T130" i="3"/>
  <c r="V144" i="3"/>
  <c r="L153" i="3"/>
  <c r="T161" i="3"/>
  <c r="T169" i="3"/>
  <c r="L177" i="3"/>
  <c r="T185" i="3"/>
  <c r="Q192" i="3"/>
  <c r="L201" i="3"/>
  <c r="L209" i="3"/>
  <c r="Q216" i="3"/>
  <c r="M81" i="3"/>
  <c r="T109" i="3"/>
  <c r="L132" i="3"/>
  <c r="J145" i="3"/>
  <c r="U153" i="3"/>
  <c r="P162" i="3"/>
  <c r="M169" i="3"/>
  <c r="U177" i="3"/>
  <c r="M185" i="3"/>
  <c r="J192" i="3"/>
  <c r="L198" i="3"/>
  <c r="V204" i="3"/>
  <c r="T37" i="3"/>
  <c r="L140" i="3"/>
  <c r="O164" i="3"/>
  <c r="Y164" i="3" s="1"/>
  <c r="Q182" i="3"/>
  <c r="U198" i="3"/>
  <c r="P215" i="3"/>
  <c r="Q225" i="3"/>
  <c r="S231" i="3"/>
  <c r="P238" i="3"/>
  <c r="M245" i="3"/>
  <c r="O251" i="3"/>
  <c r="Y251" i="3" s="1"/>
  <c r="L258" i="3"/>
  <c r="V264" i="3"/>
  <c r="K271" i="3"/>
  <c r="U277" i="3"/>
  <c r="R284" i="3"/>
  <c r="T290" i="3"/>
  <c r="Q297" i="3"/>
  <c r="R47" i="3"/>
  <c r="T140" i="3"/>
  <c r="S164" i="3"/>
  <c r="P179" i="3"/>
  <c r="P192" i="3"/>
  <c r="R205" i="3"/>
  <c r="J217" i="3"/>
  <c r="O224" i="3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U109" i="3"/>
  <c r="R149" i="3"/>
  <c r="Q163" i="3"/>
  <c r="S176" i="3"/>
  <c r="V189" i="3"/>
  <c r="V202" i="3"/>
  <c r="U214" i="3"/>
  <c r="O223" i="3"/>
  <c r="Y223" i="3" s="1"/>
  <c r="N228" i="3"/>
  <c r="M233" i="3"/>
  <c r="L238" i="3"/>
  <c r="K243" i="3"/>
  <c r="J248" i="3"/>
  <c r="V252" i="3"/>
  <c r="U257" i="3"/>
  <c r="T262" i="3"/>
  <c r="S267" i="3"/>
  <c r="R272" i="3"/>
  <c r="Q277" i="3"/>
  <c r="P282" i="3"/>
  <c r="O287" i="3"/>
  <c r="Y287" i="3" s="1"/>
  <c r="T93" i="3"/>
  <c r="S142" i="3"/>
  <c r="P160" i="3"/>
  <c r="R173" i="3"/>
  <c r="U186" i="3"/>
  <c r="U199" i="3"/>
  <c r="S212" i="3"/>
  <c r="K222" i="3"/>
  <c r="L227" i="3"/>
  <c r="K232" i="3"/>
  <c r="J237" i="3"/>
  <c r="V241" i="3"/>
  <c r="U246" i="3"/>
  <c r="T251" i="3"/>
  <c r="S256" i="3"/>
  <c r="R261" i="3"/>
  <c r="Q266" i="3"/>
  <c r="P271" i="3"/>
  <c r="O276" i="3"/>
  <c r="N281" i="3"/>
  <c r="M286" i="3"/>
  <c r="S152" i="3"/>
  <c r="V178" i="3"/>
  <c r="N205" i="3"/>
  <c r="M224" i="3"/>
  <c r="K234" i="3"/>
  <c r="V243" i="3"/>
  <c r="T253" i="3"/>
  <c r="R263" i="3"/>
  <c r="P273" i="3"/>
  <c r="N283" i="3"/>
  <c r="Q291" i="3"/>
  <c r="L297" i="3"/>
  <c r="K21" i="3"/>
  <c r="O46" i="3"/>
  <c r="M8" i="3"/>
  <c r="J95" i="3"/>
  <c r="P143" i="3"/>
  <c r="N134" i="3"/>
  <c r="R121" i="3"/>
  <c r="M107" i="3"/>
  <c r="N147" i="3"/>
  <c r="O193" i="3"/>
  <c r="J55" i="3"/>
  <c r="M148" i="3"/>
  <c r="P177" i="3"/>
  <c r="O198" i="3"/>
  <c r="Y198" i="3" s="1"/>
  <c r="P79" i="3"/>
  <c r="S151" i="3"/>
  <c r="R172" i="3"/>
  <c r="Q201" i="3"/>
  <c r="M96" i="3"/>
  <c r="T138" i="3"/>
  <c r="J116" i="3"/>
  <c r="J155" i="3"/>
  <c r="M172" i="3"/>
  <c r="R195" i="3"/>
  <c r="L217" i="3"/>
  <c r="R119" i="3"/>
  <c r="N156" i="3"/>
  <c r="P178" i="3"/>
  <c r="U193" i="3"/>
  <c r="N85" i="3"/>
  <c r="K184" i="3"/>
  <c r="O220" i="3"/>
  <c r="N240" i="3"/>
  <c r="M253" i="3"/>
  <c r="L266" i="3"/>
  <c r="S279" i="3"/>
  <c r="R292" i="3"/>
  <c r="P87" i="3"/>
  <c r="M166" i="3"/>
  <c r="Q187" i="3"/>
  <c r="J209" i="3"/>
  <c r="L223" i="3"/>
  <c r="L231" i="3"/>
  <c r="T239" i="3"/>
  <c r="L247" i="3"/>
  <c r="L255" i="3"/>
  <c r="Q262" i="3"/>
  <c r="Q270" i="3"/>
  <c r="L279" i="3"/>
  <c r="Q286" i="3"/>
  <c r="J123" i="3"/>
  <c r="O160" i="3"/>
  <c r="Y160" i="3" s="1"/>
  <c r="K180" i="3"/>
  <c r="O196" i="3"/>
  <c r="Y196" i="3" s="1"/>
  <c r="O212" i="3"/>
  <c r="Y212" i="3" s="1"/>
  <c r="R224" i="3"/>
  <c r="T230" i="3"/>
  <c r="V236" i="3"/>
  <c r="N244" i="3"/>
  <c r="P250" i="3"/>
  <c r="R256" i="3"/>
  <c r="J264" i="3"/>
  <c r="L270" i="3"/>
  <c r="N276" i="3"/>
  <c r="S283" i="3"/>
  <c r="U289" i="3"/>
  <c r="J135" i="3"/>
  <c r="T163" i="3"/>
  <c r="L180" i="3"/>
  <c r="S196" i="3"/>
  <c r="L215" i="3"/>
  <c r="S224" i="3"/>
  <c r="U230" i="3"/>
  <c r="M238" i="3"/>
  <c r="O244" i="3"/>
  <c r="Q250" i="3"/>
  <c r="V257" i="3"/>
  <c r="K264" i="3"/>
  <c r="M270" i="3"/>
  <c r="R277" i="3"/>
  <c r="T283" i="3"/>
  <c r="V139" i="3"/>
  <c r="R185" i="3"/>
  <c r="R216" i="3"/>
  <c r="R231" i="3"/>
  <c r="O246" i="3"/>
  <c r="Y246" i="3" s="1"/>
  <c r="S258" i="3"/>
  <c r="J271" i="3"/>
  <c r="T285" i="3"/>
  <c r="N294" i="3"/>
  <c r="O301" i="3"/>
  <c r="U307" i="3"/>
  <c r="O313" i="3"/>
  <c r="V318" i="3"/>
  <c r="P324" i="3"/>
  <c r="J330" i="3"/>
  <c r="Q335" i="3"/>
  <c r="K341" i="3"/>
  <c r="L108" i="3"/>
  <c r="Q166" i="3"/>
  <c r="K196" i="3"/>
  <c r="R221" i="3"/>
  <c r="K233" i="3"/>
  <c r="L244" i="3"/>
  <c r="M255" i="3"/>
  <c r="Q267" i="3"/>
  <c r="R278" i="3"/>
  <c r="K289" i="3"/>
  <c r="U295" i="3"/>
  <c r="L302" i="3"/>
  <c r="V307" i="3"/>
  <c r="P313" i="3"/>
  <c r="R319" i="3"/>
  <c r="L325" i="3"/>
  <c r="S330" i="3"/>
  <c r="M336" i="3"/>
  <c r="T341" i="3"/>
  <c r="O122" i="3"/>
  <c r="Y122" i="3" s="1"/>
  <c r="V169" i="3"/>
  <c r="U202" i="3"/>
  <c r="Q224" i="3"/>
  <c r="R235" i="3"/>
  <c r="S246" i="3"/>
  <c r="T257" i="3"/>
  <c r="U268" i="3"/>
  <c r="V279" i="3"/>
  <c r="J291" i="3"/>
  <c r="N297" i="3"/>
  <c r="R303" i="3"/>
  <c r="M309" i="3"/>
  <c r="T314" i="3"/>
  <c r="N320" i="3"/>
  <c r="U325" i="3"/>
  <c r="J332" i="3"/>
  <c r="Q337" i="3"/>
  <c r="K343" i="3"/>
  <c r="L137" i="3"/>
  <c r="R174" i="3"/>
  <c r="L204" i="3"/>
  <c r="K225" i="3"/>
  <c r="O237" i="3"/>
  <c r="P248" i="3"/>
  <c r="Q259" i="3"/>
  <c r="R270" i="3"/>
  <c r="S281" i="3"/>
  <c r="M291" i="3"/>
  <c r="R297" i="3"/>
  <c r="M303" i="3"/>
  <c r="M308" i="3"/>
  <c r="L313" i="3"/>
  <c r="K318" i="3"/>
  <c r="J323" i="3"/>
  <c r="V327" i="3"/>
  <c r="U332" i="3"/>
  <c r="T337" i="3"/>
  <c r="S342" i="3"/>
  <c r="T137" i="3"/>
  <c r="Q171" i="3"/>
  <c r="V197" i="3"/>
  <c r="U220" i="3"/>
  <c r="N231" i="3"/>
  <c r="L241" i="3"/>
  <c r="J251" i="3"/>
  <c r="U260" i="3"/>
  <c r="S270" i="3"/>
  <c r="Q280" i="3"/>
  <c r="S289" i="3"/>
  <c r="Q295" i="3"/>
  <c r="L301" i="3"/>
  <c r="P306" i="3"/>
  <c r="O311" i="3"/>
  <c r="Y311" i="3" s="1"/>
  <c r="N316" i="3"/>
  <c r="T24" i="3"/>
  <c r="L103" i="3"/>
  <c r="S65" i="3"/>
  <c r="K96" i="3"/>
  <c r="U77" i="3"/>
  <c r="V134" i="3"/>
  <c r="S124" i="3"/>
  <c r="Q123" i="3"/>
  <c r="L148" i="3"/>
  <c r="J194" i="3"/>
  <c r="Q104" i="3"/>
  <c r="L149" i="3"/>
  <c r="K178" i="3"/>
  <c r="J207" i="3"/>
  <c r="P83" i="3"/>
  <c r="N152" i="3"/>
  <c r="M181" i="3"/>
  <c r="L202" i="3"/>
  <c r="O98" i="3"/>
  <c r="Y98" i="3" s="1"/>
  <c r="N149" i="3"/>
  <c r="T117" i="3"/>
  <c r="M156" i="3"/>
  <c r="T177" i="3"/>
  <c r="M196" i="3"/>
  <c r="J219" i="3"/>
  <c r="M133" i="3"/>
  <c r="Q157" i="3"/>
  <c r="K179" i="3"/>
  <c r="T198" i="3"/>
  <c r="M97" i="3"/>
  <c r="S185" i="3"/>
  <c r="L226" i="3"/>
  <c r="V240" i="3"/>
  <c r="U253" i="3"/>
  <c r="T266" i="3"/>
  <c r="N280" i="3"/>
  <c r="M293" i="3"/>
  <c r="S98" i="3"/>
  <c r="R169" i="3"/>
  <c r="N189" i="3"/>
  <c r="Q210" i="3"/>
  <c r="J225" i="3"/>
  <c r="O232" i="3"/>
  <c r="Y232" i="3" s="1"/>
  <c r="O240" i="3"/>
  <c r="T247" i="3"/>
  <c r="T255" i="3"/>
  <c r="O264" i="3"/>
  <c r="T271" i="3"/>
  <c r="T279" i="3"/>
  <c r="L287" i="3"/>
  <c r="Q129" i="3"/>
  <c r="N165" i="3"/>
  <c r="R181" i="3"/>
  <c r="J198" i="3"/>
  <c r="K216" i="3"/>
  <c r="M225" i="3"/>
  <c r="O231" i="3"/>
  <c r="T238" i="3"/>
  <c r="V244" i="3"/>
  <c r="K251" i="3"/>
  <c r="P258" i="3"/>
  <c r="R264" i="3"/>
  <c r="T270" i="3"/>
  <c r="L278" i="3"/>
  <c r="N284" i="3"/>
  <c r="P290" i="3"/>
  <c r="T146" i="3"/>
  <c r="O165" i="3"/>
  <c r="V181" i="3"/>
  <c r="R201" i="3"/>
  <c r="O216" i="3"/>
  <c r="N225" i="3"/>
  <c r="S232" i="3"/>
  <c r="U238" i="3"/>
  <c r="J245" i="3"/>
  <c r="O252" i="3"/>
  <c r="Q258" i="3"/>
  <c r="S264" i="3"/>
  <c r="K272" i="3"/>
  <c r="M278" i="3"/>
  <c r="O284" i="3"/>
  <c r="K156" i="3"/>
  <c r="T188" i="3"/>
  <c r="K219" i="3"/>
  <c r="N235" i="3"/>
  <c r="R247" i="3"/>
  <c r="V259" i="3"/>
  <c r="S274" i="3"/>
  <c r="V286" i="3"/>
  <c r="J295" i="3"/>
  <c r="T302" i="3"/>
  <c r="P308" i="3"/>
  <c r="J314" i="3"/>
  <c r="Q319" i="3"/>
  <c r="K325" i="3"/>
  <c r="R330" i="3"/>
  <c r="L336" i="3"/>
  <c r="N342" i="3"/>
  <c r="P121" i="3"/>
  <c r="S169" i="3"/>
  <c r="M199" i="3"/>
  <c r="M223" i="3"/>
  <c r="N234" i="3"/>
  <c r="O245" i="3"/>
  <c r="Y245" i="3" s="1"/>
  <c r="S257" i="3"/>
  <c r="T268" i="3"/>
  <c r="U279" i="3"/>
  <c r="J290" i="3"/>
  <c r="Q296" i="3"/>
  <c r="U302" i="3"/>
  <c r="Q308" i="3"/>
  <c r="S314" i="3"/>
  <c r="M320" i="3"/>
  <c r="T325" i="3"/>
  <c r="N331" i="3"/>
  <c r="U336" i="3"/>
  <c r="O342" i="3"/>
  <c r="V133" i="3"/>
  <c r="P176" i="3"/>
  <c r="J206" i="3"/>
  <c r="T225" i="3"/>
  <c r="U236" i="3"/>
  <c r="V247" i="3"/>
  <c r="J259" i="3"/>
  <c r="K270" i="3"/>
  <c r="O282" i="3"/>
  <c r="S291" i="3"/>
  <c r="J298" i="3"/>
  <c r="N304" i="3"/>
  <c r="U309" i="3"/>
  <c r="O315" i="3"/>
  <c r="Y315" i="3" s="1"/>
  <c r="V320" i="3"/>
  <c r="K327" i="3"/>
  <c r="R332" i="3"/>
  <c r="L338" i="3"/>
  <c r="S343" i="3"/>
  <c r="K145" i="3"/>
  <c r="V177" i="3"/>
  <c r="P207" i="3"/>
  <c r="Q227" i="3"/>
  <c r="R238" i="3"/>
  <c r="S249" i="3"/>
  <c r="T260" i="3"/>
  <c r="U271" i="3"/>
  <c r="V282" i="3"/>
  <c r="V291" i="3"/>
  <c r="N298" i="3"/>
  <c r="V303" i="3"/>
  <c r="U308" i="3"/>
  <c r="T313" i="3"/>
  <c r="S318" i="3"/>
  <c r="R323" i="3"/>
  <c r="Q328" i="3"/>
  <c r="P333" i="3"/>
  <c r="O338" i="3"/>
  <c r="Y338" i="3" s="1"/>
  <c r="N343" i="3"/>
  <c r="S145" i="3"/>
  <c r="U174" i="3"/>
  <c r="K201" i="3"/>
  <c r="S222" i="3"/>
  <c r="Q232" i="3"/>
  <c r="O242" i="3"/>
  <c r="Y242" i="3" s="1"/>
  <c r="M252" i="3"/>
  <c r="K262" i="3"/>
  <c r="V271" i="3"/>
  <c r="T281" i="3"/>
  <c r="R290" i="3"/>
  <c r="M296" i="3"/>
  <c r="V301" i="3"/>
  <c r="K307" i="3"/>
  <c r="L37" i="3"/>
  <c r="L13" i="3"/>
  <c r="U121" i="3"/>
  <c r="R50" i="3"/>
  <c r="U95" i="3"/>
  <c r="U118" i="3"/>
  <c r="J114" i="3"/>
  <c r="L107" i="3"/>
  <c r="T124" i="3"/>
  <c r="J178" i="3"/>
  <c r="R41" i="3"/>
  <c r="O158" i="3"/>
  <c r="Q188" i="3"/>
  <c r="P75" i="3"/>
  <c r="Q161" i="3"/>
  <c r="S191" i="3"/>
  <c r="U221" i="3"/>
  <c r="L151" i="3"/>
  <c r="T145" i="3"/>
  <c r="R171" i="3"/>
  <c r="O202" i="3"/>
  <c r="S91" i="3"/>
  <c r="P154" i="3"/>
  <c r="U185" i="3"/>
  <c r="T206" i="3"/>
  <c r="V170" i="3"/>
  <c r="O227" i="3"/>
  <c r="K247" i="3"/>
  <c r="Q265" i="3"/>
  <c r="M285" i="3"/>
  <c r="J300" i="3"/>
  <c r="T159" i="3"/>
  <c r="T195" i="3"/>
  <c r="P219" i="3"/>
  <c r="Q230" i="3"/>
  <c r="M242" i="3"/>
  <c r="K252" i="3"/>
  <c r="V261" i="3"/>
  <c r="M274" i="3"/>
  <c r="K284" i="3"/>
  <c r="Q116" i="3"/>
  <c r="P168" i="3"/>
  <c r="P191" i="3"/>
  <c r="L211" i="3"/>
  <c r="P226" i="3"/>
  <c r="K235" i="3"/>
  <c r="S243" i="3"/>
  <c r="Q253" i="3"/>
  <c r="V260" i="3"/>
  <c r="Q269" i="3"/>
  <c r="O279" i="3"/>
  <c r="J288" i="3"/>
  <c r="S130" i="3"/>
  <c r="S168" i="3"/>
  <c r="T191" i="3"/>
  <c r="V213" i="3"/>
  <c r="T227" i="3"/>
  <c r="L235" i="3"/>
  <c r="T243" i="3"/>
  <c r="R253" i="3"/>
  <c r="M262" i="3"/>
  <c r="R269" i="3"/>
  <c r="P279" i="3"/>
  <c r="N105" i="3"/>
  <c r="M182" i="3"/>
  <c r="P225" i="3"/>
  <c r="M240" i="3"/>
  <c r="P257" i="3"/>
  <c r="L277" i="3"/>
  <c r="M292" i="3"/>
  <c r="S300" i="3"/>
  <c r="S309" i="3"/>
  <c r="P316" i="3"/>
  <c r="U323" i="3"/>
  <c r="P332" i="3"/>
  <c r="M339" i="3"/>
  <c r="R52" i="3"/>
  <c r="O176" i="3"/>
  <c r="Y176" i="3" s="1"/>
  <c r="R214" i="3"/>
  <c r="U231" i="3"/>
  <c r="K249" i="3"/>
  <c r="R262" i="3"/>
  <c r="O277" i="3"/>
  <c r="R291" i="3"/>
  <c r="K300" i="3"/>
  <c r="S10" i="3"/>
  <c r="S59" i="3"/>
  <c r="K120" i="3"/>
  <c r="R114" i="3"/>
  <c r="N125" i="3"/>
  <c r="K104" i="3"/>
  <c r="R178" i="3"/>
  <c r="Q106" i="3"/>
  <c r="J159" i="3"/>
  <c r="L197" i="3"/>
  <c r="O115" i="3"/>
  <c r="Y115" i="3" s="1"/>
  <c r="L162" i="3"/>
  <c r="N192" i="3"/>
  <c r="P100" i="3"/>
  <c r="J81" i="3"/>
  <c r="U146" i="3"/>
  <c r="R179" i="3"/>
  <c r="M204" i="3"/>
  <c r="S114" i="3"/>
  <c r="K163" i="3"/>
  <c r="K187" i="3"/>
  <c r="O207" i="3"/>
  <c r="P187" i="3"/>
  <c r="N232" i="3"/>
  <c r="L250" i="3"/>
  <c r="U269" i="3"/>
  <c r="U285" i="3"/>
  <c r="P302" i="3"/>
  <c r="L171" i="3"/>
  <c r="O197" i="3"/>
  <c r="S220" i="3"/>
  <c r="J233" i="3"/>
  <c r="U242" i="3"/>
  <c r="S252" i="3"/>
  <c r="J265" i="3"/>
  <c r="U274" i="3"/>
  <c r="S284" i="3"/>
  <c r="M138" i="3"/>
  <c r="M170" i="3"/>
  <c r="K193" i="3"/>
  <c r="N217" i="3"/>
  <c r="K227" i="3"/>
  <c r="S235" i="3"/>
  <c r="Q245" i="3"/>
  <c r="L254" i="3"/>
  <c r="Q261" i="3"/>
  <c r="O271" i="3"/>
  <c r="J280" i="3"/>
  <c r="R288" i="3"/>
  <c r="J150" i="3"/>
  <c r="N170" i="3"/>
  <c r="N193" i="3"/>
  <c r="R217" i="3"/>
  <c r="O228" i="3"/>
  <c r="T235" i="3"/>
  <c r="R245" i="3"/>
  <c r="M254" i="3"/>
  <c r="U262" i="3"/>
  <c r="S272" i="3"/>
  <c r="K280" i="3"/>
  <c r="K119" i="3"/>
  <c r="K192" i="3"/>
  <c r="S226" i="3"/>
  <c r="P241" i="3"/>
  <c r="L261" i="3"/>
  <c r="O278" i="3"/>
  <c r="V292" i="3"/>
  <c r="P303" i="3"/>
  <c r="N310" i="3"/>
  <c r="S317" i="3"/>
  <c r="S325" i="3"/>
  <c r="K333" i="3"/>
  <c r="U339" i="3"/>
  <c r="N133" i="3"/>
  <c r="Q179" i="3"/>
  <c r="K217" i="3"/>
  <c r="Q235" i="3"/>
  <c r="N250" i="3"/>
  <c r="U263" i="3"/>
  <c r="K281" i="3"/>
  <c r="N292" i="3"/>
  <c r="T300" i="3"/>
  <c r="T309" i="3"/>
  <c r="Q316" i="3"/>
  <c r="N323" i="3"/>
  <c r="V331" i="3"/>
  <c r="N339" i="3"/>
  <c r="K91" i="3"/>
  <c r="T179" i="3"/>
  <c r="T214" i="3"/>
  <c r="L233" i="3"/>
  <c r="L249" i="3"/>
  <c r="V263" i="3"/>
  <c r="P277" i="3"/>
  <c r="O292" i="3"/>
  <c r="L300" i="3"/>
  <c r="J308" i="3"/>
  <c r="J316" i="3"/>
  <c r="O323" i="3"/>
  <c r="Y323" i="3" s="1"/>
  <c r="L330" i="3"/>
  <c r="T338" i="3"/>
  <c r="Q345" i="3"/>
  <c r="K168" i="3"/>
  <c r="O213" i="3"/>
  <c r="M231" i="3"/>
  <c r="T244" i="3"/>
  <c r="J262" i="3"/>
  <c r="T276" i="3"/>
  <c r="P289" i="3"/>
  <c r="J299" i="3"/>
  <c r="T305" i="3"/>
  <c r="V311" i="3"/>
  <c r="N319" i="3"/>
  <c r="P325" i="3"/>
  <c r="R331" i="3"/>
  <c r="J339" i="3"/>
  <c r="N76" i="3"/>
  <c r="J165" i="3"/>
  <c r="O204" i="3"/>
  <c r="O226" i="3"/>
  <c r="S238" i="3"/>
  <c r="P253" i="3"/>
  <c r="T265" i="3"/>
  <c r="K278" i="3"/>
  <c r="N291" i="3"/>
  <c r="O298" i="3"/>
  <c r="M305" i="3"/>
  <c r="J312" i="3"/>
  <c r="Q317" i="3"/>
  <c r="P322" i="3"/>
  <c r="O327" i="3"/>
  <c r="Y327" i="3" s="1"/>
  <c r="N332" i="3"/>
  <c r="M337" i="3"/>
  <c r="L342" i="3"/>
  <c r="R165" i="3"/>
  <c r="J226" i="3"/>
  <c r="V251" i="3"/>
  <c r="N278" i="3"/>
  <c r="K298" i="3"/>
  <c r="U311" i="3"/>
  <c r="J325" i="3"/>
  <c r="M338" i="3"/>
  <c r="P347" i="3"/>
  <c r="O352" i="3"/>
  <c r="N357" i="3"/>
  <c r="M362" i="3"/>
  <c r="L367" i="3"/>
  <c r="K372" i="3"/>
  <c r="J377" i="3"/>
  <c r="V381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V445" i="3"/>
  <c r="U450" i="3"/>
  <c r="T455" i="3"/>
  <c r="S460" i="3"/>
  <c r="R465" i="3"/>
  <c r="Q470" i="3"/>
  <c r="J23" i="3"/>
  <c r="V116" i="3"/>
  <c r="S120" i="3"/>
  <c r="S133" i="3"/>
  <c r="S73" i="3"/>
  <c r="N106" i="3"/>
  <c r="M179" i="3"/>
  <c r="Q108" i="3"/>
  <c r="R167" i="3"/>
  <c r="T197" i="3"/>
  <c r="L117" i="3"/>
  <c r="T162" i="3"/>
  <c r="V200" i="3"/>
  <c r="M117" i="3"/>
  <c r="R84" i="3"/>
  <c r="V147" i="3"/>
  <c r="U180" i="3"/>
  <c r="O210" i="3"/>
  <c r="U117" i="3"/>
  <c r="S163" i="3"/>
  <c r="S187" i="3"/>
  <c r="R69" i="3"/>
  <c r="P200" i="3"/>
  <c r="Q233" i="3"/>
  <c r="J252" i="3"/>
  <c r="S271" i="3"/>
  <c r="P286" i="3"/>
  <c r="K72" i="3"/>
  <c r="Q174" i="3"/>
  <c r="S200" i="3"/>
  <c r="Q222" i="3"/>
  <c r="U234" i="3"/>
  <c r="S244" i="3"/>
  <c r="Q254" i="3"/>
  <c r="R265" i="3"/>
  <c r="P275" i="3"/>
  <c r="N285" i="3"/>
  <c r="K142" i="3"/>
  <c r="T171" i="3"/>
  <c r="U194" i="3"/>
  <c r="Q218" i="3"/>
  <c r="V228" i="3"/>
  <c r="N236" i="3"/>
  <c r="L246" i="3"/>
  <c r="T254" i="3"/>
  <c r="O263" i="3"/>
  <c r="M273" i="3"/>
  <c r="R280" i="3"/>
  <c r="M289" i="3"/>
  <c r="O152" i="3"/>
  <c r="M175" i="3"/>
  <c r="V194" i="3"/>
  <c r="U218" i="3"/>
  <c r="J229" i="3"/>
  <c r="R237" i="3"/>
  <c r="P247" i="3"/>
  <c r="U254" i="3"/>
  <c r="P263" i="3"/>
  <c r="N273" i="3"/>
  <c r="V281" i="3"/>
  <c r="J132" i="3"/>
  <c r="P195" i="3"/>
  <c r="V227" i="3"/>
  <c r="L245" i="3"/>
  <c r="U264" i="3"/>
  <c r="R279" i="3"/>
  <c r="R293" i="3"/>
  <c r="L304" i="3"/>
  <c r="V310" i="3"/>
  <c r="N318" i="3"/>
  <c r="N326" i="3"/>
  <c r="S333" i="3"/>
  <c r="P340" i="3"/>
  <c r="M141" i="3"/>
  <c r="U182" i="3"/>
  <c r="Q219" i="3"/>
  <c r="J238" i="3"/>
  <c r="Q251" i="3"/>
  <c r="K265" i="3"/>
  <c r="N282" i="3"/>
  <c r="S293" i="3"/>
  <c r="P301" i="3"/>
  <c r="O310" i="3"/>
  <c r="Y310" i="3" s="1"/>
  <c r="L317" i="3"/>
  <c r="Q324" i="3"/>
  <c r="Q332" i="3"/>
  <c r="V339" i="3"/>
  <c r="M109" i="3"/>
  <c r="L183" i="3"/>
  <c r="M217" i="3"/>
  <c r="O234" i="3"/>
  <c r="Y234" i="3" s="1"/>
  <c r="O250" i="3"/>
  <c r="Y250" i="3" s="1"/>
  <c r="L265" i="3"/>
  <c r="S278" i="3"/>
  <c r="K293" i="3"/>
  <c r="U300" i="3"/>
  <c r="R308" i="3"/>
  <c r="M317" i="3"/>
  <c r="J324" i="3"/>
  <c r="T330" i="3"/>
  <c r="O339" i="3"/>
  <c r="R99" i="3"/>
  <c r="P171" i="3"/>
  <c r="U215" i="3"/>
  <c r="P232" i="3"/>
  <c r="M247" i="3"/>
  <c r="M263" i="3"/>
  <c r="J278" i="3"/>
  <c r="Q290" i="3"/>
  <c r="S299" i="3"/>
  <c r="O306" i="3"/>
  <c r="Q312" i="3"/>
  <c r="V319" i="3"/>
  <c r="K326" i="3"/>
  <c r="M332" i="3"/>
  <c r="R339" i="3"/>
  <c r="U100" i="3"/>
  <c r="O168" i="3"/>
  <c r="T207" i="3"/>
  <c r="R227" i="3"/>
  <c r="V239" i="3"/>
  <c r="S254" i="3"/>
  <c r="J267" i="3"/>
  <c r="N279" i="3"/>
  <c r="K292" i="3"/>
  <c r="K299" i="3"/>
  <c r="U305" i="3"/>
  <c r="R312" i="3"/>
  <c r="L318" i="3"/>
  <c r="K323" i="3"/>
  <c r="J328" i="3"/>
  <c r="V332" i="3"/>
  <c r="U337" i="3"/>
  <c r="T342" i="3"/>
  <c r="J174" i="3"/>
  <c r="K229" i="3"/>
  <c r="Q255" i="3"/>
  <c r="P281" i="3"/>
  <c r="U299" i="3"/>
  <c r="R313" i="3"/>
  <c r="R326" i="3"/>
  <c r="T339" i="3"/>
  <c r="K348" i="3"/>
  <c r="J353" i="3"/>
  <c r="V357" i="3"/>
  <c r="U362" i="3"/>
  <c r="T367" i="3"/>
  <c r="S372" i="3"/>
  <c r="R377" i="3"/>
  <c r="Q382" i="3"/>
  <c r="P387" i="3"/>
  <c r="O392" i="3"/>
  <c r="Y392" i="3" s="1"/>
  <c r="N397" i="3"/>
  <c r="M402" i="3"/>
  <c r="L407" i="3"/>
  <c r="K412" i="3"/>
  <c r="J417" i="3"/>
  <c r="V421" i="3"/>
  <c r="U426" i="3"/>
  <c r="T431" i="3"/>
  <c r="S436" i="3"/>
  <c r="R441" i="3"/>
  <c r="Q446" i="3"/>
  <c r="P451" i="3"/>
  <c r="O456" i="3"/>
  <c r="N461" i="3"/>
  <c r="M466" i="3"/>
  <c r="L471" i="3"/>
  <c r="K476" i="3"/>
  <c r="J481" i="3"/>
  <c r="J36" i="3"/>
  <c r="P122" i="3"/>
  <c r="T139" i="3"/>
  <c r="N60" i="3"/>
  <c r="O75" i="3"/>
  <c r="P113" i="3"/>
  <c r="R194" i="3"/>
  <c r="Q131" i="3"/>
  <c r="M168" i="3"/>
  <c r="R207" i="3"/>
  <c r="S118" i="3"/>
  <c r="O171" i="3"/>
  <c r="T210" i="3"/>
  <c r="L122" i="3"/>
  <c r="N94" i="3"/>
  <c r="U156" i="3"/>
  <c r="O186" i="3"/>
  <c r="Y186" i="3" s="1"/>
  <c r="J211" i="3"/>
  <c r="K134" i="3"/>
  <c r="J105" i="3"/>
  <c r="M13" i="3"/>
  <c r="O84" i="3"/>
  <c r="M65" i="3"/>
  <c r="S105" i="3"/>
  <c r="R162" i="3"/>
  <c r="O209" i="3"/>
  <c r="Y209" i="3" s="1"/>
  <c r="P133" i="3"/>
  <c r="S178" i="3"/>
  <c r="U216" i="3"/>
  <c r="S138" i="3"/>
  <c r="U181" i="3"/>
  <c r="J212" i="3"/>
  <c r="U136" i="3"/>
  <c r="K132" i="3"/>
  <c r="J163" i="3"/>
  <c r="R187" i="3"/>
  <c r="M220" i="3"/>
  <c r="V146" i="3"/>
  <c r="N172" i="3"/>
  <c r="J200" i="3"/>
  <c r="J153" i="3"/>
  <c r="S216" i="3"/>
  <c r="O243" i="3"/>
  <c r="J260" i="3"/>
  <c r="J276" i="3"/>
  <c r="S295" i="3"/>
  <c r="M151" i="3"/>
  <c r="R182" i="3"/>
  <c r="N213" i="3"/>
  <c r="P227" i="3"/>
  <c r="N237" i="3"/>
  <c r="R249" i="3"/>
  <c r="P259" i="3"/>
  <c r="N269" i="3"/>
  <c r="O280" i="3"/>
  <c r="Y280" i="3" s="1"/>
  <c r="M290" i="3"/>
  <c r="P155" i="3"/>
  <c r="M183" i="3"/>
  <c r="M206" i="3"/>
  <c r="J222" i="3"/>
  <c r="J232" i="3"/>
  <c r="R240" i="3"/>
  <c r="M249" i="3"/>
  <c r="K259" i="3"/>
  <c r="P266" i="3"/>
  <c r="K275" i="3"/>
  <c r="V284" i="3"/>
  <c r="J111" i="3"/>
  <c r="N157" i="3"/>
  <c r="P183" i="3"/>
  <c r="Q206" i="3"/>
  <c r="P223" i="3"/>
  <c r="N233" i="3"/>
  <c r="S240" i="3"/>
  <c r="N249" i="3"/>
  <c r="L259" i="3"/>
  <c r="T267" i="3"/>
  <c r="L275" i="3"/>
  <c r="J285" i="3"/>
  <c r="V165" i="3"/>
  <c r="S211" i="3"/>
  <c r="Q236" i="3"/>
  <c r="N40" i="3"/>
  <c r="T112" i="3"/>
  <c r="M163" i="3"/>
  <c r="U168" i="3"/>
  <c r="V152" i="3"/>
  <c r="S137" i="3"/>
  <c r="J187" i="3"/>
  <c r="U148" i="3"/>
  <c r="Q205" i="3"/>
  <c r="T226" i="3"/>
  <c r="K263" i="3"/>
  <c r="O299" i="3"/>
  <c r="Y299" i="3" s="1"/>
  <c r="M194" i="3"/>
  <c r="V229" i="3"/>
  <c r="U250" i="3"/>
  <c r="O272" i="3"/>
  <c r="Y272" i="3" s="1"/>
  <c r="N92" i="3"/>
  <c r="Q186" i="3"/>
  <c r="U225" i="3"/>
  <c r="U241" i="3"/>
  <c r="N260" i="3"/>
  <c r="T278" i="3"/>
  <c r="J124" i="3"/>
  <c r="J190" i="3"/>
  <c r="V225" i="3"/>
  <c r="L243" i="3"/>
  <c r="O260" i="3"/>
  <c r="U278" i="3"/>
  <c r="O172" i="3"/>
  <c r="Y172" i="3" s="1"/>
  <c r="J239" i="3"/>
  <c r="Q268" i="3"/>
  <c r="T295" i="3"/>
  <c r="R306" i="3"/>
  <c r="T320" i="3"/>
  <c r="M331" i="3"/>
  <c r="L344" i="3"/>
  <c r="O189" i="3"/>
  <c r="Y189" i="3" s="1"/>
  <c r="O229" i="3"/>
  <c r="J254" i="3"/>
  <c r="V274" i="3"/>
  <c r="M297" i="3"/>
  <c r="N307" i="3"/>
  <c r="O318" i="3"/>
  <c r="M328" i="3"/>
  <c r="K338" i="3"/>
  <c r="R153" i="3"/>
  <c r="L196" i="3"/>
  <c r="S230" i="3"/>
  <c r="K254" i="3"/>
  <c r="T273" i="3"/>
  <c r="L289" i="3"/>
  <c r="V302" i="3"/>
  <c r="V312" i="3"/>
  <c r="T322" i="3"/>
  <c r="U333" i="3"/>
  <c r="P342" i="3"/>
  <c r="T164" i="3"/>
  <c r="T220" i="3"/>
  <c r="K241" i="3"/>
  <c r="N258" i="3"/>
  <c r="P280" i="3"/>
  <c r="P295" i="3"/>
  <c r="L305" i="3"/>
  <c r="J315" i="3"/>
  <c r="O322" i="3"/>
  <c r="J331" i="3"/>
  <c r="U340" i="3"/>
  <c r="L155" i="3"/>
  <c r="Q194" i="3"/>
  <c r="K230" i="3"/>
  <c r="N247" i="3"/>
  <c r="Q264" i="3"/>
  <c r="M284" i="3"/>
  <c r="U294" i="3"/>
  <c r="R304" i="3"/>
  <c r="U313" i="3"/>
  <c r="R320" i="3"/>
  <c r="T326" i="3"/>
  <c r="L334" i="3"/>
  <c r="N340" i="3"/>
  <c r="O157" i="3"/>
  <c r="U235" i="3"/>
  <c r="P268" i="3"/>
  <c r="K296" i="3"/>
  <c r="T316" i="3"/>
  <c r="N333" i="3"/>
  <c r="U346" i="3"/>
  <c r="M354" i="3"/>
  <c r="O360" i="3"/>
  <c r="Q366" i="3"/>
  <c r="V373" i="3"/>
  <c r="K380" i="3"/>
  <c r="M386" i="3"/>
  <c r="R393" i="3"/>
  <c r="T399" i="3"/>
  <c r="V405" i="3"/>
  <c r="N413" i="3"/>
  <c r="P419" i="3"/>
  <c r="R425" i="3"/>
  <c r="J433" i="3"/>
  <c r="L439" i="3"/>
  <c r="N445" i="3"/>
  <c r="S452" i="3"/>
  <c r="U458" i="3"/>
  <c r="J465" i="3"/>
  <c r="O472" i="3"/>
  <c r="V477" i="3"/>
  <c r="P483" i="3"/>
  <c r="J147" i="3"/>
  <c r="S217" i="3"/>
  <c r="T245" i="3"/>
  <c r="L272" i="3"/>
  <c r="R294" i="3"/>
  <c r="T308" i="3"/>
  <c r="V321" i="3"/>
  <c r="L335" i="3"/>
  <c r="N346" i="3"/>
  <c r="M351" i="3"/>
  <c r="L356" i="3"/>
  <c r="K361" i="3"/>
  <c r="J366" i="3"/>
  <c r="V370" i="3"/>
  <c r="U375" i="3"/>
  <c r="T380" i="3"/>
  <c r="S385" i="3"/>
  <c r="R390" i="3"/>
  <c r="Q395" i="3"/>
  <c r="P400" i="3"/>
  <c r="O405" i="3"/>
  <c r="N410" i="3"/>
  <c r="M415" i="3"/>
  <c r="L420" i="3"/>
  <c r="K425" i="3"/>
  <c r="J430" i="3"/>
  <c r="V434" i="3"/>
  <c r="U439" i="3"/>
  <c r="T444" i="3"/>
  <c r="S449" i="3"/>
  <c r="R454" i="3"/>
  <c r="Q459" i="3"/>
  <c r="P464" i="3"/>
  <c r="O469" i="3"/>
  <c r="N474" i="3"/>
  <c r="M479" i="3"/>
  <c r="L484" i="3"/>
  <c r="L159" i="3"/>
  <c r="Q223" i="3"/>
  <c r="P249" i="3"/>
  <c r="U275" i="3"/>
  <c r="S296" i="3"/>
  <c r="R310" i="3"/>
  <c r="T323" i="3"/>
  <c r="J337" i="3"/>
  <c r="J347" i="3"/>
  <c r="V351" i="3"/>
  <c r="U356" i="3"/>
  <c r="T361" i="3"/>
  <c r="S366" i="3"/>
  <c r="R371" i="3"/>
  <c r="Q376" i="3"/>
  <c r="P381" i="3"/>
  <c r="O386" i="3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Y450" i="3" s="1"/>
  <c r="N455" i="3"/>
  <c r="M460" i="3"/>
  <c r="L465" i="3"/>
  <c r="K470" i="3"/>
  <c r="J475" i="3"/>
  <c r="V479" i="3"/>
  <c r="N177" i="3"/>
  <c r="N230" i="3"/>
  <c r="T256" i="3"/>
  <c r="S282" i="3"/>
  <c r="Q300" i="3"/>
  <c r="M314" i="3"/>
  <c r="M327" i="3"/>
  <c r="O340" i="3"/>
  <c r="Y340" i="3" s="1"/>
  <c r="N348" i="3"/>
  <c r="M353" i="3"/>
  <c r="L358" i="3"/>
  <c r="K363" i="3"/>
  <c r="J368" i="3"/>
  <c r="V372" i="3"/>
  <c r="U377" i="3"/>
  <c r="T382" i="3"/>
  <c r="S387" i="3"/>
  <c r="R392" i="3"/>
  <c r="Q397" i="3"/>
  <c r="K92" i="3"/>
  <c r="J62" i="3"/>
  <c r="U163" i="3"/>
  <c r="N187" i="3"/>
  <c r="J172" i="3"/>
  <c r="Q150" i="3"/>
  <c r="O194" i="3"/>
  <c r="Y194" i="3" s="1"/>
  <c r="N164" i="3"/>
  <c r="M144" i="3"/>
  <c r="L234" i="3"/>
  <c r="V272" i="3"/>
  <c r="U132" i="3"/>
  <c r="N202" i="3"/>
  <c r="P235" i="3"/>
  <c r="J257" i="3"/>
  <c r="S276" i="3"/>
  <c r="K152" i="3"/>
  <c r="T199" i="3"/>
  <c r="Q229" i="3"/>
  <c r="T246" i="3"/>
  <c r="M265" i="3"/>
  <c r="M281" i="3"/>
  <c r="V153" i="3"/>
  <c r="L203" i="3"/>
  <c r="R229" i="3"/>
  <c r="K248" i="3"/>
  <c r="N265" i="3"/>
  <c r="Q282" i="3"/>
  <c r="R198" i="3"/>
  <c r="U248" i="3"/>
  <c r="T269" i="3"/>
  <c r="U297" i="3"/>
  <c r="K309" i="3"/>
  <c r="O321" i="3"/>
  <c r="N334" i="3"/>
  <c r="T344" i="3"/>
  <c r="S192" i="3"/>
  <c r="R230" i="3"/>
  <c r="V258" i="3"/>
  <c r="Q283" i="3"/>
  <c r="V297" i="3"/>
  <c r="J311" i="3"/>
  <c r="U320" i="3"/>
  <c r="P329" i="3"/>
  <c r="Q340" i="3"/>
  <c r="T156" i="3"/>
  <c r="N209" i="3"/>
  <c r="K238" i="3"/>
  <c r="N255" i="3"/>
  <c r="J275" i="3"/>
  <c r="T293" i="3"/>
  <c r="V304" i="3"/>
  <c r="Q313" i="3"/>
  <c r="R324" i="3"/>
  <c r="P334" i="3"/>
  <c r="N344" i="3"/>
  <c r="N181" i="3"/>
  <c r="R222" i="3"/>
  <c r="N242" i="3"/>
  <c r="P264" i="3"/>
  <c r="L284" i="3"/>
  <c r="L296" i="3"/>
  <c r="J307" i="3"/>
  <c r="R315" i="3"/>
  <c r="M324" i="3"/>
  <c r="K334" i="3"/>
  <c r="P341" i="3"/>
  <c r="Q158" i="3"/>
  <c r="V210" i="3"/>
  <c r="T233" i="3"/>
  <c r="Q248" i="3"/>
  <c r="M268" i="3"/>
  <c r="P285" i="3"/>
  <c r="J297" i="3"/>
  <c r="S307" i="3"/>
  <c r="P314" i="3"/>
  <c r="M321" i="3"/>
  <c r="R328" i="3"/>
  <c r="T334" i="3"/>
  <c r="V340" i="3"/>
  <c r="T183" i="3"/>
  <c r="V238" i="3"/>
  <c r="R271" i="3"/>
  <c r="S301" i="3"/>
  <c r="Q318" i="3"/>
  <c r="U334" i="3"/>
  <c r="S348" i="3"/>
  <c r="U354" i="3"/>
  <c r="J361" i="3"/>
  <c r="O368" i="3"/>
  <c r="Q374" i="3"/>
  <c r="S380" i="3"/>
  <c r="K388" i="3"/>
  <c r="M394" i="3"/>
  <c r="O400" i="3"/>
  <c r="Y400" i="3" s="1"/>
  <c r="T407" i="3"/>
  <c r="V413" i="3"/>
  <c r="K420" i="3"/>
  <c r="P427" i="3"/>
  <c r="R433" i="3"/>
  <c r="T439" i="3"/>
  <c r="L447" i="3"/>
  <c r="N453" i="3"/>
  <c r="P459" i="3"/>
  <c r="U466" i="3"/>
  <c r="J473" i="3"/>
  <c r="Q478" i="3"/>
  <c r="K484" i="3"/>
  <c r="R157" i="3"/>
  <c r="V222" i="3"/>
  <c r="O249" i="3"/>
  <c r="Y249" i="3" s="1"/>
  <c r="N275" i="3"/>
  <c r="O296" i="3"/>
  <c r="Q310" i="3"/>
  <c r="Q323" i="3"/>
  <c r="S336" i="3"/>
  <c r="V346" i="3"/>
  <c r="U351" i="3"/>
  <c r="T356" i="3"/>
  <c r="S361" i="3"/>
  <c r="R366" i="3"/>
  <c r="Q371" i="3"/>
  <c r="P376" i="3"/>
  <c r="O381" i="3"/>
  <c r="N386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L460" i="3"/>
  <c r="K465" i="3"/>
  <c r="J470" i="3"/>
  <c r="V474" i="3"/>
  <c r="U479" i="3"/>
  <c r="T484" i="3"/>
  <c r="P167" i="3"/>
  <c r="R226" i="3"/>
  <c r="K253" i="3"/>
  <c r="J279" i="3"/>
  <c r="P298" i="3"/>
  <c r="O312" i="3"/>
  <c r="Y312" i="3" s="1"/>
  <c r="O325" i="3"/>
  <c r="Y325" i="3" s="1"/>
  <c r="Q338" i="3"/>
  <c r="R347" i="3"/>
  <c r="Q352" i="3"/>
  <c r="P357" i="3"/>
  <c r="O362" i="3"/>
  <c r="Y362" i="3" s="1"/>
  <c r="N367" i="3"/>
  <c r="M372" i="3"/>
  <c r="L377" i="3"/>
  <c r="K382" i="3"/>
  <c r="J387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J451" i="3"/>
  <c r="V455" i="3"/>
  <c r="U460" i="3"/>
  <c r="T465" i="3"/>
  <c r="S470" i="3"/>
  <c r="R475" i="3"/>
  <c r="Q480" i="3"/>
  <c r="V186" i="3"/>
  <c r="P233" i="3"/>
  <c r="U259" i="3"/>
  <c r="N286" i="3"/>
  <c r="O302" i="3"/>
  <c r="T315" i="3"/>
  <c r="J329" i="3"/>
  <c r="J342" i="3"/>
  <c r="V348" i="3"/>
  <c r="U353" i="3"/>
  <c r="T358" i="3"/>
  <c r="S363" i="3"/>
  <c r="R368" i="3"/>
  <c r="Q373" i="3"/>
  <c r="P378" i="3"/>
  <c r="O383" i="3"/>
  <c r="Y383" i="3" s="1"/>
  <c r="N388" i="3"/>
  <c r="M393" i="3"/>
  <c r="L398" i="3"/>
  <c r="K403" i="3"/>
  <c r="M95" i="3"/>
  <c r="M102" i="3"/>
  <c r="T208" i="3"/>
  <c r="V187" i="3"/>
  <c r="P182" i="3"/>
  <c r="O114" i="3"/>
  <c r="Y114" i="3" s="1"/>
  <c r="T201" i="3"/>
  <c r="K171" i="3"/>
  <c r="U150" i="3"/>
  <c r="K239" i="3"/>
  <c r="Q273" i="3"/>
  <c r="U144" i="3"/>
  <c r="M207" i="3"/>
  <c r="K236" i="3"/>
  <c r="R257" i="3"/>
  <c r="N277" i="3"/>
  <c r="S153" i="3"/>
  <c r="S204" i="3"/>
  <c r="L230" i="3"/>
  <c r="R248" i="3"/>
  <c r="U265" i="3"/>
  <c r="K283" i="3"/>
  <c r="Q155" i="3"/>
  <c r="T204" i="3"/>
  <c r="M230" i="3"/>
  <c r="S248" i="3"/>
  <c r="L267" i="3"/>
  <c r="L283" i="3"/>
  <c r="P208" i="3"/>
  <c r="K250" i="3"/>
  <c r="V275" i="3"/>
  <c r="Q298" i="3"/>
  <c r="Q311" i="3"/>
  <c r="R322" i="3"/>
  <c r="V334" i="3"/>
  <c r="O345" i="3"/>
  <c r="Y345" i="3" s="1"/>
  <c r="Q202" i="3"/>
  <c r="M239" i="3"/>
  <c r="L260" i="3"/>
  <c r="T284" i="3"/>
  <c r="N299" i="3"/>
  <c r="R311" i="3"/>
  <c r="P321" i="3"/>
  <c r="K330" i="3"/>
  <c r="L341" i="3"/>
  <c r="K160" i="3"/>
  <c r="N212" i="3"/>
  <c r="N239" i="3"/>
  <c r="Q256" i="3"/>
  <c r="M276" i="3"/>
  <c r="Q294" i="3"/>
  <c r="Q305" i="3"/>
  <c r="L314" i="3"/>
  <c r="M325" i="3"/>
  <c r="K335" i="3"/>
  <c r="V344" i="3"/>
  <c r="T187" i="3"/>
  <c r="U223" i="3"/>
  <c r="Q243" i="3"/>
  <c r="V266" i="3"/>
  <c r="R286" i="3"/>
  <c r="U296" i="3"/>
  <c r="R307" i="3"/>
  <c r="M316" i="3"/>
  <c r="U324" i="3"/>
  <c r="S334" i="3"/>
  <c r="K342" i="3"/>
  <c r="S161" i="3"/>
  <c r="Q213" i="3"/>
  <c r="J235" i="3"/>
  <c r="T249" i="3"/>
  <c r="P269" i="3"/>
  <c r="S286" i="3"/>
  <c r="S297" i="3"/>
  <c r="N308" i="3"/>
  <c r="K315" i="3"/>
  <c r="U321" i="3"/>
  <c r="M329" i="3"/>
  <c r="O335" i="3"/>
  <c r="Y335" i="3" s="1"/>
  <c r="Q341" i="3"/>
  <c r="U191" i="3"/>
  <c r="K242" i="3"/>
  <c r="M275" i="3"/>
  <c r="T303" i="3"/>
  <c r="K320" i="3"/>
  <c r="P336" i="3"/>
  <c r="N349" i="3"/>
  <c r="P355" i="3"/>
  <c r="R361" i="3"/>
  <c r="J369" i="3"/>
  <c r="L375" i="3"/>
  <c r="N381" i="3"/>
  <c r="S388" i="3"/>
  <c r="U394" i="3"/>
  <c r="J401" i="3"/>
  <c r="O408" i="3"/>
  <c r="Q414" i="3"/>
  <c r="S420" i="3"/>
  <c r="K428" i="3"/>
  <c r="M434" i="3"/>
  <c r="O440" i="3"/>
  <c r="T447" i="3"/>
  <c r="V453" i="3"/>
  <c r="K460" i="3"/>
  <c r="P467" i="3"/>
  <c r="R473" i="3"/>
  <c r="L479" i="3"/>
  <c r="S484" i="3"/>
  <c r="M167" i="3"/>
  <c r="K226" i="3"/>
  <c r="P252" i="3"/>
  <c r="V278" i="3"/>
  <c r="M298" i="3"/>
  <c r="K312" i="3"/>
  <c r="N325" i="3"/>
  <c r="N338" i="3"/>
  <c r="Q347" i="3"/>
  <c r="P352" i="3"/>
  <c r="O357" i="3"/>
  <c r="Y357" i="3" s="1"/>
  <c r="N362" i="3"/>
  <c r="M367" i="3"/>
  <c r="L372" i="3"/>
  <c r="K377" i="3"/>
  <c r="J382" i="3"/>
  <c r="V386" i="3"/>
  <c r="U391" i="3"/>
  <c r="T396" i="3"/>
  <c r="S401" i="3"/>
  <c r="R406" i="3"/>
  <c r="Q411" i="3"/>
  <c r="P416" i="3"/>
  <c r="O421" i="3"/>
  <c r="Y421" i="3" s="1"/>
  <c r="N426" i="3"/>
  <c r="M431" i="3"/>
  <c r="L436" i="3"/>
  <c r="K441" i="3"/>
  <c r="J446" i="3"/>
  <c r="V450" i="3"/>
  <c r="U455" i="3"/>
  <c r="T460" i="3"/>
  <c r="S465" i="3"/>
  <c r="R470" i="3"/>
  <c r="Q475" i="3"/>
  <c r="P480" i="3"/>
  <c r="O485" i="3"/>
  <c r="K177" i="3"/>
  <c r="T229" i="3"/>
  <c r="L256" i="3"/>
  <c r="R282" i="3"/>
  <c r="N300" i="3"/>
  <c r="V313" i="3"/>
  <c r="L327" i="3"/>
  <c r="L340" i="3"/>
  <c r="M348" i="3"/>
  <c r="L353" i="3"/>
  <c r="K358" i="3"/>
  <c r="J363" i="3"/>
  <c r="V367" i="3"/>
  <c r="U372" i="3"/>
  <c r="T377" i="3"/>
  <c r="S382" i="3"/>
  <c r="R387" i="3"/>
  <c r="Q392" i="3"/>
  <c r="P397" i="3"/>
  <c r="O402" i="3"/>
  <c r="N407" i="3"/>
  <c r="M412" i="3"/>
  <c r="L417" i="3"/>
  <c r="K422" i="3"/>
  <c r="J427" i="3"/>
  <c r="V431" i="3"/>
  <c r="U436" i="3"/>
  <c r="T441" i="3"/>
  <c r="S446" i="3"/>
  <c r="R451" i="3"/>
  <c r="Q456" i="3"/>
  <c r="P461" i="3"/>
  <c r="O466" i="3"/>
  <c r="N471" i="3"/>
  <c r="M476" i="3"/>
  <c r="L481" i="3"/>
  <c r="L195" i="3"/>
  <c r="K237" i="3"/>
  <c r="J263" i="3"/>
  <c r="T288" i="3"/>
  <c r="O304" i="3"/>
  <c r="O317" i="3"/>
  <c r="Q330" i="3"/>
  <c r="T343" i="3"/>
  <c r="Q349" i="3"/>
  <c r="P354" i="3"/>
  <c r="O359" i="3"/>
  <c r="N364" i="3"/>
  <c r="M369" i="3"/>
  <c r="L374" i="3"/>
  <c r="K379" i="3"/>
  <c r="J384" i="3"/>
  <c r="V388" i="3"/>
  <c r="U393" i="3"/>
  <c r="T398" i="3"/>
  <c r="S403" i="3"/>
  <c r="R408" i="3"/>
  <c r="O180" i="3"/>
  <c r="J231" i="3"/>
  <c r="O257" i="3"/>
  <c r="U283" i="3"/>
  <c r="J301" i="3"/>
  <c r="Q314" i="3"/>
  <c r="T327" i="3"/>
  <c r="T340" i="3"/>
  <c r="P348" i="3"/>
  <c r="O353" i="3"/>
  <c r="Y353" i="3" s="1"/>
  <c r="N358" i="3"/>
  <c r="M363" i="3"/>
  <c r="L368" i="3"/>
  <c r="K373" i="3"/>
  <c r="J378" i="3"/>
  <c r="V382" i="3"/>
  <c r="U387" i="3"/>
  <c r="T392" i="3"/>
  <c r="S397" i="3"/>
  <c r="R402" i="3"/>
  <c r="Q407" i="3"/>
  <c r="P412" i="3"/>
  <c r="O417" i="3"/>
  <c r="N422" i="3"/>
  <c r="M427" i="3"/>
  <c r="L432" i="3"/>
  <c r="K437" i="3"/>
  <c r="J442" i="3"/>
  <c r="V446" i="3"/>
  <c r="U451" i="3"/>
  <c r="T456" i="3"/>
  <c r="S461" i="3"/>
  <c r="R466" i="3"/>
  <c r="Q471" i="3"/>
  <c r="L172" i="3"/>
  <c r="P228" i="3"/>
  <c r="O254" i="3"/>
  <c r="Y254" i="3" s="1"/>
  <c r="T280" i="3"/>
  <c r="Q299" i="3"/>
  <c r="K313" i="3"/>
  <c r="M326" i="3"/>
  <c r="P339" i="3"/>
  <c r="V347" i="3"/>
  <c r="U352" i="3"/>
  <c r="T357" i="3"/>
  <c r="S362" i="3"/>
  <c r="R367" i="3"/>
  <c r="Q372" i="3"/>
  <c r="P377" i="3"/>
  <c r="O382" i="3"/>
  <c r="N387" i="3"/>
  <c r="M392" i="3"/>
  <c r="L397" i="3"/>
  <c r="K402" i="3"/>
  <c r="J407" i="3"/>
  <c r="V411" i="3"/>
  <c r="U416" i="3"/>
  <c r="T421" i="3"/>
  <c r="S426" i="3"/>
  <c r="R431" i="3"/>
  <c r="Q436" i="3"/>
  <c r="P441" i="3"/>
  <c r="O446" i="3"/>
  <c r="N451" i="3"/>
  <c r="M456" i="3"/>
  <c r="L461" i="3"/>
  <c r="K466" i="3"/>
  <c r="J471" i="3"/>
  <c r="N227" i="3"/>
  <c r="S312" i="3"/>
  <c r="S352" i="3"/>
  <c r="O372" i="3"/>
  <c r="K392" i="3"/>
  <c r="L411" i="3"/>
  <c r="N424" i="3"/>
  <c r="Q437" i="3"/>
  <c r="Q450" i="3"/>
  <c r="S463" i="3"/>
  <c r="S475" i="3"/>
  <c r="L483" i="3"/>
  <c r="J489" i="3"/>
  <c r="V493" i="3"/>
  <c r="U498" i="3"/>
  <c r="T503" i="3"/>
  <c r="S508" i="3"/>
  <c r="R513" i="3"/>
  <c r="Q518" i="3"/>
  <c r="P523" i="3"/>
  <c r="O528" i="3"/>
  <c r="Q112" i="3"/>
  <c r="L292" i="3"/>
  <c r="P345" i="3"/>
  <c r="M365" i="3"/>
  <c r="V384" i="3"/>
  <c r="R404" i="3"/>
  <c r="S419" i="3"/>
  <c r="S432" i="3"/>
  <c r="U445" i="3"/>
  <c r="K459" i="3"/>
  <c r="K472" i="3"/>
  <c r="S480" i="3"/>
  <c r="M487" i="3"/>
  <c r="L492" i="3"/>
  <c r="K497" i="3"/>
  <c r="J502" i="3"/>
  <c r="V506" i="3"/>
  <c r="U511" i="3"/>
  <c r="T516" i="3"/>
  <c r="S521" i="3"/>
  <c r="R526" i="3"/>
  <c r="Q531" i="3"/>
  <c r="U256" i="3"/>
  <c r="P327" i="3"/>
  <c r="M358" i="3"/>
  <c r="V377" i="3"/>
  <c r="R397" i="3"/>
  <c r="U414" i="3"/>
  <c r="J428" i="3"/>
  <c r="M441" i="3"/>
  <c r="M454" i="3"/>
  <c r="O467" i="3"/>
  <c r="T477" i="3"/>
  <c r="J485" i="3"/>
  <c r="O490" i="3"/>
  <c r="Y490" i="3" s="1"/>
  <c r="N495" i="3"/>
  <c r="M500" i="3"/>
  <c r="L505" i="3"/>
  <c r="K510" i="3"/>
  <c r="J515" i="3"/>
  <c r="V519" i="3"/>
  <c r="U524" i="3"/>
  <c r="T529" i="3"/>
  <c r="O215" i="3"/>
  <c r="Y215" i="3" s="1"/>
  <c r="O308" i="3"/>
  <c r="K351" i="3"/>
  <c r="T370" i="3"/>
  <c r="P390" i="3"/>
  <c r="L410" i="3"/>
  <c r="O423" i="3"/>
  <c r="N148" i="3"/>
  <c r="V103" i="3"/>
  <c r="U211" i="3"/>
  <c r="M208" i="3"/>
  <c r="K191" i="3"/>
  <c r="K135" i="3"/>
  <c r="R211" i="3"/>
  <c r="V172" i="3"/>
  <c r="J166" i="3"/>
  <c r="U245" i="3"/>
  <c r="P278" i="3"/>
  <c r="K153" i="3"/>
  <c r="Q214" i="3"/>
  <c r="V237" i="3"/>
  <c r="K260" i="3"/>
  <c r="R281" i="3"/>
  <c r="R158" i="3"/>
  <c r="U207" i="3"/>
  <c r="U233" i="3"/>
  <c r="U249" i="3"/>
  <c r="N268" i="3"/>
  <c r="Q285" i="3"/>
  <c r="M162" i="3"/>
  <c r="K208" i="3"/>
  <c r="V233" i="3"/>
  <c r="V249" i="3"/>
  <c r="O268" i="3"/>
  <c r="U29" i="3"/>
  <c r="L214" i="3"/>
  <c r="N251" i="3"/>
  <c r="U280" i="3"/>
  <c r="M299" i="3"/>
  <c r="T312" i="3"/>
  <c r="M323" i="3"/>
  <c r="O337" i="3"/>
  <c r="V148" i="3"/>
  <c r="V205" i="3"/>
  <c r="P240" i="3"/>
  <c r="O261" i="3"/>
  <c r="Y261" i="3" s="1"/>
  <c r="J287" i="3"/>
  <c r="Q303" i="3"/>
  <c r="M312" i="3"/>
  <c r="K322" i="3"/>
  <c r="L333" i="3"/>
  <c r="J343" i="3"/>
  <c r="P163" i="3"/>
  <c r="S219" i="3"/>
  <c r="Q240" i="3"/>
  <c r="M260" i="3"/>
  <c r="R283" i="3"/>
  <c r="M295" i="3"/>
  <c r="L306" i="3"/>
  <c r="U317" i="3"/>
  <c r="S327" i="3"/>
  <c r="S335" i="3"/>
  <c r="T114" i="3"/>
  <c r="L191" i="3"/>
  <c r="T228" i="3"/>
  <c r="V250" i="3"/>
  <c r="L268" i="3"/>
  <c r="Q287" i="3"/>
  <c r="O300" i="3"/>
  <c r="P309" i="3"/>
  <c r="U316" i="3"/>
  <c r="S326" i="3"/>
  <c r="N335" i="3"/>
  <c r="V343" i="3"/>
  <c r="M178" i="3"/>
  <c r="J216" i="3"/>
  <c r="M236" i="3"/>
  <c r="V255" i="3"/>
  <c r="L273" i="3"/>
  <c r="R287" i="3"/>
  <c r="T299" i="3"/>
  <c r="V308" i="3"/>
  <c r="S315" i="3"/>
  <c r="S323" i="3"/>
  <c r="U329" i="3"/>
  <c r="J336" i="3"/>
  <c r="O343" i="3"/>
  <c r="Y343" i="3" s="1"/>
  <c r="O200" i="3"/>
  <c r="Y200" i="3" s="1"/>
  <c r="S245" i="3"/>
  <c r="K285" i="3"/>
  <c r="N305" i="3"/>
  <c r="S321" i="3"/>
  <c r="O341" i="3"/>
  <c r="V349" i="3"/>
  <c r="K356" i="3"/>
  <c r="P363" i="3"/>
  <c r="R369" i="3"/>
  <c r="T375" i="3"/>
  <c r="L383" i="3"/>
  <c r="N389" i="3"/>
  <c r="P395" i="3"/>
  <c r="U402" i="3"/>
  <c r="J409" i="3"/>
  <c r="L415" i="3"/>
  <c r="Q422" i="3"/>
  <c r="S428" i="3"/>
  <c r="U434" i="3"/>
  <c r="M442" i="3"/>
  <c r="O448" i="3"/>
  <c r="Q454" i="3"/>
  <c r="V461" i="3"/>
  <c r="K468" i="3"/>
  <c r="M474" i="3"/>
  <c r="T479" i="3"/>
  <c r="N485" i="3"/>
  <c r="P175" i="3"/>
  <c r="S229" i="3"/>
  <c r="R255" i="3"/>
  <c r="J282" i="3"/>
  <c r="M300" i="3"/>
  <c r="S313" i="3"/>
  <c r="U326" i="3"/>
  <c r="K340" i="3"/>
  <c r="L348" i="3"/>
  <c r="K353" i="3"/>
  <c r="J358" i="3"/>
  <c r="V362" i="3"/>
  <c r="U367" i="3"/>
  <c r="T372" i="3"/>
  <c r="S377" i="3"/>
  <c r="R382" i="3"/>
  <c r="Q387" i="3"/>
  <c r="P392" i="3"/>
  <c r="O397" i="3"/>
  <c r="Y397" i="3" s="1"/>
  <c r="N402" i="3"/>
  <c r="M407" i="3"/>
  <c r="L412" i="3"/>
  <c r="K417" i="3"/>
  <c r="J422" i="3"/>
  <c r="V426" i="3"/>
  <c r="U431" i="3"/>
  <c r="T436" i="3"/>
  <c r="S441" i="3"/>
  <c r="R446" i="3"/>
  <c r="Q451" i="3"/>
  <c r="P456" i="3"/>
  <c r="O461" i="3"/>
  <c r="N466" i="3"/>
  <c r="M471" i="3"/>
  <c r="L476" i="3"/>
  <c r="K481" i="3"/>
  <c r="J486" i="3"/>
  <c r="N185" i="3"/>
  <c r="O233" i="3"/>
  <c r="N259" i="3"/>
  <c r="S285" i="3"/>
  <c r="N302" i="3"/>
  <c r="Q315" i="3"/>
  <c r="S328" i="3"/>
  <c r="V341" i="3"/>
  <c r="U348" i="3"/>
  <c r="T353" i="3"/>
  <c r="S358" i="3"/>
  <c r="R363" i="3"/>
  <c r="Q368" i="3"/>
  <c r="P373" i="3"/>
  <c r="O378" i="3"/>
  <c r="Y378" i="3" s="1"/>
  <c r="N383" i="3"/>
  <c r="M388" i="3"/>
  <c r="L393" i="3"/>
  <c r="K398" i="3"/>
  <c r="J403" i="3"/>
  <c r="V407" i="3"/>
  <c r="U412" i="3"/>
  <c r="T417" i="3"/>
  <c r="S422" i="3"/>
  <c r="R427" i="3"/>
  <c r="Q432" i="3"/>
  <c r="P437" i="3"/>
  <c r="O442" i="3"/>
  <c r="N447" i="3"/>
  <c r="M452" i="3"/>
  <c r="L457" i="3"/>
  <c r="K462" i="3"/>
  <c r="J467" i="3"/>
  <c r="V471" i="3"/>
  <c r="U476" i="3"/>
  <c r="U94" i="3"/>
  <c r="Q203" i="3"/>
  <c r="L240" i="3"/>
  <c r="R266" i="3"/>
  <c r="L291" i="3"/>
  <c r="V305" i="3"/>
  <c r="L319" i="3"/>
  <c r="L332" i="3"/>
  <c r="K345" i="3"/>
  <c r="L350" i="3"/>
  <c r="K355" i="3"/>
  <c r="J360" i="3"/>
  <c r="V364" i="3"/>
  <c r="U369" i="3"/>
  <c r="T374" i="3"/>
  <c r="S379" i="3"/>
  <c r="R384" i="3"/>
  <c r="Q389" i="3"/>
  <c r="P394" i="3"/>
  <c r="O399" i="3"/>
  <c r="N404" i="3"/>
  <c r="M409" i="3"/>
  <c r="S188" i="3"/>
  <c r="R234" i="3"/>
  <c r="Q260" i="3"/>
  <c r="U286" i="3"/>
  <c r="J303" i="3"/>
  <c r="L316" i="3"/>
  <c r="N329" i="3"/>
  <c r="Q342" i="3"/>
  <c r="K349" i="3"/>
  <c r="J354" i="3"/>
  <c r="V358" i="3"/>
  <c r="U363" i="3"/>
  <c r="T368" i="3"/>
  <c r="S373" i="3"/>
  <c r="R378" i="3"/>
  <c r="Q383" i="3"/>
  <c r="P388" i="3"/>
  <c r="O393" i="3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Y457" i="3" s="1"/>
  <c r="N462" i="3"/>
  <c r="M467" i="3"/>
  <c r="L472" i="3"/>
  <c r="S180" i="3"/>
  <c r="Q231" i="3"/>
  <c r="J258" i="3"/>
  <c r="V283" i="3"/>
  <c r="N301" i="3"/>
  <c r="U314" i="3"/>
  <c r="U327" i="3"/>
  <c r="J341" i="3"/>
  <c r="Q348" i="3"/>
  <c r="P353" i="3"/>
  <c r="O358" i="3"/>
  <c r="Y358" i="3" s="1"/>
  <c r="N363" i="3"/>
  <c r="M368" i="3"/>
  <c r="L373" i="3"/>
  <c r="K378" i="3"/>
  <c r="J383" i="3"/>
  <c r="V387" i="3"/>
  <c r="U392" i="3"/>
  <c r="T397" i="3"/>
  <c r="S402" i="3"/>
  <c r="R407" i="3"/>
  <c r="Q412" i="3"/>
  <c r="P417" i="3"/>
  <c r="O422" i="3"/>
  <c r="N427" i="3"/>
  <c r="M432" i="3"/>
  <c r="L437" i="3"/>
  <c r="K442" i="3"/>
  <c r="J447" i="3"/>
  <c r="V451" i="3"/>
  <c r="U456" i="3"/>
  <c r="T461" i="3"/>
  <c r="S466" i="3"/>
  <c r="R471" i="3"/>
  <c r="T240" i="3"/>
  <c r="M319" i="3"/>
  <c r="L355" i="3"/>
  <c r="U374" i="3"/>
  <c r="Q394" i="3"/>
  <c r="V412" i="3"/>
  <c r="V425" i="3"/>
  <c r="K439" i="3"/>
  <c r="N452" i="3"/>
  <c r="N465" i="3"/>
  <c r="Q476" i="3"/>
  <c r="V483" i="3"/>
  <c r="R489" i="3"/>
  <c r="Q494" i="3"/>
  <c r="P499" i="3"/>
  <c r="O504" i="3"/>
  <c r="N509" i="3"/>
  <c r="M514" i="3"/>
  <c r="L519" i="3"/>
  <c r="K524" i="3"/>
  <c r="J529" i="3"/>
  <c r="V173" i="3"/>
  <c r="R299" i="3"/>
  <c r="J348" i="3"/>
  <c r="S367" i="3"/>
  <c r="O387" i="3"/>
  <c r="K407" i="3"/>
  <c r="M421" i="3"/>
  <c r="P434" i="3"/>
  <c r="P447" i="3"/>
  <c r="R460" i="3"/>
  <c r="U473" i="3"/>
  <c r="Q481" i="3"/>
  <c r="U487" i="3"/>
  <c r="T492" i="3"/>
  <c r="S497" i="3"/>
  <c r="R502" i="3"/>
  <c r="Q507" i="3"/>
  <c r="P512" i="3"/>
  <c r="O517" i="3"/>
  <c r="N522" i="3"/>
  <c r="M527" i="3"/>
  <c r="L532" i="3"/>
  <c r="N270" i="3"/>
  <c r="J334" i="3"/>
  <c r="S360" i="3"/>
  <c r="O380" i="3"/>
  <c r="K400" i="3"/>
  <c r="R416" i="3"/>
  <c r="R429" i="3"/>
  <c r="T442" i="3"/>
  <c r="J456" i="3"/>
  <c r="J469" i="3"/>
  <c r="U478" i="3"/>
  <c r="T485" i="3"/>
  <c r="J491" i="3"/>
  <c r="V495" i="3"/>
  <c r="U500" i="3"/>
  <c r="T505" i="3"/>
  <c r="S510" i="3"/>
  <c r="R515" i="3"/>
  <c r="Q520" i="3"/>
  <c r="N27" i="3"/>
  <c r="J20" i="3"/>
  <c r="O211" i="3"/>
  <c r="Y211" i="3" s="1"/>
  <c r="V84" i="3"/>
  <c r="N169" i="3"/>
  <c r="T282" i="3"/>
  <c r="M218" i="3"/>
  <c r="S260" i="3"/>
  <c r="U166" i="3"/>
  <c r="P234" i="3"/>
  <c r="V268" i="3"/>
  <c r="L167" i="3"/>
  <c r="Q234" i="3"/>
  <c r="J269" i="3"/>
  <c r="O221" i="3"/>
  <c r="Q284" i="3"/>
  <c r="R314" i="3"/>
  <c r="J338" i="3"/>
  <c r="K209" i="3"/>
  <c r="J270" i="3"/>
  <c r="U304" i="3"/>
  <c r="S322" i="3"/>
  <c r="M344" i="3"/>
  <c r="N223" i="3"/>
  <c r="S262" i="3"/>
  <c r="R296" i="3"/>
  <c r="P318" i="3"/>
  <c r="V336" i="3"/>
  <c r="N194" i="3"/>
  <c r="L252" i="3"/>
  <c r="Q288" i="3"/>
  <c r="K310" i="3"/>
  <c r="N327" i="3"/>
  <c r="Q344" i="3"/>
  <c r="P218" i="3"/>
  <c r="L257" i="3"/>
  <c r="S288" i="3"/>
  <c r="Q309" i="3"/>
  <c r="N324" i="3"/>
  <c r="R336" i="3"/>
  <c r="V209" i="3"/>
  <c r="U287" i="3"/>
  <c r="P323" i="3"/>
  <c r="Q350" i="3"/>
  <c r="K364" i="3"/>
  <c r="O376" i="3"/>
  <c r="Y376" i="3" s="1"/>
  <c r="V389" i="3"/>
  <c r="P403" i="3"/>
  <c r="T415" i="3"/>
  <c r="N429" i="3"/>
  <c r="U442" i="3"/>
  <c r="L455" i="3"/>
  <c r="S468" i="3"/>
  <c r="O480" i="3"/>
  <c r="Y480" i="3" s="1"/>
  <c r="U183" i="3"/>
  <c r="M259" i="3"/>
  <c r="J302" i="3"/>
  <c r="P328" i="3"/>
  <c r="T348" i="3"/>
  <c r="R358" i="3"/>
  <c r="P368" i="3"/>
  <c r="N378" i="3"/>
  <c r="L388" i="3"/>
  <c r="J398" i="3"/>
  <c r="U407" i="3"/>
  <c r="S417" i="3"/>
  <c r="Q427" i="3"/>
  <c r="O437" i="3"/>
  <c r="M447" i="3"/>
  <c r="K457" i="3"/>
  <c r="V466" i="3"/>
  <c r="T476" i="3"/>
  <c r="R486" i="3"/>
  <c r="P236" i="3"/>
  <c r="P288" i="3"/>
  <c r="N317" i="3"/>
  <c r="P343" i="3"/>
  <c r="O354" i="3"/>
  <c r="Y354" i="3" s="1"/>
  <c r="M364" i="3"/>
  <c r="K374" i="3"/>
  <c r="V383" i="3"/>
  <c r="T393" i="3"/>
  <c r="R403" i="3"/>
  <c r="P413" i="3"/>
  <c r="N423" i="3"/>
  <c r="L433" i="3"/>
  <c r="J443" i="3"/>
  <c r="U452" i="3"/>
  <c r="S462" i="3"/>
  <c r="Q472" i="3"/>
  <c r="N131" i="3"/>
  <c r="N243" i="3"/>
  <c r="L293" i="3"/>
  <c r="S320" i="3"/>
  <c r="U345" i="3"/>
  <c r="S355" i="3"/>
  <c r="Q365" i="3"/>
  <c r="O375" i="3"/>
  <c r="M385" i="3"/>
  <c r="K395" i="3"/>
  <c r="P402" i="3"/>
  <c r="U103" i="3"/>
  <c r="N220" i="3"/>
  <c r="N254" i="3"/>
  <c r="T291" i="3"/>
  <c r="R309" i="3"/>
  <c r="J326" i="3"/>
  <c r="M345" i="3"/>
  <c r="Q351" i="3"/>
  <c r="S357" i="3"/>
  <c r="K365" i="3"/>
  <c r="M371" i="3"/>
  <c r="O377" i="3"/>
  <c r="T384" i="3"/>
  <c r="V390" i="3"/>
  <c r="K397" i="3"/>
  <c r="P404" i="3"/>
  <c r="R410" i="3"/>
  <c r="T416" i="3"/>
  <c r="L424" i="3"/>
  <c r="N430" i="3"/>
  <c r="P436" i="3"/>
  <c r="U443" i="3"/>
  <c r="J450" i="3"/>
  <c r="L456" i="3"/>
  <c r="Q463" i="3"/>
  <c r="S469" i="3"/>
  <c r="K164" i="3"/>
  <c r="N238" i="3"/>
  <c r="V270" i="3"/>
  <c r="P297" i="3"/>
  <c r="J318" i="3"/>
  <c r="Q334" i="3"/>
  <c r="N347" i="3"/>
  <c r="S354" i="3"/>
  <c r="U360" i="3"/>
  <c r="J367" i="3"/>
  <c r="O374" i="3"/>
  <c r="Y374" i="3" s="1"/>
  <c r="Q380" i="3"/>
  <c r="S386" i="3"/>
  <c r="K394" i="3"/>
  <c r="M400" i="3"/>
  <c r="O406" i="3"/>
  <c r="T413" i="3"/>
  <c r="V419" i="3"/>
  <c r="K426" i="3"/>
  <c r="P433" i="3"/>
  <c r="R439" i="3"/>
  <c r="T445" i="3"/>
  <c r="L453" i="3"/>
  <c r="N459" i="3"/>
  <c r="P465" i="3"/>
  <c r="U472" i="3"/>
  <c r="P291" i="3"/>
  <c r="M350" i="3"/>
  <c r="T379" i="3"/>
  <c r="O404" i="3"/>
  <c r="Y404" i="3" s="1"/>
  <c r="T422" i="3"/>
  <c r="P442" i="3"/>
  <c r="T458" i="3"/>
  <c r="R474" i="3"/>
  <c r="R485" i="3"/>
  <c r="K492" i="3"/>
  <c r="M498" i="3"/>
  <c r="R505" i="3"/>
  <c r="T511" i="3"/>
  <c r="V517" i="3"/>
  <c r="N525" i="3"/>
  <c r="P531" i="3"/>
  <c r="O281" i="3"/>
  <c r="V352" i="3"/>
  <c r="Q377" i="3"/>
  <c r="L402" i="3"/>
  <c r="R424" i="3"/>
  <c r="V440" i="3"/>
  <c r="N457" i="3"/>
  <c r="T475" i="3"/>
  <c r="V484" i="3"/>
  <c r="Q491" i="3"/>
  <c r="V498" i="3"/>
  <c r="K505" i="3"/>
  <c r="M511" i="3"/>
  <c r="R518" i="3"/>
  <c r="T524" i="3"/>
  <c r="V530" i="3"/>
  <c r="N293" i="3"/>
  <c r="U350" i="3"/>
  <c r="P375" i="3"/>
  <c r="J405" i="3"/>
  <c r="K423" i="3"/>
  <c r="P439" i="3"/>
  <c r="L459" i="3"/>
  <c r="T474" i="3"/>
  <c r="M484" i="3"/>
  <c r="M492" i="3"/>
  <c r="O498" i="3"/>
  <c r="Q504" i="3"/>
  <c r="V511" i="3"/>
  <c r="K518" i="3"/>
  <c r="M524" i="3"/>
  <c r="O530" i="3"/>
  <c r="K245" i="3"/>
  <c r="K328" i="3"/>
  <c r="V360" i="3"/>
  <c r="K383" i="3"/>
  <c r="M405" i="3"/>
  <c r="R421" i="3"/>
  <c r="O436" i="3"/>
  <c r="Q449" i="3"/>
  <c r="T462" i="3"/>
  <c r="K475" i="3"/>
  <c r="R482" i="3"/>
  <c r="R488" i="3"/>
  <c r="Q493" i="3"/>
  <c r="P498" i="3"/>
  <c r="O503" i="3"/>
  <c r="N508" i="3"/>
  <c r="M513" i="3"/>
  <c r="L518" i="3"/>
  <c r="K523" i="3"/>
  <c r="J528" i="3"/>
  <c r="V532" i="3"/>
  <c r="O286" i="3"/>
  <c r="M342" i="3"/>
  <c r="T363" i="3"/>
  <c r="P383" i="3"/>
  <c r="L403" i="3"/>
  <c r="Q418" i="3"/>
  <c r="S431" i="3"/>
  <c r="V444" i="3"/>
  <c r="V457" i="3"/>
  <c r="K471" i="3"/>
  <c r="K480" i="3"/>
  <c r="U486" i="3"/>
  <c r="T491" i="3"/>
  <c r="S496" i="3"/>
  <c r="R501" i="3"/>
  <c r="Q506" i="3"/>
  <c r="P511" i="3"/>
  <c r="O516" i="3"/>
  <c r="N521" i="3"/>
  <c r="M526" i="3"/>
  <c r="L531" i="3"/>
  <c r="S261" i="3"/>
  <c r="S329" i="3"/>
  <c r="K359" i="3"/>
  <c r="T378" i="3"/>
  <c r="P398" i="3"/>
  <c r="P415" i="3"/>
  <c r="R428" i="3"/>
  <c r="U441" i="3"/>
  <c r="U454" i="3"/>
  <c r="J468" i="3"/>
  <c r="M478" i="3"/>
  <c r="M485" i="3"/>
  <c r="R490" i="3"/>
  <c r="Q495" i="3"/>
  <c r="P500" i="3"/>
  <c r="O505" i="3"/>
  <c r="Y505" i="3" s="1"/>
  <c r="N510" i="3"/>
  <c r="M515" i="3"/>
  <c r="L520" i="3"/>
  <c r="K525" i="3"/>
  <c r="Q263" i="3"/>
  <c r="U330" i="3"/>
  <c r="P359" i="3"/>
  <c r="L379" i="3"/>
  <c r="U398" i="3"/>
  <c r="S415" i="3"/>
  <c r="V428" i="3"/>
  <c r="V441" i="3"/>
  <c r="K455" i="3"/>
  <c r="N468" i="3"/>
  <c r="N478" i="3"/>
  <c r="P485" i="3"/>
  <c r="S490" i="3"/>
  <c r="R495" i="3"/>
  <c r="Q500" i="3"/>
  <c r="P505" i="3"/>
  <c r="O510" i="3"/>
  <c r="N515" i="3"/>
  <c r="M520" i="3"/>
  <c r="L525" i="3"/>
  <c r="P406" i="3"/>
  <c r="R492" i="3"/>
  <c r="N528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T97" i="3"/>
  <c r="R132" i="3"/>
  <c r="R220" i="3"/>
  <c r="Q88" i="3"/>
  <c r="T203" i="3"/>
  <c r="Q289" i="3"/>
  <c r="R225" i="3"/>
  <c r="U266" i="3"/>
  <c r="O173" i="3"/>
  <c r="O239" i="3"/>
  <c r="U273" i="3"/>
  <c r="J177" i="3"/>
  <c r="P239" i="3"/>
  <c r="V273" i="3"/>
  <c r="L229" i="3"/>
  <c r="V287" i="3"/>
  <c r="M315" i="3"/>
  <c r="R338" i="3"/>
  <c r="P224" i="3"/>
  <c r="M271" i="3"/>
  <c r="P305" i="3"/>
  <c r="O326" i="3"/>
  <c r="Y326" i="3" s="1"/>
  <c r="U344" i="3"/>
  <c r="J227" i="3"/>
  <c r="O266" i="3"/>
  <c r="S298" i="3"/>
  <c r="K319" i="3"/>
  <c r="J340" i="3"/>
  <c r="R197" i="3"/>
  <c r="O253" i="3"/>
  <c r="Y253" i="3" s="1"/>
  <c r="O293" i="3"/>
  <c r="Y293" i="3" s="1"/>
  <c r="S310" i="3"/>
  <c r="L329" i="3"/>
  <c r="V115" i="3"/>
  <c r="V223" i="3"/>
  <c r="O258" i="3"/>
  <c r="Y258" i="3" s="1"/>
  <c r="T292" i="3"/>
  <c r="L310" i="3"/>
  <c r="V324" i="3"/>
  <c r="P338" i="3"/>
  <c r="P216" i="3"/>
  <c r="O290" i="3"/>
  <c r="Y290" i="3" s="1"/>
  <c r="O328" i="3"/>
  <c r="L351" i="3"/>
  <c r="S364" i="3"/>
  <c r="M378" i="3"/>
  <c r="Q390" i="3"/>
  <c r="K404" i="3"/>
  <c r="R417" i="3"/>
  <c r="V429" i="3"/>
  <c r="P443" i="3"/>
  <c r="J457" i="3"/>
  <c r="N469" i="3"/>
  <c r="R481" i="3"/>
  <c r="R193" i="3"/>
  <c r="N262" i="3"/>
  <c r="U303" i="3"/>
  <c r="M330" i="3"/>
  <c r="O349" i="3"/>
  <c r="M359" i="3"/>
  <c r="K369" i="3"/>
  <c r="V378" i="3"/>
  <c r="T388" i="3"/>
  <c r="R398" i="3"/>
  <c r="P408" i="3"/>
  <c r="N418" i="3"/>
  <c r="L428" i="3"/>
  <c r="J438" i="3"/>
  <c r="U447" i="3"/>
  <c r="S457" i="3"/>
  <c r="Q467" i="3"/>
  <c r="O477" i="3"/>
  <c r="V81" i="3"/>
  <c r="R239" i="3"/>
  <c r="K291" i="3"/>
  <c r="U318" i="3"/>
  <c r="J345" i="3"/>
  <c r="J355" i="3"/>
  <c r="U364" i="3"/>
  <c r="S374" i="3"/>
  <c r="Q384" i="3"/>
  <c r="O394" i="3"/>
  <c r="M404" i="3"/>
  <c r="K414" i="3"/>
  <c r="V423" i="3"/>
  <c r="T433" i="3"/>
  <c r="R443" i="3"/>
  <c r="P453" i="3"/>
  <c r="N463" i="3"/>
  <c r="L473" i="3"/>
  <c r="R150" i="3"/>
  <c r="V246" i="3"/>
  <c r="V294" i="3"/>
  <c r="N322" i="3"/>
  <c r="P346" i="3"/>
  <c r="N356" i="3"/>
  <c r="L366" i="3"/>
  <c r="J376" i="3"/>
  <c r="U385" i="3"/>
  <c r="S395" i="3"/>
  <c r="V404" i="3"/>
  <c r="U135" i="3"/>
  <c r="T224" i="3"/>
  <c r="L264" i="3"/>
  <c r="Q293" i="3"/>
  <c r="M311" i="3"/>
  <c r="V330" i="3"/>
  <c r="J346" i="3"/>
  <c r="L352" i="3"/>
  <c r="Q359" i="3"/>
  <c r="S365" i="3"/>
  <c r="U371" i="3"/>
  <c r="M379" i="3"/>
  <c r="O385" i="3"/>
  <c r="Q391" i="3"/>
  <c r="V398" i="3"/>
  <c r="K405" i="3"/>
  <c r="M411" i="3"/>
  <c r="R418" i="3"/>
  <c r="T424" i="3"/>
  <c r="V430" i="3"/>
  <c r="N438" i="3"/>
  <c r="P444" i="3"/>
  <c r="R450" i="3"/>
  <c r="J458" i="3"/>
  <c r="L464" i="3"/>
  <c r="N470" i="3"/>
  <c r="M190" i="3"/>
  <c r="O241" i="3"/>
  <c r="K274" i="3"/>
  <c r="L303" i="3"/>
  <c r="T319" i="3"/>
  <c r="K336" i="3"/>
  <c r="L349" i="3"/>
  <c r="N355" i="3"/>
  <c r="P361" i="3"/>
  <c r="U368" i="3"/>
  <c r="J375" i="3"/>
  <c r="L381" i="3"/>
  <c r="Q388" i="3"/>
  <c r="S394" i="3"/>
  <c r="U400" i="3"/>
  <c r="M408" i="3"/>
  <c r="O414" i="3"/>
  <c r="Q420" i="3"/>
  <c r="V427" i="3"/>
  <c r="K434" i="3"/>
  <c r="M440" i="3"/>
  <c r="R447" i="3"/>
  <c r="T453" i="3"/>
  <c r="V459" i="3"/>
  <c r="N467" i="3"/>
  <c r="P473" i="3"/>
  <c r="V298" i="3"/>
  <c r="R357" i="3"/>
  <c r="M382" i="3"/>
  <c r="U406" i="3"/>
  <c r="S427" i="3"/>
  <c r="J444" i="3"/>
  <c r="O460" i="3"/>
  <c r="R477" i="3"/>
  <c r="O486" i="3"/>
  <c r="S492" i="3"/>
  <c r="K500" i="3"/>
  <c r="M506" i="3"/>
  <c r="O512" i="3"/>
  <c r="Y512" i="3" s="1"/>
  <c r="T519" i="3"/>
  <c r="V525" i="3"/>
  <c r="K532" i="3"/>
  <c r="U306" i="3"/>
  <c r="O355" i="3"/>
  <c r="J380" i="3"/>
  <c r="Q409" i="3"/>
  <c r="L426" i="3"/>
  <c r="Q442" i="3"/>
  <c r="M462" i="3"/>
  <c r="R476" i="3"/>
  <c r="S485" i="3"/>
  <c r="O493" i="3"/>
  <c r="Q499" i="3"/>
  <c r="S505" i="3"/>
  <c r="K513" i="3"/>
  <c r="M519" i="3"/>
  <c r="O525" i="3"/>
  <c r="T532" i="3"/>
  <c r="V300" i="3"/>
  <c r="N353" i="3"/>
  <c r="U382" i="3"/>
  <c r="P407" i="3"/>
  <c r="S424" i="3"/>
  <c r="O444" i="3"/>
  <c r="Y444" i="3" s="1"/>
  <c r="V460" i="3"/>
  <c r="U475" i="3"/>
  <c r="S486" i="3"/>
  <c r="U492" i="3"/>
  <c r="J499" i="3"/>
  <c r="O506" i="3"/>
  <c r="Q512" i="3"/>
  <c r="O140" i="3"/>
  <c r="Y140" i="3" s="1"/>
  <c r="O147" i="3"/>
  <c r="M221" i="3"/>
  <c r="K137" i="3"/>
  <c r="O205" i="3"/>
  <c r="O291" i="3"/>
  <c r="M226" i="3"/>
  <c r="P267" i="3"/>
  <c r="N178" i="3"/>
  <c r="J240" i="3"/>
  <c r="P274" i="3"/>
  <c r="Q178" i="3"/>
  <c r="K240" i="3"/>
  <c r="Q274" i="3"/>
  <c r="O230" i="3"/>
  <c r="U288" i="3"/>
  <c r="U315" i="3"/>
  <c r="V342" i="3"/>
  <c r="S225" i="3"/>
  <c r="P272" i="3"/>
  <c r="K306" i="3"/>
  <c r="J327" i="3"/>
  <c r="T58" i="3"/>
  <c r="M228" i="3"/>
  <c r="R267" i="3"/>
  <c r="P299" i="3"/>
  <c r="S319" i="3"/>
  <c r="R340" i="3"/>
  <c r="J201" i="3"/>
  <c r="R254" i="3"/>
  <c r="K294" i="3"/>
  <c r="N311" i="3"/>
  <c r="T329" i="3"/>
  <c r="V128" i="3"/>
  <c r="L225" i="3"/>
  <c r="R259" i="3"/>
  <c r="P293" i="3"/>
  <c r="T310" i="3"/>
  <c r="Q325" i="3"/>
  <c r="K339" i="3"/>
  <c r="M222" i="3"/>
  <c r="P292" i="3"/>
  <c r="V329" i="3"/>
  <c r="T351" i="3"/>
  <c r="N365" i="3"/>
  <c r="U378" i="3"/>
  <c r="L391" i="3"/>
  <c r="S404" i="3"/>
  <c r="M418" i="3"/>
  <c r="Q430" i="3"/>
  <c r="K444" i="3"/>
  <c r="R457" i="3"/>
  <c r="V469" i="3"/>
  <c r="M482" i="3"/>
  <c r="S201" i="3"/>
  <c r="P265" i="3"/>
  <c r="R305" i="3"/>
  <c r="T331" i="3"/>
  <c r="J350" i="3"/>
  <c r="U359" i="3"/>
  <c r="S369" i="3"/>
  <c r="Q379" i="3"/>
  <c r="O389" i="3"/>
  <c r="M399" i="3"/>
  <c r="K409" i="3"/>
  <c r="V418" i="3"/>
  <c r="T428" i="3"/>
  <c r="R438" i="3"/>
  <c r="P448" i="3"/>
  <c r="N458" i="3"/>
  <c r="L468" i="3"/>
  <c r="J478" i="3"/>
  <c r="T125" i="3"/>
  <c r="M243" i="3"/>
  <c r="U292" i="3"/>
  <c r="P320" i="3"/>
  <c r="T345" i="3"/>
  <c r="R355" i="3"/>
  <c r="P365" i="3"/>
  <c r="N375" i="3"/>
  <c r="L385" i="3"/>
  <c r="J395" i="3"/>
  <c r="U404" i="3"/>
  <c r="S414" i="3"/>
  <c r="Q424" i="3"/>
  <c r="O434" i="3"/>
  <c r="M444" i="3"/>
  <c r="K454" i="3"/>
  <c r="V463" i="3"/>
  <c r="T473" i="3"/>
  <c r="S160" i="3"/>
  <c r="J250" i="3"/>
  <c r="T296" i="3"/>
  <c r="K324" i="3"/>
  <c r="K347" i="3"/>
  <c r="V356" i="3"/>
  <c r="T366" i="3"/>
  <c r="R376" i="3"/>
  <c r="P386" i="3"/>
  <c r="N396" i="3"/>
  <c r="Q405" i="3"/>
  <c r="M154" i="3"/>
  <c r="U227" i="3"/>
  <c r="M267" i="3"/>
  <c r="O295" i="3"/>
  <c r="Y295" i="3" s="1"/>
  <c r="J313" i="3"/>
  <c r="S332" i="3"/>
  <c r="R346" i="3"/>
  <c r="T352" i="3"/>
  <c r="L360" i="3"/>
  <c r="N366" i="3"/>
  <c r="P372" i="3"/>
  <c r="U379" i="3"/>
  <c r="J386" i="3"/>
  <c r="L392" i="3"/>
  <c r="Q399" i="3"/>
  <c r="S405" i="3"/>
  <c r="U411" i="3"/>
  <c r="M419" i="3"/>
  <c r="O425" i="3"/>
  <c r="Y425" i="3" s="1"/>
  <c r="Q431" i="3"/>
  <c r="V438" i="3"/>
  <c r="K445" i="3"/>
  <c r="M451" i="3"/>
  <c r="R458" i="3"/>
  <c r="T464" i="3"/>
  <c r="V470" i="3"/>
  <c r="Q198" i="3"/>
  <c r="Q244" i="3"/>
  <c r="S277" i="3"/>
  <c r="J305" i="3"/>
  <c r="N321" i="3"/>
  <c r="S337" i="3"/>
  <c r="T349" i="3"/>
  <c r="V355" i="3"/>
  <c r="K362" i="3"/>
  <c r="P369" i="3"/>
  <c r="R375" i="3"/>
  <c r="T381" i="3"/>
  <c r="L389" i="3"/>
  <c r="N395" i="3"/>
  <c r="P401" i="3"/>
  <c r="U408" i="3"/>
  <c r="J415" i="3"/>
  <c r="L421" i="3"/>
  <c r="Q428" i="3"/>
  <c r="S434" i="3"/>
  <c r="U440" i="3"/>
  <c r="M448" i="3"/>
  <c r="O454" i="3"/>
  <c r="Y454" i="3" s="1"/>
  <c r="Q460" i="3"/>
  <c r="V467" i="3"/>
  <c r="P96" i="3"/>
  <c r="M306" i="3"/>
  <c r="K360" i="3"/>
  <c r="S384" i="3"/>
  <c r="N409" i="3"/>
  <c r="M429" i="3"/>
  <c r="R445" i="3"/>
  <c r="L462" i="3"/>
  <c r="P478" i="3"/>
  <c r="L487" i="3"/>
  <c r="N493" i="3"/>
  <c r="S500" i="3"/>
  <c r="U506" i="3"/>
  <c r="J513" i="3"/>
  <c r="O520" i="3"/>
  <c r="Q526" i="3"/>
  <c r="S532" i="3"/>
  <c r="N313" i="3"/>
  <c r="U357" i="3"/>
  <c r="P382" i="3"/>
  <c r="O411" i="3"/>
  <c r="T427" i="3"/>
  <c r="N444" i="3"/>
  <c r="J464" i="3"/>
  <c r="S477" i="3"/>
  <c r="P486" i="3"/>
  <c r="J494" i="3"/>
  <c r="L500" i="3"/>
  <c r="N506" i="3"/>
  <c r="S513" i="3"/>
  <c r="U519" i="3"/>
  <c r="J526" i="3"/>
  <c r="M135" i="3"/>
  <c r="T307" i="3"/>
  <c r="T355" i="3"/>
  <c r="N385" i="3"/>
  <c r="V409" i="3"/>
  <c r="P426" i="3"/>
  <c r="L446" i="3"/>
  <c r="K87" i="3"/>
  <c r="T157" i="3"/>
  <c r="P125" i="3"/>
  <c r="J148" i="3"/>
  <c r="L219" i="3"/>
  <c r="L298" i="3"/>
  <c r="K228" i="3"/>
  <c r="V269" i="3"/>
  <c r="J185" i="3"/>
  <c r="M241" i="3"/>
  <c r="S275" i="3"/>
  <c r="O188" i="3"/>
  <c r="Q242" i="3"/>
  <c r="J277" i="3"/>
  <c r="T237" i="3"/>
  <c r="V289" i="3"/>
  <c r="L320" i="3"/>
  <c r="Q343" i="3"/>
  <c r="L228" i="3"/>
  <c r="S273" i="3"/>
  <c r="S306" i="3"/>
  <c r="R327" i="3"/>
  <c r="O149" i="3"/>
  <c r="Y149" i="3" s="1"/>
  <c r="P229" i="3"/>
  <c r="Q272" i="3"/>
  <c r="M302" i="3"/>
  <c r="L322" i="3"/>
  <c r="U341" i="3"/>
  <c r="N218" i="3"/>
  <c r="K257" i="3"/>
  <c r="T294" i="3"/>
  <c r="O314" i="3"/>
  <c r="O330" i="3"/>
  <c r="Y330" i="3" s="1"/>
  <c r="U151" i="3"/>
  <c r="U228" i="3"/>
  <c r="N263" i="3"/>
  <c r="L294" i="3"/>
  <c r="M313" i="3"/>
  <c r="L326" i="3"/>
  <c r="S339" i="3"/>
  <c r="M232" i="3"/>
  <c r="M294" i="3"/>
  <c r="Q331" i="3"/>
  <c r="R353" i="3"/>
  <c r="V365" i="3"/>
  <c r="P379" i="3"/>
  <c r="J393" i="3"/>
  <c r="N405" i="3"/>
  <c r="U418" i="3"/>
  <c r="O432" i="3"/>
  <c r="Y432" i="3" s="1"/>
  <c r="S444" i="3"/>
  <c r="M458" i="3"/>
  <c r="T471" i="3"/>
  <c r="U482" i="3"/>
  <c r="M210" i="3"/>
  <c r="K269" i="3"/>
  <c r="L307" i="3"/>
  <c r="O333" i="3"/>
  <c r="Y333" i="3" s="1"/>
  <c r="R350" i="3"/>
  <c r="P360" i="3"/>
  <c r="N370" i="3"/>
  <c r="L380" i="3"/>
  <c r="J390" i="3"/>
  <c r="U399" i="3"/>
  <c r="S409" i="3"/>
  <c r="Q419" i="3"/>
  <c r="O429" i="3"/>
  <c r="M439" i="3"/>
  <c r="K449" i="3"/>
  <c r="V458" i="3"/>
  <c r="T468" i="3"/>
  <c r="R478" i="3"/>
  <c r="M150" i="3"/>
  <c r="N246" i="3"/>
  <c r="S294" i="3"/>
  <c r="M322" i="3"/>
  <c r="O346" i="3"/>
  <c r="M356" i="3"/>
  <c r="K366" i="3"/>
  <c r="V375" i="3"/>
  <c r="T385" i="3"/>
  <c r="R395" i="3"/>
  <c r="P405" i="3"/>
  <c r="N415" i="3"/>
  <c r="L425" i="3"/>
  <c r="J435" i="3"/>
  <c r="U444" i="3"/>
  <c r="S454" i="3"/>
  <c r="Q464" i="3"/>
  <c r="O474" i="3"/>
  <c r="Y474" i="3" s="1"/>
  <c r="J169" i="3"/>
  <c r="L253" i="3"/>
  <c r="U298" i="3"/>
  <c r="R325" i="3"/>
  <c r="S347" i="3"/>
  <c r="Q357" i="3"/>
  <c r="O367" i="3"/>
  <c r="Y367" i="3" s="1"/>
  <c r="M377" i="3"/>
  <c r="K387" i="3"/>
  <c r="V396" i="3"/>
  <c r="L406" i="3"/>
  <c r="N162" i="3"/>
  <c r="S237" i="3"/>
  <c r="O270" i="3"/>
  <c r="O297" i="3"/>
  <c r="Y297" i="3" s="1"/>
  <c r="V317" i="3"/>
  <c r="M334" i="3"/>
  <c r="M347" i="3"/>
  <c r="R354" i="3"/>
  <c r="T360" i="3"/>
  <c r="V366" i="3"/>
  <c r="N374" i="3"/>
  <c r="P380" i="3"/>
  <c r="R386" i="3"/>
  <c r="J394" i="3"/>
  <c r="L400" i="3"/>
  <c r="N406" i="3"/>
  <c r="S413" i="3"/>
  <c r="U419" i="3"/>
  <c r="J426" i="3"/>
  <c r="O433" i="3"/>
  <c r="Y433" i="3" s="1"/>
  <c r="Q439" i="3"/>
  <c r="S445" i="3"/>
  <c r="K453" i="3"/>
  <c r="M459" i="3"/>
  <c r="O465" i="3"/>
  <c r="T472" i="3"/>
  <c r="U206" i="3"/>
  <c r="L248" i="3"/>
  <c r="N287" i="3"/>
  <c r="Q306" i="3"/>
  <c r="V322" i="3"/>
  <c r="R342" i="3"/>
  <c r="O350" i="3"/>
  <c r="Q356" i="3"/>
  <c r="V363" i="3"/>
  <c r="K370" i="3"/>
  <c r="M376" i="3"/>
  <c r="R383" i="3"/>
  <c r="T389" i="3"/>
  <c r="V395" i="3"/>
  <c r="N403" i="3"/>
  <c r="P409" i="3"/>
  <c r="R415" i="3"/>
  <c r="J423" i="3"/>
  <c r="L429" i="3"/>
  <c r="N435" i="3"/>
  <c r="S442" i="3"/>
  <c r="U448" i="3"/>
  <c r="J455" i="3"/>
  <c r="O462" i="3"/>
  <c r="Q468" i="3"/>
  <c r="Q170" i="3"/>
  <c r="V325" i="3"/>
  <c r="Q362" i="3"/>
  <c r="L387" i="3"/>
  <c r="P414" i="3"/>
  <c r="U430" i="3"/>
  <c r="O447" i="3"/>
  <c r="Y447" i="3" s="1"/>
  <c r="K467" i="3"/>
  <c r="Q479" i="3"/>
  <c r="T487" i="3"/>
  <c r="L495" i="3"/>
  <c r="N501" i="3"/>
  <c r="P507" i="3"/>
  <c r="U514" i="3"/>
  <c r="J521" i="3"/>
  <c r="L527" i="3"/>
  <c r="O208" i="3"/>
  <c r="Y208" i="3" s="1"/>
  <c r="U319" i="3"/>
  <c r="N360" i="3"/>
  <c r="U389" i="3"/>
  <c r="J413" i="3"/>
  <c r="Q429" i="3"/>
  <c r="M449" i="3"/>
  <c r="Q465" i="3"/>
  <c r="T478" i="3"/>
  <c r="P488" i="3"/>
  <c r="R494" i="3"/>
  <c r="T500" i="3"/>
  <c r="L508" i="3"/>
  <c r="N514" i="3"/>
  <c r="P520" i="3"/>
  <c r="U527" i="3"/>
  <c r="U178" i="3"/>
  <c r="N314" i="3"/>
  <c r="L363" i="3"/>
  <c r="T387" i="3"/>
  <c r="S411" i="3"/>
  <c r="O431" i="3"/>
  <c r="S447" i="3"/>
  <c r="K464" i="3"/>
  <c r="S479" i="3"/>
  <c r="V487" i="3"/>
  <c r="K494" i="3"/>
  <c r="P501" i="3"/>
  <c r="R507" i="3"/>
  <c r="T513" i="3"/>
  <c r="L521" i="3"/>
  <c r="S526" i="3"/>
  <c r="M532" i="3"/>
  <c r="P284" i="3"/>
  <c r="L346" i="3"/>
  <c r="N368" i="3"/>
  <c r="V392" i="3"/>
  <c r="Q413" i="3"/>
  <c r="N428" i="3"/>
  <c r="N441" i="3"/>
  <c r="P454" i="3"/>
  <c r="S467" i="3"/>
  <c r="U477" i="3"/>
  <c r="K485" i="3"/>
  <c r="P490" i="3"/>
  <c r="O495" i="3"/>
  <c r="N500" i="3"/>
  <c r="M505" i="3"/>
  <c r="L510" i="3"/>
  <c r="K515" i="3"/>
  <c r="J520" i="3"/>
  <c r="V524" i="3"/>
  <c r="U529" i="3"/>
  <c r="L220" i="3"/>
  <c r="O309" i="3"/>
  <c r="P351" i="3"/>
  <c r="L371" i="3"/>
  <c r="U390" i="3"/>
  <c r="P410" i="3"/>
  <c r="P423" i="3"/>
  <c r="R436" i="3"/>
  <c r="U449" i="3"/>
  <c r="U462" i="3"/>
  <c r="L475" i="3"/>
  <c r="S482" i="3"/>
  <c r="S488" i="3"/>
  <c r="R493" i="3"/>
  <c r="Q498" i="3"/>
  <c r="P503" i="3"/>
  <c r="O508" i="3"/>
  <c r="N513" i="3"/>
  <c r="M518" i="3"/>
  <c r="L523" i="3"/>
  <c r="K528" i="3"/>
  <c r="T155" i="3"/>
  <c r="V76" i="3"/>
  <c r="P217" i="3"/>
  <c r="J137" i="3"/>
  <c r="V180" i="3"/>
  <c r="P246" i="3"/>
  <c r="J158" i="3"/>
  <c r="J241" i="3"/>
  <c r="M282" i="3"/>
  <c r="R209" i="3"/>
  <c r="S251" i="3"/>
  <c r="L286" i="3"/>
  <c r="S209" i="3"/>
  <c r="J253" i="3"/>
  <c r="L84" i="3"/>
  <c r="J255" i="3"/>
  <c r="V299" i="3"/>
  <c r="Q327" i="3"/>
  <c r="N153" i="3"/>
  <c r="S241" i="3"/>
  <c r="K288" i="3"/>
  <c r="U312" i="3"/>
  <c r="O334" i="3"/>
  <c r="Y334" i="3" s="1"/>
  <c r="R166" i="3"/>
  <c r="J243" i="3"/>
  <c r="U284" i="3"/>
  <c r="O307" i="3"/>
  <c r="Y307" i="3" s="1"/>
  <c r="N328" i="3"/>
  <c r="V127" i="3"/>
  <c r="J230" i="3"/>
  <c r="O269" i="3"/>
  <c r="Y269" i="3" s="1"/>
  <c r="K301" i="3"/>
  <c r="P317" i="3"/>
  <c r="V335" i="3"/>
  <c r="O181" i="3"/>
  <c r="P237" i="3"/>
  <c r="O274" i="3"/>
  <c r="Y274" i="3" s="1"/>
  <c r="P300" i="3"/>
  <c r="V316" i="3"/>
  <c r="P330" i="3"/>
  <c r="J344" i="3"/>
  <c r="T248" i="3"/>
  <c r="V306" i="3"/>
  <c r="L343" i="3"/>
  <c r="S356" i="3"/>
  <c r="M370" i="3"/>
  <c r="T383" i="3"/>
  <c r="K396" i="3"/>
  <c r="R409" i="3"/>
  <c r="L423" i="3"/>
  <c r="P435" i="3"/>
  <c r="J449" i="3"/>
  <c r="Q462" i="3"/>
  <c r="U474" i="3"/>
  <c r="V485" i="3"/>
  <c r="T232" i="3"/>
  <c r="L285" i="3"/>
  <c r="P315" i="3"/>
  <c r="R341" i="3"/>
  <c r="S353" i="3"/>
  <c r="Q363" i="3"/>
  <c r="O373" i="3"/>
  <c r="M383" i="3"/>
  <c r="K393" i="3"/>
  <c r="V402" i="3"/>
  <c r="T412" i="3"/>
  <c r="R422" i="3"/>
  <c r="P432" i="3"/>
  <c r="N442" i="3"/>
  <c r="L452" i="3"/>
  <c r="J462" i="3"/>
  <c r="U471" i="3"/>
  <c r="S481" i="3"/>
  <c r="S193" i="3"/>
  <c r="V262" i="3"/>
  <c r="K304" i="3"/>
  <c r="N330" i="3"/>
  <c r="P349" i="3"/>
  <c r="N359" i="3"/>
  <c r="L369" i="3"/>
  <c r="J379" i="3"/>
  <c r="U388" i="3"/>
  <c r="P106" i="3"/>
  <c r="K218" i="3"/>
  <c r="O162" i="3"/>
  <c r="Y162" i="3" s="1"/>
  <c r="R192" i="3"/>
  <c r="N256" i="3"/>
  <c r="K176" i="3"/>
  <c r="N245" i="3"/>
  <c r="J289" i="3"/>
  <c r="T219" i="3"/>
  <c r="O255" i="3"/>
  <c r="M63" i="3"/>
  <c r="K220" i="3"/>
  <c r="P255" i="3"/>
  <c r="M159" i="3"/>
  <c r="M256" i="3"/>
  <c r="T304" i="3"/>
  <c r="L328" i="3"/>
  <c r="S156" i="3"/>
  <c r="V242" i="3"/>
  <c r="V290" i="3"/>
  <c r="N315" i="3"/>
  <c r="J335" i="3"/>
  <c r="N186" i="3"/>
  <c r="M244" i="3"/>
  <c r="K286" i="3"/>
  <c r="P310" i="3"/>
  <c r="V328" i="3"/>
  <c r="P151" i="3"/>
  <c r="S233" i="3"/>
  <c r="K273" i="3"/>
  <c r="T301" i="3"/>
  <c r="Q320" i="3"/>
  <c r="Q336" i="3"/>
  <c r="S184" i="3"/>
  <c r="R243" i="3"/>
  <c r="R275" i="3"/>
  <c r="R302" i="3"/>
  <c r="T318" i="3"/>
  <c r="K331" i="3"/>
  <c r="V64" i="3"/>
  <c r="R258" i="3"/>
  <c r="S308" i="3"/>
  <c r="R344" i="3"/>
  <c r="Q358" i="3"/>
  <c r="U370" i="3"/>
  <c r="O384" i="3"/>
  <c r="Y384" i="3" s="1"/>
  <c r="V397" i="3"/>
  <c r="M410" i="3"/>
  <c r="T423" i="3"/>
  <c r="N437" i="3"/>
  <c r="R449" i="3"/>
  <c r="L463" i="3"/>
  <c r="P475" i="3"/>
  <c r="Q486" i="3"/>
  <c r="V235" i="3"/>
  <c r="M288" i="3"/>
  <c r="J317" i="3"/>
  <c r="M343" i="3"/>
  <c r="N354" i="3"/>
  <c r="L364" i="3"/>
  <c r="J374" i="3"/>
  <c r="U383" i="3"/>
  <c r="S393" i="3"/>
  <c r="Q403" i="3"/>
  <c r="O413" i="3"/>
  <c r="Y413" i="3" s="1"/>
  <c r="M423" i="3"/>
  <c r="K433" i="3"/>
  <c r="V442" i="3"/>
  <c r="T452" i="3"/>
  <c r="R462" i="3"/>
  <c r="P472" i="3"/>
  <c r="N482" i="3"/>
  <c r="P203" i="3"/>
  <c r="J266" i="3"/>
  <c r="S305" i="3"/>
  <c r="K332" i="3"/>
  <c r="K350" i="3"/>
  <c r="V359" i="3"/>
  <c r="T369" i="3"/>
  <c r="R379" i="3"/>
  <c r="P389" i="3"/>
  <c r="N399" i="3"/>
  <c r="L409" i="3"/>
  <c r="J419" i="3"/>
  <c r="U428" i="3"/>
  <c r="S438" i="3"/>
  <c r="Q448" i="3"/>
  <c r="O458" i="3"/>
  <c r="M468" i="3"/>
  <c r="K478" i="3"/>
  <c r="V218" i="3"/>
  <c r="U272" i="3"/>
  <c r="N309" i="3"/>
  <c r="P335" i="3"/>
  <c r="O351" i="3"/>
  <c r="M361" i="3"/>
  <c r="K371" i="3"/>
  <c r="V380" i="3"/>
  <c r="T390" i="3"/>
  <c r="R400" i="3"/>
  <c r="O407" i="3"/>
  <c r="Y407" i="3" s="1"/>
  <c r="J197" i="3"/>
  <c r="P244" i="3"/>
  <c r="K277" i="3"/>
  <c r="S304" i="3"/>
  <c r="K321" i="3"/>
  <c r="R337" i="3"/>
  <c r="S349" i="3"/>
  <c r="U355" i="3"/>
  <c r="J362" i="3"/>
  <c r="O369" i="3"/>
  <c r="Q375" i="3"/>
  <c r="S381" i="3"/>
  <c r="K389" i="3"/>
  <c r="M395" i="3"/>
  <c r="O401" i="3"/>
  <c r="Y401" i="3" s="1"/>
  <c r="T408" i="3"/>
  <c r="V414" i="3"/>
  <c r="K421" i="3"/>
  <c r="P428" i="3"/>
  <c r="R434" i="3"/>
  <c r="T440" i="3"/>
  <c r="L448" i="3"/>
  <c r="N454" i="3"/>
  <c r="P460" i="3"/>
  <c r="U467" i="3"/>
  <c r="R111" i="3"/>
  <c r="N221" i="3"/>
  <c r="K261" i="3"/>
  <c r="U291" i="3"/>
  <c r="V309" i="3"/>
  <c r="R329" i="3"/>
  <c r="N345" i="3"/>
  <c r="R351" i="3"/>
  <c r="J359" i="3"/>
  <c r="L365" i="3"/>
  <c r="N371" i="3"/>
  <c r="S378" i="3"/>
  <c r="U384" i="3"/>
  <c r="J391" i="3"/>
  <c r="O398" i="3"/>
  <c r="Y398" i="3" s="1"/>
  <c r="Q404" i="3"/>
  <c r="S410" i="3"/>
  <c r="K418" i="3"/>
  <c r="M424" i="3"/>
  <c r="O430" i="3"/>
  <c r="Y430" i="3" s="1"/>
  <c r="T437" i="3"/>
  <c r="V443" i="3"/>
  <c r="K450" i="3"/>
  <c r="P457" i="3"/>
  <c r="R463" i="3"/>
  <c r="T469" i="3"/>
  <c r="S253" i="3"/>
  <c r="V338" i="3"/>
  <c r="P367" i="3"/>
  <c r="J397" i="3"/>
  <c r="U417" i="3"/>
  <c r="L434" i="3"/>
  <c r="U453" i="3"/>
  <c r="M470" i="3"/>
  <c r="P481" i="3"/>
  <c r="M490" i="3"/>
  <c r="O496" i="3"/>
  <c r="Y496" i="3" s="1"/>
  <c r="Q502" i="3"/>
  <c r="V509" i="3"/>
  <c r="K516" i="3"/>
  <c r="M522" i="3"/>
  <c r="R529" i="3"/>
  <c r="J242" i="3"/>
  <c r="J333" i="3"/>
  <c r="L124" i="3"/>
  <c r="T258" i="3"/>
  <c r="V220" i="3"/>
  <c r="N257" i="3"/>
  <c r="T328" i="3"/>
  <c r="V315" i="3"/>
  <c r="M287" i="3"/>
  <c r="V234" i="3"/>
  <c r="L337" i="3"/>
  <c r="N303" i="3"/>
  <c r="T261" i="3"/>
  <c r="P371" i="3"/>
  <c r="O424" i="3"/>
  <c r="S476" i="3"/>
  <c r="R318" i="3"/>
  <c r="R374" i="3"/>
  <c r="J414" i="3"/>
  <c r="O453" i="3"/>
  <c r="Q211" i="3"/>
  <c r="S350" i="3"/>
  <c r="K390" i="3"/>
  <c r="O418" i="3"/>
  <c r="V439" i="3"/>
  <c r="U468" i="3"/>
  <c r="S269" i="3"/>
  <c r="U338" i="3"/>
  <c r="S371" i="3"/>
  <c r="J400" i="3"/>
  <c r="J214" i="3"/>
  <c r="N306" i="3"/>
  <c r="U347" i="3"/>
  <c r="P364" i="3"/>
  <c r="N382" i="3"/>
  <c r="T400" i="3"/>
  <c r="L416" i="3"/>
  <c r="M435" i="3"/>
  <c r="S453" i="3"/>
  <c r="K469" i="3"/>
  <c r="M264" i="3"/>
  <c r="S324" i="3"/>
  <c r="K354" i="3"/>
  <c r="V371" i="3"/>
  <c r="O390" i="3"/>
  <c r="Y390" i="3" s="1"/>
  <c r="T405" i="3"/>
  <c r="U424" i="3"/>
  <c r="N443" i="3"/>
  <c r="S458" i="3"/>
  <c r="S266" i="3"/>
  <c r="R389" i="3"/>
  <c r="S440" i="3"/>
  <c r="O482" i="3"/>
  <c r="Y482" i="3" s="1"/>
  <c r="V501" i="3"/>
  <c r="N517" i="3"/>
  <c r="V254" i="3"/>
  <c r="K375" i="3"/>
  <c r="U422" i="3"/>
  <c r="S455" i="3"/>
  <c r="J484" i="3"/>
  <c r="N498" i="3"/>
  <c r="R510" i="3"/>
  <c r="L524" i="3"/>
  <c r="M283" i="3"/>
  <c r="J373" i="3"/>
  <c r="Q421" i="3"/>
  <c r="Q457" i="3"/>
  <c r="T481" i="3"/>
  <c r="P493" i="3"/>
  <c r="N503" i="3"/>
  <c r="O514" i="3"/>
  <c r="J523" i="3"/>
  <c r="J531" i="3"/>
  <c r="J294" i="3"/>
  <c r="J356" i="3"/>
  <c r="Q385" i="3"/>
  <c r="K415" i="3"/>
  <c r="M433" i="3"/>
  <c r="L451" i="3"/>
  <c r="M469" i="3"/>
  <c r="U480" i="3"/>
  <c r="M489" i="3"/>
  <c r="J496" i="3"/>
  <c r="L502" i="3"/>
  <c r="V508" i="3"/>
  <c r="S515" i="3"/>
  <c r="U521" i="3"/>
  <c r="R528" i="3"/>
  <c r="J234" i="3"/>
  <c r="K329" i="3"/>
  <c r="M366" i="3"/>
  <c r="N393" i="3"/>
  <c r="O415" i="3"/>
  <c r="Y415" i="3" s="1"/>
  <c r="N433" i="3"/>
  <c r="O451" i="3"/>
  <c r="T467" i="3"/>
  <c r="V480" i="3"/>
  <c r="N489" i="3"/>
  <c r="P495" i="3"/>
  <c r="M502" i="3"/>
  <c r="J509" i="3"/>
  <c r="L515" i="3"/>
  <c r="V521" i="3"/>
  <c r="S528" i="3"/>
  <c r="M235" i="3"/>
  <c r="L323" i="3"/>
  <c r="Q361" i="3"/>
  <c r="S383" i="3"/>
  <c r="U405" i="3"/>
  <c r="L422" i="3"/>
  <c r="V436" i="3"/>
  <c r="S451" i="3"/>
  <c r="P466" i="3"/>
  <c r="K479" i="3"/>
  <c r="V486" i="3"/>
  <c r="P492" i="3"/>
  <c r="J498" i="3"/>
  <c r="Q503" i="3"/>
  <c r="K509" i="3"/>
  <c r="R514" i="3"/>
  <c r="T520" i="3"/>
  <c r="N526" i="3"/>
  <c r="K297" i="3"/>
  <c r="R349" i="3"/>
  <c r="T371" i="3"/>
  <c r="V393" i="3"/>
  <c r="L414" i="3"/>
  <c r="P430" i="3"/>
  <c r="M445" i="3"/>
  <c r="J460" i="3"/>
  <c r="P474" i="3"/>
  <c r="J483" i="3"/>
  <c r="P489" i="3"/>
  <c r="J495" i="3"/>
  <c r="L501" i="3"/>
  <c r="S506" i="3"/>
  <c r="M512" i="3"/>
  <c r="T517" i="3"/>
  <c r="N523" i="3"/>
  <c r="K367" i="3"/>
  <c r="S487" i="3"/>
  <c r="K530" i="3"/>
  <c r="P537" i="3"/>
  <c r="J543" i="3"/>
  <c r="Q548" i="3"/>
  <c r="K554" i="3"/>
  <c r="R559" i="3"/>
  <c r="L565" i="3"/>
  <c r="N571" i="3"/>
  <c r="U576" i="3"/>
  <c r="O582" i="3"/>
  <c r="V587" i="3"/>
  <c r="P593" i="3"/>
  <c r="J599" i="3"/>
  <c r="Q604" i="3"/>
  <c r="S610" i="3"/>
  <c r="M616" i="3"/>
  <c r="T621" i="3"/>
  <c r="N627" i="3"/>
  <c r="U632" i="3"/>
  <c r="O638" i="3"/>
  <c r="V643" i="3"/>
  <c r="K650" i="3"/>
  <c r="R655" i="3"/>
  <c r="Q660" i="3"/>
  <c r="P665" i="3"/>
  <c r="O670" i="3"/>
  <c r="N675" i="3"/>
  <c r="M680" i="3"/>
  <c r="L685" i="3"/>
  <c r="K690" i="3"/>
  <c r="J695" i="3"/>
  <c r="V699" i="3"/>
  <c r="K305" i="3"/>
  <c r="U461" i="3"/>
  <c r="V512" i="3"/>
  <c r="U533" i="3"/>
  <c r="T538" i="3"/>
  <c r="S543" i="3"/>
  <c r="R548" i="3"/>
  <c r="Q553" i="3"/>
  <c r="P558" i="3"/>
  <c r="O563" i="3"/>
  <c r="N568" i="3"/>
  <c r="M573" i="3"/>
  <c r="L578" i="3"/>
  <c r="K583" i="3"/>
  <c r="J588" i="3"/>
  <c r="V592" i="3"/>
  <c r="U597" i="3"/>
  <c r="T602" i="3"/>
  <c r="S607" i="3"/>
  <c r="R612" i="3"/>
  <c r="Q617" i="3"/>
  <c r="P622" i="3"/>
  <c r="O627" i="3"/>
  <c r="N632" i="3"/>
  <c r="M637" i="3"/>
  <c r="L642" i="3"/>
  <c r="K647" i="3"/>
  <c r="J652" i="3"/>
  <c r="V656" i="3"/>
  <c r="U661" i="3"/>
  <c r="T666" i="3"/>
  <c r="S671" i="3"/>
  <c r="R676" i="3"/>
  <c r="Q681" i="3"/>
  <c r="P686" i="3"/>
  <c r="O691" i="3"/>
  <c r="N696" i="3"/>
  <c r="M701" i="3"/>
  <c r="L706" i="3"/>
  <c r="K711" i="3"/>
  <c r="J716" i="3"/>
  <c r="V720" i="3"/>
  <c r="U725" i="3"/>
  <c r="S391" i="3"/>
  <c r="V488" i="3"/>
  <c r="K527" i="3"/>
  <c r="T535" i="3"/>
  <c r="S540" i="3"/>
  <c r="R545" i="3"/>
  <c r="Q550" i="3"/>
  <c r="P555" i="3"/>
  <c r="O560" i="3"/>
  <c r="N565" i="3"/>
  <c r="M570" i="3"/>
  <c r="L575" i="3"/>
  <c r="K580" i="3"/>
  <c r="J585" i="3"/>
  <c r="V589" i="3"/>
  <c r="U594" i="3"/>
  <c r="T599" i="3"/>
  <c r="S604" i="3"/>
  <c r="R609" i="3"/>
  <c r="Q614" i="3"/>
  <c r="P619" i="3"/>
  <c r="O624" i="3"/>
  <c r="Y624" i="3" s="1"/>
  <c r="N629" i="3"/>
  <c r="M634" i="3"/>
  <c r="L639" i="3"/>
  <c r="K644" i="3"/>
  <c r="J649" i="3"/>
  <c r="V653" i="3"/>
  <c r="U658" i="3"/>
  <c r="T663" i="3"/>
  <c r="S668" i="3"/>
  <c r="R673" i="3"/>
  <c r="Q678" i="3"/>
  <c r="P683" i="3"/>
  <c r="O688" i="3"/>
  <c r="Y688" i="3" s="1"/>
  <c r="N693" i="3"/>
  <c r="M698" i="3"/>
  <c r="L703" i="3"/>
  <c r="U438" i="3"/>
  <c r="N504" i="3"/>
  <c r="P532" i="3"/>
  <c r="S537" i="3"/>
  <c r="R542" i="3"/>
  <c r="Q547" i="3"/>
  <c r="P552" i="3"/>
  <c r="O557" i="3"/>
  <c r="Y557" i="3" s="1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N690" i="3"/>
  <c r="M695" i="3"/>
  <c r="M414" i="3"/>
  <c r="K495" i="3"/>
  <c r="O529" i="3"/>
  <c r="Y529" i="3" s="1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Y610" i="3" s="1"/>
  <c r="N615" i="3"/>
  <c r="M620" i="3"/>
  <c r="L625" i="3"/>
  <c r="K630" i="3"/>
  <c r="J635" i="3"/>
  <c r="V639" i="3"/>
  <c r="U644" i="3"/>
  <c r="T649" i="3"/>
  <c r="S654" i="3"/>
  <c r="R659" i="3"/>
  <c r="Q664" i="3"/>
  <c r="P669" i="3"/>
  <c r="O674" i="3"/>
  <c r="N679" i="3"/>
  <c r="M684" i="3"/>
  <c r="L689" i="3"/>
  <c r="K694" i="3"/>
  <c r="J699" i="3"/>
  <c r="V703" i="3"/>
  <c r="L442" i="3"/>
  <c r="Q505" i="3"/>
  <c r="R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M143" i="3"/>
  <c r="R260" i="3"/>
  <c r="J224" i="3"/>
  <c r="T259" i="3"/>
  <c r="O329" i="3"/>
  <c r="Y329" i="3" s="1"/>
  <c r="T317" i="3"/>
  <c r="L288" i="3"/>
  <c r="U239" i="3"/>
  <c r="M340" i="3"/>
  <c r="J304" i="3"/>
  <c r="O265" i="3"/>
  <c r="N373" i="3"/>
  <c r="J425" i="3"/>
  <c r="N477" i="3"/>
  <c r="O320" i="3"/>
  <c r="Y320" i="3" s="1"/>
  <c r="M375" i="3"/>
  <c r="R414" i="3"/>
  <c r="J454" i="3"/>
  <c r="U217" i="3"/>
  <c r="N351" i="3"/>
  <c r="S390" i="3"/>
  <c r="R419" i="3"/>
  <c r="V447" i="3"/>
  <c r="P469" i="3"/>
  <c r="P276" i="3"/>
  <c r="T350" i="3"/>
  <c r="N372" i="3"/>
  <c r="M401" i="3"/>
  <c r="U240" i="3"/>
  <c r="K308" i="3"/>
  <c r="N350" i="3"/>
  <c r="Q367" i="3"/>
  <c r="L384" i="3"/>
  <c r="J402" i="3"/>
  <c r="P420" i="3"/>
  <c r="U435" i="3"/>
  <c r="V454" i="3"/>
  <c r="O473" i="3"/>
  <c r="Y473" i="3" s="1"/>
  <c r="U267" i="3"/>
  <c r="L331" i="3"/>
  <c r="L357" i="3"/>
  <c r="T373" i="3"/>
  <c r="R391" i="3"/>
  <c r="K410" i="3"/>
  <c r="P425" i="3"/>
  <c r="Q444" i="3"/>
  <c r="J463" i="3"/>
  <c r="L280" i="3"/>
  <c r="P399" i="3"/>
  <c r="V448" i="3"/>
  <c r="U484" i="3"/>
  <c r="L503" i="3"/>
  <c r="R521" i="3"/>
  <c r="V267" i="3"/>
  <c r="N392" i="3"/>
  <c r="K431" i="3"/>
  <c r="L467" i="3"/>
  <c r="K489" i="3"/>
  <c r="O501" i="3"/>
  <c r="V514" i="3"/>
  <c r="P528" i="3"/>
  <c r="J321" i="3"/>
  <c r="M390" i="3"/>
  <c r="V432" i="3"/>
  <c r="P462" i="3"/>
  <c r="Q482" i="3"/>
  <c r="S494" i="3"/>
  <c r="V503" i="3"/>
  <c r="M516" i="3"/>
  <c r="R523" i="3"/>
  <c r="R531" i="3"/>
  <c r="R301" i="3"/>
  <c r="P358" i="3"/>
  <c r="J388" i="3"/>
  <c r="S416" i="3"/>
  <c r="T434" i="3"/>
  <c r="V452" i="3"/>
  <c r="U470" i="3"/>
  <c r="U481" i="3"/>
  <c r="U489" i="3"/>
  <c r="R496" i="3"/>
  <c r="T502" i="3"/>
  <c r="Q509" i="3"/>
  <c r="N516" i="3"/>
  <c r="P522" i="3"/>
  <c r="M529" i="3"/>
  <c r="J247" i="3"/>
  <c r="T335" i="3"/>
  <c r="S368" i="3"/>
  <c r="T395" i="3"/>
  <c r="V416" i="3"/>
  <c r="K435" i="3"/>
  <c r="J453" i="3"/>
  <c r="Q469" i="3"/>
  <c r="V481" i="3"/>
  <c r="V489" i="3"/>
  <c r="K496" i="3"/>
  <c r="U502" i="3"/>
  <c r="R509" i="3"/>
  <c r="T515" i="3"/>
  <c r="Q522" i="3"/>
  <c r="N529" i="3"/>
  <c r="M248" i="3"/>
  <c r="O336" i="3"/>
  <c r="J364" i="3"/>
  <c r="L386" i="3"/>
  <c r="N408" i="3"/>
  <c r="S423" i="3"/>
  <c r="P438" i="3"/>
  <c r="M453" i="3"/>
  <c r="R469" i="3"/>
  <c r="L480" i="3"/>
  <c r="Q487" i="3"/>
  <c r="K493" i="3"/>
  <c r="R498" i="3"/>
  <c r="L504" i="3"/>
  <c r="S509" i="3"/>
  <c r="U515" i="3"/>
  <c r="O521" i="3"/>
  <c r="Y521" i="3" s="1"/>
  <c r="J161" i="3"/>
  <c r="P304" i="3"/>
  <c r="K352" i="3"/>
  <c r="M374" i="3"/>
  <c r="O396" i="3"/>
  <c r="Y396" i="3" s="1"/>
  <c r="N417" i="3"/>
  <c r="K432" i="3"/>
  <c r="U446" i="3"/>
  <c r="R461" i="3"/>
  <c r="N475" i="3"/>
  <c r="T483" i="3"/>
  <c r="K490" i="3"/>
  <c r="M496" i="3"/>
  <c r="T501" i="3"/>
  <c r="N507" i="3"/>
  <c r="U512" i="3"/>
  <c r="O518" i="3"/>
  <c r="V523" i="3"/>
  <c r="T386" i="3"/>
  <c r="Q497" i="3"/>
  <c r="U531" i="3"/>
  <c r="K538" i="3"/>
  <c r="R543" i="3"/>
  <c r="L549" i="3"/>
  <c r="S554" i="3"/>
  <c r="M560" i="3"/>
  <c r="O566" i="3"/>
  <c r="Y566" i="3" s="1"/>
  <c r="V571" i="3"/>
  <c r="P577" i="3"/>
  <c r="J583" i="3"/>
  <c r="Q588" i="3"/>
  <c r="K594" i="3"/>
  <c r="R599" i="3"/>
  <c r="T605" i="3"/>
  <c r="N611" i="3"/>
  <c r="U616" i="3"/>
  <c r="O622" i="3"/>
  <c r="Y622" i="3" s="1"/>
  <c r="V627" i="3"/>
  <c r="P633" i="3"/>
  <c r="J639" i="3"/>
  <c r="L645" i="3"/>
  <c r="S650" i="3"/>
  <c r="M656" i="3"/>
  <c r="L661" i="3"/>
  <c r="K666" i="3"/>
  <c r="J671" i="3"/>
  <c r="V675" i="3"/>
  <c r="U680" i="3"/>
  <c r="T685" i="3"/>
  <c r="S690" i="3"/>
  <c r="R695" i="3"/>
  <c r="Q700" i="3"/>
  <c r="U349" i="3"/>
  <c r="Q474" i="3"/>
  <c r="U517" i="3"/>
  <c r="P534" i="3"/>
  <c r="O539" i="3"/>
  <c r="N544" i="3"/>
  <c r="M549" i="3"/>
  <c r="L554" i="3"/>
  <c r="K559" i="3"/>
  <c r="J564" i="3"/>
  <c r="V568" i="3"/>
  <c r="U573" i="3"/>
  <c r="T578" i="3"/>
  <c r="S583" i="3"/>
  <c r="R588" i="3"/>
  <c r="Q593" i="3"/>
  <c r="P598" i="3"/>
  <c r="O603" i="3"/>
  <c r="Y603" i="3" s="1"/>
  <c r="N608" i="3"/>
  <c r="M613" i="3"/>
  <c r="L618" i="3"/>
  <c r="K623" i="3"/>
  <c r="J628" i="3"/>
  <c r="V632" i="3"/>
  <c r="U637" i="3"/>
  <c r="T642" i="3"/>
  <c r="S647" i="3"/>
  <c r="R652" i="3"/>
  <c r="Q657" i="3"/>
  <c r="P662" i="3"/>
  <c r="O667" i="3"/>
  <c r="N672" i="3"/>
  <c r="M677" i="3"/>
  <c r="L682" i="3"/>
  <c r="K687" i="3"/>
  <c r="J692" i="3"/>
  <c r="V696" i="3"/>
  <c r="U701" i="3"/>
  <c r="T706" i="3"/>
  <c r="S711" i="3"/>
  <c r="R716" i="3"/>
  <c r="Q721" i="3"/>
  <c r="P726" i="3"/>
  <c r="K411" i="3"/>
  <c r="U493" i="3"/>
  <c r="U528" i="3"/>
  <c r="O536" i="3"/>
  <c r="N541" i="3"/>
  <c r="M546" i="3"/>
  <c r="L551" i="3"/>
  <c r="K556" i="3"/>
  <c r="J561" i="3"/>
  <c r="V565" i="3"/>
  <c r="U570" i="3"/>
  <c r="T575" i="3"/>
  <c r="S580" i="3"/>
  <c r="R585" i="3"/>
  <c r="Q590" i="3"/>
  <c r="P595" i="3"/>
  <c r="O600" i="3"/>
  <c r="Y600" i="3" s="1"/>
  <c r="N605" i="3"/>
  <c r="M610" i="3"/>
  <c r="L615" i="3"/>
  <c r="K620" i="3"/>
  <c r="J625" i="3"/>
  <c r="V629" i="3"/>
  <c r="U634" i="3"/>
  <c r="T639" i="3"/>
  <c r="S644" i="3"/>
  <c r="R649" i="3"/>
  <c r="Q654" i="3"/>
  <c r="P659" i="3"/>
  <c r="O664" i="3"/>
  <c r="Y664" i="3" s="1"/>
  <c r="N669" i="3"/>
  <c r="M674" i="3"/>
  <c r="L679" i="3"/>
  <c r="K684" i="3"/>
  <c r="J689" i="3"/>
  <c r="V693" i="3"/>
  <c r="U698" i="3"/>
  <c r="O238" i="3"/>
  <c r="Y238" i="3" s="1"/>
  <c r="J452" i="3"/>
  <c r="M509" i="3"/>
  <c r="O533" i="3"/>
  <c r="Y533" i="3" s="1"/>
  <c r="N538" i="3"/>
  <c r="M543" i="3"/>
  <c r="L548" i="3"/>
  <c r="K553" i="3"/>
  <c r="J558" i="3"/>
  <c r="V562" i="3"/>
  <c r="U567" i="3"/>
  <c r="T572" i="3"/>
  <c r="S577" i="3"/>
  <c r="R582" i="3"/>
  <c r="Q587" i="3"/>
  <c r="P592" i="3"/>
  <c r="O597" i="3"/>
  <c r="Y597" i="3" s="1"/>
  <c r="N602" i="3"/>
  <c r="R137" i="3"/>
  <c r="J181" i="3"/>
  <c r="J256" i="3"/>
  <c r="Q162" i="3"/>
  <c r="L163" i="3"/>
  <c r="R335" i="3"/>
  <c r="K311" i="3"/>
  <c r="N274" i="3"/>
  <c r="K188" i="3"/>
  <c r="O319" i="3"/>
  <c r="Y319" i="3" s="1"/>
  <c r="M310" i="3"/>
  <c r="J385" i="3"/>
  <c r="V437" i="3"/>
  <c r="K68" i="3"/>
  <c r="S344" i="3"/>
  <c r="P384" i="3"/>
  <c r="U423" i="3"/>
  <c r="M463" i="3"/>
  <c r="L269" i="3"/>
  <c r="Q360" i="3"/>
  <c r="S398" i="3"/>
  <c r="M420" i="3"/>
  <c r="L449" i="3"/>
  <c r="P477" i="3"/>
  <c r="Q279" i="3"/>
  <c r="J352" i="3"/>
  <c r="N380" i="3"/>
  <c r="U401" i="3"/>
  <c r="Q247" i="3"/>
  <c r="P319" i="3"/>
  <c r="V350" i="3"/>
  <c r="J370" i="3"/>
  <c r="M387" i="3"/>
  <c r="U403" i="3"/>
  <c r="S421" i="3"/>
  <c r="L440" i="3"/>
  <c r="Q455" i="3"/>
  <c r="N139" i="3"/>
  <c r="T289" i="3"/>
  <c r="T332" i="3"/>
  <c r="R359" i="3"/>
  <c r="U376" i="3"/>
  <c r="P393" i="3"/>
  <c r="N411" i="3"/>
  <c r="T429" i="3"/>
  <c r="L445" i="3"/>
  <c r="M464" i="3"/>
  <c r="O332" i="3"/>
  <c r="Y332" i="3" s="1"/>
  <c r="V401" i="3"/>
  <c r="P455" i="3"/>
  <c r="O488" i="3"/>
  <c r="J505" i="3"/>
  <c r="U522" i="3"/>
  <c r="Q326" i="3"/>
  <c r="T394" i="3"/>
  <c r="J436" i="3"/>
  <c r="V468" i="3"/>
  <c r="S489" i="3"/>
  <c r="M503" i="3"/>
  <c r="Q515" i="3"/>
  <c r="K529" i="3"/>
  <c r="S340" i="3"/>
  <c r="S392" i="3"/>
  <c r="Q434" i="3"/>
  <c r="U465" i="3"/>
  <c r="N483" i="3"/>
  <c r="Q496" i="3"/>
  <c r="J507" i="3"/>
  <c r="U516" i="3"/>
  <c r="P525" i="3"/>
  <c r="U532" i="3"/>
  <c r="V314" i="3"/>
  <c r="O363" i="3"/>
  <c r="Y363" i="3" s="1"/>
  <c r="O395" i="3"/>
  <c r="Y395" i="3" s="1"/>
  <c r="P418" i="3"/>
  <c r="L438" i="3"/>
  <c r="K456" i="3"/>
  <c r="R472" i="3"/>
  <c r="O483" i="3"/>
  <c r="Y483" i="3" s="1"/>
  <c r="K491" i="3"/>
  <c r="M497" i="3"/>
  <c r="J504" i="3"/>
  <c r="T510" i="3"/>
  <c r="V516" i="3"/>
  <c r="S523" i="3"/>
  <c r="P530" i="3"/>
  <c r="P260" i="3"/>
  <c r="Q346" i="3"/>
  <c r="R373" i="3"/>
  <c r="M398" i="3"/>
  <c r="N420" i="3"/>
  <c r="M438" i="3"/>
  <c r="T454" i="3"/>
  <c r="S472" i="3"/>
  <c r="R483" i="3"/>
  <c r="Q490" i="3"/>
  <c r="N497" i="3"/>
  <c r="K504" i="3"/>
  <c r="M510" i="3"/>
  <c r="J517" i="3"/>
  <c r="T523" i="3"/>
  <c r="V529" i="3"/>
  <c r="R274" i="3"/>
  <c r="U342" i="3"/>
  <c r="P366" i="3"/>
  <c r="R388" i="3"/>
  <c r="Q410" i="3"/>
  <c r="N425" i="3"/>
  <c r="K440" i="3"/>
  <c r="R456" i="3"/>
  <c r="O471" i="3"/>
  <c r="Y471" i="3" s="1"/>
  <c r="M481" i="3"/>
  <c r="L488" i="3"/>
  <c r="S493" i="3"/>
  <c r="M499" i="3"/>
  <c r="T504" i="3"/>
  <c r="V510" i="3"/>
  <c r="P516" i="3"/>
  <c r="J522" i="3"/>
  <c r="T196" i="3"/>
  <c r="L311" i="3"/>
  <c r="Q354" i="3"/>
  <c r="S376" i="3"/>
  <c r="N401" i="3"/>
  <c r="K419" i="3"/>
  <c r="U433" i="3"/>
  <c r="R448" i="3"/>
  <c r="O463" i="3"/>
  <c r="O476" i="3"/>
  <c r="Y476" i="3" s="1"/>
  <c r="Q484" i="3"/>
  <c r="N491" i="3"/>
  <c r="U496" i="3"/>
  <c r="O502" i="3"/>
  <c r="V507" i="3"/>
  <c r="P513" i="3"/>
  <c r="J519" i="3"/>
  <c r="Q524" i="3"/>
  <c r="V420" i="3"/>
  <c r="P502" i="3"/>
  <c r="L533" i="3"/>
  <c r="S538" i="3"/>
  <c r="M544" i="3"/>
  <c r="T549" i="3"/>
  <c r="N555" i="3"/>
  <c r="P561" i="3"/>
  <c r="J567" i="3"/>
  <c r="Q572" i="3"/>
  <c r="K578" i="3"/>
  <c r="R583" i="3"/>
  <c r="L589" i="3"/>
  <c r="S594" i="3"/>
  <c r="U600" i="3"/>
  <c r="O606" i="3"/>
  <c r="Y606" i="3" s="1"/>
  <c r="V611" i="3"/>
  <c r="P617" i="3"/>
  <c r="J623" i="3"/>
  <c r="Q628" i="3"/>
  <c r="K634" i="3"/>
  <c r="M640" i="3"/>
  <c r="T645" i="3"/>
  <c r="N651" i="3"/>
  <c r="U656" i="3"/>
  <c r="T661" i="3"/>
  <c r="S666" i="3"/>
  <c r="R671" i="3"/>
  <c r="Q676" i="3"/>
  <c r="P681" i="3"/>
  <c r="O686" i="3"/>
  <c r="N691" i="3"/>
  <c r="M696" i="3"/>
  <c r="L701" i="3"/>
  <c r="Q369" i="3"/>
  <c r="L482" i="3"/>
  <c r="T522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U613" i="3"/>
  <c r="T618" i="3"/>
  <c r="S623" i="3"/>
  <c r="R628" i="3"/>
  <c r="Q633" i="3"/>
  <c r="P638" i="3"/>
  <c r="O643" i="3"/>
  <c r="N648" i="3"/>
  <c r="M653" i="3"/>
  <c r="L658" i="3"/>
  <c r="K663" i="3"/>
  <c r="J668" i="3"/>
  <c r="V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K424" i="3"/>
  <c r="T498" i="3"/>
  <c r="R530" i="3"/>
  <c r="J537" i="3"/>
  <c r="V541" i="3"/>
  <c r="U546" i="3"/>
  <c r="T551" i="3"/>
  <c r="S556" i="3"/>
  <c r="R561" i="3"/>
  <c r="Q566" i="3"/>
  <c r="P571" i="3"/>
  <c r="O576" i="3"/>
  <c r="Y576" i="3" s="1"/>
  <c r="N581" i="3"/>
  <c r="M586" i="3"/>
  <c r="L591" i="3"/>
  <c r="K596" i="3"/>
  <c r="J601" i="3"/>
  <c r="V605" i="3"/>
  <c r="U610" i="3"/>
  <c r="T615" i="3"/>
  <c r="S620" i="3"/>
  <c r="R625" i="3"/>
  <c r="Q630" i="3"/>
  <c r="P635" i="3"/>
  <c r="O640" i="3"/>
  <c r="Y640" i="3" s="1"/>
  <c r="N645" i="3"/>
  <c r="M650" i="3"/>
  <c r="L655" i="3"/>
  <c r="K660" i="3"/>
  <c r="J665" i="3"/>
  <c r="V669" i="3"/>
  <c r="U674" i="3"/>
  <c r="T679" i="3"/>
  <c r="S684" i="3"/>
  <c r="R689" i="3"/>
  <c r="Q694" i="3"/>
  <c r="P699" i="3"/>
  <c r="M318" i="3"/>
  <c r="M465" i="3"/>
  <c r="L514" i="3"/>
  <c r="J534" i="3"/>
  <c r="V538" i="3"/>
  <c r="U543" i="3"/>
  <c r="T548" i="3"/>
  <c r="S553" i="3"/>
  <c r="R558" i="3"/>
  <c r="Q563" i="3"/>
  <c r="P568" i="3"/>
  <c r="O573" i="3"/>
  <c r="Y573" i="3" s="1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M647" i="3"/>
  <c r="L652" i="3"/>
  <c r="K657" i="3"/>
  <c r="J662" i="3"/>
  <c r="V666" i="3"/>
  <c r="U671" i="3"/>
  <c r="T676" i="3"/>
  <c r="S681" i="3"/>
  <c r="R686" i="3"/>
  <c r="Q691" i="3"/>
  <c r="P696" i="3"/>
  <c r="R440" i="3"/>
  <c r="V504" i="3"/>
  <c r="Q532" i="3"/>
  <c r="T537" i="3"/>
  <c r="S542" i="3"/>
  <c r="R547" i="3"/>
  <c r="Q552" i="3"/>
  <c r="P557" i="3"/>
  <c r="O562" i="3"/>
  <c r="Y562" i="3" s="1"/>
  <c r="Q139" i="3"/>
  <c r="O184" i="3"/>
  <c r="S259" i="3"/>
  <c r="K169" i="3"/>
  <c r="J173" i="3"/>
  <c r="P337" i="3"/>
  <c r="N312" i="3"/>
  <c r="M279" i="3"/>
  <c r="M191" i="3"/>
  <c r="J320" i="3"/>
  <c r="L315" i="3"/>
  <c r="R385" i="3"/>
  <c r="Q438" i="3"/>
  <c r="R124" i="3"/>
  <c r="S345" i="3"/>
  <c r="K385" i="3"/>
  <c r="P424" i="3"/>
  <c r="U463" i="3"/>
  <c r="T272" i="3"/>
  <c r="L361" i="3"/>
  <c r="V399" i="3"/>
  <c r="M428" i="3"/>
  <c r="T449" i="3"/>
  <c r="S478" i="3"/>
  <c r="Q307" i="3"/>
  <c r="R352" i="3"/>
  <c r="Q381" i="3"/>
  <c r="T406" i="3"/>
  <c r="S250" i="3"/>
  <c r="U322" i="3"/>
  <c r="M355" i="3"/>
  <c r="R370" i="3"/>
  <c r="S389" i="3"/>
  <c r="V406" i="3"/>
  <c r="Q423" i="3"/>
  <c r="O441" i="3"/>
  <c r="Y441" i="3" s="1"/>
  <c r="U459" i="3"/>
  <c r="N154" i="3"/>
  <c r="V293" i="3"/>
  <c r="O344" i="3"/>
  <c r="Y344" i="3" s="1"/>
  <c r="M360" i="3"/>
  <c r="N379" i="3"/>
  <c r="Q396" i="3"/>
  <c r="L413" i="3"/>
  <c r="J431" i="3"/>
  <c r="P449" i="3"/>
  <c r="U464" i="3"/>
  <c r="L345" i="3"/>
  <c r="K416" i="3"/>
  <c r="M457" i="3"/>
  <c r="U490" i="3"/>
  <c r="K508" i="3"/>
  <c r="S524" i="3"/>
  <c r="Q339" i="3"/>
  <c r="M397" i="3"/>
  <c r="R437" i="3"/>
  <c r="P470" i="3"/>
  <c r="N490" i="3"/>
  <c r="U503" i="3"/>
  <c r="L516" i="3"/>
  <c r="S529" i="3"/>
  <c r="V345" i="3"/>
  <c r="L395" i="3"/>
  <c r="N436" i="3"/>
  <c r="T470" i="3"/>
  <c r="N487" i="3"/>
  <c r="L497" i="3"/>
  <c r="M508" i="3"/>
  <c r="P517" i="3"/>
  <c r="K526" i="3"/>
  <c r="L143" i="3"/>
  <c r="R321" i="3"/>
  <c r="U365" i="3"/>
  <c r="U397" i="3"/>
  <c r="J420" i="3"/>
  <c r="S439" i="3"/>
  <c r="U457" i="3"/>
  <c r="J474" i="3"/>
  <c r="N484" i="3"/>
  <c r="S491" i="3"/>
  <c r="U497" i="3"/>
  <c r="R504" i="3"/>
  <c r="O511" i="3"/>
  <c r="Q517" i="3"/>
  <c r="N524" i="3"/>
  <c r="K531" i="3"/>
  <c r="O273" i="3"/>
  <c r="J349" i="3"/>
  <c r="K376" i="3"/>
  <c r="S400" i="3"/>
  <c r="U421" i="3"/>
  <c r="J440" i="3"/>
  <c r="N456" i="3"/>
  <c r="K474" i="3"/>
  <c r="O484" i="3"/>
  <c r="L491" i="3"/>
  <c r="V497" i="3"/>
  <c r="S504" i="3"/>
  <c r="U510" i="3"/>
  <c r="R517" i="3"/>
  <c r="O524" i="3"/>
  <c r="Q530" i="3"/>
  <c r="P287" i="3"/>
  <c r="T346" i="3"/>
  <c r="V368" i="3"/>
  <c r="K391" i="3"/>
  <c r="N412" i="3"/>
  <c r="K427" i="3"/>
  <c r="O443" i="3"/>
  <c r="Y443" i="3" s="1"/>
  <c r="L458" i="3"/>
  <c r="V472" i="3"/>
  <c r="J482" i="3"/>
  <c r="T488" i="3"/>
  <c r="N494" i="3"/>
  <c r="U499" i="3"/>
  <c r="J506" i="3"/>
  <c r="Q511" i="3"/>
  <c r="K517" i="3"/>
  <c r="R522" i="3"/>
  <c r="L224" i="3"/>
  <c r="R317" i="3"/>
  <c r="J357" i="3"/>
  <c r="R381" i="3"/>
  <c r="T403" i="3"/>
  <c r="R420" i="3"/>
  <c r="O435" i="3"/>
  <c r="Y435" i="3" s="1"/>
  <c r="L450" i="3"/>
  <c r="V464" i="3"/>
  <c r="M477" i="3"/>
  <c r="M486" i="3"/>
  <c r="V491" i="3"/>
  <c r="P497" i="3"/>
  <c r="J503" i="3"/>
  <c r="Q508" i="3"/>
  <c r="K514" i="3"/>
  <c r="R519" i="3"/>
  <c r="T525" i="3"/>
  <c r="V433" i="3"/>
  <c r="O507" i="3"/>
  <c r="T533" i="3"/>
  <c r="N539" i="3"/>
  <c r="U544" i="3"/>
  <c r="O550" i="3"/>
  <c r="Q556" i="3"/>
  <c r="K562" i="3"/>
  <c r="R567" i="3"/>
  <c r="L573" i="3"/>
  <c r="S578" i="3"/>
  <c r="M584" i="3"/>
  <c r="T589" i="3"/>
  <c r="V595" i="3"/>
  <c r="P601" i="3"/>
  <c r="J607" i="3"/>
  <c r="Q612" i="3"/>
  <c r="K618" i="3"/>
  <c r="R623" i="3"/>
  <c r="L629" i="3"/>
  <c r="N635" i="3"/>
  <c r="U640" i="3"/>
  <c r="O646" i="3"/>
  <c r="Y646" i="3" s="1"/>
  <c r="V651" i="3"/>
  <c r="P657" i="3"/>
  <c r="O662" i="3"/>
  <c r="N667" i="3"/>
  <c r="M672" i="3"/>
  <c r="L677" i="3"/>
  <c r="K682" i="3"/>
  <c r="J687" i="3"/>
  <c r="V691" i="3"/>
  <c r="U696" i="3"/>
  <c r="T701" i="3"/>
  <c r="M389" i="3"/>
  <c r="N488" i="3"/>
  <c r="J527" i="3"/>
  <c r="S535" i="3"/>
  <c r="R540" i="3"/>
  <c r="Q545" i="3"/>
  <c r="P550" i="3"/>
  <c r="O555" i="3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M693" i="3"/>
  <c r="L698" i="3"/>
  <c r="K703" i="3"/>
  <c r="J708" i="3"/>
  <c r="V712" i="3"/>
  <c r="U717" i="3"/>
  <c r="T722" i="3"/>
  <c r="S727" i="3"/>
  <c r="M437" i="3"/>
  <c r="S503" i="3"/>
  <c r="J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N685" i="3"/>
  <c r="M690" i="3"/>
  <c r="L695" i="3"/>
  <c r="K700" i="3"/>
  <c r="T354" i="3"/>
  <c r="P476" i="3"/>
  <c r="K519" i="3"/>
  <c r="R534" i="3"/>
  <c r="Q539" i="3"/>
  <c r="P544" i="3"/>
  <c r="O549" i="3"/>
  <c r="N554" i="3"/>
  <c r="M559" i="3"/>
  <c r="L564" i="3"/>
  <c r="K569" i="3"/>
  <c r="J574" i="3"/>
  <c r="V578" i="3"/>
  <c r="U583" i="3"/>
  <c r="T588" i="3"/>
  <c r="S593" i="3"/>
  <c r="R598" i="3"/>
  <c r="U164" i="3"/>
  <c r="V245" i="3"/>
  <c r="V102" i="3"/>
  <c r="K266" i="3"/>
  <c r="U247" i="3"/>
  <c r="R189" i="3"/>
  <c r="Q329" i="3"/>
  <c r="Q302" i="3"/>
  <c r="U244" i="3"/>
  <c r="S331" i="3"/>
  <c r="R345" i="3"/>
  <c r="Q398" i="3"/>
  <c r="M450" i="3"/>
  <c r="Q239" i="3"/>
  <c r="V354" i="3"/>
  <c r="N394" i="3"/>
  <c r="S433" i="3"/>
  <c r="K473" i="3"/>
  <c r="P307" i="3"/>
  <c r="O370" i="3"/>
  <c r="Y370" i="3" s="1"/>
  <c r="Q400" i="3"/>
  <c r="P429" i="3"/>
  <c r="T457" i="3"/>
  <c r="N479" i="3"/>
  <c r="U310" i="3"/>
  <c r="R360" i="3"/>
  <c r="L382" i="3"/>
  <c r="J408" i="3"/>
  <c r="J274" i="3"/>
  <c r="O324" i="3"/>
  <c r="P356" i="3"/>
  <c r="V374" i="3"/>
  <c r="N390" i="3"/>
  <c r="O409" i="3"/>
  <c r="Y409" i="3" s="1"/>
  <c r="R426" i="3"/>
  <c r="M443" i="3"/>
  <c r="K461" i="3"/>
  <c r="M215" i="3"/>
  <c r="R295" i="3"/>
  <c r="K346" i="3"/>
  <c r="Q364" i="3"/>
  <c r="V379" i="3"/>
  <c r="J399" i="3"/>
  <c r="M416" i="3"/>
  <c r="U432" i="3"/>
  <c r="S450" i="3"/>
  <c r="L469" i="3"/>
  <c r="T347" i="3"/>
  <c r="O419" i="3"/>
  <c r="R468" i="3"/>
  <c r="P491" i="3"/>
  <c r="Q510" i="3"/>
  <c r="T527" i="3"/>
  <c r="P350" i="3"/>
  <c r="S399" i="3"/>
  <c r="O439" i="3"/>
  <c r="Y439" i="3" s="1"/>
  <c r="S474" i="3"/>
  <c r="V490" i="3"/>
  <c r="P504" i="3"/>
  <c r="J518" i="3"/>
  <c r="N530" i="3"/>
  <c r="O348" i="3"/>
  <c r="Q402" i="3"/>
  <c r="U437" i="3"/>
  <c r="N472" i="3"/>
  <c r="Q488" i="3"/>
  <c r="T497" i="3"/>
  <c r="U508" i="3"/>
  <c r="S518" i="3"/>
  <c r="N527" i="3"/>
  <c r="J182" i="3"/>
  <c r="R334" i="3"/>
  <c r="M373" i="3"/>
  <c r="N400" i="3"/>
  <c r="V424" i="3"/>
  <c r="K443" i="3"/>
  <c r="O459" i="3"/>
  <c r="V475" i="3"/>
  <c r="U485" i="3"/>
  <c r="N492" i="3"/>
  <c r="K499" i="3"/>
  <c r="U505" i="3"/>
  <c r="J512" i="3"/>
  <c r="T518" i="3"/>
  <c r="Q525" i="3"/>
  <c r="S531" i="3"/>
  <c r="N295" i="3"/>
  <c r="V353" i="3"/>
  <c r="Q378" i="3"/>
  <c r="R405" i="3"/>
  <c r="M425" i="3"/>
  <c r="Q441" i="3"/>
  <c r="S459" i="3"/>
  <c r="J476" i="3"/>
  <c r="L485" i="3"/>
  <c r="O492" i="3"/>
  <c r="Y492" i="3" s="1"/>
  <c r="L499" i="3"/>
  <c r="N505" i="3"/>
  <c r="K512" i="3"/>
  <c r="U518" i="3"/>
  <c r="J525" i="3"/>
  <c r="T531" i="3"/>
  <c r="J296" i="3"/>
  <c r="M349" i="3"/>
  <c r="O371" i="3"/>
  <c r="Q393" i="3"/>
  <c r="U413" i="3"/>
  <c r="M430" i="3"/>
  <c r="J445" i="3"/>
  <c r="T459" i="3"/>
  <c r="L474" i="3"/>
  <c r="T482" i="3"/>
  <c r="O489" i="3"/>
  <c r="V494" i="3"/>
  <c r="K501" i="3"/>
  <c r="R506" i="3"/>
  <c r="L512" i="3"/>
  <c r="S517" i="3"/>
  <c r="M523" i="3"/>
  <c r="L237" i="3"/>
  <c r="L324" i="3"/>
  <c r="V361" i="3"/>
  <c r="K384" i="3"/>
  <c r="M406" i="3"/>
  <c r="M422" i="3"/>
  <c r="J437" i="3"/>
  <c r="T451" i="3"/>
  <c r="Q466" i="3"/>
  <c r="O479" i="3"/>
  <c r="J487" i="3"/>
  <c r="Q492" i="3"/>
  <c r="K498" i="3"/>
  <c r="R503" i="3"/>
  <c r="L509" i="3"/>
  <c r="S514" i="3"/>
  <c r="U520" i="3"/>
  <c r="O526" i="3"/>
  <c r="K447" i="3"/>
  <c r="N512" i="3"/>
  <c r="O534" i="3"/>
  <c r="Y534" i="3" s="1"/>
  <c r="V539" i="3"/>
  <c r="P545" i="3"/>
  <c r="R551" i="3"/>
  <c r="L557" i="3"/>
  <c r="S562" i="3"/>
  <c r="M568" i="3"/>
  <c r="T573" i="3"/>
  <c r="N579" i="3"/>
  <c r="U584" i="3"/>
  <c r="J591" i="3"/>
  <c r="Q596" i="3"/>
  <c r="K602" i="3"/>
  <c r="R607" i="3"/>
  <c r="L613" i="3"/>
  <c r="S618" i="3"/>
  <c r="M624" i="3"/>
  <c r="O630" i="3"/>
  <c r="Y630" i="3" s="1"/>
  <c r="V635" i="3"/>
  <c r="P641" i="3"/>
  <c r="J647" i="3"/>
  <c r="Q652" i="3"/>
  <c r="K658" i="3"/>
  <c r="J663" i="3"/>
  <c r="V667" i="3"/>
  <c r="U672" i="3"/>
  <c r="T677" i="3"/>
  <c r="S682" i="3"/>
  <c r="R687" i="3"/>
  <c r="Q692" i="3"/>
  <c r="P697" i="3"/>
  <c r="O702" i="3"/>
  <c r="V408" i="3"/>
  <c r="M493" i="3"/>
  <c r="T528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Y595" i="3" s="1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Y723" i="3" s="1"/>
  <c r="O225" i="3"/>
  <c r="P450" i="3"/>
  <c r="R508" i="3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Y592" i="3" s="1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Y656" i="3" s="1"/>
  <c r="N661" i="3"/>
  <c r="M666" i="3"/>
  <c r="L671" i="3"/>
  <c r="K676" i="3"/>
  <c r="J681" i="3"/>
  <c r="V685" i="3"/>
  <c r="U690" i="3"/>
  <c r="T695" i="3"/>
  <c r="S700" i="3"/>
  <c r="P374" i="3"/>
  <c r="U483" i="3"/>
  <c r="J524" i="3"/>
  <c r="M535" i="3"/>
  <c r="L540" i="3"/>
  <c r="K545" i="3"/>
  <c r="J550" i="3"/>
  <c r="V554" i="3"/>
  <c r="U559" i="3"/>
  <c r="T564" i="3"/>
  <c r="S569" i="3"/>
  <c r="R574" i="3"/>
  <c r="Q579" i="3"/>
  <c r="P584" i="3"/>
  <c r="O589" i="3"/>
  <c r="Y589" i="3" s="1"/>
  <c r="N594" i="3"/>
  <c r="M599" i="3"/>
  <c r="L604" i="3"/>
  <c r="K609" i="3"/>
  <c r="J614" i="3"/>
  <c r="V618" i="3"/>
  <c r="U623" i="3"/>
  <c r="T628" i="3"/>
  <c r="S633" i="3"/>
  <c r="R638" i="3"/>
  <c r="Q643" i="3"/>
  <c r="P648" i="3"/>
  <c r="O653" i="3"/>
  <c r="N658" i="3"/>
  <c r="M663" i="3"/>
  <c r="L668" i="3"/>
  <c r="K673" i="3"/>
  <c r="J678" i="3"/>
  <c r="V682" i="3"/>
  <c r="U687" i="3"/>
  <c r="T692" i="3"/>
  <c r="T324" i="3"/>
  <c r="T466" i="3"/>
  <c r="T514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J667" i="3"/>
  <c r="V671" i="3"/>
  <c r="U676" i="3"/>
  <c r="T681" i="3"/>
  <c r="S686" i="3"/>
  <c r="R691" i="3"/>
  <c r="Q696" i="3"/>
  <c r="P701" i="3"/>
  <c r="O379" i="3"/>
  <c r="Q485" i="3"/>
  <c r="M525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J171" i="3"/>
  <c r="M250" i="3"/>
  <c r="P117" i="3"/>
  <c r="N267" i="3"/>
  <c r="T252" i="3"/>
  <c r="J193" i="3"/>
  <c r="M333" i="3"/>
  <c r="Q304" i="3"/>
  <c r="K246" i="3"/>
  <c r="M193" i="3"/>
  <c r="O294" i="3"/>
  <c r="Y294" i="3" s="1"/>
  <c r="U276" i="3"/>
  <c r="L399" i="3"/>
  <c r="Q292" i="3"/>
  <c r="Q443" i="3"/>
  <c r="J371" i="3"/>
  <c r="N439" i="3"/>
  <c r="V333" i="3"/>
  <c r="U409" i="3"/>
  <c r="K344" i="3"/>
  <c r="U395" i="3"/>
  <c r="N446" i="3"/>
  <c r="M251" i="3"/>
  <c r="O366" i="3"/>
  <c r="Y366" i="3" s="1"/>
  <c r="S418" i="3"/>
  <c r="K458" i="3"/>
  <c r="R432" i="3"/>
  <c r="L511" i="3"/>
  <c r="R372" i="3"/>
  <c r="P482" i="3"/>
  <c r="K521" i="3"/>
  <c r="Q370" i="3"/>
  <c r="V476" i="3"/>
  <c r="P509" i="3"/>
  <c r="L529" i="3"/>
  <c r="L378" i="3"/>
  <c r="R444" i="3"/>
  <c r="J480" i="3"/>
  <c r="V500" i="3"/>
  <c r="O519" i="3"/>
  <c r="Y519" i="3" s="1"/>
  <c r="L187" i="3"/>
  <c r="V385" i="3"/>
  <c r="L443" i="3"/>
  <c r="J479" i="3"/>
  <c r="O500" i="3"/>
  <c r="Y500" i="3" s="1"/>
  <c r="P519" i="3"/>
  <c r="L222" i="3"/>
  <c r="N376" i="3"/>
  <c r="J432" i="3"/>
  <c r="S464" i="3"/>
  <c r="M491" i="3"/>
  <c r="M507" i="3"/>
  <c r="Q519" i="3"/>
  <c r="U343" i="3"/>
  <c r="S408" i="3"/>
  <c r="S443" i="3"/>
  <c r="N481" i="3"/>
  <c r="S498" i="3"/>
  <c r="R511" i="3"/>
  <c r="T297" i="3"/>
  <c r="J535" i="3"/>
  <c r="V547" i="3"/>
  <c r="V563" i="3"/>
  <c r="V579" i="3"/>
  <c r="U592" i="3"/>
  <c r="U608" i="3"/>
  <c r="P625" i="3"/>
  <c r="T637" i="3"/>
  <c r="T653" i="3"/>
  <c r="Q668" i="3"/>
  <c r="R679" i="3"/>
  <c r="T693" i="3"/>
  <c r="P422" i="3"/>
  <c r="M533" i="3"/>
  <c r="O547" i="3"/>
  <c r="Y547" i="3" s="1"/>
  <c r="Q561" i="3"/>
  <c r="R572" i="3"/>
  <c r="T586" i="3"/>
  <c r="V600" i="3"/>
  <c r="J612" i="3"/>
  <c r="L626" i="3"/>
  <c r="N640" i="3"/>
  <c r="O651" i="3"/>
  <c r="Y651" i="3" s="1"/>
  <c r="Q665" i="3"/>
  <c r="S679" i="3"/>
  <c r="T690" i="3"/>
  <c r="V704" i="3"/>
  <c r="K719" i="3"/>
  <c r="J372" i="3"/>
  <c r="Q534" i="3"/>
  <c r="S548" i="3"/>
  <c r="T559" i="3"/>
  <c r="V573" i="3"/>
  <c r="K588" i="3"/>
  <c r="L599" i="3"/>
  <c r="N613" i="3"/>
  <c r="P627" i="3"/>
  <c r="Q638" i="3"/>
  <c r="S652" i="3"/>
  <c r="U666" i="3"/>
  <c r="V677" i="3"/>
  <c r="K692" i="3"/>
  <c r="L394" i="3"/>
  <c r="S530" i="3"/>
  <c r="N546" i="3"/>
  <c r="P560" i="3"/>
  <c r="Q571" i="3"/>
  <c r="S585" i="3"/>
  <c r="U599" i="3"/>
  <c r="P608" i="3"/>
  <c r="U615" i="3"/>
  <c r="P624" i="3"/>
  <c r="U631" i="3"/>
  <c r="U639" i="3"/>
  <c r="U647" i="3"/>
  <c r="M655" i="3"/>
  <c r="U663" i="3"/>
  <c r="M671" i="3"/>
  <c r="M679" i="3"/>
  <c r="M687" i="3"/>
  <c r="R694" i="3"/>
  <c r="Q477" i="3"/>
  <c r="T530" i="3"/>
  <c r="M540" i="3"/>
  <c r="M548" i="3"/>
  <c r="R555" i="3"/>
  <c r="M564" i="3"/>
  <c r="O570" i="3"/>
  <c r="Y570" i="3" s="1"/>
  <c r="L577" i="3"/>
  <c r="V583" i="3"/>
  <c r="K590" i="3"/>
  <c r="U596" i="3"/>
  <c r="R603" i="3"/>
  <c r="T609" i="3"/>
  <c r="Q616" i="3"/>
  <c r="N623" i="3"/>
  <c r="P629" i="3"/>
  <c r="M636" i="3"/>
  <c r="J643" i="3"/>
  <c r="L649" i="3"/>
  <c r="V655" i="3"/>
  <c r="S662" i="3"/>
  <c r="U668" i="3"/>
  <c r="R675" i="3"/>
  <c r="O682" i="3"/>
  <c r="Q688" i="3"/>
  <c r="N695" i="3"/>
  <c r="K702" i="3"/>
  <c r="J429" i="3"/>
  <c r="O515" i="3"/>
  <c r="J536" i="3"/>
  <c r="L542" i="3"/>
  <c r="V548" i="3"/>
  <c r="S555" i="3"/>
  <c r="U561" i="3"/>
  <c r="R568" i="3"/>
  <c r="O575" i="3"/>
  <c r="Y575" i="3" s="1"/>
  <c r="Q581" i="3"/>
  <c r="N588" i="3"/>
  <c r="K595" i="3"/>
  <c r="J600" i="3"/>
  <c r="V604" i="3"/>
  <c r="U609" i="3"/>
  <c r="T614" i="3"/>
  <c r="S619" i="3"/>
  <c r="R624" i="3"/>
  <c r="Q629" i="3"/>
  <c r="P634" i="3"/>
  <c r="O639" i="3"/>
  <c r="N644" i="3"/>
  <c r="M649" i="3"/>
  <c r="L654" i="3"/>
  <c r="K659" i="3"/>
  <c r="J664" i="3"/>
  <c r="V668" i="3"/>
  <c r="U673" i="3"/>
  <c r="T678" i="3"/>
  <c r="S683" i="3"/>
  <c r="R688" i="3"/>
  <c r="Q401" i="3"/>
  <c r="O491" i="3"/>
  <c r="Y491" i="3" s="1"/>
  <c r="L528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Y644" i="3" s="1"/>
  <c r="N649" i="3"/>
  <c r="M654" i="3"/>
  <c r="L659" i="3"/>
  <c r="K664" i="3"/>
  <c r="J669" i="3"/>
  <c r="V673" i="3"/>
  <c r="U678" i="3"/>
  <c r="T683" i="3"/>
  <c r="Q543" i="3"/>
  <c r="V582" i="3"/>
  <c r="N622" i="3"/>
  <c r="S661" i="3"/>
  <c r="O692" i="3"/>
  <c r="O703" i="3"/>
  <c r="Y703" i="3" s="1"/>
  <c r="L709" i="3"/>
  <c r="U714" i="3"/>
  <c r="P720" i="3"/>
  <c r="K726" i="3"/>
  <c r="M731" i="3"/>
  <c r="L736" i="3"/>
  <c r="K741" i="3"/>
  <c r="J746" i="3"/>
  <c r="V750" i="3"/>
  <c r="U755" i="3"/>
  <c r="T760" i="3"/>
  <c r="S765" i="3"/>
  <c r="R770" i="3"/>
  <c r="Q775" i="3"/>
  <c r="P780" i="3"/>
  <c r="O785" i="3"/>
  <c r="N790" i="3"/>
  <c r="M795" i="3"/>
  <c r="L800" i="3"/>
  <c r="K805" i="3"/>
  <c r="J810" i="3"/>
  <c r="V814" i="3"/>
  <c r="U819" i="3"/>
  <c r="T824" i="3"/>
  <c r="S829" i="3"/>
  <c r="R834" i="3"/>
  <c r="Q839" i="3"/>
  <c r="P844" i="3"/>
  <c r="O849" i="3"/>
  <c r="Y849" i="3" s="1"/>
  <c r="N854" i="3"/>
  <c r="M859" i="3"/>
  <c r="L864" i="3"/>
  <c r="K869" i="3"/>
  <c r="J874" i="3"/>
  <c r="V878" i="3"/>
  <c r="U883" i="3"/>
  <c r="P344" i="3"/>
  <c r="V558" i="3"/>
  <c r="N598" i="3"/>
  <c r="S637" i="3"/>
  <c r="K677" i="3"/>
  <c r="N697" i="3"/>
  <c r="T705" i="3"/>
  <c r="O711" i="3"/>
  <c r="Y711" i="3" s="1"/>
  <c r="J717" i="3"/>
  <c r="R722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Y782" i="3" s="1"/>
  <c r="N787" i="3"/>
  <c r="M792" i="3"/>
  <c r="L797" i="3"/>
  <c r="K802" i="3"/>
  <c r="J807" i="3"/>
  <c r="V811" i="3"/>
  <c r="U816" i="3"/>
  <c r="T821" i="3"/>
  <c r="S826" i="3"/>
  <c r="R831" i="3"/>
  <c r="Q836" i="3"/>
  <c r="P841" i="3"/>
  <c r="O846" i="3"/>
  <c r="N851" i="3"/>
  <c r="M856" i="3"/>
  <c r="L861" i="3"/>
  <c r="K866" i="3"/>
  <c r="J871" i="3"/>
  <c r="V875" i="3"/>
  <c r="T544" i="3"/>
  <c r="L584" i="3"/>
  <c r="Q623" i="3"/>
  <c r="V662" i="3"/>
  <c r="V692" i="3"/>
  <c r="Q703" i="3"/>
  <c r="O709" i="3"/>
  <c r="Y709" i="3" s="1"/>
  <c r="J715" i="3"/>
  <c r="R720" i="3"/>
  <c r="M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P854" i="3"/>
  <c r="O859" i="3"/>
  <c r="Y859" i="3" s="1"/>
  <c r="N864" i="3"/>
  <c r="M869" i="3"/>
  <c r="L874" i="3"/>
  <c r="K879" i="3"/>
  <c r="J884" i="3"/>
  <c r="N384" i="3"/>
  <c r="L560" i="3"/>
  <c r="Q599" i="3"/>
  <c r="V638" i="3"/>
  <c r="N678" i="3"/>
  <c r="S697" i="3"/>
  <c r="V705" i="3"/>
  <c r="Q711" i="3"/>
  <c r="R200" i="3"/>
  <c r="L295" i="3"/>
  <c r="J283" i="3"/>
  <c r="U410" i="3"/>
  <c r="Q355" i="3"/>
  <c r="L444" i="3"/>
  <c r="M380" i="3"/>
  <c r="J459" i="3"/>
  <c r="K337" i="3"/>
  <c r="U170" i="3"/>
  <c r="K357" i="3"/>
  <c r="P396" i="3"/>
  <c r="T448" i="3"/>
  <c r="L308" i="3"/>
  <c r="S370" i="3"/>
  <c r="N419" i="3"/>
  <c r="O470" i="3"/>
  <c r="Y470" i="3" s="1"/>
  <c r="T435" i="3"/>
  <c r="P515" i="3"/>
  <c r="T414" i="3"/>
  <c r="M483" i="3"/>
  <c r="V522" i="3"/>
  <c r="M413" i="3"/>
  <c r="T480" i="3"/>
  <c r="N511" i="3"/>
  <c r="L232" i="3"/>
  <c r="R380" i="3"/>
  <c r="M446" i="3"/>
  <c r="T486" i="3"/>
  <c r="Q501" i="3"/>
  <c r="R520" i="3"/>
  <c r="S302" i="3"/>
  <c r="O388" i="3"/>
  <c r="Y388" i="3" s="1"/>
  <c r="P446" i="3"/>
  <c r="K486" i="3"/>
  <c r="J501" i="3"/>
  <c r="K520" i="3"/>
  <c r="O303" i="3"/>
  <c r="Y303" i="3" s="1"/>
  <c r="M381" i="3"/>
  <c r="Q433" i="3"/>
  <c r="M475" i="3"/>
  <c r="U491" i="3"/>
  <c r="U507" i="3"/>
  <c r="U523" i="3"/>
  <c r="L347" i="3"/>
  <c r="T410" i="3"/>
  <c r="Q453" i="3"/>
  <c r="K482" i="3"/>
  <c r="N499" i="3"/>
  <c r="V515" i="3"/>
  <c r="O347" i="3"/>
  <c r="Y347" i="3" s="1"/>
  <c r="R535" i="3"/>
  <c r="M552" i="3"/>
  <c r="Q564" i="3"/>
  <c r="L581" i="3"/>
  <c r="L597" i="3"/>
  <c r="P609" i="3"/>
  <c r="K626" i="3"/>
  <c r="K642" i="3"/>
  <c r="J655" i="3"/>
  <c r="L669" i="3"/>
  <c r="N683" i="3"/>
  <c r="O694" i="3"/>
  <c r="S435" i="3"/>
  <c r="V536" i="3"/>
  <c r="J548" i="3"/>
  <c r="L562" i="3"/>
  <c r="N576" i="3"/>
  <c r="O587" i="3"/>
  <c r="Y587" i="3" s="1"/>
  <c r="Q601" i="3"/>
  <c r="S615" i="3"/>
  <c r="T626" i="3"/>
  <c r="V640" i="3"/>
  <c r="K655" i="3"/>
  <c r="L666" i="3"/>
  <c r="N680" i="3"/>
  <c r="P694" i="3"/>
  <c r="Q705" i="3"/>
  <c r="S719" i="3"/>
  <c r="P463" i="3"/>
  <c r="L535" i="3"/>
  <c r="N549" i="3"/>
  <c r="P563" i="3"/>
  <c r="Q574" i="3"/>
  <c r="S588" i="3"/>
  <c r="U602" i="3"/>
  <c r="V613" i="3"/>
  <c r="K628" i="3"/>
  <c r="M642" i="3"/>
  <c r="N653" i="3"/>
  <c r="P667" i="3"/>
  <c r="R681" i="3"/>
  <c r="S692" i="3"/>
  <c r="R412" i="3"/>
  <c r="U535" i="3"/>
  <c r="V546" i="3"/>
  <c r="K561" i="3"/>
  <c r="M575" i="3"/>
  <c r="N586" i="3"/>
  <c r="P600" i="3"/>
  <c r="S609" i="3"/>
  <c r="K617" i="3"/>
  <c r="K625" i="3"/>
  <c r="K633" i="3"/>
  <c r="P640" i="3"/>
  <c r="K649" i="3"/>
  <c r="P656" i="3"/>
  <c r="P664" i="3"/>
  <c r="P672" i="3"/>
  <c r="U679" i="3"/>
  <c r="P688" i="3"/>
  <c r="U695" i="3"/>
  <c r="R484" i="3"/>
  <c r="P533" i="3"/>
  <c r="U540" i="3"/>
  <c r="P549" i="3"/>
  <c r="U556" i="3"/>
  <c r="U564" i="3"/>
  <c r="R571" i="3"/>
  <c r="T577" i="3"/>
  <c r="Q584" i="3"/>
  <c r="N591" i="3"/>
  <c r="P597" i="3"/>
  <c r="M604" i="3"/>
  <c r="J611" i="3"/>
  <c r="L617" i="3"/>
  <c r="V623" i="3"/>
  <c r="S630" i="3"/>
  <c r="U636" i="3"/>
  <c r="R643" i="3"/>
  <c r="O650" i="3"/>
  <c r="Y650" i="3" s="1"/>
  <c r="Q656" i="3"/>
  <c r="N663" i="3"/>
  <c r="K670" i="3"/>
  <c r="M676" i="3"/>
  <c r="J683" i="3"/>
  <c r="T689" i="3"/>
  <c r="V695" i="3"/>
  <c r="S702" i="3"/>
  <c r="O455" i="3"/>
  <c r="N520" i="3"/>
  <c r="R536" i="3"/>
  <c r="O543" i="3"/>
  <c r="Q549" i="3"/>
  <c r="N556" i="3"/>
  <c r="K563" i="3"/>
  <c r="M569" i="3"/>
  <c r="J576" i="3"/>
  <c r="T582" i="3"/>
  <c r="V588" i="3"/>
  <c r="S595" i="3"/>
  <c r="R600" i="3"/>
  <c r="Q605" i="3"/>
  <c r="P610" i="3"/>
  <c r="O615" i="3"/>
  <c r="Y615" i="3" s="1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Q417" i="3"/>
  <c r="N496" i="3"/>
  <c r="Q529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N625" i="3"/>
  <c r="M630" i="3"/>
  <c r="L635" i="3"/>
  <c r="K640" i="3"/>
  <c r="J645" i="3"/>
  <c r="V649" i="3"/>
  <c r="U654" i="3"/>
  <c r="T659" i="3"/>
  <c r="S664" i="3"/>
  <c r="R669" i="3"/>
  <c r="Q674" i="3"/>
  <c r="P679" i="3"/>
  <c r="O684" i="3"/>
  <c r="Y684" i="3" s="1"/>
  <c r="P548" i="3"/>
  <c r="U587" i="3"/>
  <c r="M627" i="3"/>
  <c r="R666" i="3"/>
  <c r="L694" i="3"/>
  <c r="M704" i="3"/>
  <c r="V709" i="3"/>
  <c r="Q715" i="3"/>
  <c r="L721" i="3"/>
  <c r="T726" i="3"/>
  <c r="U731" i="3"/>
  <c r="T736" i="3"/>
  <c r="S741" i="3"/>
  <c r="R746" i="3"/>
  <c r="Q751" i="3"/>
  <c r="P756" i="3"/>
  <c r="O761" i="3"/>
  <c r="Y761" i="3" s="1"/>
  <c r="N766" i="3"/>
  <c r="M771" i="3"/>
  <c r="L776" i="3"/>
  <c r="K781" i="3"/>
  <c r="J786" i="3"/>
  <c r="V790" i="3"/>
  <c r="U795" i="3"/>
  <c r="T800" i="3"/>
  <c r="S805" i="3"/>
  <c r="R810" i="3"/>
  <c r="Q815" i="3"/>
  <c r="P820" i="3"/>
  <c r="O825" i="3"/>
  <c r="Y825" i="3" s="1"/>
  <c r="N830" i="3"/>
  <c r="M835" i="3"/>
  <c r="L840" i="3"/>
  <c r="K845" i="3"/>
  <c r="J850" i="3"/>
  <c r="V854" i="3"/>
  <c r="U859" i="3"/>
  <c r="T864" i="3"/>
  <c r="S869" i="3"/>
  <c r="R874" i="3"/>
  <c r="Q879" i="3"/>
  <c r="P884" i="3"/>
  <c r="S471" i="3"/>
  <c r="U563" i="3"/>
  <c r="M603" i="3"/>
  <c r="R642" i="3"/>
  <c r="J682" i="3"/>
  <c r="Q698" i="3"/>
  <c r="P706" i="3"/>
  <c r="K712" i="3"/>
  <c r="S717" i="3"/>
  <c r="N723" i="3"/>
  <c r="U728" i="3"/>
  <c r="T733" i="3"/>
  <c r="S738" i="3"/>
  <c r="R743" i="3"/>
  <c r="Q748" i="3"/>
  <c r="P753" i="3"/>
  <c r="O758" i="3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U856" i="3"/>
  <c r="T861" i="3"/>
  <c r="S866" i="3"/>
  <c r="R871" i="3"/>
  <c r="Q876" i="3"/>
  <c r="S549" i="3"/>
  <c r="K589" i="3"/>
  <c r="P628" i="3"/>
  <c r="U667" i="3"/>
  <c r="N694" i="3"/>
  <c r="P704" i="3"/>
  <c r="K710" i="3"/>
  <c r="S715" i="3"/>
  <c r="N721" i="3"/>
  <c r="V726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N840" i="3"/>
  <c r="M845" i="3"/>
  <c r="L850" i="3"/>
  <c r="K855" i="3"/>
  <c r="J860" i="3"/>
  <c r="V864" i="3"/>
  <c r="U869" i="3"/>
  <c r="T874" i="3"/>
  <c r="S879" i="3"/>
  <c r="R884" i="3"/>
  <c r="K487" i="3"/>
  <c r="K565" i="3"/>
  <c r="P604" i="3"/>
  <c r="U643" i="3"/>
  <c r="M683" i="3"/>
  <c r="V698" i="3"/>
  <c r="R706" i="3"/>
  <c r="M712" i="3"/>
  <c r="V717" i="3"/>
  <c r="Q723" i="3"/>
  <c r="J729" i="3"/>
  <c r="V733" i="3"/>
  <c r="R289" i="3"/>
  <c r="P245" i="3"/>
  <c r="Q333" i="3"/>
  <c r="S412" i="3"/>
  <c r="T364" i="3"/>
  <c r="S473" i="3"/>
  <c r="U380" i="3"/>
  <c r="R459" i="3"/>
  <c r="U361" i="3"/>
  <c r="R206" i="3"/>
  <c r="O361" i="3"/>
  <c r="J410" i="3"/>
  <c r="O449" i="3"/>
  <c r="P311" i="3"/>
  <c r="M384" i="3"/>
  <c r="R423" i="3"/>
  <c r="M472" i="3"/>
  <c r="J472" i="3"/>
  <c r="S516" i="3"/>
  <c r="N416" i="3"/>
  <c r="M495" i="3"/>
  <c r="Q523" i="3"/>
  <c r="L418" i="3"/>
  <c r="L489" i="3"/>
  <c r="L513" i="3"/>
  <c r="K258" i="3"/>
  <c r="T402" i="3"/>
  <c r="J448" i="3"/>
  <c r="O487" i="3"/>
  <c r="P506" i="3"/>
  <c r="M521" i="3"/>
  <c r="K316" i="3"/>
  <c r="K408" i="3"/>
  <c r="K448" i="3"/>
  <c r="P487" i="3"/>
  <c r="V505" i="3"/>
  <c r="S520" i="3"/>
  <c r="J310" i="3"/>
  <c r="J396" i="3"/>
  <c r="L435" i="3"/>
  <c r="N476" i="3"/>
  <c r="L496" i="3"/>
  <c r="P508" i="3"/>
  <c r="P524" i="3"/>
  <c r="O364" i="3"/>
  <c r="Y364" i="3" s="1"/>
  <c r="O412" i="3"/>
  <c r="Y412" i="3" s="1"/>
  <c r="S456" i="3"/>
  <c r="R487" i="3"/>
  <c r="V499" i="3"/>
  <c r="Q516" i="3"/>
  <c r="N460" i="3"/>
  <c r="U536" i="3"/>
  <c r="U552" i="3"/>
  <c r="U568" i="3"/>
  <c r="T581" i="3"/>
  <c r="T597" i="3"/>
  <c r="T613" i="3"/>
  <c r="S626" i="3"/>
  <c r="S642" i="3"/>
  <c r="S658" i="3"/>
  <c r="T669" i="3"/>
  <c r="V683" i="3"/>
  <c r="K698" i="3"/>
  <c r="S448" i="3"/>
  <c r="Q537" i="3"/>
  <c r="S551" i="3"/>
  <c r="T562" i="3"/>
  <c r="V576" i="3"/>
  <c r="K591" i="3"/>
  <c r="L602" i="3"/>
  <c r="N616" i="3"/>
  <c r="P630" i="3"/>
  <c r="Q641" i="3"/>
  <c r="S655" i="3"/>
  <c r="U669" i="3"/>
  <c r="V680" i="3"/>
  <c r="K695" i="3"/>
  <c r="M709" i="3"/>
  <c r="N720" i="3"/>
  <c r="O475" i="3"/>
  <c r="Y475" i="3" s="1"/>
  <c r="U538" i="3"/>
  <c r="V549" i="3"/>
  <c r="K564" i="3"/>
  <c r="M578" i="3"/>
  <c r="N589" i="3"/>
  <c r="P603" i="3"/>
  <c r="R617" i="3"/>
  <c r="S628" i="3"/>
  <c r="U642" i="3"/>
  <c r="J657" i="3"/>
  <c r="K668" i="3"/>
  <c r="M682" i="3"/>
  <c r="O696" i="3"/>
  <c r="U425" i="3"/>
  <c r="P536" i="3"/>
  <c r="R550" i="3"/>
  <c r="S561" i="3"/>
  <c r="U575" i="3"/>
  <c r="J590" i="3"/>
  <c r="K601" i="3"/>
  <c r="N610" i="3"/>
  <c r="N618" i="3"/>
  <c r="S625" i="3"/>
  <c r="N634" i="3"/>
  <c r="S641" i="3"/>
  <c r="S649" i="3"/>
  <c r="S657" i="3"/>
  <c r="K665" i="3"/>
  <c r="S673" i="3"/>
  <c r="K681" i="3"/>
  <c r="K689" i="3"/>
  <c r="U251" i="3"/>
  <c r="L490" i="3"/>
  <c r="S534" i="3"/>
  <c r="K542" i="3"/>
  <c r="K550" i="3"/>
  <c r="K558" i="3"/>
  <c r="P565" i="3"/>
  <c r="M572" i="3"/>
  <c r="J579" i="3"/>
  <c r="L585" i="3"/>
  <c r="V591" i="3"/>
  <c r="S598" i="3"/>
  <c r="U604" i="3"/>
  <c r="R611" i="3"/>
  <c r="O618" i="3"/>
  <c r="Q624" i="3"/>
  <c r="N631" i="3"/>
  <c r="K638" i="3"/>
  <c r="M644" i="3"/>
  <c r="J651" i="3"/>
  <c r="T657" i="3"/>
  <c r="V663" i="3"/>
  <c r="S670" i="3"/>
  <c r="P677" i="3"/>
  <c r="R683" i="3"/>
  <c r="O690" i="3"/>
  <c r="Y690" i="3" s="1"/>
  <c r="L697" i="3"/>
  <c r="N703" i="3"/>
  <c r="O468" i="3"/>
  <c r="S527" i="3"/>
  <c r="M537" i="3"/>
  <c r="J544" i="3"/>
  <c r="T550" i="3"/>
  <c r="V556" i="3"/>
  <c r="S563" i="3"/>
  <c r="P570" i="3"/>
  <c r="R576" i="3"/>
  <c r="O583" i="3"/>
  <c r="Y583" i="3" s="1"/>
  <c r="L590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T430" i="3"/>
  <c r="M501" i="3"/>
  <c r="N531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J78" i="3"/>
  <c r="U252" i="3"/>
  <c r="K118" i="3"/>
  <c r="K452" i="3"/>
  <c r="O365" i="3"/>
  <c r="Y365" i="3" s="1"/>
  <c r="V482" i="3"/>
  <c r="Q408" i="3"/>
  <c r="R467" i="3"/>
  <c r="P362" i="3"/>
  <c r="M280" i="3"/>
  <c r="R362" i="3"/>
  <c r="N414" i="3"/>
  <c r="V462" i="3"/>
  <c r="O316" i="3"/>
  <c r="Y316" i="3" s="1"/>
  <c r="P385" i="3"/>
  <c r="V435" i="3"/>
  <c r="J205" i="3"/>
  <c r="Q473" i="3"/>
  <c r="M530" i="3"/>
  <c r="V417" i="3"/>
  <c r="U495" i="3"/>
  <c r="V212" i="3"/>
  <c r="T419" i="3"/>
  <c r="T489" i="3"/>
  <c r="N519" i="3"/>
  <c r="Q271" i="3"/>
  <c r="S407" i="3"/>
  <c r="J461" i="3"/>
  <c r="J488" i="3"/>
  <c r="K507" i="3"/>
  <c r="L526" i="3"/>
  <c r="Q322" i="3"/>
  <c r="J412" i="3"/>
  <c r="M461" i="3"/>
  <c r="K488" i="3"/>
  <c r="L507" i="3"/>
  <c r="R525" i="3"/>
  <c r="S316" i="3"/>
  <c r="V400" i="3"/>
  <c r="T446" i="3"/>
  <c r="L477" i="3"/>
  <c r="T496" i="3"/>
  <c r="T512" i="3"/>
  <c r="S525" i="3"/>
  <c r="U366" i="3"/>
  <c r="J424" i="3"/>
  <c r="P458" i="3"/>
  <c r="M488" i="3"/>
  <c r="M504" i="3"/>
  <c r="L517" i="3"/>
  <c r="N473" i="3"/>
  <c r="Q540" i="3"/>
  <c r="P553" i="3"/>
  <c r="P569" i="3"/>
  <c r="K586" i="3"/>
  <c r="O598" i="3"/>
  <c r="O614" i="3"/>
  <c r="Y614" i="3" s="1"/>
  <c r="J631" i="3"/>
  <c r="N643" i="3"/>
  <c r="N659" i="3"/>
  <c r="P673" i="3"/>
  <c r="Q684" i="3"/>
  <c r="S698" i="3"/>
  <c r="L498" i="3"/>
  <c r="L538" i="3"/>
  <c r="N552" i="3"/>
  <c r="P566" i="3"/>
  <c r="Q577" i="3"/>
  <c r="S591" i="3"/>
  <c r="U605" i="3"/>
  <c r="V616" i="3"/>
  <c r="K631" i="3"/>
  <c r="M645" i="3"/>
  <c r="N656" i="3"/>
  <c r="P670" i="3"/>
  <c r="R684" i="3"/>
  <c r="S695" i="3"/>
  <c r="U709" i="3"/>
  <c r="J724" i="3"/>
  <c r="K483" i="3"/>
  <c r="P539" i="3"/>
  <c r="R553" i="3"/>
  <c r="S564" i="3"/>
  <c r="U578" i="3"/>
  <c r="J593" i="3"/>
  <c r="K604" i="3"/>
  <c r="M618" i="3"/>
  <c r="O632" i="3"/>
  <c r="P643" i="3"/>
  <c r="R657" i="3"/>
  <c r="T671" i="3"/>
  <c r="U682" i="3"/>
  <c r="J697" i="3"/>
  <c r="Q489" i="3"/>
  <c r="K537" i="3"/>
  <c r="M551" i="3"/>
  <c r="O565" i="3"/>
  <c r="P576" i="3"/>
  <c r="R590" i="3"/>
  <c r="Q603" i="3"/>
  <c r="V610" i="3"/>
  <c r="Q619" i="3"/>
  <c r="V626" i="3"/>
  <c r="V634" i="3"/>
  <c r="V642" i="3"/>
  <c r="N650" i="3"/>
  <c r="V658" i="3"/>
  <c r="N666" i="3"/>
  <c r="N674" i="3"/>
  <c r="N682" i="3"/>
  <c r="S689" i="3"/>
  <c r="M357" i="3"/>
  <c r="J500" i="3"/>
  <c r="N535" i="3"/>
  <c r="N543" i="3"/>
  <c r="S550" i="3"/>
  <c r="N559" i="3"/>
  <c r="S566" i="3"/>
  <c r="U572" i="3"/>
  <c r="R579" i="3"/>
  <c r="O586" i="3"/>
  <c r="Y586" i="3" s="1"/>
  <c r="Q592" i="3"/>
  <c r="N599" i="3"/>
  <c r="K606" i="3"/>
  <c r="M612" i="3"/>
  <c r="J619" i="3"/>
  <c r="T625" i="3"/>
  <c r="V631" i="3"/>
  <c r="S638" i="3"/>
  <c r="P645" i="3"/>
  <c r="R651" i="3"/>
  <c r="O658" i="3"/>
  <c r="L665" i="3"/>
  <c r="N671" i="3"/>
  <c r="K678" i="3"/>
  <c r="U684" i="3"/>
  <c r="J691" i="3"/>
  <c r="T697" i="3"/>
  <c r="T264" i="3"/>
  <c r="O478" i="3"/>
  <c r="P529" i="3"/>
  <c r="P538" i="3"/>
  <c r="R544" i="3"/>
  <c r="O551" i="3"/>
  <c r="L558" i="3"/>
  <c r="N564" i="3"/>
  <c r="K571" i="3"/>
  <c r="U577" i="3"/>
  <c r="J584" i="3"/>
  <c r="T590" i="3"/>
  <c r="V596" i="3"/>
  <c r="U601" i="3"/>
  <c r="T606" i="3"/>
  <c r="S611" i="3"/>
  <c r="R616" i="3"/>
  <c r="Q621" i="3"/>
  <c r="P626" i="3"/>
  <c r="O631" i="3"/>
  <c r="Y631" i="3" s="1"/>
  <c r="N636" i="3"/>
  <c r="M641" i="3"/>
  <c r="L646" i="3"/>
  <c r="K651" i="3"/>
  <c r="J656" i="3"/>
  <c r="V660" i="3"/>
  <c r="U665" i="3"/>
  <c r="T670" i="3"/>
  <c r="S675" i="3"/>
  <c r="R680" i="3"/>
  <c r="Q685" i="3"/>
  <c r="P690" i="3"/>
  <c r="T443" i="3"/>
  <c r="L506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N641" i="3"/>
  <c r="M646" i="3"/>
  <c r="L651" i="3"/>
  <c r="K656" i="3"/>
  <c r="J661" i="3"/>
  <c r="V665" i="3"/>
  <c r="U670" i="3"/>
  <c r="T675" i="3"/>
  <c r="S680" i="3"/>
  <c r="N290" i="3"/>
  <c r="N558" i="3"/>
  <c r="S597" i="3"/>
  <c r="K637" i="3"/>
  <c r="P676" i="3"/>
  <c r="M697" i="3"/>
  <c r="S705" i="3"/>
  <c r="N711" i="3"/>
  <c r="V716" i="3"/>
  <c r="Q722" i="3"/>
  <c r="L728" i="3"/>
  <c r="K733" i="3"/>
  <c r="J738" i="3"/>
  <c r="V742" i="3"/>
  <c r="U747" i="3"/>
  <c r="T752" i="3"/>
  <c r="S757" i="3"/>
  <c r="R762" i="3"/>
  <c r="Q767" i="3"/>
  <c r="P772" i="3"/>
  <c r="O777" i="3"/>
  <c r="N782" i="3"/>
  <c r="M787" i="3"/>
  <c r="L792" i="3"/>
  <c r="K797" i="3"/>
  <c r="J802" i="3"/>
  <c r="V806" i="3"/>
  <c r="U811" i="3"/>
  <c r="K224" i="3"/>
  <c r="R161" i="3"/>
  <c r="M346" i="3"/>
  <c r="O464" i="3"/>
  <c r="Y464" i="3" s="1"/>
  <c r="L404" i="3"/>
  <c r="J309" i="3"/>
  <c r="O410" i="3"/>
  <c r="Y410" i="3" s="1"/>
  <c r="R223" i="3"/>
  <c r="L390" i="3"/>
  <c r="L299" i="3"/>
  <c r="T376" i="3"/>
  <c r="K429" i="3"/>
  <c r="P468" i="3"/>
  <c r="J351" i="3"/>
  <c r="R399" i="3"/>
  <c r="J439" i="3"/>
  <c r="V369" i="3"/>
  <c r="T495" i="3"/>
  <c r="Q228" i="3"/>
  <c r="O452" i="3"/>
  <c r="Y452" i="3" s="1"/>
  <c r="T508" i="3"/>
  <c r="U243" i="3"/>
  <c r="K451" i="3"/>
  <c r="R499" i="3"/>
  <c r="O522" i="3"/>
  <c r="R348" i="3"/>
  <c r="Q426" i="3"/>
  <c r="V465" i="3"/>
  <c r="L494" i="3"/>
  <c r="R512" i="3"/>
  <c r="O527" i="3"/>
  <c r="Y527" i="3" s="1"/>
  <c r="U358" i="3"/>
  <c r="T426" i="3"/>
  <c r="L466" i="3"/>
  <c r="M494" i="3"/>
  <c r="S512" i="3"/>
  <c r="P527" i="3"/>
  <c r="L354" i="3"/>
  <c r="M417" i="3"/>
  <c r="V449" i="3"/>
  <c r="P484" i="3"/>
  <c r="S501" i="3"/>
  <c r="J514" i="3"/>
  <c r="Q276" i="3"/>
  <c r="Q386" i="3"/>
  <c r="L427" i="3"/>
  <c r="P471" i="3"/>
  <c r="L493" i="3"/>
  <c r="K506" i="3"/>
  <c r="K522" i="3"/>
  <c r="M517" i="3"/>
  <c r="O542" i="3"/>
  <c r="Y542" i="3" s="1"/>
  <c r="O558" i="3"/>
  <c r="Y558" i="3" s="1"/>
  <c r="O574" i="3"/>
  <c r="Y574" i="3" s="1"/>
  <c r="N587" i="3"/>
  <c r="N603" i="3"/>
  <c r="N619" i="3"/>
  <c r="M632" i="3"/>
  <c r="M648" i="3"/>
  <c r="R663" i="3"/>
  <c r="S674" i="3"/>
  <c r="U688" i="3"/>
  <c r="J703" i="3"/>
  <c r="J508" i="3"/>
  <c r="P542" i="3"/>
  <c r="R556" i="3"/>
  <c r="S567" i="3"/>
  <c r="U581" i="3"/>
  <c r="J596" i="3"/>
  <c r="K607" i="3"/>
  <c r="M621" i="3"/>
  <c r="O635" i="3"/>
  <c r="P646" i="3"/>
  <c r="R660" i="3"/>
  <c r="T674" i="3"/>
  <c r="U685" i="3"/>
  <c r="J700" i="3"/>
  <c r="L714" i="3"/>
  <c r="M725" i="3"/>
  <c r="P518" i="3"/>
  <c r="T543" i="3"/>
  <c r="U554" i="3"/>
  <c r="J569" i="3"/>
  <c r="L583" i="3"/>
  <c r="M594" i="3"/>
  <c r="O608" i="3"/>
  <c r="Y608" i="3" s="1"/>
  <c r="Q622" i="3"/>
  <c r="R633" i="3"/>
  <c r="T647" i="3"/>
  <c r="V661" i="3"/>
  <c r="J673" i="3"/>
  <c r="L687" i="3"/>
  <c r="N701" i="3"/>
  <c r="O499" i="3"/>
  <c r="Y499" i="3" s="1"/>
  <c r="O541" i="3"/>
  <c r="Y541" i="3" s="1"/>
  <c r="Q555" i="3"/>
  <c r="R566" i="3"/>
  <c r="T580" i="3"/>
  <c r="V594" i="3"/>
  <c r="O605" i="3"/>
  <c r="O613" i="3"/>
  <c r="T620" i="3"/>
  <c r="O629" i="3"/>
  <c r="Y629" i="3" s="1"/>
  <c r="T636" i="3"/>
  <c r="T644" i="3"/>
  <c r="T652" i="3"/>
  <c r="L660" i="3"/>
  <c r="T668" i="3"/>
  <c r="L676" i="3"/>
  <c r="L684" i="3"/>
  <c r="L692" i="3"/>
  <c r="R396" i="3"/>
  <c r="S519" i="3"/>
  <c r="L537" i="3"/>
  <c r="L545" i="3"/>
  <c r="L553" i="3"/>
  <c r="Q560" i="3"/>
  <c r="V567" i="3"/>
  <c r="S574" i="3"/>
  <c r="P581" i="3"/>
  <c r="R587" i="3"/>
  <c r="O594" i="3"/>
  <c r="Y594" i="3" s="1"/>
  <c r="L601" i="3"/>
  <c r="N607" i="3"/>
  <c r="K614" i="3"/>
  <c r="U620" i="3"/>
  <c r="J627" i="3"/>
  <c r="T633" i="3"/>
  <c r="Q640" i="3"/>
  <c r="S646" i="3"/>
  <c r="P653" i="3"/>
  <c r="M660" i="3"/>
  <c r="O666" i="3"/>
  <c r="L673" i="3"/>
  <c r="V679" i="3"/>
  <c r="K686" i="3"/>
  <c r="U692" i="3"/>
  <c r="R699" i="3"/>
  <c r="S359" i="3"/>
  <c r="S495" i="3"/>
  <c r="Q533" i="3"/>
  <c r="S539" i="3"/>
  <c r="P546" i="3"/>
  <c r="M553" i="3"/>
  <c r="O559" i="3"/>
  <c r="L566" i="3"/>
  <c r="V572" i="3"/>
  <c r="K579" i="3"/>
  <c r="U585" i="3"/>
  <c r="R592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L662" i="3"/>
  <c r="K667" i="3"/>
  <c r="J672" i="3"/>
  <c r="V676" i="3"/>
  <c r="U681" i="3"/>
  <c r="T686" i="3"/>
  <c r="V337" i="3"/>
  <c r="L470" i="3"/>
  <c r="J516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N657" i="3"/>
  <c r="M662" i="3"/>
  <c r="L667" i="3"/>
  <c r="K672" i="3"/>
  <c r="J677" i="3"/>
  <c r="V681" i="3"/>
  <c r="S511" i="3"/>
  <c r="L568" i="3"/>
  <c r="Q607" i="3"/>
  <c r="V646" i="3"/>
  <c r="S685" i="3"/>
  <c r="S699" i="3"/>
  <c r="K707" i="3"/>
  <c r="S712" i="3"/>
  <c r="N718" i="3"/>
  <c r="V723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Q783" i="3"/>
  <c r="P788" i="3"/>
  <c r="O793" i="3"/>
  <c r="N798" i="3"/>
  <c r="M803" i="3"/>
  <c r="L808" i="3"/>
  <c r="K813" i="3"/>
  <c r="J818" i="3"/>
  <c r="V822" i="3"/>
  <c r="U827" i="3"/>
  <c r="T832" i="3"/>
  <c r="S837" i="3"/>
  <c r="R842" i="3"/>
  <c r="Q847" i="3"/>
  <c r="P852" i="3"/>
  <c r="O857" i="3"/>
  <c r="N862" i="3"/>
  <c r="U222" i="3"/>
  <c r="T359" i="3"/>
  <c r="R333" i="3"/>
  <c r="P370" i="3"/>
  <c r="R394" i="3"/>
  <c r="M352" i="3"/>
  <c r="J365" i="3"/>
  <c r="L370" i="3"/>
  <c r="R365" i="3"/>
  <c r="T521" i="3"/>
  <c r="P431" i="3"/>
  <c r="U513" i="3"/>
  <c r="R413" i="3"/>
  <c r="T499" i="3"/>
  <c r="R356" i="3"/>
  <c r="S483" i="3"/>
  <c r="V518" i="3"/>
  <c r="T438" i="3"/>
  <c r="U504" i="3"/>
  <c r="V526" i="3"/>
  <c r="J575" i="3"/>
  <c r="R615" i="3"/>
  <c r="L653" i="3"/>
  <c r="P689" i="3"/>
  <c r="U541" i="3"/>
  <c r="J572" i="3"/>
  <c r="T610" i="3"/>
  <c r="U645" i="3"/>
  <c r="J676" i="3"/>
  <c r="T714" i="3"/>
  <c r="K540" i="3"/>
  <c r="N573" i="3"/>
  <c r="J609" i="3"/>
  <c r="L647" i="3"/>
  <c r="N677" i="3"/>
  <c r="Q527" i="3"/>
  <c r="J566" i="3"/>
  <c r="L596" i="3"/>
  <c r="J622" i="3"/>
  <c r="L644" i="3"/>
  <c r="R662" i="3"/>
  <c r="T684" i="3"/>
  <c r="U509" i="3"/>
  <c r="J547" i="3"/>
  <c r="L569" i="3"/>
  <c r="J587" i="3"/>
  <c r="O602" i="3"/>
  <c r="P621" i="3"/>
  <c r="N639" i="3"/>
  <c r="N655" i="3"/>
  <c r="T673" i="3"/>
  <c r="M692" i="3"/>
  <c r="J416" i="3"/>
  <c r="V540" i="3"/>
  <c r="T558" i="3"/>
  <c r="L574" i="3"/>
  <c r="M593" i="3"/>
  <c r="O607" i="3"/>
  <c r="K619" i="3"/>
  <c r="M633" i="3"/>
  <c r="T646" i="3"/>
  <c r="P658" i="3"/>
  <c r="R672" i="3"/>
  <c r="L686" i="3"/>
  <c r="N486" i="3"/>
  <c r="T539" i="3"/>
  <c r="N553" i="3"/>
  <c r="J565" i="3"/>
  <c r="L579" i="3"/>
  <c r="S592" i="3"/>
  <c r="O604" i="3"/>
  <c r="M614" i="3"/>
  <c r="K624" i="3"/>
  <c r="V633" i="3"/>
  <c r="T643" i="3"/>
  <c r="R653" i="3"/>
  <c r="P663" i="3"/>
  <c r="N673" i="3"/>
  <c r="L683" i="3"/>
  <c r="J578" i="3"/>
  <c r="T656" i="3"/>
  <c r="L702" i="3"/>
  <c r="K714" i="3"/>
  <c r="O725" i="3"/>
  <c r="Q735" i="3"/>
  <c r="O745" i="3"/>
  <c r="Y745" i="3" s="1"/>
  <c r="M755" i="3"/>
  <c r="K765" i="3"/>
  <c r="V774" i="3"/>
  <c r="T784" i="3"/>
  <c r="R794" i="3"/>
  <c r="P804" i="3"/>
  <c r="N814" i="3"/>
  <c r="N822" i="3"/>
  <c r="V830" i="3"/>
  <c r="N838" i="3"/>
  <c r="N846" i="3"/>
  <c r="S853" i="3"/>
  <c r="S861" i="3"/>
  <c r="P868" i="3"/>
  <c r="U875" i="3"/>
  <c r="J882" i="3"/>
  <c r="L888" i="3"/>
  <c r="S573" i="3"/>
  <c r="V622" i="3"/>
  <c r="L672" i="3"/>
  <c r="J701" i="3"/>
  <c r="N709" i="3"/>
  <c r="N716" i="3"/>
  <c r="T724" i="3"/>
  <c r="N731" i="3"/>
  <c r="P737" i="3"/>
  <c r="U744" i="3"/>
  <c r="J751" i="3"/>
  <c r="L757" i="3"/>
  <c r="Q764" i="3"/>
  <c r="S770" i="3"/>
  <c r="U776" i="3"/>
  <c r="M784" i="3"/>
  <c r="O790" i="3"/>
  <c r="Q796" i="3"/>
  <c r="V803" i="3"/>
  <c r="K810" i="3"/>
  <c r="M816" i="3"/>
  <c r="R823" i="3"/>
  <c r="T829" i="3"/>
  <c r="V835" i="3"/>
  <c r="N843" i="3"/>
  <c r="P849" i="3"/>
  <c r="R855" i="3"/>
  <c r="J863" i="3"/>
  <c r="L869" i="3"/>
  <c r="N875" i="3"/>
  <c r="Q559" i="3"/>
  <c r="T608" i="3"/>
  <c r="J658" i="3"/>
  <c r="O697" i="3"/>
  <c r="Y697" i="3" s="1"/>
  <c r="M707" i="3"/>
  <c r="N714" i="3"/>
  <c r="S722" i="3"/>
  <c r="Q729" i="3"/>
  <c r="S735" i="3"/>
  <c r="K743" i="3"/>
  <c r="M749" i="3"/>
  <c r="O755" i="3"/>
  <c r="Y755" i="3" s="1"/>
  <c r="T762" i="3"/>
  <c r="V768" i="3"/>
  <c r="K775" i="3"/>
  <c r="P782" i="3"/>
  <c r="R788" i="3"/>
  <c r="T794" i="3"/>
  <c r="L802" i="3"/>
  <c r="N808" i="3"/>
  <c r="P814" i="3"/>
  <c r="U821" i="3"/>
  <c r="J828" i="3"/>
  <c r="L834" i="3"/>
  <c r="Q841" i="3"/>
  <c r="S847" i="3"/>
  <c r="U853" i="3"/>
  <c r="M861" i="3"/>
  <c r="O867" i="3"/>
  <c r="Q873" i="3"/>
  <c r="V880" i="3"/>
  <c r="K887" i="3"/>
  <c r="M555" i="3"/>
  <c r="N614" i="3"/>
  <c r="Q663" i="3"/>
  <c r="L696" i="3"/>
  <c r="K708" i="3"/>
  <c r="K715" i="3"/>
  <c r="O721" i="3"/>
  <c r="Y721" i="3" s="1"/>
  <c r="T727" i="3"/>
  <c r="N733" i="3"/>
  <c r="U738" i="3"/>
  <c r="T743" i="3"/>
  <c r="S748" i="3"/>
  <c r="R753" i="3"/>
  <c r="Q758" i="3"/>
  <c r="P763" i="3"/>
  <c r="O768" i="3"/>
  <c r="Y768" i="3" s="1"/>
  <c r="N773" i="3"/>
  <c r="M778" i="3"/>
  <c r="L783" i="3"/>
  <c r="K788" i="3"/>
  <c r="J793" i="3"/>
  <c r="V797" i="3"/>
  <c r="U802" i="3"/>
  <c r="T807" i="3"/>
  <c r="S812" i="3"/>
  <c r="R817" i="3"/>
  <c r="Q822" i="3"/>
  <c r="P827" i="3"/>
  <c r="O832" i="3"/>
  <c r="N837" i="3"/>
  <c r="M842" i="3"/>
  <c r="L847" i="3"/>
  <c r="K852" i="3"/>
  <c r="J857" i="3"/>
  <c r="V861" i="3"/>
  <c r="U866" i="3"/>
  <c r="T871" i="3"/>
  <c r="S876" i="3"/>
  <c r="R881" i="3"/>
  <c r="U555" i="3"/>
  <c r="M595" i="3"/>
  <c r="R634" i="3"/>
  <c r="J674" i="3"/>
  <c r="R696" i="3"/>
  <c r="N705" i="3"/>
  <c r="V710" i="3"/>
  <c r="Q716" i="3"/>
  <c r="M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P816" i="3"/>
  <c r="O821" i="3"/>
  <c r="Y821" i="3" s="1"/>
  <c r="N826" i="3"/>
  <c r="M831" i="3"/>
  <c r="L836" i="3"/>
  <c r="K841" i="3"/>
  <c r="J846" i="3"/>
  <c r="V850" i="3"/>
  <c r="U855" i="3"/>
  <c r="T860" i="3"/>
  <c r="S865" i="3"/>
  <c r="R870" i="3"/>
  <c r="Q875" i="3"/>
  <c r="P880" i="3"/>
  <c r="S541" i="3"/>
  <c r="K581" i="3"/>
  <c r="P620" i="3"/>
  <c r="U659" i="3"/>
  <c r="T691" i="3"/>
  <c r="U702" i="3"/>
  <c r="V708" i="3"/>
  <c r="Q714" i="3"/>
  <c r="L720" i="3"/>
  <c r="T725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Y834" i="3" s="1"/>
  <c r="N839" i="3"/>
  <c r="M844" i="3"/>
  <c r="L849" i="3"/>
  <c r="K854" i="3"/>
  <c r="J859" i="3"/>
  <c r="V863" i="3"/>
  <c r="U868" i="3"/>
  <c r="T873" i="3"/>
  <c r="S878" i="3"/>
  <c r="N542" i="3"/>
  <c r="S581" i="3"/>
  <c r="K621" i="3"/>
  <c r="P660" i="3"/>
  <c r="U691" i="3"/>
  <c r="V702" i="3"/>
  <c r="J709" i="3"/>
  <c r="R714" i="3"/>
  <c r="M720" i="3"/>
  <c r="V725" i="3"/>
  <c r="K731" i="3"/>
  <c r="J736" i="3"/>
  <c r="V740" i="3"/>
  <c r="U745" i="3"/>
  <c r="T750" i="3"/>
  <c r="S755" i="3"/>
  <c r="R760" i="3"/>
  <c r="Q765" i="3"/>
  <c r="P770" i="3"/>
  <c r="O775" i="3"/>
  <c r="Y775" i="3" s="1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N844" i="3"/>
  <c r="M849" i="3"/>
  <c r="L854" i="3"/>
  <c r="K859" i="3"/>
  <c r="J864" i="3"/>
  <c r="V868" i="3"/>
  <c r="U873" i="3"/>
  <c r="Q445" i="3"/>
  <c r="Q717" i="3"/>
  <c r="M758" i="3"/>
  <c r="R797" i="3"/>
  <c r="J837" i="3"/>
  <c r="O876" i="3"/>
  <c r="Y876" i="3" s="1"/>
  <c r="L886" i="3"/>
  <c r="S891" i="3"/>
  <c r="R896" i="3"/>
  <c r="Q901" i="3"/>
  <c r="P906" i="3"/>
  <c r="O911" i="3"/>
  <c r="Y911" i="3" s="1"/>
  <c r="N916" i="3"/>
  <c r="M921" i="3"/>
  <c r="L926" i="3"/>
  <c r="K931" i="3"/>
  <c r="J936" i="3"/>
  <c r="O305" i="3"/>
  <c r="T463" i="3"/>
  <c r="M335" i="3"/>
  <c r="O391" i="3"/>
  <c r="Q415" i="3"/>
  <c r="T365" i="3"/>
  <c r="N377" i="3"/>
  <c r="T450" i="3"/>
  <c r="K368" i="3"/>
  <c r="V527" i="3"/>
  <c r="N464" i="3"/>
  <c r="P514" i="3"/>
  <c r="O428" i="3"/>
  <c r="Y428" i="3" s="1"/>
  <c r="T507" i="3"/>
  <c r="U373" i="3"/>
  <c r="L486" i="3"/>
  <c r="R250" i="3"/>
  <c r="N440" i="3"/>
  <c r="T509" i="3"/>
  <c r="T541" i="3"/>
  <c r="M576" i="3"/>
  <c r="Q620" i="3"/>
  <c r="V659" i="3"/>
  <c r="L693" i="3"/>
  <c r="K543" i="3"/>
  <c r="M581" i="3"/>
  <c r="O611" i="3"/>
  <c r="L650" i="3"/>
  <c r="M685" i="3"/>
  <c r="O715" i="3"/>
  <c r="Y715" i="3" s="1"/>
  <c r="O544" i="3"/>
  <c r="Y544" i="3" s="1"/>
  <c r="P579" i="3"/>
  <c r="S612" i="3"/>
  <c r="O648" i="3"/>
  <c r="Y648" i="3" s="1"/>
  <c r="Q686" i="3"/>
  <c r="V528" i="3"/>
  <c r="N570" i="3"/>
  <c r="T604" i="3"/>
  <c r="M623" i="3"/>
  <c r="O645" i="3"/>
  <c r="Q667" i="3"/>
  <c r="J686" i="3"/>
  <c r="R524" i="3"/>
  <c r="V551" i="3"/>
  <c r="T569" i="3"/>
  <c r="U588" i="3"/>
  <c r="S606" i="3"/>
  <c r="K622" i="3"/>
  <c r="L641" i="3"/>
  <c r="J659" i="3"/>
  <c r="J675" i="3"/>
  <c r="P693" i="3"/>
  <c r="T490" i="3"/>
  <c r="Q541" i="3"/>
  <c r="R560" i="3"/>
  <c r="P578" i="3"/>
  <c r="U593" i="3"/>
  <c r="R608" i="3"/>
  <c r="L622" i="3"/>
  <c r="U633" i="3"/>
  <c r="J648" i="3"/>
  <c r="Q661" i="3"/>
  <c r="M673" i="3"/>
  <c r="O687" i="3"/>
  <c r="K511" i="3"/>
  <c r="O540" i="3"/>
  <c r="Q554" i="3"/>
  <c r="K568" i="3"/>
  <c r="T579" i="3"/>
  <c r="V593" i="3"/>
  <c r="M606" i="3"/>
  <c r="K616" i="3"/>
  <c r="V625" i="3"/>
  <c r="T635" i="3"/>
  <c r="R645" i="3"/>
  <c r="P655" i="3"/>
  <c r="N665" i="3"/>
  <c r="L675" i="3"/>
  <c r="J685" i="3"/>
  <c r="T592" i="3"/>
  <c r="Q671" i="3"/>
  <c r="J705" i="3"/>
  <c r="M716" i="3"/>
  <c r="P727" i="3"/>
  <c r="O737" i="3"/>
  <c r="Y737" i="3" s="1"/>
  <c r="M747" i="3"/>
  <c r="K757" i="3"/>
  <c r="V766" i="3"/>
  <c r="T776" i="3"/>
  <c r="R786" i="3"/>
  <c r="P796" i="3"/>
  <c r="N806" i="3"/>
  <c r="L816" i="3"/>
  <c r="Q823" i="3"/>
  <c r="Q831" i="3"/>
  <c r="V838" i="3"/>
  <c r="V846" i="3"/>
  <c r="Q855" i="3"/>
  <c r="V862" i="3"/>
  <c r="N870" i="3"/>
  <c r="P876" i="3"/>
  <c r="R882" i="3"/>
  <c r="R516" i="3"/>
  <c r="R578" i="3"/>
  <c r="U627" i="3"/>
  <c r="M686" i="3"/>
  <c r="M702" i="3"/>
  <c r="J710" i="3"/>
  <c r="O718" i="3"/>
  <c r="Y718" i="3" s="1"/>
  <c r="P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Y830" i="3" s="1"/>
  <c r="T837" i="3"/>
  <c r="V843" i="3"/>
  <c r="K850" i="3"/>
  <c r="P857" i="3"/>
  <c r="R863" i="3"/>
  <c r="T869" i="3"/>
  <c r="L877" i="3"/>
  <c r="P564" i="3"/>
  <c r="S613" i="3"/>
  <c r="T672" i="3"/>
  <c r="R698" i="3"/>
  <c r="V707" i="3"/>
  <c r="O716" i="3"/>
  <c r="P723" i="3"/>
  <c r="L730" i="3"/>
  <c r="Q737" i="3"/>
  <c r="S743" i="3"/>
  <c r="U749" i="3"/>
  <c r="M757" i="3"/>
  <c r="O763" i="3"/>
  <c r="Y763" i="3" s="1"/>
  <c r="Q769" i="3"/>
  <c r="V776" i="3"/>
  <c r="K783" i="3"/>
  <c r="M789" i="3"/>
  <c r="R796" i="3"/>
  <c r="T802" i="3"/>
  <c r="V808" i="3"/>
  <c r="N816" i="3"/>
  <c r="P822" i="3"/>
  <c r="R828" i="3"/>
  <c r="J836" i="3"/>
  <c r="L842" i="3"/>
  <c r="N848" i="3"/>
  <c r="S855" i="3"/>
  <c r="U861" i="3"/>
  <c r="J868" i="3"/>
  <c r="O875" i="3"/>
  <c r="Q881" i="3"/>
  <c r="S887" i="3"/>
  <c r="J570" i="3"/>
  <c r="M619" i="3"/>
  <c r="P668" i="3"/>
  <c r="L700" i="3"/>
  <c r="T708" i="3"/>
  <c r="T715" i="3"/>
  <c r="K722" i="3"/>
  <c r="O728" i="3"/>
  <c r="Q734" i="3"/>
  <c r="P739" i="3"/>
  <c r="O744" i="3"/>
  <c r="N749" i="3"/>
  <c r="M754" i="3"/>
  <c r="L759" i="3"/>
  <c r="K764" i="3"/>
  <c r="J769" i="3"/>
  <c r="V773" i="3"/>
  <c r="U778" i="3"/>
  <c r="T783" i="3"/>
  <c r="S788" i="3"/>
  <c r="R793" i="3"/>
  <c r="Q798" i="3"/>
  <c r="P803" i="3"/>
  <c r="O808" i="3"/>
  <c r="N813" i="3"/>
  <c r="M818" i="3"/>
  <c r="L823" i="3"/>
  <c r="K828" i="3"/>
  <c r="J833" i="3"/>
  <c r="V837" i="3"/>
  <c r="U842" i="3"/>
  <c r="T847" i="3"/>
  <c r="S852" i="3"/>
  <c r="R857" i="3"/>
  <c r="Q862" i="3"/>
  <c r="P867" i="3"/>
  <c r="O872" i="3"/>
  <c r="Y872" i="3" s="1"/>
  <c r="N877" i="3"/>
  <c r="J404" i="3"/>
  <c r="T560" i="3"/>
  <c r="L600" i="3"/>
  <c r="Q639" i="3"/>
  <c r="V678" i="3"/>
  <c r="U697" i="3"/>
  <c r="J706" i="3"/>
  <c r="R711" i="3"/>
  <c r="N717" i="3"/>
  <c r="V722" i="3"/>
  <c r="P728" i="3"/>
  <c r="O733" i="3"/>
  <c r="Y733" i="3" s="1"/>
  <c r="N738" i="3"/>
  <c r="M743" i="3"/>
  <c r="L748" i="3"/>
  <c r="K753" i="3"/>
  <c r="J758" i="3"/>
  <c r="V762" i="3"/>
  <c r="U767" i="3"/>
  <c r="T772" i="3"/>
  <c r="S777" i="3"/>
  <c r="R782" i="3"/>
  <c r="Q787" i="3"/>
  <c r="P792" i="3"/>
  <c r="O797" i="3"/>
  <c r="Y797" i="3" s="1"/>
  <c r="N802" i="3"/>
  <c r="M807" i="3"/>
  <c r="L812" i="3"/>
  <c r="K817" i="3"/>
  <c r="J822" i="3"/>
  <c r="V826" i="3"/>
  <c r="U831" i="3"/>
  <c r="T836" i="3"/>
  <c r="S841" i="3"/>
  <c r="R846" i="3"/>
  <c r="Q851" i="3"/>
  <c r="P856" i="3"/>
  <c r="O861" i="3"/>
  <c r="N866" i="3"/>
  <c r="M871" i="3"/>
  <c r="L876" i="3"/>
  <c r="K881" i="3"/>
  <c r="R546" i="3"/>
  <c r="J586" i="3"/>
  <c r="O625" i="3"/>
  <c r="T664" i="3"/>
  <c r="Q693" i="3"/>
  <c r="J704" i="3"/>
  <c r="R709" i="3"/>
  <c r="M715" i="3"/>
  <c r="U720" i="3"/>
  <c r="Q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R859" i="3"/>
  <c r="Q864" i="3"/>
  <c r="P869" i="3"/>
  <c r="O874" i="3"/>
  <c r="N879" i="3"/>
  <c r="M547" i="3"/>
  <c r="R586" i="3"/>
  <c r="J626" i="3"/>
  <c r="O665" i="3"/>
  <c r="Y665" i="3" s="1"/>
  <c r="R693" i="3"/>
  <c r="K704" i="3"/>
  <c r="S709" i="3"/>
  <c r="N715" i="3"/>
  <c r="J721" i="3"/>
  <c r="R726" i="3"/>
  <c r="S731" i="3"/>
  <c r="R736" i="3"/>
  <c r="Q741" i="3"/>
  <c r="P746" i="3"/>
  <c r="O751" i="3"/>
  <c r="N756" i="3"/>
  <c r="M761" i="3"/>
  <c r="L766" i="3"/>
  <c r="K771" i="3"/>
  <c r="J776" i="3"/>
  <c r="V780" i="3"/>
  <c r="U785" i="3"/>
  <c r="T790" i="3"/>
  <c r="S795" i="3"/>
  <c r="R800" i="3"/>
  <c r="Q805" i="3"/>
  <c r="P810" i="3"/>
  <c r="O815" i="3"/>
  <c r="Y815" i="3" s="1"/>
  <c r="N820" i="3"/>
  <c r="M825" i="3"/>
  <c r="L830" i="3"/>
  <c r="K835" i="3"/>
  <c r="J840" i="3"/>
  <c r="V844" i="3"/>
  <c r="U849" i="3"/>
  <c r="T854" i="3"/>
  <c r="S859" i="3"/>
  <c r="R864" i="3"/>
  <c r="Q869" i="3"/>
  <c r="P874" i="3"/>
  <c r="R562" i="3"/>
  <c r="L723" i="3"/>
  <c r="L763" i="3"/>
  <c r="Q802" i="3"/>
  <c r="V841" i="3"/>
  <c r="J879" i="3"/>
  <c r="J887" i="3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J306" i="3"/>
  <c r="R242" i="3"/>
  <c r="T409" i="3"/>
  <c r="J392" i="3"/>
  <c r="S429" i="3"/>
  <c r="K386" i="3"/>
  <c r="J421" i="3"/>
  <c r="L454" i="3"/>
  <c r="N449" i="3"/>
  <c r="Q528" i="3"/>
  <c r="J477" i="3"/>
  <c r="T526" i="3"/>
  <c r="L430" i="3"/>
  <c r="V513" i="3"/>
  <c r="O403" i="3"/>
  <c r="J490" i="3"/>
  <c r="N289" i="3"/>
  <c r="U469" i="3"/>
  <c r="J511" i="3"/>
  <c r="S546" i="3"/>
  <c r="S586" i="3"/>
  <c r="L621" i="3"/>
  <c r="M664" i="3"/>
  <c r="N699" i="3"/>
  <c r="T546" i="3"/>
  <c r="P582" i="3"/>
  <c r="R620" i="3"/>
  <c r="T650" i="3"/>
  <c r="Q689" i="3"/>
  <c r="R724" i="3"/>
  <c r="J545" i="3"/>
  <c r="T583" i="3"/>
  <c r="U618" i="3"/>
  <c r="K652" i="3"/>
  <c r="T687" i="3"/>
  <c r="T540" i="3"/>
  <c r="V570" i="3"/>
  <c r="J606" i="3"/>
  <c r="L628" i="3"/>
  <c r="R646" i="3"/>
  <c r="O669" i="3"/>
  <c r="Y669" i="3" s="1"/>
  <c r="V690" i="3"/>
  <c r="R527" i="3"/>
  <c r="O554" i="3"/>
  <c r="Y554" i="3" s="1"/>
  <c r="K574" i="3"/>
  <c r="P589" i="3"/>
  <c r="Q608" i="3"/>
  <c r="O626" i="3"/>
  <c r="Y626" i="3" s="1"/>
  <c r="T641" i="3"/>
  <c r="U660" i="3"/>
  <c r="S678" i="3"/>
  <c r="S694" i="3"/>
  <c r="R500" i="3"/>
  <c r="U545" i="3"/>
  <c r="M561" i="3"/>
  <c r="N580" i="3"/>
  <c r="Q597" i="3"/>
  <c r="M609" i="3"/>
  <c r="O623" i="3"/>
  <c r="V636" i="3"/>
  <c r="R648" i="3"/>
  <c r="T662" i="3"/>
  <c r="N676" i="3"/>
  <c r="J688" i="3"/>
  <c r="V520" i="3"/>
  <c r="P543" i="3"/>
  <c r="L555" i="3"/>
  <c r="N569" i="3"/>
  <c r="U582" i="3"/>
  <c r="Q594" i="3"/>
  <c r="P607" i="3"/>
  <c r="N617" i="3"/>
  <c r="L627" i="3"/>
  <c r="J637" i="3"/>
  <c r="U646" i="3"/>
  <c r="S656" i="3"/>
  <c r="Q666" i="3"/>
  <c r="O676" i="3"/>
  <c r="Q458" i="3"/>
  <c r="R602" i="3"/>
  <c r="O681" i="3"/>
  <c r="O706" i="3"/>
  <c r="Y706" i="3" s="1"/>
  <c r="R717" i="3"/>
  <c r="T728" i="3"/>
  <c r="R738" i="3"/>
  <c r="P748" i="3"/>
  <c r="N758" i="3"/>
  <c r="L768" i="3"/>
  <c r="J778" i="3"/>
  <c r="U787" i="3"/>
  <c r="S797" i="3"/>
  <c r="Q807" i="3"/>
  <c r="T816" i="3"/>
  <c r="L824" i="3"/>
  <c r="L832" i="3"/>
  <c r="T840" i="3"/>
  <c r="L848" i="3"/>
  <c r="L856" i="3"/>
  <c r="Q863" i="3"/>
  <c r="V870" i="3"/>
  <c r="K877" i="3"/>
  <c r="M883" i="3"/>
  <c r="N534" i="3"/>
  <c r="Q583" i="3"/>
  <c r="T632" i="3"/>
  <c r="S688" i="3"/>
  <c r="P703" i="3"/>
  <c r="S710" i="3"/>
  <c r="L719" i="3"/>
  <c r="L726" i="3"/>
  <c r="Q732" i="3"/>
  <c r="V739" i="3"/>
  <c r="K746" i="3"/>
  <c r="M752" i="3"/>
  <c r="R759" i="3"/>
  <c r="T765" i="3"/>
  <c r="V771" i="3"/>
  <c r="N779" i="3"/>
  <c r="P785" i="3"/>
  <c r="R791" i="3"/>
  <c r="J799" i="3"/>
  <c r="L805" i="3"/>
  <c r="N811" i="3"/>
  <c r="S818" i="3"/>
  <c r="U824" i="3"/>
  <c r="J831" i="3"/>
  <c r="O838" i="3"/>
  <c r="Q844" i="3"/>
  <c r="S850" i="3"/>
  <c r="K858" i="3"/>
  <c r="M864" i="3"/>
  <c r="O870" i="3"/>
  <c r="Y870" i="3" s="1"/>
  <c r="R364" i="3"/>
  <c r="O569" i="3"/>
  <c r="R618" i="3"/>
  <c r="S677" i="3"/>
  <c r="U699" i="3"/>
  <c r="S708" i="3"/>
  <c r="K717" i="3"/>
  <c r="L724" i="3"/>
  <c r="T730" i="3"/>
  <c r="L738" i="3"/>
  <c r="N744" i="3"/>
  <c r="P750" i="3"/>
  <c r="U757" i="3"/>
  <c r="J764" i="3"/>
  <c r="L770" i="3"/>
  <c r="Q777" i="3"/>
  <c r="S783" i="3"/>
  <c r="U789" i="3"/>
  <c r="M797" i="3"/>
  <c r="O803" i="3"/>
  <c r="Y803" i="3" s="1"/>
  <c r="Q809" i="3"/>
  <c r="V816" i="3"/>
  <c r="K823" i="3"/>
  <c r="M829" i="3"/>
  <c r="R836" i="3"/>
  <c r="T842" i="3"/>
  <c r="V848" i="3"/>
  <c r="N856" i="3"/>
  <c r="P862" i="3"/>
  <c r="R868" i="3"/>
  <c r="J876" i="3"/>
  <c r="L882" i="3"/>
  <c r="N888" i="3"/>
  <c r="V574" i="3"/>
  <c r="L624" i="3"/>
  <c r="O673" i="3"/>
  <c r="Y673" i="3" s="1"/>
  <c r="O701" i="3"/>
  <c r="P709" i="3"/>
  <c r="P716" i="3"/>
  <c r="U722" i="3"/>
  <c r="R729" i="3"/>
  <c r="L735" i="3"/>
  <c r="K740" i="3"/>
  <c r="J745" i="3"/>
  <c r="V749" i="3"/>
  <c r="U754" i="3"/>
  <c r="T759" i="3"/>
  <c r="S764" i="3"/>
  <c r="R769" i="3"/>
  <c r="Q774" i="3"/>
  <c r="P779" i="3"/>
  <c r="O784" i="3"/>
  <c r="Y784" i="3" s="1"/>
  <c r="N789" i="3"/>
  <c r="M794" i="3"/>
  <c r="L799" i="3"/>
  <c r="K804" i="3"/>
  <c r="J809" i="3"/>
  <c r="V813" i="3"/>
  <c r="U818" i="3"/>
  <c r="T823" i="3"/>
  <c r="S828" i="3"/>
  <c r="V154" i="3"/>
  <c r="S290" i="3"/>
  <c r="K430" i="3"/>
  <c r="O289" i="3"/>
  <c r="Y289" i="3" s="1"/>
  <c r="J434" i="3"/>
  <c r="V403" i="3"/>
  <c r="R480" i="3"/>
  <c r="R479" i="3"/>
  <c r="R452" i="3"/>
  <c r="N341" i="3"/>
  <c r="V478" i="3"/>
  <c r="N532" i="3"/>
  <c r="R464" i="3"/>
  <c r="Q514" i="3"/>
  <c r="T418" i="3"/>
  <c r="O497" i="3"/>
  <c r="N337" i="3"/>
  <c r="M473" i="3"/>
  <c r="P521" i="3"/>
  <c r="N547" i="3"/>
  <c r="R591" i="3"/>
  <c r="R631" i="3"/>
  <c r="U664" i="3"/>
  <c r="R703" i="3"/>
  <c r="V552" i="3"/>
  <c r="L586" i="3"/>
  <c r="U621" i="3"/>
  <c r="J660" i="3"/>
  <c r="L690" i="3"/>
  <c r="T311" i="3"/>
  <c r="M554" i="3"/>
  <c r="O584" i="3"/>
  <c r="L623" i="3"/>
  <c r="M658" i="3"/>
  <c r="P691" i="3"/>
  <c r="J542" i="3"/>
  <c r="L580" i="3"/>
  <c r="M607" i="3"/>
  <c r="J630" i="3"/>
  <c r="Q651" i="3"/>
  <c r="J670" i="3"/>
  <c r="O693" i="3"/>
  <c r="V535" i="3"/>
  <c r="J555" i="3"/>
  <c r="N575" i="3"/>
  <c r="T593" i="3"/>
  <c r="L609" i="3"/>
  <c r="M628" i="3"/>
  <c r="K646" i="3"/>
  <c r="P661" i="3"/>
  <c r="Q680" i="3"/>
  <c r="O698" i="3"/>
  <c r="Y698" i="3" s="1"/>
  <c r="P510" i="3"/>
  <c r="K547" i="3"/>
  <c r="Q565" i="3"/>
  <c r="V580" i="3"/>
  <c r="T598" i="3"/>
  <c r="N612" i="3"/>
  <c r="J624" i="3"/>
  <c r="L638" i="3"/>
  <c r="S651" i="3"/>
  <c r="O663" i="3"/>
  <c r="Y663" i="3" s="1"/>
  <c r="Q677" i="3"/>
  <c r="T277" i="3"/>
  <c r="U525" i="3"/>
  <c r="S544" i="3"/>
  <c r="M558" i="3"/>
  <c r="V569" i="3"/>
  <c r="K584" i="3"/>
  <c r="R597" i="3"/>
  <c r="S608" i="3"/>
  <c r="Q618" i="3"/>
  <c r="O628" i="3"/>
  <c r="Y628" i="3" s="1"/>
  <c r="M638" i="3"/>
  <c r="K648" i="3"/>
  <c r="V657" i="3"/>
  <c r="T667" i="3"/>
  <c r="R677" i="3"/>
  <c r="S533" i="3"/>
  <c r="P612" i="3"/>
  <c r="L688" i="3"/>
  <c r="T707" i="3"/>
  <c r="J719" i="3"/>
  <c r="J730" i="3"/>
  <c r="U739" i="3"/>
  <c r="S749" i="3"/>
  <c r="Q759" i="3"/>
  <c r="O769" i="3"/>
  <c r="M779" i="3"/>
  <c r="K789" i="3"/>
  <c r="V798" i="3"/>
  <c r="T808" i="3"/>
  <c r="O817" i="3"/>
  <c r="J826" i="3"/>
  <c r="O833" i="3"/>
  <c r="Y833" i="3" s="1"/>
  <c r="O841" i="3"/>
  <c r="Y841" i="3" s="1"/>
  <c r="T848" i="3"/>
  <c r="T856" i="3"/>
  <c r="O865" i="3"/>
  <c r="Y865" i="3" s="1"/>
  <c r="Q871" i="3"/>
  <c r="S877" i="3"/>
  <c r="K885" i="3"/>
  <c r="M539" i="3"/>
  <c r="P588" i="3"/>
  <c r="Q647" i="3"/>
  <c r="K691" i="3"/>
  <c r="O704" i="3"/>
  <c r="Y704" i="3" s="1"/>
  <c r="T712" i="3"/>
  <c r="U719" i="3"/>
  <c r="U726" i="3"/>
  <c r="O734" i="3"/>
  <c r="Y734" i="3" s="1"/>
  <c r="Q740" i="3"/>
  <c r="S746" i="3"/>
  <c r="K754" i="3"/>
  <c r="M760" i="3"/>
  <c r="O766" i="3"/>
  <c r="Y766" i="3" s="1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S858" i="3"/>
  <c r="U864" i="3"/>
  <c r="M872" i="3"/>
  <c r="N480" i="3"/>
  <c r="N574" i="3"/>
  <c r="O633" i="3"/>
  <c r="Y633" i="3" s="1"/>
  <c r="R682" i="3"/>
  <c r="K701" i="3"/>
  <c r="T710" i="3"/>
  <c r="T717" i="3"/>
  <c r="U724" i="3"/>
  <c r="R732" i="3"/>
  <c r="T738" i="3"/>
  <c r="V744" i="3"/>
  <c r="N752" i="3"/>
  <c r="P758" i="3"/>
  <c r="R764" i="3"/>
  <c r="J772" i="3"/>
  <c r="L778" i="3"/>
  <c r="N784" i="3"/>
  <c r="S791" i="3"/>
  <c r="U797" i="3"/>
  <c r="J804" i="3"/>
  <c r="O811" i="3"/>
  <c r="Y811" i="3" s="1"/>
  <c r="Q817" i="3"/>
  <c r="S823" i="3"/>
  <c r="K831" i="3"/>
  <c r="M837" i="3"/>
  <c r="O843" i="3"/>
  <c r="Y843" i="3" s="1"/>
  <c r="T850" i="3"/>
  <c r="V856" i="3"/>
  <c r="K863" i="3"/>
  <c r="P870" i="3"/>
  <c r="R876" i="3"/>
  <c r="T882" i="3"/>
  <c r="P526" i="3"/>
  <c r="U579" i="3"/>
  <c r="K629" i="3"/>
  <c r="U686" i="3"/>
  <c r="R702" i="3"/>
  <c r="L710" i="3"/>
  <c r="L717" i="3"/>
  <c r="M724" i="3"/>
  <c r="M730" i="3"/>
  <c r="T735" i="3"/>
  <c r="S740" i="3"/>
  <c r="R745" i="3"/>
  <c r="Q750" i="3"/>
  <c r="P755" i="3"/>
  <c r="O760" i="3"/>
  <c r="Y760" i="3" s="1"/>
  <c r="N765" i="3"/>
  <c r="M770" i="3"/>
  <c r="L775" i="3"/>
  <c r="K780" i="3"/>
  <c r="J785" i="3"/>
  <c r="V789" i="3"/>
  <c r="U794" i="3"/>
  <c r="T799" i="3"/>
  <c r="S804" i="3"/>
  <c r="R809" i="3"/>
  <c r="Q814" i="3"/>
  <c r="P819" i="3"/>
  <c r="O824" i="3"/>
  <c r="N829" i="3"/>
  <c r="M834" i="3"/>
  <c r="L839" i="3"/>
  <c r="K844" i="3"/>
  <c r="J849" i="3"/>
  <c r="V853" i="3"/>
  <c r="U858" i="3"/>
  <c r="T863" i="3"/>
  <c r="S868" i="3"/>
  <c r="R873" i="3"/>
  <c r="Q878" i="3"/>
  <c r="M528" i="3"/>
  <c r="R570" i="3"/>
  <c r="J610" i="3"/>
  <c r="O649" i="3"/>
  <c r="V686" i="3"/>
  <c r="N700" i="3"/>
  <c r="P707" i="3"/>
  <c r="K713" i="3"/>
  <c r="S718" i="3"/>
  <c r="N724" i="3"/>
  <c r="S729" i="3"/>
  <c r="R734" i="3"/>
  <c r="Q739" i="3"/>
  <c r="P744" i="3"/>
  <c r="O749" i="3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Y813" i="3" s="1"/>
  <c r="N818" i="3"/>
  <c r="M823" i="3"/>
  <c r="L828" i="3"/>
  <c r="K833" i="3"/>
  <c r="J838" i="3"/>
  <c r="V842" i="3"/>
  <c r="U847" i="3"/>
  <c r="T852" i="3"/>
  <c r="S857" i="3"/>
  <c r="R862" i="3"/>
  <c r="Q867" i="3"/>
  <c r="P872" i="3"/>
  <c r="O877" i="3"/>
  <c r="Y877" i="3" s="1"/>
  <c r="N882" i="3"/>
  <c r="P556" i="3"/>
  <c r="U595" i="3"/>
  <c r="M635" i="3"/>
  <c r="R674" i="3"/>
  <c r="S696" i="3"/>
  <c r="O705" i="3"/>
  <c r="Y705" i="3" s="1"/>
  <c r="J711" i="3"/>
  <c r="S716" i="3"/>
  <c r="N722" i="3"/>
  <c r="V727" i="3"/>
  <c r="U732" i="3"/>
  <c r="T737" i="3"/>
  <c r="S742" i="3"/>
  <c r="R747" i="3"/>
  <c r="Q752" i="3"/>
  <c r="P757" i="3"/>
  <c r="O762" i="3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K557" i="3"/>
  <c r="P596" i="3"/>
  <c r="U635" i="3"/>
  <c r="M675" i="3"/>
  <c r="T696" i="3"/>
  <c r="P705" i="3"/>
  <c r="L711" i="3"/>
  <c r="T716" i="3"/>
  <c r="O722" i="3"/>
  <c r="Y722" i="3" s="1"/>
  <c r="J728" i="3"/>
  <c r="V732" i="3"/>
  <c r="U737" i="3"/>
  <c r="T742" i="3"/>
  <c r="S747" i="3"/>
  <c r="R752" i="3"/>
  <c r="Q757" i="3"/>
  <c r="P762" i="3"/>
  <c r="O767" i="3"/>
  <c r="Y767" i="3" s="1"/>
  <c r="N772" i="3"/>
  <c r="M777" i="3"/>
  <c r="L782" i="3"/>
  <c r="K787" i="3"/>
  <c r="J792" i="3"/>
  <c r="V796" i="3"/>
  <c r="U801" i="3"/>
  <c r="T806" i="3"/>
  <c r="S811" i="3"/>
  <c r="R816" i="3"/>
  <c r="Q821" i="3"/>
  <c r="P826" i="3"/>
  <c r="O831" i="3"/>
  <c r="N836" i="3"/>
  <c r="M841" i="3"/>
  <c r="L846" i="3"/>
  <c r="K851" i="3"/>
  <c r="J856" i="3"/>
  <c r="V860" i="3"/>
  <c r="U865" i="3"/>
  <c r="T870" i="3"/>
  <c r="S875" i="3"/>
  <c r="O641" i="3"/>
  <c r="Y641" i="3" s="1"/>
  <c r="R733" i="3"/>
  <c r="J773" i="3"/>
  <c r="O812" i="3"/>
  <c r="T851" i="3"/>
  <c r="V881" i="3"/>
  <c r="R888" i="3"/>
  <c r="Q893" i="3"/>
  <c r="P898" i="3"/>
  <c r="O903" i="3"/>
  <c r="N908" i="3"/>
  <c r="M913" i="3"/>
  <c r="L918" i="3"/>
  <c r="K923" i="3"/>
  <c r="J928" i="3"/>
  <c r="L321" i="3"/>
  <c r="V394" i="3"/>
  <c r="K438" i="3"/>
  <c r="U335" i="3"/>
  <c r="J466" i="3"/>
  <c r="L405" i="3"/>
  <c r="J497" i="3"/>
  <c r="P496" i="3"/>
  <c r="V473" i="3"/>
  <c r="Q353" i="3"/>
  <c r="V492" i="3"/>
  <c r="P152" i="3"/>
  <c r="K477" i="3"/>
  <c r="U526" i="3"/>
  <c r="O420" i="3"/>
  <c r="Y420" i="3" s="1"/>
  <c r="N502" i="3"/>
  <c r="N369" i="3"/>
  <c r="M480" i="3"/>
  <c r="S522" i="3"/>
  <c r="T557" i="3"/>
  <c r="M592" i="3"/>
  <c r="Q636" i="3"/>
  <c r="K674" i="3"/>
  <c r="K200" i="3"/>
  <c r="M557" i="3"/>
  <c r="N592" i="3"/>
  <c r="Q625" i="3"/>
  <c r="M661" i="3"/>
  <c r="O699" i="3"/>
  <c r="N352" i="3"/>
  <c r="Q558" i="3"/>
  <c r="R593" i="3"/>
  <c r="T623" i="3"/>
  <c r="Q662" i="3"/>
  <c r="R697" i="3"/>
  <c r="S545" i="3"/>
  <c r="O581" i="3"/>
  <c r="L612" i="3"/>
  <c r="R630" i="3"/>
  <c r="J654" i="3"/>
  <c r="V674" i="3"/>
  <c r="J694" i="3"/>
  <c r="O538" i="3"/>
  <c r="V559" i="3"/>
  <c r="Q576" i="3"/>
  <c r="J595" i="3"/>
  <c r="P613" i="3"/>
  <c r="U628" i="3"/>
  <c r="V647" i="3"/>
  <c r="T665" i="3"/>
  <c r="L681" i="3"/>
  <c r="M700" i="3"/>
  <c r="M531" i="3"/>
  <c r="N548" i="3"/>
  <c r="T566" i="3"/>
  <c r="M585" i="3"/>
  <c r="O599" i="3"/>
  <c r="Q613" i="3"/>
  <c r="K627" i="3"/>
  <c r="T638" i="3"/>
  <c r="V652" i="3"/>
  <c r="P666" i="3"/>
  <c r="L678" i="3"/>
  <c r="L362" i="3"/>
  <c r="R533" i="3"/>
  <c r="N545" i="3"/>
  <c r="P559" i="3"/>
  <c r="J573" i="3"/>
  <c r="S584" i="3"/>
  <c r="U598" i="3"/>
  <c r="N609" i="3"/>
  <c r="L619" i="3"/>
  <c r="J629" i="3"/>
  <c r="U638" i="3"/>
  <c r="S648" i="3"/>
  <c r="Q658" i="3"/>
  <c r="O668" i="3"/>
  <c r="M678" i="3"/>
  <c r="R538" i="3"/>
  <c r="O617" i="3"/>
  <c r="Y617" i="3" s="1"/>
  <c r="R690" i="3"/>
  <c r="P708" i="3"/>
  <c r="T719" i="3"/>
  <c r="R730" i="3"/>
  <c r="P740" i="3"/>
  <c r="N750" i="3"/>
  <c r="L760" i="3"/>
  <c r="J770" i="3"/>
  <c r="U779" i="3"/>
  <c r="S789" i="3"/>
  <c r="Q799" i="3"/>
  <c r="O809" i="3"/>
  <c r="Y809" i="3" s="1"/>
  <c r="R818" i="3"/>
  <c r="R826" i="3"/>
  <c r="J834" i="3"/>
  <c r="J842" i="3"/>
  <c r="R850" i="3"/>
  <c r="J858" i="3"/>
  <c r="J866" i="3"/>
  <c r="L872" i="3"/>
  <c r="N878" i="3"/>
  <c r="S885" i="3"/>
  <c r="L544" i="3"/>
  <c r="O593" i="3"/>
  <c r="Y593" i="3" s="1"/>
  <c r="P652" i="3"/>
  <c r="P692" i="3"/>
  <c r="K705" i="3"/>
  <c r="P713" i="3"/>
  <c r="Q720" i="3"/>
  <c r="Q727" i="3"/>
  <c r="J735" i="3"/>
  <c r="L741" i="3"/>
  <c r="N747" i="3"/>
  <c r="S754" i="3"/>
  <c r="U760" i="3"/>
  <c r="J767" i="3"/>
  <c r="O774" i="3"/>
  <c r="Q780" i="3"/>
  <c r="S786" i="3"/>
  <c r="K794" i="3"/>
  <c r="M800" i="3"/>
  <c r="O806" i="3"/>
  <c r="Y806" i="3" s="1"/>
  <c r="T813" i="3"/>
  <c r="V819" i="3"/>
  <c r="K826" i="3"/>
  <c r="P833" i="3"/>
  <c r="R839" i="3"/>
  <c r="T845" i="3"/>
  <c r="L853" i="3"/>
  <c r="N859" i="3"/>
  <c r="P865" i="3"/>
  <c r="U872" i="3"/>
  <c r="Q521" i="3"/>
  <c r="M579" i="3"/>
  <c r="N638" i="3"/>
  <c r="N686" i="3"/>
  <c r="N702" i="3"/>
  <c r="P711" i="3"/>
  <c r="Q718" i="3"/>
  <c r="Q725" i="3"/>
  <c r="M733" i="3"/>
  <c r="O739" i="3"/>
  <c r="Y739" i="3" s="1"/>
  <c r="Q745" i="3"/>
  <c r="V752" i="3"/>
  <c r="K759" i="3"/>
  <c r="M765" i="3"/>
  <c r="R772" i="3"/>
  <c r="T778" i="3"/>
  <c r="V784" i="3"/>
  <c r="N792" i="3"/>
  <c r="P798" i="3"/>
  <c r="R804" i="3"/>
  <c r="J812" i="3"/>
  <c r="L818" i="3"/>
  <c r="N824" i="3"/>
  <c r="S831" i="3"/>
  <c r="U837" i="3"/>
  <c r="J844" i="3"/>
  <c r="O851" i="3"/>
  <c r="Y851" i="3" s="1"/>
  <c r="Q857" i="3"/>
  <c r="S863" i="3"/>
  <c r="K871" i="3"/>
  <c r="M877" i="3"/>
  <c r="O883" i="3"/>
  <c r="Y883" i="3" s="1"/>
  <c r="Q535" i="3"/>
  <c r="T584" i="3"/>
  <c r="J634" i="3"/>
  <c r="N689" i="3"/>
  <c r="T703" i="3"/>
  <c r="U710" i="3"/>
  <c r="R718" i="3"/>
  <c r="V724" i="3"/>
  <c r="U730" i="3"/>
  <c r="O736" i="3"/>
  <c r="Y736" i="3" s="1"/>
  <c r="N741" i="3"/>
  <c r="M746" i="3"/>
  <c r="L751" i="3"/>
  <c r="K756" i="3"/>
  <c r="J761" i="3"/>
  <c r="V765" i="3"/>
  <c r="U770" i="3"/>
  <c r="T775" i="3"/>
  <c r="S780" i="3"/>
  <c r="R785" i="3"/>
  <c r="Q790" i="3"/>
  <c r="T321" i="3"/>
  <c r="T404" i="3"/>
  <c r="T212" i="3"/>
  <c r="L339" i="3"/>
  <c r="U224" i="3"/>
  <c r="O438" i="3"/>
  <c r="Y438" i="3" s="1"/>
  <c r="R497" i="3"/>
  <c r="O509" i="3"/>
  <c r="Y509" i="3" s="1"/>
  <c r="R491" i="3"/>
  <c r="S375" i="3"/>
  <c r="T494" i="3"/>
  <c r="O356" i="3"/>
  <c r="L478" i="3"/>
  <c r="O532" i="3"/>
  <c r="Y532" i="3" s="1"/>
  <c r="N448" i="3"/>
  <c r="V502" i="3"/>
  <c r="J389" i="3"/>
  <c r="U488" i="3"/>
  <c r="L164" i="3"/>
  <c r="J559" i="3"/>
  <c r="S602" i="3"/>
  <c r="L637" i="3"/>
  <c r="O678" i="3"/>
  <c r="K503" i="3"/>
  <c r="U557" i="3"/>
  <c r="R596" i="3"/>
  <c r="S631" i="3"/>
  <c r="V664" i="3"/>
  <c r="R700" i="3"/>
  <c r="Q513" i="3"/>
  <c r="L559" i="3"/>
  <c r="V597" i="3"/>
  <c r="J633" i="3"/>
  <c r="L663" i="3"/>
  <c r="V701" i="3"/>
  <c r="U551" i="3"/>
  <c r="K585" i="3"/>
  <c r="R614" i="3"/>
  <c r="Q635" i="3"/>
  <c r="R654" i="3"/>
  <c r="O677" i="3"/>
  <c r="Y677" i="3" s="1"/>
  <c r="V376" i="3"/>
  <c r="R539" i="3"/>
  <c r="T561" i="3"/>
  <c r="M580" i="3"/>
  <c r="M596" i="3"/>
  <c r="S614" i="3"/>
  <c r="L633" i="3"/>
  <c r="Q648" i="3"/>
  <c r="R667" i="3"/>
  <c r="P685" i="3"/>
  <c r="U700" i="3"/>
  <c r="L534" i="3"/>
  <c r="J552" i="3"/>
  <c r="J568" i="3"/>
  <c r="P586" i="3"/>
  <c r="P602" i="3"/>
  <c r="L614" i="3"/>
  <c r="N628" i="3"/>
  <c r="U641" i="3"/>
  <c r="Q653" i="3"/>
  <c r="S667" i="3"/>
  <c r="M681" i="3"/>
  <c r="U381" i="3"/>
  <c r="U534" i="3"/>
  <c r="O548" i="3"/>
  <c r="K560" i="3"/>
  <c r="M574" i="3"/>
  <c r="T587" i="3"/>
  <c r="P599" i="3"/>
  <c r="L611" i="3"/>
  <c r="J621" i="3"/>
  <c r="U630" i="3"/>
  <c r="S640" i="3"/>
  <c r="Q650" i="3"/>
  <c r="O660" i="3"/>
  <c r="M670" i="3"/>
  <c r="K680" i="3"/>
  <c r="O553" i="3"/>
  <c r="Y553" i="3" s="1"/>
  <c r="L632" i="3"/>
  <c r="Q695" i="3"/>
  <c r="R710" i="3"/>
  <c r="U721" i="3"/>
  <c r="P732" i="3"/>
  <c r="N742" i="3"/>
  <c r="L752" i="3"/>
  <c r="J762" i="3"/>
  <c r="U771" i="3"/>
  <c r="S781" i="3"/>
  <c r="Q791" i="3"/>
  <c r="O801" i="3"/>
  <c r="M811" i="3"/>
  <c r="M819" i="3"/>
  <c r="M827" i="3"/>
  <c r="U835" i="3"/>
  <c r="M843" i="3"/>
  <c r="M851" i="3"/>
  <c r="R858" i="3"/>
  <c r="R866" i="3"/>
  <c r="T872" i="3"/>
  <c r="L880" i="3"/>
  <c r="N886" i="3"/>
  <c r="K549" i="3"/>
  <c r="L608" i="3"/>
  <c r="O657" i="3"/>
  <c r="Y657" i="3" s="1"/>
  <c r="M694" i="3"/>
  <c r="L707" i="3"/>
  <c r="M714" i="3"/>
  <c r="M721" i="3"/>
  <c r="P729" i="3"/>
  <c r="R735" i="3"/>
  <c r="T741" i="3"/>
  <c r="L749" i="3"/>
  <c r="N755" i="3"/>
  <c r="P761" i="3"/>
  <c r="U768" i="3"/>
  <c r="J775" i="3"/>
  <c r="L781" i="3"/>
  <c r="Q788" i="3"/>
  <c r="S794" i="3"/>
  <c r="U800" i="3"/>
  <c r="M808" i="3"/>
  <c r="O814" i="3"/>
  <c r="Y814" i="3" s="1"/>
  <c r="Q820" i="3"/>
  <c r="V827" i="3"/>
  <c r="K834" i="3"/>
  <c r="M840" i="3"/>
  <c r="R847" i="3"/>
  <c r="T853" i="3"/>
  <c r="V859" i="3"/>
  <c r="N867" i="3"/>
  <c r="P873" i="3"/>
  <c r="V534" i="3"/>
  <c r="J594" i="3"/>
  <c r="M643" i="3"/>
  <c r="T688" i="3"/>
  <c r="L705" i="3"/>
  <c r="L712" i="3"/>
  <c r="M719" i="3"/>
  <c r="R727" i="3"/>
  <c r="U733" i="3"/>
  <c r="J740" i="3"/>
  <c r="O747" i="3"/>
  <c r="Q753" i="3"/>
  <c r="S759" i="3"/>
  <c r="K767" i="3"/>
  <c r="M773" i="3"/>
  <c r="O779" i="3"/>
  <c r="T786" i="3"/>
  <c r="V792" i="3"/>
  <c r="K799" i="3"/>
  <c r="P806" i="3"/>
  <c r="R812" i="3"/>
  <c r="T818" i="3"/>
  <c r="L826" i="3"/>
  <c r="N832" i="3"/>
  <c r="P838" i="3"/>
  <c r="U845" i="3"/>
  <c r="J852" i="3"/>
  <c r="L858" i="3"/>
  <c r="Q865" i="3"/>
  <c r="S871" i="3"/>
  <c r="U877" i="3"/>
  <c r="M885" i="3"/>
  <c r="P540" i="3"/>
  <c r="S589" i="3"/>
  <c r="T648" i="3"/>
  <c r="M691" i="3"/>
  <c r="Q704" i="3"/>
  <c r="J713" i="3"/>
  <c r="N719" i="3"/>
  <c r="R725" i="3"/>
  <c r="P731" i="3"/>
  <c r="J737" i="3"/>
  <c r="V741" i="3"/>
  <c r="U746" i="3"/>
  <c r="T751" i="3"/>
  <c r="S756" i="3"/>
  <c r="R761" i="3"/>
  <c r="Q766" i="3"/>
  <c r="P771" i="3"/>
  <c r="O776" i="3"/>
  <c r="Y776" i="3" s="1"/>
  <c r="N781" i="3"/>
  <c r="M786" i="3"/>
  <c r="L791" i="3"/>
  <c r="K796" i="3"/>
  <c r="J801" i="3"/>
  <c r="V805" i="3"/>
  <c r="U810" i="3"/>
  <c r="T815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K541" i="3"/>
  <c r="P580" i="3"/>
  <c r="U619" i="3"/>
  <c r="M659" i="3"/>
  <c r="S691" i="3"/>
  <c r="T143" i="3"/>
  <c r="N434" i="3"/>
  <c r="M227" i="3"/>
  <c r="L376" i="3"/>
  <c r="S234" i="3"/>
  <c r="Q452" i="3"/>
  <c r="U530" i="3"/>
  <c r="J510" i="3"/>
  <c r="K502" i="3"/>
  <c r="T411" i="3"/>
  <c r="S499" i="3"/>
  <c r="N361" i="3"/>
  <c r="J493" i="3"/>
  <c r="Q190" i="3"/>
  <c r="Q461" i="3"/>
  <c r="O513" i="3"/>
  <c r="P391" i="3"/>
  <c r="T493" i="3"/>
  <c r="L359" i="3"/>
  <c r="S502" i="3"/>
  <c r="Q425" i="3"/>
  <c r="R647" i="3"/>
  <c r="M597" i="3"/>
  <c r="O523" i="3"/>
  <c r="O672" i="3"/>
  <c r="Y672" i="3" s="1"/>
  <c r="M615" i="3"/>
  <c r="O427" i="3"/>
  <c r="Y427" i="3" s="1"/>
  <c r="V599" i="3"/>
  <c r="M668" i="3"/>
  <c r="U553" i="3"/>
  <c r="M617" i="3"/>
  <c r="N668" i="3"/>
  <c r="R549" i="3"/>
  <c r="Q602" i="3"/>
  <c r="V641" i="3"/>
  <c r="N681" i="3"/>
  <c r="J712" i="3"/>
  <c r="O753" i="3"/>
  <c r="Y753" i="3" s="1"/>
  <c r="T792" i="3"/>
  <c r="P828" i="3"/>
  <c r="P860" i="3"/>
  <c r="V886" i="3"/>
  <c r="J696" i="3"/>
  <c r="K730" i="3"/>
  <c r="V755" i="3"/>
  <c r="T781" i="3"/>
  <c r="U808" i="3"/>
  <c r="S834" i="3"/>
  <c r="Q860" i="3"/>
  <c r="V598" i="3"/>
  <c r="U712" i="3"/>
  <c r="R740" i="3"/>
  <c r="S767" i="3"/>
  <c r="Q793" i="3"/>
  <c r="O819" i="3"/>
  <c r="P846" i="3"/>
  <c r="N872" i="3"/>
  <c r="R594" i="3"/>
  <c r="S713" i="3"/>
  <c r="R737" i="3"/>
  <c r="N757" i="3"/>
  <c r="J777" i="3"/>
  <c r="P795" i="3"/>
  <c r="L807" i="3"/>
  <c r="N821" i="3"/>
  <c r="R833" i="3"/>
  <c r="P843" i="3"/>
  <c r="N853" i="3"/>
  <c r="L863" i="3"/>
  <c r="J873" i="3"/>
  <c r="J492" i="3"/>
  <c r="K605" i="3"/>
  <c r="U683" i="3"/>
  <c r="R704" i="3"/>
  <c r="P714" i="3"/>
  <c r="R723" i="3"/>
  <c r="Q731" i="3"/>
  <c r="L740" i="3"/>
  <c r="V746" i="3"/>
  <c r="Q755" i="3"/>
  <c r="Q763" i="3"/>
  <c r="V770" i="3"/>
  <c r="Q779" i="3"/>
  <c r="N786" i="3"/>
  <c r="V794" i="3"/>
  <c r="V802" i="3"/>
  <c r="N810" i="3"/>
  <c r="V818" i="3"/>
  <c r="S825" i="3"/>
  <c r="N834" i="3"/>
  <c r="N842" i="3"/>
  <c r="S849" i="3"/>
  <c r="N858" i="3"/>
  <c r="K865" i="3"/>
  <c r="S873" i="3"/>
  <c r="S881" i="3"/>
  <c r="M571" i="3"/>
  <c r="L640" i="3"/>
  <c r="V689" i="3"/>
  <c r="U706" i="3"/>
  <c r="V715" i="3"/>
  <c r="O724" i="3"/>
  <c r="Y724" i="3" s="1"/>
  <c r="P733" i="3"/>
  <c r="M740" i="3"/>
  <c r="U748" i="3"/>
  <c r="U756" i="3"/>
  <c r="M764" i="3"/>
  <c r="U772" i="3"/>
  <c r="R779" i="3"/>
  <c r="M788" i="3"/>
  <c r="M796" i="3"/>
  <c r="R803" i="3"/>
  <c r="M812" i="3"/>
  <c r="J819" i="3"/>
  <c r="R827" i="3"/>
  <c r="R835" i="3"/>
  <c r="J843" i="3"/>
  <c r="R851" i="3"/>
  <c r="O858" i="3"/>
  <c r="J867" i="3"/>
  <c r="J875" i="3"/>
  <c r="O531" i="3"/>
  <c r="O601" i="3"/>
  <c r="Y601" i="3" s="1"/>
  <c r="Q655" i="3"/>
  <c r="M699" i="3"/>
  <c r="O710" i="3"/>
  <c r="Y710" i="3" s="1"/>
  <c r="U718" i="3"/>
  <c r="R728" i="3"/>
  <c r="O735" i="3"/>
  <c r="Y735" i="3" s="1"/>
  <c r="J744" i="3"/>
  <c r="J752" i="3"/>
  <c r="O759" i="3"/>
  <c r="J768" i="3"/>
  <c r="T774" i="3"/>
  <c r="O783" i="3"/>
  <c r="Y783" i="3" s="1"/>
  <c r="O791" i="3"/>
  <c r="T798" i="3"/>
  <c r="O807" i="3"/>
  <c r="L814" i="3"/>
  <c r="T822" i="3"/>
  <c r="T830" i="3"/>
  <c r="L838" i="3"/>
  <c r="T846" i="3"/>
  <c r="Q853" i="3"/>
  <c r="Q483" i="3"/>
  <c r="U429" i="3"/>
  <c r="O494" i="3"/>
  <c r="Y494" i="3" s="1"/>
  <c r="U648" i="3"/>
  <c r="P606" i="3"/>
  <c r="V533" i="3"/>
  <c r="S676" i="3"/>
  <c r="L620" i="3"/>
  <c r="R453" i="3"/>
  <c r="T601" i="3"/>
  <c r="Q672" i="3"/>
  <c r="P554" i="3"/>
  <c r="P618" i="3"/>
  <c r="O671" i="3"/>
  <c r="Y671" i="3" s="1"/>
  <c r="M550" i="3"/>
  <c r="T603" i="3"/>
  <c r="L643" i="3"/>
  <c r="Q682" i="3"/>
  <c r="O713" i="3"/>
  <c r="Y713" i="3" s="1"/>
  <c r="R754" i="3"/>
  <c r="J794" i="3"/>
  <c r="K829" i="3"/>
  <c r="K861" i="3"/>
  <c r="Q887" i="3"/>
  <c r="T699" i="3"/>
  <c r="S730" i="3"/>
  <c r="Q756" i="3"/>
  <c r="R783" i="3"/>
  <c r="P809" i="3"/>
  <c r="N835" i="3"/>
  <c r="O862" i="3"/>
  <c r="U603" i="3"/>
  <c r="R713" i="3"/>
  <c r="P742" i="3"/>
  <c r="N768" i="3"/>
  <c r="L794" i="3"/>
  <c r="M821" i="3"/>
  <c r="K847" i="3"/>
  <c r="V872" i="3"/>
  <c r="O609" i="3"/>
  <c r="O714" i="3"/>
  <c r="Y714" i="3" s="1"/>
  <c r="M738" i="3"/>
  <c r="V757" i="3"/>
  <c r="R777" i="3"/>
  <c r="S796" i="3"/>
  <c r="M810" i="3"/>
  <c r="V821" i="3"/>
  <c r="U834" i="3"/>
  <c r="S844" i="3"/>
  <c r="Q854" i="3"/>
  <c r="O864" i="3"/>
  <c r="Y864" i="3" s="1"/>
  <c r="M874" i="3"/>
  <c r="L536" i="3"/>
  <c r="V614" i="3"/>
  <c r="O689" i="3"/>
  <c r="S706" i="3"/>
  <c r="L715" i="3"/>
  <c r="J725" i="3"/>
  <c r="L732" i="3"/>
  <c r="T740" i="3"/>
  <c r="T748" i="3"/>
  <c r="L756" i="3"/>
  <c r="T764" i="3"/>
  <c r="Q771" i="3"/>
  <c r="L780" i="3"/>
  <c r="L788" i="3"/>
  <c r="Q795" i="3"/>
  <c r="L804" i="3"/>
  <c r="V810" i="3"/>
  <c r="Q819" i="3"/>
  <c r="Q827" i="3"/>
  <c r="V834" i="3"/>
  <c r="Q843" i="3"/>
  <c r="N850" i="3"/>
  <c r="V858" i="3"/>
  <c r="V866" i="3"/>
  <c r="N874" i="3"/>
  <c r="L419" i="3"/>
  <c r="L576" i="3"/>
  <c r="K645" i="3"/>
  <c r="V694" i="3"/>
  <c r="Q707" i="3"/>
  <c r="O717" i="3"/>
  <c r="Y717" i="3" s="1"/>
  <c r="K725" i="3"/>
  <c r="K734" i="3"/>
  <c r="K742" i="3"/>
  <c r="P749" i="3"/>
  <c r="K758" i="3"/>
  <c r="U764" i="3"/>
  <c r="P773" i="3"/>
  <c r="P781" i="3"/>
  <c r="U788" i="3"/>
  <c r="P797" i="3"/>
  <c r="M804" i="3"/>
  <c r="U812" i="3"/>
  <c r="U820" i="3"/>
  <c r="M828" i="3"/>
  <c r="U836" i="3"/>
  <c r="R843" i="3"/>
  <c r="M852" i="3"/>
  <c r="M860" i="3"/>
  <c r="R867" i="3"/>
  <c r="M876" i="3"/>
  <c r="O537" i="3"/>
  <c r="N606" i="3"/>
  <c r="N670" i="3"/>
  <c r="P700" i="3"/>
  <c r="U711" i="3"/>
  <c r="Q719" i="3"/>
  <c r="M729" i="3"/>
  <c r="M737" i="3"/>
  <c r="R744" i="3"/>
  <c r="M753" i="3"/>
  <c r="P312" i="3"/>
  <c r="S507" i="3"/>
  <c r="O481" i="3"/>
  <c r="J679" i="3"/>
  <c r="J636" i="3"/>
  <c r="O568" i="3"/>
  <c r="Q702" i="3"/>
  <c r="J638" i="3"/>
  <c r="Q544" i="3"/>
  <c r="V615" i="3"/>
  <c r="N687" i="3"/>
  <c r="S571" i="3"/>
  <c r="V628" i="3"/>
  <c r="P682" i="3"/>
  <c r="L563" i="3"/>
  <c r="O612" i="3"/>
  <c r="Y612" i="3" s="1"/>
  <c r="T651" i="3"/>
  <c r="M563" i="3"/>
  <c r="M723" i="3"/>
  <c r="M763" i="3"/>
  <c r="R802" i="3"/>
  <c r="P836" i="3"/>
  <c r="M867" i="3"/>
  <c r="J554" i="3"/>
  <c r="U707" i="3"/>
  <c r="M736" i="3"/>
  <c r="K762" i="3"/>
  <c r="L789" i="3"/>
  <c r="J815" i="3"/>
  <c r="U840" i="3"/>
  <c r="V867" i="3"/>
  <c r="L648" i="3"/>
  <c r="V719" i="3"/>
  <c r="J748" i="3"/>
  <c r="U773" i="3"/>
  <c r="S799" i="3"/>
  <c r="T826" i="3"/>
  <c r="R852" i="3"/>
  <c r="P878" i="3"/>
  <c r="S653" i="3"/>
  <c r="J720" i="3"/>
  <c r="Q742" i="3"/>
  <c r="M762" i="3"/>
  <c r="V781" i="3"/>
  <c r="N797" i="3"/>
  <c r="P811" i="3"/>
  <c r="J825" i="3"/>
  <c r="K836" i="3"/>
  <c r="V845" i="3"/>
  <c r="T855" i="3"/>
  <c r="R865" i="3"/>
  <c r="P875" i="3"/>
  <c r="J546" i="3"/>
  <c r="T624" i="3"/>
  <c r="K693" i="3"/>
  <c r="L708" i="3"/>
  <c r="U715" i="3"/>
  <c r="S725" i="3"/>
  <c r="J734" i="3"/>
  <c r="O741" i="3"/>
  <c r="Y741" i="3" s="1"/>
  <c r="J750" i="3"/>
  <c r="T756" i="3"/>
  <c r="O765" i="3"/>
  <c r="O773" i="3"/>
  <c r="Y773" i="3" s="1"/>
  <c r="T780" i="3"/>
  <c r="O789" i="3"/>
  <c r="Y789" i="3" s="1"/>
  <c r="L796" i="3"/>
  <c r="T804" i="3"/>
  <c r="T812" i="3"/>
  <c r="L820" i="3"/>
  <c r="T828" i="3"/>
  <c r="Q835" i="3"/>
  <c r="L844" i="3"/>
  <c r="L852" i="3"/>
  <c r="Q859" i="3"/>
  <c r="L868" i="3"/>
  <c r="V874" i="3"/>
  <c r="V496" i="3"/>
  <c r="V590" i="3"/>
  <c r="J650" i="3"/>
  <c r="V697" i="3"/>
  <c r="M708" i="3"/>
  <c r="K718" i="3"/>
  <c r="M727" i="3"/>
  <c r="S734" i="3"/>
  <c r="N743" i="3"/>
  <c r="K750" i="3"/>
  <c r="S758" i="3"/>
  <c r="S766" i="3"/>
  <c r="K774" i="3"/>
  <c r="S782" i="3"/>
  <c r="P789" i="3"/>
  <c r="K798" i="3"/>
  <c r="K806" i="3"/>
  <c r="P813" i="3"/>
  <c r="K822" i="3"/>
  <c r="U828" i="3"/>
  <c r="P837" i="3"/>
  <c r="P845" i="3"/>
  <c r="U852" i="3"/>
  <c r="P861" i="3"/>
  <c r="M868" i="3"/>
  <c r="U876" i="3"/>
  <c r="L552" i="3"/>
  <c r="M611" i="3"/>
  <c r="L680" i="3"/>
  <c r="S701" i="3"/>
  <c r="Q712" i="3"/>
  <c r="S721" i="3"/>
  <c r="U729" i="3"/>
  <c r="P738" i="3"/>
  <c r="M745" i="3"/>
  <c r="U753" i="3"/>
  <c r="U761" i="3"/>
  <c r="M769" i="3"/>
  <c r="U777" i="3"/>
  <c r="R784" i="3"/>
  <c r="M793" i="3"/>
  <c r="M801" i="3"/>
  <c r="R808" i="3"/>
  <c r="M817" i="3"/>
  <c r="J824" i="3"/>
  <c r="R832" i="3"/>
  <c r="R840" i="3"/>
  <c r="J848" i="3"/>
  <c r="K381" i="3"/>
  <c r="J381" i="3"/>
  <c r="L522" i="3"/>
  <c r="M688" i="3"/>
  <c r="R636" i="3"/>
  <c r="R569" i="3"/>
  <c r="P494" i="3"/>
  <c r="M639" i="3"/>
  <c r="T545" i="3"/>
  <c r="R619" i="3"/>
  <c r="V687" i="3"/>
  <c r="Q573" i="3"/>
  <c r="J632" i="3"/>
  <c r="K683" i="3"/>
  <c r="O564" i="3"/>
  <c r="Y564" i="3" s="1"/>
  <c r="R613" i="3"/>
  <c r="J653" i="3"/>
  <c r="K573" i="3"/>
  <c r="S724" i="3"/>
  <c r="P764" i="3"/>
  <c r="U803" i="3"/>
  <c r="K837" i="3"/>
  <c r="U867" i="3"/>
  <c r="T568" i="3"/>
  <c r="Q708" i="3"/>
  <c r="U736" i="3"/>
  <c r="V763" i="3"/>
  <c r="T789" i="3"/>
  <c r="R815" i="3"/>
  <c r="S842" i="3"/>
  <c r="Q868" i="3"/>
  <c r="K653" i="3"/>
  <c r="J722" i="3"/>
  <c r="R748" i="3"/>
  <c r="P774" i="3"/>
  <c r="Q801" i="3"/>
  <c r="O827" i="3"/>
  <c r="Y827" i="3" s="1"/>
  <c r="M853" i="3"/>
  <c r="N880" i="3"/>
  <c r="R658" i="3"/>
  <c r="S720" i="3"/>
  <c r="L743" i="3"/>
  <c r="U762" i="3"/>
  <c r="Q782" i="3"/>
  <c r="O800" i="3"/>
  <c r="Y800" i="3" s="1"/>
  <c r="K812" i="3"/>
  <c r="M826" i="3"/>
  <c r="S836" i="3"/>
  <c r="Q846" i="3"/>
  <c r="O856" i="3"/>
  <c r="M866" i="3"/>
  <c r="K876" i="3"/>
  <c r="V550" i="3"/>
  <c r="S629" i="3"/>
  <c r="U694" i="3"/>
  <c r="S346" i="3"/>
  <c r="U494" i="3"/>
  <c r="N563" i="3"/>
  <c r="L530" i="3"/>
  <c r="K671" i="3"/>
  <c r="Q598" i="3"/>
  <c r="L556" i="3"/>
  <c r="Q659" i="3"/>
  <c r="J563" i="3"/>
  <c r="O634" i="3"/>
  <c r="P331" i="3"/>
  <c r="S587" i="3"/>
  <c r="K643" i="3"/>
  <c r="V456" i="3"/>
  <c r="U574" i="3"/>
  <c r="M622" i="3"/>
  <c r="R661" i="3"/>
  <c r="J642" i="3"/>
  <c r="S733" i="3"/>
  <c r="K773" i="3"/>
  <c r="P812" i="3"/>
  <c r="U843" i="3"/>
  <c r="O873" i="3"/>
  <c r="K613" i="3"/>
  <c r="V714" i="3"/>
  <c r="O742" i="3"/>
  <c r="Y742" i="3" s="1"/>
  <c r="P769" i="3"/>
  <c r="N795" i="3"/>
  <c r="L821" i="3"/>
  <c r="M848" i="3"/>
  <c r="K874" i="3"/>
  <c r="L691" i="3"/>
  <c r="N728" i="3"/>
  <c r="L754" i="3"/>
  <c r="J780" i="3"/>
  <c r="K807" i="3"/>
  <c r="V832" i="3"/>
  <c r="T858" i="3"/>
  <c r="U885" i="3"/>
  <c r="J693" i="3"/>
  <c r="N726" i="3"/>
  <c r="P747" i="3"/>
  <c r="L767" i="3"/>
  <c r="U786" i="3"/>
  <c r="R801" i="3"/>
  <c r="L815" i="3"/>
  <c r="U826" i="3"/>
  <c r="Q838" i="3"/>
  <c r="O848" i="3"/>
  <c r="Y848" i="3" s="1"/>
  <c r="M858" i="3"/>
  <c r="K868" i="3"/>
  <c r="V877" i="3"/>
  <c r="S565" i="3"/>
  <c r="P644" i="3"/>
  <c r="K699" i="3"/>
  <c r="Q709" i="3"/>
  <c r="O719" i="3"/>
  <c r="Y719" i="3" s="1"/>
  <c r="L727" i="3"/>
  <c r="U735" i="3"/>
  <c r="U743" i="3"/>
  <c r="M751" i="3"/>
  <c r="U759" i="3"/>
  <c r="R766" i="3"/>
  <c r="M775" i="3"/>
  <c r="M783" i="3"/>
  <c r="R790" i="3"/>
  <c r="M799" i="3"/>
  <c r="J806" i="3"/>
  <c r="R814" i="3"/>
  <c r="R822" i="3"/>
  <c r="J830" i="3"/>
  <c r="R838" i="3"/>
  <c r="O845" i="3"/>
  <c r="Y845" i="3" s="1"/>
  <c r="J854" i="3"/>
  <c r="J862" i="3"/>
  <c r="O869" i="3"/>
  <c r="Y869" i="3" s="1"/>
  <c r="J878" i="3"/>
  <c r="T536" i="3"/>
  <c r="S605" i="3"/>
  <c r="S669" i="3"/>
  <c r="O700" i="3"/>
  <c r="Y700" i="3" s="1"/>
  <c r="T711" i="3"/>
  <c r="P719" i="3"/>
  <c r="L729" i="3"/>
  <c r="L737" i="3"/>
  <c r="Q744" i="3"/>
  <c r="L753" i="3"/>
  <c r="V759" i="3"/>
  <c r="Q768" i="3"/>
  <c r="Q776" i="3"/>
  <c r="V783" i="3"/>
  <c r="Q792" i="3"/>
  <c r="N799" i="3"/>
  <c r="V807" i="3"/>
  <c r="V815" i="3"/>
  <c r="N823" i="3"/>
  <c r="V831" i="3"/>
  <c r="S838" i="3"/>
  <c r="N847" i="3"/>
  <c r="N855" i="3"/>
  <c r="S862" i="3"/>
  <c r="N871" i="3"/>
  <c r="K878" i="3"/>
  <c r="V566" i="3"/>
  <c r="V630" i="3"/>
  <c r="Q687" i="3"/>
  <c r="M706" i="3"/>
  <c r="V713" i="3"/>
  <c r="T723" i="3"/>
  <c r="N732" i="3"/>
  <c r="S739" i="3"/>
  <c r="N748" i="3"/>
  <c r="K755" i="3"/>
  <c r="S763" i="3"/>
  <c r="S771" i="3"/>
  <c r="K779" i="3"/>
  <c r="S787" i="3"/>
  <c r="P794" i="3"/>
  <c r="K803" i="3"/>
  <c r="K811" i="3"/>
  <c r="P818" i="3"/>
  <c r="K827" i="3"/>
  <c r="U833" i="3"/>
  <c r="P842" i="3"/>
  <c r="P850" i="3"/>
  <c r="U857" i="3"/>
  <c r="P866" i="3"/>
  <c r="M873" i="3"/>
  <c r="N698" i="3"/>
  <c r="K768" i="3"/>
  <c r="L827" i="3"/>
  <c r="V882" i="3"/>
  <c r="K891" i="3"/>
  <c r="S899" i="3"/>
  <c r="S907" i="3"/>
  <c r="K915" i="3"/>
  <c r="S923" i="3"/>
  <c r="P930" i="3"/>
  <c r="U937" i="3"/>
  <c r="O943" i="3"/>
  <c r="Y943" i="3" s="1"/>
  <c r="V948" i="3"/>
  <c r="P954" i="3"/>
  <c r="O959" i="3"/>
  <c r="N964" i="3"/>
  <c r="M969" i="3"/>
  <c r="L974" i="3"/>
  <c r="K979" i="3"/>
  <c r="J984" i="3"/>
  <c r="V988" i="3"/>
  <c r="U993" i="3"/>
  <c r="T998" i="3"/>
  <c r="T886" i="3"/>
  <c r="R455" i="3"/>
  <c r="S351" i="3"/>
  <c r="K570" i="3"/>
  <c r="V531" i="3"/>
  <c r="O675" i="3"/>
  <c r="T607" i="3"/>
  <c r="T556" i="3"/>
  <c r="O661" i="3"/>
  <c r="Y661" i="3" s="1"/>
  <c r="N567" i="3"/>
  <c r="R635" i="3"/>
  <c r="K399" i="3"/>
  <c r="O591" i="3"/>
  <c r="Y591" i="3" s="1"/>
  <c r="S643" i="3"/>
  <c r="P479" i="3"/>
  <c r="V577" i="3"/>
  <c r="P623" i="3"/>
  <c r="U662" i="3"/>
  <c r="U651" i="3"/>
  <c r="V734" i="3"/>
  <c r="N774" i="3"/>
  <c r="S813" i="3"/>
  <c r="S845" i="3"/>
  <c r="M875" i="3"/>
  <c r="J618" i="3"/>
  <c r="R715" i="3"/>
  <c r="V230" i="3"/>
  <c r="N518" i="3"/>
  <c r="M608" i="3"/>
  <c r="O571" i="3"/>
  <c r="P710" i="3"/>
  <c r="V637" i="3"/>
  <c r="Q595" i="3"/>
  <c r="Q683" i="3"/>
  <c r="S582" i="3"/>
  <c r="K654" i="3"/>
  <c r="K539" i="3"/>
  <c r="N604" i="3"/>
  <c r="U657" i="3"/>
  <c r="Q538" i="3"/>
  <c r="R589" i="3"/>
  <c r="N633" i="3"/>
  <c r="S672" i="3"/>
  <c r="V700" i="3"/>
  <c r="T744" i="3"/>
  <c r="L784" i="3"/>
  <c r="S821" i="3"/>
  <c r="K853" i="3"/>
  <c r="O881" i="3"/>
  <c r="Y881" i="3" s="1"/>
  <c r="M667" i="3"/>
  <c r="K724" i="3"/>
  <c r="O750" i="3"/>
  <c r="M776" i="3"/>
  <c r="N803" i="3"/>
  <c r="L829" i="3"/>
  <c r="J855" i="3"/>
  <c r="R554" i="3"/>
  <c r="Q706" i="3"/>
  <c r="K735" i="3"/>
  <c r="L762" i="3"/>
  <c r="J788" i="3"/>
  <c r="U813" i="3"/>
  <c r="V840" i="3"/>
  <c r="T866" i="3"/>
  <c r="N550" i="3"/>
  <c r="N707" i="3"/>
  <c r="S732" i="3"/>
  <c r="J753" i="3"/>
  <c r="S772" i="3"/>
  <c r="O792" i="3"/>
  <c r="Q806" i="3"/>
  <c r="K820" i="3"/>
  <c r="T831" i="3"/>
  <c r="R841" i="3"/>
  <c r="P851" i="3"/>
  <c r="N861" i="3"/>
  <c r="L871" i="3"/>
  <c r="J881" i="3"/>
  <c r="N590" i="3"/>
  <c r="K669" i="3"/>
  <c r="U703" i="3"/>
  <c r="T713" i="3"/>
  <c r="P721" i="3"/>
  <c r="V730" i="3"/>
  <c r="V738" i="3"/>
  <c r="N746" i="3"/>
  <c r="V754" i="3"/>
  <c r="S761" i="3"/>
  <c r="N770" i="3"/>
  <c r="N778" i="3"/>
  <c r="S785" i="3"/>
  <c r="N794" i="3"/>
  <c r="K801" i="3"/>
  <c r="S809" i="3"/>
  <c r="S817" i="3"/>
  <c r="K825" i="3"/>
  <c r="S833" i="3"/>
  <c r="P840" i="3"/>
  <c r="K849" i="3"/>
  <c r="K857" i="3"/>
  <c r="P864" i="3"/>
  <c r="K873" i="3"/>
  <c r="U879" i="3"/>
  <c r="N566" i="3"/>
  <c r="N630" i="3"/>
  <c r="P687" i="3"/>
  <c r="K706" i="3"/>
  <c r="U713" i="3"/>
  <c r="S723" i="3"/>
  <c r="M732" i="3"/>
  <c r="R739" i="3"/>
  <c r="T362" i="3"/>
  <c r="K582" i="3"/>
  <c r="P671" i="3"/>
  <c r="V721" i="3"/>
  <c r="Q828" i="3"/>
  <c r="P734" i="3"/>
  <c r="K839" i="3"/>
  <c r="K732" i="3"/>
  <c r="N805" i="3"/>
  <c r="U850" i="3"/>
  <c r="O585" i="3"/>
  <c r="Y585" i="3" s="1"/>
  <c r="J718" i="3"/>
  <c r="K737" i="3"/>
  <c r="P760" i="3"/>
  <c r="O781" i="3"/>
  <c r="Y781" i="3" s="1"/>
  <c r="P800" i="3"/>
  <c r="U823" i="3"/>
  <c r="T844" i="3"/>
  <c r="U863" i="3"/>
  <c r="Q551" i="3"/>
  <c r="L699" i="3"/>
  <c r="J723" i="3"/>
  <c r="L745" i="3"/>
  <c r="T761" i="3"/>
  <c r="T777" i="3"/>
  <c r="L793" i="3"/>
  <c r="Q808" i="3"/>
  <c r="V823" i="3"/>
  <c r="Q840" i="3"/>
  <c r="Q856" i="3"/>
  <c r="V871" i="3"/>
  <c r="U571" i="3"/>
  <c r="J690" i="3"/>
  <c r="K716" i="3"/>
  <c r="Q733" i="3"/>
  <c r="V748" i="3"/>
  <c r="K763" i="3"/>
  <c r="L774" i="3"/>
  <c r="N788" i="3"/>
  <c r="O799" i="3"/>
  <c r="Y799" i="3" s="1"/>
  <c r="V812" i="3"/>
  <c r="U825" i="3"/>
  <c r="Q837" i="3"/>
  <c r="S851" i="3"/>
  <c r="Q861" i="3"/>
  <c r="L870" i="3"/>
  <c r="L878" i="3"/>
  <c r="O748" i="3"/>
  <c r="Y748" i="3" s="1"/>
  <c r="M822" i="3"/>
  <c r="S883" i="3"/>
  <c r="L894" i="3"/>
  <c r="T902" i="3"/>
  <c r="T910" i="3"/>
  <c r="J920" i="3"/>
  <c r="M929" i="3"/>
  <c r="M937" i="3"/>
  <c r="J944" i="3"/>
  <c r="L950" i="3"/>
  <c r="N956" i="3"/>
  <c r="U961" i="3"/>
  <c r="O967" i="3"/>
  <c r="V972" i="3"/>
  <c r="P978" i="3"/>
  <c r="R984" i="3"/>
  <c r="L990" i="3"/>
  <c r="S995" i="3"/>
  <c r="U704" i="3"/>
  <c r="S897" i="3"/>
  <c r="N922" i="3"/>
  <c r="V946" i="3"/>
  <c r="V978" i="3"/>
  <c r="J733" i="3"/>
  <c r="Q896" i="3"/>
  <c r="Q928" i="3"/>
  <c r="U964" i="3"/>
  <c r="R995" i="3"/>
  <c r="J707" i="3"/>
  <c r="J749" i="3"/>
  <c r="O788" i="3"/>
  <c r="Y788" i="3" s="1"/>
  <c r="T827" i="3"/>
  <c r="L867" i="3"/>
  <c r="S884" i="3"/>
  <c r="Q890" i="3"/>
  <c r="P895" i="3"/>
  <c r="O900" i="3"/>
  <c r="N905" i="3"/>
  <c r="M910" i="3"/>
  <c r="L915" i="3"/>
  <c r="K920" i="3"/>
  <c r="J925" i="3"/>
  <c r="V929" i="3"/>
  <c r="U934" i="3"/>
  <c r="T939" i="3"/>
  <c r="S944" i="3"/>
  <c r="R949" i="3"/>
  <c r="Q954" i="3"/>
  <c r="P959" i="3"/>
  <c r="O964" i="3"/>
  <c r="Y964" i="3" s="1"/>
  <c r="N969" i="3"/>
  <c r="M974" i="3"/>
  <c r="L979" i="3"/>
  <c r="K984" i="3"/>
  <c r="J989" i="3"/>
  <c r="V993" i="3"/>
  <c r="U998" i="3"/>
  <c r="V922" i="3"/>
  <c r="T956" i="3"/>
  <c r="M991" i="3"/>
  <c r="M846" i="3"/>
  <c r="S910" i="3"/>
  <c r="N943" i="3"/>
  <c r="P973" i="3"/>
  <c r="P572" i="3"/>
  <c r="Q724" i="3"/>
  <c r="O764" i="3"/>
  <c r="Y764" i="3" s="1"/>
  <c r="T803" i="3"/>
  <c r="L843" i="3"/>
  <c r="P879" i="3"/>
  <c r="M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Y961" i="3" s="1"/>
  <c r="N966" i="3"/>
  <c r="M971" i="3"/>
  <c r="L976" i="3"/>
  <c r="K981" i="3"/>
  <c r="J986" i="3"/>
  <c r="V990" i="3"/>
  <c r="U995" i="3"/>
  <c r="T1000" i="3"/>
  <c r="U878" i="3"/>
  <c r="R915" i="3"/>
  <c r="L945" i="3"/>
  <c r="J979" i="3"/>
  <c r="L656" i="3"/>
  <c r="P735" i="3"/>
  <c r="U774" i="3"/>
  <c r="M814" i="3"/>
  <c r="R853" i="3"/>
  <c r="O882" i="3"/>
  <c r="Y882" i="3" s="1"/>
  <c r="U888" i="3"/>
  <c r="T893" i="3"/>
  <c r="S898" i="3"/>
  <c r="R903" i="3"/>
  <c r="Q908" i="3"/>
  <c r="P913" i="3"/>
  <c r="O918" i="3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Y982" i="3" s="1"/>
  <c r="N987" i="3"/>
  <c r="M992" i="3"/>
  <c r="L997" i="3"/>
  <c r="N865" i="3"/>
  <c r="N906" i="3"/>
  <c r="Q931" i="3"/>
  <c r="M959" i="3"/>
  <c r="T988" i="3"/>
  <c r="K856" i="3"/>
  <c r="Q912" i="3"/>
  <c r="O946" i="3"/>
  <c r="Y946" i="3" s="1"/>
  <c r="S982" i="3"/>
  <c r="K661" i="3"/>
  <c r="K736" i="3"/>
  <c r="P775" i="3"/>
  <c r="U814" i="3"/>
  <c r="M854" i="3"/>
  <c r="P882" i="3"/>
  <c r="V888" i="3"/>
  <c r="U893" i="3"/>
  <c r="T898" i="3"/>
  <c r="S903" i="3"/>
  <c r="R908" i="3"/>
  <c r="Q913" i="3"/>
  <c r="P918" i="3"/>
  <c r="O923" i="3"/>
  <c r="Y923" i="3" s="1"/>
  <c r="N928" i="3"/>
  <c r="M933" i="3"/>
  <c r="L938" i="3"/>
  <c r="K943" i="3"/>
  <c r="J948" i="3"/>
  <c r="V952" i="3"/>
  <c r="U957" i="3"/>
  <c r="T962" i="3"/>
  <c r="S967" i="3"/>
  <c r="R972" i="3"/>
  <c r="Q977" i="3"/>
  <c r="P982" i="3"/>
  <c r="O987" i="3"/>
  <c r="Y987" i="3" s="1"/>
  <c r="N992" i="3"/>
  <c r="M997" i="3"/>
  <c r="S882" i="3"/>
  <c r="Q923" i="3"/>
  <c r="S953" i="3"/>
  <c r="K985" i="3"/>
  <c r="L897" i="3"/>
  <c r="U948" i="3"/>
  <c r="T993" i="3"/>
  <c r="T709" i="3"/>
  <c r="P751" i="3"/>
  <c r="U790" i="3"/>
  <c r="M830" i="3"/>
  <c r="R869" i="3"/>
  <c r="J885" i="3"/>
  <c r="U890" i="3"/>
  <c r="T895" i="3"/>
  <c r="S900" i="3"/>
  <c r="R905" i="3"/>
  <c r="Q910" i="3"/>
  <c r="P915" i="3"/>
  <c r="O920" i="3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Q891" i="3"/>
  <c r="R910" i="3"/>
  <c r="R934" i="3"/>
  <c r="L956" i="3"/>
  <c r="O973" i="3"/>
  <c r="Y973" i="3" s="1"/>
  <c r="T996" i="3"/>
  <c r="R883" i="3"/>
  <c r="V919" i="3"/>
  <c r="M948" i="3"/>
  <c r="L985" i="3"/>
  <c r="O727" i="3"/>
  <c r="U766" i="3"/>
  <c r="M806" i="3"/>
  <c r="R845" i="3"/>
  <c r="R894" i="3"/>
  <c r="O941" i="3"/>
  <c r="O981" i="3"/>
  <c r="Y981" i="3" s="1"/>
  <c r="U806" i="3"/>
  <c r="T897" i="3"/>
  <c r="V935" i="3"/>
  <c r="M964" i="3"/>
  <c r="O994" i="3"/>
  <c r="K463" i="3"/>
  <c r="U652" i="3"/>
  <c r="P698" i="3"/>
  <c r="M744" i="3"/>
  <c r="U848" i="3"/>
  <c r="T754" i="3"/>
  <c r="R860" i="3"/>
  <c r="K748" i="3"/>
  <c r="O816" i="3"/>
  <c r="Y816" i="3" s="1"/>
  <c r="P859" i="3"/>
  <c r="N654" i="3"/>
  <c r="K720" i="3"/>
  <c r="J742" i="3"/>
  <c r="K761" i="3"/>
  <c r="P784" i="3"/>
  <c r="O805" i="3"/>
  <c r="Y805" i="3" s="1"/>
  <c r="P824" i="3"/>
  <c r="M847" i="3"/>
  <c r="T868" i="3"/>
  <c r="O561" i="3"/>
  <c r="Y561" i="3" s="1"/>
  <c r="R701" i="3"/>
  <c r="Q728" i="3"/>
  <c r="J747" i="3"/>
  <c r="J763" i="3"/>
  <c r="O778" i="3"/>
  <c r="Y778" i="3" s="1"/>
  <c r="T793" i="3"/>
  <c r="L809" i="3"/>
  <c r="T825" i="3"/>
  <c r="T841" i="3"/>
  <c r="L857" i="3"/>
  <c r="Q872" i="3"/>
  <c r="T576" i="3"/>
  <c r="O695" i="3"/>
  <c r="Y695" i="3" s="1"/>
  <c r="P717" i="3"/>
  <c r="L734" i="3"/>
  <c r="Q749" i="3"/>
  <c r="N764" i="3"/>
  <c r="R776" i="3"/>
  <c r="V788" i="3"/>
  <c r="P802" i="3"/>
  <c r="Q813" i="3"/>
  <c r="S827" i="3"/>
  <c r="T838" i="3"/>
  <c r="N852" i="3"/>
  <c r="L862" i="3"/>
  <c r="O871" i="3"/>
  <c r="J602" i="3"/>
  <c r="N753" i="3"/>
  <c r="K832" i="3"/>
  <c r="Q884" i="3"/>
  <c r="T894" i="3"/>
  <c r="J904" i="3"/>
  <c r="R912" i="3"/>
  <c r="R920" i="3"/>
  <c r="U929" i="3"/>
  <c r="P938" i="3"/>
  <c r="R944" i="3"/>
  <c r="T950" i="3"/>
  <c r="V956" i="3"/>
  <c r="P962" i="3"/>
  <c r="J968" i="3"/>
  <c r="Q973" i="3"/>
  <c r="S979" i="3"/>
  <c r="M985" i="3"/>
  <c r="T990" i="3"/>
  <c r="N996" i="3"/>
  <c r="O860" i="3"/>
  <c r="Y860" i="3" s="1"/>
  <c r="L900" i="3"/>
  <c r="T924" i="3"/>
  <c r="R950" i="3"/>
  <c r="J982" i="3"/>
  <c r="P767" i="3"/>
  <c r="P901" i="3"/>
  <c r="P933" i="3"/>
  <c r="Q968" i="3"/>
  <c r="V999" i="3"/>
  <c r="R712" i="3"/>
  <c r="V753" i="3"/>
  <c r="N793" i="3"/>
  <c r="S832" i="3"/>
  <c r="K872" i="3"/>
  <c r="P885" i="3"/>
  <c r="L891" i="3"/>
  <c r="K896" i="3"/>
  <c r="J901" i="3"/>
  <c r="V905" i="3"/>
  <c r="U910" i="3"/>
  <c r="T915" i="3"/>
  <c r="S920" i="3"/>
  <c r="R925" i="3"/>
  <c r="Q930" i="3"/>
  <c r="P935" i="3"/>
  <c r="O940" i="3"/>
  <c r="N945" i="3"/>
  <c r="M950" i="3"/>
  <c r="L955" i="3"/>
  <c r="K960" i="3"/>
  <c r="J965" i="3"/>
  <c r="V969" i="3"/>
  <c r="U974" i="3"/>
  <c r="T979" i="3"/>
  <c r="S984" i="3"/>
  <c r="R989" i="3"/>
  <c r="Q994" i="3"/>
  <c r="P999" i="3"/>
  <c r="K929" i="3"/>
  <c r="S961" i="3"/>
  <c r="L996" i="3"/>
  <c r="T875" i="3"/>
  <c r="J915" i="3"/>
  <c r="R947" i="3"/>
  <c r="O978" i="3"/>
  <c r="U611" i="3"/>
  <c r="V729" i="3"/>
  <c r="N769" i="3"/>
  <c r="S808" i="3"/>
  <c r="K848" i="3"/>
  <c r="L881" i="3"/>
  <c r="J888" i="3"/>
  <c r="K893" i="3"/>
  <c r="J898" i="3"/>
  <c r="V902" i="3"/>
  <c r="U907" i="3"/>
  <c r="T912" i="3"/>
  <c r="S917" i="3"/>
  <c r="R922" i="3"/>
  <c r="Q927" i="3"/>
  <c r="P932" i="3"/>
  <c r="O937" i="3"/>
  <c r="Y937" i="3" s="1"/>
  <c r="N942" i="3"/>
  <c r="M947" i="3"/>
  <c r="L952" i="3"/>
  <c r="K957" i="3"/>
  <c r="J962" i="3"/>
  <c r="V966" i="3"/>
  <c r="U971" i="3"/>
  <c r="T976" i="3"/>
  <c r="S981" i="3"/>
  <c r="R986" i="3"/>
  <c r="Q991" i="3"/>
  <c r="P996" i="3"/>
  <c r="P984" i="3"/>
  <c r="K886" i="3"/>
  <c r="S918" i="3"/>
  <c r="P949" i="3"/>
  <c r="N983" i="3"/>
  <c r="Q690" i="3"/>
  <c r="O740" i="3"/>
  <c r="Y740" i="3" s="1"/>
  <c r="T779" i="3"/>
  <c r="L819" i="3"/>
  <c r="Q858" i="3"/>
  <c r="L883" i="3"/>
  <c r="P889" i="3"/>
  <c r="O894" i="3"/>
  <c r="Y894" i="3" s="1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V603" i="3"/>
  <c r="T534" i="3"/>
  <c r="Q743" i="3"/>
  <c r="T749" i="3"/>
  <c r="O854" i="3"/>
  <c r="Y854" i="3" s="1"/>
  <c r="N760" i="3"/>
  <c r="L866" i="3"/>
  <c r="O752" i="3"/>
  <c r="Y752" i="3" s="1"/>
  <c r="J817" i="3"/>
  <c r="S860" i="3"/>
  <c r="L664" i="3"/>
  <c r="T720" i="3"/>
  <c r="K745" i="3"/>
  <c r="J766" i="3"/>
  <c r="K785" i="3"/>
  <c r="U807" i="3"/>
  <c r="O829" i="3"/>
  <c r="P848" i="3"/>
  <c r="J870" i="3"/>
  <c r="T600" i="3"/>
  <c r="S704" i="3"/>
  <c r="T729" i="3"/>
  <c r="M748" i="3"/>
  <c r="R763" i="3"/>
  <c r="J779" i="3"/>
  <c r="O794" i="3"/>
  <c r="Y794" i="3" s="1"/>
  <c r="J811" i="3"/>
  <c r="J827" i="3"/>
  <c r="O842" i="3"/>
  <c r="Y842" i="3" s="1"/>
  <c r="T857" i="3"/>
  <c r="L873" i="3"/>
  <c r="Q591" i="3"/>
  <c r="J698" i="3"/>
  <c r="L718" i="3"/>
  <c r="T734" i="3"/>
  <c r="L750" i="3"/>
  <c r="V764" i="3"/>
  <c r="P778" i="3"/>
  <c r="Q789" i="3"/>
  <c r="S803" i="3"/>
  <c r="J816" i="3"/>
  <c r="N828" i="3"/>
  <c r="U841" i="3"/>
  <c r="V852" i="3"/>
  <c r="T862" i="3"/>
  <c r="J872" i="3"/>
  <c r="T680" i="3"/>
  <c r="V777" i="3"/>
  <c r="U846" i="3"/>
  <c r="O885" i="3"/>
  <c r="Y885" i="3" s="1"/>
  <c r="O895" i="3"/>
  <c r="R904" i="3"/>
  <c r="U913" i="3"/>
  <c r="P922" i="3"/>
  <c r="N932" i="3"/>
  <c r="K939" i="3"/>
  <c r="M945" i="3"/>
  <c r="J952" i="3"/>
  <c r="Q957" i="3"/>
  <c r="K963" i="3"/>
  <c r="R968" i="3"/>
  <c r="T974" i="3"/>
  <c r="N980" i="3"/>
  <c r="U985" i="3"/>
  <c r="O991" i="3"/>
  <c r="V996" i="3"/>
  <c r="T881" i="3"/>
  <c r="M903" i="3"/>
  <c r="U927" i="3"/>
  <c r="V954" i="3"/>
  <c r="S985" i="3"/>
  <c r="K792" i="3"/>
  <c r="T905" i="3"/>
  <c r="Q936" i="3"/>
  <c r="U972" i="3"/>
  <c r="T506" i="3"/>
  <c r="M718" i="3"/>
  <c r="U758" i="3"/>
  <c r="M798" i="3"/>
  <c r="R837" i="3"/>
  <c r="J877" i="3"/>
  <c r="M886" i="3"/>
  <c r="T891" i="3"/>
  <c r="S896" i="3"/>
  <c r="R901" i="3"/>
  <c r="Q906" i="3"/>
  <c r="P911" i="3"/>
  <c r="O916" i="3"/>
  <c r="Y916" i="3" s="1"/>
  <c r="N921" i="3"/>
  <c r="M926" i="3"/>
  <c r="L931" i="3"/>
  <c r="K936" i="3"/>
  <c r="J941" i="3"/>
  <c r="V945" i="3"/>
  <c r="U950" i="3"/>
  <c r="T955" i="3"/>
  <c r="S960" i="3"/>
  <c r="R965" i="3"/>
  <c r="Q970" i="3"/>
  <c r="P975" i="3"/>
  <c r="O980" i="3"/>
  <c r="Y980" i="3" s="1"/>
  <c r="N985" i="3"/>
  <c r="M990" i="3"/>
  <c r="L995" i="3"/>
  <c r="K1000" i="3"/>
  <c r="T932" i="3"/>
  <c r="J966" i="3"/>
  <c r="P1000" i="3"/>
  <c r="O884" i="3"/>
  <c r="Y884" i="3" s="1"/>
  <c r="K918" i="3"/>
  <c r="V951" i="3"/>
  <c r="K982" i="3"/>
  <c r="M651" i="3"/>
  <c r="U734" i="3"/>
  <c r="M774" i="3"/>
  <c r="R813" i="3"/>
  <c r="J853" i="3"/>
  <c r="M882" i="3"/>
  <c r="T888" i="3"/>
  <c r="S893" i="3"/>
  <c r="R898" i="3"/>
  <c r="Q903" i="3"/>
  <c r="P908" i="3"/>
  <c r="O913" i="3"/>
  <c r="Y913" i="3" s="1"/>
  <c r="N918" i="3"/>
  <c r="M923" i="3"/>
  <c r="L928" i="3"/>
  <c r="K933" i="3"/>
  <c r="J938" i="3"/>
  <c r="V942" i="3"/>
  <c r="U947" i="3"/>
  <c r="T952" i="3"/>
  <c r="S957" i="3"/>
  <c r="R962" i="3"/>
  <c r="Q967" i="3"/>
  <c r="P972" i="3"/>
  <c r="O977" i="3"/>
  <c r="Y977" i="3" s="1"/>
  <c r="N982" i="3"/>
  <c r="M987" i="3"/>
  <c r="L992" i="3"/>
  <c r="K997" i="3"/>
  <c r="M711" i="3"/>
  <c r="J891" i="3"/>
  <c r="J923" i="3"/>
  <c r="L953" i="3"/>
  <c r="M988" i="3"/>
  <c r="J702" i="3"/>
  <c r="N745" i="3"/>
  <c r="S784" i="3"/>
  <c r="K824" i="3"/>
  <c r="P863" i="3"/>
  <c r="K884" i="3"/>
  <c r="K890" i="3"/>
  <c r="J895" i="3"/>
  <c r="V899" i="3"/>
  <c r="U904" i="3"/>
  <c r="T909" i="3"/>
  <c r="S914" i="3"/>
  <c r="R919" i="3"/>
  <c r="Q924" i="3"/>
  <c r="P929" i="3"/>
  <c r="O934" i="3"/>
  <c r="Y934" i="3" s="1"/>
  <c r="N939" i="3"/>
  <c r="M944" i="3"/>
  <c r="L949" i="3"/>
  <c r="K954" i="3"/>
  <c r="J959" i="3"/>
  <c r="V963" i="3"/>
  <c r="U968" i="3"/>
  <c r="T973" i="3"/>
  <c r="S978" i="3"/>
  <c r="R983" i="3"/>
  <c r="Q988" i="3"/>
  <c r="P993" i="3"/>
  <c r="O998" i="3"/>
  <c r="K889" i="3"/>
  <c r="K913" i="3"/>
  <c r="P936" i="3"/>
  <c r="S969" i="3"/>
  <c r="Q995" i="3"/>
  <c r="T887" i="3"/>
  <c r="Q920" i="3"/>
  <c r="J955" i="3"/>
  <c r="S990" i="3"/>
  <c r="M703" i="3"/>
  <c r="V745" i="3"/>
  <c r="N785" i="3"/>
  <c r="S824" i="3"/>
  <c r="K864" i="3"/>
  <c r="L884" i="3"/>
  <c r="L890" i="3"/>
  <c r="K895" i="3"/>
  <c r="J900" i="3"/>
  <c r="V904" i="3"/>
  <c r="U909" i="3"/>
  <c r="T914" i="3"/>
  <c r="S919" i="3"/>
  <c r="R924" i="3"/>
  <c r="Q929" i="3"/>
  <c r="P934" i="3"/>
  <c r="O939" i="3"/>
  <c r="N944" i="3"/>
  <c r="M949" i="3"/>
  <c r="L954" i="3"/>
  <c r="K959" i="3"/>
  <c r="J964" i="3"/>
  <c r="V968" i="3"/>
  <c r="U973" i="3"/>
  <c r="T978" i="3"/>
  <c r="S983" i="3"/>
  <c r="R988" i="3"/>
  <c r="Q993" i="3"/>
  <c r="P998" i="3"/>
  <c r="J902" i="3"/>
  <c r="S929" i="3"/>
  <c r="K961" i="3"/>
  <c r="S993" i="3"/>
  <c r="M908" i="3"/>
  <c r="R963" i="3"/>
  <c r="U547" i="3"/>
  <c r="K721" i="3"/>
  <c r="N761" i="3"/>
  <c r="S800" i="3"/>
  <c r="K840" i="3"/>
  <c r="O878" i="3"/>
  <c r="Y878" i="3" s="1"/>
  <c r="S886" i="3"/>
  <c r="K892" i="3"/>
  <c r="J897" i="3"/>
  <c r="V901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U970" i="3"/>
  <c r="T975" i="3"/>
  <c r="S980" i="3"/>
  <c r="R985" i="3"/>
  <c r="Q990" i="3"/>
  <c r="P995" i="3"/>
  <c r="O1000" i="3"/>
  <c r="Y1000" i="3" s="1"/>
  <c r="K897" i="3"/>
  <c r="N914" i="3"/>
  <c r="T940" i="3"/>
  <c r="P960" i="3"/>
  <c r="S977" i="3"/>
  <c r="S557" i="3"/>
  <c r="K894" i="3"/>
  <c r="N927" i="3"/>
  <c r="P957" i="3"/>
  <c r="L993" i="3"/>
  <c r="N737" i="3"/>
  <c r="S776" i="3"/>
  <c r="K816" i="3"/>
  <c r="P855" i="3"/>
  <c r="P904" i="3"/>
  <c r="J950" i="3"/>
  <c r="K993" i="3"/>
  <c r="L851" i="3"/>
  <c r="L905" i="3"/>
  <c r="V943" i="3"/>
  <c r="J971" i="3"/>
  <c r="K567" i="3"/>
  <c r="S603" i="3"/>
  <c r="V782" i="3"/>
  <c r="K770" i="3"/>
  <c r="S874" i="3"/>
  <c r="U781" i="3"/>
  <c r="P886" i="3"/>
  <c r="T767" i="3"/>
  <c r="V829" i="3"/>
  <c r="N869" i="3"/>
  <c r="Q701" i="3"/>
  <c r="O726" i="3"/>
  <c r="Y726" i="3" s="1"/>
  <c r="S745" i="3"/>
  <c r="P768" i="3"/>
  <c r="J790" i="3"/>
  <c r="K809" i="3"/>
  <c r="R830" i="3"/>
  <c r="O853" i="3"/>
  <c r="Y853" i="3" s="1"/>
  <c r="U871" i="3"/>
  <c r="R610" i="3"/>
  <c r="N710" i="3"/>
  <c r="O730" i="3"/>
  <c r="Y730" i="3" s="1"/>
  <c r="V751" i="3"/>
  <c r="V767" i="3"/>
  <c r="N783" i="3"/>
  <c r="S798" i="3"/>
  <c r="K814" i="3"/>
  <c r="S830" i="3"/>
  <c r="S846" i="3"/>
  <c r="K862" i="3"/>
  <c r="P877" i="3"/>
  <c r="L616" i="3"/>
  <c r="T704" i="3"/>
  <c r="K723" i="3"/>
  <c r="K739" i="3"/>
  <c r="P754" i="3"/>
  <c r="T766" i="3"/>
  <c r="S779" i="3"/>
  <c r="R792" i="3"/>
  <c r="N804" i="3"/>
  <c r="U817" i="3"/>
  <c r="V828" i="3"/>
  <c r="K843" i="3"/>
  <c r="O855" i="3"/>
  <c r="Y855" i="3" s="1"/>
  <c r="O863" i="3"/>
  <c r="R872" i="3"/>
  <c r="N706" i="3"/>
  <c r="U782" i="3"/>
  <c r="S856" i="3"/>
  <c r="U887" i="3"/>
  <c r="J896" i="3"/>
  <c r="M905" i="3"/>
  <c r="P914" i="3"/>
  <c r="N924" i="3"/>
  <c r="V932" i="3"/>
  <c r="S939" i="3"/>
  <c r="U945" i="3"/>
  <c r="R952" i="3"/>
  <c r="L958" i="3"/>
  <c r="S963" i="3"/>
  <c r="U969" i="3"/>
  <c r="O975" i="3"/>
  <c r="Y975" i="3" s="1"/>
  <c r="V980" i="3"/>
  <c r="P986" i="3"/>
  <c r="J992" i="3"/>
  <c r="Q997" i="3"/>
  <c r="J886" i="3"/>
  <c r="K905" i="3"/>
  <c r="V930" i="3"/>
  <c r="U959" i="3"/>
  <c r="O989" i="3"/>
  <c r="Y989" i="3" s="1"/>
  <c r="R821" i="3"/>
  <c r="P909" i="3"/>
  <c r="U940" i="3"/>
  <c r="V975" i="3"/>
  <c r="Q567" i="3"/>
  <c r="U723" i="3"/>
  <c r="T763" i="3"/>
  <c r="L803" i="3"/>
  <c r="Q842" i="3"/>
  <c r="O879" i="3"/>
  <c r="Y879" i="3" s="1"/>
  <c r="L887" i="3"/>
  <c r="O892" i="3"/>
  <c r="N897" i="3"/>
  <c r="M902" i="3"/>
  <c r="L907" i="3"/>
  <c r="K912" i="3"/>
  <c r="J917" i="3"/>
  <c r="V921" i="3"/>
  <c r="U926" i="3"/>
  <c r="T931" i="3"/>
  <c r="S936" i="3"/>
  <c r="R941" i="3"/>
  <c r="Q946" i="3"/>
  <c r="P951" i="3"/>
  <c r="O956" i="3"/>
  <c r="N961" i="3"/>
  <c r="M966" i="3"/>
  <c r="L971" i="3"/>
  <c r="K976" i="3"/>
  <c r="J981" i="3"/>
  <c r="V985" i="3"/>
  <c r="U990" i="3"/>
  <c r="T995" i="3"/>
  <c r="S1000" i="3"/>
  <c r="N938" i="3"/>
  <c r="N970" i="3"/>
  <c r="K697" i="3"/>
  <c r="U886" i="3"/>
  <c r="O922" i="3"/>
  <c r="Y922" i="3" s="1"/>
  <c r="R955" i="3"/>
  <c r="O986" i="3"/>
  <c r="Y986" i="3" s="1"/>
  <c r="K688" i="3"/>
  <c r="T739" i="3"/>
  <c r="L779" i="3"/>
  <c r="Q818" i="3"/>
  <c r="V857" i="3"/>
  <c r="K883" i="3"/>
  <c r="O889" i="3"/>
  <c r="Y889" i="3" s="1"/>
  <c r="N894" i="3"/>
  <c r="M899" i="3"/>
  <c r="L904" i="3"/>
  <c r="K909" i="3"/>
  <c r="J914" i="3"/>
  <c r="V918" i="3"/>
  <c r="U923" i="3"/>
  <c r="T928" i="3"/>
  <c r="S933" i="3"/>
  <c r="R938" i="3"/>
  <c r="Q943" i="3"/>
  <c r="P948" i="3"/>
  <c r="O953" i="3"/>
  <c r="Y953" i="3" s="1"/>
  <c r="N958" i="3"/>
  <c r="M963" i="3"/>
  <c r="L968" i="3"/>
  <c r="K973" i="3"/>
  <c r="J978" i="3"/>
  <c r="V982" i="3"/>
  <c r="U987" i="3"/>
  <c r="T992" i="3"/>
  <c r="S997" i="3"/>
  <c r="U716" i="3"/>
  <c r="S894" i="3"/>
  <c r="V927" i="3"/>
  <c r="M956" i="3"/>
  <c r="Q992" i="3"/>
  <c r="O708" i="3"/>
  <c r="Y708" i="3" s="1"/>
  <c r="M750" i="3"/>
  <c r="R789" i="3"/>
  <c r="J829" i="3"/>
  <c r="O868" i="3"/>
  <c r="Y868" i="3" s="1"/>
  <c r="U884" i="3"/>
  <c r="S890" i="3"/>
  <c r="R895" i="3"/>
  <c r="Q900" i="3"/>
  <c r="P905" i="3"/>
  <c r="O910" i="3"/>
  <c r="N915" i="3"/>
  <c r="M920" i="3"/>
  <c r="L925" i="3"/>
  <c r="K930" i="3"/>
  <c r="J935" i="3"/>
  <c r="V939" i="3"/>
  <c r="U944" i="3"/>
  <c r="T949" i="3"/>
  <c r="S954" i="3"/>
  <c r="R959" i="3"/>
  <c r="Q964" i="3"/>
  <c r="P969" i="3"/>
  <c r="O974" i="3"/>
  <c r="Y974" i="3" s="1"/>
  <c r="N979" i="3"/>
  <c r="M984" i="3"/>
  <c r="L989" i="3"/>
  <c r="K994" i="3"/>
  <c r="J999" i="3"/>
  <c r="L892" i="3"/>
  <c r="L916" i="3"/>
  <c r="Q939" i="3"/>
  <c r="T972" i="3"/>
  <c r="J998" i="3"/>
  <c r="P893" i="3"/>
  <c r="M924" i="3"/>
  <c r="S958" i="3"/>
  <c r="M996" i="3"/>
  <c r="K709" i="3"/>
  <c r="U750" i="3"/>
  <c r="M790" i="3"/>
  <c r="R829" i="3"/>
  <c r="J869" i="3"/>
  <c r="V884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Q969" i="3"/>
  <c r="P974" i="3"/>
  <c r="O979" i="3"/>
  <c r="Y979" i="3" s="1"/>
  <c r="N984" i="3"/>
  <c r="M989" i="3"/>
  <c r="L994" i="3"/>
  <c r="K999" i="3"/>
  <c r="V906" i="3"/>
  <c r="L932" i="3"/>
  <c r="O965" i="3"/>
  <c r="O997" i="3"/>
  <c r="Y997" i="3" s="1"/>
  <c r="T913" i="3"/>
  <c r="T969" i="3"/>
  <c r="M587" i="3"/>
  <c r="S726" i="3"/>
  <c r="M766" i="3"/>
  <c r="R805" i="3"/>
  <c r="J845" i="3"/>
  <c r="K880" i="3"/>
  <c r="P887" i="3"/>
  <c r="S892" i="3"/>
  <c r="R897" i="3"/>
  <c r="Q902" i="3"/>
  <c r="P907" i="3"/>
  <c r="O912" i="3"/>
  <c r="Y912" i="3" s="1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Y976" i="3" s="1"/>
  <c r="N981" i="3"/>
  <c r="M986" i="3"/>
  <c r="L991" i="3"/>
  <c r="K996" i="3"/>
  <c r="L592" i="3"/>
  <c r="Q899" i="3"/>
  <c r="J918" i="3"/>
  <c r="R942" i="3"/>
  <c r="N962" i="3"/>
  <c r="T980" i="3"/>
  <c r="P722" i="3"/>
  <c r="J899" i="3"/>
  <c r="O930" i="3"/>
  <c r="Y930" i="3" s="1"/>
  <c r="L961" i="3"/>
  <c r="P997" i="3"/>
  <c r="M742" i="3"/>
  <c r="R781" i="3"/>
  <c r="J821" i="3"/>
  <c r="L875" i="3"/>
  <c r="O909" i="3"/>
  <c r="N954" i="3"/>
  <c r="U999" i="3"/>
  <c r="U870" i="3"/>
  <c r="U908" i="3"/>
  <c r="J947" i="3"/>
  <c r="K974" i="3"/>
  <c r="N704" i="3"/>
  <c r="R656" i="3"/>
  <c r="K821" i="3"/>
  <c r="R775" i="3"/>
  <c r="U539" i="3"/>
  <c r="O787" i="3"/>
  <c r="Y787" i="3" s="1"/>
  <c r="O545" i="3"/>
  <c r="Y545" i="3" s="1"/>
  <c r="K772" i="3"/>
  <c r="L831" i="3"/>
  <c r="Q870" i="3"/>
  <c r="T702" i="3"/>
  <c r="K729" i="3"/>
  <c r="R750" i="3"/>
  <c r="S769" i="3"/>
  <c r="M791" i="3"/>
  <c r="J814" i="3"/>
  <c r="P832" i="3"/>
  <c r="R854" i="3"/>
  <c r="T876" i="3"/>
  <c r="Q615" i="3"/>
  <c r="P712" i="3"/>
  <c r="N735" i="3"/>
  <c r="T753" i="3"/>
  <c r="L769" i="3"/>
  <c r="Q784" i="3"/>
  <c r="L801" i="3"/>
  <c r="L817" i="3"/>
  <c r="Q832" i="3"/>
  <c r="V847" i="3"/>
  <c r="N863" i="3"/>
  <c r="V879" i="3"/>
  <c r="T640" i="3"/>
  <c r="V706" i="3"/>
  <c r="P724" i="3"/>
  <c r="N740" i="3"/>
  <c r="V756" i="3"/>
  <c r="R768" i="3"/>
  <c r="Q781" i="3"/>
  <c r="U793" i="3"/>
  <c r="L806" i="3"/>
  <c r="K819" i="3"/>
  <c r="J832" i="3"/>
  <c r="S843" i="3"/>
  <c r="R856" i="3"/>
  <c r="M865" i="3"/>
  <c r="K875" i="3"/>
  <c r="V711" i="3"/>
  <c r="T787" i="3"/>
  <c r="R861" i="3"/>
  <c r="M889" i="3"/>
  <c r="U897" i="3"/>
  <c r="U905" i="3"/>
  <c r="S915" i="3"/>
  <c r="V924" i="3"/>
  <c r="Q933" i="3"/>
  <c r="N940" i="3"/>
  <c r="K947" i="3"/>
  <c r="M953" i="3"/>
  <c r="T958" i="3"/>
  <c r="V964" i="3"/>
  <c r="P970" i="3"/>
  <c r="J976" i="3"/>
  <c r="Q981" i="3"/>
  <c r="K987" i="3"/>
  <c r="R992" i="3"/>
  <c r="L998" i="3"/>
  <c r="S889" i="3"/>
  <c r="L908" i="3"/>
  <c r="O933" i="3"/>
  <c r="Q963" i="3"/>
  <c r="U991" i="3"/>
  <c r="J861" i="3"/>
  <c r="L913" i="3"/>
  <c r="T945" i="3"/>
  <c r="R979" i="3"/>
  <c r="V606" i="3"/>
  <c r="N729" i="3"/>
  <c r="S768" i="3"/>
  <c r="K808" i="3"/>
  <c r="P847" i="3"/>
  <c r="U880" i="3"/>
  <c r="V887" i="3"/>
  <c r="J893" i="3"/>
  <c r="V897" i="3"/>
  <c r="U902" i="3"/>
  <c r="T907" i="3"/>
  <c r="S912" i="3"/>
  <c r="R917" i="3"/>
  <c r="Q922" i="3"/>
  <c r="P927" i="3"/>
  <c r="O932" i="3"/>
  <c r="Y932" i="3" s="1"/>
  <c r="N937" i="3"/>
  <c r="M942" i="3"/>
  <c r="L947" i="3"/>
  <c r="K952" i="3"/>
  <c r="J957" i="3"/>
  <c r="V961" i="3"/>
  <c r="U966" i="3"/>
  <c r="T971" i="3"/>
  <c r="S976" i="3"/>
  <c r="R981" i="3"/>
  <c r="Q986" i="3"/>
  <c r="P991" i="3"/>
  <c r="O996" i="3"/>
  <c r="Y996" i="3" s="1"/>
  <c r="Q710" i="3"/>
  <c r="J942" i="3"/>
  <c r="J974" i="3"/>
  <c r="K728" i="3"/>
  <c r="R891" i="3"/>
  <c r="S926" i="3"/>
  <c r="N959" i="3"/>
  <c r="K990" i="3"/>
  <c r="T700" i="3"/>
  <c r="S744" i="3"/>
  <c r="K784" i="3"/>
  <c r="P823" i="3"/>
  <c r="U862" i="3"/>
  <c r="V883" i="3"/>
  <c r="J890" i="3"/>
  <c r="V894" i="3"/>
  <c r="U899" i="3"/>
  <c r="T904" i="3"/>
  <c r="S909" i="3"/>
  <c r="R914" i="3"/>
  <c r="Q919" i="3"/>
  <c r="P924" i="3"/>
  <c r="O929" i="3"/>
  <c r="Y929" i="3" s="1"/>
  <c r="N934" i="3"/>
  <c r="M939" i="3"/>
  <c r="L944" i="3"/>
  <c r="K949" i="3"/>
  <c r="J954" i="3"/>
  <c r="V958" i="3"/>
  <c r="U963" i="3"/>
  <c r="T968" i="3"/>
  <c r="S973" i="3"/>
  <c r="R978" i="3"/>
  <c r="Q983" i="3"/>
  <c r="P988" i="3"/>
  <c r="O993" i="3"/>
  <c r="Y993" i="3" s="1"/>
  <c r="N998" i="3"/>
  <c r="T747" i="3"/>
  <c r="M900" i="3"/>
  <c r="R931" i="3"/>
  <c r="Q960" i="3"/>
  <c r="U996" i="3"/>
  <c r="J714" i="3"/>
  <c r="L755" i="3"/>
  <c r="Q794" i="3"/>
  <c r="V833" i="3"/>
  <c r="N873" i="3"/>
  <c r="R885" i="3"/>
  <c r="N891" i="3"/>
  <c r="M896" i="3"/>
  <c r="L901" i="3"/>
  <c r="K906" i="3"/>
  <c r="J911" i="3"/>
  <c r="V915" i="3"/>
  <c r="U920" i="3"/>
  <c r="T925" i="3"/>
  <c r="S930" i="3"/>
  <c r="R935" i="3"/>
  <c r="Q940" i="3"/>
  <c r="P945" i="3"/>
  <c r="O950" i="3"/>
  <c r="Y950" i="3" s="1"/>
  <c r="N955" i="3"/>
  <c r="M960" i="3"/>
  <c r="L965" i="3"/>
  <c r="K970" i="3"/>
  <c r="J975" i="3"/>
  <c r="V979" i="3"/>
  <c r="U984" i="3"/>
  <c r="T989" i="3"/>
  <c r="S994" i="3"/>
  <c r="R999" i="3"/>
  <c r="U895" i="3"/>
  <c r="M919" i="3"/>
  <c r="U943" i="3"/>
  <c r="K977" i="3"/>
  <c r="P636" i="3"/>
  <c r="O898" i="3"/>
  <c r="Y898" i="3" s="1"/>
  <c r="L929" i="3"/>
  <c r="J963" i="3"/>
  <c r="Q1000" i="3"/>
  <c r="S714" i="3"/>
  <c r="T755" i="3"/>
  <c r="L795" i="3"/>
  <c r="Q834" i="3"/>
  <c r="V873" i="3"/>
  <c r="T885" i="3"/>
  <c r="O891" i="3"/>
  <c r="N896" i="3"/>
  <c r="M901" i="3"/>
  <c r="L906" i="3"/>
  <c r="K911" i="3"/>
  <c r="J916" i="3"/>
  <c r="V920" i="3"/>
  <c r="U925" i="3"/>
  <c r="T930" i="3"/>
  <c r="S935" i="3"/>
  <c r="R940" i="3"/>
  <c r="Q945" i="3"/>
  <c r="P950" i="3"/>
  <c r="O955" i="3"/>
  <c r="Y955" i="3" s="1"/>
  <c r="N960" i="3"/>
  <c r="M965" i="3"/>
  <c r="L970" i="3"/>
  <c r="K975" i="3"/>
  <c r="J980" i="3"/>
  <c r="V984" i="3"/>
  <c r="U989" i="3"/>
  <c r="T994" i="3"/>
  <c r="S999" i="3"/>
  <c r="M911" i="3"/>
  <c r="U935" i="3"/>
  <c r="P968" i="3"/>
  <c r="K597" i="3"/>
  <c r="N919" i="3"/>
  <c r="N975" i="3"/>
  <c r="R626" i="3"/>
  <c r="T731" i="3"/>
  <c r="L771" i="3"/>
  <c r="Q810" i="3"/>
  <c r="V849" i="3"/>
  <c r="P881" i="3"/>
  <c r="O888" i="3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K972" i="3"/>
  <c r="J977" i="3"/>
  <c r="V981" i="3"/>
  <c r="U986" i="3"/>
  <c r="T991" i="3"/>
  <c r="S996" i="3"/>
  <c r="M870" i="3"/>
  <c r="O901" i="3"/>
  <c r="P920" i="3"/>
  <c r="K945" i="3"/>
  <c r="T964" i="3"/>
  <c r="U983" i="3"/>
  <c r="R757" i="3"/>
  <c r="N903" i="3"/>
  <c r="K934" i="3"/>
  <c r="P965" i="3"/>
  <c r="T552" i="3"/>
  <c r="L747" i="3"/>
  <c r="Q786" i="3"/>
  <c r="V825" i="3"/>
  <c r="T878" i="3"/>
  <c r="V914" i="3"/>
  <c r="O957" i="3"/>
  <c r="Y957" i="3" s="1"/>
  <c r="R705" i="3"/>
  <c r="N885" i="3"/>
  <c r="O914" i="3"/>
  <c r="Y914" i="3" s="1"/>
  <c r="S950" i="3"/>
  <c r="Q976" i="3"/>
  <c r="R678" i="3"/>
  <c r="K632" i="3"/>
  <c r="N662" i="3"/>
  <c r="J823" i="3"/>
  <c r="V728" i="3"/>
  <c r="Q833" i="3"/>
  <c r="J727" i="3"/>
  <c r="M802" i="3"/>
  <c r="R849" i="3"/>
  <c r="Q575" i="3"/>
  <c r="O712" i="3"/>
  <c r="Y712" i="3" s="1"/>
  <c r="P736" i="3"/>
  <c r="R758" i="3"/>
  <c r="P776" i="3"/>
  <c r="U799" i="3"/>
  <c r="T820" i="3"/>
  <c r="U839" i="3"/>
  <c r="M863" i="3"/>
  <c r="J530" i="3"/>
  <c r="P684" i="3"/>
  <c r="R721" i="3"/>
  <c r="V743" i="3"/>
  <c r="N759" i="3"/>
  <c r="S774" i="3"/>
  <c r="N791" i="3"/>
  <c r="N807" i="3"/>
  <c r="S822" i="3"/>
  <c r="K838" i="3"/>
  <c r="P853" i="3"/>
  <c r="K870" i="3"/>
  <c r="J562" i="3"/>
  <c r="K685" i="3"/>
  <c r="M713" i="3"/>
  <c r="P730" i="3"/>
  <c r="K747" i="3"/>
  <c r="J760" i="3"/>
  <c r="Q773" i="3"/>
  <c r="P786" i="3"/>
  <c r="L798" i="3"/>
  <c r="N812" i="3"/>
  <c r="O823" i="3"/>
  <c r="Y823" i="3" s="1"/>
  <c r="V836" i="3"/>
  <c r="R848" i="3"/>
  <c r="N860" i="3"/>
  <c r="N868" i="3"/>
  <c r="Q877" i="3"/>
  <c r="P743" i="3"/>
  <c r="N817" i="3"/>
  <c r="S880" i="3"/>
  <c r="V892" i="3"/>
  <c r="V900" i="3"/>
  <c r="L910" i="3"/>
  <c r="O919" i="3"/>
  <c r="Y919" i="3" s="1"/>
  <c r="R928" i="3"/>
  <c r="O935" i="3"/>
  <c r="T942" i="3"/>
  <c r="Q949" i="3"/>
  <c r="S955" i="3"/>
  <c r="M961" i="3"/>
  <c r="T966" i="3"/>
  <c r="N972" i="3"/>
  <c r="U977" i="3"/>
  <c r="O983" i="3"/>
  <c r="Y983" i="3" s="1"/>
  <c r="Q989" i="3"/>
  <c r="K995" i="3"/>
  <c r="R1000" i="3"/>
  <c r="P896" i="3"/>
  <c r="R918" i="3"/>
  <c r="M943" i="3"/>
  <c r="M975" i="3"/>
  <c r="U675" i="3"/>
  <c r="U892" i="3"/>
  <c r="U924" i="3"/>
  <c r="V959" i="3"/>
  <c r="N991" i="3"/>
  <c r="Q699" i="3"/>
  <c r="K744" i="3"/>
  <c r="P783" i="3"/>
  <c r="U822" i="3"/>
  <c r="M862" i="3"/>
  <c r="T883" i="3"/>
  <c r="V889" i="3"/>
  <c r="U894" i="3"/>
  <c r="T899" i="3"/>
  <c r="S904" i="3"/>
  <c r="R909" i="3"/>
  <c r="Q914" i="3"/>
  <c r="P919" i="3"/>
  <c r="O924" i="3"/>
  <c r="N929" i="3"/>
  <c r="M934" i="3"/>
  <c r="L939" i="3"/>
  <c r="K944" i="3"/>
  <c r="J949" i="3"/>
  <c r="V953" i="3"/>
  <c r="U958" i="3"/>
  <c r="T963" i="3"/>
  <c r="S968" i="3"/>
  <c r="R973" i="3"/>
  <c r="Q978" i="3"/>
  <c r="P983" i="3"/>
  <c r="O988" i="3"/>
  <c r="Y988" i="3" s="1"/>
  <c r="N993" i="3"/>
  <c r="M998" i="3"/>
  <c r="T916" i="3"/>
  <c r="P952" i="3"/>
  <c r="L988" i="3"/>
  <c r="S816" i="3"/>
  <c r="Q904" i="3"/>
  <c r="J939" i="3"/>
  <c r="L969" i="3"/>
  <c r="K533" i="3"/>
  <c r="V718" i="3"/>
  <c r="P759" i="3"/>
  <c r="U798" i="3"/>
  <c r="M838" i="3"/>
  <c r="R877" i="3"/>
  <c r="O886" i="3"/>
  <c r="Y886" i="3" s="1"/>
  <c r="U891" i="3"/>
  <c r="T896" i="3"/>
  <c r="S901" i="3"/>
  <c r="R906" i="3"/>
  <c r="Q911" i="3"/>
  <c r="P916" i="3"/>
  <c r="O921" i="3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Y985" i="3" s="1"/>
  <c r="N990" i="3"/>
  <c r="M995" i="3"/>
  <c r="L1000" i="3"/>
  <c r="O836" i="3"/>
  <c r="Y836" i="3" s="1"/>
  <c r="N911" i="3"/>
  <c r="K942" i="3"/>
  <c r="S974" i="3"/>
  <c r="T616" i="3"/>
  <c r="Q730" i="3"/>
  <c r="V769" i="3"/>
  <c r="N809" i="3"/>
  <c r="S848" i="3"/>
  <c r="M881" i="3"/>
  <c r="K888" i="3"/>
  <c r="L893" i="3"/>
  <c r="K898" i="3"/>
  <c r="J903" i="3"/>
  <c r="V907" i="3"/>
  <c r="U912" i="3"/>
  <c r="T917" i="3"/>
  <c r="S922" i="3"/>
  <c r="R927" i="3"/>
  <c r="Q932" i="3"/>
  <c r="P937" i="3"/>
  <c r="O942" i="3"/>
  <c r="Y942" i="3" s="1"/>
  <c r="N947" i="3"/>
  <c r="M952" i="3"/>
  <c r="L957" i="3"/>
  <c r="K962" i="3"/>
  <c r="J967" i="3"/>
  <c r="V971" i="3"/>
  <c r="U976" i="3"/>
  <c r="N637" i="3"/>
  <c r="K696" i="3"/>
  <c r="T839" i="3"/>
  <c r="U751" i="3"/>
  <c r="O837" i="3"/>
  <c r="Y837" i="3" s="1"/>
  <c r="L713" i="3"/>
  <c r="O786" i="3"/>
  <c r="Y786" i="3" s="1"/>
  <c r="Q848" i="3"/>
  <c r="R707" i="3"/>
  <c r="U769" i="3"/>
  <c r="V820" i="3"/>
  <c r="K867" i="3"/>
  <c r="Q866" i="3"/>
  <c r="Q917" i="3"/>
  <c r="S947" i="3"/>
  <c r="K971" i="3"/>
  <c r="M993" i="3"/>
  <c r="K937" i="3"/>
  <c r="P917" i="3"/>
  <c r="M734" i="3"/>
  <c r="K882" i="3"/>
  <c r="P903" i="3"/>
  <c r="L923" i="3"/>
  <c r="U942" i="3"/>
  <c r="Q962" i="3"/>
  <c r="M982" i="3"/>
  <c r="T892" i="3"/>
  <c r="N895" i="3"/>
  <c r="S707" i="3"/>
  <c r="T867" i="3"/>
  <c r="P900" i="3"/>
  <c r="L920" i="3"/>
  <c r="U939" i="3"/>
  <c r="Q959" i="3"/>
  <c r="M979" i="3"/>
  <c r="V998" i="3"/>
  <c r="S966" i="3"/>
  <c r="P799" i="3"/>
  <c r="V891" i="3"/>
  <c r="R911" i="3"/>
  <c r="N931" i="3"/>
  <c r="J951" i="3"/>
  <c r="O966" i="3"/>
  <c r="Q980" i="3"/>
  <c r="O990" i="3"/>
  <c r="Y990" i="3" s="1"/>
  <c r="M1000" i="3"/>
  <c r="S921" i="3"/>
  <c r="Q979" i="3"/>
  <c r="K902" i="3"/>
  <c r="N967" i="3"/>
  <c r="O720" i="3"/>
  <c r="Y720" i="3" s="1"/>
  <c r="K800" i="3"/>
  <c r="M878" i="3"/>
  <c r="J892" i="3"/>
  <c r="U901" i="3"/>
  <c r="S911" i="3"/>
  <c r="Q921" i="3"/>
  <c r="O931" i="3"/>
  <c r="Y931" i="3" s="1"/>
  <c r="M941" i="3"/>
  <c r="K951" i="3"/>
  <c r="V960" i="3"/>
  <c r="T970" i="3"/>
  <c r="R980" i="3"/>
  <c r="P990" i="3"/>
  <c r="N1000" i="3"/>
  <c r="V938" i="3"/>
  <c r="T811" i="3"/>
  <c r="M980" i="3"/>
  <c r="S736" i="3"/>
  <c r="P815" i="3"/>
  <c r="Q882" i="3"/>
  <c r="V893" i="3"/>
  <c r="T903" i="3"/>
  <c r="R913" i="3"/>
  <c r="P923" i="3"/>
  <c r="N933" i="3"/>
  <c r="L943" i="3"/>
  <c r="J953" i="3"/>
  <c r="U962" i="3"/>
  <c r="S972" i="3"/>
  <c r="Q982" i="3"/>
  <c r="O992" i="3"/>
  <c r="Q883" i="3"/>
  <c r="L924" i="3"/>
  <c r="R966" i="3"/>
  <c r="J797" i="3"/>
  <c r="L937" i="3"/>
  <c r="P695" i="3"/>
  <c r="P791" i="3"/>
  <c r="M880" i="3"/>
  <c r="V962" i="3"/>
  <c r="L889" i="3"/>
  <c r="T953" i="3"/>
  <c r="T965" i="3"/>
  <c r="M970" i="3"/>
  <c r="M591" i="3"/>
  <c r="U705" i="3"/>
  <c r="J841" i="3"/>
  <c r="S753" i="3"/>
  <c r="M839" i="3"/>
  <c r="T718" i="3"/>
  <c r="R787" i="3"/>
  <c r="O850" i="3"/>
  <c r="N708" i="3"/>
  <c r="V772" i="3"/>
  <c r="L822" i="3"/>
  <c r="S867" i="3"/>
  <c r="P871" i="3"/>
  <c r="T918" i="3"/>
  <c r="N948" i="3"/>
  <c r="S971" i="3"/>
  <c r="P994" i="3"/>
  <c r="L940" i="3"/>
  <c r="T921" i="3"/>
  <c r="L739" i="3"/>
  <c r="J883" i="3"/>
  <c r="K904" i="3"/>
  <c r="T923" i="3"/>
  <c r="P943" i="3"/>
  <c r="L963" i="3"/>
  <c r="U982" i="3"/>
  <c r="T908" i="3"/>
  <c r="R899" i="3"/>
  <c r="N713" i="3"/>
  <c r="S872" i="3"/>
  <c r="K901" i="3"/>
  <c r="T920" i="3"/>
  <c r="P940" i="3"/>
  <c r="L960" i="3"/>
  <c r="U979" i="3"/>
  <c r="Q999" i="3"/>
  <c r="O970" i="3"/>
  <c r="Y970" i="3" s="1"/>
  <c r="O804" i="3"/>
  <c r="Y804" i="3" s="1"/>
  <c r="Q892" i="3"/>
  <c r="M912" i="3"/>
  <c r="V931" i="3"/>
  <c r="R951" i="3"/>
  <c r="M968" i="3"/>
  <c r="L981" i="3"/>
  <c r="J991" i="3"/>
  <c r="U1000" i="3"/>
  <c r="O925" i="3"/>
  <c r="Y925" i="3" s="1"/>
  <c r="M983" i="3"/>
  <c r="O906" i="3"/>
  <c r="Y906" i="3" s="1"/>
  <c r="M972" i="3"/>
  <c r="J726" i="3"/>
  <c r="J805" i="3"/>
  <c r="J880" i="3"/>
  <c r="R892" i="3"/>
  <c r="P902" i="3"/>
  <c r="N912" i="3"/>
  <c r="L922" i="3"/>
  <c r="J932" i="3"/>
  <c r="U941" i="3"/>
  <c r="S951" i="3"/>
  <c r="Q961" i="3"/>
  <c r="O971" i="3"/>
  <c r="Y971" i="3" s="1"/>
  <c r="M981" i="3"/>
  <c r="K991" i="3"/>
  <c r="V1000" i="3"/>
  <c r="P944" i="3"/>
  <c r="R880" i="3"/>
  <c r="Q984" i="3"/>
  <c r="R741" i="3"/>
  <c r="O820" i="3"/>
  <c r="Y820" i="3" s="1"/>
  <c r="P883" i="3"/>
  <c r="Q894" i="3"/>
  <c r="O904" i="3"/>
  <c r="Y904" i="3" s="1"/>
  <c r="M914" i="3"/>
  <c r="K924" i="3"/>
  <c r="V933" i="3"/>
  <c r="T943" i="3"/>
  <c r="R953" i="3"/>
  <c r="P963" i="3"/>
  <c r="N973" i="3"/>
  <c r="L983" i="3"/>
  <c r="J993" i="3"/>
  <c r="R887" i="3"/>
  <c r="R926" i="3"/>
  <c r="K969" i="3"/>
  <c r="N841" i="3"/>
  <c r="P941" i="3"/>
  <c r="L716" i="3"/>
  <c r="O796" i="3"/>
  <c r="Y796" i="3" s="1"/>
  <c r="N884" i="3"/>
  <c r="U967" i="3"/>
  <c r="M892" i="3"/>
  <c r="K958" i="3"/>
  <c r="R932" i="3"/>
  <c r="O890" i="3"/>
  <c r="Y890" i="3" s="1"/>
  <c r="Q746" i="3"/>
  <c r="M884" i="3"/>
  <c r="L895" i="3"/>
  <c r="U914" i="3"/>
  <c r="S924" i="3"/>
  <c r="Q934" i="3"/>
  <c r="M954" i="3"/>
  <c r="K964" i="3"/>
  <c r="T983" i="3"/>
  <c r="R993" i="3"/>
  <c r="N890" i="3"/>
  <c r="Q971" i="3"/>
  <c r="V865" i="3"/>
  <c r="Q944" i="3"/>
  <c r="N801" i="3"/>
  <c r="P888" i="3"/>
  <c r="V895" i="3"/>
  <c r="M735" i="3"/>
  <c r="T833" i="3"/>
  <c r="T758" i="3"/>
  <c r="P858" i="3"/>
  <c r="Q909" i="3"/>
  <c r="N988" i="3"/>
  <c r="Q888" i="3"/>
  <c r="L899" i="3"/>
  <c r="M958" i="3"/>
  <c r="N999" i="3"/>
  <c r="U915" i="3"/>
  <c r="M955" i="3"/>
  <c r="O938" i="3"/>
  <c r="Y938" i="3" s="1"/>
  <c r="S946" i="3"/>
  <c r="T997" i="3"/>
  <c r="N951" i="3"/>
  <c r="Q889" i="3"/>
  <c r="V928" i="3"/>
  <c r="N968" i="3"/>
  <c r="J990" i="3"/>
  <c r="Q874" i="3"/>
  <c r="J921" i="3"/>
  <c r="Q950" i="3"/>
  <c r="V989" i="3"/>
  <c r="M999" i="3"/>
  <c r="T771" i="3"/>
  <c r="P831" i="3"/>
  <c r="P535" i="3"/>
  <c r="S807" i="3"/>
  <c r="L879" i="3"/>
  <c r="R774" i="3"/>
  <c r="M855" i="3"/>
  <c r="O738" i="3"/>
  <c r="Y738" i="3" s="1"/>
  <c r="O802" i="3"/>
  <c r="Y802" i="3" s="1"/>
  <c r="L865" i="3"/>
  <c r="L725" i="3"/>
  <c r="T782" i="3"/>
  <c r="M833" i="3"/>
  <c r="N876" i="3"/>
  <c r="U889" i="3"/>
  <c r="Q925" i="3"/>
  <c r="U953" i="3"/>
  <c r="R976" i="3"/>
  <c r="O999" i="3"/>
  <c r="M967" i="3"/>
  <c r="K950" i="3"/>
  <c r="R773" i="3"/>
  <c r="S888" i="3"/>
  <c r="O908" i="3"/>
  <c r="Y908" i="3" s="1"/>
  <c r="K928" i="3"/>
  <c r="T947" i="3"/>
  <c r="P967" i="3"/>
  <c r="L987" i="3"/>
  <c r="S945" i="3"/>
  <c r="T929" i="3"/>
  <c r="R749" i="3"/>
  <c r="T884" i="3"/>
  <c r="O905" i="3"/>
  <c r="Y905" i="3" s="1"/>
  <c r="K925" i="3"/>
  <c r="T944" i="3"/>
  <c r="P964" i="3"/>
  <c r="L984" i="3"/>
  <c r="O772" i="3"/>
  <c r="Y772" i="3" s="1"/>
  <c r="J538" i="3"/>
  <c r="U838" i="3"/>
  <c r="U896" i="3"/>
  <c r="Q916" i="3"/>
  <c r="M936" i="3"/>
  <c r="V955" i="3"/>
  <c r="S970" i="3"/>
  <c r="T981" i="3"/>
  <c r="R991" i="3"/>
  <c r="Q631" i="3"/>
  <c r="P928" i="3"/>
  <c r="N986" i="3"/>
  <c r="K910" i="3"/>
  <c r="T977" i="3"/>
  <c r="L731" i="3"/>
  <c r="V809" i="3"/>
  <c r="N881" i="3"/>
  <c r="M893" i="3"/>
  <c r="K903" i="3"/>
  <c r="V912" i="3"/>
  <c r="T922" i="3"/>
  <c r="P942" i="3"/>
  <c r="N952" i="3"/>
  <c r="L962" i="3"/>
  <c r="J972" i="3"/>
  <c r="U981" i="3"/>
  <c r="S991" i="3"/>
  <c r="V670" i="3"/>
  <c r="T948" i="3"/>
  <c r="P989" i="3"/>
  <c r="N825" i="3"/>
  <c r="J905" i="3"/>
  <c r="O944" i="3"/>
  <c r="V973" i="3"/>
  <c r="N930" i="3"/>
  <c r="T721" i="3"/>
  <c r="R974" i="3"/>
  <c r="O962" i="3"/>
  <c r="Y962" i="3" s="1"/>
  <c r="T791" i="3"/>
  <c r="L966" i="3"/>
  <c r="N857" i="3"/>
  <c r="Q938" i="3"/>
  <c r="R997" i="3"/>
  <c r="L896" i="3"/>
  <c r="V974" i="3"/>
  <c r="N907" i="3"/>
  <c r="K978" i="3"/>
  <c r="L964" i="3"/>
  <c r="O780" i="3"/>
  <c r="M909" i="3"/>
  <c r="R948" i="3"/>
  <c r="J926" i="3"/>
  <c r="P891" i="3"/>
  <c r="S940" i="3"/>
  <c r="T999" i="3"/>
  <c r="U988" i="3"/>
  <c r="R939" i="3"/>
  <c r="J589" i="3"/>
  <c r="M813" i="3"/>
  <c r="O880" i="3"/>
  <c r="U775" i="3"/>
  <c r="L860" i="3"/>
  <c r="J739" i="3"/>
  <c r="J803" i="3"/>
  <c r="O866" i="3"/>
  <c r="N727" i="3"/>
  <c r="J784" i="3"/>
  <c r="S835" i="3"/>
  <c r="V876" i="3"/>
  <c r="P890" i="3"/>
  <c r="O927" i="3"/>
  <c r="Y927" i="3" s="1"/>
  <c r="K955" i="3"/>
  <c r="M977" i="3"/>
  <c r="J1000" i="3"/>
  <c r="V970" i="3"/>
  <c r="O954" i="3"/>
  <c r="Y954" i="3" s="1"/>
  <c r="Q778" i="3"/>
  <c r="N889" i="3"/>
  <c r="J909" i="3"/>
  <c r="S928" i="3"/>
  <c r="O948" i="3"/>
  <c r="K968" i="3"/>
  <c r="T987" i="3"/>
  <c r="O949" i="3"/>
  <c r="Y949" i="3" s="1"/>
  <c r="S934" i="3"/>
  <c r="Q754" i="3"/>
  <c r="Q885" i="3"/>
  <c r="J906" i="3"/>
  <c r="S925" i="3"/>
  <c r="O945" i="3"/>
  <c r="Y945" i="3" s="1"/>
  <c r="K965" i="3"/>
  <c r="T984" i="3"/>
  <c r="V801" i="3"/>
  <c r="O577" i="3"/>
  <c r="Y577" i="3" s="1"/>
  <c r="T843" i="3"/>
  <c r="P897" i="3"/>
  <c r="L917" i="3"/>
  <c r="U936" i="3"/>
  <c r="Q956" i="3"/>
  <c r="N971" i="3"/>
  <c r="J983" i="3"/>
  <c r="U992" i="3"/>
  <c r="L885" i="3"/>
  <c r="J934" i="3"/>
  <c r="P992" i="3"/>
  <c r="U916" i="3"/>
  <c r="J987" i="3"/>
  <c r="J741" i="3"/>
  <c r="T819" i="3"/>
  <c r="N883" i="3"/>
  <c r="P894" i="3"/>
  <c r="N904" i="3"/>
  <c r="L914" i="3"/>
  <c r="J924" i="3"/>
  <c r="U933" i="3"/>
  <c r="S943" i="3"/>
  <c r="Q953" i="3"/>
  <c r="O963" i="3"/>
  <c r="Y963" i="3" s="1"/>
  <c r="M973" i="3"/>
  <c r="K983" i="3"/>
  <c r="V992" i="3"/>
  <c r="M895" i="3"/>
  <c r="J958" i="3"/>
  <c r="S902" i="3"/>
  <c r="S998" i="3"/>
  <c r="O756" i="3"/>
  <c r="Y756" i="3" s="1"/>
  <c r="L835" i="3"/>
  <c r="V885" i="3"/>
  <c r="O896" i="3"/>
  <c r="M906" i="3"/>
  <c r="K916" i="3"/>
  <c r="V925" i="3"/>
  <c r="T935" i="3"/>
  <c r="R945" i="3"/>
  <c r="P955" i="3"/>
  <c r="N965" i="3"/>
  <c r="L975" i="3"/>
  <c r="J985" i="3"/>
  <c r="U994" i="3"/>
  <c r="J894" i="3"/>
  <c r="S937" i="3"/>
  <c r="U975" i="3"/>
  <c r="T889" i="3"/>
  <c r="Q952" i="3"/>
  <c r="O732" i="3"/>
  <c r="Y732" i="3" s="1"/>
  <c r="L811" i="3"/>
  <c r="V898" i="3"/>
  <c r="V986" i="3"/>
  <c r="U900" i="3"/>
  <c r="V967" i="3"/>
  <c r="P787" i="3"/>
  <c r="M815" i="3"/>
  <c r="V654" i="3"/>
  <c r="T769" i="3"/>
  <c r="L833" i="3"/>
  <c r="S645" i="3"/>
  <c r="L758" i="3"/>
  <c r="M857" i="3"/>
  <c r="V908" i="3"/>
  <c r="S987" i="3"/>
  <c r="O852" i="3"/>
  <c r="R957" i="3"/>
  <c r="J995" i="3"/>
  <c r="M915" i="3"/>
  <c r="R954" i="3"/>
  <c r="N935" i="3"/>
  <c r="S906" i="3"/>
  <c r="K946" i="3"/>
  <c r="S986" i="3"/>
  <c r="R902" i="3"/>
  <c r="S942" i="3"/>
  <c r="M888" i="3"/>
  <c r="U917" i="3"/>
  <c r="O947" i="3"/>
  <c r="Y947" i="3" s="1"/>
  <c r="V976" i="3"/>
  <c r="U919" i="3"/>
  <c r="L704" i="3"/>
  <c r="M890" i="3"/>
  <c r="V909" i="3"/>
  <c r="P939" i="3"/>
  <c r="J969" i="3"/>
  <c r="Q998" i="3"/>
  <c r="K953" i="3"/>
  <c r="M916" i="3"/>
  <c r="S840" i="3"/>
  <c r="J931" i="3"/>
  <c r="U815" i="3"/>
  <c r="L787" i="3"/>
  <c r="N887" i="3"/>
  <c r="J910" i="3"/>
  <c r="N692" i="3"/>
  <c r="O899" i="3"/>
  <c r="Y899" i="3" s="1"/>
  <c r="T938" i="3"/>
  <c r="L978" i="3"/>
  <c r="J988" i="3"/>
  <c r="U956" i="3"/>
  <c r="T795" i="3"/>
  <c r="L911" i="3"/>
  <c r="U930" i="3"/>
  <c r="K980" i="3"/>
  <c r="R958" i="3"/>
  <c r="R923" i="3"/>
  <c r="N946" i="3"/>
  <c r="U851" i="3"/>
  <c r="T694" i="3"/>
  <c r="U708" i="3"/>
  <c r="K793" i="3"/>
  <c r="R878" i="3"/>
  <c r="O754" i="3"/>
  <c r="T817" i="3"/>
  <c r="N432" i="3"/>
  <c r="L742" i="3"/>
  <c r="N796" i="3"/>
  <c r="Q845" i="3"/>
  <c r="S728" i="3"/>
  <c r="K899" i="3"/>
  <c r="L934" i="3"/>
  <c r="J960" i="3"/>
  <c r="L982" i="3"/>
  <c r="V890" i="3"/>
  <c r="V994" i="3"/>
  <c r="V983" i="3"/>
  <c r="J813" i="3"/>
  <c r="R893" i="3"/>
  <c r="N913" i="3"/>
  <c r="J933" i="3"/>
  <c r="S952" i="3"/>
  <c r="O972" i="3"/>
  <c r="Y972" i="3" s="1"/>
  <c r="K992" i="3"/>
  <c r="N978" i="3"/>
  <c r="T961" i="3"/>
  <c r="J789" i="3"/>
  <c r="R890" i="3"/>
  <c r="N910" i="3"/>
  <c r="J930" i="3"/>
  <c r="S949" i="3"/>
  <c r="O969" i="3"/>
  <c r="Y969" i="3" s="1"/>
  <c r="K989" i="3"/>
  <c r="V903" i="3"/>
  <c r="R719" i="3"/>
  <c r="T877" i="3"/>
  <c r="T901" i="3"/>
  <c r="P921" i="3"/>
  <c r="L941" i="3"/>
  <c r="U960" i="3"/>
  <c r="L973" i="3"/>
  <c r="P985" i="3"/>
  <c r="N995" i="3"/>
  <c r="N898" i="3"/>
  <c r="Q947" i="3"/>
  <c r="U742" i="3"/>
  <c r="U932" i="3"/>
  <c r="V542" i="3"/>
  <c r="S760" i="3"/>
  <c r="P839" i="3"/>
  <c r="R886" i="3"/>
  <c r="V896" i="3"/>
  <c r="T906" i="3"/>
  <c r="R916" i="3"/>
  <c r="P926" i="3"/>
  <c r="N936" i="3"/>
  <c r="L946" i="3"/>
  <c r="J956" i="3"/>
  <c r="U965" i="3"/>
  <c r="S975" i="3"/>
  <c r="Q985" i="3"/>
  <c r="O995" i="3"/>
  <c r="Y995" i="3" s="1"/>
  <c r="S913" i="3"/>
  <c r="L972" i="3"/>
  <c r="P925" i="3"/>
  <c r="J666" i="3"/>
  <c r="K776" i="3"/>
  <c r="U854" i="3"/>
  <c r="J889" i="3"/>
  <c r="U898" i="3"/>
  <c r="S908" i="3"/>
  <c r="Q918" i="3"/>
  <c r="O928" i="3"/>
  <c r="Y928" i="3" s="1"/>
  <c r="M938" i="3"/>
  <c r="K948" i="3"/>
  <c r="V957" i="3"/>
  <c r="T967" i="3"/>
  <c r="R977" i="3"/>
  <c r="P987" i="3"/>
  <c r="N997" i="3"/>
  <c r="U903" i="3"/>
  <c r="L948" i="3"/>
  <c r="Q987" i="3"/>
  <c r="J907" i="3"/>
  <c r="R971" i="3"/>
  <c r="K752" i="3"/>
  <c r="U830" i="3"/>
  <c r="K921" i="3"/>
  <c r="V737" i="3"/>
  <c r="L921" i="3"/>
  <c r="P981" i="3"/>
  <c r="N730" i="3"/>
  <c r="S792" i="3"/>
  <c r="Q965" i="3"/>
  <c r="U882" i="3"/>
  <c r="Q898" i="3"/>
  <c r="V937" i="3"/>
  <c r="J997" i="3"/>
  <c r="O828" i="3"/>
  <c r="Y828" i="3" s="1"/>
  <c r="N974" i="3"/>
  <c r="Q886" i="3"/>
  <c r="N963" i="3"/>
  <c r="Q955" i="3"/>
  <c r="Q770" i="3"/>
  <c r="L898" i="3"/>
  <c r="Q937" i="3"/>
  <c r="K967" i="3"/>
  <c r="R996" i="3"/>
  <c r="M940" i="3"/>
  <c r="S864" i="3"/>
  <c r="T919" i="3"/>
  <c r="N949" i="3"/>
  <c r="U978" i="3"/>
  <c r="Q907" i="3"/>
  <c r="U980" i="3"/>
  <c r="M782" i="3"/>
  <c r="T880" i="3"/>
  <c r="M705" i="3"/>
  <c r="M710" i="3"/>
  <c r="J798" i="3"/>
  <c r="M879" i="3"/>
  <c r="J755" i="3"/>
  <c r="O818" i="3"/>
  <c r="Y818" i="3" s="1"/>
  <c r="U501" i="3"/>
  <c r="O743" i="3"/>
  <c r="Y743" i="3" s="1"/>
  <c r="Q797" i="3"/>
  <c r="O847" i="3"/>
  <c r="Y847" i="3" s="1"/>
  <c r="Q738" i="3"/>
  <c r="N900" i="3"/>
  <c r="T934" i="3"/>
  <c r="R960" i="3"/>
  <c r="T982" i="3"/>
  <c r="O893" i="3"/>
  <c r="Y893" i="3" s="1"/>
  <c r="R998" i="3"/>
  <c r="R987" i="3"/>
  <c r="V817" i="3"/>
  <c r="M894" i="3"/>
  <c r="V913" i="3"/>
  <c r="R933" i="3"/>
  <c r="N953" i="3"/>
  <c r="J973" i="3"/>
  <c r="S992" i="3"/>
  <c r="R982" i="3"/>
  <c r="K966" i="3"/>
  <c r="V793" i="3"/>
  <c r="M891" i="3"/>
  <c r="V910" i="3"/>
  <c r="R930" i="3"/>
  <c r="N950" i="3"/>
  <c r="J970" i="3"/>
  <c r="S989" i="3"/>
  <c r="R907" i="3"/>
  <c r="N725" i="3"/>
  <c r="R879" i="3"/>
  <c r="O902" i="3"/>
  <c r="Y902" i="3" s="1"/>
  <c r="K922" i="3"/>
  <c r="T941" i="3"/>
  <c r="P961" i="3"/>
  <c r="R975" i="3"/>
  <c r="K986" i="3"/>
  <c r="V995" i="3"/>
  <c r="T900" i="3"/>
  <c r="U951" i="3"/>
  <c r="N777" i="3"/>
  <c r="T937" i="3"/>
  <c r="N582" i="3"/>
  <c r="R765" i="3"/>
  <c r="O844" i="3"/>
  <c r="Y844" i="3" s="1"/>
  <c r="O887" i="3"/>
  <c r="Y887" i="3" s="1"/>
  <c r="Q897" i="3"/>
  <c r="O907" i="3"/>
  <c r="Y907" i="3" s="1"/>
  <c r="M917" i="3"/>
  <c r="K927" i="3"/>
  <c r="V936" i="3"/>
  <c r="T946" i="3"/>
  <c r="R956" i="3"/>
  <c r="P966" i="3"/>
  <c r="N976" i="3"/>
  <c r="L986" i="3"/>
  <c r="J996" i="3"/>
  <c r="O917" i="3"/>
  <c r="Y917" i="3" s="1"/>
  <c r="P976" i="3"/>
  <c r="M932" i="3"/>
  <c r="S693" i="3"/>
  <c r="J781" i="3"/>
  <c r="T859" i="3"/>
  <c r="R889" i="3"/>
  <c r="P899" i="3"/>
  <c r="N909" i="3"/>
  <c r="L919" i="3"/>
  <c r="J929" i="3"/>
  <c r="U938" i="3"/>
  <c r="S948" i="3"/>
  <c r="Q958" i="3"/>
  <c r="O968" i="3"/>
  <c r="Y968" i="3" s="1"/>
  <c r="M978" i="3"/>
  <c r="K988" i="3"/>
  <c r="V997" i="3"/>
  <c r="S905" i="3"/>
  <c r="M951" i="3"/>
  <c r="R990" i="3"/>
  <c r="V911" i="3"/>
  <c r="L977" i="3"/>
  <c r="J757" i="3"/>
  <c r="T835" i="3"/>
  <c r="M927" i="3"/>
  <c r="Q762" i="3"/>
  <c r="K926" i="3"/>
  <c r="T985" i="3"/>
  <c r="V795" i="3"/>
  <c r="J808" i="3"/>
  <c r="V940" i="3"/>
  <c r="U911" i="3"/>
  <c r="N646" i="3"/>
  <c r="M918" i="3"/>
  <c r="N977" i="3"/>
  <c r="S752" i="3"/>
  <c r="Q895" i="3"/>
  <c r="V934" i="3"/>
  <c r="J994" i="3"/>
  <c r="K760" i="3"/>
  <c r="O926" i="3"/>
  <c r="Y926" i="3" s="1"/>
  <c r="M976" i="3"/>
  <c r="Q996" i="3"/>
  <c r="Q826" i="3"/>
  <c r="S621" i="3"/>
  <c r="N849" i="3"/>
  <c r="J908" i="3"/>
  <c r="S927" i="3"/>
  <c r="M957" i="3"/>
  <c r="T986" i="3"/>
  <c r="L980" i="3"/>
  <c r="V785" i="3"/>
  <c r="K900" i="3"/>
  <c r="R929" i="3"/>
  <c r="L959" i="3"/>
  <c r="S988" i="3"/>
  <c r="N994" i="3"/>
  <c r="V761" i="3"/>
  <c r="M935" i="3"/>
  <c r="V991" i="3"/>
  <c r="P801" i="3"/>
  <c r="Q679" i="3"/>
  <c r="R771" i="3"/>
  <c r="R650" i="3"/>
  <c r="M809" i="3"/>
  <c r="P807" i="3"/>
  <c r="L942" i="3"/>
  <c r="Q915" i="3"/>
  <c r="R685" i="3"/>
  <c r="U918" i="3"/>
  <c r="V977" i="3"/>
  <c r="N833" i="3"/>
  <c r="Q935" i="3"/>
  <c r="R994" i="3"/>
  <c r="J765" i="3"/>
  <c r="J927" i="3"/>
  <c r="V987" i="3"/>
  <c r="U881" i="3"/>
  <c r="L859" i="3"/>
  <c r="K919" i="3"/>
  <c r="P958" i="3"/>
  <c r="U997" i="3"/>
  <c r="P715" i="3"/>
  <c r="N901" i="3"/>
  <c r="O960" i="3"/>
  <c r="P912" i="3"/>
  <c r="Q850" i="3"/>
  <c r="K998" i="3"/>
  <c r="Y16" i="3"/>
  <c r="Y37" i="3"/>
  <c r="Y53" i="3"/>
  <c r="Y10" i="3"/>
  <c r="Y7" i="3"/>
  <c r="Y12" i="3"/>
  <c r="Y58" i="3"/>
  <c r="Y17" i="3"/>
  <c r="Y19" i="3"/>
  <c r="Y25" i="3"/>
  <c r="Y28" i="3"/>
  <c r="Y59" i="3"/>
  <c r="Y101" i="3"/>
  <c r="Y117" i="3"/>
  <c r="Y56" i="3"/>
  <c r="Y65" i="3"/>
  <c r="Y79" i="3"/>
  <c r="Y95" i="3"/>
  <c r="Y111" i="3"/>
  <c r="Y119" i="3"/>
  <c r="Y46" i="3"/>
  <c r="Y63" i="3"/>
  <c r="Y84" i="3"/>
  <c r="Y108" i="3"/>
  <c r="Y80" i="3"/>
  <c r="Y88" i="3"/>
  <c r="Y52" i="3"/>
  <c r="Y112" i="3"/>
  <c r="Y131" i="3"/>
  <c r="Y83" i="3"/>
  <c r="Y141" i="3"/>
  <c r="Y41" i="3"/>
  <c r="Y116" i="3"/>
  <c r="Y73" i="3"/>
  <c r="Y82" i="3"/>
  <c r="Y51" i="3"/>
  <c r="Y169" i="3"/>
  <c r="Y174" i="3"/>
  <c r="Y96" i="3"/>
  <c r="Y138" i="3"/>
  <c r="Y163" i="3"/>
  <c r="Y152" i="3"/>
  <c r="Y168" i="3"/>
  <c r="Y104" i="3"/>
  <c r="Y145" i="3"/>
  <c r="Y165" i="3"/>
  <c r="Y199" i="3"/>
  <c r="Y239" i="3"/>
  <c r="Y247" i="3"/>
  <c r="Y30" i="3"/>
  <c r="Y110" i="3"/>
  <c r="Y228" i="3"/>
  <c r="Y252" i="3"/>
  <c r="Y260" i="3"/>
  <c r="Y173" i="3"/>
  <c r="Y181" i="3"/>
  <c r="Y187" i="3"/>
  <c r="Y233" i="3"/>
  <c r="Y206" i="3"/>
  <c r="Y230" i="3"/>
  <c r="Y159" i="3"/>
  <c r="Y175" i="3"/>
  <c r="Y216" i="3"/>
  <c r="Y205" i="3"/>
  <c r="Y202" i="3"/>
  <c r="Y267" i="3"/>
  <c r="Y283" i="3"/>
  <c r="Y331" i="3"/>
  <c r="Y224" i="3"/>
  <c r="Y296" i="3"/>
  <c r="Y304" i="3"/>
  <c r="Y229" i="3"/>
  <c r="Y262" i="3"/>
  <c r="Y309" i="3"/>
  <c r="Y298" i="3"/>
  <c r="Y314" i="3"/>
  <c r="Y243" i="3"/>
  <c r="Y268" i="3"/>
  <c r="Y284" i="3"/>
  <c r="Y292" i="3"/>
  <c r="Y265" i="3"/>
  <c r="Y273" i="3"/>
  <c r="Y305" i="3"/>
  <c r="Y322" i="3"/>
  <c r="Y349" i="3"/>
  <c r="Y373" i="3"/>
  <c r="Y381" i="3"/>
  <c r="Y359" i="3"/>
  <c r="Y399" i="3"/>
  <c r="Y348" i="3"/>
  <c r="Y356" i="3"/>
  <c r="Y372" i="3"/>
  <c r="Y369" i="3"/>
  <c r="Y385" i="3"/>
  <c r="Y318" i="3"/>
  <c r="Y350" i="3"/>
  <c r="Y281" i="3"/>
  <c r="Y402" i="3"/>
  <c r="Y423" i="3"/>
  <c r="Y455" i="3"/>
  <c r="Y346" i="3"/>
  <c r="Y436" i="3"/>
  <c r="Y460" i="3"/>
  <c r="Y324" i="3"/>
  <c r="Y371" i="3"/>
  <c r="Y406" i="3"/>
  <c r="Y417" i="3"/>
  <c r="Y465" i="3"/>
  <c r="Y414" i="3"/>
  <c r="Y446" i="3"/>
  <c r="Y278" i="3"/>
  <c r="Y419" i="3"/>
  <c r="Y416" i="3"/>
  <c r="Y424" i="3"/>
  <c r="Y440" i="3"/>
  <c r="Y448" i="3"/>
  <c r="Y403" i="3"/>
  <c r="Y411" i="3"/>
  <c r="Y451" i="3"/>
  <c r="Y469" i="3"/>
  <c r="Y486" i="3"/>
  <c r="Y510" i="3"/>
  <c r="Y518" i="3"/>
  <c r="Y550" i="3"/>
  <c r="Y418" i="3"/>
  <c r="Y461" i="3"/>
  <c r="Y507" i="3"/>
  <c r="Y515" i="3"/>
  <c r="Y531" i="3"/>
  <c r="Y520" i="3"/>
  <c r="Y536" i="3"/>
  <c r="Y560" i="3"/>
  <c r="Y493" i="3"/>
  <c r="Y501" i="3"/>
  <c r="Y549" i="3"/>
  <c r="Y445" i="3"/>
  <c r="Y472" i="3"/>
  <c r="Y506" i="3"/>
  <c r="Y522" i="3"/>
  <c r="Y489" i="3"/>
  <c r="Y487" i="3"/>
  <c r="Y555" i="3"/>
  <c r="Y565" i="3"/>
  <c r="Y602" i="3"/>
  <c r="Y618" i="3"/>
  <c r="Y495" i="3"/>
  <c r="Y539" i="3"/>
  <c r="Y548" i="3"/>
  <c r="Y588" i="3"/>
  <c r="Y596" i="3"/>
  <c r="Y604" i="3"/>
  <c r="Y620" i="3"/>
  <c r="Y636" i="3"/>
  <c r="Y609" i="3"/>
  <c r="Y503" i="3"/>
  <c r="Y535" i="3"/>
  <c r="Y546" i="3"/>
  <c r="Y567" i="3"/>
  <c r="Y582" i="3"/>
  <c r="Y590" i="3"/>
  <c r="Y508" i="3"/>
  <c r="Y543" i="3"/>
  <c r="Y551" i="3"/>
  <c r="Y563" i="3"/>
  <c r="Y571" i="3"/>
  <c r="Y579" i="3"/>
  <c r="Y627" i="3"/>
  <c r="Y605" i="3"/>
  <c r="Y623" i="3"/>
  <c r="Y632" i="3"/>
  <c r="Y645" i="3"/>
  <c r="Y653" i="3"/>
  <c r="Y685" i="3"/>
  <c r="Y693" i="3"/>
  <c r="Y484" i="3"/>
  <c r="Y511" i="3"/>
  <c r="Y584" i="3"/>
  <c r="Y658" i="3"/>
  <c r="Y666" i="3"/>
  <c r="Y674" i="3"/>
  <c r="Y479" i="3"/>
  <c r="Y607" i="3"/>
  <c r="Y647" i="3"/>
  <c r="Y655" i="3"/>
  <c r="Y679" i="3"/>
  <c r="Y687" i="3"/>
  <c r="Y556" i="3"/>
  <c r="Y581" i="3"/>
  <c r="Y599" i="3"/>
  <c r="Y668" i="3"/>
  <c r="Y676" i="3"/>
  <c r="Y692" i="3"/>
  <c r="Y649" i="3"/>
  <c r="Y681" i="3"/>
  <c r="Y559" i="3"/>
  <c r="Y616" i="3"/>
  <c r="Y635" i="3"/>
  <c r="Y638" i="3"/>
  <c r="Y654" i="3"/>
  <c r="Y662" i="3"/>
  <c r="Y670" i="3"/>
  <c r="Y678" i="3"/>
  <c r="Y686" i="3"/>
  <c r="Y694" i="3"/>
  <c r="Y540" i="3"/>
  <c r="Y639" i="3"/>
  <c r="Y659" i="3"/>
  <c r="Y702" i="3"/>
  <c r="Y727" i="3"/>
  <c r="Y751" i="3"/>
  <c r="Y759" i="3"/>
  <c r="Y683" i="3"/>
  <c r="Y696" i="3"/>
  <c r="Y699" i="3"/>
  <c r="Y769" i="3"/>
  <c r="Y785" i="3"/>
  <c r="Y750" i="3"/>
  <c r="Y758" i="3"/>
  <c r="Y731" i="3"/>
  <c r="Y747" i="3"/>
  <c r="Y779" i="3"/>
  <c r="Y689" i="3"/>
  <c r="Y746" i="3"/>
  <c r="Y754" i="3"/>
  <c r="Y762" i="3"/>
  <c r="Y792" i="3"/>
  <c r="Y808" i="3"/>
  <c r="Y824" i="3"/>
  <c r="Y832" i="3"/>
  <c r="Y856" i="3"/>
  <c r="Y880" i="3"/>
  <c r="Y888" i="3"/>
  <c r="Y896" i="3"/>
  <c r="Y691" i="3"/>
  <c r="Y829" i="3"/>
  <c r="Y861" i="3"/>
  <c r="Y901" i="3"/>
  <c r="Y909" i="3"/>
  <c r="Y765" i="3"/>
  <c r="Y810" i="3"/>
  <c r="Y858" i="3"/>
  <c r="Y866" i="3"/>
  <c r="Y874" i="3"/>
  <c r="Y716" i="3"/>
  <c r="Y744" i="3"/>
  <c r="Y780" i="3"/>
  <c r="Y791" i="3"/>
  <c r="Y807" i="3"/>
  <c r="Y831" i="3"/>
  <c r="Y839" i="3"/>
  <c r="Y863" i="3"/>
  <c r="Y895" i="3"/>
  <c r="Y903" i="3"/>
  <c r="Y749" i="3"/>
  <c r="Y812" i="3"/>
  <c r="Y852" i="3"/>
  <c r="Y728" i="3"/>
  <c r="Y793" i="3"/>
  <c r="Y801" i="3"/>
  <c r="Y817" i="3"/>
  <c r="Y857" i="3"/>
  <c r="Y873" i="3"/>
  <c r="Y680" i="3"/>
  <c r="Y790" i="3"/>
  <c r="Y798" i="3"/>
  <c r="Y822" i="3"/>
  <c r="Y838" i="3"/>
  <c r="Y846" i="3"/>
  <c r="Y920" i="3"/>
  <c r="Y944" i="3"/>
  <c r="Y952" i="3"/>
  <c r="Y960" i="3"/>
  <c r="Y992" i="3"/>
  <c r="Y933" i="3"/>
  <c r="Y941" i="3"/>
  <c r="Y965" i="3"/>
  <c r="Y725" i="3"/>
  <c r="Y862" i="3"/>
  <c r="Y892" i="3"/>
  <c r="Y978" i="3"/>
  <c r="Y994" i="3"/>
  <c r="Y867" i="3"/>
  <c r="Y897" i="3"/>
  <c r="Y935" i="3"/>
  <c r="Y959" i="3"/>
  <c r="Y967" i="3"/>
  <c r="Y991" i="3"/>
  <c r="Y999" i="3"/>
  <c r="Y819" i="3"/>
  <c r="Y924" i="3"/>
  <c r="Y940" i="3"/>
  <c r="Y948" i="3"/>
  <c r="Y956" i="3"/>
  <c r="Y939" i="3"/>
  <c r="Y875" i="3"/>
  <c r="Y891" i="3"/>
  <c r="Y921" i="3"/>
  <c r="Y675" i="3"/>
  <c r="Y835" i="3"/>
  <c r="Y900" i="3"/>
  <c r="Y910" i="3"/>
  <c r="Y918" i="3"/>
  <c r="Y966" i="3"/>
  <c r="Y998" i="3"/>
  <c r="Y40" i="3"/>
  <c r="Y36" i="3"/>
  <c r="Y77" i="3"/>
  <c r="Y15" i="3"/>
  <c r="Y219" i="3"/>
  <c r="Y197" i="3"/>
  <c r="Y190" i="3"/>
  <c r="Y275" i="3"/>
  <c r="Y328" i="3"/>
  <c r="Y485" i="3"/>
  <c r="Y598" i="3"/>
  <c r="Y18" i="3"/>
  <c r="Y31" i="3"/>
  <c r="Y22" i="3"/>
  <c r="Y38" i="3"/>
  <c r="Y27" i="3"/>
  <c r="Y35" i="3"/>
  <c r="Y43" i="3"/>
  <c r="Y70" i="3"/>
  <c r="Y78" i="3"/>
  <c r="Y44" i="3"/>
  <c r="Y72" i="3"/>
  <c r="Y85" i="3"/>
  <c r="Y48" i="3"/>
  <c r="Y20" i="3"/>
  <c r="I45" i="3" a="1"/>
  <c r="I45" i="3" s="1"/>
  <c r="Y81" i="3"/>
  <c r="Y133" i="3"/>
  <c r="Y90" i="3"/>
  <c r="Y124" i="3"/>
  <c r="Y129" i="3"/>
  <c r="Y102" i="3"/>
  <c r="Y184" i="3"/>
  <c r="Y157" i="3"/>
  <c r="Y156" i="3"/>
  <c r="Y180" i="3"/>
  <c r="Y188" i="3"/>
  <c r="Y204" i="3"/>
  <c r="Y103" i="3"/>
  <c r="Y193" i="3"/>
  <c r="Y201" i="3"/>
  <c r="R17" i="1"/>
  <c r="Y45" i="3"/>
  <c r="Y118" i="3"/>
  <c r="Y126" i="3"/>
  <c r="Y130" i="3"/>
  <c r="Y210" i="3"/>
  <c r="Y240" i="3"/>
  <c r="Y248" i="3"/>
  <c r="Y264" i="3"/>
  <c r="Y288" i="3"/>
  <c r="Y352" i="3"/>
  <c r="Y360" i="3"/>
  <c r="Y368" i="3"/>
  <c r="Y91" i="3"/>
  <c r="Y167" i="3"/>
  <c r="Y183" i="3"/>
  <c r="Y213" i="3"/>
  <c r="Y221" i="3"/>
  <c r="Y237" i="3"/>
  <c r="Y277" i="3"/>
  <c r="Y285" i="3"/>
  <c r="Y301" i="3"/>
  <c r="Y317" i="3"/>
  <c r="Y341" i="3"/>
  <c r="Y75" i="3"/>
  <c r="Y127" i="3"/>
  <c r="Y154" i="3"/>
  <c r="Y220" i="3"/>
  <c r="Y244" i="3"/>
  <c r="Y276" i="3"/>
  <c r="Y300" i="3"/>
  <c r="Y308" i="3"/>
  <c r="Y21" i="3"/>
  <c r="Y207" i="3"/>
  <c r="Y217" i="3"/>
  <c r="Y225" i="3"/>
  <c r="Y241" i="3"/>
  <c r="Y257" i="3"/>
  <c r="Y313" i="3"/>
  <c r="Y321" i="3"/>
  <c r="Y337" i="3"/>
  <c r="Y361" i="3"/>
  <c r="Y270" i="3"/>
  <c r="Y123" i="3"/>
  <c r="Y143" i="3"/>
  <c r="Y227" i="3"/>
  <c r="Y259" i="3"/>
  <c r="Y226" i="3"/>
  <c r="Y306" i="3"/>
  <c r="Y408" i="3"/>
  <c r="Y456" i="3"/>
  <c r="Y147" i="3"/>
  <c r="Y231" i="3"/>
  <c r="Y263" i="3"/>
  <c r="Y279" i="3"/>
  <c r="Y389" i="3"/>
  <c r="Y405" i="3"/>
  <c r="Y437" i="3"/>
  <c r="Y453" i="3"/>
  <c r="Y107" i="3"/>
  <c r="Y158" i="3"/>
  <c r="Y214" i="3"/>
  <c r="Y266" i="3"/>
  <c r="Y282" i="3"/>
  <c r="Y380" i="3"/>
  <c r="Y171" i="3"/>
  <c r="Y255" i="3"/>
  <c r="Y271" i="3"/>
  <c r="Y351" i="3"/>
  <c r="Y377" i="3"/>
  <c r="Y393" i="3"/>
  <c r="Y449" i="3"/>
  <c r="Y286" i="3"/>
  <c r="Y422" i="3"/>
  <c r="Y291" i="3"/>
  <c r="Y355" i="3"/>
  <c r="Y379" i="3"/>
  <c r="Y394" i="3"/>
  <c r="Y426" i="3"/>
  <c r="Y442" i="3"/>
  <c r="Y458" i="3"/>
  <c r="Y459" i="3"/>
  <c r="Y462" i="3"/>
  <c r="Y481" i="3"/>
  <c r="Y497" i="3"/>
  <c r="Y513" i="3"/>
  <c r="Y537" i="3"/>
  <c r="Y569" i="3"/>
  <c r="Y625" i="3"/>
  <c r="Y431" i="3"/>
  <c r="Y463" i="3"/>
  <c r="Y466" i="3"/>
  <c r="Y467" i="3"/>
  <c r="Y478" i="3"/>
  <c r="Y502" i="3"/>
  <c r="Y526" i="3"/>
  <c r="Y302" i="3"/>
  <c r="Y382" i="3"/>
  <c r="Y468" i="3"/>
  <c r="Y339" i="3"/>
  <c r="Y387" i="3"/>
  <c r="Y488" i="3"/>
  <c r="Y342" i="3"/>
  <c r="Y386" i="3"/>
  <c r="Y434" i="3"/>
  <c r="Y477" i="3"/>
  <c r="Y517" i="3"/>
  <c r="Y525" i="3"/>
  <c r="Y613" i="3"/>
  <c r="Y637" i="3"/>
  <c r="Y375" i="3"/>
  <c r="Y391" i="3"/>
  <c r="Y498" i="3"/>
  <c r="Y514" i="3"/>
  <c r="Y530" i="3"/>
  <c r="Y538" i="3"/>
  <c r="Y634" i="3"/>
  <c r="Y524" i="3"/>
  <c r="Y652" i="3"/>
  <c r="Y523" i="3"/>
  <c r="Y528" i="3"/>
  <c r="Y667" i="3"/>
  <c r="Y701" i="3"/>
  <c r="Y757" i="3"/>
  <c r="Y516" i="3"/>
  <c r="Y660" i="3"/>
  <c r="Y682" i="3"/>
  <c r="Y504" i="3"/>
  <c r="Y552" i="3"/>
  <c r="Y568" i="3"/>
  <c r="Y777" i="3"/>
  <c r="Y643" i="3"/>
  <c r="Y770" i="3"/>
  <c r="Y850" i="3"/>
  <c r="Y611" i="3"/>
  <c r="Y774" i="3"/>
  <c r="Y871" i="3"/>
  <c r="Y26" i="3"/>
  <c r="Y39" i="3"/>
  <c r="Y66" i="3"/>
  <c r="Y76" i="3"/>
  <c r="Y161" i="3"/>
  <c r="Y148" i="3"/>
  <c r="Y236" i="3"/>
  <c r="Y336" i="3"/>
  <c r="Y429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<sst xmlns="http://schemas.openxmlformats.org/spreadsheetml/2006/main" count="482" uniqueCount="281">
  <si>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</si>
  <si>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</si>
  <si>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</si>
  <si>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</si>
  <si>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</si>
  <si>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</si>
  <si>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</si>
  <si>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</si>
  <si>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</si>
  <si>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</si>
  <si>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</si>
  <si>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</si>
  <si>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</si>
  <si>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</si>
  <si>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</si>
  <si>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</si>
  <si>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</si>
  <si>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</si>
  <si>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</si>
  <si>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</si>
  <si>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</si>
  <si>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</si>
  <si>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</si>
  <si>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</si>
  <si>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</si>
  <si>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</si>
  <si>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</si>
  <si>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</si>
  <si>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</si>
  <si>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</si>
  <si>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</si>
  <si>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</si>
  <si>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</si>
  <si>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</si>
  <si>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</si>
  <si>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</si>
  <si>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</si>
  <si>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</si>
  <si>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</si>
  <si>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</si>
  <si>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</si>
  <si>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</si>
  <si>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</si>
  <si>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</si>
  <si>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</si>
  <si>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</si>
  <si>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</si>
  <si>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</si>
  <si>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</si>
  <si>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</si>
  <si>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</si>
  <si>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</si>
  <si>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</si>
  <si>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</si>
  <si>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</si>
  <si>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</si>
  <si>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</si>
  <si>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</si>
  <si>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</si>
  <si>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</si>
  <si>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</si>
  <si>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</si>
  <si>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</si>
  <si>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</si>
  <si>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</si>
  <si>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</si>
  <si>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</si>
  <si>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</si>
  <si>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</si>
  <si>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</si>
  <si>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</si>
  <si>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</si>
  <si>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</si>
  <si>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</si>
  <si>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</si>
  <si>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</si>
  <si>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</si>
  <si>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</si>
  <si>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</si>
  <si>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</si>
  <si>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</si>
  <si>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</si>
  <si>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</si>
  <si>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</si>
  <si>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</si>
  <si>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</si>
  <si>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</si>
  <si>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</si>
  <si>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</si>
  <si>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</si>
  <si>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</si>
  <si>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</si>
  <si>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</si>
  <si>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</si>
  <si>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</si>
  <si>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</si>
  <si>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</si>
  <si>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</si>
  <si>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</si>
  <si>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</si>
  <si>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</si>
  <si>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</si>
  <si>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</si>
  <si>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</si>
  <si>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</si>
  <si>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</si>
  <si>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</si>
  <si>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</si>
  <si>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</si>
  <si>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</si>
  <si>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</si>
  <si>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</si>
  <si>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</si>
  <si>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</si>
  <si>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</si>
  <si>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</si>
  <si>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</si>
  <si>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</si>
  <si>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</si>
  <si>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</si>
  <si>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</si>
  <si>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</si>
  <si>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</si>
  <si>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</si>
  <si>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</si>
  <si>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</si>
  <si>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</si>
  <si>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</si>
  <si>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</si>
  <si>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</si>
  <si>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</si>
  <si>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</si>
  <si>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</si>
  <si>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</si>
  <si>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</si>
  <si>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</si>
  <si>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</si>
  <si>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</si>
  <si>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</si>
  <si>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</si>
  <si>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</si>
  <si>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</si>
  <si>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</si>
  <si>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</si>
  <si>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</si>
  <si>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</si>
  <si>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</si>
  <si>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</si>
  <si>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</si>
  <si>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</si>
  <si>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</si>
  <si>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</si>
  <si>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</si>
  <si>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</si>
  <si>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</si>
  <si>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</si>
  <si>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</si>
  <si>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</si>
  <si>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</si>
  <si>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</si>
  <si>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</si>
  <si>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</si>
  <si>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</si>
  <si>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</si>
  <si>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</si>
  <si>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</si>
  <si>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</si>
  <si>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</si>
  <si>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</si>
  <si>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</si>
  <si>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</si>
  <si>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</si>
  <si>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</si>
  <si>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</si>
  <si>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</si>
  <si>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</si>
  <si>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</si>
  <si>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</si>
  <si>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</si>
  <si>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</si>
  <si>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</si>
  <si>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</si>
  <si>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</si>
  <si>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</si>
  <si>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</si>
  <si>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</si>
  <si>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</si>
  <si>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</si>
  <si>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</si>
  <si>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</si>
  <si>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</si>
  <si>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</si>
  <si>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</si>
  <si>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</si>
  <si>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</si>
  <si>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</si>
  <si>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</si>
  <si>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</si>
  <si>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</si>
  <si>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</si>
  <si>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</si>
  <si>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</si>
  <si>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</si>
  <si>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</si>
  <si>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</si>
  <si>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</si>
  <si>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</si>
  <si>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</si>
  <si>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</si>
  <si>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</si>
  <si>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</si>
  <si>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</si>
  <si>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</si>
  <si>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</si>
  <si>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</si>
  <si>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</si>
  <si>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</si>
  <si>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</si>
  <si>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</si>
  <si>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</si>
  <si>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</si>
  <si>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</si>
  <si>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</si>
  <si>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</si>
  <si>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</si>
  <si>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</si>
  <si>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</si>
  <si>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</si>
  <si>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</si>
  <si>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</si>
  <si>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</si>
  <si>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</si>
  <si>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</si>
  <si>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</si>
  <si>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</si>
  <si>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</si>
  <si>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</si>
  <si>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</si>
  <si>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</si>
  <si>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</si>
  <si>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</si>
  <si>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</si>
  <si>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</si>
  <si>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</si>
  <si>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</si>
  <si>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</si>
  <si>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</si>
  <si>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</si>
  <si>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</si>
  <si>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</si>
  <si>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</si>
  <si>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</si>
  <si>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</si>
  <si>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</si>
  <si>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</si>
  <si>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</si>
  <si>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</si>
  <si>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</si>
  <si>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</si>
  <si>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</si>
  <si>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</si>
  <si>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</si>
  <si>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</si>
  <si>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</si>
  <si>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</si>
  <si>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</si>
  <si>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</si>
  <si>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</si>
  <si>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</si>
  <si>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</si>
  <si>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</si>
  <si>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</si>
  <si>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</si>
  <si>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</si>
  <si>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</si>
  <si>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Stover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</si>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</sst>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000"/>
    <numFmt numFmtId="165" formatCode="0.0000"/>
    <numFmt numFmtId="166" formatCode="#,##0.0"/>
    <numFmt numFmtId="167" formatCode="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67" fontId="0" fillId="0" borderId="0" xfId="0" applyNumberFormat="1"/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23.43461297672188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-4.8731486025013897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53.054957626331017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399.79269552253959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141.15224920380376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0.0">
                  <c:v>2.2471402428519216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Stover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1.1368683772161603E-13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2.2471402428519216</c:v>
                </c:pt>
                <c:pt idx="97">
                  <c:v>2.2471402428519216</c:v>
                </c:pt>
                <c:pt idx="98">
                  <c:v>2.2471402428519216</c:v>
                </c:pt>
                <c:pt idx="99">
                  <c:v>2.2471402428519216</c:v>
                </c:pt>
                <c:pt idx="100">
                  <c:v>2.2471402428519216</c:v>
                </c:pt>
                <c:pt idx="101">
                  <c:v>2.2471402428519216</c:v>
                </c:pt>
                <c:pt idx="102">
                  <c:v>2.2471402428519216</c:v>
                </c:pt>
                <c:pt idx="103">
                  <c:v>2.2471402428519216</c:v>
                </c:pt>
                <c:pt idx="104">
                  <c:v>2.2471402428519216</c:v>
                </c:pt>
                <c:pt idx="105">
                  <c:v>2.2471402428519216</c:v>
                </c:pt>
                <c:pt idx="106">
                  <c:v>2.2471402428519216</c:v>
                </c:pt>
                <c:pt idx="107">
                  <c:v>2.2471402428519216</c:v>
                </c:pt>
                <c:pt idx="108">
                  <c:v>2.2471402428519216</c:v>
                </c:pt>
                <c:pt idx="109">
                  <c:v>2.2471402428519216</c:v>
                </c:pt>
                <c:pt idx="110">
                  <c:v>2.2471402428519216</c:v>
                </c:pt>
                <c:pt idx="111">
                  <c:v>2.2471402428519216</c:v>
                </c:pt>
                <c:pt idx="112">
                  <c:v>2.2471402428519216</c:v>
                </c:pt>
                <c:pt idx="113">
                  <c:v>2.2476123267291412</c:v>
                </c:pt>
                <c:pt idx="114">
                  <c:v>2.3957890299044244</c:v>
                </c:pt>
                <c:pt idx="115">
                  <c:v>2.5539276497008112</c:v>
                </c:pt>
                <c:pt idx="116">
                  <c:v>2.727849669117179</c:v>
                </c:pt>
                <c:pt idx="117">
                  <c:v>2.9092397602245481</c:v>
                </c:pt>
                <c:pt idx="118">
                  <c:v>3.1016041964362429</c:v>
                </c:pt>
                <c:pt idx="119">
                  <c:v>3.294812192796932</c:v>
                </c:pt>
                <c:pt idx="120">
                  <c:v>3.4991966927895728</c:v>
                </c:pt>
                <c:pt idx="121">
                  <c:v>3.7215620295184393</c:v>
                </c:pt>
                <c:pt idx="122">
                  <c:v>3.9603719658708121</c:v>
                </c:pt>
                <c:pt idx="123">
                  <c:v>4.2077164795665922</c:v>
                </c:pt>
                <c:pt idx="124">
                  <c:v>4.4730999117669628</c:v>
                </c:pt>
                <c:pt idx="125">
                  <c:v>4.783815335018061</c:v>
                </c:pt>
                <c:pt idx="126">
                  <c:v>5.1211103408826082</c:v>
                </c:pt>
                <c:pt idx="127">
                  <c:v>5.4926370325732714</c:v>
                </c:pt>
                <c:pt idx="128">
                  <c:v>5.8875781623879151</c:v>
                </c:pt>
                <c:pt idx="129">
                  <c:v>6.2914159983346112</c:v>
                </c:pt>
                <c:pt idx="130">
                  <c:v>6.7531071781453296</c:v>
                </c:pt>
                <c:pt idx="131">
                  <c:v>7.2209888782687637</c:v>
                </c:pt>
                <c:pt idx="132">
                  <c:v>7.7324992891981523</c:v>
                </c:pt>
                <c:pt idx="133">
                  <c:v>8.2912925614337176</c:v>
                </c:pt>
                <c:pt idx="134">
                  <c:v>8.9260486504780125</c:v>
                </c:pt>
                <c:pt idx="135">
                  <c:v>9.5833332903559469</c:v>
                </c:pt>
                <c:pt idx="136">
                  <c:v>10.305435432039726</c:v>
                </c:pt>
                <c:pt idx="137">
                  <c:v>11.115273863468618</c:v>
                </c:pt>
                <c:pt idx="138">
                  <c:v>12.009651315293119</c:v>
                </c:pt>
                <c:pt idx="139">
                  <c:v>12.959936913192216</c:v>
                </c:pt>
                <c:pt idx="140">
                  <c:v>13.951030046226691</c:v>
                </c:pt>
                <c:pt idx="141">
                  <c:v>15.000746802854479</c:v>
                </c:pt>
                <c:pt idx="142">
                  <c:v>16.115753167723756</c:v>
                </c:pt>
                <c:pt idx="143">
                  <c:v>17.291814982332713</c:v>
                </c:pt>
                <c:pt idx="144">
                  <c:v>18.576534378984572</c:v>
                </c:pt>
                <c:pt idx="145">
                  <c:v>19.976534237462594</c:v>
                </c:pt>
                <c:pt idx="146">
                  <c:v>21.568610556951974</c:v>
                </c:pt>
                <c:pt idx="147">
                  <c:v>23.209589266992786</c:v>
                </c:pt>
                <c:pt idx="148">
                  <c:v>24.943513264854808</c:v>
                </c:pt>
                <c:pt idx="149">
                  <c:v>26.895109524576476</c:v>
                </c:pt>
                <c:pt idx="150">
                  <c:v>29.074893363946494</c:v>
                </c:pt>
                <c:pt idx="151">
                  <c:v>31.515892190600251</c:v>
                </c:pt>
                <c:pt idx="152">
                  <c:v>34.103359578583394</c:v>
                </c:pt>
                <c:pt idx="153">
                  <c:v>36.790822455578912</c:v>
                </c:pt>
                <c:pt idx="154">
                  <c:v>39.632643190312862</c:v>
                </c:pt>
                <c:pt idx="155">
                  <c:v>42.780924427655968</c:v>
                </c:pt>
                <c:pt idx="156">
                  <c:v>45.976447342263569</c:v>
                </c:pt>
                <c:pt idx="157">
                  <c:v>49.383796481814834</c:v>
                </c:pt>
                <c:pt idx="158">
                  <c:v>53.054138936423904</c:v>
                </c:pt>
                <c:pt idx="159">
                  <c:v>56.82313217482448</c:v>
                </c:pt>
                <c:pt idx="160">
                  <c:v>61.18227799782548</c:v>
                </c:pt>
                <c:pt idx="161">
                  <c:v>65.914498099503859</c:v>
                </c:pt>
                <c:pt idx="162">
                  <c:v>70.487378582742821</c:v>
                </c:pt>
                <c:pt idx="163">
                  <c:v>75.455866124381131</c:v>
                </c:pt>
                <c:pt idx="164">
                  <c:v>80.999027313627167</c:v>
                </c:pt>
                <c:pt idx="165">
                  <c:v>86.759152018552982</c:v>
                </c:pt>
                <c:pt idx="166">
                  <c:v>92.545619952640294</c:v>
                </c:pt>
                <c:pt idx="167">
                  <c:v>98.351869660454341</c:v>
                </c:pt>
                <c:pt idx="168">
                  <c:v>104.40410738859819</c:v>
                </c:pt>
                <c:pt idx="169">
                  <c:v>111.118486533834</c:v>
                </c:pt>
                <c:pt idx="170">
                  <c:v>117.64807669104245</c:v>
                </c:pt>
                <c:pt idx="171">
                  <c:v>124.14206437287378</c:v>
                </c:pt>
                <c:pt idx="172">
                  <c:v>130.67828136035445</c:v>
                </c:pt>
                <c:pt idx="173">
                  <c:v>137.7302219049738</c:v>
                </c:pt>
                <c:pt idx="174">
                  <c:v>145.13774128170121</c:v>
                </c:pt>
                <c:pt idx="175">
                  <c:v>152.96231298466765</c:v>
                </c:pt>
                <c:pt idx="176">
                  <c:v>160.33008449998897</c:v>
                </c:pt>
                <c:pt idx="177">
                  <c:v>168.12649442195732</c:v>
                </c:pt>
                <c:pt idx="178">
                  <c:v>176.17860171030617</c:v>
                </c:pt>
                <c:pt idx="179">
                  <c:v>184.86049130310306</c:v>
                </c:pt>
                <c:pt idx="180">
                  <c:v>192.95716782522297</c:v>
                </c:pt>
                <c:pt idx="181">
                  <c:v>200.9532923750233</c:v>
                </c:pt>
                <c:pt idx="182">
                  <c:v>209.15502881222631</c:v>
                </c:pt>
                <c:pt idx="183">
                  <c:v>216.99810780564121</c:v>
                </c:pt>
                <c:pt idx="184">
                  <c:v>224.22792207863577</c:v>
                </c:pt>
                <c:pt idx="185">
                  <c:v>231.27525655907834</c:v>
                </c:pt>
                <c:pt idx="186">
                  <c:v>237.99068274849469</c:v>
                </c:pt>
                <c:pt idx="187">
                  <c:v>244.59241347231381</c:v>
                </c:pt>
                <c:pt idx="188">
                  <c:v>251.14170408870402</c:v>
                </c:pt>
                <c:pt idx="189">
                  <c:v>257.12320949367734</c:v>
                </c:pt>
                <c:pt idx="190">
                  <c:v>262.99166917509746</c:v>
                </c:pt>
                <c:pt idx="191">
                  <c:v>268.68430802274804</c:v>
                </c:pt>
                <c:pt idx="192">
                  <c:v>273.84410980446449</c:v>
                </c:pt>
                <c:pt idx="193">
                  <c:v>278.86632208958457</c:v>
                </c:pt>
                <c:pt idx="194">
                  <c:v>283.60535946481855</c:v>
                </c:pt>
                <c:pt idx="195">
                  <c:v>288.00418785956441</c:v>
                </c:pt>
                <c:pt idx="196">
                  <c:v>291.99662168120773</c:v>
                </c:pt>
                <c:pt idx="197">
                  <c:v>295.68300073626085</c:v>
                </c:pt>
                <c:pt idx="198">
                  <c:v>299.21846011958354</c:v>
                </c:pt>
                <c:pt idx="199">
                  <c:v>302.58153422841093</c:v>
                </c:pt>
                <c:pt idx="200">
                  <c:v>305.55591712032373</c:v>
                </c:pt>
                <c:pt idx="201">
                  <c:v>308.18897773736592</c:v>
                </c:pt>
                <c:pt idx="202">
                  <c:v>310.60395347532864</c:v>
                </c:pt>
                <c:pt idx="203">
                  <c:v>312.9177748356239</c:v>
                </c:pt>
                <c:pt idx="204">
                  <c:v>315.04729463241534</c:v>
                </c:pt>
                <c:pt idx="205">
                  <c:v>317.03315859952932</c:v>
                </c:pt>
                <c:pt idx="206">
                  <c:v>318.87779793658387</c:v>
                </c:pt>
                <c:pt idx="207">
                  <c:v>320.52634049378918</c:v>
                </c:pt>
                <c:pt idx="208">
                  <c:v>322.10684485477185</c:v>
                </c:pt>
                <c:pt idx="209">
                  <c:v>323.53576944046512</c:v>
                </c:pt>
                <c:pt idx="210">
                  <c:v>324.7798079259494</c:v>
                </c:pt>
                <c:pt idx="211">
                  <c:v>325.8929286435872</c:v>
                </c:pt>
                <c:pt idx="212">
                  <c:v>326.9062300380113</c:v>
                </c:pt>
                <c:pt idx="213">
                  <c:v>327.84082825441396</c:v>
                </c:pt>
                <c:pt idx="214">
                  <c:v>328.69710311882136</c:v>
                </c:pt>
                <c:pt idx="215">
                  <c:v>329.4891813612814</c:v>
                </c:pt>
                <c:pt idx="216">
                  <c:v>330.21057553707749</c:v>
                </c:pt>
                <c:pt idx="217">
                  <c:v>330.85266837893568</c:v>
                </c:pt>
                <c:pt idx="218">
                  <c:v>331.41319680437726</c:v>
                </c:pt>
                <c:pt idx="219">
                  <c:v>331.91154910562392</c:v>
                </c:pt>
                <c:pt idx="220">
                  <c:v>332.33470221346693</c:v>
                </c:pt>
                <c:pt idx="221">
                  <c:v>332.71006855522592</c:v>
                </c:pt>
                <c:pt idx="222">
                  <c:v>333.05757636502534</c:v>
                </c:pt>
                <c:pt idx="223">
                  <c:v>333.36341797304124</c:v>
                </c:pt>
                <c:pt idx="224">
                  <c:v>333.64674945675426</c:v>
                </c:pt>
                <c:pt idx="225">
                  <c:v>333.9056183744807</c:v>
                </c:pt>
                <c:pt idx="226">
                  <c:v>334.12889091605092</c:v>
                </c:pt>
                <c:pt idx="227">
                  <c:v>334.32408194205493</c:v>
                </c:pt>
                <c:pt idx="228">
                  <c:v>334.49377324094007</c:v>
                </c:pt>
                <c:pt idx="229">
                  <c:v>334.6445382462486</c:v>
                </c:pt>
                <c:pt idx="230">
                  <c:v>334.77770645750223</c:v>
                </c:pt>
                <c:pt idx="231">
                  <c:v>334.89219018485022</c:v>
                </c:pt>
                <c:pt idx="232">
                  <c:v>334.99469660531958</c:v>
                </c:pt>
                <c:pt idx="233">
                  <c:v>335.08697999873755</c:v>
                </c:pt>
                <c:pt idx="234">
                  <c:v>335.16804232680596</c:v>
                </c:pt>
                <c:pt idx="235">
                  <c:v>335.24010948337178</c:v>
                </c:pt>
                <c:pt idx="236">
                  <c:v>335.30149414316747</c:v>
                </c:pt>
                <c:pt idx="237">
                  <c:v>335.35611730309301</c:v>
                </c:pt>
                <c:pt idx="238">
                  <c:v>335.40504736302086</c:v>
                </c:pt>
                <c:pt idx="239">
                  <c:v>335.44700626621113</c:v>
                </c:pt>
                <c:pt idx="240">
                  <c:v>335.48409806333137</c:v>
                </c:pt>
                <c:pt idx="241">
                  <c:v>335.51867033540771</c:v>
                </c:pt>
                <c:pt idx="242">
                  <c:v>335.54949771947565</c:v>
                </c:pt>
                <c:pt idx="243">
                  <c:v>335.5758314905076</c:v>
                </c:pt>
                <c:pt idx="244">
                  <c:v>335.59817863666933</c:v>
                </c:pt>
                <c:pt idx="245">
                  <c:v>335.6174552279179</c:v>
                </c:pt>
                <c:pt idx="246">
                  <c:v>335.63478260869556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124.3258140868171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140.2656256824381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135.20125575328439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49.918364171497124</c:v>
                </c:pt>
                <c:pt idx="2">
                  <c:v>49.571761603470591</c:v>
                </c:pt>
                <c:pt idx="3">
                  <c:v>49.369718597817474</c:v>
                </c:pt>
                <c:pt idx="4">
                  <c:v>48.842899452408837</c:v>
                </c:pt>
                <c:pt idx="5">
                  <c:v>48.187680773010293</c:v>
                </c:pt>
                <c:pt idx="6">
                  <c:v>48.177490618551687</c:v>
                </c:pt>
                <c:pt idx="7">
                  <c:v>47.604611463508739</c:v>
                </c:pt>
                <c:pt idx="8">
                  <c:v>47.388841876801173</c:v>
                </c:pt>
                <c:pt idx="9">
                  <c:v>46.852698038839826</c:v>
                </c:pt>
                <c:pt idx="10">
                  <c:v>46.66318029289814</c:v>
                </c:pt>
                <c:pt idx="11">
                  <c:v>45.986818831642033</c:v>
                </c:pt>
                <c:pt idx="12">
                  <c:v>45.454014579797985</c:v>
                </c:pt>
                <c:pt idx="13">
                  <c:v>45.082380675216235</c:v>
                </c:pt>
                <c:pt idx="14">
                  <c:v>44.332745171758461</c:v>
                </c:pt>
                <c:pt idx="15">
                  <c:v>43.601479363133926</c:v>
                </c:pt>
                <c:pt idx="16">
                  <c:v>42.940580483821329</c:v>
                </c:pt>
                <c:pt idx="17">
                  <c:v>42.342625004692891</c:v>
                </c:pt>
                <c:pt idx="18">
                  <c:v>42.440782292894845</c:v>
                </c:pt>
                <c:pt idx="19">
                  <c:v>41.429771279807476</c:v>
                </c:pt>
                <c:pt idx="20">
                  <c:v>40.374765163733429</c:v>
                </c:pt>
                <c:pt idx="21">
                  <c:v>39.449477245941608</c:v>
                </c:pt>
                <c:pt idx="22">
                  <c:v>37.670305458035727</c:v>
                </c:pt>
                <c:pt idx="23">
                  <c:v>36.680272234578482</c:v>
                </c:pt>
                <c:pt idx="24">
                  <c:v>35.553410081478667</c:v>
                </c:pt>
                <c:pt idx="25">
                  <c:v>34.216704049290001</c:v>
                </c:pt>
                <c:pt idx="26">
                  <c:v>33.602467882290689</c:v>
                </c:pt>
                <c:pt idx="27">
                  <c:v>33.124239384161797</c:v>
                </c:pt>
                <c:pt idx="28">
                  <c:v>32.354232266977824</c:v>
                </c:pt>
                <c:pt idx="29">
                  <c:v>31.479670686919537</c:v>
                </c:pt>
                <c:pt idx="30">
                  <c:v>30.592033503652239</c:v>
                </c:pt>
                <c:pt idx="31">
                  <c:v>30.050087239354891</c:v>
                </c:pt>
                <c:pt idx="32">
                  <c:v>29.310193479180583</c:v>
                </c:pt>
                <c:pt idx="33">
                  <c:v>29.149453781850184</c:v>
                </c:pt>
                <c:pt idx="34">
                  <c:v>28.604815625642068</c:v>
                </c:pt>
                <c:pt idx="35">
                  <c:v>28.296422361617406</c:v>
                </c:pt>
                <c:pt idx="36">
                  <c:v>27.968582741691439</c:v>
                </c:pt>
                <c:pt idx="37">
                  <c:v>27.741249105951702</c:v>
                </c:pt>
                <c:pt idx="38">
                  <c:v>27.593125859984216</c:v>
                </c:pt>
                <c:pt idx="39">
                  <c:v>26.951355580017786</c:v>
                </c:pt>
                <c:pt idx="40">
                  <c:v>25.916994771304719</c:v>
                </c:pt>
                <c:pt idx="41">
                  <c:v>25.383330834160372</c:v>
                </c:pt>
                <c:pt idx="42">
                  <c:v>24.998339213918449</c:v>
                </c:pt>
                <c:pt idx="43">
                  <c:v>24.756959069079638</c:v>
                </c:pt>
                <c:pt idx="44">
                  <c:v>24.544634064282125</c:v>
                </c:pt>
                <c:pt idx="45">
                  <c:v>23.758732409365457</c:v>
                </c:pt>
                <c:pt idx="46">
                  <c:v>23.387414097721354</c:v>
                </c:pt>
                <c:pt idx="47">
                  <c:v>22.938413196231604</c:v>
                </c:pt>
                <c:pt idx="48">
                  <c:v>22.471714459573473</c:v>
                </c:pt>
                <c:pt idx="49">
                  <c:v>22.129584379600242</c:v>
                </c:pt>
                <c:pt idx="50">
                  <c:v>21.51811380834252</c:v>
                </c:pt>
                <c:pt idx="51">
                  <c:v>21.543627181312765</c:v>
                </c:pt>
                <c:pt idx="52">
                  <c:v>21.569606118483023</c:v>
                </c:pt>
                <c:pt idx="53">
                  <c:v>21.123966484001365</c:v>
                </c:pt>
                <c:pt idx="54">
                  <c:v>20.445637531796429</c:v>
                </c:pt>
                <c:pt idx="55">
                  <c:v>19.480321091423175</c:v>
                </c:pt>
                <c:pt idx="56">
                  <c:v>19.280114478554502</c:v>
                </c:pt>
                <c:pt idx="57">
                  <c:v>19.25400853620015</c:v>
                </c:pt>
                <c:pt idx="58">
                  <c:v>18.784267865320583</c:v>
                </c:pt>
                <c:pt idx="59">
                  <c:v>18.38634433439103</c:v>
                </c:pt>
                <c:pt idx="60">
                  <c:v>17.705467694730601</c:v>
                </c:pt>
                <c:pt idx="61">
                  <c:v>17.587314565750457</c:v>
                </c:pt>
                <c:pt idx="62">
                  <c:v>17.349064419537751</c:v>
                </c:pt>
                <c:pt idx="63">
                  <c:v>17.244562439413105</c:v>
                </c:pt>
                <c:pt idx="64">
                  <c:v>16.891288820113903</c:v>
                </c:pt>
                <c:pt idx="65">
                  <c:v>16.87555642999455</c:v>
                </c:pt>
                <c:pt idx="66">
                  <c:v>16.650229864065476</c:v>
                </c:pt>
                <c:pt idx="67">
                  <c:v>16.644792659911786</c:v>
                </c:pt>
                <c:pt idx="68">
                  <c:v>16.506922067950658</c:v>
                </c:pt>
                <c:pt idx="69">
                  <c:v>16.286460314906439</c:v>
                </c:pt>
                <c:pt idx="70">
                  <c:v>16.351256818324448</c:v>
                </c:pt>
                <c:pt idx="71">
                  <c:v>16.173489736320722</c:v>
                </c:pt>
                <c:pt idx="72">
                  <c:v>15.630549137764174</c:v>
                </c:pt>
                <c:pt idx="73">
                  <c:v>15.657783152214391</c:v>
                </c:pt>
                <c:pt idx="74">
                  <c:v>15.428997733459559</c:v>
                </c:pt>
                <c:pt idx="75">
                  <c:v>15.013510765512914</c:v>
                </c:pt>
                <c:pt idx="76">
                  <c:v>14.756185041862762</c:v>
                </c:pt>
                <c:pt idx="77">
                  <c:v>14.228315968438977</c:v>
                </c:pt>
                <c:pt idx="78">
                  <c:v>13.710651802742646</c:v>
                </c:pt>
                <c:pt idx="79">
                  <c:v>13.579478480777645</c:v>
                </c:pt>
                <c:pt idx="80">
                  <c:v>13.619481605271295</c:v>
                </c:pt>
                <c:pt idx="81">
                  <c:v>13.444265288563923</c:v>
                </c:pt>
                <c:pt idx="82">
                  <c:v>13.207160737094027</c:v>
                </c:pt>
                <c:pt idx="83">
                  <c:v>12.726764873846278</c:v>
                </c:pt>
                <c:pt idx="84">
                  <c:v>12.637438146250716</c:v>
                </c:pt>
                <c:pt idx="85">
                  <c:v>12.477339493480693</c:v>
                </c:pt>
                <c:pt idx="86">
                  <c:v>12.451514911162718</c:v>
                </c:pt>
                <c:pt idx="87">
                  <c:v>12.271627973580268</c:v>
                </c:pt>
                <c:pt idx="88">
                  <c:v>12.271521557472258</c:v>
                </c:pt>
                <c:pt idx="89">
                  <c:v>12.067436431034992</c:v>
                </c:pt>
                <c:pt idx="90">
                  <c:v>12.135936827621871</c:v>
                </c:pt>
                <c:pt idx="91">
                  <c:v>12.056485913656758</c:v>
                </c:pt>
                <c:pt idx="92">
                  <c:v>12.028431738425443</c:v>
                </c:pt>
                <c:pt idx="93">
                  <c:v>11.831194249207769</c:v>
                </c:pt>
                <c:pt idx="94">
                  <c:v>11.871109758061616</c:v>
                </c:pt>
                <c:pt idx="95">
                  <c:v>11.74215637868882</c:v>
                </c:pt>
                <c:pt idx="96">
                  <c:v>11.617823624282911</c:v>
                </c:pt>
                <c:pt idx="97">
                  <c:v>133.31076840347021</c:v>
                </c:pt>
                <c:pt idx="98">
                  <c:v>131.65861557189609</c:v>
                </c:pt>
                <c:pt idx="99">
                  <c:v>131.21767663257106</c:v>
                </c:pt>
                <c:pt idx="100">
                  <c:v>128.43416584243377</c:v>
                </c:pt>
                <c:pt idx="101">
                  <c:v>125.89504425826456</c:v>
                </c:pt>
                <c:pt idx="102">
                  <c:v>122.27817845099192</c:v>
                </c:pt>
                <c:pt idx="103">
                  <c:v>120.42997610177773</c:v>
                </c:pt>
                <c:pt idx="104">
                  <c:v>118.13898306053134</c:v>
                </c:pt>
                <c:pt idx="105">
                  <c:v>115.33866866044698</c:v>
                </c:pt>
                <c:pt idx="106">
                  <c:v>112.55597484943893</c:v>
                </c:pt>
                <c:pt idx="107">
                  <c:v>110.46756506561431</c:v>
                </c:pt>
                <c:pt idx="108">
                  <c:v>107.80890047457683</c:v>
                </c:pt>
                <c:pt idx="109">
                  <c:v>106.27618748954809</c:v>
                </c:pt>
                <c:pt idx="110">
                  <c:v>105.0227459992593</c:v>
                </c:pt>
                <c:pt idx="111">
                  <c:v>102.76438830056736</c:v>
                </c:pt>
                <c:pt idx="112">
                  <c:v>101.21357518724948</c:v>
                </c:pt>
                <c:pt idx="113">
                  <c:v>99.807757839907069</c:v>
                </c:pt>
                <c:pt idx="114">
                  <c:v>98.900206006461858</c:v>
                </c:pt>
                <c:pt idx="115">
                  <c:v>97.968813234571513</c:v>
                </c:pt>
                <c:pt idx="116">
                  <c:v>94.063689040943189</c:v>
                </c:pt>
                <c:pt idx="117">
                  <c:v>92.240307067132846</c:v>
                </c:pt>
                <c:pt idx="118">
                  <c:v>91.614684358393419</c:v>
                </c:pt>
                <c:pt idx="119">
                  <c:v>91.417213992042036</c:v>
                </c:pt>
                <c:pt idx="120">
                  <c:v>91.251922263666003</c:v>
                </c:pt>
                <c:pt idx="121">
                  <c:v>90.40729628027664</c:v>
                </c:pt>
                <c:pt idx="122">
                  <c:v>88.458827748262166</c:v>
                </c:pt>
                <c:pt idx="123">
                  <c:v>87.764609855274415</c:v>
                </c:pt>
                <c:pt idx="124">
                  <c:v>87.188949411464762</c:v>
                </c:pt>
                <c:pt idx="125">
                  <c:v>87.021347557441075</c:v>
                </c:pt>
                <c:pt idx="126">
                  <c:v>85.757594310668281</c:v>
                </c:pt>
                <c:pt idx="127">
                  <c:v>83.200111179367553</c:v>
                </c:pt>
                <c:pt idx="128">
                  <c:v>81.919903875342129</c:v>
                </c:pt>
                <c:pt idx="129">
                  <c:v>81.385965654470255</c:v>
                </c:pt>
                <c:pt idx="130">
                  <c:v>79.879939669833163</c:v>
                </c:pt>
                <c:pt idx="131">
                  <c:v>78.733871776861974</c:v>
                </c:pt>
                <c:pt idx="132">
                  <c:v>78.444749046930909</c:v>
                </c:pt>
                <c:pt idx="133">
                  <c:v>78.02452866423944</c:v>
                </c:pt>
                <c:pt idx="134">
                  <c:v>76.706289108990518</c:v>
                </c:pt>
                <c:pt idx="135">
                  <c:v>74.588415632540219</c:v>
                </c:pt>
                <c:pt idx="136">
                  <c:v>73.446789697214513</c:v>
                </c:pt>
                <c:pt idx="137">
                  <c:v>72.336832007158378</c:v>
                </c:pt>
                <c:pt idx="138">
                  <c:v>70.948847407050224</c:v>
                </c:pt>
                <c:pt idx="139">
                  <c:v>70.061059895952965</c:v>
                </c:pt>
                <c:pt idx="140">
                  <c:v>69.244916684476365</c:v>
                </c:pt>
                <c:pt idx="141">
                  <c:v>67.73673063176993</c:v>
                </c:pt>
                <c:pt idx="142">
                  <c:v>66.848400911306314</c:v>
                </c:pt>
                <c:pt idx="143">
                  <c:v>65.81878481667691</c:v>
                </c:pt>
                <c:pt idx="144">
                  <c:v>63.881912265084047</c:v>
                </c:pt>
                <c:pt idx="145">
                  <c:v>62.254176782827919</c:v>
                </c:pt>
                <c:pt idx="146">
                  <c:v>59.938952937039865</c:v>
                </c:pt>
                <c:pt idx="147">
                  <c:v>58.167926629390479</c:v>
                </c:pt>
                <c:pt idx="148">
                  <c:v>55.86979471475275</c:v>
                </c:pt>
                <c:pt idx="149">
                  <c:v>54.081253100018614</c:v>
                </c:pt>
                <c:pt idx="150">
                  <c:v>51.416009394968647</c:v>
                </c:pt>
                <c:pt idx="151">
                  <c:v>48.831702649022247</c:v>
                </c:pt>
                <c:pt idx="152">
                  <c:v>45.48144702937654</c:v>
                </c:pt>
                <c:pt idx="153">
                  <c:v>41.567013227511907</c:v>
                </c:pt>
                <c:pt idx="154">
                  <c:v>38.417336928296351</c:v>
                </c:pt>
                <c:pt idx="155">
                  <c:v>34.902577129570844</c:v>
                </c:pt>
                <c:pt idx="156">
                  <c:v>31.953614255058319</c:v>
                </c:pt>
                <c:pt idx="157">
                  <c:v>168.02234943526759</c:v>
                </c:pt>
                <c:pt idx="158">
                  <c:v>164.60164091469005</c:v>
                </c:pt>
                <c:pt idx="159">
                  <c:v>161.0769648335781</c:v>
                </c:pt>
                <c:pt idx="160">
                  <c:v>155.78142545158465</c:v>
                </c:pt>
                <c:pt idx="161">
                  <c:v>149.51474702712588</c:v>
                </c:pt>
                <c:pt idx="162">
                  <c:v>143.26214426366914</c:v>
                </c:pt>
                <c:pt idx="163">
                  <c:v>138.54783218218381</c:v>
                </c:pt>
                <c:pt idx="164">
                  <c:v>131.24405214591698</c:v>
                </c:pt>
                <c:pt idx="165">
                  <c:v>123.81648457176759</c:v>
                </c:pt>
                <c:pt idx="166">
                  <c:v>115.75679514374575</c:v>
                </c:pt>
                <c:pt idx="167">
                  <c:v>107.85207918121922</c:v>
                </c:pt>
                <c:pt idx="168">
                  <c:v>101.961603312094</c:v>
                </c:pt>
                <c:pt idx="169">
                  <c:v>95.367363001795923</c:v>
                </c:pt>
                <c:pt idx="170">
                  <c:v>88.620251395587772</c:v>
                </c:pt>
                <c:pt idx="171">
                  <c:v>82.373225047656774</c:v>
                </c:pt>
                <c:pt idx="172">
                  <c:v>76.076467323694914</c:v>
                </c:pt>
                <c:pt idx="173">
                  <c:v>69.273605867696205</c:v>
                </c:pt>
                <c:pt idx="174">
                  <c:v>62.123988743830026</c:v>
                </c:pt>
                <c:pt idx="175">
                  <c:v>54.568024224230214</c:v>
                </c:pt>
                <c:pt idx="176">
                  <c:v>47.4554569818361</c:v>
                </c:pt>
                <c:pt idx="177">
                  <c:v>39.918746830645681</c:v>
                </c:pt>
                <c:pt idx="178">
                  <c:v>32.116502569518751</c:v>
                </c:pt>
                <c:pt idx="179">
                  <c:v>158.90283733097363</c:v>
                </c:pt>
                <c:pt idx="180">
                  <c:v>151.06858946928594</c:v>
                </c:pt>
                <c:pt idx="181">
                  <c:v>143.33066398674427</c:v>
                </c:pt>
                <c:pt idx="182">
                  <c:v>135.38774247815579</c:v>
                </c:pt>
                <c:pt idx="183">
                  <c:v>127.78628680718464</c:v>
                </c:pt>
                <c:pt idx="184">
                  <c:v>120.77874770085691</c:v>
                </c:pt>
                <c:pt idx="185">
                  <c:v>113.93890724178712</c:v>
                </c:pt>
                <c:pt idx="186">
                  <c:v>107.42450683603003</c:v>
                </c:pt>
                <c:pt idx="187">
                  <c:v>101.02638065370913</c:v>
                </c:pt>
                <c:pt idx="188">
                  <c:v>94.702343648576147</c:v>
                </c:pt>
                <c:pt idx="189">
                  <c:v>88.941985514920589</c:v>
                </c:pt>
                <c:pt idx="190">
                  <c:v>83.305546196150488</c:v>
                </c:pt>
                <c:pt idx="191">
                  <c:v>77.849339387570623</c:v>
                </c:pt>
                <c:pt idx="192">
                  <c:v>72.918492447209616</c:v>
                </c:pt>
                <c:pt idx="193">
                  <c:v>68.126012001583533</c:v>
                </c:pt>
                <c:pt idx="194">
                  <c:v>63.606993986453205</c:v>
                </c:pt>
                <c:pt idx="195">
                  <c:v>59.42815874884802</c:v>
                </c:pt>
                <c:pt idx="196">
                  <c:v>55.648017635326291</c:v>
                </c:pt>
                <c:pt idx="197">
                  <c:v>52.170675078257972</c:v>
                </c:pt>
                <c:pt idx="198">
                  <c:v>48.841075710704402</c:v>
                </c:pt>
                <c:pt idx="199">
                  <c:v>45.693846289556241</c:v>
                </c:pt>
                <c:pt idx="200">
                  <c:v>42.92064366463125</c:v>
                </c:pt>
                <c:pt idx="201">
                  <c:v>40.475396730159403</c:v>
                </c:pt>
                <c:pt idx="202">
                  <c:v>38.23819304587461</c:v>
                </c:pt>
                <c:pt idx="203">
                  <c:v>36.103683784746295</c:v>
                </c:pt>
                <c:pt idx="204">
                  <c:v>34.153006216413829</c:v>
                </c:pt>
                <c:pt idx="205">
                  <c:v>32.353665184604438</c:v>
                </c:pt>
                <c:pt idx="206">
                  <c:v>30.697234657121761</c:v>
                </c:pt>
                <c:pt idx="207">
                  <c:v>29.231115763164411</c:v>
                </c:pt>
                <c:pt idx="208">
                  <c:v>27.839380260290561</c:v>
                </c:pt>
                <c:pt idx="209">
                  <c:v>26.594902548828472</c:v>
                </c:pt>
                <c:pt idx="210">
                  <c:v>25.531614844221671</c:v>
                </c:pt>
                <c:pt idx="211">
                  <c:v>24.606250732220939</c:v>
                </c:pt>
                <c:pt idx="212">
                  <c:v>23.780394769838487</c:v>
                </c:pt>
                <c:pt idx="213">
                  <c:v>23.036660555620681</c:v>
                </c:pt>
                <c:pt idx="214">
                  <c:v>22.368892551899098</c:v>
                </c:pt>
                <c:pt idx="215">
                  <c:v>21.785787846365352</c:v>
                </c:pt>
                <c:pt idx="216">
                  <c:v>21.271905957583684</c:v>
                </c:pt>
                <c:pt idx="217">
                  <c:v>20.858784403299818</c:v>
                </c:pt>
                <c:pt idx="218">
                  <c:v>20.537059025703606</c:v>
                </c:pt>
                <c:pt idx="219">
                  <c:v>20.282673256201981</c:v>
                </c:pt>
                <c:pt idx="220">
                  <c:v>20.099568791824758</c:v>
                </c:pt>
                <c:pt idx="221">
                  <c:v>19.958891688151194</c:v>
                </c:pt>
                <c:pt idx="222">
                  <c:v>19.844264891185173</c:v>
                </c:pt>
                <c:pt idx="223">
                  <c:v>19.770479911436411</c:v>
                </c:pt>
                <c:pt idx="224">
                  <c:v>19.717945555717606</c:v>
                </c:pt>
                <c:pt idx="225">
                  <c:v>19.693988206316789</c:v>
                </c:pt>
                <c:pt idx="226">
                  <c:v>19.695926357183215</c:v>
                </c:pt>
                <c:pt idx="227">
                  <c:v>19.73432906747589</c:v>
                </c:pt>
                <c:pt idx="228">
                  <c:v>19.794173603664277</c:v>
                </c:pt>
                <c:pt idx="229">
                  <c:v>19.892363000887343</c:v>
                </c:pt>
                <c:pt idx="230">
                  <c:v>20.021354590908224</c:v>
                </c:pt>
                <c:pt idx="231">
                  <c:v>20.173485532579377</c:v>
                </c:pt>
                <c:pt idx="232">
                  <c:v>20.349056506272287</c:v>
                </c:pt>
                <c:pt idx="233">
                  <c:v>20.525858010808847</c:v>
                </c:pt>
                <c:pt idx="234">
                  <c:v>20.718728366103626</c:v>
                </c:pt>
                <c:pt idx="235">
                  <c:v>20.912558191866122</c:v>
                </c:pt>
                <c:pt idx="236">
                  <c:v>21.103420194588622</c:v>
                </c:pt>
                <c:pt idx="237">
                  <c:v>21.305941219323465</c:v>
                </c:pt>
                <c:pt idx="238">
                  <c:v>21.531080688777699</c:v>
                </c:pt>
                <c:pt idx="239">
                  <c:v>21.741401457544281</c:v>
                </c:pt>
                <c:pt idx="240">
                  <c:v>21.950079648191878</c:v>
                </c:pt>
                <c:pt idx="241">
                  <c:v>22.161626984127352</c:v>
                </c:pt>
                <c:pt idx="242">
                  <c:v>22.384567988568538</c:v>
                </c:pt>
                <c:pt idx="243">
                  <c:v>22.620981928624531</c:v>
                </c:pt>
                <c:pt idx="244">
                  <c:v>22.900233368376618</c:v>
                </c:pt>
                <c:pt idx="245">
                  <c:v>23.17149580303742</c:v>
                </c:pt>
                <c:pt idx="246">
                  <c:v>23.43461297672188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-1.9759352484561054E-3</c:v>
                </c:pt>
                <c:pt idx="2">
                  <c:v>-0.28453497638824082</c:v>
                </c:pt>
                <c:pt idx="3">
                  <c:v>-0.43696398255900254</c:v>
                </c:pt>
                <c:pt idx="4">
                  <c:v>-0.92803863413676435</c:v>
                </c:pt>
                <c:pt idx="5">
                  <c:v>-1.5613050722954094</c:v>
                </c:pt>
                <c:pt idx="6">
                  <c:v>-1.5613050722954094</c:v>
                </c:pt>
                <c:pt idx="7">
                  <c:v>-2.1347282379107932</c:v>
                </c:pt>
                <c:pt idx="8">
                  <c:v>-2.3598252368255994</c:v>
                </c:pt>
                <c:pt idx="9">
                  <c:v>-2.9162010260368225</c:v>
                </c:pt>
                <c:pt idx="10">
                  <c:v>-3.1378511324280893</c:v>
                </c:pt>
                <c:pt idx="11">
                  <c:v>-3.8586945176140794</c:v>
                </c:pt>
                <c:pt idx="12">
                  <c:v>-4.44524069742089</c:v>
                </c:pt>
                <c:pt idx="13">
                  <c:v>-4.8770923356388991</c:v>
                </c:pt>
                <c:pt idx="14">
                  <c:v>-5.694846764286293</c:v>
                </c:pt>
                <c:pt idx="15">
                  <c:v>-6.50256416948835</c:v>
                </c:pt>
                <c:pt idx="16">
                  <c:v>-7.2436470210049659</c:v>
                </c:pt>
                <c:pt idx="17">
                  <c:v>-7.9274804148307556</c:v>
                </c:pt>
                <c:pt idx="18">
                  <c:v>-7.9274804148307556</c:v>
                </c:pt>
                <c:pt idx="19">
                  <c:v>-9.0430431071642339</c:v>
                </c:pt>
                <c:pt idx="20">
                  <c:v>-10.21290192778341</c:v>
                </c:pt>
                <c:pt idx="21">
                  <c:v>-11.252888771679547</c:v>
                </c:pt>
                <c:pt idx="22">
                  <c:v>-13.149588651491646</c:v>
                </c:pt>
                <c:pt idx="23">
                  <c:v>-14.261765072537594</c:v>
                </c:pt>
                <c:pt idx="24">
                  <c:v>-15.519911371795921</c:v>
                </c:pt>
                <c:pt idx="25">
                  <c:v>-16.998928404326481</c:v>
                </c:pt>
                <c:pt idx="26">
                  <c:v>-17.751763695172635</c:v>
                </c:pt>
                <c:pt idx="27">
                  <c:v>-18.362767894146319</c:v>
                </c:pt>
                <c:pt idx="28">
                  <c:v>-19.264372499986102</c:v>
                </c:pt>
                <c:pt idx="29">
                  <c:v>-20.278673722577555</c:v>
                </c:pt>
                <c:pt idx="30">
                  <c:v>-21.305546313850147</c:v>
                </c:pt>
                <c:pt idx="31">
                  <c:v>-21.99068830290744</c:v>
                </c:pt>
                <c:pt idx="32">
                  <c:v>-22.874757013723222</c:v>
                </c:pt>
                <c:pt idx="33">
                  <c:v>-23.174753475561431</c:v>
                </c:pt>
                <c:pt idx="34">
                  <c:v>-23.863176038285218</c:v>
                </c:pt>
                <c:pt idx="35">
                  <c:v>-24.320163259425339</c:v>
                </c:pt>
                <c:pt idx="36">
                  <c:v>-24.798426024308263</c:v>
                </c:pt>
                <c:pt idx="37">
                  <c:v>-25.180561730742745</c:v>
                </c:pt>
                <c:pt idx="38">
                  <c:v>-25.490754453952068</c:v>
                </c:pt>
                <c:pt idx="39">
                  <c:v>-26.303674716634355</c:v>
                </c:pt>
                <c:pt idx="40">
                  <c:v>-27.512162585324649</c:v>
                </c:pt>
                <c:pt idx="41">
                  <c:v>-28.223530431951993</c:v>
                </c:pt>
                <c:pt idx="42">
                  <c:v>-28.785576425278258</c:v>
                </c:pt>
                <c:pt idx="43">
                  <c:v>-29.203040647580615</c:v>
                </c:pt>
                <c:pt idx="44">
                  <c:v>-29.583891552811391</c:v>
                </c:pt>
                <c:pt idx="45">
                  <c:v>-30.541269474190447</c:v>
                </c:pt>
                <c:pt idx="46">
                  <c:v>-31.076354019234561</c:v>
                </c:pt>
                <c:pt idx="47">
                  <c:v>-31.691963683388426</c:v>
                </c:pt>
                <c:pt idx="48">
                  <c:v>-32.33596556694237</c:v>
                </c:pt>
                <c:pt idx="49">
                  <c:v>-32.851031643377567</c:v>
                </c:pt>
                <c:pt idx="50">
                  <c:v>-33.639760173260854</c:v>
                </c:pt>
                <c:pt idx="51">
                  <c:v>-33.794964054079564</c:v>
                </c:pt>
                <c:pt idx="52">
                  <c:v>-33.945232310038328</c:v>
                </c:pt>
                <c:pt idx="53">
                  <c:v>-34.563988494965535</c:v>
                </c:pt>
                <c:pt idx="54">
                  <c:v>-35.41861614379463</c:v>
                </c:pt>
                <c:pt idx="55">
                  <c:v>-36.564464863993052</c:v>
                </c:pt>
                <c:pt idx="56">
                  <c:v>-36.939945093462903</c:v>
                </c:pt>
                <c:pt idx="57">
                  <c:v>-37.144198034017762</c:v>
                </c:pt>
                <c:pt idx="58">
                  <c:v>-37.791081258629738</c:v>
                </c:pt>
                <c:pt idx="59">
                  <c:v>-38.368948739106038</c:v>
                </c:pt>
                <c:pt idx="60">
                  <c:v>-39.232385380352397</c:v>
                </c:pt>
                <c:pt idx="61">
                  <c:v>-39.523382155938208</c:v>
                </c:pt>
                <c:pt idx="62">
                  <c:v>-39.927181630302947</c:v>
                </c:pt>
                <c:pt idx="63">
                  <c:v>-40.200220535593651</c:v>
                </c:pt>
                <c:pt idx="64">
                  <c:v>-40.731099667135815</c:v>
                </c:pt>
                <c:pt idx="65">
                  <c:v>-40.934168862843414</c:v>
                </c:pt>
                <c:pt idx="66">
                  <c:v>-41.346747683683404</c:v>
                </c:pt>
                <c:pt idx="67">
                  <c:v>-41.539133745510881</c:v>
                </c:pt>
                <c:pt idx="68">
                  <c:v>-41.859299254787175</c:v>
                </c:pt>
                <c:pt idx="69">
                  <c:v>-42.265442858890154</c:v>
                </c:pt>
                <c:pt idx="70">
                  <c:v>-42.375473191230128</c:v>
                </c:pt>
                <c:pt idx="71">
                  <c:v>-42.722461935614774</c:v>
                </c:pt>
                <c:pt idx="72">
                  <c:v>-43.440164650190447</c:v>
                </c:pt>
                <c:pt idx="73">
                  <c:v>-43.591392739135586</c:v>
                </c:pt>
                <c:pt idx="74">
                  <c:v>-43.992032380281088</c:v>
                </c:pt>
                <c:pt idx="75">
                  <c:v>-44.595825738234133</c:v>
                </c:pt>
                <c:pt idx="76">
                  <c:v>-45.052591149384128</c:v>
                </c:pt>
                <c:pt idx="77">
                  <c:v>-45.77574530848004</c:v>
                </c:pt>
                <c:pt idx="78">
                  <c:v>-46.482358025763887</c:v>
                </c:pt>
                <c:pt idx="79">
                  <c:v>-46.800570471496776</c:v>
                </c:pt>
                <c:pt idx="80">
                  <c:v>-46.95691077075729</c:v>
                </c:pt>
                <c:pt idx="81">
                  <c:v>-47.31984991577648</c:v>
                </c:pt>
                <c:pt idx="82">
                  <c:v>-47.755851309609795</c:v>
                </c:pt>
                <c:pt idx="83">
                  <c:v>-48.432915200898421</c:v>
                </c:pt>
                <c:pt idx="84">
                  <c:v>-48.72004832677969</c:v>
                </c:pt>
                <c:pt idx="85">
                  <c:v>-49.067750187331349</c:v>
                </c:pt>
                <c:pt idx="86">
                  <c:v>-49.279685347381765</c:v>
                </c:pt>
                <c:pt idx="87">
                  <c:v>-49.65371434165985</c:v>
                </c:pt>
                <c:pt idx="88">
                  <c:v>-49.849956423899762</c:v>
                </c:pt>
                <c:pt idx="89">
                  <c:v>-50.254064701384046</c:v>
                </c:pt>
                <c:pt idx="90">
                  <c:v>-50.385689049560291</c:v>
                </c:pt>
                <c:pt idx="91">
                  <c:v>-50.667258231002151</c:v>
                </c:pt>
                <c:pt idx="92">
                  <c:v>-50.89865518657011</c:v>
                </c:pt>
                <c:pt idx="93">
                  <c:v>-51.306091938527203</c:v>
                </c:pt>
                <c:pt idx="94">
                  <c:v>-51.475255252579579</c:v>
                </c:pt>
                <c:pt idx="95">
                  <c:v>-51.811765884132171</c:v>
                </c:pt>
                <c:pt idx="96">
                  <c:v>-52.138275135572954</c:v>
                </c:pt>
                <c:pt idx="97">
                  <c:v>-54.971990889966477</c:v>
                </c:pt>
                <c:pt idx="98">
                  <c:v>-56.827280214400446</c:v>
                </c:pt>
                <c:pt idx="99">
                  <c:v>-57.471340310538643</c:v>
                </c:pt>
                <c:pt idx="100">
                  <c:v>-60.46064552052129</c:v>
                </c:pt>
                <c:pt idx="101">
                  <c:v>-63.20148554656059</c:v>
                </c:pt>
                <c:pt idx="102">
                  <c:v>-67.025226085205162</c:v>
                </c:pt>
                <c:pt idx="103">
                  <c:v>-69.075044636770841</c:v>
                </c:pt>
                <c:pt idx="104">
                  <c:v>-71.572207391212828</c:v>
                </c:pt>
                <c:pt idx="105">
                  <c:v>-74.57629913203138</c:v>
                </c:pt>
                <c:pt idx="106">
                  <c:v>-77.552466700341967</c:v>
                </c:pt>
                <c:pt idx="107">
                  <c:v>-79.835002763510232</c:v>
                </c:pt>
                <c:pt idx="108">
                  <c:v>-82.685649773558836</c:v>
                </c:pt>
                <c:pt idx="109">
                  <c:v>-84.410423733024629</c:v>
                </c:pt>
                <c:pt idx="110">
                  <c:v>-85.857112059164422</c:v>
                </c:pt>
                <c:pt idx="111">
                  <c:v>-88.314037309450484</c:v>
                </c:pt>
                <c:pt idx="112">
                  <c:v>-90.06882766925942</c:v>
                </c:pt>
                <c:pt idx="113">
                  <c:v>-91.68072295837392</c:v>
                </c:pt>
                <c:pt idx="114">
                  <c:v>-92.651593314004018</c:v>
                </c:pt>
                <c:pt idx="115">
                  <c:v>-93.63658809039994</c:v>
                </c:pt>
                <c:pt idx="116">
                  <c:v>-97.583343709742849</c:v>
                </c:pt>
                <c:pt idx="117">
                  <c:v>-99.438142551017776</c:v>
                </c:pt>
                <c:pt idx="118">
                  <c:v>-100.08364434789296</c:v>
                </c:pt>
                <c:pt idx="119">
                  <c:v>-100.29352303501635</c:v>
                </c:pt>
                <c:pt idx="120">
                  <c:v>-100.45967757680478</c:v>
                </c:pt>
                <c:pt idx="121">
                  <c:v>-101.28991791431199</c:v>
                </c:pt>
                <c:pt idx="122">
                  <c:v>-103.20873731955137</c:v>
                </c:pt>
                <c:pt idx="123">
                  <c:v>-103.86185229122438</c:v>
                </c:pt>
                <c:pt idx="124">
                  <c:v>-104.37953667835495</c:v>
                </c:pt>
                <c:pt idx="125">
                  <c:v>-104.45531776851955</c:v>
                </c:pt>
                <c:pt idx="126">
                  <c:v>-105.60268291573436</c:v>
                </c:pt>
                <c:pt idx="127">
                  <c:v>-108.01340613715654</c:v>
                </c:pt>
                <c:pt idx="128">
                  <c:v>-109.12239683586898</c:v>
                </c:pt>
                <c:pt idx="129">
                  <c:v>-109.47032183904184</c:v>
                </c:pt>
                <c:pt idx="130">
                  <c:v>-110.74141137903807</c:v>
                </c:pt>
                <c:pt idx="131">
                  <c:v>-111.63897751729429</c:v>
                </c:pt>
                <c:pt idx="132">
                  <c:v>-111.63897751729429</c:v>
                </c:pt>
                <c:pt idx="133">
                  <c:v>-111.72561711139787</c:v>
                </c:pt>
                <c:pt idx="134">
                  <c:v>-112.64257687578825</c:v>
                </c:pt>
                <c:pt idx="135">
                  <c:v>-114.33138291973502</c:v>
                </c:pt>
                <c:pt idx="136">
                  <c:v>-114.98261112171699</c:v>
                </c:pt>
                <c:pt idx="137">
                  <c:v>-115.52091771323693</c:v>
                </c:pt>
                <c:pt idx="138">
                  <c:v>-116.25671638488754</c:v>
                </c:pt>
                <c:pt idx="139">
                  <c:v>-116.43420440329062</c:v>
                </c:pt>
                <c:pt idx="140">
                  <c:v>-116.49450518490335</c:v>
                </c:pt>
                <c:pt idx="141">
                  <c:v>-117.1862665464803</c:v>
                </c:pt>
                <c:pt idx="142">
                  <c:v>-117.19155871155245</c:v>
                </c:pt>
                <c:pt idx="143">
                  <c:v>-117.27492917232024</c:v>
                </c:pt>
                <c:pt idx="144">
                  <c:v>-118.1599598318261</c:v>
                </c:pt>
                <c:pt idx="145">
                  <c:v>-118.62323466405165</c:v>
                </c:pt>
                <c:pt idx="146">
                  <c:v>-119.59124875398484</c:v>
                </c:pt>
                <c:pt idx="147">
                  <c:v>-119.95964562263765</c:v>
                </c:pt>
                <c:pt idx="148">
                  <c:v>-120.76021322273779</c:v>
                </c:pt>
                <c:pt idx="149">
                  <c:v>-120.8415604409424</c:v>
                </c:pt>
                <c:pt idx="150">
                  <c:v>-121.5783090088978</c:v>
                </c:pt>
                <c:pt idx="151">
                  <c:v>-121.98035669404142</c:v>
                </c:pt>
                <c:pt idx="152">
                  <c:v>-122.99933061352874</c:v>
                </c:pt>
                <c:pt idx="153">
                  <c:v>-124.47686473787834</c:v>
                </c:pt>
                <c:pt idx="154">
                  <c:v>-125.03343590662703</c:v>
                </c:pt>
                <c:pt idx="155">
                  <c:v>-125.65513806174751</c:v>
                </c:pt>
                <c:pt idx="156">
                  <c:v>-125.65513806174751</c:v>
                </c:pt>
                <c:pt idx="157">
                  <c:v>-126.69179417180356</c:v>
                </c:pt>
                <c:pt idx="158">
                  <c:v>-126.69179417180356</c:v>
                </c:pt>
                <c:pt idx="159">
                  <c:v>-126.69179417180356</c:v>
                </c:pt>
                <c:pt idx="160">
                  <c:v>-127.88825888300649</c:v>
                </c:pt>
                <c:pt idx="161">
                  <c:v>-129.68741967223289</c:v>
                </c:pt>
                <c:pt idx="162">
                  <c:v>-131.61548936378145</c:v>
                </c:pt>
                <c:pt idx="163">
                  <c:v>-131.61548936378145</c:v>
                </c:pt>
                <c:pt idx="164">
                  <c:v>-133.64161577726102</c:v>
                </c:pt>
                <c:pt idx="165">
                  <c:v>-135.57263703456155</c:v>
                </c:pt>
                <c:pt idx="166">
                  <c:v>-138.10192300845239</c:v>
                </c:pt>
                <c:pt idx="167">
                  <c:v>-140.44995264896019</c:v>
                </c:pt>
                <c:pt idx="168">
                  <c:v>-140.53874421184446</c:v>
                </c:pt>
                <c:pt idx="169">
                  <c:v>-140.68219262035967</c:v>
                </c:pt>
                <c:pt idx="170">
                  <c:v>-141.15224920380376</c:v>
                </c:pt>
                <c:pt idx="171">
                  <c:v>-141.15224920380376</c:v>
                </c:pt>
                <c:pt idx="172">
                  <c:v>-141.15224920380376</c:v>
                </c:pt>
                <c:pt idx="173">
                  <c:v>-141.15224920380376</c:v>
                </c:pt>
                <c:pt idx="174">
                  <c:v>-141.15224920380376</c:v>
                </c:pt>
                <c:pt idx="175">
                  <c:v>-141.15224920380376</c:v>
                </c:pt>
                <c:pt idx="176">
                  <c:v>-141.15224920380376</c:v>
                </c:pt>
                <c:pt idx="177">
                  <c:v>-141.15224920380376</c:v>
                </c:pt>
                <c:pt idx="178">
                  <c:v>-141.15224920380376</c:v>
                </c:pt>
                <c:pt idx="179">
                  <c:v>-141.15224920380376</c:v>
                </c:pt>
                <c:pt idx="180">
                  <c:v>-141.15224920380376</c:v>
                </c:pt>
                <c:pt idx="181">
                  <c:v>-141.15224920380376</c:v>
                </c:pt>
                <c:pt idx="182">
                  <c:v>-141.15224920380376</c:v>
                </c:pt>
                <c:pt idx="183">
                  <c:v>-141.15224920380376</c:v>
                </c:pt>
                <c:pt idx="184">
                  <c:v>-141.15224920380376</c:v>
                </c:pt>
                <c:pt idx="185">
                  <c:v>-141.15224920380376</c:v>
                </c:pt>
                <c:pt idx="186">
                  <c:v>-141.15224920380376</c:v>
                </c:pt>
                <c:pt idx="187">
                  <c:v>-141.15224920380376</c:v>
                </c:pt>
                <c:pt idx="188">
                  <c:v>-141.15224920380376</c:v>
                </c:pt>
                <c:pt idx="189">
                  <c:v>-141.15224920380376</c:v>
                </c:pt>
                <c:pt idx="190">
                  <c:v>-141.15224920380376</c:v>
                </c:pt>
                <c:pt idx="191">
                  <c:v>-141.15224920380376</c:v>
                </c:pt>
                <c:pt idx="192">
                  <c:v>-141.15224920380376</c:v>
                </c:pt>
                <c:pt idx="193">
                  <c:v>-141.15224920380376</c:v>
                </c:pt>
                <c:pt idx="194">
                  <c:v>-141.15224920380376</c:v>
                </c:pt>
                <c:pt idx="195">
                  <c:v>-141.15224920380376</c:v>
                </c:pt>
                <c:pt idx="196">
                  <c:v>-141.15224920380376</c:v>
                </c:pt>
                <c:pt idx="197">
                  <c:v>-141.15224920380376</c:v>
                </c:pt>
                <c:pt idx="198">
                  <c:v>-141.15224920380376</c:v>
                </c:pt>
                <c:pt idx="199">
                  <c:v>-141.15224920380376</c:v>
                </c:pt>
                <c:pt idx="200">
                  <c:v>-141.15224920380376</c:v>
                </c:pt>
                <c:pt idx="201">
                  <c:v>-141.15224920380376</c:v>
                </c:pt>
                <c:pt idx="202">
                  <c:v>-141.15224920380376</c:v>
                </c:pt>
                <c:pt idx="203">
                  <c:v>-141.15224920380376</c:v>
                </c:pt>
                <c:pt idx="204">
                  <c:v>-141.15224920380376</c:v>
                </c:pt>
                <c:pt idx="205">
                  <c:v>-141.15224920380376</c:v>
                </c:pt>
                <c:pt idx="206">
                  <c:v>-141.15224920380376</c:v>
                </c:pt>
                <c:pt idx="207">
                  <c:v>-141.15224920380376</c:v>
                </c:pt>
                <c:pt idx="208">
                  <c:v>-141.15224920380376</c:v>
                </c:pt>
                <c:pt idx="209">
                  <c:v>-141.15224920380376</c:v>
                </c:pt>
                <c:pt idx="210">
                  <c:v>-141.15224920380376</c:v>
                </c:pt>
                <c:pt idx="211">
                  <c:v>-141.15224920380376</c:v>
                </c:pt>
                <c:pt idx="212">
                  <c:v>-141.15224920380376</c:v>
                </c:pt>
                <c:pt idx="213">
                  <c:v>-141.15224920380376</c:v>
                </c:pt>
                <c:pt idx="214">
                  <c:v>-141.15224920380376</c:v>
                </c:pt>
                <c:pt idx="215">
                  <c:v>-141.15224920380376</c:v>
                </c:pt>
                <c:pt idx="216">
                  <c:v>-141.15224920380376</c:v>
                </c:pt>
                <c:pt idx="217">
                  <c:v>-141.15224920380376</c:v>
                </c:pt>
                <c:pt idx="218">
                  <c:v>-141.15224920380376</c:v>
                </c:pt>
                <c:pt idx="219">
                  <c:v>-141.15224920380376</c:v>
                </c:pt>
                <c:pt idx="220">
                  <c:v>-141.15224920380376</c:v>
                </c:pt>
                <c:pt idx="221">
                  <c:v>-141.15224920380376</c:v>
                </c:pt>
                <c:pt idx="222">
                  <c:v>-141.15224920380376</c:v>
                </c:pt>
                <c:pt idx="223">
                  <c:v>-141.15224920380376</c:v>
                </c:pt>
                <c:pt idx="224">
                  <c:v>-141.15224920380376</c:v>
                </c:pt>
                <c:pt idx="225">
                  <c:v>-141.15224920380376</c:v>
                </c:pt>
                <c:pt idx="226">
                  <c:v>-141.15224920380376</c:v>
                </c:pt>
                <c:pt idx="227">
                  <c:v>-141.15224920380376</c:v>
                </c:pt>
                <c:pt idx="228">
                  <c:v>-141.15224920380376</c:v>
                </c:pt>
                <c:pt idx="229">
                  <c:v>-141.15224920380376</c:v>
                </c:pt>
                <c:pt idx="230">
                  <c:v>-141.15224920380376</c:v>
                </c:pt>
                <c:pt idx="231">
                  <c:v>-141.15224920380376</c:v>
                </c:pt>
                <c:pt idx="232">
                  <c:v>-141.15224920380376</c:v>
                </c:pt>
                <c:pt idx="233">
                  <c:v>-141.15224920380376</c:v>
                </c:pt>
                <c:pt idx="234">
                  <c:v>-141.15224920380376</c:v>
                </c:pt>
                <c:pt idx="235">
                  <c:v>-141.15224920380376</c:v>
                </c:pt>
                <c:pt idx="236">
                  <c:v>-141.15224920380376</c:v>
                </c:pt>
                <c:pt idx="237">
                  <c:v>-141.15224920380376</c:v>
                </c:pt>
                <c:pt idx="238">
                  <c:v>-141.15224920380376</c:v>
                </c:pt>
                <c:pt idx="239">
                  <c:v>-141.15224920380376</c:v>
                </c:pt>
                <c:pt idx="240">
                  <c:v>-141.15224920380376</c:v>
                </c:pt>
                <c:pt idx="241">
                  <c:v>-141.15224920380376</c:v>
                </c:pt>
                <c:pt idx="242">
                  <c:v>-141.15224920380376</c:v>
                </c:pt>
                <c:pt idx="243">
                  <c:v>-141.15224920380376</c:v>
                </c:pt>
                <c:pt idx="244">
                  <c:v>-141.15224920380376</c:v>
                </c:pt>
                <c:pt idx="245">
                  <c:v>-141.15224920380376</c:v>
                </c:pt>
                <c:pt idx="246">
                  <c:v>-141.15224920380376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0.24896369616605118</c:v>
                </c:pt>
                <c:pt idx="1">
                  <c:v>0.51535494843631069</c:v>
                </c:pt>
                <c:pt idx="2">
                  <c:v>0.77926823927689082</c:v>
                </c:pt>
                <c:pt idx="3">
                  <c:v>1.0369376125935577</c:v>
                </c:pt>
                <c:pt idx="4">
                  <c:v>1.2966040050067389</c:v>
                </c:pt>
                <c:pt idx="5">
                  <c:v>1.5598439367934889</c:v>
                </c:pt>
                <c:pt idx="6">
                  <c:v>1.8159665864630674</c:v>
                </c:pt>
                <c:pt idx="7">
                  <c:v>2.0663940992743917</c:v>
                </c:pt>
                <c:pt idx="8">
                  <c:v>2.3077872883127779</c:v>
                </c:pt>
                <c:pt idx="9">
                  <c:v>2.5519550051718638</c:v>
                </c:pt>
                <c:pt idx="10">
                  <c:v>2.802382517983188</c:v>
                </c:pt>
                <c:pt idx="11">
                  <c:v>3.0598305819447984</c:v>
                </c:pt>
                <c:pt idx="12">
                  <c:v>3.3155123568331906</c:v>
                </c:pt>
                <c:pt idx="13">
                  <c:v>3.5639867498841142</c:v>
                </c:pt>
                <c:pt idx="14">
                  <c:v>3.8107329157212169</c:v>
                </c:pt>
                <c:pt idx="15">
                  <c:v>4.0576947046139926</c:v>
                </c:pt>
                <c:pt idx="16">
                  <c:v>4.2961217689902078</c:v>
                </c:pt>
                <c:pt idx="17">
                  <c:v>4.5316053141939481</c:v>
                </c:pt>
                <c:pt idx="18">
                  <c:v>4.7772751012354329</c:v>
                </c:pt>
                <c:pt idx="19">
                  <c:v>5.0218714026026703</c:v>
                </c:pt>
                <c:pt idx="20">
                  <c:v>5.2727342173615552</c:v>
                </c:pt>
                <c:pt idx="21">
                  <c:v>5.5122180152721141</c:v>
                </c:pt>
                <c:pt idx="22">
                  <c:v>5.7466557757572261</c:v>
                </c:pt>
                <c:pt idx="23">
                  <c:v>5.9796342717230644</c:v>
                </c:pt>
                <c:pt idx="24">
                  <c:v>6.2184836834268644</c:v>
                </c:pt>
                <c:pt idx="25">
                  <c:v>6.4658770658157012</c:v>
                </c:pt>
                <c:pt idx="26">
                  <c:v>6.7001060147226195</c:v>
                </c:pt>
                <c:pt idx="27">
                  <c:v>6.9194017640953529</c:v>
                </c:pt>
                <c:pt idx="28">
                  <c:v>7.131361229055039</c:v>
                </c:pt>
                <c:pt idx="29">
                  <c:v>7.349257069749334</c:v>
                </c:pt>
                <c:pt idx="30">
                  <c:v>7.5614127643581242</c:v>
                </c:pt>
                <c:pt idx="31">
                  <c:v>7.7741578297302505</c:v>
                </c:pt>
                <c:pt idx="32">
                  <c:v>7.9837713963877652</c:v>
                </c:pt>
                <c:pt idx="33">
                  <c:v>8.1830301791357751</c:v>
                </c:pt>
                <c:pt idx="34">
                  <c:v>8.3843715599660236</c:v>
                </c:pt>
                <c:pt idx="35">
                  <c:v>8.5881917869356403</c:v>
                </c:pt>
                <c:pt idx="36">
                  <c:v>8.7908655606704507</c:v>
                </c:pt>
                <c:pt idx="37">
                  <c:v>8.9956442720209751</c:v>
                </c:pt>
                <c:pt idx="38">
                  <c:v>9.2060379885682764</c:v>
                </c:pt>
                <c:pt idx="39">
                  <c:v>9.4241334739790368</c:v>
                </c:pt>
                <c:pt idx="40">
                  <c:v>9.6426285910045095</c:v>
                </c:pt>
                <c:pt idx="41">
                  <c:v>9.8623253413322729</c:v>
                </c:pt>
                <c:pt idx="42">
                  <c:v>10.078429509777475</c:v>
                </c:pt>
                <c:pt idx="43">
                  <c:v>10.290781547661615</c:v>
                </c:pt>
                <c:pt idx="44">
                  <c:v>10.492122928491863</c:v>
                </c:pt>
                <c:pt idx="45">
                  <c:v>10.694606021864692</c:v>
                </c:pt>
                <c:pt idx="46">
                  <c:v>10.886406405513357</c:v>
                </c:pt>
                <c:pt idx="47">
                  <c:v>11.079499050573647</c:v>
                </c:pt>
                <c:pt idx="48">
                  <c:v>11.282554523692879</c:v>
                </c:pt>
                <c:pt idx="49">
                  <c:v>11.478995351645231</c:v>
                </c:pt>
                <c:pt idx="50">
                  <c:v>11.678442898197035</c:v>
                </c:pt>
                <c:pt idx="51">
                  <c:v>11.879974282431425</c:v>
                </c:pt>
                <c:pt idx="52">
                  <c:v>12.075108719112936</c:v>
                </c:pt>
                <c:pt idx="53">
                  <c:v>12.265438948076561</c:v>
                </c:pt>
                <c:pt idx="54">
                  <c:v>12.457792486119772</c:v>
                </c:pt>
                <c:pt idx="55">
                  <c:v>12.653299616031383</c:v>
                </c:pt>
                <c:pt idx="56">
                  <c:v>12.841984472742356</c:v>
                </c:pt>
                <c:pt idx="57">
                  <c:v>13.032498079583277</c:v>
                </c:pt>
                <c:pt idx="58">
                  <c:v>13.22081852647705</c:v>
                </c:pt>
                <c:pt idx="59">
                  <c:v>13.410965489357073</c:v>
                </c:pt>
                <c:pt idx="60">
                  <c:v>13.602765873005739</c:v>
                </c:pt>
                <c:pt idx="61">
                  <c:v>13.783536616527813</c:v>
                </c:pt>
                <c:pt idx="62">
                  <c:v>13.955918473139988</c:v>
                </c:pt>
                <c:pt idx="63">
                  <c:v>14.13054722009138</c:v>
                </c:pt>
                <c:pt idx="64">
                  <c:v>14.313633818748198</c:v>
                </c:pt>
                <c:pt idx="65">
                  <c:v>14.50580286003407</c:v>
                </c:pt>
                <c:pt idx="66">
                  <c:v>14.697051096665087</c:v>
                </c:pt>
                <c:pt idx="67">
                  <c:v>14.88719805954511</c:v>
                </c:pt>
                <c:pt idx="68">
                  <c:v>15.071898937673167</c:v>
                </c:pt>
                <c:pt idx="69">
                  <c:v>15.259310312767189</c:v>
                </c:pt>
                <c:pt idx="70">
                  <c:v>15.435156634328452</c:v>
                </c:pt>
                <c:pt idx="71">
                  <c:v>15.604798588423888</c:v>
                </c:pt>
                <c:pt idx="72">
                  <c:v>15.77942733537528</c:v>
                </c:pt>
                <c:pt idx="73">
                  <c:v>15.957197913031836</c:v>
                </c:pt>
                <c:pt idx="74">
                  <c:v>16.127864037539091</c:v>
                </c:pt>
                <c:pt idx="75">
                  <c:v>16.314369128711697</c:v>
                </c:pt>
                <c:pt idx="76">
                  <c:v>16.511371523554722</c:v>
                </c:pt>
                <c:pt idx="77">
                  <c:v>16.703725061597932</c:v>
                </c:pt>
                <c:pt idx="78">
                  <c:v>16.889326654521824</c:v>
                </c:pt>
                <c:pt idx="79">
                  <c:v>17.072592172977153</c:v>
                </c:pt>
                <c:pt idx="80">
                  <c:v>17.264576829470514</c:v>
                </c:pt>
                <c:pt idx="81">
                  <c:v>17.447663428127331</c:v>
                </c:pt>
                <c:pt idx="82">
                  <c:v>17.641311579911331</c:v>
                </c:pt>
                <c:pt idx="83">
                  <c:v>17.832375991318351</c:v>
                </c:pt>
                <c:pt idx="84">
                  <c:v>18.024176374967016</c:v>
                </c:pt>
                <c:pt idx="85">
                  <c:v>18.205657692148506</c:v>
                </c:pt>
                <c:pt idx="86">
                  <c:v>18.38536590027724</c:v>
                </c:pt>
                <c:pt idx="87">
                  <c:v>18.572595795627088</c:v>
                </c:pt>
                <c:pt idx="88">
                  <c:v>18.761463024694553</c:v>
                </c:pt>
                <c:pt idx="89">
                  <c:v>18.953816562737764</c:v>
                </c:pt>
                <c:pt idx="90">
                  <c:v>19.145985604023636</c:v>
                </c:pt>
                <c:pt idx="91">
                  <c:v>19.339819148893309</c:v>
                </c:pt>
                <c:pt idx="92">
                  <c:v>19.534581341280489</c:v>
                </c:pt>
                <c:pt idx="93">
                  <c:v>19.735732831477424</c:v>
                </c:pt>
                <c:pt idx="94">
                  <c:v>19.93555824348508</c:v>
                </c:pt>
                <c:pt idx="95">
                  <c:v>20.133686807330282</c:v>
                </c:pt>
                <c:pt idx="96">
                  <c:v>20.326409674850588</c:v>
                </c:pt>
                <c:pt idx="97">
                  <c:v>20.517657911481606</c:v>
                </c:pt>
                <c:pt idx="98">
                  <c:v>20.710935613377757</c:v>
                </c:pt>
                <c:pt idx="99">
                  <c:v>20.904028258438046</c:v>
                </c:pt>
                <c:pt idx="100">
                  <c:v>21.099535388349658</c:v>
                </c:pt>
                <c:pt idx="101">
                  <c:v>21.290967562084219</c:v>
                </c:pt>
                <c:pt idx="102">
                  <c:v>21.487221425794715</c:v>
                </c:pt>
                <c:pt idx="103">
                  <c:v>21.678285837201734</c:v>
                </c:pt>
                <c:pt idx="104">
                  <c:v>21.873606564373009</c:v>
                </c:pt>
                <c:pt idx="105">
                  <c:v>22.066514264646983</c:v>
                </c:pt>
                <c:pt idx="106">
                  <c:v>22.249422054591808</c:v>
                </c:pt>
                <c:pt idx="107">
                  <c:v>22.432866603950295</c:v>
                </c:pt>
                <c:pt idx="108">
                  <c:v>22.614170111379234</c:v>
                </c:pt>
                <c:pt idx="109">
                  <c:v>22.795473618808174</c:v>
                </c:pt>
                <c:pt idx="110">
                  <c:v>22.977845648954585</c:v>
                </c:pt>
                <c:pt idx="111">
                  <c:v>23.165257024048607</c:v>
                </c:pt>
                <c:pt idx="112">
                  <c:v>23.357795170830975</c:v>
                </c:pt>
                <c:pt idx="113">
                  <c:v>23.552743429256672</c:v>
                </c:pt>
                <c:pt idx="114">
                  <c:v>23.752379852222987</c:v>
                </c:pt>
                <c:pt idx="115">
                  <c:v>23.952205264230642</c:v>
                </c:pt>
                <c:pt idx="116">
                  <c:v>24.155642888386339</c:v>
                </c:pt>
                <c:pt idx="117">
                  <c:v>24.356414935565471</c:v>
                </c:pt>
                <c:pt idx="118">
                  <c:v>24.556618663600627</c:v>
                </c:pt>
                <c:pt idx="119">
                  <c:v>24.7504522084703</c:v>
                </c:pt>
                <c:pt idx="120">
                  <c:v>24.943915079268738</c:v>
                </c:pt>
                <c:pt idx="121">
                  <c:v>25.13998209107076</c:v>
                </c:pt>
                <c:pt idx="122">
                  <c:v>25.337171899653875</c:v>
                </c:pt>
                <c:pt idx="123">
                  <c:v>25.531562296549193</c:v>
                </c:pt>
                <c:pt idx="124">
                  <c:v>25.727069426460805</c:v>
                </c:pt>
                <c:pt idx="125">
                  <c:v>25.933580533355691</c:v>
                </c:pt>
                <c:pt idx="126">
                  <c:v>26.142027277894517</c:v>
                </c:pt>
                <c:pt idx="127">
                  <c:v>26.354182972503306</c:v>
                </c:pt>
                <c:pt idx="128">
                  <c:v>26.565358654835414</c:v>
                </c:pt>
                <c:pt idx="129">
                  <c:v>26.770906188558143</c:v>
                </c:pt>
                <c:pt idx="130">
                  <c:v>26.985030431510271</c:v>
                </c:pt>
                <c:pt idx="131">
                  <c:v>27.192121040489326</c:v>
                </c:pt>
                <c:pt idx="132">
                  <c:v>27.402124455164312</c:v>
                </c:pt>
                <c:pt idx="133">
                  <c:v>27.614869520536438</c:v>
                </c:pt>
                <c:pt idx="134">
                  <c:v>27.835570771418517</c:v>
                </c:pt>
                <c:pt idx="135">
                  <c:v>28.051278043902464</c:v>
                </c:pt>
                <c:pt idx="136">
                  <c:v>28.270373464013851</c:v>
                </c:pt>
                <c:pt idx="137">
                  <c:v>28.49573222765915</c:v>
                </c:pt>
                <c:pt idx="138">
                  <c:v>28.724984198143094</c:v>
                </c:pt>
                <c:pt idx="139">
                  <c:v>28.952181952352955</c:v>
                </c:pt>
                <c:pt idx="140">
                  <c:v>29.174900773745854</c:v>
                </c:pt>
                <c:pt idx="141">
                  <c:v>29.395803267391809</c:v>
                </c:pt>
                <c:pt idx="142">
                  <c:v>29.615500017719572</c:v>
                </c:pt>
                <c:pt idx="143">
                  <c:v>29.83319632773933</c:v>
                </c:pt>
                <c:pt idx="144">
                  <c:v>30.05389757862141</c:v>
                </c:pt>
                <c:pt idx="145">
                  <c:v>30.277223900804412</c:v>
                </c:pt>
                <c:pt idx="146">
                  <c:v>30.509578723226287</c:v>
                </c:pt>
                <c:pt idx="147">
                  <c:v>30.73575366998671</c:v>
                </c:pt>
                <c:pt idx="148">
                  <c:v>30.960094781911625</c:v>
                </c:pt>
                <c:pt idx="149">
                  <c:v>31.192241943132643</c:v>
                </c:pt>
                <c:pt idx="150">
                  <c:v>31.431091354836443</c:v>
                </c:pt>
                <c:pt idx="151">
                  <c:v>31.677191346143836</c:v>
                </c:pt>
                <c:pt idx="152">
                  <c:v>31.920930941080858</c:v>
                </c:pt>
                <c:pt idx="153">
                  <c:v>32.159358005457072</c:v>
                </c:pt>
                <c:pt idx="154">
                  <c:v>32.39610029295082</c:v>
                </c:pt>
                <c:pt idx="155">
                  <c:v>32.639198572155983</c:v>
                </c:pt>
                <c:pt idx="156">
                  <c:v>32.87405430112635</c:v>
                </c:pt>
                <c:pt idx="157">
                  <c:v>33.109537846330092</c:v>
                </c:pt>
                <c:pt idx="158">
                  <c:v>33.347543024716614</c:v>
                </c:pt>
                <c:pt idx="159">
                  <c:v>33.580521520682453</c:v>
                </c:pt>
                <c:pt idx="160">
                  <c:v>33.82877947990908</c:v>
                </c:pt>
                <c:pt idx="161">
                  <c:v>34.081606895945313</c:v>
                </c:pt>
                <c:pt idx="162">
                  <c:v>34.318769685986055</c:v>
                </c:pt>
                <c:pt idx="163">
                  <c:v>34.561654424475577</c:v>
                </c:pt>
                <c:pt idx="164">
                  <c:v>34.81557734798961</c:v>
                </c:pt>
                <c:pt idx="165">
                  <c:v>35.067748852586959</c:v>
                </c:pt>
                <c:pt idx="166">
                  <c:v>35.312774201138431</c:v>
                </c:pt>
                <c:pt idx="167">
                  <c:v>35.551623612842235</c:v>
                </c:pt>
                <c:pt idx="168">
                  <c:v>35.791530911838215</c:v>
                </c:pt>
                <c:pt idx="169">
                  <c:v>36.044139574661678</c:v>
                </c:pt>
                <c:pt idx="170">
                  <c:v>36.286171305959684</c:v>
                </c:pt>
                <c:pt idx="171">
                  <c:v>36.522913593453431</c:v>
                </c:pt>
                <c:pt idx="172">
                  <c:v>36.752340085103313</c:v>
                </c:pt>
                <c:pt idx="173">
                  <c:v>36.991167370417593</c:v>
                </c:pt>
                <c:pt idx="174">
                  <c:v>37.238727584931866</c:v>
                </c:pt>
                <c:pt idx="175">
                  <c:v>37.496839925882654</c:v>
                </c:pt>
                <c:pt idx="176">
                  <c:v>37.7420799715578</c:v>
                </c:pt>
                <c:pt idx="177">
                  <c:v>37.991612460913281</c:v>
                </c:pt>
                <c:pt idx="178">
                  <c:v>38.231219248327506</c:v>
                </c:pt>
                <c:pt idx="179">
                  <c:v>38.487504775773104</c:v>
                </c:pt>
                <c:pt idx="180">
                  <c:v>38.739787435024397</c:v>
                </c:pt>
                <c:pt idx="181">
                  <c:v>38.987946871863677</c:v>
                </c:pt>
                <c:pt idx="182">
                  <c:v>39.236543827954165</c:v>
                </c:pt>
                <c:pt idx="183">
                  <c:v>39.468206946424907</c:v>
                </c:pt>
                <c:pt idx="184">
                  <c:v>39.680970992056515</c:v>
                </c:pt>
                <c:pt idx="185">
                  <c:v>39.879028766847036</c:v>
                </c:pt>
                <c:pt idx="186">
                  <c:v>40.070802713357779</c:v>
                </c:pt>
                <c:pt idx="187">
                  <c:v>40.265133797216649</c:v>
                </c:pt>
                <c:pt idx="188">
                  <c:v>40.481004534854449</c:v>
                </c:pt>
                <c:pt idx="189">
                  <c:v>40.693133354180219</c:v>
                </c:pt>
                <c:pt idx="190">
                  <c:v>40.91605484457677</c:v>
                </c:pt>
                <c:pt idx="191">
                  <c:v>41.143341525953339</c:v>
                </c:pt>
                <c:pt idx="192">
                  <c:v>41.363491119884017</c:v>
                </c:pt>
                <c:pt idx="193">
                  <c:v>41.584318017067957</c:v>
                </c:pt>
                <c:pt idx="194">
                  <c:v>41.795488666162306</c:v>
                </c:pt>
                <c:pt idx="195">
                  <c:v>42.006768666763129</c:v>
                </c:pt>
                <c:pt idx="196">
                  <c:v>42.210599292261833</c:v>
                </c:pt>
                <c:pt idx="197">
                  <c:v>42.411313751409217</c:v>
                </c:pt>
                <c:pt idx="198">
                  <c:v>42.608760983496396</c:v>
                </c:pt>
                <c:pt idx="199">
                  <c:v>42.816116112976012</c:v>
                </c:pt>
                <c:pt idx="200">
                  <c:v>43.009141001674124</c:v>
                </c:pt>
                <c:pt idx="201">
                  <c:v>43.189112509709091</c:v>
                </c:pt>
                <c:pt idx="202">
                  <c:v>43.359162649918844</c:v>
                </c:pt>
                <c:pt idx="203">
                  <c:v>43.530632148214302</c:v>
                </c:pt>
                <c:pt idx="204">
                  <c:v>43.701702276703244</c:v>
                </c:pt>
                <c:pt idx="205">
                  <c:v>43.880438575475026</c:v>
                </c:pt>
                <c:pt idx="206">
                  <c:v>44.060848310025762</c:v>
                </c:pt>
                <c:pt idx="207">
                  <c:v>44.235664156700587</c:v>
                </c:pt>
                <c:pt idx="208">
                  <c:v>44.416607145954451</c:v>
                </c:pt>
                <c:pt idx="209">
                  <c:v>44.593318714240105</c:v>
                </c:pt>
                <c:pt idx="210">
                  <c:v>44.76663707441481</c:v>
                </c:pt>
                <c:pt idx="211">
                  <c:v>44.947110973997816</c:v>
                </c:pt>
                <c:pt idx="212">
                  <c:v>45.127326201213293</c:v>
                </c:pt>
                <c:pt idx="213">
                  <c:v>45.310928801924689</c:v>
                </c:pt>
                <c:pt idx="214">
                  <c:v>45.492160409700439</c:v>
                </c:pt>
                <c:pt idx="215">
                  <c:v>45.693766464747618</c:v>
                </c:pt>
                <c:pt idx="216">
                  <c:v>45.893882850268206</c:v>
                </c:pt>
                <c:pt idx="217">
                  <c:v>46.11555390226895</c:v>
                </c:pt>
                <c:pt idx="218">
                  <c:v>46.347264875323283</c:v>
                </c:pt>
                <c:pt idx="219">
                  <c:v>46.584240205576876</c:v>
                </c:pt>
                <c:pt idx="220">
                  <c:v>46.817653308524072</c:v>
                </c:pt>
                <c:pt idx="221">
                  <c:v>47.045834164004766</c:v>
                </c:pt>
                <c:pt idx="222">
                  <c:v>47.272103547626607</c:v>
                </c:pt>
                <c:pt idx="223">
                  <c:v>47.49769645224292</c:v>
                </c:pt>
                <c:pt idx="224">
                  <c:v>47.721894327926044</c:v>
                </c:pt>
                <c:pt idx="225">
                  <c:v>47.950109697031785</c:v>
                </c:pt>
                <c:pt idx="226">
                  <c:v>48.168844250936012</c:v>
                </c:pt>
                <c:pt idx="227">
                  <c:v>48.396108238612626</c:v>
                </c:pt>
                <c:pt idx="228">
                  <c:v>48.61949092912333</c:v>
                </c:pt>
                <c:pt idx="229">
                  <c:v>48.862355052021286</c:v>
                </c:pt>
                <c:pt idx="230">
                  <c:v>49.118512492917475</c:v>
                </c:pt>
                <c:pt idx="231">
                  <c:v>49.379348510970452</c:v>
                </c:pt>
                <c:pt idx="232">
                  <c:v>49.651674153635668</c:v>
                </c:pt>
                <c:pt idx="233">
                  <c:v>49.914995998139474</c:v>
                </c:pt>
                <c:pt idx="234">
                  <c:v>50.183266404870814</c:v>
                </c:pt>
                <c:pt idx="235">
                  <c:v>50.443538781822873</c:v>
                </c:pt>
                <c:pt idx="236">
                  <c:v>50.690402942506317</c:v>
                </c:pt>
                <c:pt idx="237">
                  <c:v>50.942206602205182</c:v>
                </c:pt>
                <c:pt idx="238">
                  <c:v>51.210938100842334</c:v>
                </c:pt>
                <c:pt idx="239">
                  <c:v>51.458078249806327</c:v>
                </c:pt>
                <c:pt idx="240">
                  <c:v>51.698774226397411</c:v>
                </c:pt>
                <c:pt idx="241">
                  <c:v>51.939627504403084</c:v>
                </c:pt>
                <c:pt idx="242">
                  <c:v>52.188109104134128</c:v>
                </c:pt>
                <c:pt idx="243">
                  <c:v>52.445752007937848</c:v>
                </c:pt>
                <c:pt idx="244">
                  <c:v>52.742460586448658</c:v>
                </c:pt>
                <c:pt idx="245">
                  <c:v>53.028255058964554</c:v>
                </c:pt>
                <c:pt idx="246">
                  <c:v>53.303921322497068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-0.34605114552468064</c:v>
                </c:pt>
                <c:pt idx="2">
                  <c:v>-0.67400796325200374</c:v>
                </c:pt>
                <c:pt idx="3">
                  <c:v>-0.98129133605102226</c:v>
                </c:pt>
                <c:pt idx="4">
                  <c:v>-1.2767022222950766</c:v>
                </c:pt>
                <c:pt idx="5">
                  <c:v>-1.5618943953217252</c:v>
                </c:pt>
                <c:pt idx="6">
                  <c:v>-1.8282071994499065</c:v>
                </c:pt>
                <c:pt idx="7">
                  <c:v>-2.0780907016888008</c:v>
                </c:pt>
                <c:pt idx="8">
                  <c:v>-2.310156478519946</c:v>
                </c:pt>
                <c:pt idx="9">
                  <c:v>-2.5340922441291558</c:v>
                </c:pt>
                <c:pt idx="10">
                  <c:v>-2.7523873964909016</c:v>
                </c:pt>
                <c:pt idx="11">
                  <c:v>-2.9653535365226236</c:v>
                </c:pt>
                <c:pt idx="12">
                  <c:v>-3.1672933834482557</c:v>
                </c:pt>
                <c:pt idx="13">
                  <c:v>-3.3555500428629221</c:v>
                </c:pt>
                <c:pt idx="14">
                  <c:v>-3.5341772835104122</c:v>
                </c:pt>
                <c:pt idx="15">
                  <c:v>-3.7046874758256698</c:v>
                </c:pt>
                <c:pt idx="16">
                  <c:v>-3.8629305679978723</c:v>
                </c:pt>
                <c:pt idx="17">
                  <c:v>-4.0125361985042565</c:v>
                </c:pt>
                <c:pt idx="18">
                  <c:v>-4.1600486973437913</c:v>
                </c:pt>
                <c:pt idx="19">
                  <c:v>-4.3000933194649189</c:v>
                </c:pt>
                <c:pt idx="20">
                  <c:v>-4.4361034296786741</c:v>
                </c:pt>
                <c:pt idx="21">
                  <c:v>-4.5608883014849146</c:v>
                </c:pt>
                <c:pt idx="22">
                  <c:v>-4.6777979700638106</c:v>
                </c:pt>
                <c:pt idx="23">
                  <c:v>-4.7886332684409476</c:v>
                </c:pt>
                <c:pt idx="24">
                  <c:v>-4.8961985339862402</c:v>
                </c:pt>
                <c:pt idx="25">
                  <c:v>-5.0012809160331848</c:v>
                </c:pt>
                <c:pt idx="26">
                  <c:v>-5.0969107410932537</c:v>
                </c:pt>
                <c:pt idx="27">
                  <c:v>-5.1834307896211973</c:v>
                </c:pt>
                <c:pt idx="28">
                  <c:v>-5.2637927659250678</c:v>
                </c:pt>
                <c:pt idx="29">
                  <c:v>-5.3419489640862006</c:v>
                </c:pt>
                <c:pt idx="30">
                  <c:v>-5.4148692506896943</c:v>
                </c:pt>
                <c:pt idx="31">
                  <c:v>-5.4844185913018748</c:v>
                </c:pt>
                <c:pt idx="32">
                  <c:v>-5.5498572073179187</c:v>
                </c:pt>
                <c:pt idx="33">
                  <c:v>-5.609859225558119</c:v>
                </c:pt>
                <c:pt idx="34">
                  <c:v>-5.6674161998726973</c:v>
                </c:pt>
                <c:pt idx="35">
                  <c:v>-5.7226424697268587</c:v>
                </c:pt>
                <c:pt idx="36">
                  <c:v>-5.7748930985047089</c:v>
                </c:pt>
                <c:pt idx="37">
                  <c:v>-5.8248697391604862</c:v>
                </c:pt>
                <c:pt idx="38">
                  <c:v>-5.8731939784659497</c:v>
                </c:pt>
                <c:pt idx="39">
                  <c:v>-5.9201394811608541</c:v>
                </c:pt>
                <c:pt idx="40">
                  <c:v>-5.9645075382091015</c:v>
                </c:pt>
                <c:pt idx="41">
                  <c:v>-6.0065003790538682</c:v>
                </c:pt>
                <c:pt idx="42">
                  <c:v>-6.0455501744147284</c:v>
                </c:pt>
                <c:pt idx="43">
                  <c:v>-6.0818181348353226</c:v>
                </c:pt>
                <c:pt idx="44">
                  <c:v>-6.1146336152323091</c:v>
                </c:pt>
                <c:pt idx="45">
                  <c:v>-6.1456404421427528</c:v>
                </c:pt>
                <c:pt idx="46">
                  <c:v>-6.1736745923914063</c:v>
                </c:pt>
                <c:pt idx="47">
                  <c:v>-6.20015847478758</c:v>
                </c:pt>
                <c:pt idx="48">
                  <c:v>-6.2259108010109987</c:v>
                </c:pt>
                <c:pt idx="49">
                  <c:v>-6.2494156325013881</c:v>
                </c:pt>
                <c:pt idx="50">
                  <c:v>-6.2716052204276238</c:v>
                </c:pt>
                <c:pt idx="51">
                  <c:v>-6.292419350873061</c:v>
                </c:pt>
                <c:pt idx="52">
                  <c:v>-6.3113065944255524</c:v>
                </c:pt>
                <c:pt idx="53">
                  <c:v>-6.3285202729436296</c:v>
                </c:pt>
                <c:pt idx="54">
                  <c:v>-6.3445751143626845</c:v>
                </c:pt>
                <c:pt idx="55">
                  <c:v>-6.3595499644491307</c:v>
                </c:pt>
                <c:pt idx="56">
                  <c:v>-6.3729612045589299</c:v>
                </c:pt>
                <c:pt idx="57">
                  <c:v>-6.3853278131993472</c:v>
                </c:pt>
                <c:pt idx="58">
                  <c:v>-6.3965057063607098</c:v>
                </c:pt>
                <c:pt idx="59">
                  <c:v>-6.4067087196939898</c:v>
                </c:pt>
                <c:pt idx="60">
                  <c:v>-6.4159491017567216</c:v>
                </c:pt>
                <c:pt idx="61">
                  <c:v>-6.4238761986731241</c:v>
                </c:pt>
                <c:pt idx="62">
                  <c:v>-6.4307087271332666</c:v>
                </c:pt>
                <c:pt idx="63">
                  <c:v>-6.436800548918594</c:v>
                </c:pt>
                <c:pt idx="64">
                  <c:v>-6.4422816353324492</c:v>
                </c:pt>
                <c:pt idx="65">
                  <c:v>-6.4471138710300737</c:v>
                </c:pt>
                <c:pt idx="66">
                  <c:v>-6.4511098527501769</c:v>
                </c:pt>
                <c:pt idx="67">
                  <c:v>-6.4543079579564102</c:v>
                </c:pt>
                <c:pt idx="68">
                  <c:v>-6.456713918769303</c:v>
                </c:pt>
                <c:pt idx="69">
                  <c:v>-6.4584434428045654</c:v>
                </c:pt>
                <c:pt idx="70">
                  <c:v>-6.4594629286078442</c:v>
                </c:pt>
                <c:pt idx="71">
                  <c:v>-6.4598832203223608</c:v>
                </c:pt>
                <c:pt idx="72">
                  <c:v>-6.4597498512546281</c:v>
                </c:pt>
                <c:pt idx="73">
                  <c:v>-6.45905832551583</c:v>
                </c:pt>
                <c:pt idx="74">
                  <c:v>-6.4578702276324194</c:v>
                </c:pt>
                <c:pt idx="75">
                  <c:v>-6.4560689287986275</c:v>
                </c:pt>
                <c:pt idx="76">
                  <c:v>-6.4536316361418109</c:v>
                </c:pt>
                <c:pt idx="77">
                  <c:v>-6.450700088512896</c:v>
                </c:pt>
                <c:pt idx="78">
                  <c:v>-6.4473531298492688</c:v>
                </c:pt>
                <c:pt idx="79">
                  <c:v>-6.4435795245367107</c:v>
                </c:pt>
                <c:pt idx="80">
                  <c:v>-6.4392207572759119</c:v>
                </c:pt>
                <c:pt idx="81">
                  <c:v>-6.4345845276209115</c:v>
                </c:pt>
                <c:pt idx="82">
                  <c:v>-6.429335837041493</c:v>
                </c:pt>
                <c:pt idx="83">
                  <c:v>-6.4237322204076381</c:v>
                </c:pt>
                <c:pt idx="84">
                  <c:v>-6.4177262057705953</c:v>
                </c:pt>
                <c:pt idx="85">
                  <c:v>-6.4116043151704432</c:v>
                </c:pt>
                <c:pt idx="86">
                  <c:v>-6.4052019455667377</c:v>
                </c:pt>
                <c:pt idx="87">
                  <c:v>-6.398289784220955</c:v>
                </c:pt>
                <c:pt idx="88">
                  <c:v>-6.3910213471565207</c:v>
                </c:pt>
                <c:pt idx="89">
                  <c:v>-6.3833517341527148</c:v>
                </c:pt>
                <c:pt idx="90">
                  <c:v>-6.3753960306754589</c:v>
                </c:pt>
                <c:pt idx="91">
                  <c:v>-6.3671113080683854</c:v>
                </c:pt>
                <c:pt idx="92">
                  <c:v>-6.358530720118921</c:v>
                </c:pt>
                <c:pt idx="93">
                  <c:v>-6.3494829475764387</c:v>
                </c:pt>
                <c:pt idx="94">
                  <c:v>-6.3402295366778683</c:v>
                </c:pt>
                <c:pt idx="95">
                  <c:v>-6.3308008483432783</c:v>
                </c:pt>
                <c:pt idx="96">
                  <c:v>-6.3213472188287083</c:v>
                </c:pt>
                <c:pt idx="97">
                  <c:v>-6.3117490086960331</c:v>
                </c:pt>
                <c:pt idx="98">
                  <c:v>-6.3018902177323275</c:v>
                </c:pt>
                <c:pt idx="99">
                  <c:v>-6.2918617059794659</c:v>
                </c:pt>
                <c:pt idx="100">
                  <c:v>-6.2815744160457232</c:v>
                </c:pt>
                <c:pt idx="101">
                  <c:v>-6.271288147910191</c:v>
                </c:pt>
                <c:pt idx="102">
                  <c:v>-6.2606672802487537</c:v>
                </c:pt>
                <c:pt idx="103">
                  <c:v>-6.2501154893042772</c:v>
                </c:pt>
                <c:pt idx="104">
                  <c:v>-6.2392665032799552</c:v>
                </c:pt>
                <c:pt idx="105">
                  <c:v>-6.2283968628197437</c:v>
                </c:pt>
                <c:pt idx="106">
                  <c:v>-6.2178308954620345</c:v>
                </c:pt>
                <c:pt idx="107">
                  <c:v>-6.2071491654768716</c:v>
                </c:pt>
                <c:pt idx="108">
                  <c:v>-6.1964702538946783</c:v>
                </c:pt>
                <c:pt idx="109">
                  <c:v>-6.1857127868865565</c:v>
                </c:pt>
                <c:pt idx="110">
                  <c:v>-6.1748379811819616</c:v>
                </c:pt>
                <c:pt idx="111">
                  <c:v>-6.1636818046818584</c:v>
                </c:pt>
                <c:pt idx="112">
                  <c:v>-6.1522427049731725</c:v>
                </c:pt>
                <c:pt idx="113">
                  <c:v>-6.140640937749561</c:v>
                </c:pt>
                <c:pt idx="114">
                  <c:v>-6.1287821353557224</c:v>
                </c:pt>
                <c:pt idx="115">
                  <c:v>-6.1168669230614086</c:v>
                </c:pt>
                <c:pt idx="116">
                  <c:v>-6.1047511020861496</c:v>
                </c:pt>
                <c:pt idx="117">
                  <c:v>-6.0927161906933174</c:v>
                </c:pt>
                <c:pt idx="118">
                  <c:v>-6.0806763943810171</c:v>
                </c:pt>
                <c:pt idx="119">
                  <c:v>-6.0688936221179972</c:v>
                </c:pt>
                <c:pt idx="120">
                  <c:v>-6.0571091795113929</c:v>
                </c:pt>
                <c:pt idx="121">
                  <c:v>-6.0451965004667088</c:v>
                </c:pt>
                <c:pt idx="122">
                  <c:v>-6.0332254994725361</c:v>
                </c:pt>
                <c:pt idx="123">
                  <c:v>-6.0213743039868177</c:v>
                </c:pt>
                <c:pt idx="124">
                  <c:v>-6.0094740583771395</c:v>
                </c:pt>
                <c:pt idx="125">
                  <c:v>-5.9970905058800312</c:v>
                </c:pt>
                <c:pt idx="126">
                  <c:v>-5.9846303441122943</c:v>
                </c:pt>
                <c:pt idx="127">
                  <c:v>-5.9720192569089869</c:v>
                </c:pt>
                <c:pt idx="128">
                  <c:v>-5.9594704147394397</c:v>
                </c:pt>
                <c:pt idx="129">
                  <c:v>-5.9471933302144917</c:v>
                </c:pt>
                <c:pt idx="130">
                  <c:v>-5.9345628379967676</c:v>
                </c:pt>
                <c:pt idx="131">
                  <c:v>-5.9222735015673651</c:v>
                </c:pt>
                <c:pt idx="132">
                  <c:v>-5.9098892352440302</c:v>
                </c:pt>
                <c:pt idx="133">
                  <c:v>-5.8974218169684995</c:v>
                </c:pt>
                <c:pt idx="134">
                  <c:v>-5.8846467696648084</c:v>
                </c:pt>
                <c:pt idx="135">
                  <c:v>-5.8721368347743468</c:v>
                </c:pt>
                <c:pt idx="136">
                  <c:v>-5.8595278465456904</c:v>
                </c:pt>
                <c:pt idx="137">
                  <c:v>-5.846699277298308</c:v>
                </c:pt>
                <c:pt idx="138">
                  <c:v>-5.8337597244152972</c:v>
                </c:pt>
                <c:pt idx="139">
                  <c:v>-5.8209713734202255</c:v>
                </c:pt>
                <c:pt idx="140">
                  <c:v>-5.808439491642531</c:v>
                </c:pt>
                <c:pt idx="141">
                  <c:v>-5.7960499197901774</c:v>
                </c:pt>
                <c:pt idx="142">
                  <c:v>-5.7837778606401429</c:v>
                </c:pt>
                <c:pt idx="143">
                  <c:v>-5.7716579899125611</c:v>
                </c:pt>
                <c:pt idx="144">
                  <c:v>-5.7594817362297954</c:v>
                </c:pt>
                <c:pt idx="145">
                  <c:v>-5.7472688499653541</c:v>
                </c:pt>
                <c:pt idx="146">
                  <c:v>-5.7347571087527101</c:v>
                </c:pt>
                <c:pt idx="147">
                  <c:v>-5.7225827844688943</c:v>
                </c:pt>
                <c:pt idx="148">
                  <c:v>-5.710564213069369</c:v>
                </c:pt>
                <c:pt idx="149">
                  <c:v>-5.6983095110982473</c:v>
                </c:pt>
                <c:pt idx="150">
                  <c:v>-5.6858702205265912</c:v>
                </c:pt>
                <c:pt idx="151">
                  <c:v>-5.6732304459830063</c:v>
                </c:pt>
                <c:pt idx="152">
                  <c:v>-5.6607843530952726</c:v>
                </c:pt>
                <c:pt idx="153">
                  <c:v>-5.6486482179910036</c:v>
                </c:pt>
                <c:pt idx="154">
                  <c:v>-5.6366749012176625</c:v>
                </c:pt>
                <c:pt idx="155">
                  <c:v>-5.6245495866847488</c:v>
                </c:pt>
                <c:pt idx="156">
                  <c:v>-5.6128452755600371</c:v>
                </c:pt>
                <c:pt idx="157">
                  <c:v>-5.6012140733852878</c:v>
                </c:pt>
                <c:pt idx="158">
                  <c:v>-5.5895853177402568</c:v>
                </c:pt>
                <c:pt idx="159">
                  <c:v>-5.5782466564174431</c:v>
                </c:pt>
                <c:pt idx="160">
                  <c:v>-5.566433463433615</c:v>
                </c:pt>
                <c:pt idx="161">
                  <c:v>-5.5545584130238321</c:v>
                </c:pt>
                <c:pt idx="162">
                  <c:v>-5.5433737917338002</c:v>
                </c:pt>
                <c:pt idx="163">
                  <c:v>-5.5320830700703709</c:v>
                </c:pt>
                <c:pt idx="164">
                  <c:v>-5.520498427125621</c:v>
                </c:pt>
                <c:pt idx="165">
                  <c:v>-5.5090915436460275</c:v>
                </c:pt>
                <c:pt idx="166">
                  <c:v>-5.4980524122411856</c:v>
                </c:pt>
                <c:pt idx="167">
                  <c:v>-5.4873384381496679</c:v>
                </c:pt>
                <c:pt idx="168">
                  <c:v>-5.4766923152427402</c:v>
                </c:pt>
                <c:pt idx="169">
                  <c:v>-5.4657137346132565</c:v>
                </c:pt>
                <c:pt idx="170">
                  <c:v>-5.4552103314668869</c:v>
                </c:pt>
                <c:pt idx="171">
                  <c:v>-5.4449912850602908</c:v>
                </c:pt>
                <c:pt idx="172">
                  <c:v>-5.4349585131913605</c:v>
                </c:pt>
                <c:pt idx="173">
                  <c:v>-5.4247067098849886</c:v>
                </c:pt>
                <c:pt idx="174">
                  <c:v>-5.4143646715380251</c:v>
                </c:pt>
                <c:pt idx="175">
                  <c:v>-5.4038698291221845</c:v>
                </c:pt>
                <c:pt idx="176">
                  <c:v>-5.3939056018701192</c:v>
                </c:pt>
                <c:pt idx="177">
                  <c:v>-5.3837383204476739</c:v>
                </c:pt>
                <c:pt idx="178">
                  <c:v>-5.3734820806399775</c:v>
                </c:pt>
                <c:pt idx="179">
                  <c:v>-5.3627990071181877</c:v>
                </c:pt>
                <c:pt idx="180">
                  <c:v>-5.3526530059372348</c:v>
                </c:pt>
                <c:pt idx="181">
                  <c:v>-5.3426133755178435</c:v>
                </c:pt>
                <c:pt idx="182">
                  <c:v>-5.3323954029938134</c:v>
                </c:pt>
                <c:pt idx="183">
                  <c:v>-5.3224351990208145</c:v>
                </c:pt>
                <c:pt idx="184">
                  <c:v>-5.3129240779855831</c:v>
                </c:pt>
                <c:pt idx="185">
                  <c:v>-5.3034878314033254</c:v>
                </c:pt>
                <c:pt idx="186">
                  <c:v>-5.294235994254799</c:v>
                </c:pt>
                <c:pt idx="187">
                  <c:v>-5.2849625366154616</c:v>
                </c:pt>
                <c:pt idx="188">
                  <c:v>-5.2755796629960363</c:v>
                </c:pt>
                <c:pt idx="189">
                  <c:v>-5.2665612110040465</c:v>
                </c:pt>
                <c:pt idx="190">
                  <c:v>-5.2574623387505826</c:v>
                </c:pt>
                <c:pt idx="191">
                  <c:v>-5.2483169810564352</c:v>
                </c:pt>
                <c:pt idx="192">
                  <c:v>-5.2395117336316677</c:v>
                </c:pt>
                <c:pt idx="193">
                  <c:v>-5.2306067913216197</c:v>
                </c:pt>
                <c:pt idx="194">
                  <c:v>-5.2217580803123322</c:v>
                </c:pt>
                <c:pt idx="195">
                  <c:v>-5.2130449237724772</c:v>
                </c:pt>
                <c:pt idx="196">
                  <c:v>-5.2045828411495956</c:v>
                </c:pt>
                <c:pt idx="197">
                  <c:v>-5.1962608023121737</c:v>
                </c:pt>
                <c:pt idx="198">
                  <c:v>-5.1878480186302358</c:v>
                </c:pt>
                <c:pt idx="199">
                  <c:v>-5.179358460430624</c:v>
                </c:pt>
                <c:pt idx="200">
                  <c:v>-5.1712030821409289</c:v>
                </c:pt>
                <c:pt idx="201">
                  <c:v>-5.1633609076055524</c:v>
                </c:pt>
                <c:pt idx="202">
                  <c:v>-5.1556389941373784</c:v>
                </c:pt>
                <c:pt idx="203">
                  <c:v>-5.1477963932658835</c:v>
                </c:pt>
                <c:pt idx="204">
                  <c:v>-5.140024293295852</c:v>
                </c:pt>
                <c:pt idx="205">
                  <c:v>-5.1322376567630501</c:v>
                </c:pt>
                <c:pt idx="206">
                  <c:v>-5.1244385817419014</c:v>
                </c:pt>
                <c:pt idx="207">
                  <c:v>-5.1168307651687748</c:v>
                </c:pt>
                <c:pt idx="208">
                  <c:v>-5.1090048963138139</c:v>
                </c:pt>
                <c:pt idx="209">
                  <c:v>-5.1012695903682905</c:v>
                </c:pt>
                <c:pt idx="210">
                  <c:v>-5.0938371696655089</c:v>
                </c:pt>
                <c:pt idx="211">
                  <c:v>-5.0865544636114493</c:v>
                </c:pt>
                <c:pt idx="212">
                  <c:v>-5.0793242587852721</c:v>
                </c:pt>
                <c:pt idx="213">
                  <c:v>-5.0720628573118125</c:v>
                </c:pt>
                <c:pt idx="214">
                  <c:v>-5.0647876044017526</c:v>
                </c:pt>
                <c:pt idx="215">
                  <c:v>-5.0574201225226467</c:v>
                </c:pt>
                <c:pt idx="216">
                  <c:v>-5.0500242210288047</c:v>
                </c:pt>
                <c:pt idx="217">
                  <c:v>-5.0427239854552237</c:v>
                </c:pt>
                <c:pt idx="218">
                  <c:v>-5.0356319106641791</c:v>
                </c:pt>
                <c:pt idx="219">
                  <c:v>-5.028640709172743</c:v>
                </c:pt>
                <c:pt idx="220">
                  <c:v>-5.0220051686541556</c:v>
                </c:pt>
                <c:pt idx="221">
                  <c:v>-5.0154967860494244</c:v>
                </c:pt>
                <c:pt idx="222">
                  <c:v>-5.0088851568378612</c:v>
                </c:pt>
                <c:pt idx="223">
                  <c:v>-5.0024214331870418</c:v>
                </c:pt>
                <c:pt idx="224">
                  <c:v>-4.9958221808759449</c:v>
                </c:pt>
                <c:pt idx="225">
                  <c:v>-4.989125981656068</c:v>
                </c:pt>
                <c:pt idx="226">
                  <c:v>-4.9826498431236415</c:v>
                </c:pt>
                <c:pt idx="227">
                  <c:v>-4.9763200945035706</c:v>
                </c:pt>
                <c:pt idx="228">
                  <c:v>-4.9701669499407481</c:v>
                </c:pt>
                <c:pt idx="229">
                  <c:v>-4.964076670307108</c:v>
                </c:pt>
                <c:pt idx="230">
                  <c:v>-4.9580743099287838</c:v>
                </c:pt>
                <c:pt idx="231">
                  <c:v>-4.9522956589626181</c:v>
                </c:pt>
                <c:pt idx="232">
                  <c:v>-4.9465439074655695</c:v>
                </c:pt>
                <c:pt idx="233">
                  <c:v>-4.9407808540148421</c:v>
                </c:pt>
                <c:pt idx="234">
                  <c:v>-4.9351185773829895</c:v>
                </c:pt>
                <c:pt idx="235">
                  <c:v>-4.9294939720067346</c:v>
                </c:pt>
                <c:pt idx="236">
                  <c:v>-4.9241114701719848</c:v>
                </c:pt>
                <c:pt idx="237">
                  <c:v>-4.9187709452104631</c:v>
                </c:pt>
                <c:pt idx="238">
                  <c:v>-4.9134329144655391</c:v>
                </c:pt>
                <c:pt idx="239">
                  <c:v>-4.9082933914726761</c:v>
                </c:pt>
                <c:pt idx="240">
                  <c:v>-4.9032193802959236</c:v>
                </c:pt>
                <c:pt idx="241">
                  <c:v>-4.8979530502897957</c:v>
                </c:pt>
                <c:pt idx="242">
                  <c:v>-4.8926662615117049</c:v>
                </c:pt>
                <c:pt idx="243">
                  <c:v>-4.8875614542274946</c:v>
                </c:pt>
                <c:pt idx="244">
                  <c:v>-4.8826714468244781</c:v>
                </c:pt>
                <c:pt idx="245">
                  <c:v>-4.8779268934309989</c:v>
                </c:pt>
                <c:pt idx="246">
                  <c:v>-4.8731486025013897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1.5506245596055472</c:v>
                </c:pt>
                <c:pt idx="15">
                  <c:v>1.6330267925866591</c:v>
                </c:pt>
                <c:pt idx="16">
                  <c:v>1.7211713748677124</c:v>
                </c:pt>
                <c:pt idx="17">
                  <c:v>1.813678571045297</c:v>
                </c:pt>
                <c:pt idx="18">
                  <c:v>1.9123450007072529</c:v>
                </c:pt>
                <c:pt idx="19">
                  <c:v>2.0168372034668764</c:v>
                </c:pt>
                <c:pt idx="20">
                  <c:v>2.1271022355098492</c:v>
                </c:pt>
                <c:pt idx="21">
                  <c:v>2.2435844851984621</c:v>
                </c:pt>
                <c:pt idx="22">
                  <c:v>2.3678969720026362</c:v>
                </c:pt>
                <c:pt idx="23">
                  <c:v>2.4998556361177435</c:v>
                </c:pt>
                <c:pt idx="24">
                  <c:v>2.6366503621646</c:v>
                </c:pt>
                <c:pt idx="25">
                  <c:v>2.7820757172988153</c:v>
                </c:pt>
                <c:pt idx="26">
                  <c:v>2.9373771842909937</c:v>
                </c:pt>
                <c:pt idx="27">
                  <c:v>3.1032969130224717</c:v>
                </c:pt>
                <c:pt idx="28">
                  <c:v>3.2779000595433527</c:v>
                </c:pt>
                <c:pt idx="29">
                  <c:v>3.4631326170776182</c:v>
                </c:pt>
                <c:pt idx="30">
                  <c:v>3.6564215014292332</c:v>
                </c:pt>
                <c:pt idx="31">
                  <c:v>3.8579508327695748</c:v>
                </c:pt>
                <c:pt idx="32">
                  <c:v>4.0633904111287746</c:v>
                </c:pt>
                <c:pt idx="33">
                  <c:v>4.2851260014779173</c:v>
                </c:pt>
                <c:pt idx="34">
                  <c:v>4.5172088498725982</c:v>
                </c:pt>
                <c:pt idx="35">
                  <c:v>4.7630311126512312</c:v>
                </c:pt>
                <c:pt idx="36">
                  <c:v>5.0216419219974258</c:v>
                </c:pt>
                <c:pt idx="37">
                  <c:v>5.2958457019043168</c:v>
                </c:pt>
                <c:pt idx="38">
                  <c:v>5.5903227732589196</c:v>
                </c:pt>
                <c:pt idx="39">
                  <c:v>5.9038060415574645</c:v>
                </c:pt>
                <c:pt idx="40">
                  <c:v>6.2331598540818698</c:v>
                </c:pt>
                <c:pt idx="41">
                  <c:v>6.5767184237460423</c:v>
                </c:pt>
                <c:pt idx="42">
                  <c:v>6.9389781349329605</c:v>
                </c:pt>
                <c:pt idx="43">
                  <c:v>7.3159127014104408</c:v>
                </c:pt>
                <c:pt idx="44">
                  <c:v>7.7104805082310799</c:v>
                </c:pt>
                <c:pt idx="45">
                  <c:v>8.125957497671239</c:v>
                </c:pt>
                <c:pt idx="46">
                  <c:v>8.5661733740012949</c:v>
                </c:pt>
                <c:pt idx="47">
                  <c:v>9.0292212958343772</c:v>
                </c:pt>
                <c:pt idx="48">
                  <c:v>9.5184870922439888</c:v>
                </c:pt>
                <c:pt idx="49">
                  <c:v>10.031111466083278</c:v>
                </c:pt>
                <c:pt idx="50">
                  <c:v>10.5639921455007</c:v>
                </c:pt>
                <c:pt idx="51">
                  <c:v>11.123383155326986</c:v>
                </c:pt>
                <c:pt idx="52">
                  <c:v>11.697284055619804</c:v>
                </c:pt>
                <c:pt idx="53">
                  <c:v>12.282995236019003</c:v>
                </c:pt>
                <c:pt idx="54">
                  <c:v>12.899990288326403</c:v>
                </c:pt>
                <c:pt idx="55">
                  <c:v>13.549906103431393</c:v>
                </c:pt>
                <c:pt idx="56">
                  <c:v>14.220171435165799</c:v>
                </c:pt>
                <c:pt idx="57">
                  <c:v>14.923553048092938</c:v>
                </c:pt>
                <c:pt idx="58">
                  <c:v>15.675104206404837</c:v>
                </c:pt>
                <c:pt idx="59">
                  <c:v>16.464046259364764</c:v>
                </c:pt>
                <c:pt idx="60">
                  <c:v>17.256526715243069</c:v>
                </c:pt>
                <c:pt idx="61">
                  <c:v>18.080014618283865</c:v>
                </c:pt>
                <c:pt idx="62">
                  <c:v>18.959177846098765</c:v>
                </c:pt>
                <c:pt idx="63">
                  <c:v>19.847800403892922</c:v>
                </c:pt>
                <c:pt idx="64">
                  <c:v>20.792369603575644</c:v>
                </c:pt>
                <c:pt idx="65">
                  <c:v>21.790302130133348</c:v>
                </c:pt>
                <c:pt idx="66">
                  <c:v>22.814468989802105</c:v>
                </c:pt>
                <c:pt idx="67">
                  <c:v>23.870756067647072</c:v>
                </c:pt>
                <c:pt idx="68">
                  <c:v>24.981009289537727</c:v>
                </c:pt>
                <c:pt idx="69">
                  <c:v>26.1119675608353</c:v>
                </c:pt>
                <c:pt idx="70">
                  <c:v>27.286964015334942</c:v>
                </c:pt>
                <c:pt idx="71">
                  <c:v>28.495851502263033</c:v>
                </c:pt>
                <c:pt idx="72">
                  <c:v>29.760201157907595</c:v>
                </c:pt>
                <c:pt idx="73">
                  <c:v>31.070041503983415</c:v>
                </c:pt>
                <c:pt idx="74">
                  <c:v>32.421460927240567</c:v>
                </c:pt>
                <c:pt idx="75">
                  <c:v>33.784786100609246</c:v>
                </c:pt>
                <c:pt idx="76">
                  <c:v>35.198858500457199</c:v>
                </c:pt>
                <c:pt idx="77">
                  <c:v>36.684628726301781</c:v>
                </c:pt>
                <c:pt idx="78">
                  <c:v>38.210336727713205</c:v>
                </c:pt>
                <c:pt idx="79">
                  <c:v>39.754447911218215</c:v>
                </c:pt>
                <c:pt idx="80">
                  <c:v>41.339182812393538</c:v>
                </c:pt>
                <c:pt idx="81">
                  <c:v>42.973983841827994</c:v>
                </c:pt>
                <c:pt idx="82">
                  <c:v>44.664312808667539</c:v>
                </c:pt>
                <c:pt idx="83">
                  <c:v>46.419213956470493</c:v>
                </c:pt>
                <c:pt idx="84">
                  <c:v>48.216662073011697</c:v>
                </c:pt>
                <c:pt idx="85">
                  <c:v>50.085482717533516</c:v>
                </c:pt>
                <c:pt idx="86">
                  <c:v>51.982386633847291</c:v>
                </c:pt>
                <c:pt idx="87">
                  <c:v>53.903047499560678</c:v>
                </c:pt>
                <c:pt idx="88">
                  <c:v>55.836951047925879</c:v>
                </c:pt>
                <c:pt idx="89">
                  <c:v>57.805257968832535</c:v>
                </c:pt>
                <c:pt idx="90">
                  <c:v>59.836120233844511</c:v>
                </c:pt>
                <c:pt idx="91">
                  <c:v>61.860861800672986</c:v>
                </c:pt>
                <c:pt idx="92">
                  <c:v>63.925493509479146</c:v>
                </c:pt>
                <c:pt idx="93">
                  <c:v>66.031569511742902</c:v>
                </c:pt>
                <c:pt idx="94">
                  <c:v>68.171411913045702</c:v>
                </c:pt>
                <c:pt idx="95">
                  <c:v>70.313789264041532</c:v>
                </c:pt>
                <c:pt idx="96">
                  <c:v>72.451553946482093</c:v>
                </c:pt>
                <c:pt idx="97">
                  <c:v>74.609384569372466</c:v>
                </c:pt>
                <c:pt idx="98">
                  <c:v>76.759926145315831</c:v>
                </c:pt>
                <c:pt idx="99">
                  <c:v>78.945950619687267</c:v>
                </c:pt>
                <c:pt idx="100">
                  <c:v>81.196571059994838</c:v>
                </c:pt>
                <c:pt idx="101">
                  <c:v>83.428045786890181</c:v>
                </c:pt>
                <c:pt idx="102">
                  <c:v>85.656406570463659</c:v>
                </c:pt>
                <c:pt idx="103">
                  <c:v>87.98051740984755</c:v>
                </c:pt>
                <c:pt idx="104">
                  <c:v>90.28771191578322</c:v>
                </c:pt>
                <c:pt idx="105">
                  <c:v>92.61448685975607</c:v>
                </c:pt>
                <c:pt idx="106">
                  <c:v>94.922281487166345</c:v>
                </c:pt>
                <c:pt idx="107">
                  <c:v>97.277401463920441</c:v>
                </c:pt>
                <c:pt idx="108">
                  <c:v>99.621319789206609</c:v>
                </c:pt>
                <c:pt idx="109">
                  <c:v>101.86202347832293</c:v>
                </c:pt>
                <c:pt idx="110">
                  <c:v>104.1327768795089</c:v>
                </c:pt>
                <c:pt idx="111">
                  <c:v>106.37908482346113</c:v>
                </c:pt>
                <c:pt idx="112">
                  <c:v>108.67191079247515</c:v>
                </c:pt>
                <c:pt idx="113">
                  <c:v>111.00162072192364</c:v>
                </c:pt>
                <c:pt idx="114">
                  <c:v>113.39251173111064</c:v>
                </c:pt>
                <c:pt idx="115">
                  <c:v>115.81738204561843</c:v>
                </c:pt>
                <c:pt idx="116">
                  <c:v>118.09604205151737</c:v>
                </c:pt>
                <c:pt idx="117">
                  <c:v>120.30616649722197</c:v>
                </c:pt>
                <c:pt idx="118">
                  <c:v>122.51866957276776</c:v>
                </c:pt>
                <c:pt idx="119">
                  <c:v>124.70571349974685</c:v>
                </c:pt>
                <c:pt idx="120">
                  <c:v>126.86430963050471</c:v>
                </c:pt>
                <c:pt idx="121">
                  <c:v>128.96750132529112</c:v>
                </c:pt>
                <c:pt idx="122">
                  <c:v>131.069973761753</c:v>
                </c:pt>
                <c:pt idx="123">
                  <c:v>133.18034652746485</c:v>
                </c:pt>
                <c:pt idx="124">
                  <c:v>135.22593728536324</c:v>
                </c:pt>
                <c:pt idx="125">
                  <c:v>137.21537769286991</c:v>
                </c:pt>
                <c:pt idx="126">
                  <c:v>139.12538778640763</c:v>
                </c:pt>
                <c:pt idx="127">
                  <c:v>141.03529351722241</c:v>
                </c:pt>
                <c:pt idx="128">
                  <c:v>142.96609958654065</c:v>
                </c:pt>
                <c:pt idx="129">
                  <c:v>144.91955833720627</c:v>
                </c:pt>
                <c:pt idx="130">
                  <c:v>146.83780708733255</c:v>
                </c:pt>
                <c:pt idx="131">
                  <c:v>148.68624840028164</c:v>
                </c:pt>
                <c:pt idx="132">
                  <c:v>150.4993606123989</c:v>
                </c:pt>
                <c:pt idx="133">
                  <c:v>152.28870529291862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22.601917136570989</c:v>
                </c:pt>
                <c:pt idx="1">
                  <c:v>21.814371739796989</c:v>
                </c:pt>
                <c:pt idx="2">
                  <c:v>21.104529821719016</c:v>
                </c:pt>
                <c:pt idx="3">
                  <c:v>20.446216878615317</c:v>
                </c:pt>
                <c:pt idx="4">
                  <c:v>19.823387158419294</c:v>
                </c:pt>
                <c:pt idx="5">
                  <c:v>19.254070839653231</c:v>
                </c:pt>
                <c:pt idx="6">
                  <c:v>18.738342508313671</c:v>
                </c:pt>
                <c:pt idx="7">
                  <c:v>18.273387701121308</c:v>
                </c:pt>
                <c:pt idx="8">
                  <c:v>17.858636059974252</c:v>
                </c:pt>
                <c:pt idx="9">
                  <c:v>17.480066805868837</c:v>
                </c:pt>
                <c:pt idx="10">
                  <c:v>17.15127298346561</c:v>
                </c:pt>
                <c:pt idx="11">
                  <c:v>16.860034941111707</c:v>
                </c:pt>
                <c:pt idx="12">
                  <c:v>16.603517911229339</c:v>
                </c:pt>
                <c:pt idx="13">
                  <c:v>16.390176284001136</c:v>
                </c:pt>
                <c:pt idx="14">
                  <c:v>16.218753076417578</c:v>
                </c:pt>
                <c:pt idx="15">
                  <c:v>15.996083535092435</c:v>
                </c:pt>
                <c:pt idx="16">
                  <c:v>15.795727312631143</c:v>
                </c:pt>
                <c:pt idx="17">
                  <c:v>15.614432609031654</c:v>
                </c:pt>
                <c:pt idx="18">
                  <c:v>15.494943144454943</c:v>
                </c:pt>
                <c:pt idx="19">
                  <c:v>15.405430589059829</c:v>
                </c:pt>
                <c:pt idx="20">
                  <c:v>15.332630086435469</c:v>
                </c:pt>
                <c:pt idx="21">
                  <c:v>15.282990209863463</c:v>
                </c:pt>
                <c:pt idx="22">
                  <c:v>15.254678035984593</c:v>
                </c:pt>
                <c:pt idx="23">
                  <c:v>15.228442885221767</c:v>
                </c:pt>
                <c:pt idx="24">
                  <c:v>15.211981911178993</c:v>
                </c:pt>
                <c:pt idx="25">
                  <c:v>15.198212387113408</c:v>
                </c:pt>
                <c:pt idx="26">
                  <c:v>15.188984655757372</c:v>
                </c:pt>
                <c:pt idx="27">
                  <c:v>15.191915153239899</c:v>
                </c:pt>
                <c:pt idx="28">
                  <c:v>15.202828508926476</c:v>
                </c:pt>
                <c:pt idx="29">
                  <c:v>15.207485693223022</c:v>
                </c:pt>
                <c:pt idx="30">
                  <c:v>15.223668940333825</c:v>
                </c:pt>
                <c:pt idx="31">
                  <c:v>15.229723149487882</c:v>
                </c:pt>
                <c:pt idx="32">
                  <c:v>15.249825067454417</c:v>
                </c:pt>
                <c:pt idx="33">
                  <c:v>15.269354192444194</c:v>
                </c:pt>
                <c:pt idx="34">
                  <c:v>15.268831847882659</c:v>
                </c:pt>
                <c:pt idx="35">
                  <c:v>15.254267715720813</c:v>
                </c:pt>
                <c:pt idx="36">
                  <c:v>15.233171441784787</c:v>
                </c:pt>
                <c:pt idx="37">
                  <c:v>15.196979355964622</c:v>
                </c:pt>
                <c:pt idx="38">
                  <c:v>15.148680506855356</c:v>
                </c:pt>
                <c:pt idx="39">
                  <c:v>15.092712162196122</c:v>
                </c:pt>
                <c:pt idx="40">
                  <c:v>15.028872492557959</c:v>
                </c:pt>
                <c:pt idx="41">
                  <c:v>14.937303893424907</c:v>
                </c:pt>
                <c:pt idx="42">
                  <c:v>14.827247318287061</c:v>
                </c:pt>
                <c:pt idx="43">
                  <c:v>14.704540980116406</c:v>
                </c:pt>
                <c:pt idx="44">
                  <c:v>14.561020007132024</c:v>
                </c:pt>
                <c:pt idx="45">
                  <c:v>14.41773711088031</c:v>
                </c:pt>
                <c:pt idx="46">
                  <c:v>14.245236484585426</c:v>
                </c:pt>
                <c:pt idx="47">
                  <c:v>14.044255743667712</c:v>
                </c:pt>
                <c:pt idx="48">
                  <c:v>13.833007896785606</c:v>
                </c:pt>
                <c:pt idx="49">
                  <c:v>13.60217469820001</c:v>
                </c:pt>
                <c:pt idx="50">
                  <c:v>13.338718395531636</c:v>
                </c:pt>
                <c:pt idx="51">
                  <c:v>13.053405801983766</c:v>
                </c:pt>
                <c:pt idx="52">
                  <c:v>12.736518746829857</c:v>
                </c:pt>
                <c:pt idx="53">
                  <c:v>12.387779125056868</c:v>
                </c:pt>
                <c:pt idx="54">
                  <c:v>12.00692810259264</c:v>
                </c:pt>
                <c:pt idx="55">
                  <c:v>11.589538802586514</c:v>
                </c:pt>
                <c:pt idx="56">
                  <c:v>11.158239254915516</c:v>
                </c:pt>
                <c:pt idx="57">
                  <c:v>10.710852632077488</c:v>
                </c:pt>
                <c:pt idx="58">
                  <c:v>10.222730604035075</c:v>
                </c:pt>
                <c:pt idx="59">
                  <c:v>9.7085234116814938</c:v>
                </c:pt>
                <c:pt idx="60">
                  <c:v>9.1991782404211389</c:v>
                </c:pt>
                <c:pt idx="61">
                  <c:v>8.6560366583011277</c:v>
                </c:pt>
                <c:pt idx="62">
                  <c:v>8.0632343776457223</c:v>
                </c:pt>
                <c:pt idx="63">
                  <c:v>7.4506919350067111</c:v>
                </c:pt>
                <c:pt idx="64">
                  <c:v>6.7755791418605975</c:v>
                </c:pt>
                <c:pt idx="65">
                  <c:v>6.0590615704577511</c:v>
                </c:pt>
                <c:pt idx="66">
                  <c:v>5.3035200676794689</c:v>
                </c:pt>
                <c:pt idx="67">
                  <c:v>4.5420874439413224</c:v>
                </c:pt>
                <c:pt idx="68">
                  <c:v>3.73128875898965</c:v>
                </c:pt>
                <c:pt idx="69">
                  <c:v>2.8845523803539441</c:v>
                </c:pt>
                <c:pt idx="70">
                  <c:v>1.9883756826446004</c:v>
                </c:pt>
                <c:pt idx="71">
                  <c:v>1.0576372109182577</c:v>
                </c:pt>
                <c:pt idx="72">
                  <c:v>7.5437912047383149E-2</c:v>
                </c:pt>
                <c:pt idx="73">
                  <c:v>-0.95366883231939226</c:v>
                </c:pt>
                <c:pt idx="74">
                  <c:v>-2.0320067915354914</c:v>
                </c:pt>
                <c:pt idx="75">
                  <c:v>-3.1373940544115966</c:v>
                </c:pt>
                <c:pt idx="76">
                  <c:v>-4.287346350681144</c:v>
                </c:pt>
                <c:pt idx="77">
                  <c:v>-5.5153237170464537</c:v>
                </c:pt>
                <c:pt idx="78">
                  <c:v>-6.782175286077976</c:v>
                </c:pt>
                <c:pt idx="79">
                  <c:v>-8.0711591783379557</c:v>
                </c:pt>
                <c:pt idx="80">
                  <c:v>-9.4069203868680908</c:v>
                </c:pt>
                <c:pt idx="81">
                  <c:v>-10.797984557485236</c:v>
                </c:pt>
                <c:pt idx="82">
                  <c:v>-12.235977169815824</c:v>
                </c:pt>
                <c:pt idx="83">
                  <c:v>-13.747401412104143</c:v>
                </c:pt>
                <c:pt idx="84">
                  <c:v>-15.302297763130147</c:v>
                </c:pt>
                <c:pt idx="85">
                  <c:v>-16.921629777733187</c:v>
                </c:pt>
                <c:pt idx="86">
                  <c:v>-18.58266417282173</c:v>
                </c:pt>
                <c:pt idx="87">
                  <c:v>-20.266576504317815</c:v>
                </c:pt>
                <c:pt idx="88">
                  <c:v>-21.973519402619551</c:v>
                </c:pt>
                <c:pt idx="89">
                  <c:v>-23.70940449940499</c:v>
                </c:pt>
                <c:pt idx="90">
                  <c:v>-25.502584085267891</c:v>
                </c:pt>
                <c:pt idx="91">
                  <c:v>-27.304256913940996</c:v>
                </c:pt>
                <c:pt idx="92">
                  <c:v>-29.150977927952642</c:v>
                </c:pt>
                <c:pt idx="93">
                  <c:v>-31.033640126533776</c:v>
                </c:pt>
                <c:pt idx="94">
                  <c:v>-32.951643229006834</c:v>
                </c:pt>
                <c:pt idx="95">
                  <c:v>-34.87241261498994</c:v>
                </c:pt>
                <c:pt idx="96">
                  <c:v>-36.783431916863059</c:v>
                </c:pt>
                <c:pt idx="97">
                  <c:v>-38.715346741060138</c:v>
                </c:pt>
                <c:pt idx="98">
                  <c:v>-40.644294225966163</c:v>
                </c:pt>
                <c:pt idx="99">
                  <c:v>-42.601036062695421</c:v>
                </c:pt>
                <c:pt idx="100">
                  <c:v>-44.618703224897892</c:v>
                </c:pt>
                <c:pt idx="101">
                  <c:v>-46.618377670847181</c:v>
                </c:pt>
                <c:pt idx="102">
                  <c:v>-48.616334229784513</c:v>
                </c:pt>
                <c:pt idx="103">
                  <c:v>-50.693642769464731</c:v>
                </c:pt>
                <c:pt idx="104">
                  <c:v>-52.756246497593558</c:v>
                </c:pt>
                <c:pt idx="105">
                  <c:v>-54.835105744895877</c:v>
                </c:pt>
                <c:pt idx="106">
                  <c:v>-56.899398173073692</c:v>
                </c:pt>
                <c:pt idx="107">
                  <c:v>-59.010627917208083</c:v>
                </c:pt>
                <c:pt idx="108">
                  <c:v>-61.104738096849509</c:v>
                </c:pt>
                <c:pt idx="109">
                  <c:v>-63.103354264518345</c:v>
                </c:pt>
                <c:pt idx="110">
                  <c:v>-65.129379738237148</c:v>
                </c:pt>
                <c:pt idx="111">
                  <c:v>-67.123360068188362</c:v>
                </c:pt>
                <c:pt idx="112">
                  <c:v>-69.1307421751265</c:v>
                </c:pt>
                <c:pt idx="113">
                  <c:v>-71.163028150307028</c:v>
                </c:pt>
                <c:pt idx="114">
                  <c:v>-73.242223383190947</c:v>
                </c:pt>
                <c:pt idx="115">
                  <c:v>-75.33733601574086</c:v>
                </c:pt>
                <c:pt idx="116">
                  <c:v>-77.302442870929625</c:v>
                </c:pt>
                <c:pt idx="117">
                  <c:v>-79.209694273111722</c:v>
                </c:pt>
                <c:pt idx="118">
                  <c:v>-81.118070330731101</c:v>
                </c:pt>
                <c:pt idx="119">
                  <c:v>-83.003995174548393</c:v>
                </c:pt>
                <c:pt idx="120">
                  <c:v>-84.864699751541309</c:v>
                </c:pt>
                <c:pt idx="121">
                  <c:v>-86.677362317023821</c:v>
                </c:pt>
                <c:pt idx="122">
                  <c:v>-88.487563534873374</c:v>
                </c:pt>
                <c:pt idx="123">
                  <c:v>-90.302192888577736</c:v>
                </c:pt>
                <c:pt idx="124">
                  <c:v>-92.06031810563951</c:v>
                </c:pt>
                <c:pt idx="125">
                  <c:v>-93.768974235949045</c:v>
                </c:pt>
                <c:pt idx="126">
                  <c:v>-95.408505680669506</c:v>
                </c:pt>
                <c:pt idx="127">
                  <c:v>-97.04529065967219</c:v>
                </c:pt>
                <c:pt idx="128">
                  <c:v>-98.696533664856744</c:v>
                </c:pt>
                <c:pt idx="129">
                  <c:v>-100.3631740703031</c:v>
                </c:pt>
                <c:pt idx="130">
                  <c:v>-101.99694839881859</c:v>
                </c:pt>
                <c:pt idx="131">
                  <c:v>-103.56916944711081</c:v>
                </c:pt>
                <c:pt idx="132">
                  <c:v>-105.10832659785845</c:v>
                </c:pt>
                <c:pt idx="133">
                  <c:v>-106.6238603158897</c:v>
                </c:pt>
                <c:pt idx="134">
                  <c:v>-108.07097223310959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0.25634143592630726</c:v>
                </c:pt>
                <c:pt idx="1">
                  <c:v>0.50348571669881148</c:v>
                </c:pt>
                <c:pt idx="2">
                  <c:v>0.73303143424212225</c:v>
                </c:pt>
                <c:pt idx="3">
                  <c:v>0.95704496398382477</c:v>
                </c:pt>
                <c:pt idx="4">
                  <c:v>1.1820986968219958</c:v>
                </c:pt>
                <c:pt idx="5">
                  <c:v>1.412623920259251</c:v>
                </c:pt>
                <c:pt idx="6">
                  <c:v>1.6503055322677083</c:v>
                </c:pt>
                <c:pt idx="7">
                  <c:v>1.8756549383149039</c:v>
                </c:pt>
                <c:pt idx="8">
                  <c:v>2.0889335273403944</c:v>
                </c:pt>
                <c:pt idx="9">
                  <c:v>2.2964411704278294</c:v>
                </c:pt>
                <c:pt idx="10">
                  <c:v>2.5148878460413493</c:v>
                </c:pt>
                <c:pt idx="11">
                  <c:v>2.7353918234273173</c:v>
                </c:pt>
                <c:pt idx="12">
                  <c:v>2.9481030238991917</c:v>
                </c:pt>
                <c:pt idx="13">
                  <c:v>3.1645262567374974</c:v>
                </c:pt>
                <c:pt idx="14">
                  <c:v>3.3807531125052761</c:v>
                </c:pt>
                <c:pt idx="15">
                  <c:v>3.5961151290209399</c:v>
                </c:pt>
                <c:pt idx="16">
                  <c:v>3.8144135016103302</c:v>
                </c:pt>
                <c:pt idx="17">
                  <c:v>4.0241169672066572</c:v>
                </c:pt>
                <c:pt idx="18">
                  <c:v>4.2774581609809887</c:v>
                </c:pt>
                <c:pt idx="19">
                  <c:v>4.5405747406618895</c:v>
                </c:pt>
                <c:pt idx="20">
                  <c:v>4.8004366952525057</c:v>
                </c:pt>
                <c:pt idx="21">
                  <c:v>5.0657967583705927</c:v>
                </c:pt>
                <c:pt idx="22">
                  <c:v>5.3400451656696246</c:v>
                </c:pt>
                <c:pt idx="23">
                  <c:v>5.6031761499082666</c:v>
                </c:pt>
                <c:pt idx="24">
                  <c:v>5.8571648025813214</c:v>
                </c:pt>
                <c:pt idx="25">
                  <c:v>6.1050611654131659</c:v>
                </c:pt>
                <c:pt idx="26">
                  <c:v>6.3511862219039266</c:v>
                </c:pt>
                <c:pt idx="27">
                  <c:v>6.6043458773303279</c:v>
                </c:pt>
                <c:pt idx="28">
                  <c:v>6.8576317147889325</c:v>
                </c:pt>
                <c:pt idx="29">
                  <c:v>7.1006417063825058</c:v>
                </c:pt>
                <c:pt idx="30">
                  <c:v>7.3487038053551146</c:v>
                </c:pt>
                <c:pt idx="31">
                  <c:v>7.5819756729884711</c:v>
                </c:pt>
                <c:pt idx="32">
                  <c:v>7.8215112872360528</c:v>
                </c:pt>
                <c:pt idx="33">
                  <c:v>8.0671392129396704</c:v>
                </c:pt>
                <c:pt idx="34">
                  <c:v>8.293656756761056</c:v>
                </c:pt>
                <c:pt idx="35">
                  <c:v>8.511123092519508</c:v>
                </c:pt>
                <c:pt idx="36">
                  <c:v>8.7268238671072655</c:v>
                </c:pt>
                <c:pt idx="37">
                  <c:v>8.936657233183178</c:v>
                </c:pt>
                <c:pt idx="38">
                  <c:v>9.1483826377112756</c:v>
                </c:pt>
                <c:pt idx="39">
                  <c:v>9.3645256149775129</c:v>
                </c:pt>
                <c:pt idx="40">
                  <c:v>9.5822905025712029</c:v>
                </c:pt>
                <c:pt idx="41">
                  <c:v>9.7864066276471267</c:v>
                </c:pt>
                <c:pt idx="42">
                  <c:v>9.9879888119722704</c:v>
                </c:pt>
                <c:pt idx="43">
                  <c:v>10.18807953850345</c:v>
                </c:pt>
                <c:pt idx="44">
                  <c:v>10.383755632391278</c:v>
                </c:pt>
                <c:pt idx="45">
                  <c:v>10.591462186620106</c:v>
                </c:pt>
                <c:pt idx="46">
                  <c:v>10.794631854797933</c:v>
                </c:pt>
                <c:pt idx="47">
                  <c:v>10.992668199457576</c:v>
                </c:pt>
                <c:pt idx="48">
                  <c:v>11.199567973600768</c:v>
                </c:pt>
                <c:pt idx="49">
                  <c:v>11.407309057871126</c:v>
                </c:pt>
                <c:pt idx="50">
                  <c:v>11.605724010671942</c:v>
                </c:pt>
                <c:pt idx="51">
                  <c:v>11.806011542756041</c:v>
                </c:pt>
                <c:pt idx="52">
                  <c:v>11.994097080153587</c:v>
                </c:pt>
                <c:pt idx="53">
                  <c:v>12.168469677075853</c:v>
                </c:pt>
                <c:pt idx="54">
                  <c:v>12.342282421998487</c:v>
                </c:pt>
                <c:pt idx="55">
                  <c:v>12.514050012920604</c:v>
                </c:pt>
                <c:pt idx="56">
                  <c:v>12.688305549314446</c:v>
                </c:pt>
                <c:pt idx="57">
                  <c:v>12.87227550867032</c:v>
                </c:pt>
                <c:pt idx="58">
                  <c:v>13.061367111982378</c:v>
                </c:pt>
                <c:pt idx="59">
                  <c:v>13.257009253646702</c:v>
                </c:pt>
                <c:pt idx="60">
                  <c:v>13.457157707977217</c:v>
                </c:pt>
                <c:pt idx="61">
                  <c:v>13.654686093585958</c:v>
                </c:pt>
                <c:pt idx="62">
                  <c:v>13.855814155500067</c:v>
                </c:pt>
                <c:pt idx="63">
                  <c:v>14.049734071592891</c:v>
                </c:pt>
                <c:pt idx="64">
                  <c:v>14.24012644693993</c:v>
                </c:pt>
                <c:pt idx="65">
                  <c:v>14.438331758265297</c:v>
                </c:pt>
                <c:pt idx="66">
                  <c:v>14.628286800375898</c:v>
                </c:pt>
                <c:pt idx="67">
                  <c:v>14.840724903317586</c:v>
                </c:pt>
                <c:pt idx="68">
                  <c:v>15.057060038601056</c:v>
                </c:pt>
                <c:pt idx="69">
                  <c:v>15.260652239100509</c:v>
                </c:pt>
                <c:pt idx="70">
                  <c:v>15.459280464438489</c:v>
                </c:pt>
                <c:pt idx="71">
                  <c:v>15.658605281938819</c:v>
                </c:pt>
                <c:pt idx="72">
                  <c:v>15.861698320615231</c:v>
                </c:pt>
                <c:pt idx="73">
                  <c:v>16.064065551778203</c:v>
                </c:pt>
                <c:pt idx="74">
                  <c:v>16.259830630414008</c:v>
                </c:pt>
                <c:pt idx="75">
                  <c:v>16.44359140170619</c:v>
                </c:pt>
                <c:pt idx="76">
                  <c:v>16.633778139357087</c:v>
                </c:pt>
                <c:pt idx="77">
                  <c:v>16.819003138366934</c:v>
                </c:pt>
                <c:pt idx="78">
                  <c:v>17.005075364307313</c:v>
                </c:pt>
                <c:pt idx="79">
                  <c:v>17.189202661191963</c:v>
                </c:pt>
                <c:pt idx="80">
                  <c:v>17.369057733138995</c:v>
                </c:pt>
                <c:pt idx="81">
                  <c:v>17.546114735976033</c:v>
                </c:pt>
                <c:pt idx="82">
                  <c:v>17.72959445196242</c:v>
                </c:pt>
                <c:pt idx="83">
                  <c:v>17.907891810813261</c:v>
                </c:pt>
                <c:pt idx="84">
                  <c:v>18.085904229654535</c:v>
                </c:pt>
                <c:pt idx="85">
                  <c:v>18.269249095991931</c:v>
                </c:pt>
                <c:pt idx="86">
                  <c:v>18.44396987468113</c:v>
                </c:pt>
                <c:pt idx="87">
                  <c:v>18.619213757527323</c:v>
                </c:pt>
                <c:pt idx="88">
                  <c:v>18.788014328997956</c:v>
                </c:pt>
                <c:pt idx="89">
                  <c:v>18.960589638358805</c:v>
                </c:pt>
                <c:pt idx="90">
                  <c:v>19.1374017608758</c:v>
                </c:pt>
                <c:pt idx="91">
                  <c:v>19.30433049866641</c:v>
                </c:pt>
                <c:pt idx="92">
                  <c:v>19.468326580392684</c:v>
                </c:pt>
                <c:pt idx="93">
                  <c:v>19.636381602401766</c:v>
                </c:pt>
                <c:pt idx="94">
                  <c:v>19.803783064749258</c:v>
                </c:pt>
                <c:pt idx="95">
                  <c:v>19.970988165724773</c:v>
                </c:pt>
                <c:pt idx="96">
                  <c:v>20.14489269331284</c:v>
                </c:pt>
                <c:pt idx="97">
                  <c:v>20.318987900964025</c:v>
                </c:pt>
                <c:pt idx="98">
                  <c:v>20.49039135753652</c:v>
                </c:pt>
                <c:pt idx="99">
                  <c:v>20.669973758769306</c:v>
                </c:pt>
                <c:pt idx="100">
                  <c:v>20.853004889509439</c:v>
                </c:pt>
                <c:pt idx="101">
                  <c:v>21.036608037864475</c:v>
                </c:pt>
                <c:pt idx="102">
                  <c:v>21.220054428330457</c:v>
                </c:pt>
                <c:pt idx="103">
                  <c:v>21.41891151777844</c:v>
                </c:pt>
                <c:pt idx="104">
                  <c:v>21.617039979330894</c:v>
                </c:pt>
                <c:pt idx="105">
                  <c:v>21.819111529073094</c:v>
                </c:pt>
                <c:pt idx="106">
                  <c:v>22.018125969490818</c:v>
                </c:pt>
                <c:pt idx="107">
                  <c:v>22.217481391142677</c:v>
                </c:pt>
                <c:pt idx="108">
                  <c:v>22.423842433169654</c:v>
                </c:pt>
                <c:pt idx="109">
                  <c:v>22.62520076738873</c:v>
                </c:pt>
                <c:pt idx="110">
                  <c:v>22.829338050464397</c:v>
                </c:pt>
                <c:pt idx="111">
                  <c:v>23.042157892743205</c:v>
                </c:pt>
                <c:pt idx="112">
                  <c:v>23.28787958990711</c:v>
                </c:pt>
                <c:pt idx="113">
                  <c:v>23.545517190327065</c:v>
                </c:pt>
                <c:pt idx="114">
                  <c:v>23.816906092740318</c:v>
                </c:pt>
                <c:pt idx="115">
                  <c:v>24.106296633591441</c:v>
                </c:pt>
                <c:pt idx="116">
                  <c:v>24.382510035411432</c:v>
                </c:pt>
                <c:pt idx="117">
                  <c:v>24.649579545056334</c:v>
                </c:pt>
                <c:pt idx="118">
                  <c:v>24.918235740336414</c:v>
                </c:pt>
                <c:pt idx="119">
                  <c:v>25.184626992606674</c:v>
                </c:pt>
                <c:pt idx="120">
                  <c:v>25.448540283447254</c:v>
                </c:pt>
                <c:pt idx="121">
                  <c:v>25.706209656763921</c:v>
                </c:pt>
                <c:pt idx="122">
                  <c:v>25.965876049177101</c:v>
                </c:pt>
                <c:pt idx="123">
                  <c:v>26.229115980963851</c:v>
                </c:pt>
                <c:pt idx="124">
                  <c:v>26.485238630633429</c:v>
                </c:pt>
                <c:pt idx="125">
                  <c:v>26.735666143444753</c:v>
                </c:pt>
                <c:pt idx="126">
                  <c:v>26.97705933248314</c:v>
                </c:pt>
                <c:pt idx="127">
                  <c:v>27.221227049342225</c:v>
                </c:pt>
                <c:pt idx="128">
                  <c:v>27.47165456215355</c:v>
                </c:pt>
                <c:pt idx="129">
                  <c:v>27.729102626115161</c:v>
                </c:pt>
                <c:pt idx="130">
                  <c:v>27.984784401003552</c:v>
                </c:pt>
                <c:pt idx="131">
                  <c:v>28.233258794054475</c:v>
                </c:pt>
                <c:pt idx="132">
                  <c:v>28.480004959891577</c:v>
                </c:pt>
                <c:pt idx="133">
                  <c:v>28.726966748784353</c:v>
                </c:pt>
                <c:pt idx="134">
                  <c:v>28.965393813160567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-1.0890372760771951</c:v>
                </c:pt>
                <c:pt idx="2">
                  <c:v>-2.1237269536236996</c:v>
                </c:pt>
                <c:pt idx="3">
                  <c:v>-3.063114589244984</c:v>
                </c:pt>
                <c:pt idx="4">
                  <c:v>-3.945441062090385</c:v>
                </c:pt>
                <c:pt idx="5">
                  <c:v>-4.7933245151245796</c:v>
                </c:pt>
                <c:pt idx="6">
                  <c:v>-5.5931660573278972</c:v>
                </c:pt>
                <c:pt idx="7">
                  <c:v>-6.3465760006759151</c:v>
                </c:pt>
                <c:pt idx="8">
                  <c:v>-7.0368802139154774</c:v>
                </c:pt>
                <c:pt idx="9">
                  <c:v>-7.6649104440880205</c:v>
                </c:pt>
                <c:pt idx="10">
                  <c:v>-8.2509873412808723</c:v>
                </c:pt>
                <c:pt idx="11">
                  <c:v>-8.7982278392976205</c:v>
                </c:pt>
                <c:pt idx="12">
                  <c:v>-9.3099698590374889</c:v>
                </c:pt>
                <c:pt idx="13">
                  <c:v>-9.779198089391727</c:v>
                </c:pt>
                <c:pt idx="14">
                  <c:v>-10.208962949458236</c:v>
                </c:pt>
                <c:pt idx="15">
                  <c:v>-10.596613012809572</c:v>
                </c:pt>
                <c:pt idx="16">
                  <c:v>-10.952242337669267</c:v>
                </c:pt>
                <c:pt idx="17">
                  <c:v>-11.282752350438896</c:v>
                </c:pt>
                <c:pt idx="18">
                  <c:v>-11.581243323457128</c:v>
                </c:pt>
                <c:pt idx="19">
                  <c:v>-11.855407552146216</c:v>
                </c:pt>
                <c:pt idx="20">
                  <c:v>-12.103544484462608</c:v>
                </c:pt>
                <c:pt idx="21">
                  <c:v>-12.325941909634613</c:v>
                </c:pt>
                <c:pt idx="22">
                  <c:v>-12.524459599636094</c:v>
                </c:pt>
                <c:pt idx="23">
                  <c:v>-12.702707694009822</c:v>
                </c:pt>
                <c:pt idx="24">
                  <c:v>-12.860115164896184</c:v>
                </c:pt>
                <c:pt idx="25">
                  <c:v>-12.993770065565156</c:v>
                </c:pt>
                <c:pt idx="26">
                  <c:v>-13.110010597328371</c:v>
                </c:pt>
                <c:pt idx="27">
                  <c:v>-13.210061918182989</c:v>
                </c:pt>
                <c:pt idx="28">
                  <c:v>-13.294371347395385</c:v>
                </c:pt>
                <c:pt idx="29">
                  <c:v>-13.362140682646531</c:v>
                </c:pt>
                <c:pt idx="30">
                  <c:v>-13.415260932409295</c:v>
                </c:pt>
                <c:pt idx="31">
                  <c:v>-13.453850899919486</c:v>
                </c:pt>
                <c:pt idx="32">
                  <c:v>-13.479539227058444</c:v>
                </c:pt>
                <c:pt idx="33">
                  <c:v>-13.493533344980291</c:v>
                </c:pt>
                <c:pt idx="34">
                  <c:v>-13.497896555344989</c:v>
                </c:pt>
                <c:pt idx="35">
                  <c:v>-13.492853595333228</c:v>
                </c:pt>
                <c:pt idx="36">
                  <c:v>-13.479061800474893</c:v>
                </c:pt>
                <c:pt idx="37">
                  <c:v>-13.457248039652482</c:v>
                </c:pt>
                <c:pt idx="38">
                  <c:v>-13.429069711641668</c:v>
                </c:pt>
                <c:pt idx="39">
                  <c:v>-13.394616893924431</c:v>
                </c:pt>
                <c:pt idx="40">
                  <c:v>-13.353244947551358</c:v>
                </c:pt>
                <c:pt idx="41">
                  <c:v>-13.305495692258807</c:v>
                </c:pt>
                <c:pt idx="42">
                  <c:v>-13.257621846803611</c:v>
                </c:pt>
                <c:pt idx="43">
                  <c:v>-13.207000895079682</c:v>
                </c:pt>
                <c:pt idx="44">
                  <c:v>-13.152863393304036</c:v>
                </c:pt>
                <c:pt idx="45">
                  <c:v>-13.097492653355607</c:v>
                </c:pt>
                <c:pt idx="46">
                  <c:v>-13.033005114395989</c:v>
                </c:pt>
                <c:pt idx="47">
                  <c:v>-12.968459532538644</c:v>
                </c:pt>
                <c:pt idx="48">
                  <c:v>-12.904428696282919</c:v>
                </c:pt>
                <c:pt idx="49">
                  <c:v>-12.833310520898605</c:v>
                </c:pt>
                <c:pt idx="50">
                  <c:v>-12.759260429915271</c:v>
                </c:pt>
                <c:pt idx="51">
                  <c:v>-12.688251005967038</c:v>
                </c:pt>
                <c:pt idx="52">
                  <c:v>-12.614460121772721</c:v>
                </c:pt>
                <c:pt idx="53">
                  <c:v>-12.545531814031358</c:v>
                </c:pt>
                <c:pt idx="54">
                  <c:v>-12.482932852327414</c:v>
                </c:pt>
                <c:pt idx="55">
                  <c:v>-12.420601567406875</c:v>
                </c:pt>
                <c:pt idx="56">
                  <c:v>-12.359842643230129</c:v>
                </c:pt>
                <c:pt idx="57">
                  <c:v>-12.295132395560563</c:v>
                </c:pt>
                <c:pt idx="58">
                  <c:v>-12.223107364827326</c:v>
                </c:pt>
                <c:pt idx="59">
                  <c:v>-12.148769837869898</c:v>
                </c:pt>
                <c:pt idx="60">
                  <c:v>-12.069677118927876</c:v>
                </c:pt>
                <c:pt idx="61">
                  <c:v>-11.986690288640441</c:v>
                </c:pt>
                <c:pt idx="62">
                  <c:v>-11.903872353328397</c:v>
                </c:pt>
                <c:pt idx="63">
                  <c:v>-11.818639468083012</c:v>
                </c:pt>
                <c:pt idx="64">
                  <c:v>-11.736479269020689</c:v>
                </c:pt>
                <c:pt idx="65">
                  <c:v>-11.657415237831122</c:v>
                </c:pt>
                <c:pt idx="66">
                  <c:v>-11.574205594001631</c:v>
                </c:pt>
                <c:pt idx="67">
                  <c:v>-11.495535279221757</c:v>
                </c:pt>
                <c:pt idx="68">
                  <c:v>-11.413118928056624</c:v>
                </c:pt>
                <c:pt idx="69">
                  <c:v>-11.329999526401112</c:v>
                </c:pt>
                <c:pt idx="70">
                  <c:v>-11.249369834238697</c:v>
                </c:pt>
                <c:pt idx="71">
                  <c:v>-11.16917830278638</c:v>
                </c:pt>
                <c:pt idx="72">
                  <c:v>-11.090354105084961</c:v>
                </c:pt>
                <c:pt idx="73">
                  <c:v>-11.011296786987685</c:v>
                </c:pt>
                <c:pt idx="74">
                  <c:v>-10.932930416441613</c:v>
                </c:pt>
                <c:pt idx="75">
                  <c:v>-10.855614031036366</c:v>
                </c:pt>
                <c:pt idx="76">
                  <c:v>-10.781436891835975</c:v>
                </c:pt>
                <c:pt idx="77">
                  <c:v>-10.707503525908468</c:v>
                </c:pt>
                <c:pt idx="78">
                  <c:v>-10.634935665439041</c:v>
                </c:pt>
                <c:pt idx="79">
                  <c:v>-10.562151458999519</c:v>
                </c:pt>
                <c:pt idx="80">
                  <c:v>-10.49115146463914</c:v>
                </c:pt>
                <c:pt idx="81">
                  <c:v>-10.422032843940984</c:v>
                </c:pt>
                <c:pt idx="82">
                  <c:v>-10.355352987960714</c:v>
                </c:pt>
                <c:pt idx="83">
                  <c:v>-10.286496349438146</c:v>
                </c:pt>
                <c:pt idx="84">
                  <c:v>-10.221316802774354</c:v>
                </c:pt>
                <c:pt idx="85">
                  <c:v>-10.156777456100428</c:v>
                </c:pt>
                <c:pt idx="86">
                  <c:v>-10.090633692519049</c:v>
                </c:pt>
                <c:pt idx="87">
                  <c:v>-10.029484949983017</c:v>
                </c:pt>
                <c:pt idx="88">
                  <c:v>-9.9679802986119075</c:v>
                </c:pt>
                <c:pt idx="89">
                  <c:v>-9.9098202200190748</c:v>
                </c:pt>
                <c:pt idx="90">
                  <c:v>-9.8499737052587051</c:v>
                </c:pt>
                <c:pt idx="91">
                  <c:v>-9.7891031486266247</c:v>
                </c:pt>
                <c:pt idx="92">
                  <c:v>-9.732963148261863</c:v>
                </c:pt>
                <c:pt idx="93">
                  <c:v>-9.6790485351936226</c:v>
                </c:pt>
                <c:pt idx="94">
                  <c:v>-9.6236897535200843</c:v>
                </c:pt>
                <c:pt idx="95">
                  <c:v>-9.5692519170378301</c:v>
                </c:pt>
                <c:pt idx="96">
                  <c:v>-9.514849053000626</c:v>
                </c:pt>
                <c:pt idx="97">
                  <c:v>-9.4620082000212484</c:v>
                </c:pt>
                <c:pt idx="98">
                  <c:v>-9.4101876089791396</c:v>
                </c:pt>
                <c:pt idx="99">
                  <c:v>-9.3599969745142939</c:v>
                </c:pt>
                <c:pt idx="100">
                  <c:v>-9.3102967381048991</c:v>
                </c:pt>
                <c:pt idx="101">
                  <c:v>-9.2603745907399322</c:v>
                </c:pt>
                <c:pt idx="102">
                  <c:v>-9.2121774581489131</c:v>
                </c:pt>
                <c:pt idx="103">
                  <c:v>-9.1652196239787447</c:v>
                </c:pt>
                <c:pt idx="104">
                  <c:v>-9.1172744137230506</c:v>
                </c:pt>
                <c:pt idx="105">
                  <c:v>-9.0708120974686661</c:v>
                </c:pt>
                <c:pt idx="106">
                  <c:v>-9.0249679505403329</c:v>
                </c:pt>
                <c:pt idx="107">
                  <c:v>-8.9804801917255972</c:v>
                </c:pt>
                <c:pt idx="108">
                  <c:v>-8.9359453807577474</c:v>
                </c:pt>
                <c:pt idx="109">
                  <c:v>-8.8924982771399836</c:v>
                </c:pt>
                <c:pt idx="110">
                  <c:v>-8.8517690899115848</c:v>
                </c:pt>
                <c:pt idx="111">
                  <c:v>-8.8111784455200812</c:v>
                </c:pt>
                <c:pt idx="112">
                  <c:v>-8.7716706737978676</c:v>
                </c:pt>
                <c:pt idx="113">
                  <c:v>-8.7319485088858926</c:v>
                </c:pt>
                <c:pt idx="114">
                  <c:v>-8.6921621550378809</c:v>
                </c:pt>
                <c:pt idx="115">
                  <c:v>-8.6518552811480482</c:v>
                </c:pt>
                <c:pt idx="116">
                  <c:v>-8.6114881400412955</c:v>
                </c:pt>
                <c:pt idx="117">
                  <c:v>-8.5741483911511089</c:v>
                </c:pt>
                <c:pt idx="118">
                  <c:v>-8.5383448572735148</c:v>
                </c:pt>
                <c:pt idx="119">
                  <c:v>-8.5028740346271903</c:v>
                </c:pt>
                <c:pt idx="120">
                  <c:v>-8.4681462037356496</c:v>
                </c:pt>
                <c:pt idx="121">
                  <c:v>-8.4341679408112888</c:v>
                </c:pt>
                <c:pt idx="122">
                  <c:v>-8.4013081848240549</c:v>
                </c:pt>
                <c:pt idx="123">
                  <c:v>-8.3687033586249058</c:v>
                </c:pt>
                <c:pt idx="124">
                  <c:v>-8.3361998784041873</c:v>
                </c:pt>
                <c:pt idx="125">
                  <c:v>-8.3048569872371374</c:v>
                </c:pt>
                <c:pt idx="126">
                  <c:v>-8.2745002228513425</c:v>
                </c:pt>
                <c:pt idx="127">
                  <c:v>-8.2454147630724712</c:v>
                </c:pt>
                <c:pt idx="128">
                  <c:v>-8.216461728119457</c:v>
                </c:pt>
                <c:pt idx="129">
                  <c:v>-8.1873261767970984</c:v>
                </c:pt>
                <c:pt idx="130">
                  <c:v>-8.1579558955394482</c:v>
                </c:pt>
                <c:pt idx="131">
                  <c:v>-8.1291632488170436</c:v>
                </c:pt>
                <c:pt idx="132">
                  <c:v>-8.1014173772111029</c:v>
                </c:pt>
                <c:pt idx="133">
                  <c:v>-8.0742084816785944</c:v>
                </c:pt>
                <c:pt idx="134">
                  <c:v>-8.0473593080829033</c:v>
                </c:pt>
                <c:pt idx="135">
                  <c:v>-8.0216035825976135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119.89999999999999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119.07499999999999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117.875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</c:v>
                </c:pt>
                <c:pt idx="157">
                  <c:v>120</c:v>
                </c:pt>
                <c:pt idx="158">
                  <c:v>119.49999999999999</c:v>
                </c:pt>
                <c:pt idx="159">
                  <c:v>118.97515689662239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118.7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117.5</c:v>
                </c:pt>
                <c:pt idx="172">
                  <c:v>113.27503015181954</c:v>
                </c:pt>
                <c:pt idx="173">
                  <c:v>113.2250857225709</c:v>
                </c:pt>
                <c:pt idx="174">
                  <c:v>114.32512795959903</c:v>
                </c:pt>
                <c:pt idx="175">
                  <c:v>117.02516029029979</c:v>
                </c:pt>
                <c:pt idx="176">
                  <c:v>117.15017230403811</c:v>
                </c:pt>
                <c:pt idx="177">
                  <c:v>113.17518141326923</c:v>
                </c:pt>
                <c:pt idx="178">
                  <c:v>106.95019714544856</c:v>
                </c:pt>
                <c:pt idx="179">
                  <c:v>107.25021929607391</c:v>
                </c:pt>
                <c:pt idx="180">
                  <c:v>110.30023366464775</c:v>
                </c:pt>
                <c:pt idx="181">
                  <c:v>108.57524247049831</c:v>
                </c:pt>
                <c:pt idx="182">
                  <c:v>105.32525035402958</c:v>
                </c:pt>
                <c:pt idx="183">
                  <c:v>100.22525897586802</c:v>
                </c:pt>
                <c:pt idx="184">
                  <c:v>96.200267559513449</c:v>
                </c:pt>
                <c:pt idx="185">
                  <c:v>89.175275341506861</c:v>
                </c:pt>
                <c:pt idx="186">
                  <c:v>87.100281909318866</c:v>
                </c:pt>
                <c:pt idx="187">
                  <c:v>86.675287370511569</c:v>
                </c:pt>
                <c:pt idx="188">
                  <c:v>93.557747692586673</c:v>
                </c:pt>
                <c:pt idx="189">
                  <c:v>94.982750288826125</c:v>
                </c:pt>
                <c:pt idx="190">
                  <c:v>97.132751952449325</c:v>
                </c:pt>
                <c:pt idx="191">
                  <c:v>96.907753153372411</c:v>
                </c:pt>
                <c:pt idx="192">
                  <c:v>96.757754061855792</c:v>
                </c:pt>
                <c:pt idx="193">
                  <c:v>94.33197563379062</c:v>
                </c:pt>
                <c:pt idx="194">
                  <c:v>89.481976158996133</c:v>
                </c:pt>
                <c:pt idx="195">
                  <c:v>89.756976619370477</c:v>
                </c:pt>
                <c:pt idx="196">
                  <c:v>88.243884830021429</c:v>
                </c:pt>
                <c:pt idx="197">
                  <c:v>87.226776806265661</c:v>
                </c:pt>
                <c:pt idx="198">
                  <c:v>83.087566791908742</c:v>
                </c:pt>
                <c:pt idx="199">
                  <c:v>85.044076950455548</c:v>
                </c:pt>
                <c:pt idx="200">
                  <c:v>81.418862945279514</c:v>
                </c:pt>
                <c:pt idx="201">
                  <c:v>77.907116898548779</c:v>
                </c:pt>
                <c:pt idx="202">
                  <c:v>73.034330886704197</c:v>
                </c:pt>
                <c:pt idx="203">
                  <c:v>70.611486112807484</c:v>
                </c:pt>
                <c:pt idx="204">
                  <c:v>69.877068958271593</c:v>
                </c:pt>
                <c:pt idx="205">
                  <c:v>72.107682865412841</c:v>
                </c:pt>
                <c:pt idx="206">
                  <c:v>71.245009811699234</c:v>
                </c:pt>
                <c:pt idx="207">
                  <c:v>69.518328425307203</c:v>
                </c:pt>
                <c:pt idx="208">
                  <c:v>68.070684636953146</c:v>
                </c:pt>
                <c:pt idx="209">
                  <c:v>65.571156446182542</c:v>
                </c:pt>
                <c:pt idx="210">
                  <c:v>66.45388584020229</c:v>
                </c:pt>
                <c:pt idx="211">
                  <c:v>70.688166961305129</c:v>
                </c:pt>
                <c:pt idx="212">
                  <c:v>69.751604393161486</c:v>
                </c:pt>
                <c:pt idx="213">
                  <c:v>69.385464625038281</c:v>
                </c:pt>
                <c:pt idx="214">
                  <c:v>66.402517748373725</c:v>
                </c:pt>
                <c:pt idx="215">
                  <c:v>73.063048362398334</c:v>
                </c:pt>
                <c:pt idx="216">
                  <c:v>70.345026061302818</c:v>
                </c:pt>
                <c:pt idx="217">
                  <c:v>79.196720530576727</c:v>
                </c:pt>
                <c:pt idx="218">
                  <c:v>84.466688541563784</c:v>
                </c:pt>
                <c:pt idx="219">
                  <c:v>86.287717058511404</c:v>
                </c:pt>
                <c:pt idx="220">
                  <c:v>88.64913786094283</c:v>
                </c:pt>
                <c:pt idx="221">
                  <c:v>86.952594866445864</c:v>
                </c:pt>
                <c:pt idx="222">
                  <c:v>82.887469304268038</c:v>
                </c:pt>
                <c:pt idx="223">
                  <c:v>83.258274635887602</c:v>
                </c:pt>
                <c:pt idx="224">
                  <c:v>78.884902974659823</c:v>
                </c:pt>
                <c:pt idx="225">
                  <c:v>77.291938962755111</c:v>
                </c:pt>
                <c:pt idx="226">
                  <c:v>75.0640495324037</c:v>
                </c:pt>
                <c:pt idx="227">
                  <c:v>79.061797040412316</c:v>
                </c:pt>
                <c:pt idx="228">
                  <c:v>78.626832214809752</c:v>
                </c:pt>
                <c:pt idx="229">
                  <c:v>85.474596196908948</c:v>
                </c:pt>
                <c:pt idx="230">
                  <c:v>90.033905972958834</c:v>
                </c:pt>
                <c:pt idx="231">
                  <c:v>93.818679367633379</c:v>
                </c:pt>
                <c:pt idx="232">
                  <c:v>96.493181597570228</c:v>
                </c:pt>
                <c:pt idx="233">
                  <c:v>91.424514476952027</c:v>
                </c:pt>
                <c:pt idx="234">
                  <c:v>93.127225901850323</c:v>
                </c:pt>
                <c:pt idx="235">
                  <c:v>89.243169549098909</c:v>
                </c:pt>
                <c:pt idx="236">
                  <c:v>87.095946175489132</c:v>
                </c:pt>
                <c:pt idx="237">
                  <c:v>87.912140414169357</c:v>
                </c:pt>
                <c:pt idx="238">
                  <c:v>92.09079923954171</c:v>
                </c:pt>
                <c:pt idx="239">
                  <c:v>86.495657977184493</c:v>
                </c:pt>
                <c:pt idx="240">
                  <c:v>83.615108545473618</c:v>
                </c:pt>
                <c:pt idx="241">
                  <c:v>78.184428033502229</c:v>
                </c:pt>
                <c:pt idx="242">
                  <c:v>78.770560045528896</c:v>
                </c:pt>
                <c:pt idx="243">
                  <c:v>83.584557375257859</c:v>
                </c:pt>
                <c:pt idx="244">
                  <c:v>98.890206234690396</c:v>
                </c:pt>
                <c:pt idx="245">
                  <c:v>96.620400495313632</c:v>
                </c:pt>
                <c:pt idx="246">
                  <c:v>90.744394446607785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5.000000000002558E-3</c:v>
                </c:pt>
                <c:pt idx="2">
                  <c:v>0.72500000000000853</c:v>
                </c:pt>
                <c:pt idx="3">
                  <c:v>1.1150000000000091</c:v>
                </c:pt>
                <c:pt idx="4">
                  <c:v>2.3850000000000122</c:v>
                </c:pt>
                <c:pt idx="5">
                  <c:v>4.0450000000000159</c:v>
                </c:pt>
                <c:pt idx="6">
                  <c:v>4.0450000000000159</c:v>
                </c:pt>
                <c:pt idx="7">
                  <c:v>5.5665416666666871</c:v>
                </c:pt>
                <c:pt idx="8">
                  <c:v>6.1665416666666886</c:v>
                </c:pt>
                <c:pt idx="9">
                  <c:v>7.6665416666666886</c:v>
                </c:pt>
                <c:pt idx="10">
                  <c:v>8.26654166666669</c:v>
                </c:pt>
                <c:pt idx="11">
                  <c:v>10.246541666666694</c:v>
                </c:pt>
                <c:pt idx="12">
                  <c:v>11.876541666666697</c:v>
                </c:pt>
                <c:pt idx="13">
                  <c:v>13.086541666666697</c:v>
                </c:pt>
                <c:pt idx="14">
                  <c:v>15.416541666666696</c:v>
                </c:pt>
                <c:pt idx="15">
                  <c:v>17.756541666666699</c:v>
                </c:pt>
                <c:pt idx="16">
                  <c:v>19.936541666666699</c:v>
                </c:pt>
                <c:pt idx="17">
                  <c:v>21.976541666666698</c:v>
                </c:pt>
                <c:pt idx="18">
                  <c:v>21.976541666666698</c:v>
                </c:pt>
                <c:pt idx="19">
                  <c:v>25.377795833333359</c:v>
                </c:pt>
                <c:pt idx="20">
                  <c:v>29.037795833333355</c:v>
                </c:pt>
                <c:pt idx="21">
                  <c:v>32.367795833333361</c:v>
                </c:pt>
                <c:pt idx="22">
                  <c:v>38.72779583333336</c:v>
                </c:pt>
                <c:pt idx="23">
                  <c:v>42.557795833333358</c:v>
                </c:pt>
                <c:pt idx="24">
                  <c:v>47.027795833333357</c:v>
                </c:pt>
                <c:pt idx="25">
                  <c:v>52.487795833333351</c:v>
                </c:pt>
                <c:pt idx="26">
                  <c:v>55.317795833333349</c:v>
                </c:pt>
                <c:pt idx="27">
                  <c:v>57.647795833333348</c:v>
                </c:pt>
                <c:pt idx="28">
                  <c:v>61.167795833333351</c:v>
                </c:pt>
                <c:pt idx="29">
                  <c:v>65.237795833333351</c:v>
                </c:pt>
                <c:pt idx="30">
                  <c:v>69.477795833333346</c:v>
                </c:pt>
                <c:pt idx="31">
                  <c:v>72.357795833333341</c:v>
                </c:pt>
                <c:pt idx="32">
                  <c:v>76.167795833333344</c:v>
                </c:pt>
                <c:pt idx="33">
                  <c:v>77.467795833333341</c:v>
                </c:pt>
                <c:pt idx="34">
                  <c:v>80.507795833333347</c:v>
                </c:pt>
                <c:pt idx="35">
                  <c:v>82.547795833333339</c:v>
                </c:pt>
                <c:pt idx="36">
                  <c:v>84.707795833333336</c:v>
                </c:pt>
                <c:pt idx="37">
                  <c:v>86.447795833333331</c:v>
                </c:pt>
                <c:pt idx="38">
                  <c:v>87.867795833333332</c:v>
                </c:pt>
                <c:pt idx="39">
                  <c:v>91.677795833333334</c:v>
                </c:pt>
                <c:pt idx="40">
                  <c:v>97.567795833333335</c:v>
                </c:pt>
                <c:pt idx="41">
                  <c:v>101.10779583333334</c:v>
                </c:pt>
                <c:pt idx="42">
                  <c:v>103.94779583333334</c:v>
                </c:pt>
                <c:pt idx="43">
                  <c:v>106.07779583333334</c:v>
                </c:pt>
                <c:pt idx="44">
                  <c:v>108.03779583333333</c:v>
                </c:pt>
                <c:pt idx="45">
                  <c:v>113.12779583333332</c:v>
                </c:pt>
                <c:pt idx="46">
                  <c:v>116.01779583333331</c:v>
                </c:pt>
                <c:pt idx="47">
                  <c:v>119.40779583333331</c:v>
                </c:pt>
                <c:pt idx="48">
                  <c:v>123.0277958333333</c:v>
                </c:pt>
                <c:pt idx="49">
                  <c:v>125.9677958333333</c:v>
                </c:pt>
                <c:pt idx="50">
                  <c:v>130.59779583333329</c:v>
                </c:pt>
                <c:pt idx="51">
                  <c:v>131.50779583333329</c:v>
                </c:pt>
                <c:pt idx="52">
                  <c:v>132.38779583333329</c:v>
                </c:pt>
                <c:pt idx="53">
                  <c:v>136.0877958333333</c:v>
                </c:pt>
                <c:pt idx="54">
                  <c:v>141.3677958333333</c:v>
                </c:pt>
                <c:pt idx="55">
                  <c:v>148.79779583333331</c:v>
                </c:pt>
                <c:pt idx="56">
                  <c:v>151.25779583333332</c:v>
                </c:pt>
                <c:pt idx="57">
                  <c:v>152.59779583333332</c:v>
                </c:pt>
                <c:pt idx="58">
                  <c:v>156.94779583333332</c:v>
                </c:pt>
                <c:pt idx="59">
                  <c:v>160.91779583333332</c:v>
                </c:pt>
                <c:pt idx="60">
                  <c:v>167.07779583333331</c:v>
                </c:pt>
                <c:pt idx="61">
                  <c:v>169.16779583333332</c:v>
                </c:pt>
                <c:pt idx="62">
                  <c:v>172.10779583333331</c:v>
                </c:pt>
                <c:pt idx="63">
                  <c:v>174.10779583333331</c:v>
                </c:pt>
                <c:pt idx="64">
                  <c:v>178.07779583333331</c:v>
                </c:pt>
                <c:pt idx="65">
                  <c:v>179.59779583333332</c:v>
                </c:pt>
                <c:pt idx="66">
                  <c:v>182.72779583333332</c:v>
                </c:pt>
                <c:pt idx="67">
                  <c:v>184.18779583333333</c:v>
                </c:pt>
                <c:pt idx="68">
                  <c:v>186.63779583333331</c:v>
                </c:pt>
                <c:pt idx="69">
                  <c:v>189.78779583333332</c:v>
                </c:pt>
                <c:pt idx="70">
                  <c:v>190.63779583333331</c:v>
                </c:pt>
                <c:pt idx="71">
                  <c:v>193.34779583333329</c:v>
                </c:pt>
                <c:pt idx="72">
                  <c:v>199.1477958333333</c:v>
                </c:pt>
                <c:pt idx="73">
                  <c:v>200.3677958333333</c:v>
                </c:pt>
                <c:pt idx="74">
                  <c:v>203.6477958333333</c:v>
                </c:pt>
                <c:pt idx="75">
                  <c:v>208.72779583333329</c:v>
                </c:pt>
                <c:pt idx="76">
                  <c:v>212.63779583333329</c:v>
                </c:pt>
                <c:pt idx="77">
                  <c:v>219.05779583333327</c:v>
                </c:pt>
                <c:pt idx="78">
                  <c:v>225.56779583333326</c:v>
                </c:pt>
                <c:pt idx="79">
                  <c:v>228.52779583333327</c:v>
                </c:pt>
                <c:pt idx="80">
                  <c:v>229.97779583333329</c:v>
                </c:pt>
                <c:pt idx="81">
                  <c:v>233.38779583333329</c:v>
                </c:pt>
                <c:pt idx="82">
                  <c:v>237.55779583333327</c:v>
                </c:pt>
                <c:pt idx="83">
                  <c:v>244.27779583333327</c:v>
                </c:pt>
                <c:pt idx="84">
                  <c:v>247.14779583333328</c:v>
                </c:pt>
                <c:pt idx="85">
                  <c:v>250.66779583333329</c:v>
                </c:pt>
                <c:pt idx="86">
                  <c:v>252.81779583333329</c:v>
                </c:pt>
                <c:pt idx="87">
                  <c:v>256.66779583333329</c:v>
                </c:pt>
                <c:pt idx="88">
                  <c:v>258.68779583333327</c:v>
                </c:pt>
                <c:pt idx="89">
                  <c:v>262.91779583333329</c:v>
                </c:pt>
                <c:pt idx="90">
                  <c:v>264.28779583333329</c:v>
                </c:pt>
                <c:pt idx="91">
                  <c:v>267.23779583333328</c:v>
                </c:pt>
                <c:pt idx="92">
                  <c:v>269.66779583333329</c:v>
                </c:pt>
                <c:pt idx="93">
                  <c:v>274.01779583333325</c:v>
                </c:pt>
                <c:pt idx="94">
                  <c:v>275.81779583333326</c:v>
                </c:pt>
                <c:pt idx="95">
                  <c:v>279.43779583333327</c:v>
                </c:pt>
                <c:pt idx="96">
                  <c:v>282.98779583333328</c:v>
                </c:pt>
                <c:pt idx="97">
                  <c:v>285.67779583333328</c:v>
                </c:pt>
                <c:pt idx="98">
                  <c:v>287.45779583333331</c:v>
                </c:pt>
                <c:pt idx="99">
                  <c:v>288.07779583333331</c:v>
                </c:pt>
                <c:pt idx="100">
                  <c:v>291.01779583333331</c:v>
                </c:pt>
                <c:pt idx="101">
                  <c:v>293.76779583333331</c:v>
                </c:pt>
                <c:pt idx="102">
                  <c:v>297.7177958333333</c:v>
                </c:pt>
                <c:pt idx="103">
                  <c:v>299.86779583333328</c:v>
                </c:pt>
                <c:pt idx="104">
                  <c:v>302.53779583333329</c:v>
                </c:pt>
                <c:pt idx="105">
                  <c:v>305.82779583333331</c:v>
                </c:pt>
                <c:pt idx="106">
                  <c:v>309.16779583333334</c:v>
                </c:pt>
                <c:pt idx="107">
                  <c:v>311.77779583333336</c:v>
                </c:pt>
                <c:pt idx="108">
                  <c:v>315.11779583333333</c:v>
                </c:pt>
                <c:pt idx="109">
                  <c:v>317.16779583333334</c:v>
                </c:pt>
                <c:pt idx="110">
                  <c:v>318.90779583333335</c:v>
                </c:pt>
                <c:pt idx="111">
                  <c:v>321.92779583333333</c:v>
                </c:pt>
                <c:pt idx="112">
                  <c:v>324.11779583333333</c:v>
                </c:pt>
                <c:pt idx="113">
                  <c:v>326.15779583333335</c:v>
                </c:pt>
                <c:pt idx="114">
                  <c:v>327.39779583333336</c:v>
                </c:pt>
                <c:pt idx="115">
                  <c:v>328.66779583333334</c:v>
                </c:pt>
                <c:pt idx="116">
                  <c:v>333.96779583333335</c:v>
                </c:pt>
                <c:pt idx="117">
                  <c:v>336.50779583333338</c:v>
                </c:pt>
                <c:pt idx="118">
                  <c:v>337.39779583333336</c:v>
                </c:pt>
                <c:pt idx="119">
                  <c:v>337.68779583333338</c:v>
                </c:pt>
                <c:pt idx="120">
                  <c:v>337.9177958333334</c:v>
                </c:pt>
                <c:pt idx="121">
                  <c:v>339.07779583333343</c:v>
                </c:pt>
                <c:pt idx="122">
                  <c:v>341.81779583333343</c:v>
                </c:pt>
                <c:pt idx="123">
                  <c:v>342.75779583333343</c:v>
                </c:pt>
                <c:pt idx="124">
                  <c:v>343.50779583333343</c:v>
                </c:pt>
                <c:pt idx="125">
                  <c:v>343.61779583333345</c:v>
                </c:pt>
                <c:pt idx="126">
                  <c:v>345.30779583333344</c:v>
                </c:pt>
                <c:pt idx="127">
                  <c:v>348.96779583333341</c:v>
                </c:pt>
                <c:pt idx="128">
                  <c:v>350.67779583333339</c:v>
                </c:pt>
                <c:pt idx="129">
                  <c:v>351.21779583333341</c:v>
                </c:pt>
                <c:pt idx="130">
                  <c:v>353.2277958333334</c:v>
                </c:pt>
                <c:pt idx="131">
                  <c:v>354.6677958333334</c:v>
                </c:pt>
                <c:pt idx="132">
                  <c:v>354.6677958333334</c:v>
                </c:pt>
                <c:pt idx="133">
                  <c:v>354.80805875982884</c:v>
                </c:pt>
                <c:pt idx="134">
                  <c:v>356.31805875982883</c:v>
                </c:pt>
                <c:pt idx="135">
                  <c:v>359.17805875982884</c:v>
                </c:pt>
                <c:pt idx="136">
                  <c:v>360.29805875982885</c:v>
                </c:pt>
                <c:pt idx="137">
                  <c:v>361.23805875982885</c:v>
                </c:pt>
                <c:pt idx="138">
                  <c:v>362.54805875982885</c:v>
                </c:pt>
                <c:pt idx="139">
                  <c:v>362.86805875982884</c:v>
                </c:pt>
                <c:pt idx="140">
                  <c:v>362.97805875982885</c:v>
                </c:pt>
                <c:pt idx="141">
                  <c:v>364.26805875982882</c:v>
                </c:pt>
                <c:pt idx="142">
                  <c:v>364.27805875982881</c:v>
                </c:pt>
                <c:pt idx="143">
                  <c:v>364.43805875982878</c:v>
                </c:pt>
                <c:pt idx="144">
                  <c:v>366.18805875982878</c:v>
                </c:pt>
                <c:pt idx="145">
                  <c:v>367.12805875982878</c:v>
                </c:pt>
                <c:pt idx="146">
                  <c:v>369.1680587598288</c:v>
                </c:pt>
                <c:pt idx="147">
                  <c:v>369.96805875982881</c:v>
                </c:pt>
                <c:pt idx="148">
                  <c:v>371.77805875982881</c:v>
                </c:pt>
                <c:pt idx="149">
                  <c:v>371.96805875982881</c:v>
                </c:pt>
                <c:pt idx="150">
                  <c:v>373.77805875982881</c:v>
                </c:pt>
                <c:pt idx="151">
                  <c:v>374.81805875982883</c:v>
                </c:pt>
                <c:pt idx="152">
                  <c:v>377.64805875982881</c:v>
                </c:pt>
                <c:pt idx="153">
                  <c:v>382.13805875982882</c:v>
                </c:pt>
                <c:pt idx="154">
                  <c:v>383.96805875982881</c:v>
                </c:pt>
                <c:pt idx="155">
                  <c:v>386.21805875982881</c:v>
                </c:pt>
                <c:pt idx="156">
                  <c:v>386.21805875982881</c:v>
                </c:pt>
                <c:pt idx="157">
                  <c:v>386.99821641831238</c:v>
                </c:pt>
                <c:pt idx="158">
                  <c:v>386.99821641831238</c:v>
                </c:pt>
                <c:pt idx="159">
                  <c:v>386.99821641831238</c:v>
                </c:pt>
                <c:pt idx="160">
                  <c:v>387.96837306012571</c:v>
                </c:pt>
                <c:pt idx="161">
                  <c:v>389.4883730601257</c:v>
                </c:pt>
                <c:pt idx="162">
                  <c:v>391.18837306012568</c:v>
                </c:pt>
                <c:pt idx="163">
                  <c:v>391.18837306012568</c:v>
                </c:pt>
                <c:pt idx="164">
                  <c:v>393.13841767782469</c:v>
                </c:pt>
                <c:pt idx="165">
                  <c:v>395.10841767782472</c:v>
                </c:pt>
                <c:pt idx="166">
                  <c:v>397.86841767782471</c:v>
                </c:pt>
                <c:pt idx="167">
                  <c:v>400.61841767782471</c:v>
                </c:pt>
                <c:pt idx="168">
                  <c:v>400.72841767782472</c:v>
                </c:pt>
                <c:pt idx="169">
                  <c:v>400.91841767782472</c:v>
                </c:pt>
                <c:pt idx="170">
                  <c:v>401.58841767782474</c:v>
                </c:pt>
                <c:pt idx="171">
                  <c:v>401.58841767782474</c:v>
                </c:pt>
                <c:pt idx="172">
                  <c:v>401.58841767782474</c:v>
                </c:pt>
                <c:pt idx="173">
                  <c:v>401.58841767782474</c:v>
                </c:pt>
                <c:pt idx="174">
                  <c:v>401.58841767782474</c:v>
                </c:pt>
                <c:pt idx="175">
                  <c:v>401.58841767782474</c:v>
                </c:pt>
                <c:pt idx="176">
                  <c:v>401.58841767782474</c:v>
                </c:pt>
                <c:pt idx="177">
                  <c:v>401.58841767782474</c:v>
                </c:pt>
                <c:pt idx="178">
                  <c:v>401.58841767782474</c:v>
                </c:pt>
                <c:pt idx="179">
                  <c:v>401.58841767782474</c:v>
                </c:pt>
                <c:pt idx="180">
                  <c:v>401.58841767782474</c:v>
                </c:pt>
                <c:pt idx="181">
                  <c:v>401.58841767782474</c:v>
                </c:pt>
                <c:pt idx="182">
                  <c:v>401.58841767782474</c:v>
                </c:pt>
                <c:pt idx="183">
                  <c:v>401.58841767782474</c:v>
                </c:pt>
                <c:pt idx="184">
                  <c:v>401.58841767782474</c:v>
                </c:pt>
                <c:pt idx="185">
                  <c:v>401.58841767782474</c:v>
                </c:pt>
                <c:pt idx="186">
                  <c:v>401.58841767782474</c:v>
                </c:pt>
                <c:pt idx="187">
                  <c:v>401.58841767782474</c:v>
                </c:pt>
                <c:pt idx="188">
                  <c:v>401.58841767782474</c:v>
                </c:pt>
                <c:pt idx="189">
                  <c:v>401.58841767782474</c:v>
                </c:pt>
                <c:pt idx="190">
                  <c:v>401.58841767782474</c:v>
                </c:pt>
                <c:pt idx="191">
                  <c:v>401.58841767782474</c:v>
                </c:pt>
                <c:pt idx="192">
                  <c:v>401.58841767782474</c:v>
                </c:pt>
                <c:pt idx="193">
                  <c:v>401.58841767782474</c:v>
                </c:pt>
                <c:pt idx="194">
                  <c:v>401.58841767782474</c:v>
                </c:pt>
                <c:pt idx="195">
                  <c:v>401.58841767782474</c:v>
                </c:pt>
                <c:pt idx="196">
                  <c:v>401.58841767782474</c:v>
                </c:pt>
                <c:pt idx="197">
                  <c:v>401.58841767782474</c:v>
                </c:pt>
                <c:pt idx="198">
                  <c:v>401.58841767782474</c:v>
                </c:pt>
                <c:pt idx="199">
                  <c:v>401.58841767782474</c:v>
                </c:pt>
                <c:pt idx="200">
                  <c:v>401.58841767782474</c:v>
                </c:pt>
                <c:pt idx="201">
                  <c:v>401.58841767782474</c:v>
                </c:pt>
                <c:pt idx="202">
                  <c:v>401.58841767782474</c:v>
                </c:pt>
                <c:pt idx="203">
                  <c:v>401.58841767782474</c:v>
                </c:pt>
                <c:pt idx="204">
                  <c:v>401.58841767782474</c:v>
                </c:pt>
                <c:pt idx="205">
                  <c:v>401.58841767782474</c:v>
                </c:pt>
                <c:pt idx="206">
                  <c:v>401.58841767782474</c:v>
                </c:pt>
                <c:pt idx="207">
                  <c:v>401.58841767782474</c:v>
                </c:pt>
                <c:pt idx="208">
                  <c:v>401.58841767782474</c:v>
                </c:pt>
                <c:pt idx="209">
                  <c:v>401.58841767782474</c:v>
                </c:pt>
                <c:pt idx="210">
                  <c:v>401.58841767782474</c:v>
                </c:pt>
                <c:pt idx="211">
                  <c:v>401.58841767782474</c:v>
                </c:pt>
                <c:pt idx="212">
                  <c:v>401.58841767782474</c:v>
                </c:pt>
                <c:pt idx="213">
                  <c:v>401.58841767782474</c:v>
                </c:pt>
                <c:pt idx="214">
                  <c:v>401.58841767782474</c:v>
                </c:pt>
                <c:pt idx="215">
                  <c:v>401.58841767782474</c:v>
                </c:pt>
                <c:pt idx="216">
                  <c:v>401.58841767782474</c:v>
                </c:pt>
                <c:pt idx="217">
                  <c:v>401.58841767782474</c:v>
                </c:pt>
                <c:pt idx="218">
                  <c:v>401.58841767782474</c:v>
                </c:pt>
                <c:pt idx="219">
                  <c:v>401.58841767782474</c:v>
                </c:pt>
                <c:pt idx="220">
                  <c:v>401.58841767782474</c:v>
                </c:pt>
                <c:pt idx="221">
                  <c:v>401.58841767782474</c:v>
                </c:pt>
                <c:pt idx="222">
                  <c:v>401.58841767782474</c:v>
                </c:pt>
                <c:pt idx="223">
                  <c:v>401.58841767782474</c:v>
                </c:pt>
                <c:pt idx="224">
                  <c:v>401.58841767782474</c:v>
                </c:pt>
                <c:pt idx="225">
                  <c:v>401.58841767782474</c:v>
                </c:pt>
                <c:pt idx="226">
                  <c:v>401.58841767782474</c:v>
                </c:pt>
                <c:pt idx="227">
                  <c:v>401.58841767782474</c:v>
                </c:pt>
                <c:pt idx="228">
                  <c:v>401.58841767782474</c:v>
                </c:pt>
                <c:pt idx="229">
                  <c:v>401.58841767782474</c:v>
                </c:pt>
                <c:pt idx="230">
                  <c:v>401.58841767782474</c:v>
                </c:pt>
                <c:pt idx="231">
                  <c:v>401.58841767782474</c:v>
                </c:pt>
                <c:pt idx="232">
                  <c:v>401.58841767782474</c:v>
                </c:pt>
                <c:pt idx="233">
                  <c:v>401.58841767782474</c:v>
                </c:pt>
                <c:pt idx="234">
                  <c:v>401.58841767782474</c:v>
                </c:pt>
                <c:pt idx="235">
                  <c:v>401.58841767782474</c:v>
                </c:pt>
                <c:pt idx="236">
                  <c:v>401.58841767782474</c:v>
                </c:pt>
                <c:pt idx="237">
                  <c:v>401.58841767782474</c:v>
                </c:pt>
                <c:pt idx="238">
                  <c:v>401.58841767782474</c:v>
                </c:pt>
                <c:pt idx="239">
                  <c:v>401.58841767782474</c:v>
                </c:pt>
                <c:pt idx="240">
                  <c:v>401.58841767782474</c:v>
                </c:pt>
                <c:pt idx="241">
                  <c:v>401.58841767782474</c:v>
                </c:pt>
                <c:pt idx="242">
                  <c:v>401.58841767782474</c:v>
                </c:pt>
                <c:pt idx="243">
                  <c:v>401.58841767782474</c:v>
                </c:pt>
                <c:pt idx="244">
                  <c:v>401.58841767782474</c:v>
                </c:pt>
                <c:pt idx="245">
                  <c:v>401.58841767782474</c:v>
                </c:pt>
                <c:pt idx="246">
                  <c:v>401.58841767782474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6.6970699484879756E-3</c:v>
                </c:pt>
                <c:pt idx="114">
                  <c:v>8.1101162888398727E-3</c:v>
                </c:pt>
                <c:pt idx="115">
                  <c:v>9.8214453138957963E-3</c:v>
                </c:pt>
                <c:pt idx="116">
                  <c:v>1.1960571845149353E-2</c:v>
                </c:pt>
                <c:pt idx="117">
                  <c:v>1.4495176528813963E-2</c:v>
                </c:pt>
                <c:pt idx="118">
                  <c:v>1.7540945854288243E-2</c:v>
                </c:pt>
                <c:pt idx="119">
                  <c:v>2.0990144625568249E-2</c:v>
                </c:pt>
                <c:pt idx="120">
                  <c:v>2.5084735619386404E-2</c:v>
                </c:pt>
                <c:pt idx="121">
                  <c:v>3.0082937653592209E-2</c:v>
                </c:pt>
                <c:pt idx="122">
                  <c:v>3.6106409794615865E-2</c:v>
                </c:pt>
                <c:pt idx="123">
                  <c:v>4.3085530706958371E-2</c:v>
                </c:pt>
                <c:pt idx="124">
                  <c:v>5.1434592384827942E-2</c:v>
                </c:pt>
                <c:pt idx="125">
                  <c:v>6.2365122377941271E-2</c:v>
                </c:pt>
                <c:pt idx="126">
                  <c:v>7.565534320546248E-2</c:v>
                </c:pt>
                <c:pt idx="127">
                  <c:v>9.2003626394997456E-2</c:v>
                </c:pt>
                <c:pt idx="128">
                  <c:v>0.11130163726699646</c:v>
                </c:pt>
                <c:pt idx="129">
                  <c:v>0.13298561381678928</c:v>
                </c:pt>
                <c:pt idx="130">
                  <c:v>0.16000942747237359</c:v>
                </c:pt>
                <c:pt idx="131">
                  <c:v>0.18955243884979125</c:v>
                </c:pt>
                <c:pt idx="132">
                  <c:v>0.22392713073276141</c:v>
                </c:pt>
                <c:pt idx="133">
                  <c:v>0.26337704270791618</c:v>
                </c:pt>
                <c:pt idx="134">
                  <c:v>0.30973364580083568</c:v>
                </c:pt>
                <c:pt idx="135">
                  <c:v>0.35843332953666313</c:v>
                </c:pt>
                <c:pt idx="136">
                  <c:v>0.41154467684386997</c:v>
                </c:pt>
                <c:pt idx="137">
                  <c:v>0.46924816396274754</c:v>
                </c:pt>
                <c:pt idx="138">
                  <c:v>0.52928765508877385</c:v>
                </c:pt>
                <c:pt idx="139">
                  <c:v>0.58772303167604223</c:v>
                </c:pt>
                <c:pt idx="140">
                  <c:v>0.64218429846534308</c:v>
                </c:pt>
                <c:pt idx="141">
                  <c:v>0.69259923566958603</c:v>
                </c:pt>
                <c:pt idx="142">
                  <c:v>0.73843260506396791</c:v>
                </c:pt>
                <c:pt idx="143">
                  <c:v>0.77906128932534302</c:v>
                </c:pt>
                <c:pt idx="144">
                  <c:v>0.8156770471395387</c:v>
                </c:pt>
                <c:pt idx="145">
                  <c:v>0.84794553095172165</c:v>
                </c:pt>
                <c:pt idx="146">
                  <c:v>0.87694182801908038</c:v>
                </c:pt>
                <c:pt idx="147">
                  <c:v>0.90020217176363293</c:v>
                </c:pt>
                <c:pt idx="148">
                  <c:v>0.91925796833354823</c:v>
                </c:pt>
                <c:pt idx="149">
                  <c:v>0.93566755674712376</c:v>
                </c:pt>
                <c:pt idx="150">
                  <c:v>0.94941714902941821</c:v>
                </c:pt>
                <c:pt idx="151">
                  <c:v>0.96076122154550425</c:v>
                </c:pt>
                <c:pt idx="152">
                  <c:v>0.96953965789063745</c:v>
                </c:pt>
                <c:pt idx="153">
                  <c:v>0.97621901995213534</c:v>
                </c:pt>
                <c:pt idx="154">
                  <c:v>0.98141550369504649</c:v>
                </c:pt>
                <c:pt idx="155">
                  <c:v>0.98562877685589367</c:v>
                </c:pt>
                <c:pt idx="156">
                  <c:v>0.98876101823039453</c:v>
                </c:pt>
                <c:pt idx="157">
                  <c:v>0.99122494525715499</c:v>
                </c:pt>
                <c:pt idx="158">
                  <c:v>0.9931782839293396</c:v>
                </c:pt>
                <c:pt idx="159">
                  <c:v>0.9946588383861763</c:v>
                </c:pt>
                <c:pt idx="160">
                  <c:v>0.99591342661428806</c:v>
                </c:pt>
                <c:pt idx="161">
                  <c:v>0.99689493851759059</c:v>
                </c:pt>
                <c:pt idx="162">
                  <c:v>0.9975861454870627</c:v>
                </c:pt>
                <c:pt idx="163">
                  <c:v>0.998139745889843</c:v>
                </c:pt>
                <c:pt idx="164">
                  <c:v>0.99858953533064365</c:v>
                </c:pt>
                <c:pt idx="165">
                  <c:v>0.99892797289458901</c:v>
                </c:pt>
                <c:pt idx="166">
                  <c:v>0.99917670307667472</c:v>
                </c:pt>
                <c:pt idx="167">
                  <c:v>0.9993619205657106</c:v>
                </c:pt>
                <c:pt idx="168">
                  <c:v>0.99950627352993981</c:v>
                </c:pt>
                <c:pt idx="169">
                  <c:v>0.99962506249463789</c:v>
                </c:pt>
                <c:pt idx="170">
                  <c:v>0.99971082054199512</c:v>
                </c:pt>
                <c:pt idx="171">
                  <c:v>0.9997751924980024</c:v>
                </c:pt>
                <c:pt idx="172">
                  <c:v>0.99982457123185742</c:v>
                </c:pt>
                <c:pt idx="173">
                  <c:v>0.9998650882318223</c:v>
                </c:pt>
                <c:pt idx="174">
                  <c:v>0.99989716574717413</c:v>
                </c:pt>
                <c:pt idx="175">
                  <c:v>0.99992253142336029</c:v>
                </c:pt>
                <c:pt idx="176">
                  <c:v>0.999940538174936</c:v>
                </c:pt>
                <c:pt idx="177">
                  <c:v>0.99995500647936486</c:v>
                </c:pt>
                <c:pt idx="178">
                  <c:v>0.999966266207441</c:v>
                </c:pt>
                <c:pt idx="179">
                  <c:v>0.99997531066809642</c:v>
                </c:pt>
                <c:pt idx="180">
                  <c:v>0.99998160054933838</c:v>
                </c:pt>
                <c:pt idx="181">
                  <c:v>0.99998629673187456</c:v>
                </c:pt>
                <c:pt idx="182">
                  <c:v>0.99998993255786062</c:v>
                </c:pt>
                <c:pt idx="183">
                  <c:v>0.99999255900168138</c:v>
                </c:pt>
                <c:pt idx="184">
                  <c:v>0.99999441409724554</c:v>
                </c:pt>
                <c:pt idx="185">
                  <c:v>0.99999581467918064</c:v>
                </c:pt>
                <c:pt idx="186">
                  <c:v>0.99999685312578868</c:v>
                </c:pt>
                <c:pt idx="187">
                  <c:v>0.99999764962659543</c:v>
                </c:pt>
                <c:pt idx="188">
                  <c:v>0.99999826390883673</c:v>
                </c:pt>
                <c:pt idx="189">
                  <c:v>0.99999870168251037</c:v>
                </c:pt>
                <c:pt idx="190">
                  <c:v>0.99999903856802597</c:v>
                </c:pt>
                <c:pt idx="191">
                  <c:v>0.99999929388682329</c:v>
                </c:pt>
                <c:pt idx="192">
                  <c:v>0.99999947544679846</c:v>
                </c:pt>
                <c:pt idx="193">
                  <c:v>0.99999961462546816</c:v>
                </c:pt>
                <c:pt idx="194">
                  <c:v>0.9999997177728287</c:v>
                </c:pt>
                <c:pt idx="195">
                  <c:v>0.99999979311551845</c:v>
                </c:pt>
                <c:pt idx="196">
                  <c:v>0.9739025680133645</c:v>
                </c:pt>
                <c:pt idx="197">
                  <c:v>0.94233063249411431</c:v>
                </c:pt>
                <c:pt idx="198">
                  <c:v>0.90959674351201036</c:v>
                </c:pt>
                <c:pt idx="199">
                  <c:v>0.87576729840778733</c:v>
                </c:pt>
                <c:pt idx="200">
                  <c:v>0.84319940277751981</c:v>
                </c:pt>
                <c:pt idx="201">
                  <c:v>0.81185985795084015</c:v>
                </c:pt>
                <c:pt idx="202">
                  <c:v>0.78061990913526247</c:v>
                </c:pt>
                <c:pt idx="203">
                  <c:v>0.74798561616426018</c:v>
                </c:pt>
                <c:pt idx="204">
                  <c:v>0.71511893250068748</c:v>
                </c:pt>
                <c:pt idx="205">
                  <c:v>0.68148867941866809</c:v>
                </c:pt>
                <c:pt idx="206">
                  <c:v>0.6470948569182019</c:v>
                </c:pt>
                <c:pt idx="207">
                  <c:v>0.61319901447324443</c:v>
                </c:pt>
                <c:pt idx="208">
                  <c:v>0.57724485446551754</c:v>
                </c:pt>
                <c:pt idx="209">
                  <c:v>0.54112470110595479</c:v>
                </c:pt>
                <c:pt idx="210">
                  <c:v>0.50619969987961277</c:v>
                </c:pt>
                <c:pt idx="211">
                  <c:v>0.47154028801620862</c:v>
                </c:pt>
                <c:pt idx="212">
                  <c:v>0.43651569077876495</c:v>
                </c:pt>
                <c:pt idx="213">
                  <c:v>0.40056153077103818</c:v>
                </c:pt>
                <c:pt idx="214">
                  <c:v>0.36377740400413039</c:v>
                </c:pt>
                <c:pt idx="215">
                  <c:v>0.32563213175216554</c:v>
                </c:pt>
                <c:pt idx="216">
                  <c:v>0.2865240980595507</c:v>
                </c:pt>
                <c:pt idx="217">
                  <c:v>0.24725007101509944</c:v>
                </c:pt>
                <c:pt idx="218">
                  <c:v>0.20857362003725877</c:v>
                </c:pt>
                <c:pt idx="219">
                  <c:v>0.16979757304831644</c:v>
                </c:pt>
                <c:pt idx="220">
                  <c:v>0.1327478569184708</c:v>
                </c:pt>
                <c:pt idx="221">
                  <c:v>9.5864134140461243E-2</c:v>
                </c:pt>
                <c:pt idx="222">
                  <c:v>5.7453272525558319E-2</c:v>
                </c:pt>
                <c:pt idx="223">
                  <c:v>1.9341198943960691E-2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1" zoomScale="110" zoomScaleNormal="110" workbookViewId="0">
      <selection activeCell="E22" sqref="E2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1" t="s">
        <v>152</v>
      </c>
      <c r="E1" s="132"/>
      <c r="F1" s="132"/>
      <c r="G1" s="132"/>
      <c r="H1" s="133"/>
      <c r="Z1"/>
      <c r="AA1"/>
      <c r="AB1"/>
      <c r="AC1"/>
    </row>
    <row r="2" spans="2:34" s="55" customFormat="1" ht="47.25" customHeight="1">
      <c r="C2" s="100"/>
      <c r="D2" s="134" t="s">
        <v>153</v>
      </c>
      <c r="E2" s="135"/>
      <c r="F2" s="135"/>
      <c r="G2" s="135"/>
      <c r="H2" s="136"/>
      <c r="Z2"/>
      <c r="AA2"/>
      <c r="AB2"/>
      <c r="AC2"/>
    </row>
    <row r="3" spans="2:34" s="54" customFormat="1" ht="15" thickBot="1">
      <c r="B3" s="55"/>
      <c r="C3" s="121" t="s">
        <v>184</v>
      </c>
      <c r="D3" s="121"/>
      <c r="E3" s="121"/>
      <c r="F3" s="121"/>
      <c r="G3" s="122"/>
      <c r="H3" s="122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277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258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Agria</v>
      </c>
      <c r="E7" s="92" t="s">
        <v>255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2" thickBot="1">
      <c r="B15" s="55">
        <f ca="1">SUMIF(B29:B43,1,G29:G43)</f>
        <v>399.79269552253959</v>
      </c>
      <c r="C15" s="105" t="s">
        <v>221</v>
      </c>
      <c r="D15" s="106" t="str">
        <f ca="1">SUMIF(B29:B43,1,G29:G43)&amp;" Kg/ha"</f>
        <v>399.79269552254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30" t="s">
        <v>224</v>
      </c>
      <c r="S15" s="130"/>
      <c r="T15" s="130"/>
      <c r="U15" s="130"/>
      <c r="V15" s="130"/>
      <c r="W15" s="115"/>
      <c r="X15" s="115"/>
      <c r="Y15" s="115"/>
      <c r="Z15" s="128" t="s">
        <v>223</v>
      </c>
      <c r="AA15" s="128"/>
      <c r="AB15" s="128"/>
      <c r="AC15" s="128"/>
      <c r="AD15" s="129" t="s">
        <v>225</v>
      </c>
      <c r="AE15" s="129"/>
      <c r="AF15" s="129"/>
      <c r="AG15" s="129"/>
      <c r="AH15" s="129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1" t="s">
        <v>185</v>
      </c>
      <c r="D17" s="121"/>
      <c r="E17" s="121"/>
      <c r="F17" s="121"/>
      <c r="G17" s="121"/>
      <c r="H17" s="121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243</v>
      </c>
      <c r="Y17" s="55" t="s">
        <v>244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243</v>
      </c>
      <c r="AK17" s="55" t="s">
        <v>244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0.24896369616605118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22.601917136570989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0.25634143592630726</v>
      </c>
      <c r="AK18" s="55">
        <f t="shared" ref="AK18" ca="1" si="10">VLOOKUP(AE18,ModelOutputs,4,FALSE)</f>
        <v>-1.0890372760771951</v>
      </c>
    </row>
    <row r="19" spans="1:37" s="55" customFormat="1">
      <c r="C19" s="57" t="s">
        <v>218</v>
      </c>
      <c r="D19" s="85">
        <f>IF(E19="",60,E19)</f>
        <v>30</v>
      </c>
      <c r="E19" s="16">
        <v>30</v>
      </c>
      <c r="F19" s="94" t="str">
        <f ca="1">ROUND('Model Interface'!N3,0)&amp;" kg N/ha available from SOM mineralisation"</f>
        <v>53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49.918364171497124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-1.9759352484561054E-3</v>
      </c>
      <c r="X19" s="55">
        <f t="shared" ref="X19:X82" ca="1" si="13">VLOOKUP(S19,ModelOutputs,5,FALSE)+X18</f>
        <v>0.51535494843631069</v>
      </c>
      <c r="Y19" s="55">
        <f t="shared" ref="Y19:Y82" ca="1" si="14">VLOOKUP(S19,ModelOutputs,4,FALSE)+Y18</f>
        <v>-0.34605114552468064</v>
      </c>
      <c r="Z19">
        <f t="shared" ca="1" si="3"/>
        <v>120</v>
      </c>
      <c r="AA19">
        <f t="shared" ref="AA19:AA82" ca="1" si="15">VLOOKUP(S19,ModelOutputs,11,FALSE)+AA18</f>
        <v>5.000000000002558E-3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21.814371739796989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0.50348571669881148</v>
      </c>
      <c r="AK19" s="55">
        <f t="shared" ref="AK19:AK82" ca="1" si="19">VLOOKUP(AE19,ModelOutputs,4,FALSE)+AK18</f>
        <v>-2.1237269536236996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45049</v>
      </c>
      <c r="S20" s="55">
        <f t="shared" ca="1" si="11"/>
        <v>45049</v>
      </c>
      <c r="T20" s="55">
        <f t="shared" ca="1" si="0"/>
        <v>49.571761603470591</v>
      </c>
      <c r="U20" s="55">
        <f t="shared" ca="1" si="1"/>
        <v>0</v>
      </c>
      <c r="V20" s="55">
        <f t="shared" ca="1" si="2"/>
        <v>0</v>
      </c>
      <c r="W20" s="55">
        <f t="shared" ca="1" si="12"/>
        <v>-0.28453497638824082</v>
      </c>
      <c r="X20" s="55">
        <f t="shared" ca="1" si="13"/>
        <v>0.77926823927689082</v>
      </c>
      <c r="Y20" s="55">
        <f t="shared" ca="1" si="14"/>
        <v>-0.67400796325200374</v>
      </c>
      <c r="Z20">
        <f t="shared" ca="1" si="3"/>
        <v>120</v>
      </c>
      <c r="AA20">
        <f t="shared" ca="1" si="15"/>
        <v>0.72500000000000853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21.104529821719016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0.73303143424212225</v>
      </c>
      <c r="AK20" s="55">
        <f t="shared" ca="1" si="19"/>
        <v>-3.063114589244984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273</v>
      </c>
      <c r="F21" s="94"/>
      <c r="R21" s="83">
        <f ca="1"/>
        <v>45050</v>
      </c>
      <c r="S21" s="55">
        <f t="shared" ca="1" si="11"/>
        <v>45050</v>
      </c>
      <c r="T21" s="55">
        <f t="shared" ca="1" si="0"/>
        <v>49.369718597817474</v>
      </c>
      <c r="U21" s="55">
        <f t="shared" ca="1" si="1"/>
        <v>0</v>
      </c>
      <c r="V21" s="55">
        <f t="shared" ca="1" si="2"/>
        <v>0</v>
      </c>
      <c r="W21" s="55">
        <f t="shared" ca="1" si="12"/>
        <v>-0.43696398255900254</v>
      </c>
      <c r="X21" s="55">
        <f t="shared" ca="1" si="13"/>
        <v>1.0369376125935577</v>
      </c>
      <c r="Y21" s="55">
        <f t="shared" ca="1" si="14"/>
        <v>-0.98129133605102226</v>
      </c>
      <c r="Z21">
        <f t="shared" ca="1" si="3"/>
        <v>120</v>
      </c>
      <c r="AA21">
        <f t="shared" ca="1" si="15"/>
        <v>1.1150000000000091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20.446216878615317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0.95704496398382477</v>
      </c>
      <c r="AK21" s="55">
        <f t="shared" ca="1" si="19"/>
        <v>-3.945441062090385</v>
      </c>
    </row>
    <row r="22" spans="1:37" s="55" customFormat="1" ht="15" customHeight="1">
      <c r="C22" s="57" t="s">
        <v>210</v>
      </c>
      <c r="D22" s="85" t="str">
        <f>IF(E22="","loam",E22)</f>
        <v>SandyClayLoam</v>
      </c>
      <c r="E22" s="16" t="s">
        <v>268</v>
      </c>
      <c r="F22" s="94"/>
      <c r="R22" s="83">
        <f ca="1"/>
        <v>45051</v>
      </c>
      <c r="S22" s="55">
        <f t="shared" ca="1" si="11"/>
        <v>45051</v>
      </c>
      <c r="T22" s="55">
        <f t="shared" ca="1" si="0"/>
        <v>48.842899452408837</v>
      </c>
      <c r="U22" s="55">
        <f t="shared" ca="1" si="1"/>
        <v>0</v>
      </c>
      <c r="V22" s="55">
        <f t="shared" ca="1" si="2"/>
        <v>0</v>
      </c>
      <c r="W22" s="55">
        <f t="shared" ca="1" si="12"/>
        <v>-0.92803863413676435</v>
      </c>
      <c r="X22" s="55">
        <f t="shared" ca="1" si="13"/>
        <v>1.2966040050067389</v>
      </c>
      <c r="Y22" s="55">
        <f t="shared" ca="1" si="14"/>
        <v>-1.2767022222950766</v>
      </c>
      <c r="Z22">
        <f t="shared" ca="1" si="3"/>
        <v>120</v>
      </c>
      <c r="AA22">
        <f t="shared" ca="1" si="15"/>
        <v>2.3850000000000122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19.823387158419294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1.1820986968219958</v>
      </c>
      <c r="AK22" s="55">
        <f t="shared" ca="1" si="19"/>
        <v>-4.7933245151245796</v>
      </c>
    </row>
    <row r="23" spans="1:37" s="55" customFormat="1">
      <c r="C23" s="57"/>
      <c r="D23" s="85"/>
      <c r="E23" s="113"/>
      <c r="F23" s="94"/>
      <c r="R23" s="83">
        <f ca="1"/>
        <v>45052</v>
      </c>
      <c r="S23" s="55">
        <f t="shared" ca="1" si="11"/>
        <v>45052</v>
      </c>
      <c r="T23" s="55">
        <f t="shared" ca="1" si="0"/>
        <v>48.187680773010293</v>
      </c>
      <c r="U23" s="55">
        <f t="shared" ca="1" si="1"/>
        <v>0</v>
      </c>
      <c r="V23" s="55">
        <f t="shared" ca="1" si="2"/>
        <v>0</v>
      </c>
      <c r="W23" s="55">
        <f t="shared" ca="1" si="12"/>
        <v>-1.5613050722954094</v>
      </c>
      <c r="X23" s="55">
        <f t="shared" ca="1" si="13"/>
        <v>1.5598439367934889</v>
      </c>
      <c r="Y23" s="55">
        <f t="shared" ca="1" si="14"/>
        <v>-1.5618943953217252</v>
      </c>
      <c r="Z23">
        <f t="shared" ca="1" si="3"/>
        <v>120</v>
      </c>
      <c r="AA23">
        <f t="shared" ca="1" si="15"/>
        <v>4.0450000000000159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19.254070839653231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1.412623920259251</v>
      </c>
      <c r="AK23" s="55">
        <f t="shared" ca="1" si="19"/>
        <v>-5.5931660573278972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45053</v>
      </c>
      <c r="S24" s="55">
        <f t="shared" ca="1" si="11"/>
        <v>45053</v>
      </c>
      <c r="T24" s="55">
        <f t="shared" ca="1" si="0"/>
        <v>48.177490618551687</v>
      </c>
      <c r="U24" s="55">
        <f t="shared" ca="1" si="1"/>
        <v>0</v>
      </c>
      <c r="V24" s="55">
        <f t="shared" ca="1" si="2"/>
        <v>0</v>
      </c>
      <c r="W24" s="55">
        <f t="shared" ca="1" si="12"/>
        <v>-1.5613050722954094</v>
      </c>
      <c r="X24" s="55">
        <f t="shared" ca="1" si="13"/>
        <v>1.8159665864630674</v>
      </c>
      <c r="Y24" s="55">
        <f t="shared" ca="1" si="14"/>
        <v>-1.8282071994499065</v>
      </c>
      <c r="Z24">
        <f t="shared" ca="1" si="3"/>
        <v>119.89999999999999</v>
      </c>
      <c r="AA24">
        <f t="shared" ca="1" si="15"/>
        <v>4.0450000000000159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18.738342508313671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1.6503055322677083</v>
      </c>
      <c r="AK24" s="55">
        <f t="shared" ca="1" si="19"/>
        <v>-6.3465760006759151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45054</v>
      </c>
      <c r="S25" s="55">
        <f t="shared" ca="1" si="11"/>
        <v>45054</v>
      </c>
      <c r="T25" s="55">
        <f t="shared" ca="1" si="0"/>
        <v>47.604611463508739</v>
      </c>
      <c r="U25" s="55">
        <f t="shared" ca="1" si="1"/>
        <v>0</v>
      </c>
      <c r="V25" s="55">
        <f t="shared" ca="1" si="2"/>
        <v>0</v>
      </c>
      <c r="W25" s="55">
        <f t="shared" ca="1" si="12"/>
        <v>-2.1347282379107932</v>
      </c>
      <c r="X25" s="55">
        <f t="shared" ca="1" si="13"/>
        <v>2.0663940992743917</v>
      </c>
      <c r="Y25" s="55">
        <f t="shared" ca="1" si="14"/>
        <v>-2.0780907016888008</v>
      </c>
      <c r="Z25">
        <f t="shared" ca="1" si="3"/>
        <v>120</v>
      </c>
      <c r="AA25">
        <f t="shared" ca="1" si="15"/>
        <v>5.5665416666666871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18.273387701121308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1.8756549383149039</v>
      </c>
      <c r="AK25" s="55">
        <f t="shared" ca="1" si="19"/>
        <v>-7.0368802139154774</v>
      </c>
    </row>
    <row r="26" spans="1:37" s="55" customFormat="1" ht="1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47.388841876801173</v>
      </c>
      <c r="U26" s="55">
        <f t="shared" ca="1" si="1"/>
        <v>0</v>
      </c>
      <c r="V26" s="55">
        <f t="shared" ca="1" si="2"/>
        <v>0</v>
      </c>
      <c r="W26" s="55">
        <f t="shared" ca="1" si="12"/>
        <v>-2.3598252368255994</v>
      </c>
      <c r="X26" s="55">
        <f t="shared" ca="1" si="13"/>
        <v>2.3077872883127779</v>
      </c>
      <c r="Y26" s="55">
        <f t="shared" ca="1" si="14"/>
        <v>-2.310156478519946</v>
      </c>
      <c r="Z26">
        <f t="shared" ca="1" si="3"/>
        <v>120</v>
      </c>
      <c r="AA26">
        <f t="shared" ca="1" si="15"/>
        <v>6.1665416666666886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17.858636059974252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2.0889335273403944</v>
      </c>
      <c r="AK26" s="55">
        <f t="shared" ca="1" si="19"/>
        <v>-7.6649104440880205</v>
      </c>
    </row>
    <row r="27" spans="1:37" s="55" customFormat="1" ht="15" thickBot="1">
      <c r="C27" s="124" t="s">
        <v>138</v>
      </c>
      <c r="D27" s="125"/>
      <c r="E27" s="60"/>
      <c r="F27" s="126" t="s">
        <v>145</v>
      </c>
      <c r="G27" s="127"/>
      <c r="R27" s="83">
        <f ca="1"/>
        <v>45056</v>
      </c>
      <c r="S27" s="55">
        <f t="shared" ca="1" si="11"/>
        <v>45056</v>
      </c>
      <c r="T27" s="55">
        <f t="shared" ca="1" si="0"/>
        <v>46.852698038839826</v>
      </c>
      <c r="U27" s="55">
        <f t="shared" ca="1" si="1"/>
        <v>0</v>
      </c>
      <c r="V27" s="55">
        <f t="shared" ca="1" si="2"/>
        <v>0</v>
      </c>
      <c r="W27" s="55">
        <f t="shared" ca="1" si="12"/>
        <v>-2.9162010260368225</v>
      </c>
      <c r="X27" s="55">
        <f t="shared" ca="1" si="13"/>
        <v>2.5519550051718638</v>
      </c>
      <c r="Y27" s="55">
        <f t="shared" ca="1" si="14"/>
        <v>-2.5340922441291558</v>
      </c>
      <c r="Z27">
        <f t="shared" ca="1" si="3"/>
        <v>120</v>
      </c>
      <c r="AA27">
        <f t="shared" ca="1" si="15"/>
        <v>7.6665416666666886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17.480066805868837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2.2964411704278294</v>
      </c>
      <c r="AK27" s="55">
        <f t="shared" ca="1" si="19"/>
        <v>-8.2509873412808723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45057</v>
      </c>
      <c r="S28" s="55">
        <f t="shared" ca="1" si="11"/>
        <v>45057</v>
      </c>
      <c r="T28" s="55">
        <f t="shared" ca="1" si="0"/>
        <v>46.66318029289814</v>
      </c>
      <c r="U28" s="55">
        <f t="shared" ca="1" si="1"/>
        <v>0</v>
      </c>
      <c r="V28" s="55">
        <f t="shared" ca="1" si="2"/>
        <v>0</v>
      </c>
      <c r="W28" s="55">
        <f t="shared" ca="1" si="12"/>
        <v>-3.1378511324280893</v>
      </c>
      <c r="X28" s="55">
        <f t="shared" ca="1" si="13"/>
        <v>2.802382517983188</v>
      </c>
      <c r="Y28" s="55">
        <f t="shared" ca="1" si="14"/>
        <v>-2.7523873964909016</v>
      </c>
      <c r="Z28">
        <f t="shared" ca="1" si="3"/>
        <v>120</v>
      </c>
      <c r="AA28">
        <f t="shared" ca="1" si="15"/>
        <v>8.26654166666669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17.15127298346561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2.5148878460413493</v>
      </c>
      <c r="AK28" s="55">
        <f t="shared" ca="1" si="19"/>
        <v>-8.7982278392976205</v>
      </c>
    </row>
    <row r="29" spans="1:37" s="55" customFormat="1">
      <c r="A29" s="83">
        <f t="array" aca="1" ref="A29:A43" ca="1">_xlfn._xlws.FILTER('Model Interface'!X7:X496,'Model Interface'!Y7:Y496&gt;0,"")</f>
        <v>45144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45144</v>
      </c>
      <c r="G29" s="76">
        <f ca="1">IFERROR(VLOOKUP(F29,'Model Interface'!$J$7:$O$496,6,FALSE),"")</f>
        <v>124.3258140868171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45.986818831642033</v>
      </c>
      <c r="U29" s="55">
        <f t="shared" ca="1" si="1"/>
        <v>0</v>
      </c>
      <c r="V29" s="55">
        <f t="shared" ca="1" si="2"/>
        <v>0</v>
      </c>
      <c r="W29" s="55">
        <f t="shared" ca="1" si="12"/>
        <v>-3.8586945176140794</v>
      </c>
      <c r="X29" s="55">
        <f t="shared" ca="1" si="13"/>
        <v>3.0598305819447984</v>
      </c>
      <c r="Y29" s="55">
        <f t="shared" ca="1" si="14"/>
        <v>-2.9653535365226236</v>
      </c>
      <c r="Z29">
        <f t="shared" ca="1" si="3"/>
        <v>120</v>
      </c>
      <c r="AA29">
        <f t="shared" ca="1" si="15"/>
        <v>10.246541666666694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16.860034941111707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2.7353918234273173</v>
      </c>
      <c r="AK29" s="55">
        <f t="shared" ca="1" si="19"/>
        <v>-9.3099698590374889</v>
      </c>
    </row>
    <row r="30" spans="1:37" s="55" customFormat="1">
      <c r="A30" s="83">
        <f ca="1"/>
        <v>45204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45204</v>
      </c>
      <c r="G30" s="76">
        <f ca="1">IFERROR(VLOOKUP(F30,'Model Interface'!$J$7:$O$496,6,FALSE),"")</f>
        <v>140.2656256824381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45.454014579797985</v>
      </c>
      <c r="U30" s="55">
        <f t="shared" ca="1" si="1"/>
        <v>0</v>
      </c>
      <c r="V30" s="55">
        <f t="shared" ca="1" si="2"/>
        <v>0</v>
      </c>
      <c r="W30" s="55">
        <f t="shared" ca="1" si="12"/>
        <v>-4.44524069742089</v>
      </c>
      <c r="X30" s="55">
        <f t="shared" ca="1" si="13"/>
        <v>3.3155123568331906</v>
      </c>
      <c r="Y30" s="55">
        <f t="shared" ca="1" si="14"/>
        <v>-3.1672933834482557</v>
      </c>
      <c r="Z30">
        <f t="shared" ca="1" si="3"/>
        <v>120</v>
      </c>
      <c r="AA30">
        <f t="shared" ca="1" si="15"/>
        <v>11.876541666666697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16.603517911229339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2.9481030238991917</v>
      </c>
      <c r="AK30" s="55">
        <f t="shared" ca="1" si="19"/>
        <v>-9.779198089391727</v>
      </c>
    </row>
    <row r="31" spans="1:37" s="55" customFormat="1">
      <c r="A31" s="83">
        <f ca="1"/>
        <v>45226</v>
      </c>
      <c r="B31" s="55">
        <f t="shared" ca="1" si="24"/>
        <v>1</v>
      </c>
      <c r="C31" s="78"/>
      <c r="D31" s="81"/>
      <c r="F31" s="74">
        <f t="shared" ca="1" si="25"/>
        <v>45226</v>
      </c>
      <c r="G31" s="76">
        <f ca="1">IFERROR(VLOOKUP(F31,'Model Interface'!$J$7:$O$496,6,FALSE),"")</f>
        <v>135.20125575328439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45.082380675216235</v>
      </c>
      <c r="U31" s="55">
        <f t="shared" ca="1" si="1"/>
        <v>0</v>
      </c>
      <c r="V31" s="55">
        <f t="shared" ca="1" si="2"/>
        <v>0</v>
      </c>
      <c r="W31" s="55">
        <f t="shared" ca="1" si="12"/>
        <v>-4.8770923356388991</v>
      </c>
      <c r="X31" s="55">
        <f t="shared" ca="1" si="13"/>
        <v>3.5639867498841142</v>
      </c>
      <c r="Y31" s="55">
        <f t="shared" ca="1" si="14"/>
        <v>-3.3555500428629221</v>
      </c>
      <c r="Z31">
        <f t="shared" ca="1" si="3"/>
        <v>120</v>
      </c>
      <c r="AA31">
        <f t="shared" ca="1" si="15"/>
        <v>13.086541666666697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16.390176284001136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3.1645262567374974</v>
      </c>
      <c r="AK31" s="55">
        <f t="shared" ca="1" si="19"/>
        <v>-10.208962949458236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44.332745171758461</v>
      </c>
      <c r="U32" s="55">
        <f t="shared" ca="1" si="1"/>
        <v>0</v>
      </c>
      <c r="V32" s="55">
        <f t="shared" ca="1" si="2"/>
        <v>0</v>
      </c>
      <c r="W32" s="55">
        <f t="shared" ca="1" si="12"/>
        <v>-5.694846764286293</v>
      </c>
      <c r="X32" s="55">
        <f t="shared" ca="1" si="13"/>
        <v>3.8107329157212169</v>
      </c>
      <c r="Y32" s="55">
        <f t="shared" ca="1" si="14"/>
        <v>-3.5341772835104122</v>
      </c>
      <c r="Z32">
        <f t="shared" ca="1" si="3"/>
        <v>120</v>
      </c>
      <c r="AA32">
        <f t="shared" ca="1" si="15"/>
        <v>15.416541666666696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16.218753076417578</v>
      </c>
      <c r="AG32" s="55">
        <f t="shared" ca="1" si="22"/>
        <v>1.5506245596055472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3.3807531125052761</v>
      </c>
      <c r="AK32" s="55">
        <f t="shared" ca="1" si="19"/>
        <v>-10.596613012809572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43.601479363133926</v>
      </c>
      <c r="U33" s="55">
        <f t="shared" ca="1" si="1"/>
        <v>0</v>
      </c>
      <c r="V33" s="55">
        <f t="shared" ca="1" si="2"/>
        <v>0</v>
      </c>
      <c r="W33" s="55">
        <f t="shared" ca="1" si="12"/>
        <v>-6.50256416948835</v>
      </c>
      <c r="X33" s="55">
        <f t="shared" ca="1" si="13"/>
        <v>4.0576947046139926</v>
      </c>
      <c r="Y33" s="55">
        <f t="shared" ca="1" si="14"/>
        <v>-3.7046874758256698</v>
      </c>
      <c r="Z33">
        <f t="shared" ca="1" si="3"/>
        <v>120</v>
      </c>
      <c r="AA33">
        <f t="shared" ca="1" si="15"/>
        <v>17.756541666666699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15.996083535092435</v>
      </c>
      <c r="AG33" s="55">
        <f t="shared" ca="1" si="22"/>
        <v>1.6330267925866591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3.5961151290209399</v>
      </c>
      <c r="AK33" s="55">
        <f t="shared" ca="1" si="19"/>
        <v>-10.952242337669267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42.940580483821329</v>
      </c>
      <c r="U34" s="55">
        <f t="shared" ca="1" si="1"/>
        <v>0</v>
      </c>
      <c r="V34" s="55">
        <f t="shared" ca="1" si="2"/>
        <v>0</v>
      </c>
      <c r="W34" s="55">
        <f t="shared" ca="1" si="12"/>
        <v>-7.2436470210049659</v>
      </c>
      <c r="X34" s="55">
        <f t="shared" ca="1" si="13"/>
        <v>4.2961217689902078</v>
      </c>
      <c r="Y34" s="55">
        <f t="shared" ca="1" si="14"/>
        <v>-3.8629305679978723</v>
      </c>
      <c r="Z34">
        <f t="shared" ca="1" si="3"/>
        <v>120</v>
      </c>
      <c r="AA34">
        <f t="shared" ca="1" si="15"/>
        <v>19.936541666666699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15.795727312631143</v>
      </c>
      <c r="AG34" s="55">
        <f t="shared" ca="1" si="22"/>
        <v>1.7211713748677124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3.8144135016103302</v>
      </c>
      <c r="AK34" s="55">
        <f t="shared" ca="1" si="19"/>
        <v>-11.282752350438896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42.342625004692891</v>
      </c>
      <c r="U35" s="55">
        <f t="shared" ca="1" si="1"/>
        <v>0</v>
      </c>
      <c r="V35" s="55">
        <f t="shared" ca="1" si="2"/>
        <v>0</v>
      </c>
      <c r="W35" s="55">
        <f t="shared" ca="1" si="12"/>
        <v>-7.9274804148307556</v>
      </c>
      <c r="X35" s="55">
        <f t="shared" ca="1" si="13"/>
        <v>4.5316053141939481</v>
      </c>
      <c r="Y35" s="55">
        <f t="shared" ca="1" si="14"/>
        <v>-4.0125361985042565</v>
      </c>
      <c r="Z35">
        <f t="shared" ca="1" si="3"/>
        <v>120</v>
      </c>
      <c r="AA35">
        <f t="shared" ca="1" si="15"/>
        <v>21.976541666666698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15.614432609031654</v>
      </c>
      <c r="AG35" s="55">
        <f t="shared" ca="1" si="22"/>
        <v>1.813678571045297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4.0241169672066572</v>
      </c>
      <c r="AK35" s="55">
        <f t="shared" ca="1" si="19"/>
        <v>-11.581243323457128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4" t="s">
        <v>139</v>
      </c>
      <c r="D36" s="125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42.440782292894845</v>
      </c>
      <c r="U36" s="55">
        <f t="shared" ca="1" si="1"/>
        <v>0</v>
      </c>
      <c r="V36" s="55">
        <f t="shared" ca="1" si="2"/>
        <v>0</v>
      </c>
      <c r="W36" s="55">
        <f t="shared" ca="1" si="12"/>
        <v>-7.9274804148307556</v>
      </c>
      <c r="X36" s="55">
        <f t="shared" ca="1" si="13"/>
        <v>4.7772751012354329</v>
      </c>
      <c r="Y36" s="55">
        <f t="shared" ca="1" si="14"/>
        <v>-4.1600486973437913</v>
      </c>
      <c r="Z36">
        <f t="shared" ca="1" si="3"/>
        <v>119.07499999999999</v>
      </c>
      <c r="AA36">
        <f t="shared" ca="1" si="15"/>
        <v>21.976541666666698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15.494943144454943</v>
      </c>
      <c r="AG36" s="55">
        <f t="shared" ca="1" si="22"/>
        <v>1.9123450007072529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4.2774581609809887</v>
      </c>
      <c r="AK36" s="55">
        <f t="shared" ca="1" si="19"/>
        <v>-11.855407552146216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41.429771279807476</v>
      </c>
      <c r="U37" s="55">
        <f t="shared" ca="1" si="1"/>
        <v>0</v>
      </c>
      <c r="V37" s="55">
        <f t="shared" ca="1" si="2"/>
        <v>0</v>
      </c>
      <c r="W37" s="55">
        <f t="shared" ca="1" si="12"/>
        <v>-9.0430431071642339</v>
      </c>
      <c r="X37" s="55">
        <f t="shared" ca="1" si="13"/>
        <v>5.0218714026026703</v>
      </c>
      <c r="Y37" s="55">
        <f t="shared" ca="1" si="14"/>
        <v>-4.3000933194649189</v>
      </c>
      <c r="Z37">
        <f t="shared" ca="1" si="3"/>
        <v>120</v>
      </c>
      <c r="AA37">
        <f t="shared" ca="1" si="15"/>
        <v>25.377795833333359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15.405430589059829</v>
      </c>
      <c r="AG37" s="55">
        <f t="shared" ca="1" si="22"/>
        <v>2.0168372034668764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4.5405747406618895</v>
      </c>
      <c r="AK37" s="55">
        <f t="shared" ca="1" si="19"/>
        <v>-12.103544484462608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40.374765163733429</v>
      </c>
      <c r="U38" s="55">
        <f t="shared" ca="1" si="1"/>
        <v>0</v>
      </c>
      <c r="V38" s="55">
        <f t="shared" ca="1" si="2"/>
        <v>0</v>
      </c>
      <c r="W38" s="55">
        <f t="shared" ca="1" si="12"/>
        <v>-10.21290192778341</v>
      </c>
      <c r="X38" s="55">
        <f t="shared" ca="1" si="13"/>
        <v>5.2727342173615552</v>
      </c>
      <c r="Y38" s="55">
        <f t="shared" ca="1" si="14"/>
        <v>-4.4361034296786741</v>
      </c>
      <c r="Z38">
        <f t="shared" ca="1" si="3"/>
        <v>120</v>
      </c>
      <c r="AA38">
        <f t="shared" ca="1" si="15"/>
        <v>29.037795833333355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15.332630086435469</v>
      </c>
      <c r="AG38" s="55">
        <f t="shared" ca="1" si="22"/>
        <v>2.1271022355098492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4.8004366952525057</v>
      </c>
      <c r="AK38" s="55">
        <f t="shared" ca="1" si="19"/>
        <v>-12.325941909634613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39.449477245941608</v>
      </c>
      <c r="U39" s="55">
        <f t="shared" ca="1" si="1"/>
        <v>0</v>
      </c>
      <c r="V39" s="55">
        <f t="shared" ca="1" si="2"/>
        <v>0</v>
      </c>
      <c r="W39" s="55">
        <f t="shared" ca="1" si="12"/>
        <v>-11.252888771679547</v>
      </c>
      <c r="X39" s="55">
        <f t="shared" ca="1" si="13"/>
        <v>5.5122180152721141</v>
      </c>
      <c r="Y39" s="55">
        <f t="shared" ca="1" si="14"/>
        <v>-4.5608883014849146</v>
      </c>
      <c r="Z39">
        <f t="shared" ca="1" si="3"/>
        <v>120</v>
      </c>
      <c r="AA39">
        <f t="shared" ca="1" si="15"/>
        <v>32.367795833333361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15.282990209863463</v>
      </c>
      <c r="AG39" s="55">
        <f t="shared" ca="1" si="22"/>
        <v>2.2435844851984621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5.0657967583705927</v>
      </c>
      <c r="AK39" s="55">
        <f t="shared" ca="1" si="19"/>
        <v>-12.524459599636094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37.670305458035727</v>
      </c>
      <c r="U40" s="55">
        <f t="shared" ca="1" si="1"/>
        <v>0</v>
      </c>
      <c r="V40" s="55">
        <f t="shared" ca="1" si="2"/>
        <v>0</v>
      </c>
      <c r="W40" s="55">
        <f t="shared" ca="1" si="12"/>
        <v>-13.149588651491646</v>
      </c>
      <c r="X40" s="55">
        <f t="shared" ca="1" si="13"/>
        <v>5.7466557757572261</v>
      </c>
      <c r="Y40" s="55">
        <f t="shared" ca="1" si="14"/>
        <v>-4.6777979700638106</v>
      </c>
      <c r="Z40">
        <f t="shared" ca="1" si="3"/>
        <v>120</v>
      </c>
      <c r="AA40">
        <f t="shared" ca="1" si="15"/>
        <v>38.72779583333336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15.254678035984593</v>
      </c>
      <c r="AG40" s="55">
        <f t="shared" ca="1" si="22"/>
        <v>2.3678969720026362</v>
      </c>
      <c r="AH40" s="55">
        <f t="shared" ca="1" si="23"/>
        <v>0</v>
      </c>
      <c r="AI40" s="55">
        <f t="shared" ca="1" si="17"/>
        <v>0</v>
      </c>
      <c r="AJ40" s="55">
        <f t="shared" ca="1" si="18"/>
        <v>5.3400451656696246</v>
      </c>
      <c r="AK40" s="55">
        <f t="shared" ca="1" si="19"/>
        <v>-12.702707694009822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36.680272234578482</v>
      </c>
      <c r="U41" s="55">
        <f t="shared" ca="1" si="1"/>
        <v>0</v>
      </c>
      <c r="V41" s="55">
        <f t="shared" ca="1" si="2"/>
        <v>0</v>
      </c>
      <c r="W41" s="55">
        <f t="shared" ca="1" si="12"/>
        <v>-14.261765072537594</v>
      </c>
      <c r="X41" s="55">
        <f t="shared" ca="1" si="13"/>
        <v>5.9796342717230644</v>
      </c>
      <c r="Y41" s="55">
        <f t="shared" ca="1" si="14"/>
        <v>-4.7886332684409476</v>
      </c>
      <c r="Z41">
        <f t="shared" ca="1" si="3"/>
        <v>120</v>
      </c>
      <c r="AA41">
        <f t="shared" ca="1" si="15"/>
        <v>42.557795833333358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15.228442885221767</v>
      </c>
      <c r="AG41" s="55">
        <f t="shared" ca="1" si="22"/>
        <v>2.4998556361177435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5.6031761499082666</v>
      </c>
      <c r="AK41" s="55">
        <f t="shared" ca="1" si="19"/>
        <v>-12.860115164896184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35.553410081478667</v>
      </c>
      <c r="U42" s="55">
        <f t="shared" ca="1" si="1"/>
        <v>0</v>
      </c>
      <c r="V42" s="55">
        <f t="shared" ca="1" si="2"/>
        <v>0</v>
      </c>
      <c r="W42" s="55">
        <f t="shared" ca="1" si="12"/>
        <v>-15.519911371795921</v>
      </c>
      <c r="X42" s="55">
        <f t="shared" ca="1" si="13"/>
        <v>6.2184836834268644</v>
      </c>
      <c r="Y42" s="55">
        <f t="shared" ca="1" si="14"/>
        <v>-4.8961985339862402</v>
      </c>
      <c r="Z42">
        <f t="shared" ca="1" si="3"/>
        <v>120</v>
      </c>
      <c r="AA42">
        <f t="shared" ca="1" si="15"/>
        <v>47.027795833333357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15.211981911178993</v>
      </c>
      <c r="AG42" s="55">
        <f t="shared" ca="1" si="22"/>
        <v>2.6366503621646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5.8571648025813214</v>
      </c>
      <c r="AK42" s="55">
        <f t="shared" ca="1" si="19"/>
        <v>-12.993770065565156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34.216704049290001</v>
      </c>
      <c r="U43" s="55">
        <f t="shared" ca="1" si="1"/>
        <v>0</v>
      </c>
      <c r="V43" s="55">
        <f t="shared" ca="1" si="2"/>
        <v>0</v>
      </c>
      <c r="W43" s="55">
        <f t="shared" ca="1" si="12"/>
        <v>-16.998928404326481</v>
      </c>
      <c r="X43" s="55">
        <f t="shared" ca="1" si="13"/>
        <v>6.4658770658157012</v>
      </c>
      <c r="Y43" s="55">
        <f t="shared" ca="1" si="14"/>
        <v>-5.0012809160331848</v>
      </c>
      <c r="Z43">
        <f t="shared" ca="1" si="3"/>
        <v>120</v>
      </c>
      <c r="AA43">
        <f t="shared" ca="1" si="15"/>
        <v>52.487795833333351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15.198212387113408</v>
      </c>
      <c r="AG43" s="55">
        <f t="shared" ca="1" si="22"/>
        <v>2.7820757172988153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6.1050611654131659</v>
      </c>
      <c r="AK43" s="55">
        <f t="shared" ca="1" si="19"/>
        <v>-13.110010597328371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94" t="s">
        <v>150</v>
      </c>
      <c r="D44" s="96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33.602467882290689</v>
      </c>
      <c r="U44" s="55">
        <f t="shared" ca="1" si="1"/>
        <v>0</v>
      </c>
      <c r="V44" s="55">
        <f t="shared" ca="1" si="2"/>
        <v>0</v>
      </c>
      <c r="W44" s="55">
        <f t="shared" ca="1" si="12"/>
        <v>-17.751763695172635</v>
      </c>
      <c r="X44" s="55">
        <f t="shared" ca="1" si="13"/>
        <v>6.7001060147226195</v>
      </c>
      <c r="Y44" s="55">
        <f t="shared" ca="1" si="14"/>
        <v>-5.0969107410932537</v>
      </c>
      <c r="Z44">
        <f t="shared" ca="1" si="3"/>
        <v>120</v>
      </c>
      <c r="AA44">
        <f t="shared" ca="1" si="15"/>
        <v>55.317795833333349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15.188984655757372</v>
      </c>
      <c r="AG44" s="55">
        <f t="shared" ca="1" si="22"/>
        <v>2.9373771842909937</v>
      </c>
      <c r="AH44" s="55">
        <f t="shared" ca="1" si="23"/>
        <v>0</v>
      </c>
      <c r="AI44" s="55">
        <f t="shared" ca="1" si="17"/>
        <v>0</v>
      </c>
      <c r="AJ44" s="55">
        <f t="shared" ca="1" si="18"/>
        <v>6.3511862219039266</v>
      </c>
      <c r="AK44" s="55">
        <f t="shared" ca="1" si="19"/>
        <v>-13.210061918182989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33.124239384161797</v>
      </c>
      <c r="U45" s="55">
        <f t="shared" ca="1" si="1"/>
        <v>0</v>
      </c>
      <c r="V45" s="55">
        <f t="shared" ca="1" si="2"/>
        <v>0</v>
      </c>
      <c r="W45" s="55">
        <f t="shared" ca="1" si="12"/>
        <v>-18.362767894146319</v>
      </c>
      <c r="X45" s="55">
        <f t="shared" ca="1" si="13"/>
        <v>6.9194017640953529</v>
      </c>
      <c r="Y45" s="55">
        <f t="shared" ca="1" si="14"/>
        <v>-5.1834307896211973</v>
      </c>
      <c r="Z45">
        <f t="shared" ca="1" si="3"/>
        <v>120</v>
      </c>
      <c r="AA45">
        <f t="shared" ca="1" si="15"/>
        <v>57.647795833333348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15.191915153239899</v>
      </c>
      <c r="AG45" s="55">
        <f t="shared" ca="1" si="22"/>
        <v>3.1032969130224717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6.6043458773303279</v>
      </c>
      <c r="AK45" s="55">
        <f t="shared" ca="1" si="19"/>
        <v>-13.294371347395385</v>
      </c>
    </row>
    <row r="46" spans="1:37" s="55" customFormat="1" ht="15" thickBot="1">
      <c r="C46" s="121" t="s">
        <v>154</v>
      </c>
      <c r="D46" s="121"/>
      <c r="E46" s="121"/>
      <c r="F46" s="121"/>
      <c r="G46" s="121"/>
      <c r="H46" s="121"/>
      <c r="R46" s="83">
        <f ca="1"/>
        <v>45075</v>
      </c>
      <c r="S46" s="55">
        <f t="shared" ca="1" si="11"/>
        <v>45075</v>
      </c>
      <c r="T46" s="55">
        <f t="shared" ca="1" si="0"/>
        <v>32.354232266977824</v>
      </c>
      <c r="U46" s="55">
        <f t="shared" ca="1" si="1"/>
        <v>0</v>
      </c>
      <c r="V46" s="55">
        <f t="shared" ca="1" si="2"/>
        <v>0</v>
      </c>
      <c r="W46" s="55">
        <f t="shared" ca="1" si="12"/>
        <v>-19.264372499986102</v>
      </c>
      <c r="X46" s="55">
        <f t="shared" ca="1" si="13"/>
        <v>7.131361229055039</v>
      </c>
      <c r="Y46" s="55">
        <f t="shared" ca="1" si="14"/>
        <v>-5.2637927659250678</v>
      </c>
      <c r="Z46">
        <f t="shared" ca="1" si="3"/>
        <v>120</v>
      </c>
      <c r="AA46">
        <f t="shared" ca="1" si="15"/>
        <v>61.167795833333351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15.202828508926476</v>
      </c>
      <c r="AG46" s="55">
        <f t="shared" ca="1" si="22"/>
        <v>3.2779000595433527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6.8576317147889325</v>
      </c>
      <c r="AK46" s="55">
        <f t="shared" ca="1" si="19"/>
        <v>-13.362140682646531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31.479670686919537</v>
      </c>
      <c r="U47" s="55">
        <f t="shared" ca="1" si="1"/>
        <v>0</v>
      </c>
      <c r="V47" s="55">
        <f t="shared" ca="1" si="2"/>
        <v>0</v>
      </c>
      <c r="W47" s="55">
        <f t="shared" ca="1" si="12"/>
        <v>-20.278673722577555</v>
      </c>
      <c r="X47" s="55">
        <f t="shared" ca="1" si="13"/>
        <v>7.349257069749334</v>
      </c>
      <c r="Y47" s="55">
        <f t="shared" ca="1" si="14"/>
        <v>-5.3419489640862006</v>
      </c>
      <c r="Z47">
        <f t="shared" ca="1" si="3"/>
        <v>120</v>
      </c>
      <c r="AA47">
        <f t="shared" ca="1" si="15"/>
        <v>65.237795833333351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15.207485693223022</v>
      </c>
      <c r="AG47" s="55">
        <f t="shared" ca="1" si="22"/>
        <v>3.4631326170776182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7.1006417063825058</v>
      </c>
      <c r="AK47" s="55">
        <f t="shared" ca="1" si="19"/>
        <v>-13.415260932409295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30.592033503652239</v>
      </c>
      <c r="U48" s="55">
        <f t="shared" ca="1" si="1"/>
        <v>0</v>
      </c>
      <c r="V48" s="55">
        <f t="shared" ca="1" si="2"/>
        <v>0</v>
      </c>
      <c r="W48" s="55">
        <f t="shared" ca="1" si="12"/>
        <v>-21.305546313850147</v>
      </c>
      <c r="X48" s="55">
        <f t="shared" ca="1" si="13"/>
        <v>7.5614127643581242</v>
      </c>
      <c r="Y48" s="55">
        <f t="shared" ca="1" si="14"/>
        <v>-5.4148692506896943</v>
      </c>
      <c r="Z48">
        <f t="shared" ca="1" si="3"/>
        <v>120</v>
      </c>
      <c r="AA48">
        <f t="shared" ca="1" si="15"/>
        <v>69.477795833333346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15.223668940333825</v>
      </c>
      <c r="AG48" s="55">
        <f t="shared" ca="1" si="22"/>
        <v>3.6564215014292332</v>
      </c>
      <c r="AH48" s="55">
        <f t="shared" ca="1" si="23"/>
        <v>0</v>
      </c>
      <c r="AI48" s="55">
        <f t="shared" ca="1" si="17"/>
        <v>0</v>
      </c>
      <c r="AJ48" s="55">
        <f t="shared" ca="1" si="18"/>
        <v>7.3487038053551146</v>
      </c>
      <c r="AK48" s="55">
        <f t="shared" ca="1" si="19"/>
        <v>-13.453850899919486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30.050087239354891</v>
      </c>
      <c r="U49" s="55">
        <f t="shared" ca="1" si="1"/>
        <v>0</v>
      </c>
      <c r="V49" s="55">
        <f t="shared" ca="1" si="2"/>
        <v>0</v>
      </c>
      <c r="W49" s="55">
        <f t="shared" ca="1" si="12"/>
        <v>-21.99068830290744</v>
      </c>
      <c r="X49" s="55">
        <f t="shared" ca="1" si="13"/>
        <v>7.7741578297302505</v>
      </c>
      <c r="Y49" s="55">
        <f t="shared" ca="1" si="14"/>
        <v>-5.4844185913018748</v>
      </c>
      <c r="Z49">
        <f t="shared" ca="1" si="3"/>
        <v>120</v>
      </c>
      <c r="AA49">
        <f t="shared" ca="1" si="15"/>
        <v>72.357795833333341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15.229723149487882</v>
      </c>
      <c r="AG49" s="55">
        <f t="shared" ca="1" si="22"/>
        <v>3.8579508327695748</v>
      </c>
      <c r="AH49" s="55">
        <f t="shared" ca="1" si="23"/>
        <v>0</v>
      </c>
      <c r="AI49" s="55">
        <f t="shared" ca="1" si="17"/>
        <v>0</v>
      </c>
      <c r="AJ49" s="55">
        <f t="shared" ca="1" si="18"/>
        <v>7.5819756729884711</v>
      </c>
      <c r="AK49" s="55">
        <f t="shared" ca="1" si="19"/>
        <v>-13.479539227058444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29.310193479180583</v>
      </c>
      <c r="U50" s="55">
        <f t="shared" ca="1" si="1"/>
        <v>0</v>
      </c>
      <c r="V50" s="55">
        <f t="shared" ca="1" si="2"/>
        <v>0</v>
      </c>
      <c r="W50" s="55">
        <f t="shared" ca="1" si="12"/>
        <v>-22.874757013723222</v>
      </c>
      <c r="X50" s="55">
        <f t="shared" ca="1" si="13"/>
        <v>7.9837713963877652</v>
      </c>
      <c r="Y50" s="55">
        <f t="shared" ca="1" si="14"/>
        <v>-5.5498572073179187</v>
      </c>
      <c r="Z50">
        <f t="shared" ca="1" si="3"/>
        <v>120</v>
      </c>
      <c r="AA50">
        <f t="shared" ca="1" si="15"/>
        <v>76.167795833333344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15.249825067454417</v>
      </c>
      <c r="AG50" s="55">
        <f t="shared" ca="1" si="22"/>
        <v>4.0633904111287746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7.8215112872360528</v>
      </c>
      <c r="AK50" s="55">
        <f t="shared" ca="1" si="19"/>
        <v>-13.493533344980291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29.149453781850184</v>
      </c>
      <c r="U51" s="55">
        <f t="shared" ca="1" si="1"/>
        <v>0</v>
      </c>
      <c r="V51" s="55">
        <f t="shared" ca="1" si="2"/>
        <v>0</v>
      </c>
      <c r="W51" s="55">
        <f t="shared" ca="1" si="12"/>
        <v>-23.174753475561431</v>
      </c>
      <c r="X51" s="55">
        <f t="shared" ca="1" si="13"/>
        <v>8.1830301791357751</v>
      </c>
      <c r="Y51" s="55">
        <f t="shared" ca="1" si="14"/>
        <v>-5.609859225558119</v>
      </c>
      <c r="Z51">
        <f t="shared" ca="1" si="3"/>
        <v>120</v>
      </c>
      <c r="AA51">
        <f t="shared" ca="1" si="15"/>
        <v>77.467795833333341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15.269354192444194</v>
      </c>
      <c r="AG51" s="55">
        <f t="shared" ca="1" si="22"/>
        <v>4.2851260014779173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8.0671392129396704</v>
      </c>
      <c r="AK51" s="55">
        <f t="shared" ca="1" si="19"/>
        <v>-13.497896555344989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28.604815625642068</v>
      </c>
      <c r="U52" s="55">
        <f t="shared" ca="1" si="1"/>
        <v>0</v>
      </c>
      <c r="V52" s="55">
        <f t="shared" ca="1" si="2"/>
        <v>0</v>
      </c>
      <c r="W52" s="55">
        <f t="shared" ca="1" si="12"/>
        <v>-23.863176038285218</v>
      </c>
      <c r="X52" s="55">
        <f t="shared" ca="1" si="13"/>
        <v>8.3843715599660236</v>
      </c>
      <c r="Y52" s="55">
        <f t="shared" ca="1" si="14"/>
        <v>-5.6674161998726973</v>
      </c>
      <c r="Z52">
        <f t="shared" ca="1" si="3"/>
        <v>120</v>
      </c>
      <c r="AA52">
        <f t="shared" ca="1" si="15"/>
        <v>80.507795833333347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15.268831847882659</v>
      </c>
      <c r="AG52" s="55">
        <f t="shared" ca="1" si="22"/>
        <v>4.5172088498725982</v>
      </c>
      <c r="AH52" s="55">
        <f t="shared" ca="1" si="23"/>
        <v>0</v>
      </c>
      <c r="AI52" s="55">
        <f t="shared" ca="1" si="17"/>
        <v>0</v>
      </c>
      <c r="AJ52" s="55">
        <f t="shared" ca="1" si="18"/>
        <v>8.293656756761056</v>
      </c>
      <c r="AK52" s="55">
        <f t="shared" ca="1" si="19"/>
        <v>-13.492853595333228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28.296422361617406</v>
      </c>
      <c r="U53" s="55">
        <f t="shared" ca="1" si="1"/>
        <v>0</v>
      </c>
      <c r="V53" s="55">
        <f t="shared" ca="1" si="2"/>
        <v>0</v>
      </c>
      <c r="W53" s="55">
        <f t="shared" ca="1" si="12"/>
        <v>-24.320163259425339</v>
      </c>
      <c r="X53" s="55">
        <f t="shared" ca="1" si="13"/>
        <v>8.5881917869356403</v>
      </c>
      <c r="Y53" s="55">
        <f t="shared" ca="1" si="14"/>
        <v>-5.7226424697268587</v>
      </c>
      <c r="Z53">
        <f t="shared" ca="1" si="3"/>
        <v>120</v>
      </c>
      <c r="AA53">
        <f t="shared" ca="1" si="15"/>
        <v>82.547795833333339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15.254267715720813</v>
      </c>
      <c r="AG53" s="55">
        <f t="shared" ca="1" si="22"/>
        <v>4.7630311126512312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8.511123092519508</v>
      </c>
      <c r="AK53" s="55">
        <f t="shared" ca="1" si="19"/>
        <v>-13.479061800474893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27.968582741691439</v>
      </c>
      <c r="U54" s="55">
        <f t="shared" ca="1" si="1"/>
        <v>0</v>
      </c>
      <c r="V54" s="55">
        <f t="shared" ca="1" si="2"/>
        <v>0</v>
      </c>
      <c r="W54" s="55">
        <f t="shared" ca="1" si="12"/>
        <v>-24.798426024308263</v>
      </c>
      <c r="X54" s="55">
        <f t="shared" ca="1" si="13"/>
        <v>8.7908655606704507</v>
      </c>
      <c r="Y54" s="55">
        <f t="shared" ca="1" si="14"/>
        <v>-5.7748930985047089</v>
      </c>
      <c r="Z54">
        <f t="shared" ca="1" si="3"/>
        <v>120</v>
      </c>
      <c r="AA54">
        <f t="shared" ca="1" si="15"/>
        <v>84.707795833333336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15.233171441784787</v>
      </c>
      <c r="AG54" s="55">
        <f t="shared" ca="1" si="22"/>
        <v>5.0216419219974258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8.7268238671072655</v>
      </c>
      <c r="AK54" s="55">
        <f t="shared" ca="1" si="19"/>
        <v>-13.457248039652482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27.741249105951702</v>
      </c>
      <c r="U55" s="55">
        <f t="shared" ca="1" si="1"/>
        <v>0</v>
      </c>
      <c r="V55" s="55">
        <f t="shared" ca="1" si="2"/>
        <v>0</v>
      </c>
      <c r="W55" s="55">
        <f t="shared" ca="1" si="12"/>
        <v>-25.180561730742745</v>
      </c>
      <c r="X55" s="55">
        <f t="shared" ca="1" si="13"/>
        <v>8.9956442720209751</v>
      </c>
      <c r="Y55" s="55">
        <f t="shared" ca="1" si="14"/>
        <v>-5.8248697391604862</v>
      </c>
      <c r="Z55">
        <f t="shared" ca="1" si="3"/>
        <v>120</v>
      </c>
      <c r="AA55">
        <f t="shared" ca="1" si="15"/>
        <v>86.447795833333331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15.196979355964622</v>
      </c>
      <c r="AG55" s="55">
        <f t="shared" ca="1" si="22"/>
        <v>5.2958457019043168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8.936657233183178</v>
      </c>
      <c r="AK55" s="55">
        <f t="shared" ca="1" si="19"/>
        <v>-13.429069711641668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27.593125859984216</v>
      </c>
      <c r="U56" s="55">
        <f t="shared" ca="1" si="1"/>
        <v>0</v>
      </c>
      <c r="V56" s="55">
        <f t="shared" ca="1" si="2"/>
        <v>0</v>
      </c>
      <c r="W56" s="55">
        <f t="shared" ca="1" si="12"/>
        <v>-25.490754453952068</v>
      </c>
      <c r="X56" s="55">
        <f t="shared" ca="1" si="13"/>
        <v>9.2060379885682764</v>
      </c>
      <c r="Y56" s="55">
        <f t="shared" ca="1" si="14"/>
        <v>-5.8731939784659497</v>
      </c>
      <c r="Z56">
        <f t="shared" ca="1" si="3"/>
        <v>120</v>
      </c>
      <c r="AA56">
        <f t="shared" ca="1" si="15"/>
        <v>87.867795833333332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15.148680506855356</v>
      </c>
      <c r="AG56" s="55">
        <f t="shared" ca="1" si="22"/>
        <v>5.5903227732589196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9.1483826377112756</v>
      </c>
      <c r="AK56" s="55">
        <f t="shared" ca="1" si="19"/>
        <v>-13.394616893924431</v>
      </c>
    </row>
    <row r="57" spans="2:37" s="55" customFormat="1" ht="15" thickBot="1">
      <c r="C57" s="121" t="s">
        <v>155</v>
      </c>
      <c r="D57" s="121"/>
      <c r="E57" s="121"/>
      <c r="F57" s="121"/>
      <c r="G57" s="121"/>
      <c r="H57" s="121"/>
      <c r="R57" s="83">
        <f ca="1"/>
        <v>45086</v>
      </c>
      <c r="S57" s="55">
        <f t="shared" ca="1" si="11"/>
        <v>45086</v>
      </c>
      <c r="T57" s="55">
        <f t="shared" ca="1" si="0"/>
        <v>26.951355580017786</v>
      </c>
      <c r="U57" s="55">
        <f t="shared" ca="1" si="1"/>
        <v>0</v>
      </c>
      <c r="V57" s="55">
        <f t="shared" ca="1" si="2"/>
        <v>0</v>
      </c>
      <c r="W57" s="55">
        <f t="shared" ca="1" si="12"/>
        <v>-26.303674716634355</v>
      </c>
      <c r="X57" s="55">
        <f t="shared" ca="1" si="13"/>
        <v>9.4241334739790368</v>
      </c>
      <c r="Y57" s="55">
        <f t="shared" ca="1" si="14"/>
        <v>-5.9201394811608541</v>
      </c>
      <c r="Z57">
        <f t="shared" ca="1" si="3"/>
        <v>120</v>
      </c>
      <c r="AA57">
        <f t="shared" ca="1" si="15"/>
        <v>91.677795833333334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15.092712162196122</v>
      </c>
      <c r="AG57" s="55">
        <f t="shared" ca="1" si="22"/>
        <v>5.9038060415574645</v>
      </c>
      <c r="AH57" s="55">
        <f t="shared" ca="1" si="23"/>
        <v>0</v>
      </c>
      <c r="AI57" s="55">
        <f t="shared" ca="1" si="17"/>
        <v>0</v>
      </c>
      <c r="AJ57" s="55">
        <f t="shared" ca="1" si="18"/>
        <v>9.3645256149775129</v>
      </c>
      <c r="AK57" s="55">
        <f t="shared" ca="1" si="19"/>
        <v>-13.353244947551358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25.916994771304719</v>
      </c>
      <c r="U58" s="55">
        <f t="shared" ca="1" si="1"/>
        <v>0</v>
      </c>
      <c r="V58" s="55">
        <f t="shared" ca="1" si="2"/>
        <v>0</v>
      </c>
      <c r="W58" s="55">
        <f t="shared" ca="1" si="12"/>
        <v>-27.512162585324649</v>
      </c>
      <c r="X58" s="55">
        <f t="shared" ca="1" si="13"/>
        <v>9.6426285910045095</v>
      </c>
      <c r="Y58" s="55">
        <f t="shared" ca="1" si="14"/>
        <v>-5.9645075382091015</v>
      </c>
      <c r="Z58">
        <f t="shared" ca="1" si="3"/>
        <v>120</v>
      </c>
      <c r="AA58">
        <f t="shared" ca="1" si="15"/>
        <v>97.567795833333335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15.028872492557959</v>
      </c>
      <c r="AG58" s="55">
        <f t="shared" ca="1" si="22"/>
        <v>6.2331598540818698</v>
      </c>
      <c r="AH58" s="55">
        <f t="shared" ca="1" si="23"/>
        <v>0</v>
      </c>
      <c r="AI58" s="55">
        <f t="shared" ca="1" si="17"/>
        <v>0</v>
      </c>
      <c r="AJ58" s="55">
        <f t="shared" ca="1" si="18"/>
        <v>9.5822905025712029</v>
      </c>
      <c r="AK58" s="55">
        <f t="shared" ca="1" si="19"/>
        <v>-13.305495692258807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25.383330834160372</v>
      </c>
      <c r="U59" s="55">
        <f t="shared" ca="1" si="1"/>
        <v>0</v>
      </c>
      <c r="V59" s="55">
        <f t="shared" ca="1" si="2"/>
        <v>0</v>
      </c>
      <c r="W59" s="55">
        <f t="shared" ca="1" si="12"/>
        <v>-28.223530431951993</v>
      </c>
      <c r="X59" s="55">
        <f t="shared" ca="1" si="13"/>
        <v>9.8623253413322729</v>
      </c>
      <c r="Y59" s="55">
        <f t="shared" ca="1" si="14"/>
        <v>-6.0065003790538682</v>
      </c>
      <c r="Z59">
        <f t="shared" ca="1" si="3"/>
        <v>120</v>
      </c>
      <c r="AA59">
        <f t="shared" ca="1" si="15"/>
        <v>101.10779583333334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14.937303893424907</v>
      </c>
      <c r="AG59" s="55">
        <f t="shared" ca="1" si="22"/>
        <v>6.5767184237460423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9.7864066276471267</v>
      </c>
      <c r="AK59" s="55">
        <f t="shared" ca="1" si="19"/>
        <v>-13.257621846803611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24.998339213918449</v>
      </c>
      <c r="U60" s="55">
        <f t="shared" ca="1" si="1"/>
        <v>0</v>
      </c>
      <c r="V60" s="55">
        <f t="shared" ca="1" si="2"/>
        <v>0</v>
      </c>
      <c r="W60" s="55">
        <f t="shared" ca="1" si="12"/>
        <v>-28.785576425278258</v>
      </c>
      <c r="X60" s="55">
        <f t="shared" ca="1" si="13"/>
        <v>10.078429509777475</v>
      </c>
      <c r="Y60" s="55">
        <f t="shared" ca="1" si="14"/>
        <v>-6.0455501744147284</v>
      </c>
      <c r="Z60">
        <f t="shared" ca="1" si="3"/>
        <v>120</v>
      </c>
      <c r="AA60">
        <f t="shared" ca="1" si="15"/>
        <v>103.94779583333334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14.827247318287061</v>
      </c>
      <c r="AG60" s="55">
        <f t="shared" ca="1" si="22"/>
        <v>6.9389781349329605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9.9879888119722704</v>
      </c>
      <c r="AK60" s="55">
        <f t="shared" ca="1" si="19"/>
        <v>-13.207000895079682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24.756959069079638</v>
      </c>
      <c r="U61" s="55">
        <f t="shared" ca="1" si="1"/>
        <v>0</v>
      </c>
      <c r="V61" s="55">
        <f t="shared" ca="1" si="2"/>
        <v>0</v>
      </c>
      <c r="W61" s="55">
        <f t="shared" ca="1" si="12"/>
        <v>-29.203040647580615</v>
      </c>
      <c r="X61" s="55">
        <f t="shared" ca="1" si="13"/>
        <v>10.290781547661615</v>
      </c>
      <c r="Y61" s="55">
        <f t="shared" ca="1" si="14"/>
        <v>-6.0818181348353226</v>
      </c>
      <c r="Z61">
        <f t="shared" ca="1" si="3"/>
        <v>120</v>
      </c>
      <c r="AA61">
        <f t="shared" ca="1" si="15"/>
        <v>106.07779583333334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14.704540980116406</v>
      </c>
      <c r="AG61" s="55">
        <f t="shared" ca="1" si="22"/>
        <v>7.3159127014104408</v>
      </c>
      <c r="AH61" s="55">
        <f t="shared" ca="1" si="23"/>
        <v>0</v>
      </c>
      <c r="AI61" s="55">
        <f t="shared" ca="1" si="17"/>
        <v>0</v>
      </c>
      <c r="AJ61" s="55">
        <f t="shared" ca="1" si="18"/>
        <v>10.18807953850345</v>
      </c>
      <c r="AK61" s="55">
        <f t="shared" ca="1" si="19"/>
        <v>-13.152863393304036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24.544634064282125</v>
      </c>
      <c r="U62" s="55">
        <f t="shared" ca="1" si="1"/>
        <v>0</v>
      </c>
      <c r="V62" s="55">
        <f t="shared" ca="1" si="2"/>
        <v>0</v>
      </c>
      <c r="W62" s="55">
        <f t="shared" ca="1" si="12"/>
        <v>-29.583891552811391</v>
      </c>
      <c r="X62" s="55">
        <f t="shared" ca="1" si="13"/>
        <v>10.492122928491863</v>
      </c>
      <c r="Y62" s="55">
        <f t="shared" ca="1" si="14"/>
        <v>-6.1146336152323091</v>
      </c>
      <c r="Z62">
        <f t="shared" ca="1" si="3"/>
        <v>120</v>
      </c>
      <c r="AA62">
        <f t="shared" ca="1" si="15"/>
        <v>108.03779583333333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14.561020007132024</v>
      </c>
      <c r="AG62" s="55">
        <f t="shared" ca="1" si="22"/>
        <v>7.7104805082310799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10.383755632391278</v>
      </c>
      <c r="AK62" s="55">
        <f t="shared" ca="1" si="19"/>
        <v>-13.097492653355607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23.758732409365457</v>
      </c>
      <c r="U63" s="55">
        <f t="shared" ca="1" si="1"/>
        <v>0</v>
      </c>
      <c r="V63" s="55">
        <f t="shared" ca="1" si="2"/>
        <v>0</v>
      </c>
      <c r="W63" s="55">
        <f t="shared" ca="1" si="12"/>
        <v>-30.541269474190447</v>
      </c>
      <c r="X63" s="55">
        <f t="shared" ca="1" si="13"/>
        <v>10.694606021864692</v>
      </c>
      <c r="Y63" s="55">
        <f t="shared" ca="1" si="14"/>
        <v>-6.1456404421427528</v>
      </c>
      <c r="Z63">
        <f t="shared" ca="1" si="3"/>
        <v>120</v>
      </c>
      <c r="AA63">
        <f t="shared" ca="1" si="15"/>
        <v>113.12779583333332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14.41773711088031</v>
      </c>
      <c r="AG63" s="55">
        <f t="shared" ca="1" si="22"/>
        <v>8.125957497671239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10.591462186620106</v>
      </c>
      <c r="AK63" s="55">
        <f t="shared" ca="1" si="19"/>
        <v>-13.033005114395989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23.387414097721354</v>
      </c>
      <c r="U64" s="55">
        <f t="shared" ca="1" si="1"/>
        <v>0</v>
      </c>
      <c r="V64" s="55">
        <f t="shared" ca="1" si="2"/>
        <v>0</v>
      </c>
      <c r="W64" s="55">
        <f t="shared" ca="1" si="12"/>
        <v>-31.076354019234561</v>
      </c>
      <c r="X64" s="55">
        <f t="shared" ca="1" si="13"/>
        <v>10.886406405513357</v>
      </c>
      <c r="Y64" s="55">
        <f t="shared" ca="1" si="14"/>
        <v>-6.1736745923914063</v>
      </c>
      <c r="Z64">
        <f t="shared" ca="1" si="3"/>
        <v>120</v>
      </c>
      <c r="AA64">
        <f t="shared" ca="1" si="15"/>
        <v>116.01779583333331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14.245236484585426</v>
      </c>
      <c r="AG64" s="55">
        <f t="shared" ca="1" si="22"/>
        <v>8.5661733740012949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10.794631854797933</v>
      </c>
      <c r="AK64" s="55">
        <f t="shared" ca="1" si="19"/>
        <v>-12.968459532538644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22.938413196231604</v>
      </c>
      <c r="U65" s="55">
        <f t="shared" ca="1" si="1"/>
        <v>0</v>
      </c>
      <c r="V65" s="55">
        <f t="shared" ca="1" si="2"/>
        <v>0</v>
      </c>
      <c r="W65" s="55">
        <f t="shared" ca="1" si="12"/>
        <v>-31.691963683388426</v>
      </c>
      <c r="X65" s="55">
        <f t="shared" ca="1" si="13"/>
        <v>11.079499050573647</v>
      </c>
      <c r="Y65" s="55">
        <f t="shared" ca="1" si="14"/>
        <v>-6.20015847478758</v>
      </c>
      <c r="Z65">
        <f t="shared" ca="1" si="3"/>
        <v>120</v>
      </c>
      <c r="AA65">
        <f t="shared" ca="1" si="15"/>
        <v>119.40779583333331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14.044255743667712</v>
      </c>
      <c r="AG65" s="55">
        <f t="shared" ca="1" si="22"/>
        <v>9.0292212958343772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10.992668199457576</v>
      </c>
      <c r="AK65" s="55">
        <f t="shared" ca="1" si="19"/>
        <v>-12.904428696282919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22.471714459573473</v>
      </c>
      <c r="U66" s="55">
        <f t="shared" ca="1" si="1"/>
        <v>0</v>
      </c>
      <c r="V66" s="55">
        <f t="shared" ca="1" si="2"/>
        <v>0</v>
      </c>
      <c r="W66" s="55">
        <f t="shared" ca="1" si="12"/>
        <v>-32.33596556694237</v>
      </c>
      <c r="X66" s="55">
        <f t="shared" ca="1" si="13"/>
        <v>11.282554523692879</v>
      </c>
      <c r="Y66" s="55">
        <f t="shared" ca="1" si="14"/>
        <v>-6.2259108010109987</v>
      </c>
      <c r="Z66">
        <f t="shared" ca="1" si="3"/>
        <v>120</v>
      </c>
      <c r="AA66">
        <f t="shared" ca="1" si="15"/>
        <v>123.0277958333333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13.833007896785606</v>
      </c>
      <c r="AG66" s="55">
        <f t="shared" ca="1" si="22"/>
        <v>9.5184870922439888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11.199567973600768</v>
      </c>
      <c r="AK66" s="55">
        <f t="shared" ca="1" si="19"/>
        <v>-12.833310520898605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152 kg N/ha</v>
      </c>
      <c r="R67" s="83">
        <f ca="1"/>
        <v>45096</v>
      </c>
      <c r="S67" s="55">
        <f t="shared" ca="1" si="11"/>
        <v>45096</v>
      </c>
      <c r="T67" s="55">
        <f t="shared" ca="1" si="0"/>
        <v>22.129584379600242</v>
      </c>
      <c r="U67" s="55">
        <f t="shared" ca="1" si="1"/>
        <v>0</v>
      </c>
      <c r="V67" s="55">
        <f t="shared" ca="1" si="2"/>
        <v>0</v>
      </c>
      <c r="W67" s="55">
        <f t="shared" ca="1" si="12"/>
        <v>-32.851031643377567</v>
      </c>
      <c r="X67" s="55">
        <f t="shared" ca="1" si="13"/>
        <v>11.478995351645231</v>
      </c>
      <c r="Y67" s="55">
        <f t="shared" ca="1" si="14"/>
        <v>-6.2494156325013881</v>
      </c>
      <c r="Z67">
        <f t="shared" ca="1" si="3"/>
        <v>120</v>
      </c>
      <c r="AA67">
        <f t="shared" ca="1" si="15"/>
        <v>125.9677958333333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13.60217469820001</v>
      </c>
      <c r="AG67" s="55">
        <f t="shared" ca="1" si="22"/>
        <v>10.031111466083278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11.407309057871126</v>
      </c>
      <c r="AK67" s="55">
        <f t="shared" ca="1" si="19"/>
        <v>-12.759260429915271</v>
      </c>
    </row>
    <row r="68" spans="2:37" ht="15" thickBot="1">
      <c r="C68" s="123" t="s">
        <v>186</v>
      </c>
      <c r="D68" s="123"/>
      <c r="E68" s="123"/>
      <c r="F68" s="123"/>
      <c r="G68" s="123"/>
      <c r="H68" s="123"/>
      <c r="R68" s="83">
        <f ca="1"/>
        <v>45097</v>
      </c>
      <c r="S68" s="55">
        <f t="shared" ca="1" si="11"/>
        <v>45097</v>
      </c>
      <c r="T68" s="55">
        <f t="shared" ca="1" si="0"/>
        <v>21.51811380834252</v>
      </c>
      <c r="U68" s="55">
        <f t="shared" ca="1" si="1"/>
        <v>0</v>
      </c>
      <c r="V68" s="55">
        <f t="shared" ca="1" si="2"/>
        <v>0</v>
      </c>
      <c r="W68" s="55">
        <f t="shared" ca="1" si="12"/>
        <v>-33.639760173260854</v>
      </c>
      <c r="X68" s="55">
        <f t="shared" ca="1" si="13"/>
        <v>11.678442898197035</v>
      </c>
      <c r="Y68" s="55">
        <f t="shared" ca="1" si="14"/>
        <v>-6.2716052204276238</v>
      </c>
      <c r="Z68">
        <f t="shared" ca="1" si="3"/>
        <v>120</v>
      </c>
      <c r="AA68">
        <f t="shared" ca="1" si="15"/>
        <v>130.59779583333329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13.338718395531636</v>
      </c>
      <c r="AG68" s="55">
        <f t="shared" ca="1" si="22"/>
        <v>10.5639921455007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11.605724010671942</v>
      </c>
      <c r="AK68" s="55">
        <f t="shared" ca="1" si="19"/>
        <v>-12.688251005967038</v>
      </c>
    </row>
    <row r="69" spans="2:37">
      <c r="C69" s="61"/>
      <c r="D69" s="88"/>
      <c r="E69" s="99"/>
      <c r="R69" s="83">
        <f ca="1"/>
        <v>45098</v>
      </c>
      <c r="S69" s="55">
        <f t="shared" ca="1" si="11"/>
        <v>45098</v>
      </c>
      <c r="T69" s="55">
        <f t="shared" ca="1" si="0"/>
        <v>21.543627181312765</v>
      </c>
      <c r="U69" s="55">
        <f t="shared" ca="1" si="1"/>
        <v>0</v>
      </c>
      <c r="V69" s="55">
        <f t="shared" ca="1" si="2"/>
        <v>0</v>
      </c>
      <c r="W69" s="55">
        <f t="shared" ca="1" si="12"/>
        <v>-33.794964054079564</v>
      </c>
      <c r="X69" s="55">
        <f t="shared" ca="1" si="13"/>
        <v>11.879974282431425</v>
      </c>
      <c r="Y69" s="55">
        <f t="shared" ca="1" si="14"/>
        <v>-6.292419350873061</v>
      </c>
      <c r="Z69">
        <f t="shared" ca="1" si="3"/>
        <v>120</v>
      </c>
      <c r="AA69">
        <f t="shared" ca="1" si="15"/>
        <v>131.50779583333329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13.053405801983766</v>
      </c>
      <c r="AG69" s="55">
        <f t="shared" ca="1" si="22"/>
        <v>11.123383155326986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11.806011542756041</v>
      </c>
      <c r="AK69" s="55">
        <f t="shared" ca="1" si="19"/>
        <v>-12.614460121772721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21.569606118483023</v>
      </c>
      <c r="U70" s="55">
        <f t="shared" ca="1" si="1"/>
        <v>0</v>
      </c>
      <c r="V70" s="55">
        <f t="shared" ca="1" si="2"/>
        <v>0</v>
      </c>
      <c r="W70" s="55">
        <f t="shared" ca="1" si="12"/>
        <v>-33.945232310038328</v>
      </c>
      <c r="X70" s="55">
        <f t="shared" ca="1" si="13"/>
        <v>12.075108719112936</v>
      </c>
      <c r="Y70" s="55">
        <f t="shared" ca="1" si="14"/>
        <v>-6.3113065944255524</v>
      </c>
      <c r="Z70">
        <f t="shared" ca="1" si="3"/>
        <v>120</v>
      </c>
      <c r="AA70">
        <f t="shared" ca="1" si="15"/>
        <v>132.38779583333329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12.736518746829857</v>
      </c>
      <c r="AG70" s="55">
        <f t="shared" ca="1" si="22"/>
        <v>11.697284055619804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11.994097080153587</v>
      </c>
      <c r="AK70" s="55">
        <f t="shared" ca="1" si="19"/>
        <v>-12.545531814031358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21.123966484001365</v>
      </c>
      <c r="U71" s="55">
        <f t="shared" ca="1" si="1"/>
        <v>0</v>
      </c>
      <c r="V71" s="55">
        <f t="shared" ca="1" si="2"/>
        <v>0</v>
      </c>
      <c r="W71" s="55">
        <f t="shared" ca="1" si="12"/>
        <v>-34.563988494965535</v>
      </c>
      <c r="X71" s="55">
        <f t="shared" ca="1" si="13"/>
        <v>12.265438948076561</v>
      </c>
      <c r="Y71" s="55">
        <f t="shared" ca="1" si="14"/>
        <v>-6.3285202729436296</v>
      </c>
      <c r="Z71">
        <f t="shared" ca="1" si="3"/>
        <v>120</v>
      </c>
      <c r="AA71">
        <f t="shared" ca="1" si="15"/>
        <v>136.0877958333333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12.387779125056868</v>
      </c>
      <c r="AG71" s="55">
        <f t="shared" ca="1" si="22"/>
        <v>12.282995236019003</v>
      </c>
      <c r="AH71" s="55">
        <f t="shared" ca="1" si="23"/>
        <v>0</v>
      </c>
      <c r="AI71" s="55">
        <f t="shared" ca="1" si="17"/>
        <v>0</v>
      </c>
      <c r="AJ71" s="55">
        <f t="shared" ca="1" si="18"/>
        <v>12.168469677075853</v>
      </c>
      <c r="AK71" s="55">
        <f t="shared" ca="1" si="19"/>
        <v>-12.482932852327414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20.445637531796429</v>
      </c>
      <c r="U72" s="55">
        <f t="shared" ca="1" si="1"/>
        <v>0</v>
      </c>
      <c r="V72" s="55">
        <f t="shared" ca="1" si="2"/>
        <v>0</v>
      </c>
      <c r="W72" s="55">
        <f t="shared" ca="1" si="12"/>
        <v>-35.41861614379463</v>
      </c>
      <c r="X72" s="55">
        <f t="shared" ca="1" si="13"/>
        <v>12.457792486119772</v>
      </c>
      <c r="Y72" s="55">
        <f t="shared" ca="1" si="14"/>
        <v>-6.3445751143626845</v>
      </c>
      <c r="Z72">
        <f t="shared" ca="1" si="3"/>
        <v>120</v>
      </c>
      <c r="AA72">
        <f t="shared" ca="1" si="15"/>
        <v>141.3677958333333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12.00692810259264</v>
      </c>
      <c r="AG72" s="55">
        <f t="shared" ca="1" si="22"/>
        <v>12.899990288326403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12.342282421998487</v>
      </c>
      <c r="AK72" s="55">
        <f t="shared" ca="1" si="19"/>
        <v>-12.420601567406875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19.480321091423175</v>
      </c>
      <c r="U73" s="55">
        <f t="shared" ca="1" si="1"/>
        <v>0</v>
      </c>
      <c r="V73" s="55">
        <f t="shared" ca="1" si="2"/>
        <v>0</v>
      </c>
      <c r="W73" s="55">
        <f t="shared" ca="1" si="12"/>
        <v>-36.564464863993052</v>
      </c>
      <c r="X73" s="55">
        <f t="shared" ca="1" si="13"/>
        <v>12.653299616031383</v>
      </c>
      <c r="Y73" s="55">
        <f t="shared" ca="1" si="14"/>
        <v>-6.3595499644491307</v>
      </c>
      <c r="Z73">
        <f t="shared" ca="1" si="3"/>
        <v>120</v>
      </c>
      <c r="AA73">
        <f t="shared" ca="1" si="15"/>
        <v>148.79779583333331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11.589538802586514</v>
      </c>
      <c r="AG73" s="55">
        <f t="shared" ca="1" si="22"/>
        <v>13.549906103431393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12.514050012920604</v>
      </c>
      <c r="AK73" s="55">
        <f t="shared" ca="1" si="19"/>
        <v>-12.359842643230129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19.280114478554502</v>
      </c>
      <c r="U74" s="55">
        <f t="shared" ca="1" si="1"/>
        <v>0</v>
      </c>
      <c r="V74" s="55">
        <f t="shared" ca="1" si="2"/>
        <v>0</v>
      </c>
      <c r="W74" s="55">
        <f t="shared" ca="1" si="12"/>
        <v>-36.939945093462903</v>
      </c>
      <c r="X74" s="55">
        <f t="shared" ca="1" si="13"/>
        <v>12.841984472742356</v>
      </c>
      <c r="Y74" s="55">
        <f t="shared" ca="1" si="14"/>
        <v>-6.3729612045589299</v>
      </c>
      <c r="Z74">
        <f t="shared" ca="1" si="3"/>
        <v>120</v>
      </c>
      <c r="AA74">
        <f t="shared" ca="1" si="15"/>
        <v>151.25779583333332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11.158239254915516</v>
      </c>
      <c r="AG74" s="55">
        <f t="shared" ca="1" si="22"/>
        <v>14.220171435165799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12.688305549314446</v>
      </c>
      <c r="AK74" s="55">
        <f t="shared" ca="1" si="19"/>
        <v>-12.295132395560563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19.25400853620015</v>
      </c>
      <c r="U75" s="55">
        <f t="shared" ca="1" si="1"/>
        <v>0</v>
      </c>
      <c r="V75" s="55">
        <f t="shared" ca="1" si="2"/>
        <v>0</v>
      </c>
      <c r="W75" s="55">
        <f t="shared" ca="1" si="12"/>
        <v>-37.144198034017762</v>
      </c>
      <c r="X75" s="55">
        <f t="shared" ca="1" si="13"/>
        <v>13.032498079583277</v>
      </c>
      <c r="Y75" s="55">
        <f t="shared" ca="1" si="14"/>
        <v>-6.3853278131993472</v>
      </c>
      <c r="Z75">
        <f t="shared" ca="1" si="3"/>
        <v>120</v>
      </c>
      <c r="AA75">
        <f t="shared" ca="1" si="15"/>
        <v>152.59779583333332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10.710852632077488</v>
      </c>
      <c r="AG75" s="55">
        <f t="shared" ca="1" si="22"/>
        <v>14.923553048092938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12.87227550867032</v>
      </c>
      <c r="AK75" s="55">
        <f t="shared" ca="1" si="19"/>
        <v>-12.223107364827326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18.784267865320583</v>
      </c>
      <c r="U76" s="55">
        <f t="shared" ca="1" si="1"/>
        <v>0</v>
      </c>
      <c r="V76" s="55">
        <f t="shared" ca="1" si="2"/>
        <v>0</v>
      </c>
      <c r="W76" s="55">
        <f t="shared" ca="1" si="12"/>
        <v>-37.791081258629738</v>
      </c>
      <c r="X76" s="55">
        <f t="shared" ca="1" si="13"/>
        <v>13.22081852647705</v>
      </c>
      <c r="Y76" s="55">
        <f t="shared" ca="1" si="14"/>
        <v>-6.3965057063607098</v>
      </c>
      <c r="Z76">
        <f t="shared" ca="1" si="3"/>
        <v>120</v>
      </c>
      <c r="AA76">
        <f t="shared" ca="1" si="15"/>
        <v>156.94779583333332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10.222730604035075</v>
      </c>
      <c r="AG76" s="55">
        <f t="shared" ca="1" si="22"/>
        <v>15.675104206404837</v>
      </c>
      <c r="AH76" s="55">
        <f t="shared" ca="1" si="23"/>
        <v>0</v>
      </c>
      <c r="AI76" s="55">
        <f t="shared" ca="1" si="17"/>
        <v>0</v>
      </c>
      <c r="AJ76" s="55">
        <f t="shared" ca="1" si="18"/>
        <v>13.061367111982378</v>
      </c>
      <c r="AK76" s="55">
        <f t="shared" ca="1" si="19"/>
        <v>-12.148769837869898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18.38634433439103</v>
      </c>
      <c r="U77" s="55">
        <f t="shared" ca="1" si="1"/>
        <v>0</v>
      </c>
      <c r="V77" s="55">
        <f t="shared" ca="1" si="2"/>
        <v>0</v>
      </c>
      <c r="W77" s="55">
        <f t="shared" ca="1" si="12"/>
        <v>-38.368948739106038</v>
      </c>
      <c r="X77" s="55">
        <f t="shared" ca="1" si="13"/>
        <v>13.410965489357073</v>
      </c>
      <c r="Y77" s="55">
        <f t="shared" ca="1" si="14"/>
        <v>-6.4067087196939898</v>
      </c>
      <c r="Z77">
        <f t="shared" ca="1" si="3"/>
        <v>120</v>
      </c>
      <c r="AA77">
        <f t="shared" ca="1" si="15"/>
        <v>160.91779583333332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9.7085234116814938</v>
      </c>
      <c r="AG77" s="55">
        <f t="shared" ca="1" si="22"/>
        <v>16.464046259364764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13.257009253646702</v>
      </c>
      <c r="AK77" s="55">
        <f t="shared" ca="1" si="19"/>
        <v>-12.069677118927876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17.705467694730601</v>
      </c>
      <c r="U78" s="55">
        <f t="shared" ca="1" si="1"/>
        <v>0</v>
      </c>
      <c r="V78" s="55">
        <f t="shared" ca="1" si="2"/>
        <v>0</v>
      </c>
      <c r="W78" s="55">
        <f t="shared" ca="1" si="12"/>
        <v>-39.232385380352397</v>
      </c>
      <c r="X78" s="55">
        <f t="shared" ca="1" si="13"/>
        <v>13.602765873005739</v>
      </c>
      <c r="Y78" s="55">
        <f t="shared" ca="1" si="14"/>
        <v>-6.4159491017567216</v>
      </c>
      <c r="Z78">
        <f t="shared" ca="1" si="3"/>
        <v>120</v>
      </c>
      <c r="AA78">
        <f t="shared" ca="1" si="15"/>
        <v>167.07779583333331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9.1991782404211389</v>
      </c>
      <c r="AG78" s="55">
        <f t="shared" ca="1" si="22"/>
        <v>17.256526715243069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13.457157707977217</v>
      </c>
      <c r="AK78" s="55">
        <f t="shared" ca="1" si="19"/>
        <v>-11.986690288640441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17.587314565750457</v>
      </c>
      <c r="U79" s="55">
        <f t="shared" ca="1" si="1"/>
        <v>0</v>
      </c>
      <c r="V79" s="55">
        <f t="shared" ca="1" si="2"/>
        <v>0</v>
      </c>
      <c r="W79" s="55">
        <f t="shared" ca="1" si="12"/>
        <v>-39.523382155938208</v>
      </c>
      <c r="X79" s="55">
        <f t="shared" ca="1" si="13"/>
        <v>13.783536616527813</v>
      </c>
      <c r="Y79" s="55">
        <f t="shared" ca="1" si="14"/>
        <v>-6.4238761986731241</v>
      </c>
      <c r="Z79">
        <f t="shared" ca="1" si="3"/>
        <v>120</v>
      </c>
      <c r="AA79">
        <f t="shared" ca="1" si="15"/>
        <v>169.16779583333332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8.6560366583011277</v>
      </c>
      <c r="AG79" s="55">
        <f t="shared" ca="1" si="22"/>
        <v>18.080014618283865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13.654686093585958</v>
      </c>
      <c r="AK79" s="55">
        <f t="shared" ca="1" si="19"/>
        <v>-11.903872353328397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17.349064419537751</v>
      </c>
      <c r="U80" s="55">
        <f t="shared" ca="1" si="1"/>
        <v>0</v>
      </c>
      <c r="V80" s="55">
        <f t="shared" ca="1" si="2"/>
        <v>0</v>
      </c>
      <c r="W80" s="55">
        <f t="shared" ca="1" si="12"/>
        <v>-39.927181630302947</v>
      </c>
      <c r="X80" s="55">
        <f t="shared" ca="1" si="13"/>
        <v>13.955918473139988</v>
      </c>
      <c r="Y80" s="55">
        <f t="shared" ca="1" si="14"/>
        <v>-6.4307087271332666</v>
      </c>
      <c r="Z80">
        <f t="shared" ca="1" si="3"/>
        <v>120</v>
      </c>
      <c r="AA80">
        <f t="shared" ca="1" si="15"/>
        <v>172.10779583333331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8.0632343776457223</v>
      </c>
      <c r="AG80" s="55">
        <f t="shared" ca="1" si="22"/>
        <v>18.959177846098765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13.855814155500067</v>
      </c>
      <c r="AK80" s="55">
        <f t="shared" ca="1" si="19"/>
        <v>-11.818639468083012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17.244562439413105</v>
      </c>
      <c r="U81" s="55">
        <f t="shared" ca="1" si="1"/>
        <v>0</v>
      </c>
      <c r="V81" s="55">
        <f t="shared" ca="1" si="2"/>
        <v>0</v>
      </c>
      <c r="W81" s="55">
        <f t="shared" ca="1" si="12"/>
        <v>-40.200220535593651</v>
      </c>
      <c r="X81" s="55">
        <f t="shared" ca="1" si="13"/>
        <v>14.13054722009138</v>
      </c>
      <c r="Y81" s="55">
        <f t="shared" ca="1" si="14"/>
        <v>-6.436800548918594</v>
      </c>
      <c r="Z81">
        <f t="shared" ca="1" si="3"/>
        <v>120</v>
      </c>
      <c r="AA81">
        <f t="shared" ca="1" si="15"/>
        <v>174.10779583333331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7.4506919350067111</v>
      </c>
      <c r="AG81" s="55">
        <f t="shared" ca="1" si="22"/>
        <v>19.847800403892922</v>
      </c>
      <c r="AH81" s="55">
        <f t="shared" ca="1" si="23"/>
        <v>0</v>
      </c>
      <c r="AI81" s="55">
        <f t="shared" ca="1" si="17"/>
        <v>0</v>
      </c>
      <c r="AJ81" s="55">
        <f t="shared" ca="1" si="18"/>
        <v>14.049734071592891</v>
      </c>
      <c r="AK81" s="55">
        <f t="shared" ca="1" si="19"/>
        <v>-11.736479269020689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16.891288820113903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-40.731099667135815</v>
      </c>
      <c r="X82" s="55">
        <f t="shared" ca="1" si="13"/>
        <v>14.313633818748198</v>
      </c>
      <c r="Y82" s="55">
        <f t="shared" ca="1" si="14"/>
        <v>-6.4422816353324492</v>
      </c>
      <c r="Z82">
        <f t="shared" ref="Z82:Z145" ca="1" si="30">VLOOKUP(S82,ModelOutputs,10,FALSE)*AWC</f>
        <v>120</v>
      </c>
      <c r="AA82">
        <f t="shared" ca="1" si="15"/>
        <v>178.07779583333331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6.7755791418605975</v>
      </c>
      <c r="AG82" s="55">
        <f t="shared" ca="1" si="22"/>
        <v>20.792369603575644</v>
      </c>
      <c r="AH82" s="55">
        <f t="shared" ca="1" si="23"/>
        <v>0</v>
      </c>
      <c r="AI82" s="55">
        <f t="shared" ca="1" si="17"/>
        <v>0</v>
      </c>
      <c r="AJ82" s="55">
        <f t="shared" ca="1" si="18"/>
        <v>14.24012644693993</v>
      </c>
      <c r="AK82" s="55">
        <f t="shared" ca="1" si="19"/>
        <v>-11.657415237831122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16.87555642999455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-40.934168862843414</v>
      </c>
      <c r="X83" s="55">
        <f t="shared" ref="X83:X146" ca="1" si="35">VLOOKUP(S83,ModelOutputs,5,FALSE)+X82</f>
        <v>14.50580286003407</v>
      </c>
      <c r="Y83" s="55">
        <f t="shared" ref="Y83:Y146" ca="1" si="36">VLOOKUP(S83,ModelOutputs,4,FALSE)+Y82</f>
        <v>-6.4471138710300737</v>
      </c>
      <c r="Z83">
        <f t="shared" ca="1" si="30"/>
        <v>120</v>
      </c>
      <c r="AA83">
        <f t="shared" ref="AA83:AA146" ca="1" si="37">VLOOKUP(S83,ModelOutputs,11,FALSE)+AA82</f>
        <v>179.59779583333332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6.0590615704577511</v>
      </c>
      <c r="AG83" s="55">
        <f t="shared" ca="1" si="22"/>
        <v>21.790302130133348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14.438331758265297</v>
      </c>
      <c r="AK83" s="55">
        <f t="shared" ref="AK83:AK146" ca="1" si="40">VLOOKUP(AE83,ModelOutputs,4,FALSE)+AK82</f>
        <v>-11.574205594001631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16.650229864065476</v>
      </c>
      <c r="U84" s="55">
        <f t="shared" ca="1" si="28"/>
        <v>0</v>
      </c>
      <c r="V84" s="55">
        <f t="shared" ca="1" si="29"/>
        <v>0</v>
      </c>
      <c r="W84" s="55">
        <f t="shared" ca="1" si="34"/>
        <v>-41.346747683683404</v>
      </c>
      <c r="X84" s="55">
        <f t="shared" ca="1" si="35"/>
        <v>14.697051096665087</v>
      </c>
      <c r="Y84" s="55">
        <f t="shared" ca="1" si="36"/>
        <v>-6.4511098527501769</v>
      </c>
      <c r="Z84">
        <f t="shared" ca="1" si="30"/>
        <v>120</v>
      </c>
      <c r="AA84">
        <f t="shared" ca="1" si="37"/>
        <v>182.72779583333332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5.3035200676794689</v>
      </c>
      <c r="AG84" s="55">
        <f t="shared" ca="1" si="22"/>
        <v>22.814468989802105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14.628286800375898</v>
      </c>
      <c r="AK84" s="55">
        <f t="shared" ca="1" si="40"/>
        <v>-11.495535279221757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16.644792659911786</v>
      </c>
      <c r="U85" s="55">
        <f t="shared" ca="1" si="28"/>
        <v>0</v>
      </c>
      <c r="V85" s="55">
        <f t="shared" ca="1" si="29"/>
        <v>0</v>
      </c>
      <c r="W85" s="55">
        <f t="shared" ca="1" si="34"/>
        <v>-41.539133745510881</v>
      </c>
      <c r="X85" s="55">
        <f t="shared" ca="1" si="35"/>
        <v>14.88719805954511</v>
      </c>
      <c r="Y85" s="55">
        <f t="shared" ca="1" si="36"/>
        <v>-6.4543079579564102</v>
      </c>
      <c r="Z85">
        <f t="shared" ca="1" si="30"/>
        <v>120</v>
      </c>
      <c r="AA85">
        <f t="shared" ca="1" si="37"/>
        <v>184.18779583333333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4.5420874439413224</v>
      </c>
      <c r="AG85" s="55">
        <f t="shared" ref="AG85:AG148" ca="1" si="43">VLOOKUP(AE85,ModelOutputs,7,FALSE)</f>
        <v>23.870756067647072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14.840724903317586</v>
      </c>
      <c r="AK85" s="55">
        <f t="shared" ca="1" si="40"/>
        <v>-11.413118928056624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16.506922067950658</v>
      </c>
      <c r="U86" s="55">
        <f t="shared" ca="1" si="28"/>
        <v>0</v>
      </c>
      <c r="V86" s="55">
        <f t="shared" ca="1" si="29"/>
        <v>0</v>
      </c>
      <c r="W86" s="55">
        <f t="shared" ca="1" si="34"/>
        <v>-41.859299254787175</v>
      </c>
      <c r="X86" s="55">
        <f t="shared" ca="1" si="35"/>
        <v>15.071898937673167</v>
      </c>
      <c r="Y86" s="55">
        <f t="shared" ca="1" si="36"/>
        <v>-6.456713918769303</v>
      </c>
      <c r="Z86">
        <f t="shared" ca="1" si="30"/>
        <v>120</v>
      </c>
      <c r="AA86">
        <f t="shared" ca="1" si="37"/>
        <v>186.63779583333331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3.73128875898965</v>
      </c>
      <c r="AG86" s="55">
        <f t="shared" ca="1" si="43"/>
        <v>24.981009289537727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15.057060038601056</v>
      </c>
      <c r="AK86" s="55">
        <f t="shared" ca="1" si="40"/>
        <v>-11.329999526401112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16.286460314906439</v>
      </c>
      <c r="U87" s="55">
        <f t="shared" ca="1" si="28"/>
        <v>0</v>
      </c>
      <c r="V87" s="55">
        <f t="shared" ca="1" si="29"/>
        <v>0</v>
      </c>
      <c r="W87" s="55">
        <f t="shared" ca="1" si="34"/>
        <v>-42.265442858890154</v>
      </c>
      <c r="X87" s="55">
        <f t="shared" ca="1" si="35"/>
        <v>15.259310312767189</v>
      </c>
      <c r="Y87" s="55">
        <f t="shared" ca="1" si="36"/>
        <v>-6.4584434428045654</v>
      </c>
      <c r="Z87">
        <f t="shared" ca="1" si="30"/>
        <v>120</v>
      </c>
      <c r="AA87">
        <f t="shared" ca="1" si="37"/>
        <v>189.78779583333332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2.8845523803539441</v>
      </c>
      <c r="AG87" s="55">
        <f t="shared" ca="1" si="43"/>
        <v>26.1119675608353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15.260652239100509</v>
      </c>
      <c r="AK87" s="55">
        <f t="shared" ca="1" si="40"/>
        <v>-11.249369834238697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16.351256818324448</v>
      </c>
      <c r="U88" s="55">
        <f t="shared" ca="1" si="28"/>
        <v>0</v>
      </c>
      <c r="V88" s="55">
        <f t="shared" ca="1" si="29"/>
        <v>0</v>
      </c>
      <c r="W88" s="55">
        <f t="shared" ca="1" si="34"/>
        <v>-42.375473191230128</v>
      </c>
      <c r="X88" s="55">
        <f t="shared" ca="1" si="35"/>
        <v>15.435156634328452</v>
      </c>
      <c r="Y88" s="55">
        <f t="shared" ca="1" si="36"/>
        <v>-6.4594629286078442</v>
      </c>
      <c r="Z88">
        <f t="shared" ca="1" si="30"/>
        <v>120</v>
      </c>
      <c r="AA88">
        <f t="shared" ca="1" si="37"/>
        <v>190.63779583333331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1.9883756826446004</v>
      </c>
      <c r="AG88" s="55">
        <f t="shared" ca="1" si="43"/>
        <v>27.286964015334942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15.459280464438489</v>
      </c>
      <c r="AK88" s="55">
        <f t="shared" ca="1" si="40"/>
        <v>-11.16917830278638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16.173489736320722</v>
      </c>
      <c r="U89" s="55">
        <f t="shared" ca="1" si="28"/>
        <v>0</v>
      </c>
      <c r="V89" s="55">
        <f t="shared" ca="1" si="29"/>
        <v>0</v>
      </c>
      <c r="W89" s="55">
        <f t="shared" ca="1" si="34"/>
        <v>-42.722461935614774</v>
      </c>
      <c r="X89" s="55">
        <f t="shared" ca="1" si="35"/>
        <v>15.604798588423888</v>
      </c>
      <c r="Y89" s="55">
        <f t="shared" ca="1" si="36"/>
        <v>-6.4598832203223608</v>
      </c>
      <c r="Z89">
        <f t="shared" ca="1" si="30"/>
        <v>120</v>
      </c>
      <c r="AA89">
        <f t="shared" ca="1" si="37"/>
        <v>193.34779583333329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1.0576372109182577</v>
      </c>
      <c r="AG89" s="55">
        <f t="shared" ca="1" si="43"/>
        <v>28.495851502263033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15.658605281938819</v>
      </c>
      <c r="AK89" s="55">
        <f t="shared" ca="1" si="40"/>
        <v>-11.090354105084961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15.630549137764174</v>
      </c>
      <c r="U90" s="55">
        <f t="shared" ca="1" si="28"/>
        <v>0</v>
      </c>
      <c r="V90" s="55">
        <f t="shared" ca="1" si="29"/>
        <v>0</v>
      </c>
      <c r="W90" s="55">
        <f t="shared" ca="1" si="34"/>
        <v>-43.440164650190447</v>
      </c>
      <c r="X90" s="55">
        <f t="shared" ca="1" si="35"/>
        <v>15.77942733537528</v>
      </c>
      <c r="Y90" s="55">
        <f t="shared" ca="1" si="36"/>
        <v>-6.4597498512546281</v>
      </c>
      <c r="Z90">
        <f t="shared" ca="1" si="30"/>
        <v>120</v>
      </c>
      <c r="AA90">
        <f t="shared" ca="1" si="37"/>
        <v>199.1477958333333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7.5437912047383149E-2</v>
      </c>
      <c r="AG90" s="55">
        <f t="shared" ca="1" si="43"/>
        <v>29.760201157907595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15.861698320615231</v>
      </c>
      <c r="AK90" s="55">
        <f t="shared" ca="1" si="40"/>
        <v>-11.011296786987685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15.657783152214391</v>
      </c>
      <c r="U91" s="55">
        <f t="shared" ca="1" si="28"/>
        <v>0</v>
      </c>
      <c r="V91" s="55">
        <f t="shared" ca="1" si="29"/>
        <v>0</v>
      </c>
      <c r="W91" s="55">
        <f t="shared" ca="1" si="34"/>
        <v>-43.591392739135586</v>
      </c>
      <c r="X91" s="55">
        <f t="shared" ca="1" si="35"/>
        <v>15.957197913031836</v>
      </c>
      <c r="Y91" s="55">
        <f t="shared" ca="1" si="36"/>
        <v>-6.45905832551583</v>
      </c>
      <c r="Z91">
        <f t="shared" ca="1" si="30"/>
        <v>120</v>
      </c>
      <c r="AA91">
        <f t="shared" ca="1" si="37"/>
        <v>200.3677958333333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-0.95366883231939226</v>
      </c>
      <c r="AG91" s="55">
        <f t="shared" ca="1" si="43"/>
        <v>31.070041503983415</v>
      </c>
      <c r="AH91" s="55">
        <f t="shared" ca="1" si="44"/>
        <v>0</v>
      </c>
      <c r="AI91" s="55">
        <f t="shared" ca="1" si="38"/>
        <v>0</v>
      </c>
      <c r="AJ91" s="55">
        <f t="shared" ca="1" si="39"/>
        <v>16.064065551778203</v>
      </c>
      <c r="AK91" s="55">
        <f t="shared" ca="1" si="40"/>
        <v>-10.932930416441613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15.428997733459559</v>
      </c>
      <c r="U92" s="55">
        <f t="shared" ca="1" si="28"/>
        <v>0</v>
      </c>
      <c r="V92" s="55">
        <f t="shared" ca="1" si="29"/>
        <v>0</v>
      </c>
      <c r="W92" s="55">
        <f t="shared" ca="1" si="34"/>
        <v>-43.992032380281088</v>
      </c>
      <c r="X92" s="55">
        <f t="shared" ca="1" si="35"/>
        <v>16.127864037539091</v>
      </c>
      <c r="Y92" s="55">
        <f t="shared" ca="1" si="36"/>
        <v>-6.4578702276324194</v>
      </c>
      <c r="Z92">
        <f t="shared" ca="1" si="30"/>
        <v>120</v>
      </c>
      <c r="AA92">
        <f t="shared" ca="1" si="37"/>
        <v>203.6477958333333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-2.0320067915354914</v>
      </c>
      <c r="AG92" s="55">
        <f t="shared" ca="1" si="43"/>
        <v>32.421460927240567</v>
      </c>
      <c r="AH92" s="55">
        <f t="shared" ca="1" si="44"/>
        <v>0</v>
      </c>
      <c r="AI92" s="55">
        <f t="shared" ca="1" si="38"/>
        <v>0</v>
      </c>
      <c r="AJ92" s="55">
        <f t="shared" ca="1" si="39"/>
        <v>16.259830630414008</v>
      </c>
      <c r="AK92" s="55">
        <f t="shared" ca="1" si="40"/>
        <v>-10.855614031036366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15.013510765512914</v>
      </c>
      <c r="U93" s="55">
        <f t="shared" ca="1" si="28"/>
        <v>0</v>
      </c>
      <c r="V93" s="55">
        <f t="shared" ca="1" si="29"/>
        <v>0</v>
      </c>
      <c r="W93" s="55">
        <f t="shared" ca="1" si="34"/>
        <v>-44.595825738234133</v>
      </c>
      <c r="X93" s="55">
        <f t="shared" ca="1" si="35"/>
        <v>16.314369128711697</v>
      </c>
      <c r="Y93" s="55">
        <f t="shared" ca="1" si="36"/>
        <v>-6.4560689287986275</v>
      </c>
      <c r="Z93">
        <f t="shared" ca="1" si="30"/>
        <v>120</v>
      </c>
      <c r="AA93">
        <f t="shared" ca="1" si="37"/>
        <v>208.72779583333329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-3.1373940544115966</v>
      </c>
      <c r="AG93" s="55">
        <f t="shared" ca="1" si="43"/>
        <v>33.784786100609246</v>
      </c>
      <c r="AH93" s="55">
        <f t="shared" ca="1" si="44"/>
        <v>0</v>
      </c>
      <c r="AI93" s="55">
        <f t="shared" ca="1" si="38"/>
        <v>0</v>
      </c>
      <c r="AJ93" s="55">
        <f t="shared" ca="1" si="39"/>
        <v>16.44359140170619</v>
      </c>
      <c r="AK93" s="55">
        <f t="shared" ca="1" si="40"/>
        <v>-10.781436891835975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14.756185041862762</v>
      </c>
      <c r="U94" s="55">
        <f t="shared" ca="1" si="28"/>
        <v>0</v>
      </c>
      <c r="V94" s="55">
        <f t="shared" ca="1" si="29"/>
        <v>0</v>
      </c>
      <c r="W94" s="55">
        <f t="shared" ca="1" si="34"/>
        <v>-45.052591149384128</v>
      </c>
      <c r="X94" s="55">
        <f t="shared" ca="1" si="35"/>
        <v>16.511371523554722</v>
      </c>
      <c r="Y94" s="55">
        <f t="shared" ca="1" si="36"/>
        <v>-6.4536316361418109</v>
      </c>
      <c r="Z94">
        <f t="shared" ca="1" si="30"/>
        <v>120</v>
      </c>
      <c r="AA94">
        <f t="shared" ca="1" si="37"/>
        <v>212.63779583333329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-4.287346350681144</v>
      </c>
      <c r="AG94" s="55">
        <f t="shared" ca="1" si="43"/>
        <v>35.198858500457199</v>
      </c>
      <c r="AH94" s="55">
        <f t="shared" ca="1" si="44"/>
        <v>0</v>
      </c>
      <c r="AI94" s="55">
        <f t="shared" ca="1" si="38"/>
        <v>0</v>
      </c>
      <c r="AJ94" s="55">
        <f t="shared" ca="1" si="39"/>
        <v>16.633778139357087</v>
      </c>
      <c r="AK94" s="55">
        <f t="shared" ca="1" si="40"/>
        <v>-10.707503525908468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14.228315968438977</v>
      </c>
      <c r="U95" s="55">
        <f t="shared" ca="1" si="28"/>
        <v>0</v>
      </c>
      <c r="V95" s="55">
        <f t="shared" ca="1" si="29"/>
        <v>0</v>
      </c>
      <c r="W95" s="55">
        <f t="shared" ca="1" si="34"/>
        <v>-45.77574530848004</v>
      </c>
      <c r="X95" s="55">
        <f t="shared" ca="1" si="35"/>
        <v>16.703725061597932</v>
      </c>
      <c r="Y95" s="55">
        <f t="shared" ca="1" si="36"/>
        <v>-6.450700088512896</v>
      </c>
      <c r="Z95">
        <f t="shared" ca="1" si="30"/>
        <v>120</v>
      </c>
      <c r="AA95">
        <f t="shared" ca="1" si="37"/>
        <v>219.05779583333327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-5.5153237170464537</v>
      </c>
      <c r="AG95" s="55">
        <f t="shared" ca="1" si="43"/>
        <v>36.684628726301781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16.819003138366934</v>
      </c>
      <c r="AK95" s="55">
        <f t="shared" ca="1" si="40"/>
        <v>-10.634935665439041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13.710651802742646</v>
      </c>
      <c r="U96" s="55">
        <f t="shared" ca="1" si="28"/>
        <v>0</v>
      </c>
      <c r="V96" s="55">
        <f t="shared" ca="1" si="29"/>
        <v>0</v>
      </c>
      <c r="W96" s="55">
        <f t="shared" ca="1" si="34"/>
        <v>-46.482358025763887</v>
      </c>
      <c r="X96" s="55">
        <f t="shared" ca="1" si="35"/>
        <v>16.889326654521824</v>
      </c>
      <c r="Y96" s="55">
        <f t="shared" ca="1" si="36"/>
        <v>-6.4473531298492688</v>
      </c>
      <c r="Z96">
        <f t="shared" ca="1" si="30"/>
        <v>120</v>
      </c>
      <c r="AA96">
        <f t="shared" ca="1" si="37"/>
        <v>225.56779583333326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-6.782175286077976</v>
      </c>
      <c r="AG96" s="55">
        <f t="shared" ca="1" si="43"/>
        <v>38.210336727713205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17.005075364307313</v>
      </c>
      <c r="AK96" s="55">
        <f t="shared" ca="1" si="40"/>
        <v>-10.562151458999519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13.579478480777645</v>
      </c>
      <c r="U97" s="55">
        <f t="shared" ca="1" si="28"/>
        <v>0</v>
      </c>
      <c r="V97" s="55">
        <f t="shared" ca="1" si="29"/>
        <v>0</v>
      </c>
      <c r="W97" s="55">
        <f t="shared" ca="1" si="34"/>
        <v>-46.800570471496776</v>
      </c>
      <c r="X97" s="55">
        <f t="shared" ca="1" si="35"/>
        <v>17.072592172977153</v>
      </c>
      <c r="Y97" s="55">
        <f t="shared" ca="1" si="36"/>
        <v>-6.4435795245367107</v>
      </c>
      <c r="Z97">
        <f t="shared" ca="1" si="30"/>
        <v>120</v>
      </c>
      <c r="AA97">
        <f t="shared" ca="1" si="37"/>
        <v>228.52779583333327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-8.0711591783379557</v>
      </c>
      <c r="AG97" s="55">
        <f t="shared" ca="1" si="43"/>
        <v>39.754447911218215</v>
      </c>
      <c r="AH97" s="55">
        <f t="shared" ca="1" si="44"/>
        <v>0</v>
      </c>
      <c r="AI97" s="55">
        <f t="shared" ca="1" si="38"/>
        <v>0</v>
      </c>
      <c r="AJ97" s="55">
        <f t="shared" ca="1" si="39"/>
        <v>17.189202661191963</v>
      </c>
      <c r="AK97" s="55">
        <f t="shared" ca="1" si="40"/>
        <v>-10.49115146463914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13.619481605271295</v>
      </c>
      <c r="U98" s="55">
        <f t="shared" ca="1" si="28"/>
        <v>0</v>
      </c>
      <c r="V98" s="55">
        <f t="shared" ca="1" si="29"/>
        <v>0</v>
      </c>
      <c r="W98" s="55">
        <f t="shared" ca="1" si="34"/>
        <v>-46.95691077075729</v>
      </c>
      <c r="X98" s="55">
        <f t="shared" ca="1" si="35"/>
        <v>17.264576829470514</v>
      </c>
      <c r="Y98" s="55">
        <f t="shared" ca="1" si="36"/>
        <v>-6.4392207572759119</v>
      </c>
      <c r="Z98">
        <f t="shared" ca="1" si="30"/>
        <v>120</v>
      </c>
      <c r="AA98">
        <f t="shared" ca="1" si="37"/>
        <v>229.97779583333329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-9.4069203868680908</v>
      </c>
      <c r="AG98" s="55">
        <f t="shared" ca="1" si="43"/>
        <v>41.339182812393538</v>
      </c>
      <c r="AH98" s="55">
        <f t="shared" ca="1" si="44"/>
        <v>0</v>
      </c>
      <c r="AI98" s="55">
        <f t="shared" ca="1" si="38"/>
        <v>0</v>
      </c>
      <c r="AJ98" s="55">
        <f t="shared" ca="1" si="39"/>
        <v>17.369057733138995</v>
      </c>
      <c r="AK98" s="55">
        <f t="shared" ca="1" si="40"/>
        <v>-10.422032843940984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13.444265288563923</v>
      </c>
      <c r="U99" s="55">
        <f t="shared" ca="1" si="28"/>
        <v>0</v>
      </c>
      <c r="V99" s="55">
        <f t="shared" ca="1" si="29"/>
        <v>0</v>
      </c>
      <c r="W99" s="55">
        <f t="shared" ca="1" si="34"/>
        <v>-47.31984991577648</v>
      </c>
      <c r="X99" s="55">
        <f t="shared" ca="1" si="35"/>
        <v>17.447663428127331</v>
      </c>
      <c r="Y99" s="55">
        <f t="shared" ca="1" si="36"/>
        <v>-6.4345845276209115</v>
      </c>
      <c r="Z99">
        <f t="shared" ca="1" si="30"/>
        <v>120</v>
      </c>
      <c r="AA99">
        <f t="shared" ca="1" si="37"/>
        <v>233.38779583333329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-10.797984557485236</v>
      </c>
      <c r="AG99" s="55">
        <f t="shared" ca="1" si="43"/>
        <v>42.973983841827994</v>
      </c>
      <c r="AH99" s="55">
        <f t="shared" ca="1" si="44"/>
        <v>0</v>
      </c>
      <c r="AI99" s="55">
        <f t="shared" ca="1" si="38"/>
        <v>0</v>
      </c>
      <c r="AJ99" s="55">
        <f t="shared" ca="1" si="39"/>
        <v>17.546114735976033</v>
      </c>
      <c r="AK99" s="55">
        <f t="shared" ca="1" si="40"/>
        <v>-10.355352987960714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13.207160737094027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-47.755851309609795</v>
      </c>
      <c r="X100" s="55">
        <f t="shared" ca="1" si="35"/>
        <v>17.641311579911331</v>
      </c>
      <c r="Y100" s="55">
        <f t="shared" ca="1" si="36"/>
        <v>-6.429335837041493</v>
      </c>
      <c r="Z100">
        <f t="shared" ca="1" si="30"/>
        <v>120</v>
      </c>
      <c r="AA100">
        <f t="shared" ca="1" si="37"/>
        <v>237.55779583333327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-12.235977169815824</v>
      </c>
      <c r="AG100" s="55">
        <f t="shared" ca="1" si="43"/>
        <v>44.664312808667539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17.72959445196242</v>
      </c>
      <c r="AK100" s="55">
        <f t="shared" ca="1" si="40"/>
        <v>-10.286496349438146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12.726764873846278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-48.432915200898421</v>
      </c>
      <c r="X101" s="55">
        <f t="shared" ca="1" si="35"/>
        <v>17.832375991318351</v>
      </c>
      <c r="Y101" s="55">
        <f t="shared" ca="1" si="36"/>
        <v>-6.4237322204076381</v>
      </c>
      <c r="Z101">
        <f t="shared" ca="1" si="30"/>
        <v>120</v>
      </c>
      <c r="AA101">
        <f t="shared" ca="1" si="37"/>
        <v>244.27779583333327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-13.747401412104143</v>
      </c>
      <c r="AG101" s="55">
        <f t="shared" ca="1" si="43"/>
        <v>46.419213956470493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17.907891810813261</v>
      </c>
      <c r="AK101" s="55">
        <f t="shared" ca="1" si="40"/>
        <v>-10.221316802774354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12.637438146250716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-48.72004832677969</v>
      </c>
      <c r="X102" s="55">
        <f t="shared" ca="1" si="35"/>
        <v>18.024176374967016</v>
      </c>
      <c r="Y102" s="55">
        <f t="shared" ca="1" si="36"/>
        <v>-6.4177262057705953</v>
      </c>
      <c r="Z102">
        <f t="shared" ca="1" si="30"/>
        <v>120</v>
      </c>
      <c r="AA102">
        <f t="shared" ca="1" si="37"/>
        <v>247.14779583333328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-15.302297763130147</v>
      </c>
      <c r="AG102" s="55">
        <f t="shared" ca="1" si="43"/>
        <v>48.216662073011697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18.085904229654535</v>
      </c>
      <c r="AK102" s="55">
        <f t="shared" ca="1" si="40"/>
        <v>-10.156777456100428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12.477339493480693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-49.067750187331349</v>
      </c>
      <c r="X103" s="55">
        <f t="shared" ca="1" si="35"/>
        <v>18.205657692148506</v>
      </c>
      <c r="Y103" s="55">
        <f t="shared" ca="1" si="36"/>
        <v>-6.4116043151704432</v>
      </c>
      <c r="Z103">
        <f t="shared" ca="1" si="30"/>
        <v>120</v>
      </c>
      <c r="AA103">
        <f t="shared" ca="1" si="37"/>
        <v>250.66779583333329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-16.921629777733187</v>
      </c>
      <c r="AG103" s="55">
        <f t="shared" ca="1" si="43"/>
        <v>50.085482717533516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18.269249095991931</v>
      </c>
      <c r="AK103" s="55">
        <f t="shared" ca="1" si="40"/>
        <v>-10.090633692519049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12.451514911162718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-49.279685347381765</v>
      </c>
      <c r="X104" s="55">
        <f t="shared" ca="1" si="35"/>
        <v>18.38536590027724</v>
      </c>
      <c r="Y104" s="55">
        <f t="shared" ca="1" si="36"/>
        <v>-6.4052019455667377</v>
      </c>
      <c r="Z104">
        <f t="shared" ca="1" si="30"/>
        <v>120</v>
      </c>
      <c r="AA104">
        <f t="shared" ca="1" si="37"/>
        <v>252.81779583333329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-18.58266417282173</v>
      </c>
      <c r="AG104" s="55">
        <f t="shared" ca="1" si="43"/>
        <v>51.982386633847291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18.44396987468113</v>
      </c>
      <c r="AK104" s="55">
        <f t="shared" ca="1" si="40"/>
        <v>-10.029484949983017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12.271627973580268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-49.65371434165985</v>
      </c>
      <c r="X105" s="55">
        <f t="shared" ca="1" si="35"/>
        <v>18.572595795627088</v>
      </c>
      <c r="Y105" s="55">
        <f t="shared" ca="1" si="36"/>
        <v>-6.398289784220955</v>
      </c>
      <c r="Z105">
        <f t="shared" ca="1" si="30"/>
        <v>120</v>
      </c>
      <c r="AA105">
        <f t="shared" ca="1" si="37"/>
        <v>256.66779583333329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-20.266576504317815</v>
      </c>
      <c r="AG105" s="55">
        <f t="shared" ca="1" si="43"/>
        <v>53.903047499560678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18.619213757527323</v>
      </c>
      <c r="AK105" s="55">
        <f t="shared" ca="1" si="40"/>
        <v>-9.9679802986119075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12.271521557472258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-49.849956423899762</v>
      </c>
      <c r="X106" s="55">
        <f t="shared" ca="1" si="35"/>
        <v>18.761463024694553</v>
      </c>
      <c r="Y106" s="55">
        <f t="shared" ca="1" si="36"/>
        <v>-6.3910213471565207</v>
      </c>
      <c r="Z106">
        <f t="shared" ca="1" si="30"/>
        <v>120</v>
      </c>
      <c r="AA106">
        <f t="shared" ca="1" si="37"/>
        <v>258.68779583333327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-21.973519402619551</v>
      </c>
      <c r="AG106" s="55">
        <f t="shared" ca="1" si="43"/>
        <v>55.836951047925879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18.788014328997956</v>
      </c>
      <c r="AK106" s="55">
        <f t="shared" ca="1" si="40"/>
        <v>-9.9098202200190748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12.067436431034992</v>
      </c>
      <c r="U107" s="55">
        <f t="shared" ca="1" si="28"/>
        <v>0</v>
      </c>
      <c r="V107" s="55">
        <f t="shared" ca="1" si="29"/>
        <v>0</v>
      </c>
      <c r="W107" s="55">
        <f t="shared" ca="1" si="34"/>
        <v>-50.254064701384046</v>
      </c>
      <c r="X107" s="55">
        <f t="shared" ca="1" si="35"/>
        <v>18.953816562737764</v>
      </c>
      <c r="Y107" s="55">
        <f t="shared" ca="1" si="36"/>
        <v>-6.3833517341527148</v>
      </c>
      <c r="Z107">
        <f t="shared" ca="1" si="30"/>
        <v>120</v>
      </c>
      <c r="AA107">
        <f t="shared" ca="1" si="37"/>
        <v>262.91779583333329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-23.70940449940499</v>
      </c>
      <c r="AG107" s="55">
        <f t="shared" ca="1" si="43"/>
        <v>57.805257968832535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18.960589638358805</v>
      </c>
      <c r="AK107" s="55">
        <f t="shared" ca="1" si="40"/>
        <v>-9.8499737052587051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12.135936827621871</v>
      </c>
      <c r="U108" s="55">
        <f t="shared" ca="1" si="28"/>
        <v>0</v>
      </c>
      <c r="V108" s="55">
        <f t="shared" ca="1" si="29"/>
        <v>0</v>
      </c>
      <c r="W108" s="55">
        <f t="shared" ca="1" si="34"/>
        <v>-50.385689049560291</v>
      </c>
      <c r="X108" s="55">
        <f t="shared" ca="1" si="35"/>
        <v>19.145985604023636</v>
      </c>
      <c r="Y108" s="55">
        <f t="shared" ca="1" si="36"/>
        <v>-6.3753960306754589</v>
      </c>
      <c r="Z108">
        <f t="shared" ca="1" si="30"/>
        <v>120</v>
      </c>
      <c r="AA108">
        <f t="shared" ca="1" si="37"/>
        <v>264.28779583333329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-25.502584085267891</v>
      </c>
      <c r="AG108" s="55">
        <f t="shared" ca="1" si="43"/>
        <v>59.836120233844511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19.1374017608758</v>
      </c>
      <c r="AK108" s="55">
        <f t="shared" ca="1" si="40"/>
        <v>-9.7891031486266247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12.056485913656758</v>
      </c>
      <c r="U109" s="55">
        <f t="shared" ca="1" si="28"/>
        <v>0</v>
      </c>
      <c r="V109" s="55">
        <f t="shared" ca="1" si="29"/>
        <v>0</v>
      </c>
      <c r="W109" s="55">
        <f t="shared" ca="1" si="34"/>
        <v>-50.667258231002151</v>
      </c>
      <c r="X109" s="55">
        <f t="shared" ca="1" si="35"/>
        <v>19.339819148893309</v>
      </c>
      <c r="Y109" s="55">
        <f t="shared" ca="1" si="36"/>
        <v>-6.3671113080683854</v>
      </c>
      <c r="Z109">
        <f t="shared" ca="1" si="30"/>
        <v>120</v>
      </c>
      <c r="AA109">
        <f t="shared" ca="1" si="37"/>
        <v>267.23779583333328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-27.304256913940996</v>
      </c>
      <c r="AG109" s="55">
        <f t="shared" ca="1" si="43"/>
        <v>61.860861800672986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19.30433049866641</v>
      </c>
      <c r="AK109" s="55">
        <f t="shared" ca="1" si="40"/>
        <v>-9.732963148261863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12.028431738425443</v>
      </c>
      <c r="U110" s="55">
        <f t="shared" ca="1" si="28"/>
        <v>0</v>
      </c>
      <c r="V110" s="55">
        <f t="shared" ca="1" si="29"/>
        <v>0</v>
      </c>
      <c r="W110" s="55">
        <f t="shared" ca="1" si="34"/>
        <v>-50.89865518657011</v>
      </c>
      <c r="X110" s="55">
        <f t="shared" ca="1" si="35"/>
        <v>19.534581341280489</v>
      </c>
      <c r="Y110" s="55">
        <f t="shared" ca="1" si="36"/>
        <v>-6.358530720118921</v>
      </c>
      <c r="Z110">
        <f t="shared" ca="1" si="30"/>
        <v>120</v>
      </c>
      <c r="AA110">
        <f t="shared" ca="1" si="37"/>
        <v>269.66779583333329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-29.150977927952642</v>
      </c>
      <c r="AG110" s="55">
        <f t="shared" ca="1" si="43"/>
        <v>63.925493509479146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19.468326580392684</v>
      </c>
      <c r="AK110" s="55">
        <f t="shared" ca="1" si="40"/>
        <v>-9.6790485351936226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11.831194249207769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-51.306091938527203</v>
      </c>
      <c r="X111" s="55">
        <f t="shared" ca="1" si="35"/>
        <v>19.735732831477424</v>
      </c>
      <c r="Y111" s="55">
        <f t="shared" ca="1" si="36"/>
        <v>-6.3494829475764387</v>
      </c>
      <c r="Z111">
        <f t="shared" ca="1" si="30"/>
        <v>120</v>
      </c>
      <c r="AA111">
        <f t="shared" ca="1" si="37"/>
        <v>274.01779583333325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-31.033640126533776</v>
      </c>
      <c r="AG111" s="55">
        <f t="shared" ca="1" si="43"/>
        <v>66.031569511742902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19.636381602401766</v>
      </c>
      <c r="AK111" s="55">
        <f t="shared" ca="1" si="40"/>
        <v>-9.6236897535200843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11.871109758061616</v>
      </c>
      <c r="U112" s="55">
        <f t="shared" ca="1" si="28"/>
        <v>0</v>
      </c>
      <c r="V112" s="55">
        <f t="shared" ca="1" si="29"/>
        <v>0</v>
      </c>
      <c r="W112" s="55">
        <f t="shared" ca="1" si="34"/>
        <v>-51.475255252579579</v>
      </c>
      <c r="X112" s="55">
        <f t="shared" ca="1" si="35"/>
        <v>19.93555824348508</v>
      </c>
      <c r="Y112" s="55">
        <f t="shared" ca="1" si="36"/>
        <v>-6.3402295366778683</v>
      </c>
      <c r="Z112">
        <f t="shared" ca="1" si="30"/>
        <v>120</v>
      </c>
      <c r="AA112">
        <f t="shared" ca="1" si="37"/>
        <v>275.81779583333326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-32.951643229006834</v>
      </c>
      <c r="AG112" s="55">
        <f t="shared" ca="1" si="43"/>
        <v>68.171411913045702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19.803783064749258</v>
      </c>
      <c r="AK112" s="55">
        <f t="shared" ca="1" si="40"/>
        <v>-9.5692519170378301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11.74215637868882</v>
      </c>
      <c r="U113" s="55">
        <f t="shared" ca="1" si="28"/>
        <v>0</v>
      </c>
      <c r="V113" s="55">
        <f t="shared" ca="1" si="29"/>
        <v>0</v>
      </c>
      <c r="W113" s="55">
        <f t="shared" ca="1" si="34"/>
        <v>-51.811765884132171</v>
      </c>
      <c r="X113" s="55">
        <f t="shared" ca="1" si="35"/>
        <v>20.133686807330282</v>
      </c>
      <c r="Y113" s="55">
        <f t="shared" ca="1" si="36"/>
        <v>-6.3308008483432783</v>
      </c>
      <c r="Z113">
        <f t="shared" ca="1" si="30"/>
        <v>120</v>
      </c>
      <c r="AA113">
        <f t="shared" ca="1" si="37"/>
        <v>279.43779583333327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-34.87241261498994</v>
      </c>
      <c r="AG113" s="55">
        <f t="shared" ca="1" si="43"/>
        <v>70.313789264041532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19.970988165724773</v>
      </c>
      <c r="AK113" s="55">
        <f t="shared" ca="1" si="40"/>
        <v>-9.514849053000626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11.617823624282911</v>
      </c>
      <c r="U114" s="55">
        <f t="shared" ca="1" si="28"/>
        <v>2.2471402428519216</v>
      </c>
      <c r="V114" s="55">
        <f t="shared" ca="1" si="29"/>
        <v>0</v>
      </c>
      <c r="W114" s="55">
        <f t="shared" ca="1" si="34"/>
        <v>-52.138275135572954</v>
      </c>
      <c r="X114" s="55">
        <f t="shared" ca="1" si="35"/>
        <v>20.326409674850588</v>
      </c>
      <c r="Y114" s="55">
        <f t="shared" ca="1" si="36"/>
        <v>-6.3213472188287083</v>
      </c>
      <c r="Z114">
        <f t="shared" ca="1" si="30"/>
        <v>120</v>
      </c>
      <c r="AA114">
        <f t="shared" ca="1" si="37"/>
        <v>282.98779583333328</v>
      </c>
      <c r="AB114">
        <f t="shared" ca="1" si="31"/>
        <v>0</v>
      </c>
      <c r="AC114">
        <f t="shared" ca="1" si="32"/>
        <v>6.6928509242848624E-3</v>
      </c>
      <c r="AD114" s="83">
        <f ca="1"/>
        <v>45390</v>
      </c>
      <c r="AE114" s="55">
        <f t="shared" ca="1" si="41"/>
        <v>45390</v>
      </c>
      <c r="AF114" s="55">
        <f t="shared" ca="1" si="42"/>
        <v>-36.783431916863059</v>
      </c>
      <c r="AG114" s="55">
        <f t="shared" ca="1" si="43"/>
        <v>72.451553946482093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20.14489269331284</v>
      </c>
      <c r="AK114" s="55">
        <f t="shared" ca="1" si="40"/>
        <v>-9.4620082000212484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133.31076840347021</v>
      </c>
      <c r="U115" s="55">
        <f t="shared" ca="1" si="28"/>
        <v>2.2471402428519216</v>
      </c>
      <c r="V115" s="55">
        <f t="shared" ca="1" si="29"/>
        <v>124.3258140868171</v>
      </c>
      <c r="W115" s="55">
        <f t="shared" ca="1" si="34"/>
        <v>-54.971990889966477</v>
      </c>
      <c r="X115" s="55">
        <f t="shared" ca="1" si="35"/>
        <v>20.517657911481606</v>
      </c>
      <c r="Y115" s="55">
        <f t="shared" ca="1" si="36"/>
        <v>-6.3117490086960331</v>
      </c>
      <c r="Z115">
        <f t="shared" ca="1" si="30"/>
        <v>120</v>
      </c>
      <c r="AA115">
        <f t="shared" ca="1" si="37"/>
        <v>285.67779583333328</v>
      </c>
      <c r="AB115">
        <f t="shared" ca="1" si="31"/>
        <v>0</v>
      </c>
      <c r="AC115">
        <f t="shared" ca="1" si="32"/>
        <v>6.6928509242848624E-3</v>
      </c>
      <c r="AD115" s="83">
        <f ca="1"/>
        <v>45391</v>
      </c>
      <c r="AE115" s="55">
        <f t="shared" ca="1" si="41"/>
        <v>45391</v>
      </c>
      <c r="AF115" s="55">
        <f t="shared" ca="1" si="42"/>
        <v>-38.715346741060138</v>
      </c>
      <c r="AG115" s="55">
        <f t="shared" ca="1" si="43"/>
        <v>74.609384569372466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20.318987900964025</v>
      </c>
      <c r="AK115" s="55">
        <f t="shared" ca="1" si="40"/>
        <v>-9.4101876089791396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131.65861557189609</v>
      </c>
      <c r="U116" s="55">
        <f t="shared" ca="1" si="28"/>
        <v>2.2471402428519216</v>
      </c>
      <c r="V116" s="55">
        <f t="shared" ca="1" si="29"/>
        <v>0</v>
      </c>
      <c r="W116" s="55">
        <f t="shared" ca="1" si="34"/>
        <v>-56.827280214400446</v>
      </c>
      <c r="X116" s="55">
        <f t="shared" ca="1" si="35"/>
        <v>20.710935613377757</v>
      </c>
      <c r="Y116" s="55">
        <f t="shared" ca="1" si="36"/>
        <v>-6.3018902177323275</v>
      </c>
      <c r="Z116">
        <f t="shared" ca="1" si="30"/>
        <v>120</v>
      </c>
      <c r="AA116">
        <f t="shared" ca="1" si="37"/>
        <v>287.45779583333331</v>
      </c>
      <c r="AB116">
        <f t="shared" ca="1" si="31"/>
        <v>0</v>
      </c>
      <c r="AC116">
        <f t="shared" ca="1" si="32"/>
        <v>6.6928509242848624E-3</v>
      </c>
      <c r="AD116" s="83">
        <f ca="1"/>
        <v>45392</v>
      </c>
      <c r="AE116" s="55">
        <f t="shared" ca="1" si="41"/>
        <v>45392</v>
      </c>
      <c r="AF116" s="55">
        <f t="shared" ca="1" si="42"/>
        <v>-40.644294225966163</v>
      </c>
      <c r="AG116" s="55">
        <f t="shared" ca="1" si="43"/>
        <v>76.759926145315831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20.49039135753652</v>
      </c>
      <c r="AK116" s="55">
        <f t="shared" ca="1" si="40"/>
        <v>-9.3599969745142939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131.21767663257106</v>
      </c>
      <c r="U117" s="55">
        <f t="shared" ca="1" si="28"/>
        <v>2.2471402428519216</v>
      </c>
      <c r="V117" s="55">
        <f t="shared" ca="1" si="29"/>
        <v>0</v>
      </c>
      <c r="W117" s="55">
        <f t="shared" ca="1" si="34"/>
        <v>-57.471340310538643</v>
      </c>
      <c r="X117" s="55">
        <f t="shared" ca="1" si="35"/>
        <v>20.904028258438046</v>
      </c>
      <c r="Y117" s="55">
        <f t="shared" ca="1" si="36"/>
        <v>-6.2918617059794659</v>
      </c>
      <c r="Z117">
        <f t="shared" ca="1" si="30"/>
        <v>120</v>
      </c>
      <c r="AA117">
        <f t="shared" ca="1" si="37"/>
        <v>288.07779583333331</v>
      </c>
      <c r="AB117">
        <f t="shared" ca="1" si="31"/>
        <v>0</v>
      </c>
      <c r="AC117">
        <f t="shared" ca="1" si="32"/>
        <v>6.6928509242848624E-3</v>
      </c>
      <c r="AD117" s="83">
        <f ca="1"/>
        <v>45393</v>
      </c>
      <c r="AE117" s="55">
        <f t="shared" ca="1" si="41"/>
        <v>45393</v>
      </c>
      <c r="AF117" s="55">
        <f t="shared" ca="1" si="42"/>
        <v>-42.601036062695421</v>
      </c>
      <c r="AG117" s="55">
        <f t="shared" ca="1" si="43"/>
        <v>78.945950619687267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20.669973758769306</v>
      </c>
      <c r="AK117" s="55">
        <f t="shared" ca="1" si="40"/>
        <v>-9.3102967381048991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128.43416584243377</v>
      </c>
      <c r="U118" s="55">
        <f t="shared" ca="1" si="28"/>
        <v>2.2471402428519216</v>
      </c>
      <c r="V118" s="55">
        <f t="shared" ca="1" si="29"/>
        <v>0</v>
      </c>
      <c r="W118" s="55">
        <f t="shared" ca="1" si="34"/>
        <v>-60.46064552052129</v>
      </c>
      <c r="X118" s="55">
        <f t="shared" ca="1" si="35"/>
        <v>21.099535388349658</v>
      </c>
      <c r="Y118" s="55">
        <f t="shared" ca="1" si="36"/>
        <v>-6.2815744160457232</v>
      </c>
      <c r="Z118">
        <f t="shared" ca="1" si="30"/>
        <v>120</v>
      </c>
      <c r="AA118">
        <f t="shared" ca="1" si="37"/>
        <v>291.01779583333331</v>
      </c>
      <c r="AB118">
        <f t="shared" ca="1" si="31"/>
        <v>0</v>
      </c>
      <c r="AC118">
        <f t="shared" ca="1" si="32"/>
        <v>6.6928509242848624E-3</v>
      </c>
      <c r="AD118" s="83">
        <f ca="1"/>
        <v>45394</v>
      </c>
      <c r="AE118" s="55">
        <f t="shared" ca="1" si="41"/>
        <v>45394</v>
      </c>
      <c r="AF118" s="55">
        <f t="shared" ca="1" si="42"/>
        <v>-44.618703224897892</v>
      </c>
      <c r="AG118" s="55">
        <f t="shared" ca="1" si="43"/>
        <v>81.196571059994838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20.853004889509439</v>
      </c>
      <c r="AK118" s="55">
        <f t="shared" ca="1" si="40"/>
        <v>-9.2603745907399322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125.89504425826456</v>
      </c>
      <c r="U119" s="55">
        <f t="shared" ca="1" si="28"/>
        <v>2.2471402428519216</v>
      </c>
      <c r="V119" s="55">
        <f t="shared" ca="1" si="29"/>
        <v>0</v>
      </c>
      <c r="W119" s="55">
        <f t="shared" ca="1" si="34"/>
        <v>-63.20148554656059</v>
      </c>
      <c r="X119" s="55">
        <f t="shared" ca="1" si="35"/>
        <v>21.290967562084219</v>
      </c>
      <c r="Y119" s="55">
        <f t="shared" ca="1" si="36"/>
        <v>-6.271288147910191</v>
      </c>
      <c r="Z119">
        <f t="shared" ca="1" si="30"/>
        <v>120</v>
      </c>
      <c r="AA119">
        <f t="shared" ca="1" si="37"/>
        <v>293.76779583333331</v>
      </c>
      <c r="AB119">
        <f t="shared" ca="1" si="31"/>
        <v>0</v>
      </c>
      <c r="AC119">
        <f t="shared" ca="1" si="32"/>
        <v>6.6928509242848624E-3</v>
      </c>
      <c r="AD119" s="83">
        <f ca="1"/>
        <v>45395</v>
      </c>
      <c r="AE119" s="55">
        <f t="shared" ca="1" si="41"/>
        <v>45395</v>
      </c>
      <c r="AF119" s="55">
        <f t="shared" ca="1" si="42"/>
        <v>-46.618377670847181</v>
      </c>
      <c r="AG119" s="55">
        <f t="shared" ca="1" si="43"/>
        <v>83.428045786890181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21.036608037864475</v>
      </c>
      <c r="AK119" s="55">
        <f t="shared" ca="1" si="40"/>
        <v>-9.2121774581489131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122.27817845099192</v>
      </c>
      <c r="U120" s="55">
        <f t="shared" ca="1" si="28"/>
        <v>2.2471402428519216</v>
      </c>
      <c r="V120" s="55">
        <f t="shared" ca="1" si="29"/>
        <v>0</v>
      </c>
      <c r="W120" s="55">
        <f t="shared" ca="1" si="34"/>
        <v>-67.025226085205162</v>
      </c>
      <c r="X120" s="55">
        <f t="shared" ca="1" si="35"/>
        <v>21.487221425794715</v>
      </c>
      <c r="Y120" s="55">
        <f t="shared" ca="1" si="36"/>
        <v>-6.2606672802487537</v>
      </c>
      <c r="Z120">
        <f t="shared" ca="1" si="30"/>
        <v>120</v>
      </c>
      <c r="AA120">
        <f t="shared" ca="1" si="37"/>
        <v>297.7177958333333</v>
      </c>
      <c r="AB120">
        <f t="shared" ca="1" si="31"/>
        <v>0</v>
      </c>
      <c r="AC120">
        <f t="shared" ca="1" si="32"/>
        <v>6.6928509242848624E-3</v>
      </c>
      <c r="AD120" s="83">
        <f ca="1"/>
        <v>45396</v>
      </c>
      <c r="AE120" s="55">
        <f t="shared" ca="1" si="41"/>
        <v>45396</v>
      </c>
      <c r="AF120" s="55">
        <f t="shared" ca="1" si="42"/>
        <v>-48.616334229784513</v>
      </c>
      <c r="AG120" s="55">
        <f t="shared" ca="1" si="43"/>
        <v>85.656406570463659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21.220054428330457</v>
      </c>
      <c r="AK120" s="55">
        <f t="shared" ca="1" si="40"/>
        <v>-9.1652196239787447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120.42997610177773</v>
      </c>
      <c r="U121" s="55">
        <f t="shared" ca="1" si="28"/>
        <v>2.2471402428519216</v>
      </c>
      <c r="V121" s="55">
        <f t="shared" ca="1" si="29"/>
        <v>0</v>
      </c>
      <c r="W121" s="55">
        <f t="shared" ca="1" si="34"/>
        <v>-69.075044636770841</v>
      </c>
      <c r="X121" s="55">
        <f t="shared" ca="1" si="35"/>
        <v>21.678285837201734</v>
      </c>
      <c r="Y121" s="55">
        <f t="shared" ca="1" si="36"/>
        <v>-6.2501154893042772</v>
      </c>
      <c r="Z121">
        <f t="shared" ca="1" si="30"/>
        <v>120</v>
      </c>
      <c r="AA121">
        <f t="shared" ca="1" si="37"/>
        <v>299.86779583333328</v>
      </c>
      <c r="AB121">
        <f t="shared" ca="1" si="31"/>
        <v>0</v>
      </c>
      <c r="AC121">
        <f t="shared" ca="1" si="32"/>
        <v>6.6928509242848624E-3</v>
      </c>
      <c r="AD121" s="83">
        <f ca="1"/>
        <v>45397</v>
      </c>
      <c r="AE121" s="55">
        <f t="shared" ca="1" si="41"/>
        <v>45397</v>
      </c>
      <c r="AF121" s="55">
        <f t="shared" ca="1" si="42"/>
        <v>-50.693642769464731</v>
      </c>
      <c r="AG121" s="55">
        <f t="shared" ca="1" si="43"/>
        <v>87.98051740984755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21.41891151777844</v>
      </c>
      <c r="AK121" s="55">
        <f t="shared" ca="1" si="40"/>
        <v>-9.1172744137230506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118.13898306053134</v>
      </c>
      <c r="U122" s="55">
        <f t="shared" ca="1" si="28"/>
        <v>2.2471402428519216</v>
      </c>
      <c r="V122" s="55">
        <f t="shared" ca="1" si="29"/>
        <v>0</v>
      </c>
      <c r="W122" s="55">
        <f t="shared" ca="1" si="34"/>
        <v>-71.572207391212828</v>
      </c>
      <c r="X122" s="55">
        <f t="shared" ca="1" si="35"/>
        <v>21.873606564373009</v>
      </c>
      <c r="Y122" s="55">
        <f t="shared" ca="1" si="36"/>
        <v>-6.2392665032799552</v>
      </c>
      <c r="Z122">
        <f t="shared" ca="1" si="30"/>
        <v>120</v>
      </c>
      <c r="AA122">
        <f t="shared" ca="1" si="37"/>
        <v>302.53779583333329</v>
      </c>
      <c r="AB122">
        <f t="shared" ca="1" si="31"/>
        <v>0</v>
      </c>
      <c r="AC122">
        <f t="shared" ca="1" si="32"/>
        <v>6.6928509242848624E-3</v>
      </c>
      <c r="AD122" s="83">
        <f ca="1"/>
        <v>45398</v>
      </c>
      <c r="AE122" s="55">
        <f t="shared" ca="1" si="41"/>
        <v>45398</v>
      </c>
      <c r="AF122" s="55">
        <f t="shared" ca="1" si="42"/>
        <v>-52.756246497593558</v>
      </c>
      <c r="AG122" s="55">
        <f t="shared" ca="1" si="43"/>
        <v>90.28771191578322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21.617039979330894</v>
      </c>
      <c r="AK122" s="55">
        <f t="shared" ca="1" si="40"/>
        <v>-9.0708120974686661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115.33866866044698</v>
      </c>
      <c r="U123" s="55">
        <f t="shared" ca="1" si="28"/>
        <v>2.2471402428519216</v>
      </c>
      <c r="V123" s="55">
        <f t="shared" ca="1" si="29"/>
        <v>0</v>
      </c>
      <c r="W123" s="55">
        <f t="shared" ca="1" si="34"/>
        <v>-74.57629913203138</v>
      </c>
      <c r="X123" s="55">
        <f t="shared" ca="1" si="35"/>
        <v>22.066514264646983</v>
      </c>
      <c r="Y123" s="55">
        <f t="shared" ca="1" si="36"/>
        <v>-6.2283968628197437</v>
      </c>
      <c r="Z123">
        <f t="shared" ca="1" si="30"/>
        <v>120</v>
      </c>
      <c r="AA123">
        <f t="shared" ca="1" si="37"/>
        <v>305.82779583333331</v>
      </c>
      <c r="AB123">
        <f t="shared" ca="1" si="31"/>
        <v>0</v>
      </c>
      <c r="AC123">
        <f t="shared" ca="1" si="32"/>
        <v>6.6928509242848624E-3</v>
      </c>
      <c r="AD123" s="83">
        <f ca="1"/>
        <v>45399</v>
      </c>
      <c r="AE123" s="55">
        <f t="shared" ca="1" si="41"/>
        <v>45399</v>
      </c>
      <c r="AF123" s="55">
        <f t="shared" ca="1" si="42"/>
        <v>-54.835105744895877</v>
      </c>
      <c r="AG123" s="55">
        <f t="shared" ca="1" si="43"/>
        <v>92.61448685975607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21.819111529073094</v>
      </c>
      <c r="AK123" s="55">
        <f t="shared" ca="1" si="40"/>
        <v>-9.0249679505403329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112.55597484943893</v>
      </c>
      <c r="U124" s="55">
        <f t="shared" ca="1" si="28"/>
        <v>2.2471402428519216</v>
      </c>
      <c r="V124" s="55">
        <f t="shared" ca="1" si="29"/>
        <v>0</v>
      </c>
      <c r="W124" s="55">
        <f t="shared" ca="1" si="34"/>
        <v>-77.552466700341967</v>
      </c>
      <c r="X124" s="55">
        <f t="shared" ca="1" si="35"/>
        <v>22.249422054591808</v>
      </c>
      <c r="Y124" s="55">
        <f t="shared" ca="1" si="36"/>
        <v>-6.2178308954620345</v>
      </c>
      <c r="Z124">
        <f t="shared" ca="1" si="30"/>
        <v>120</v>
      </c>
      <c r="AA124">
        <f t="shared" ca="1" si="37"/>
        <v>309.16779583333334</v>
      </c>
      <c r="AB124">
        <f t="shared" ca="1" si="31"/>
        <v>0</v>
      </c>
      <c r="AC124">
        <f t="shared" ca="1" si="32"/>
        <v>6.6928509242848624E-3</v>
      </c>
      <c r="AD124" s="83">
        <f ca="1"/>
        <v>45400</v>
      </c>
      <c r="AE124" s="55">
        <f t="shared" ca="1" si="41"/>
        <v>45400</v>
      </c>
      <c r="AF124" s="55">
        <f t="shared" ca="1" si="42"/>
        <v>-56.899398173073692</v>
      </c>
      <c r="AG124" s="55">
        <f t="shared" ca="1" si="43"/>
        <v>94.922281487166345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22.018125969490818</v>
      </c>
      <c r="AK124" s="55">
        <f t="shared" ca="1" si="40"/>
        <v>-8.9804801917255972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110.46756506561431</v>
      </c>
      <c r="U125" s="55">
        <f t="shared" ca="1" si="28"/>
        <v>2.2471402428519216</v>
      </c>
      <c r="V125" s="55">
        <f t="shared" ca="1" si="29"/>
        <v>0</v>
      </c>
      <c r="W125" s="55">
        <f t="shared" ca="1" si="34"/>
        <v>-79.835002763510232</v>
      </c>
      <c r="X125" s="55">
        <f t="shared" ca="1" si="35"/>
        <v>22.432866603950295</v>
      </c>
      <c r="Y125" s="55">
        <f t="shared" ca="1" si="36"/>
        <v>-6.2071491654768716</v>
      </c>
      <c r="Z125">
        <f t="shared" ca="1" si="30"/>
        <v>120</v>
      </c>
      <c r="AA125">
        <f t="shared" ca="1" si="37"/>
        <v>311.77779583333336</v>
      </c>
      <c r="AB125">
        <f t="shared" ca="1" si="31"/>
        <v>0</v>
      </c>
      <c r="AC125">
        <f t="shared" ca="1" si="32"/>
        <v>6.6928509242848624E-3</v>
      </c>
      <c r="AD125" s="83">
        <f ca="1"/>
        <v>45401</v>
      </c>
      <c r="AE125" s="55">
        <f t="shared" ca="1" si="41"/>
        <v>45401</v>
      </c>
      <c r="AF125" s="55">
        <f t="shared" ca="1" si="42"/>
        <v>-59.010627917208083</v>
      </c>
      <c r="AG125" s="55">
        <f t="shared" ca="1" si="43"/>
        <v>97.277401463920441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22.217481391142677</v>
      </c>
      <c r="AK125" s="55">
        <f t="shared" ca="1" si="40"/>
        <v>-8.9359453807577474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107.80890047457683</v>
      </c>
      <c r="U126" s="55">
        <f t="shared" ca="1" si="28"/>
        <v>2.2471402428519216</v>
      </c>
      <c r="V126" s="55">
        <f t="shared" ca="1" si="29"/>
        <v>0</v>
      </c>
      <c r="W126" s="55">
        <f t="shared" ca="1" si="34"/>
        <v>-82.685649773558836</v>
      </c>
      <c r="X126" s="55">
        <f t="shared" ca="1" si="35"/>
        <v>22.614170111379234</v>
      </c>
      <c r="Y126" s="55">
        <f t="shared" ca="1" si="36"/>
        <v>-6.1964702538946783</v>
      </c>
      <c r="Z126">
        <f t="shared" ca="1" si="30"/>
        <v>120</v>
      </c>
      <c r="AA126">
        <f t="shared" ca="1" si="37"/>
        <v>315.11779583333333</v>
      </c>
      <c r="AB126">
        <f t="shared" ca="1" si="31"/>
        <v>0</v>
      </c>
      <c r="AC126">
        <f t="shared" ca="1" si="32"/>
        <v>6.6928509242848624E-3</v>
      </c>
      <c r="AD126" s="83">
        <f ca="1"/>
        <v>45402</v>
      </c>
      <c r="AE126" s="55">
        <f t="shared" ca="1" si="41"/>
        <v>45402</v>
      </c>
      <c r="AF126" s="55">
        <f t="shared" ca="1" si="42"/>
        <v>-61.104738096849509</v>
      </c>
      <c r="AG126" s="55">
        <f t="shared" ca="1" si="43"/>
        <v>99.621319789206609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22.423842433169654</v>
      </c>
      <c r="AK126" s="55">
        <f t="shared" ca="1" si="40"/>
        <v>-8.8924982771399836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106.27618748954809</v>
      </c>
      <c r="U127" s="55">
        <f t="shared" ca="1" si="28"/>
        <v>2.2471402428519216</v>
      </c>
      <c r="V127" s="55">
        <f t="shared" ca="1" si="29"/>
        <v>0</v>
      </c>
      <c r="W127" s="55">
        <f t="shared" ca="1" si="34"/>
        <v>-84.410423733024629</v>
      </c>
      <c r="X127" s="55">
        <f t="shared" ca="1" si="35"/>
        <v>22.795473618808174</v>
      </c>
      <c r="Y127" s="55">
        <f t="shared" ca="1" si="36"/>
        <v>-6.1857127868865565</v>
      </c>
      <c r="Z127">
        <f t="shared" ca="1" si="30"/>
        <v>120</v>
      </c>
      <c r="AA127">
        <f t="shared" ca="1" si="37"/>
        <v>317.16779583333334</v>
      </c>
      <c r="AB127">
        <f t="shared" ca="1" si="31"/>
        <v>0</v>
      </c>
      <c r="AC127">
        <f t="shared" ca="1" si="32"/>
        <v>6.6928509242848624E-3</v>
      </c>
      <c r="AD127" s="83">
        <f ca="1"/>
        <v>45403</v>
      </c>
      <c r="AE127" s="55">
        <f t="shared" ca="1" si="41"/>
        <v>45403</v>
      </c>
      <c r="AF127" s="55">
        <f t="shared" ca="1" si="42"/>
        <v>-63.103354264518345</v>
      </c>
      <c r="AG127" s="55">
        <f t="shared" ca="1" si="43"/>
        <v>101.86202347832293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22.62520076738873</v>
      </c>
      <c r="AK127" s="55">
        <f t="shared" ca="1" si="40"/>
        <v>-8.8517690899115848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105.0227459992593</v>
      </c>
      <c r="U128" s="55">
        <f t="shared" ca="1" si="28"/>
        <v>2.2471402428519216</v>
      </c>
      <c r="V128" s="55">
        <f t="shared" ca="1" si="29"/>
        <v>0</v>
      </c>
      <c r="W128" s="55">
        <f t="shared" ca="1" si="34"/>
        <v>-85.857112059164422</v>
      </c>
      <c r="X128" s="55">
        <f t="shared" ca="1" si="35"/>
        <v>22.977845648954585</v>
      </c>
      <c r="Y128" s="55">
        <f t="shared" ca="1" si="36"/>
        <v>-6.1748379811819616</v>
      </c>
      <c r="Z128">
        <f t="shared" ca="1" si="30"/>
        <v>120</v>
      </c>
      <c r="AA128">
        <f t="shared" ca="1" si="37"/>
        <v>318.90779583333335</v>
      </c>
      <c r="AB128">
        <f t="shared" ca="1" si="31"/>
        <v>0</v>
      </c>
      <c r="AC128">
        <f t="shared" ca="1" si="32"/>
        <v>6.6928509242848624E-3</v>
      </c>
      <c r="AD128" s="83">
        <f ca="1"/>
        <v>45404</v>
      </c>
      <c r="AE128" s="55">
        <f t="shared" ca="1" si="41"/>
        <v>45404</v>
      </c>
      <c r="AF128" s="55">
        <f t="shared" ca="1" si="42"/>
        <v>-65.129379738237148</v>
      </c>
      <c r="AG128" s="55">
        <f t="shared" ca="1" si="43"/>
        <v>104.1327768795089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22.829338050464397</v>
      </c>
      <c r="AK128" s="55">
        <f t="shared" ca="1" si="40"/>
        <v>-8.8111784455200812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102.76438830056736</v>
      </c>
      <c r="U129" s="55">
        <f t="shared" ca="1" si="28"/>
        <v>2.2471402428519216</v>
      </c>
      <c r="V129" s="55">
        <f t="shared" ca="1" si="29"/>
        <v>0</v>
      </c>
      <c r="W129" s="55">
        <f t="shared" ca="1" si="34"/>
        <v>-88.314037309450484</v>
      </c>
      <c r="X129" s="55">
        <f t="shared" ca="1" si="35"/>
        <v>23.165257024048607</v>
      </c>
      <c r="Y129" s="55">
        <f t="shared" ca="1" si="36"/>
        <v>-6.1636818046818584</v>
      </c>
      <c r="Z129">
        <f t="shared" ca="1" si="30"/>
        <v>120</v>
      </c>
      <c r="AA129">
        <f t="shared" ca="1" si="37"/>
        <v>321.92779583333333</v>
      </c>
      <c r="AB129">
        <f t="shared" ca="1" si="31"/>
        <v>0</v>
      </c>
      <c r="AC129">
        <f t="shared" ca="1" si="32"/>
        <v>6.6928509242848624E-3</v>
      </c>
      <c r="AD129" s="83">
        <f ca="1"/>
        <v>45405</v>
      </c>
      <c r="AE129" s="55">
        <f t="shared" ca="1" si="41"/>
        <v>45405</v>
      </c>
      <c r="AF129" s="55">
        <f t="shared" ca="1" si="42"/>
        <v>-67.123360068188362</v>
      </c>
      <c r="AG129" s="55">
        <f t="shared" ca="1" si="43"/>
        <v>106.37908482346113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23.042157892743205</v>
      </c>
      <c r="AK129" s="55">
        <f t="shared" ca="1" si="40"/>
        <v>-8.7716706737978676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101.21357518724948</v>
      </c>
      <c r="U130" s="55">
        <f t="shared" ca="1" si="28"/>
        <v>2.2471402428519216</v>
      </c>
      <c r="V130" s="55">
        <f t="shared" ca="1" si="29"/>
        <v>0</v>
      </c>
      <c r="W130" s="55">
        <f t="shared" ca="1" si="34"/>
        <v>-90.06882766925942</v>
      </c>
      <c r="X130" s="55">
        <f t="shared" ca="1" si="35"/>
        <v>23.357795170830975</v>
      </c>
      <c r="Y130" s="55">
        <f t="shared" ca="1" si="36"/>
        <v>-6.1522427049731725</v>
      </c>
      <c r="Z130">
        <f t="shared" ca="1" si="30"/>
        <v>120</v>
      </c>
      <c r="AA130">
        <f t="shared" ca="1" si="37"/>
        <v>324.11779583333333</v>
      </c>
      <c r="AB130">
        <f t="shared" ca="1" si="31"/>
        <v>0</v>
      </c>
      <c r="AC130">
        <f t="shared" ca="1" si="32"/>
        <v>6.6928509242848624E-3</v>
      </c>
      <c r="AD130" s="83">
        <f ca="1"/>
        <v>45406</v>
      </c>
      <c r="AE130" s="55">
        <f t="shared" ca="1" si="41"/>
        <v>45406</v>
      </c>
      <c r="AF130" s="55">
        <f t="shared" ca="1" si="42"/>
        <v>-69.1307421751265</v>
      </c>
      <c r="AG130" s="55">
        <f t="shared" ca="1" si="43"/>
        <v>108.67191079247515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23.28787958990711</v>
      </c>
      <c r="AK130" s="55">
        <f t="shared" ca="1" si="40"/>
        <v>-8.7319485088858926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99.807757839907069</v>
      </c>
      <c r="U131" s="55">
        <f t="shared" ca="1" si="28"/>
        <v>2.2476123267291412</v>
      </c>
      <c r="V131" s="55">
        <f t="shared" ca="1" si="29"/>
        <v>0</v>
      </c>
      <c r="W131" s="55">
        <f t="shared" ca="1" si="34"/>
        <v>-91.68072295837392</v>
      </c>
      <c r="X131" s="55">
        <f t="shared" ca="1" si="35"/>
        <v>23.552743429256672</v>
      </c>
      <c r="Y131" s="55">
        <f t="shared" ca="1" si="36"/>
        <v>-6.140640937749561</v>
      </c>
      <c r="Z131">
        <f t="shared" ca="1" si="30"/>
        <v>120</v>
      </c>
      <c r="AA131">
        <f t="shared" ca="1" si="37"/>
        <v>326.15779583333335</v>
      </c>
      <c r="AB131">
        <f t="shared" ca="1" si="31"/>
        <v>0</v>
      </c>
      <c r="AC131">
        <f t="shared" ca="1" si="32"/>
        <v>6.6970699484879756E-3</v>
      </c>
      <c r="AD131" s="83">
        <f ca="1"/>
        <v>45407</v>
      </c>
      <c r="AE131" s="55">
        <f t="shared" ca="1" si="41"/>
        <v>45407</v>
      </c>
      <c r="AF131" s="55">
        <f t="shared" ca="1" si="42"/>
        <v>-71.163028150307028</v>
      </c>
      <c r="AG131" s="55">
        <f t="shared" ca="1" si="43"/>
        <v>111.00162072192364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23.545517190327065</v>
      </c>
      <c r="AK131" s="55">
        <f t="shared" ca="1" si="40"/>
        <v>-8.6921621550378809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98.900206006461858</v>
      </c>
      <c r="U132" s="55">
        <f t="shared" ca="1" si="28"/>
        <v>2.3957890299044244</v>
      </c>
      <c r="V132" s="55">
        <f t="shared" ca="1" si="29"/>
        <v>0</v>
      </c>
      <c r="W132" s="55">
        <f t="shared" ca="1" si="34"/>
        <v>-92.651593314004018</v>
      </c>
      <c r="X132" s="55">
        <f t="shared" ca="1" si="35"/>
        <v>23.752379852222987</v>
      </c>
      <c r="Y132" s="55">
        <f t="shared" ca="1" si="36"/>
        <v>-6.1287821353557224</v>
      </c>
      <c r="Z132">
        <f t="shared" ca="1" si="30"/>
        <v>120</v>
      </c>
      <c r="AA132">
        <f t="shared" ca="1" si="37"/>
        <v>327.39779583333336</v>
      </c>
      <c r="AB132">
        <f t="shared" ca="1" si="31"/>
        <v>0</v>
      </c>
      <c r="AC132">
        <f t="shared" ca="1" si="32"/>
        <v>8.1101162888398727E-3</v>
      </c>
      <c r="AD132" s="83">
        <f ca="1"/>
        <v>45408</v>
      </c>
      <c r="AE132" s="55">
        <f t="shared" ca="1" si="41"/>
        <v>45408</v>
      </c>
      <c r="AF132" s="55">
        <f t="shared" ca="1" si="42"/>
        <v>-73.242223383190947</v>
      </c>
      <c r="AG132" s="55">
        <f t="shared" ca="1" si="43"/>
        <v>113.39251173111064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23.816906092740318</v>
      </c>
      <c r="AK132" s="55">
        <f t="shared" ca="1" si="40"/>
        <v>-8.6518552811480482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97.968813234571513</v>
      </c>
      <c r="U133" s="55">
        <f t="shared" ca="1" si="28"/>
        <v>2.5539276497008112</v>
      </c>
      <c r="V133" s="55">
        <f t="shared" ca="1" si="29"/>
        <v>0</v>
      </c>
      <c r="W133" s="55">
        <f t="shared" ca="1" si="34"/>
        <v>-93.63658809039994</v>
      </c>
      <c r="X133" s="55">
        <f t="shared" ca="1" si="35"/>
        <v>23.952205264230642</v>
      </c>
      <c r="Y133" s="55">
        <f t="shared" ca="1" si="36"/>
        <v>-6.1168669230614086</v>
      </c>
      <c r="Z133">
        <f t="shared" ca="1" si="30"/>
        <v>120</v>
      </c>
      <c r="AA133">
        <f t="shared" ca="1" si="37"/>
        <v>328.66779583333334</v>
      </c>
      <c r="AB133">
        <f t="shared" ca="1" si="31"/>
        <v>0</v>
      </c>
      <c r="AC133">
        <f t="shared" ca="1" si="32"/>
        <v>9.8214453138957963E-3</v>
      </c>
      <c r="AD133" s="83">
        <f ca="1"/>
        <v>45409</v>
      </c>
      <c r="AE133" s="55">
        <f t="shared" ca="1" si="41"/>
        <v>45409</v>
      </c>
      <c r="AF133" s="55">
        <f t="shared" ca="1" si="42"/>
        <v>-75.33733601574086</v>
      </c>
      <c r="AG133" s="55">
        <f t="shared" ca="1" si="43"/>
        <v>115.81738204561843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24.106296633591441</v>
      </c>
      <c r="AK133" s="55">
        <f t="shared" ca="1" si="40"/>
        <v>-8.6114881400412955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94.063689040943189</v>
      </c>
      <c r="U134" s="55">
        <f t="shared" ca="1" si="28"/>
        <v>2.727849669117179</v>
      </c>
      <c r="V134" s="55">
        <f t="shared" ca="1" si="29"/>
        <v>0</v>
      </c>
      <c r="W134" s="55">
        <f t="shared" ca="1" si="34"/>
        <v>-97.583343709742849</v>
      </c>
      <c r="X134" s="55">
        <f t="shared" ca="1" si="35"/>
        <v>24.155642888386339</v>
      </c>
      <c r="Y134" s="55">
        <f t="shared" ca="1" si="36"/>
        <v>-6.1047511020861496</v>
      </c>
      <c r="Z134">
        <f t="shared" ca="1" si="30"/>
        <v>120</v>
      </c>
      <c r="AA134">
        <f t="shared" ca="1" si="37"/>
        <v>333.96779583333335</v>
      </c>
      <c r="AB134">
        <f t="shared" ca="1" si="31"/>
        <v>0</v>
      </c>
      <c r="AC134">
        <f t="shared" ca="1" si="32"/>
        <v>1.1960571845149353E-2</v>
      </c>
      <c r="AD134" s="83">
        <f ca="1"/>
        <v>45410</v>
      </c>
      <c r="AE134" s="55">
        <f t="shared" ca="1" si="41"/>
        <v>45410</v>
      </c>
      <c r="AF134" s="55">
        <f t="shared" ca="1" si="42"/>
        <v>-77.302442870929625</v>
      </c>
      <c r="AG134" s="55">
        <f t="shared" ca="1" si="43"/>
        <v>118.09604205151737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24.382510035411432</v>
      </c>
      <c r="AK134" s="55">
        <f t="shared" ca="1" si="40"/>
        <v>-8.5741483911511089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92.240307067132846</v>
      </c>
      <c r="U135" s="55">
        <f t="shared" ca="1" si="28"/>
        <v>2.9092397602245481</v>
      </c>
      <c r="V135" s="55">
        <f t="shared" ca="1" si="29"/>
        <v>0</v>
      </c>
      <c r="W135" s="55">
        <f t="shared" ca="1" si="34"/>
        <v>-99.438142551017776</v>
      </c>
      <c r="X135" s="55">
        <f t="shared" ca="1" si="35"/>
        <v>24.356414935565471</v>
      </c>
      <c r="Y135" s="55">
        <f t="shared" ca="1" si="36"/>
        <v>-6.0927161906933174</v>
      </c>
      <c r="Z135">
        <f t="shared" ca="1" si="30"/>
        <v>120</v>
      </c>
      <c r="AA135">
        <f t="shared" ca="1" si="37"/>
        <v>336.50779583333338</v>
      </c>
      <c r="AB135">
        <f t="shared" ca="1" si="31"/>
        <v>0</v>
      </c>
      <c r="AC135">
        <f t="shared" ca="1" si="32"/>
        <v>1.4495176528813963E-2</v>
      </c>
      <c r="AD135" s="83">
        <f ca="1"/>
        <v>45411</v>
      </c>
      <c r="AE135" s="55">
        <f t="shared" ca="1" si="41"/>
        <v>45411</v>
      </c>
      <c r="AF135" s="55">
        <f t="shared" ca="1" si="42"/>
        <v>-79.209694273111722</v>
      </c>
      <c r="AG135" s="55">
        <f t="shared" ca="1" si="43"/>
        <v>120.30616649722197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24.649579545056334</v>
      </c>
      <c r="AK135" s="55">
        <f t="shared" ca="1" si="40"/>
        <v>-8.5383448572735148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91.614684358393419</v>
      </c>
      <c r="U136" s="55">
        <f t="shared" ca="1" si="28"/>
        <v>3.1016041964362429</v>
      </c>
      <c r="V136" s="55">
        <f t="shared" ca="1" si="29"/>
        <v>0</v>
      </c>
      <c r="W136" s="55">
        <f t="shared" ca="1" si="34"/>
        <v>-100.08364434789296</v>
      </c>
      <c r="X136" s="55">
        <f t="shared" ca="1" si="35"/>
        <v>24.556618663600627</v>
      </c>
      <c r="Y136" s="55">
        <f t="shared" ca="1" si="36"/>
        <v>-6.0806763943810171</v>
      </c>
      <c r="Z136">
        <f t="shared" ca="1" si="30"/>
        <v>120</v>
      </c>
      <c r="AA136">
        <f t="shared" ca="1" si="37"/>
        <v>337.39779583333336</v>
      </c>
      <c r="AB136">
        <f t="shared" ca="1" si="31"/>
        <v>0</v>
      </c>
      <c r="AC136">
        <f t="shared" ca="1" si="32"/>
        <v>1.7540945854288243E-2</v>
      </c>
      <c r="AD136" s="83">
        <f ca="1"/>
        <v>45412</v>
      </c>
      <c r="AE136" s="55">
        <f t="shared" ca="1" si="41"/>
        <v>45412</v>
      </c>
      <c r="AF136" s="55">
        <f t="shared" ca="1" si="42"/>
        <v>-81.118070330731101</v>
      </c>
      <c r="AG136" s="55">
        <f t="shared" ca="1" si="43"/>
        <v>122.51866957276776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24.918235740336414</v>
      </c>
      <c r="AK136" s="55">
        <f t="shared" ca="1" si="40"/>
        <v>-8.5028740346271903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91.417213992042036</v>
      </c>
      <c r="U137" s="55">
        <f t="shared" ca="1" si="28"/>
        <v>3.294812192796932</v>
      </c>
      <c r="V137" s="55">
        <f t="shared" ca="1" si="29"/>
        <v>0</v>
      </c>
      <c r="W137" s="55">
        <f t="shared" ca="1" si="34"/>
        <v>-100.29352303501635</v>
      </c>
      <c r="X137" s="55">
        <f t="shared" ca="1" si="35"/>
        <v>24.7504522084703</v>
      </c>
      <c r="Y137" s="55">
        <f t="shared" ca="1" si="36"/>
        <v>-6.0688936221179972</v>
      </c>
      <c r="Z137">
        <f t="shared" ca="1" si="30"/>
        <v>120</v>
      </c>
      <c r="AA137">
        <f t="shared" ca="1" si="37"/>
        <v>337.68779583333338</v>
      </c>
      <c r="AB137">
        <f t="shared" ca="1" si="31"/>
        <v>0</v>
      </c>
      <c r="AC137">
        <f t="shared" ca="1" si="32"/>
        <v>2.0990144625568249E-2</v>
      </c>
      <c r="AD137" s="83">
        <f ca="1"/>
        <v>45413</v>
      </c>
      <c r="AE137" s="55">
        <f t="shared" ca="1" si="41"/>
        <v>45413</v>
      </c>
      <c r="AF137" s="55">
        <f t="shared" ca="1" si="42"/>
        <v>-83.003995174548393</v>
      </c>
      <c r="AG137" s="55">
        <f t="shared" ca="1" si="43"/>
        <v>124.70571349974685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25.184626992606674</v>
      </c>
      <c r="AK137" s="55">
        <f t="shared" ca="1" si="40"/>
        <v>-8.4681462037356496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91.251922263666003</v>
      </c>
      <c r="U138" s="55">
        <f t="shared" ca="1" si="28"/>
        <v>3.4991966927895728</v>
      </c>
      <c r="V138" s="55">
        <f t="shared" ca="1" si="29"/>
        <v>0</v>
      </c>
      <c r="W138" s="55">
        <f t="shared" ca="1" si="34"/>
        <v>-100.45967757680478</v>
      </c>
      <c r="X138" s="55">
        <f t="shared" ca="1" si="35"/>
        <v>24.943915079268738</v>
      </c>
      <c r="Y138" s="55">
        <f t="shared" ca="1" si="36"/>
        <v>-6.0571091795113929</v>
      </c>
      <c r="Z138">
        <f t="shared" ca="1" si="30"/>
        <v>120</v>
      </c>
      <c r="AA138">
        <f t="shared" ca="1" si="37"/>
        <v>337.9177958333334</v>
      </c>
      <c r="AB138">
        <f t="shared" ca="1" si="31"/>
        <v>0</v>
      </c>
      <c r="AC138">
        <f t="shared" ca="1" si="32"/>
        <v>2.5084735619386404E-2</v>
      </c>
      <c r="AD138" s="83">
        <f ca="1"/>
        <v>45414</v>
      </c>
      <c r="AE138" s="55">
        <f t="shared" ca="1" si="41"/>
        <v>45414</v>
      </c>
      <c r="AF138" s="55">
        <f t="shared" ca="1" si="42"/>
        <v>-84.864699751541309</v>
      </c>
      <c r="AG138" s="55">
        <f t="shared" ca="1" si="43"/>
        <v>126.86430963050471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25.448540283447254</v>
      </c>
      <c r="AK138" s="55">
        <f t="shared" ca="1" si="40"/>
        <v>-8.4341679408112888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90.40729628027664</v>
      </c>
      <c r="U139" s="55">
        <f t="shared" ca="1" si="28"/>
        <v>3.7215620295184393</v>
      </c>
      <c r="V139" s="55">
        <f t="shared" ca="1" si="29"/>
        <v>0</v>
      </c>
      <c r="W139" s="55">
        <f t="shared" ca="1" si="34"/>
        <v>-101.28991791431199</v>
      </c>
      <c r="X139" s="55">
        <f t="shared" ca="1" si="35"/>
        <v>25.13998209107076</v>
      </c>
      <c r="Y139" s="55">
        <f t="shared" ca="1" si="36"/>
        <v>-6.0451965004667088</v>
      </c>
      <c r="Z139">
        <f t="shared" ca="1" si="30"/>
        <v>120</v>
      </c>
      <c r="AA139">
        <f t="shared" ca="1" si="37"/>
        <v>339.07779583333343</v>
      </c>
      <c r="AB139">
        <f t="shared" ca="1" si="31"/>
        <v>0</v>
      </c>
      <c r="AC139">
        <f t="shared" ca="1" si="32"/>
        <v>3.0082937653592209E-2</v>
      </c>
      <c r="AD139" s="83">
        <f ca="1"/>
        <v>45415</v>
      </c>
      <c r="AE139" s="55">
        <f t="shared" ca="1" si="41"/>
        <v>45415</v>
      </c>
      <c r="AF139" s="55">
        <f t="shared" ca="1" si="42"/>
        <v>-86.677362317023821</v>
      </c>
      <c r="AG139" s="55">
        <f t="shared" ca="1" si="43"/>
        <v>128.96750132529112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25.706209656763921</v>
      </c>
      <c r="AK139" s="55">
        <f t="shared" ca="1" si="40"/>
        <v>-8.4013081848240549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88.458827748262166</v>
      </c>
      <c r="U140" s="55">
        <f t="shared" ca="1" si="28"/>
        <v>3.9603719658708121</v>
      </c>
      <c r="V140" s="55">
        <f t="shared" ca="1" si="29"/>
        <v>0</v>
      </c>
      <c r="W140" s="55">
        <f t="shared" ca="1" si="34"/>
        <v>-103.20873731955137</v>
      </c>
      <c r="X140" s="55">
        <f t="shared" ca="1" si="35"/>
        <v>25.337171899653875</v>
      </c>
      <c r="Y140" s="55">
        <f t="shared" ca="1" si="36"/>
        <v>-6.0332254994725361</v>
      </c>
      <c r="Z140">
        <f t="shared" ca="1" si="30"/>
        <v>120</v>
      </c>
      <c r="AA140">
        <f t="shared" ca="1" si="37"/>
        <v>341.81779583333343</v>
      </c>
      <c r="AB140">
        <f t="shared" ca="1" si="31"/>
        <v>0</v>
      </c>
      <c r="AC140">
        <f t="shared" ca="1" si="32"/>
        <v>3.6106409794615865E-2</v>
      </c>
      <c r="AD140" s="83">
        <f ca="1"/>
        <v>45416</v>
      </c>
      <c r="AE140" s="55">
        <f t="shared" ca="1" si="41"/>
        <v>45416</v>
      </c>
      <c r="AF140" s="55">
        <f t="shared" ca="1" si="42"/>
        <v>-88.487563534873374</v>
      </c>
      <c r="AG140" s="55">
        <f t="shared" ca="1" si="43"/>
        <v>131.069973761753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25.965876049177101</v>
      </c>
      <c r="AK140" s="55">
        <f t="shared" ca="1" si="40"/>
        <v>-8.3687033586249058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87.764609855274415</v>
      </c>
      <c r="U141" s="55">
        <f t="shared" ca="1" si="28"/>
        <v>4.2077164795665922</v>
      </c>
      <c r="V141" s="55">
        <f t="shared" ca="1" si="29"/>
        <v>0</v>
      </c>
      <c r="W141" s="55">
        <f t="shared" ca="1" si="34"/>
        <v>-103.86185229122438</v>
      </c>
      <c r="X141" s="55">
        <f t="shared" ca="1" si="35"/>
        <v>25.531562296549193</v>
      </c>
      <c r="Y141" s="55">
        <f t="shared" ca="1" si="36"/>
        <v>-6.0213743039868177</v>
      </c>
      <c r="Z141">
        <f t="shared" ca="1" si="30"/>
        <v>120</v>
      </c>
      <c r="AA141">
        <f t="shared" ca="1" si="37"/>
        <v>342.75779583333343</v>
      </c>
      <c r="AB141">
        <f t="shared" ca="1" si="31"/>
        <v>0</v>
      </c>
      <c r="AC141">
        <f t="shared" ca="1" si="32"/>
        <v>4.3085530706958371E-2</v>
      </c>
      <c r="AD141" s="83">
        <f ca="1"/>
        <v>45417</v>
      </c>
      <c r="AE141" s="55">
        <f t="shared" ca="1" si="41"/>
        <v>45417</v>
      </c>
      <c r="AF141" s="55">
        <f t="shared" ca="1" si="42"/>
        <v>-90.302192888577736</v>
      </c>
      <c r="AG141" s="55">
        <f t="shared" ca="1" si="43"/>
        <v>133.18034652746485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26.229115980963851</v>
      </c>
      <c r="AK141" s="55">
        <f t="shared" ca="1" si="40"/>
        <v>-8.3361998784041873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87.188949411464762</v>
      </c>
      <c r="U142" s="55">
        <f t="shared" ca="1" si="28"/>
        <v>4.4730999117669628</v>
      </c>
      <c r="V142" s="55">
        <f t="shared" ca="1" si="29"/>
        <v>0</v>
      </c>
      <c r="W142" s="55">
        <f t="shared" ca="1" si="34"/>
        <v>-104.37953667835495</v>
      </c>
      <c r="X142" s="55">
        <f t="shared" ca="1" si="35"/>
        <v>25.727069426460805</v>
      </c>
      <c r="Y142" s="55">
        <f t="shared" ca="1" si="36"/>
        <v>-6.0094740583771395</v>
      </c>
      <c r="Z142">
        <f t="shared" ca="1" si="30"/>
        <v>120</v>
      </c>
      <c r="AA142">
        <f t="shared" ca="1" si="37"/>
        <v>343.50779583333343</v>
      </c>
      <c r="AB142">
        <f t="shared" ca="1" si="31"/>
        <v>0</v>
      </c>
      <c r="AC142">
        <f t="shared" ca="1" si="32"/>
        <v>5.1434592384827942E-2</v>
      </c>
      <c r="AD142" s="83">
        <f ca="1"/>
        <v>45418</v>
      </c>
      <c r="AE142" s="55">
        <f t="shared" ca="1" si="41"/>
        <v>45418</v>
      </c>
      <c r="AF142" s="55">
        <f t="shared" ca="1" si="42"/>
        <v>-92.06031810563951</v>
      </c>
      <c r="AG142" s="55">
        <f t="shared" ca="1" si="43"/>
        <v>135.22593728536324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26.485238630633429</v>
      </c>
      <c r="AK142" s="55">
        <f t="shared" ca="1" si="40"/>
        <v>-8.3048569872371374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87.021347557441075</v>
      </c>
      <c r="U143" s="55">
        <f t="shared" ca="1" si="28"/>
        <v>4.783815335018061</v>
      </c>
      <c r="V143" s="55">
        <f t="shared" ca="1" si="29"/>
        <v>0</v>
      </c>
      <c r="W143" s="55">
        <f t="shared" ca="1" si="34"/>
        <v>-104.45531776851955</v>
      </c>
      <c r="X143" s="55">
        <f t="shared" ca="1" si="35"/>
        <v>25.933580533355691</v>
      </c>
      <c r="Y143" s="55">
        <f t="shared" ca="1" si="36"/>
        <v>-5.9970905058800312</v>
      </c>
      <c r="Z143">
        <f t="shared" ca="1" si="30"/>
        <v>120</v>
      </c>
      <c r="AA143">
        <f t="shared" ca="1" si="37"/>
        <v>343.61779583333345</v>
      </c>
      <c r="AB143">
        <f t="shared" ca="1" si="31"/>
        <v>0</v>
      </c>
      <c r="AC143">
        <f t="shared" ca="1" si="32"/>
        <v>6.2365122377941271E-2</v>
      </c>
      <c r="AD143" s="83">
        <f ca="1"/>
        <v>45419</v>
      </c>
      <c r="AE143" s="55">
        <f t="shared" ca="1" si="41"/>
        <v>45419</v>
      </c>
      <c r="AF143" s="55">
        <f t="shared" ca="1" si="42"/>
        <v>-93.768974235949045</v>
      </c>
      <c r="AG143" s="55">
        <f t="shared" ca="1" si="43"/>
        <v>137.21537769286991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26.735666143444753</v>
      </c>
      <c r="AK143" s="55">
        <f t="shared" ca="1" si="40"/>
        <v>-8.2745002228513425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85.757594310668281</v>
      </c>
      <c r="U144" s="55">
        <f t="shared" ca="1" si="28"/>
        <v>5.1211103408826082</v>
      </c>
      <c r="V144" s="55">
        <f t="shared" ca="1" si="29"/>
        <v>0</v>
      </c>
      <c r="W144" s="55">
        <f t="shared" ca="1" si="34"/>
        <v>-105.60268291573436</v>
      </c>
      <c r="X144" s="55">
        <f t="shared" ca="1" si="35"/>
        <v>26.142027277894517</v>
      </c>
      <c r="Y144" s="55">
        <f t="shared" ca="1" si="36"/>
        <v>-5.9846303441122943</v>
      </c>
      <c r="Z144">
        <f t="shared" ca="1" si="30"/>
        <v>120</v>
      </c>
      <c r="AA144">
        <f t="shared" ca="1" si="37"/>
        <v>345.30779583333344</v>
      </c>
      <c r="AB144">
        <f t="shared" ca="1" si="31"/>
        <v>0</v>
      </c>
      <c r="AC144">
        <f t="shared" ca="1" si="32"/>
        <v>7.565534320546248E-2</v>
      </c>
      <c r="AD144" s="83">
        <f ca="1"/>
        <v>45420</v>
      </c>
      <c r="AE144" s="55">
        <f t="shared" ca="1" si="41"/>
        <v>45420</v>
      </c>
      <c r="AF144" s="55">
        <f t="shared" ca="1" si="42"/>
        <v>-95.408505680669506</v>
      </c>
      <c r="AG144" s="55">
        <f t="shared" ca="1" si="43"/>
        <v>139.12538778640763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26.97705933248314</v>
      </c>
      <c r="AK144" s="55">
        <f t="shared" ca="1" si="40"/>
        <v>-8.2454147630724712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83.200111179367553</v>
      </c>
      <c r="U145" s="55">
        <f t="shared" ca="1" si="28"/>
        <v>5.4926370325732714</v>
      </c>
      <c r="V145" s="55">
        <f t="shared" ca="1" si="29"/>
        <v>0</v>
      </c>
      <c r="W145" s="55">
        <f t="shared" ca="1" si="34"/>
        <v>-108.01340613715654</v>
      </c>
      <c r="X145" s="55">
        <f t="shared" ca="1" si="35"/>
        <v>26.354182972503306</v>
      </c>
      <c r="Y145" s="55">
        <f t="shared" ca="1" si="36"/>
        <v>-5.9720192569089869</v>
      </c>
      <c r="Z145">
        <f t="shared" ca="1" si="30"/>
        <v>120</v>
      </c>
      <c r="AA145">
        <f t="shared" ca="1" si="37"/>
        <v>348.96779583333341</v>
      </c>
      <c r="AB145">
        <f t="shared" ca="1" si="31"/>
        <v>0</v>
      </c>
      <c r="AC145">
        <f t="shared" ca="1" si="32"/>
        <v>9.2003626394997456E-2</v>
      </c>
      <c r="AD145" s="83">
        <f ca="1"/>
        <v>45421</v>
      </c>
      <c r="AE145" s="55">
        <f t="shared" ca="1" si="41"/>
        <v>45421</v>
      </c>
      <c r="AF145" s="55">
        <f t="shared" ca="1" si="42"/>
        <v>-97.04529065967219</v>
      </c>
      <c r="AG145" s="55">
        <f t="shared" ca="1" si="43"/>
        <v>141.03529351722241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27.221227049342225</v>
      </c>
      <c r="AK145" s="55">
        <f t="shared" ca="1" si="40"/>
        <v>-8.216461728119457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81.919903875342129</v>
      </c>
      <c r="U146" s="55">
        <f t="shared" ref="U146:U209" ca="1" si="46">VLOOKUP(S146,ModelOutputs,7,FALSE)</f>
        <v>5.8875781623879151</v>
      </c>
      <c r="V146" s="55">
        <f t="shared" ref="V146:V209" ca="1" si="47">VLOOKUP(S146,ModelOutputs,6,FALSE)</f>
        <v>0</v>
      </c>
      <c r="W146" s="55">
        <f t="shared" ca="1" si="34"/>
        <v>-109.12239683586898</v>
      </c>
      <c r="X146" s="55">
        <f t="shared" ca="1" si="35"/>
        <v>26.565358654835414</v>
      </c>
      <c r="Y146" s="55">
        <f t="shared" ca="1" si="36"/>
        <v>-5.9594704147394397</v>
      </c>
      <c r="Z146">
        <f t="shared" ref="Z146:Z209" ca="1" si="48">VLOOKUP(S146,ModelOutputs,10,FALSE)*AWC</f>
        <v>120</v>
      </c>
      <c r="AA146">
        <f t="shared" ca="1" si="37"/>
        <v>350.67779583333339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0.11130163726699646</v>
      </c>
      <c r="AD146" s="83">
        <f ca="1"/>
        <v>45422</v>
      </c>
      <c r="AE146" s="55">
        <f t="shared" ca="1" si="41"/>
        <v>45422</v>
      </c>
      <c r="AF146" s="55">
        <f t="shared" ca="1" si="42"/>
        <v>-98.696533664856744</v>
      </c>
      <c r="AG146" s="55">
        <f t="shared" ca="1" si="43"/>
        <v>142.96609958654065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27.47165456215355</v>
      </c>
      <c r="AK146" s="55">
        <f t="shared" ca="1" si="40"/>
        <v>-8.1873261767970984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81.385965654470255</v>
      </c>
      <c r="U147" s="55">
        <f t="shared" ca="1" si="46"/>
        <v>6.2914159983346112</v>
      </c>
      <c r="V147" s="55">
        <f t="shared" ca="1" si="47"/>
        <v>0</v>
      </c>
      <c r="W147" s="55">
        <f t="shared" ref="W147:W210" ca="1" si="52">-VLOOKUP(S147,ModelOutputs,9,FALSE)+W146</f>
        <v>-109.47032183904184</v>
      </c>
      <c r="X147" s="55">
        <f t="shared" ref="X147:X210" ca="1" si="53">VLOOKUP(S147,ModelOutputs,5,FALSE)+X146</f>
        <v>26.770906188558143</v>
      </c>
      <c r="Y147" s="55">
        <f t="shared" ref="Y147:Y210" ca="1" si="54">VLOOKUP(S147,ModelOutputs,4,FALSE)+Y146</f>
        <v>-5.9471933302144917</v>
      </c>
      <c r="Z147">
        <f t="shared" ca="1" si="48"/>
        <v>120</v>
      </c>
      <c r="AA147">
        <f t="shared" ref="AA147:AA210" ca="1" si="55">VLOOKUP(S147,ModelOutputs,11,FALSE)+AA146</f>
        <v>351.21779583333341</v>
      </c>
      <c r="AB147">
        <f t="shared" ca="1" si="49"/>
        <v>0</v>
      </c>
      <c r="AC147">
        <f t="shared" ca="1" si="50"/>
        <v>0.13298561381678928</v>
      </c>
      <c r="AD147" s="83">
        <f ca="1"/>
        <v>45423</v>
      </c>
      <c r="AE147" s="55">
        <f t="shared" ca="1" si="41"/>
        <v>45423</v>
      </c>
      <c r="AF147" s="55">
        <f t="shared" ca="1" si="42"/>
        <v>-100.3631740703031</v>
      </c>
      <c r="AG147" s="55">
        <f t="shared" ca="1" si="43"/>
        <v>144.91955833720627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27.729102626115161</v>
      </c>
      <c r="AK147" s="55">
        <f t="shared" ref="AK147:AK210" ca="1" si="58">VLOOKUP(AE147,ModelOutputs,4,FALSE)+AK146</f>
        <v>-8.1579558955394482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79.879939669833163</v>
      </c>
      <c r="U148" s="55">
        <f t="shared" ca="1" si="46"/>
        <v>6.7531071781453296</v>
      </c>
      <c r="V148" s="55">
        <f t="shared" ca="1" si="47"/>
        <v>0</v>
      </c>
      <c r="W148" s="55">
        <f t="shared" ca="1" si="52"/>
        <v>-110.74141137903807</v>
      </c>
      <c r="X148" s="55">
        <f t="shared" ca="1" si="53"/>
        <v>26.985030431510271</v>
      </c>
      <c r="Y148" s="55">
        <f t="shared" ca="1" si="54"/>
        <v>-5.9345628379967676</v>
      </c>
      <c r="Z148">
        <f t="shared" ca="1" si="48"/>
        <v>120</v>
      </c>
      <c r="AA148">
        <f t="shared" ca="1" si="55"/>
        <v>353.2277958333334</v>
      </c>
      <c r="AB148">
        <f t="shared" ca="1" si="49"/>
        <v>0</v>
      </c>
      <c r="AC148">
        <f t="shared" ca="1" si="50"/>
        <v>0.16000942747237359</v>
      </c>
      <c r="AD148" s="83">
        <f ca="1"/>
        <v>45424</v>
      </c>
      <c r="AE148" s="55">
        <f t="shared" ca="1" si="41"/>
        <v>45424</v>
      </c>
      <c r="AF148" s="55">
        <f t="shared" ca="1" si="42"/>
        <v>-101.99694839881859</v>
      </c>
      <c r="AG148" s="55">
        <f t="shared" ca="1" si="43"/>
        <v>146.83780708733255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27.984784401003552</v>
      </c>
      <c r="AK148" s="55">
        <f t="shared" ca="1" si="58"/>
        <v>-8.1291632488170436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78.733871776861974</v>
      </c>
      <c r="U149" s="55">
        <f t="shared" ca="1" si="46"/>
        <v>7.2209888782687637</v>
      </c>
      <c r="V149" s="55">
        <f t="shared" ca="1" si="47"/>
        <v>0</v>
      </c>
      <c r="W149" s="55">
        <f t="shared" ca="1" si="52"/>
        <v>-111.63897751729429</v>
      </c>
      <c r="X149" s="55">
        <f t="shared" ca="1" si="53"/>
        <v>27.192121040489326</v>
      </c>
      <c r="Y149" s="55">
        <f t="shared" ca="1" si="54"/>
        <v>-5.9222735015673651</v>
      </c>
      <c r="Z149">
        <f t="shared" ca="1" si="48"/>
        <v>120</v>
      </c>
      <c r="AA149">
        <f t="shared" ca="1" si="55"/>
        <v>354.6677958333334</v>
      </c>
      <c r="AB149">
        <f t="shared" ca="1" si="49"/>
        <v>0</v>
      </c>
      <c r="AC149">
        <f t="shared" ca="1" si="50"/>
        <v>0.18955243884979125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-103.56916944711081</v>
      </c>
      <c r="AG149" s="55">
        <f t="shared" ref="AG149:AG212" ca="1" si="61">VLOOKUP(AE149,ModelOutputs,7,FALSE)</f>
        <v>148.68624840028164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28.233258794054475</v>
      </c>
      <c r="AK149" s="55">
        <f t="shared" ca="1" si="58"/>
        <v>-8.1014173772111029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78.444749046930909</v>
      </c>
      <c r="U150" s="55">
        <f t="shared" ca="1" si="46"/>
        <v>7.7324992891981523</v>
      </c>
      <c r="V150" s="55">
        <f t="shared" ca="1" si="47"/>
        <v>0</v>
      </c>
      <c r="W150" s="55">
        <f t="shared" ca="1" si="52"/>
        <v>-111.63897751729429</v>
      </c>
      <c r="X150" s="55">
        <f t="shared" ca="1" si="53"/>
        <v>27.402124455164312</v>
      </c>
      <c r="Y150" s="55">
        <f t="shared" ca="1" si="54"/>
        <v>-5.9098892352440302</v>
      </c>
      <c r="Z150">
        <f t="shared" ca="1" si="48"/>
        <v>117.875</v>
      </c>
      <c r="AA150">
        <f t="shared" ca="1" si="55"/>
        <v>354.6677958333334</v>
      </c>
      <c r="AB150">
        <f t="shared" ca="1" si="49"/>
        <v>0</v>
      </c>
      <c r="AC150">
        <f t="shared" ca="1" si="50"/>
        <v>0.22392713073276141</v>
      </c>
      <c r="AD150" s="83">
        <f ca="1"/>
        <v>45426</v>
      </c>
      <c r="AE150" s="55">
        <f t="shared" ca="1" si="59"/>
        <v>45426</v>
      </c>
      <c r="AF150" s="55">
        <f t="shared" ca="1" si="60"/>
        <v>-105.10832659785845</v>
      </c>
      <c r="AG150" s="55">
        <f t="shared" ca="1" si="61"/>
        <v>150.4993606123989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28.480004959891577</v>
      </c>
      <c r="AK150" s="55">
        <f t="shared" ca="1" si="58"/>
        <v>-8.0742084816785944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78.02452866423944</v>
      </c>
      <c r="U151" s="55">
        <f t="shared" ca="1" si="46"/>
        <v>8.2912925614337176</v>
      </c>
      <c r="V151" s="55">
        <f t="shared" ca="1" si="47"/>
        <v>0</v>
      </c>
      <c r="W151" s="55">
        <f t="shared" ca="1" si="52"/>
        <v>-111.72561711139787</v>
      </c>
      <c r="X151" s="55">
        <f t="shared" ca="1" si="53"/>
        <v>27.614869520536438</v>
      </c>
      <c r="Y151" s="55">
        <f t="shared" ca="1" si="54"/>
        <v>-5.8974218169684995</v>
      </c>
      <c r="Z151">
        <f t="shared" ca="1" si="48"/>
        <v>120</v>
      </c>
      <c r="AA151">
        <f t="shared" ca="1" si="55"/>
        <v>354.80805875982884</v>
      </c>
      <c r="AB151">
        <f t="shared" ca="1" si="49"/>
        <v>0</v>
      </c>
      <c r="AC151">
        <f t="shared" ca="1" si="50"/>
        <v>0.26337704270791618</v>
      </c>
      <c r="AD151" s="83">
        <f ca="1"/>
        <v>45427</v>
      </c>
      <c r="AE151" s="55">
        <f t="shared" ca="1" si="59"/>
        <v>45427</v>
      </c>
      <c r="AF151" s="55">
        <f t="shared" ca="1" si="60"/>
        <v>-106.6238603158897</v>
      </c>
      <c r="AG151" s="55">
        <f t="shared" ca="1" si="61"/>
        <v>152.28870529291862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28.726966748784353</v>
      </c>
      <c r="AK151" s="55">
        <f t="shared" ca="1" si="58"/>
        <v>-8.0473593080829033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76.706289108990518</v>
      </c>
      <c r="U152" s="55">
        <f t="shared" ca="1" si="46"/>
        <v>8.9260486504780125</v>
      </c>
      <c r="V152" s="55">
        <f t="shared" ca="1" si="47"/>
        <v>0</v>
      </c>
      <c r="W152" s="55">
        <f t="shared" ca="1" si="52"/>
        <v>-112.64257687578825</v>
      </c>
      <c r="X152" s="55">
        <f t="shared" ca="1" si="53"/>
        <v>27.835570771418517</v>
      </c>
      <c r="Y152" s="55">
        <f t="shared" ca="1" si="54"/>
        <v>-5.8846467696648084</v>
      </c>
      <c r="Z152">
        <f t="shared" ca="1" si="48"/>
        <v>120</v>
      </c>
      <c r="AA152">
        <f t="shared" ca="1" si="55"/>
        <v>356.31805875982883</v>
      </c>
      <c r="AB152">
        <f t="shared" ca="1" si="49"/>
        <v>0</v>
      </c>
      <c r="AC152">
        <f t="shared" ca="1" si="50"/>
        <v>0.30973364580083568</v>
      </c>
      <c r="AD152" s="83">
        <f ca="1"/>
        <v>45428</v>
      </c>
      <c r="AE152" s="55">
        <f t="shared" ca="1" si="59"/>
        <v>45428</v>
      </c>
      <c r="AF152" s="55">
        <f t="shared" ca="1" si="60"/>
        <v>-108.07097223310959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28.965393813160567</v>
      </c>
      <c r="AK152" s="55">
        <f t="shared" ca="1" si="58"/>
        <v>-8.0216035825976135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74.588415632540219</v>
      </c>
      <c r="U153" s="55">
        <f t="shared" ca="1" si="46"/>
        <v>9.5833332903559469</v>
      </c>
      <c r="V153" s="55">
        <f t="shared" ca="1" si="47"/>
        <v>0</v>
      </c>
      <c r="W153" s="55">
        <f t="shared" ca="1" si="52"/>
        <v>-114.33138291973502</v>
      </c>
      <c r="X153" s="55">
        <f t="shared" ca="1" si="53"/>
        <v>28.051278043902464</v>
      </c>
      <c r="Y153" s="55">
        <f t="shared" ca="1" si="54"/>
        <v>-5.8721368347743468</v>
      </c>
      <c r="Z153">
        <f t="shared" ca="1" si="48"/>
        <v>120</v>
      </c>
      <c r="AA153">
        <f t="shared" ca="1" si="55"/>
        <v>359.17805875982884</v>
      </c>
      <c r="AB153">
        <f t="shared" ca="1" si="49"/>
        <v>0</v>
      </c>
      <c r="AC153">
        <f t="shared" ca="1" si="50"/>
        <v>0.35843332953666313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73.446789697214513</v>
      </c>
      <c r="U154" s="55">
        <f t="shared" ca="1" si="46"/>
        <v>10.305435432039726</v>
      </c>
      <c r="V154" s="55">
        <f t="shared" ca="1" si="47"/>
        <v>0</v>
      </c>
      <c r="W154" s="55">
        <f t="shared" ca="1" si="52"/>
        <v>-114.98261112171699</v>
      </c>
      <c r="X154" s="55">
        <f t="shared" ca="1" si="53"/>
        <v>28.270373464013851</v>
      </c>
      <c r="Y154" s="55">
        <f t="shared" ca="1" si="54"/>
        <v>-5.8595278465456904</v>
      </c>
      <c r="Z154">
        <f t="shared" ca="1" si="48"/>
        <v>120</v>
      </c>
      <c r="AA154">
        <f t="shared" ca="1" si="55"/>
        <v>360.29805875982885</v>
      </c>
      <c r="AB154">
        <f t="shared" ca="1" si="49"/>
        <v>0</v>
      </c>
      <c r="AC154">
        <f t="shared" ca="1" si="50"/>
        <v>0.41154467684386997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72.336832007158378</v>
      </c>
      <c r="U155" s="55">
        <f t="shared" ca="1" si="46"/>
        <v>11.115273863468618</v>
      </c>
      <c r="V155" s="55">
        <f t="shared" ca="1" si="47"/>
        <v>0</v>
      </c>
      <c r="W155" s="55">
        <f t="shared" ca="1" si="52"/>
        <v>-115.52091771323693</v>
      </c>
      <c r="X155" s="55">
        <f t="shared" ca="1" si="53"/>
        <v>28.49573222765915</v>
      </c>
      <c r="Y155" s="55">
        <f t="shared" ca="1" si="54"/>
        <v>-5.846699277298308</v>
      </c>
      <c r="Z155">
        <f t="shared" ca="1" si="48"/>
        <v>120</v>
      </c>
      <c r="AA155">
        <f t="shared" ca="1" si="55"/>
        <v>361.23805875982885</v>
      </c>
      <c r="AB155">
        <f t="shared" ca="1" si="49"/>
        <v>0</v>
      </c>
      <c r="AC155">
        <f t="shared" ca="1" si="50"/>
        <v>0.46924816396274754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70.948847407050224</v>
      </c>
      <c r="U156" s="55">
        <f t="shared" ca="1" si="46"/>
        <v>12.009651315293119</v>
      </c>
      <c r="V156" s="55">
        <f t="shared" ca="1" si="47"/>
        <v>0</v>
      </c>
      <c r="W156" s="55">
        <f t="shared" ca="1" si="52"/>
        <v>-116.25671638488754</v>
      </c>
      <c r="X156" s="55">
        <f t="shared" ca="1" si="53"/>
        <v>28.724984198143094</v>
      </c>
      <c r="Y156" s="55">
        <f t="shared" ca="1" si="54"/>
        <v>-5.8337597244152972</v>
      </c>
      <c r="Z156">
        <f t="shared" ca="1" si="48"/>
        <v>120</v>
      </c>
      <c r="AA156">
        <f t="shared" ca="1" si="55"/>
        <v>362.54805875982885</v>
      </c>
      <c r="AB156">
        <f t="shared" ca="1" si="49"/>
        <v>0</v>
      </c>
      <c r="AC156">
        <f t="shared" ca="1" si="50"/>
        <v>0.52928765508877385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70.061059895952965</v>
      </c>
      <c r="U157" s="55">
        <f t="shared" ca="1" si="46"/>
        <v>12.959936913192216</v>
      </c>
      <c r="V157" s="55">
        <f t="shared" ca="1" si="47"/>
        <v>0</v>
      </c>
      <c r="W157" s="55">
        <f t="shared" ca="1" si="52"/>
        <v>-116.43420440329062</v>
      </c>
      <c r="X157" s="55">
        <f t="shared" ca="1" si="53"/>
        <v>28.952181952352955</v>
      </c>
      <c r="Y157" s="55">
        <f t="shared" ca="1" si="54"/>
        <v>-5.8209713734202255</v>
      </c>
      <c r="Z157">
        <f t="shared" ca="1" si="48"/>
        <v>120</v>
      </c>
      <c r="AA157">
        <f t="shared" ca="1" si="55"/>
        <v>362.86805875982884</v>
      </c>
      <c r="AB157">
        <f t="shared" ca="1" si="49"/>
        <v>0</v>
      </c>
      <c r="AC157">
        <f t="shared" ca="1" si="50"/>
        <v>0.58772303167604223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69.244916684476365</v>
      </c>
      <c r="U158" s="55">
        <f t="shared" ca="1" si="46"/>
        <v>13.951030046226691</v>
      </c>
      <c r="V158" s="55">
        <f t="shared" ca="1" si="47"/>
        <v>0</v>
      </c>
      <c r="W158" s="55">
        <f t="shared" ca="1" si="52"/>
        <v>-116.49450518490335</v>
      </c>
      <c r="X158" s="55">
        <f t="shared" ca="1" si="53"/>
        <v>29.174900773745854</v>
      </c>
      <c r="Y158" s="55">
        <f t="shared" ca="1" si="54"/>
        <v>-5.808439491642531</v>
      </c>
      <c r="Z158">
        <f t="shared" ca="1" si="48"/>
        <v>120</v>
      </c>
      <c r="AA158">
        <f t="shared" ca="1" si="55"/>
        <v>362.97805875982885</v>
      </c>
      <c r="AB158">
        <f t="shared" ca="1" si="49"/>
        <v>0</v>
      </c>
      <c r="AC158">
        <f t="shared" ca="1" si="50"/>
        <v>0.64218429846534308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67.73673063176993</v>
      </c>
      <c r="U159" s="55">
        <f t="shared" ca="1" si="46"/>
        <v>15.000746802854479</v>
      </c>
      <c r="V159" s="55">
        <f t="shared" ca="1" si="47"/>
        <v>0</v>
      </c>
      <c r="W159" s="55">
        <f t="shared" ca="1" si="52"/>
        <v>-117.1862665464803</v>
      </c>
      <c r="X159" s="55">
        <f t="shared" ca="1" si="53"/>
        <v>29.395803267391809</v>
      </c>
      <c r="Y159" s="55">
        <f t="shared" ca="1" si="54"/>
        <v>-5.7960499197901774</v>
      </c>
      <c r="Z159">
        <f t="shared" ca="1" si="48"/>
        <v>120</v>
      </c>
      <c r="AA159">
        <f t="shared" ca="1" si="55"/>
        <v>364.26805875982882</v>
      </c>
      <c r="AB159">
        <f t="shared" ca="1" si="49"/>
        <v>0</v>
      </c>
      <c r="AC159">
        <f t="shared" ca="1" si="50"/>
        <v>0.69259923566958603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66.848400911306314</v>
      </c>
      <c r="U160" s="55">
        <f t="shared" ca="1" si="46"/>
        <v>16.115753167723756</v>
      </c>
      <c r="V160" s="55">
        <f t="shared" ca="1" si="47"/>
        <v>0</v>
      </c>
      <c r="W160" s="55">
        <f t="shared" ca="1" si="52"/>
        <v>-117.19155871155245</v>
      </c>
      <c r="X160" s="55">
        <f t="shared" ca="1" si="53"/>
        <v>29.615500017719572</v>
      </c>
      <c r="Y160" s="55">
        <f t="shared" ca="1" si="54"/>
        <v>-5.7837778606401429</v>
      </c>
      <c r="Z160">
        <f t="shared" ca="1" si="48"/>
        <v>120</v>
      </c>
      <c r="AA160">
        <f t="shared" ca="1" si="55"/>
        <v>364.27805875982881</v>
      </c>
      <c r="AB160">
        <f t="shared" ca="1" si="49"/>
        <v>0</v>
      </c>
      <c r="AC160">
        <f t="shared" ca="1" si="50"/>
        <v>0.73843260506396791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65.81878481667691</v>
      </c>
      <c r="U161" s="55">
        <f t="shared" ca="1" si="46"/>
        <v>17.291814982332713</v>
      </c>
      <c r="V161" s="55">
        <f t="shared" ca="1" si="47"/>
        <v>0</v>
      </c>
      <c r="W161" s="55">
        <f t="shared" ca="1" si="52"/>
        <v>-117.27492917232024</v>
      </c>
      <c r="X161" s="55">
        <f t="shared" ca="1" si="53"/>
        <v>29.83319632773933</v>
      </c>
      <c r="Y161" s="55">
        <f t="shared" ca="1" si="54"/>
        <v>-5.7716579899125611</v>
      </c>
      <c r="Z161">
        <f t="shared" ca="1" si="48"/>
        <v>120</v>
      </c>
      <c r="AA161">
        <f t="shared" ca="1" si="55"/>
        <v>364.43805875982878</v>
      </c>
      <c r="AB161">
        <f t="shared" ca="1" si="49"/>
        <v>0</v>
      </c>
      <c r="AC161">
        <f t="shared" ca="1" si="50"/>
        <v>0.77906128932534302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63.881912265084047</v>
      </c>
      <c r="U162" s="55">
        <f t="shared" ca="1" si="46"/>
        <v>18.576534378984572</v>
      </c>
      <c r="V162" s="55">
        <f t="shared" ca="1" si="47"/>
        <v>0</v>
      </c>
      <c r="W162" s="55">
        <f t="shared" ca="1" si="52"/>
        <v>-118.1599598318261</v>
      </c>
      <c r="X162" s="55">
        <f t="shared" ca="1" si="53"/>
        <v>30.05389757862141</v>
      </c>
      <c r="Y162" s="55">
        <f t="shared" ca="1" si="54"/>
        <v>-5.7594817362297954</v>
      </c>
      <c r="Z162">
        <f t="shared" ca="1" si="48"/>
        <v>120</v>
      </c>
      <c r="AA162">
        <f t="shared" ca="1" si="55"/>
        <v>366.18805875982878</v>
      </c>
      <c r="AB162">
        <f t="shared" ca="1" si="49"/>
        <v>0</v>
      </c>
      <c r="AC162">
        <f t="shared" ca="1" si="50"/>
        <v>0.8156770471395387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62.254176782827919</v>
      </c>
      <c r="U163" s="55">
        <f t="shared" ca="1" si="46"/>
        <v>19.976534237462594</v>
      </c>
      <c r="V163" s="55">
        <f t="shared" ca="1" si="47"/>
        <v>0</v>
      </c>
      <c r="W163" s="55">
        <f t="shared" ca="1" si="52"/>
        <v>-118.62323466405165</v>
      </c>
      <c r="X163" s="55">
        <f t="shared" ca="1" si="53"/>
        <v>30.277223900804412</v>
      </c>
      <c r="Y163" s="55">
        <f t="shared" ca="1" si="54"/>
        <v>-5.7472688499653541</v>
      </c>
      <c r="Z163">
        <f t="shared" ca="1" si="48"/>
        <v>120</v>
      </c>
      <c r="AA163">
        <f t="shared" ca="1" si="55"/>
        <v>367.12805875982878</v>
      </c>
      <c r="AB163">
        <f t="shared" ca="1" si="49"/>
        <v>0</v>
      </c>
      <c r="AC163">
        <f t="shared" ca="1" si="50"/>
        <v>0.84794553095172165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59.938952937039865</v>
      </c>
      <c r="U164" s="55">
        <f t="shared" ca="1" si="46"/>
        <v>21.568610556951974</v>
      </c>
      <c r="V164" s="55">
        <f t="shared" ca="1" si="47"/>
        <v>0</v>
      </c>
      <c r="W164" s="55">
        <f t="shared" ca="1" si="52"/>
        <v>-119.59124875398484</v>
      </c>
      <c r="X164" s="55">
        <f t="shared" ca="1" si="53"/>
        <v>30.509578723226287</v>
      </c>
      <c r="Y164" s="55">
        <f t="shared" ca="1" si="54"/>
        <v>-5.7347571087527101</v>
      </c>
      <c r="Z164">
        <f t="shared" ca="1" si="48"/>
        <v>120</v>
      </c>
      <c r="AA164">
        <f t="shared" ca="1" si="55"/>
        <v>369.1680587598288</v>
      </c>
      <c r="AB164">
        <f t="shared" ca="1" si="49"/>
        <v>0</v>
      </c>
      <c r="AC164">
        <f t="shared" ca="1" si="50"/>
        <v>0.87694182801908038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58.167926629390479</v>
      </c>
      <c r="U165" s="55">
        <f t="shared" ca="1" si="46"/>
        <v>23.209589266992786</v>
      </c>
      <c r="V165" s="55">
        <f t="shared" ca="1" si="47"/>
        <v>0</v>
      </c>
      <c r="W165" s="55">
        <f t="shared" ca="1" si="52"/>
        <v>-119.95964562263765</v>
      </c>
      <c r="X165" s="55">
        <f t="shared" ca="1" si="53"/>
        <v>30.73575366998671</v>
      </c>
      <c r="Y165" s="55">
        <f t="shared" ca="1" si="54"/>
        <v>-5.7225827844688943</v>
      </c>
      <c r="Z165">
        <f t="shared" ca="1" si="48"/>
        <v>120</v>
      </c>
      <c r="AA165">
        <f t="shared" ca="1" si="55"/>
        <v>369.96805875982881</v>
      </c>
      <c r="AB165">
        <f t="shared" ca="1" si="49"/>
        <v>0</v>
      </c>
      <c r="AC165">
        <f t="shared" ca="1" si="50"/>
        <v>0.90020217176363293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55.86979471475275</v>
      </c>
      <c r="U166" s="55">
        <f t="shared" ca="1" si="46"/>
        <v>24.943513264854808</v>
      </c>
      <c r="V166" s="55">
        <f t="shared" ca="1" si="47"/>
        <v>0</v>
      </c>
      <c r="W166" s="55">
        <f t="shared" ca="1" si="52"/>
        <v>-120.76021322273779</v>
      </c>
      <c r="X166" s="55">
        <f t="shared" ca="1" si="53"/>
        <v>30.960094781911625</v>
      </c>
      <c r="Y166" s="55">
        <f t="shared" ca="1" si="54"/>
        <v>-5.710564213069369</v>
      </c>
      <c r="Z166">
        <f t="shared" ca="1" si="48"/>
        <v>120</v>
      </c>
      <c r="AA166">
        <f t="shared" ca="1" si="55"/>
        <v>371.77805875982881</v>
      </c>
      <c r="AB166">
        <f t="shared" ca="1" si="49"/>
        <v>0</v>
      </c>
      <c r="AC166">
        <f t="shared" ca="1" si="50"/>
        <v>0.91925796833354823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54.081253100018614</v>
      </c>
      <c r="U167" s="55">
        <f t="shared" ca="1" si="46"/>
        <v>26.895109524576476</v>
      </c>
      <c r="V167" s="55">
        <f t="shared" ca="1" si="47"/>
        <v>0</v>
      </c>
      <c r="W167" s="55">
        <f t="shared" ca="1" si="52"/>
        <v>-120.8415604409424</v>
      </c>
      <c r="X167" s="55">
        <f t="shared" ca="1" si="53"/>
        <v>31.192241943132643</v>
      </c>
      <c r="Y167" s="55">
        <f t="shared" ca="1" si="54"/>
        <v>-5.6983095110982473</v>
      </c>
      <c r="Z167">
        <f t="shared" ca="1" si="48"/>
        <v>120</v>
      </c>
      <c r="AA167">
        <f t="shared" ca="1" si="55"/>
        <v>371.96805875982881</v>
      </c>
      <c r="AB167">
        <f t="shared" ca="1" si="49"/>
        <v>0</v>
      </c>
      <c r="AC167">
        <f t="shared" ca="1" si="50"/>
        <v>0.93566755674712376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51.416009394968647</v>
      </c>
      <c r="U168" s="55">
        <f t="shared" ca="1" si="46"/>
        <v>29.074893363946494</v>
      </c>
      <c r="V168" s="55">
        <f t="shared" ca="1" si="47"/>
        <v>0</v>
      </c>
      <c r="W168" s="55">
        <f t="shared" ca="1" si="52"/>
        <v>-121.5783090088978</v>
      </c>
      <c r="X168" s="55">
        <f t="shared" ca="1" si="53"/>
        <v>31.431091354836443</v>
      </c>
      <c r="Y168" s="55">
        <f t="shared" ca="1" si="54"/>
        <v>-5.6858702205265912</v>
      </c>
      <c r="Z168">
        <f t="shared" ca="1" si="48"/>
        <v>120</v>
      </c>
      <c r="AA168">
        <f t="shared" ca="1" si="55"/>
        <v>373.77805875982881</v>
      </c>
      <c r="AB168">
        <f t="shared" ca="1" si="49"/>
        <v>0</v>
      </c>
      <c r="AC168">
        <f t="shared" ca="1" si="50"/>
        <v>0.94941714902941821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48.831702649022247</v>
      </c>
      <c r="U169" s="55">
        <f t="shared" ca="1" si="46"/>
        <v>31.515892190600251</v>
      </c>
      <c r="V169" s="55">
        <f t="shared" ca="1" si="47"/>
        <v>0</v>
      </c>
      <c r="W169" s="55">
        <f t="shared" ca="1" si="52"/>
        <v>-121.98035669404142</v>
      </c>
      <c r="X169" s="55">
        <f t="shared" ca="1" si="53"/>
        <v>31.677191346143836</v>
      </c>
      <c r="Y169" s="55">
        <f t="shared" ca="1" si="54"/>
        <v>-5.6732304459830063</v>
      </c>
      <c r="Z169">
        <f t="shared" ca="1" si="48"/>
        <v>120</v>
      </c>
      <c r="AA169">
        <f t="shared" ca="1" si="55"/>
        <v>374.81805875982883</v>
      </c>
      <c r="AB169">
        <f t="shared" ca="1" si="49"/>
        <v>0</v>
      </c>
      <c r="AC169">
        <f t="shared" ca="1" si="50"/>
        <v>0.96076122154550425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45.48144702937654</v>
      </c>
      <c r="U170" s="55">
        <f t="shared" ca="1" si="46"/>
        <v>34.103359578583394</v>
      </c>
      <c r="V170" s="55">
        <f t="shared" ca="1" si="47"/>
        <v>0</v>
      </c>
      <c r="W170" s="55">
        <f t="shared" ca="1" si="52"/>
        <v>-122.99933061352874</v>
      </c>
      <c r="X170" s="55">
        <f t="shared" ca="1" si="53"/>
        <v>31.920930941080858</v>
      </c>
      <c r="Y170" s="55">
        <f t="shared" ca="1" si="54"/>
        <v>-5.6607843530952726</v>
      </c>
      <c r="Z170">
        <f t="shared" ca="1" si="48"/>
        <v>120</v>
      </c>
      <c r="AA170">
        <f t="shared" ca="1" si="55"/>
        <v>377.64805875982881</v>
      </c>
      <c r="AB170">
        <f t="shared" ca="1" si="49"/>
        <v>0</v>
      </c>
      <c r="AC170">
        <f t="shared" ca="1" si="50"/>
        <v>0.96953965789063745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41.567013227511907</v>
      </c>
      <c r="U171" s="55">
        <f t="shared" ca="1" si="46"/>
        <v>36.790822455578912</v>
      </c>
      <c r="V171" s="55">
        <f t="shared" ca="1" si="47"/>
        <v>0</v>
      </c>
      <c r="W171" s="55">
        <f t="shared" ca="1" si="52"/>
        <v>-124.47686473787834</v>
      </c>
      <c r="X171" s="55">
        <f t="shared" ca="1" si="53"/>
        <v>32.159358005457072</v>
      </c>
      <c r="Y171" s="55">
        <f t="shared" ca="1" si="54"/>
        <v>-5.6486482179910036</v>
      </c>
      <c r="Z171">
        <f t="shared" ca="1" si="48"/>
        <v>120</v>
      </c>
      <c r="AA171">
        <f t="shared" ca="1" si="55"/>
        <v>382.13805875982882</v>
      </c>
      <c r="AB171">
        <f t="shared" ca="1" si="49"/>
        <v>0</v>
      </c>
      <c r="AC171">
        <f t="shared" ca="1" si="50"/>
        <v>0.97621901995213534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38.417336928296351</v>
      </c>
      <c r="U172" s="55">
        <f t="shared" ca="1" si="46"/>
        <v>39.632643190312862</v>
      </c>
      <c r="V172" s="55">
        <f t="shared" ca="1" si="47"/>
        <v>0</v>
      </c>
      <c r="W172" s="55">
        <f t="shared" ca="1" si="52"/>
        <v>-125.03343590662703</v>
      </c>
      <c r="X172" s="55">
        <f t="shared" ca="1" si="53"/>
        <v>32.39610029295082</v>
      </c>
      <c r="Y172" s="55">
        <f t="shared" ca="1" si="54"/>
        <v>-5.6366749012176625</v>
      </c>
      <c r="Z172">
        <f t="shared" ca="1" si="48"/>
        <v>120</v>
      </c>
      <c r="AA172">
        <f t="shared" ca="1" si="55"/>
        <v>383.96805875982881</v>
      </c>
      <c r="AB172">
        <f t="shared" ca="1" si="49"/>
        <v>0</v>
      </c>
      <c r="AC172">
        <f t="shared" ca="1" si="50"/>
        <v>0.98141550369504649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34.902577129570844</v>
      </c>
      <c r="U173" s="55">
        <f t="shared" ca="1" si="46"/>
        <v>42.780924427655968</v>
      </c>
      <c r="V173" s="55">
        <f t="shared" ca="1" si="47"/>
        <v>0</v>
      </c>
      <c r="W173" s="55">
        <f t="shared" ca="1" si="52"/>
        <v>-125.65513806174751</v>
      </c>
      <c r="X173" s="55">
        <f t="shared" ca="1" si="53"/>
        <v>32.639198572155983</v>
      </c>
      <c r="Y173" s="55">
        <f t="shared" ca="1" si="54"/>
        <v>-5.6245495866847488</v>
      </c>
      <c r="Z173">
        <f t="shared" ca="1" si="48"/>
        <v>120</v>
      </c>
      <c r="AA173">
        <f t="shared" ca="1" si="55"/>
        <v>386.21805875982881</v>
      </c>
      <c r="AB173">
        <f t="shared" ca="1" si="49"/>
        <v>0</v>
      </c>
      <c r="AC173">
        <f t="shared" ca="1" si="50"/>
        <v>0.98562877685589367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31.953614255058319</v>
      </c>
      <c r="U174" s="55">
        <f t="shared" ca="1" si="46"/>
        <v>45.976447342263569</v>
      </c>
      <c r="V174" s="55">
        <f t="shared" ca="1" si="47"/>
        <v>0</v>
      </c>
      <c r="W174" s="55">
        <f t="shared" ca="1" si="52"/>
        <v>-125.65513806174751</v>
      </c>
      <c r="X174" s="55">
        <f t="shared" ca="1" si="53"/>
        <v>32.87405430112635</v>
      </c>
      <c r="Y174" s="55">
        <f t="shared" ca="1" si="54"/>
        <v>-5.6128452755600371</v>
      </c>
      <c r="Z174">
        <f t="shared" ca="1" si="48"/>
        <v>119.3</v>
      </c>
      <c r="AA174">
        <f t="shared" ca="1" si="55"/>
        <v>386.21805875982881</v>
      </c>
      <c r="AB174">
        <f t="shared" ca="1" si="49"/>
        <v>0</v>
      </c>
      <c r="AC174">
        <f t="shared" ca="1" si="50"/>
        <v>0.98876101823039453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168.02234943526759</v>
      </c>
      <c r="U175" s="55">
        <f t="shared" ca="1" si="46"/>
        <v>49.383796481814834</v>
      </c>
      <c r="V175" s="55">
        <f t="shared" ca="1" si="47"/>
        <v>140.2656256824381</v>
      </c>
      <c r="W175" s="55">
        <f t="shared" ca="1" si="52"/>
        <v>-126.69179417180356</v>
      </c>
      <c r="X175" s="55">
        <f t="shared" ca="1" si="53"/>
        <v>33.109537846330092</v>
      </c>
      <c r="Y175" s="55">
        <f t="shared" ca="1" si="54"/>
        <v>-5.6012140733852878</v>
      </c>
      <c r="Z175">
        <f t="shared" ca="1" si="48"/>
        <v>120</v>
      </c>
      <c r="AA175">
        <f t="shared" ca="1" si="55"/>
        <v>386.99821641831238</v>
      </c>
      <c r="AB175">
        <f t="shared" ca="1" si="49"/>
        <v>0</v>
      </c>
      <c r="AC175">
        <f t="shared" ca="1" si="50"/>
        <v>0.99122494525715499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164.60164091469005</v>
      </c>
      <c r="U176" s="55">
        <f t="shared" ca="1" si="46"/>
        <v>53.054138936423904</v>
      </c>
      <c r="V176" s="55">
        <f t="shared" ca="1" si="47"/>
        <v>0</v>
      </c>
      <c r="W176" s="55">
        <f t="shared" ca="1" si="52"/>
        <v>-126.69179417180356</v>
      </c>
      <c r="X176" s="55">
        <f t="shared" ca="1" si="53"/>
        <v>33.347543024716614</v>
      </c>
      <c r="Y176" s="55">
        <f t="shared" ca="1" si="54"/>
        <v>-5.5895853177402568</v>
      </c>
      <c r="Z176">
        <f t="shared" ca="1" si="48"/>
        <v>119.49999999999999</v>
      </c>
      <c r="AA176">
        <f t="shared" ca="1" si="55"/>
        <v>386.99821641831238</v>
      </c>
      <c r="AB176">
        <f t="shared" ca="1" si="49"/>
        <v>0</v>
      </c>
      <c r="AC176">
        <f t="shared" ca="1" si="50"/>
        <v>0.9931782839293396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161.0769648335781</v>
      </c>
      <c r="U177" s="55">
        <f t="shared" ca="1" si="46"/>
        <v>56.82313217482448</v>
      </c>
      <c r="V177" s="55">
        <f t="shared" ca="1" si="47"/>
        <v>0</v>
      </c>
      <c r="W177" s="55">
        <f t="shared" ca="1" si="52"/>
        <v>-126.69179417180356</v>
      </c>
      <c r="X177" s="55">
        <f t="shared" ca="1" si="53"/>
        <v>33.580521520682453</v>
      </c>
      <c r="Y177" s="55">
        <f t="shared" ca="1" si="54"/>
        <v>-5.5782466564174431</v>
      </c>
      <c r="Z177">
        <f t="shared" ca="1" si="48"/>
        <v>118.97515689662239</v>
      </c>
      <c r="AA177">
        <f t="shared" ca="1" si="55"/>
        <v>386.99821641831238</v>
      </c>
      <c r="AB177">
        <f t="shared" ca="1" si="49"/>
        <v>0</v>
      </c>
      <c r="AC177">
        <f t="shared" ca="1" si="50"/>
        <v>0.9946588383861763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155.78142545158465</v>
      </c>
      <c r="U178" s="55">
        <f t="shared" ca="1" si="46"/>
        <v>61.18227799782548</v>
      </c>
      <c r="V178" s="55">
        <f t="shared" ca="1" si="47"/>
        <v>0</v>
      </c>
      <c r="W178" s="55">
        <f t="shared" ca="1" si="52"/>
        <v>-127.88825888300649</v>
      </c>
      <c r="X178" s="55">
        <f t="shared" ca="1" si="53"/>
        <v>33.82877947990908</v>
      </c>
      <c r="Y178" s="55">
        <f t="shared" ca="1" si="54"/>
        <v>-5.566433463433615</v>
      </c>
      <c r="Z178">
        <f t="shared" ca="1" si="48"/>
        <v>120</v>
      </c>
      <c r="AA178">
        <f t="shared" ca="1" si="55"/>
        <v>387.96837306012571</v>
      </c>
      <c r="AB178">
        <f t="shared" ca="1" si="49"/>
        <v>0</v>
      </c>
      <c r="AC178">
        <f t="shared" ca="1" si="50"/>
        <v>0.99591342661428806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149.51474702712588</v>
      </c>
      <c r="U179" s="55">
        <f t="shared" ca="1" si="46"/>
        <v>65.914498099503859</v>
      </c>
      <c r="V179" s="55">
        <f t="shared" ca="1" si="47"/>
        <v>0</v>
      </c>
      <c r="W179" s="55">
        <f t="shared" ca="1" si="52"/>
        <v>-129.68741967223289</v>
      </c>
      <c r="X179" s="55">
        <f t="shared" ca="1" si="53"/>
        <v>34.081606895945313</v>
      </c>
      <c r="Y179" s="55">
        <f t="shared" ca="1" si="54"/>
        <v>-5.5545584130238321</v>
      </c>
      <c r="Z179">
        <f t="shared" ca="1" si="48"/>
        <v>120</v>
      </c>
      <c r="AA179">
        <f t="shared" ca="1" si="55"/>
        <v>389.4883730601257</v>
      </c>
      <c r="AB179">
        <f t="shared" ca="1" si="49"/>
        <v>0</v>
      </c>
      <c r="AC179">
        <f t="shared" ca="1" si="50"/>
        <v>0.99689493851759059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143.26214426366914</v>
      </c>
      <c r="U180" s="55">
        <f t="shared" ca="1" si="46"/>
        <v>70.487378582742821</v>
      </c>
      <c r="V180" s="55">
        <f t="shared" ca="1" si="47"/>
        <v>0</v>
      </c>
      <c r="W180" s="55">
        <f t="shared" ca="1" si="52"/>
        <v>-131.61548936378145</v>
      </c>
      <c r="X180" s="55">
        <f t="shared" ca="1" si="53"/>
        <v>34.318769685986055</v>
      </c>
      <c r="Y180" s="55">
        <f t="shared" ca="1" si="54"/>
        <v>-5.5433737917338002</v>
      </c>
      <c r="Z180">
        <f t="shared" ca="1" si="48"/>
        <v>120</v>
      </c>
      <c r="AA180">
        <f t="shared" ca="1" si="55"/>
        <v>391.18837306012568</v>
      </c>
      <c r="AB180">
        <f t="shared" ca="1" si="49"/>
        <v>0</v>
      </c>
      <c r="AC180">
        <f t="shared" ca="1" si="50"/>
        <v>0.9975861454870627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138.54783218218381</v>
      </c>
      <c r="U181" s="55">
        <f t="shared" ca="1" si="46"/>
        <v>75.455866124381131</v>
      </c>
      <c r="V181" s="55">
        <f t="shared" ca="1" si="47"/>
        <v>0</v>
      </c>
      <c r="W181" s="55">
        <f t="shared" ca="1" si="52"/>
        <v>-131.61548936378145</v>
      </c>
      <c r="X181" s="55">
        <f t="shared" ca="1" si="53"/>
        <v>34.561654424475577</v>
      </c>
      <c r="Y181" s="55">
        <f t="shared" ca="1" si="54"/>
        <v>-5.5320830700703709</v>
      </c>
      <c r="Z181">
        <f t="shared" ca="1" si="48"/>
        <v>118.7</v>
      </c>
      <c r="AA181">
        <f t="shared" ca="1" si="55"/>
        <v>391.18837306012568</v>
      </c>
      <c r="AB181">
        <f t="shared" ca="1" si="49"/>
        <v>0</v>
      </c>
      <c r="AC181">
        <f t="shared" ca="1" si="50"/>
        <v>0.998139745889843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131.24405214591698</v>
      </c>
      <c r="U182" s="55">
        <f t="shared" ca="1" si="46"/>
        <v>80.999027313627167</v>
      </c>
      <c r="V182" s="55">
        <f t="shared" ca="1" si="47"/>
        <v>0</v>
      </c>
      <c r="W182" s="55">
        <f t="shared" ca="1" si="52"/>
        <v>-133.64161577726102</v>
      </c>
      <c r="X182" s="55">
        <f t="shared" ca="1" si="53"/>
        <v>34.81557734798961</v>
      </c>
      <c r="Y182" s="55">
        <f t="shared" ca="1" si="54"/>
        <v>-5.520498427125621</v>
      </c>
      <c r="Z182">
        <f t="shared" ca="1" si="48"/>
        <v>120</v>
      </c>
      <c r="AA182">
        <f t="shared" ca="1" si="55"/>
        <v>393.13841767782469</v>
      </c>
      <c r="AB182">
        <f t="shared" ca="1" si="49"/>
        <v>0</v>
      </c>
      <c r="AC182">
        <f t="shared" ca="1" si="50"/>
        <v>0.99858953533064365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123.81648457176759</v>
      </c>
      <c r="U183" s="55">
        <f t="shared" ca="1" si="46"/>
        <v>86.759152018552982</v>
      </c>
      <c r="V183" s="55">
        <f t="shared" ca="1" si="47"/>
        <v>0</v>
      </c>
      <c r="W183" s="55">
        <f t="shared" ca="1" si="52"/>
        <v>-135.57263703456155</v>
      </c>
      <c r="X183" s="55">
        <f t="shared" ca="1" si="53"/>
        <v>35.067748852586959</v>
      </c>
      <c r="Y183" s="55">
        <f t="shared" ca="1" si="54"/>
        <v>-5.5090915436460275</v>
      </c>
      <c r="Z183">
        <f t="shared" ca="1" si="48"/>
        <v>120</v>
      </c>
      <c r="AA183">
        <f t="shared" ca="1" si="55"/>
        <v>395.10841767782472</v>
      </c>
      <c r="AB183">
        <f t="shared" ca="1" si="49"/>
        <v>0</v>
      </c>
      <c r="AC183">
        <f t="shared" ca="1" si="50"/>
        <v>0.99892797289458901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115.75679514374575</v>
      </c>
      <c r="U184" s="55">
        <f t="shared" ca="1" si="46"/>
        <v>92.545619952640294</v>
      </c>
      <c r="V184" s="55">
        <f t="shared" ca="1" si="47"/>
        <v>0</v>
      </c>
      <c r="W184" s="55">
        <f t="shared" ca="1" si="52"/>
        <v>-138.10192300845239</v>
      </c>
      <c r="X184" s="55">
        <f t="shared" ca="1" si="53"/>
        <v>35.312774201138431</v>
      </c>
      <c r="Y184" s="55">
        <f t="shared" ca="1" si="54"/>
        <v>-5.4980524122411856</v>
      </c>
      <c r="Z184">
        <f t="shared" ca="1" si="48"/>
        <v>120</v>
      </c>
      <c r="AA184">
        <f t="shared" ca="1" si="55"/>
        <v>397.86841767782471</v>
      </c>
      <c r="AB184">
        <f t="shared" ca="1" si="49"/>
        <v>0</v>
      </c>
      <c r="AC184">
        <f t="shared" ca="1" si="50"/>
        <v>0.99917670307667472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107.85207918121922</v>
      </c>
      <c r="U185" s="55">
        <f t="shared" ca="1" si="46"/>
        <v>98.351869660454341</v>
      </c>
      <c r="V185" s="55">
        <f t="shared" ca="1" si="47"/>
        <v>0</v>
      </c>
      <c r="W185" s="55">
        <f t="shared" ca="1" si="52"/>
        <v>-140.44995264896019</v>
      </c>
      <c r="X185" s="55">
        <f t="shared" ca="1" si="53"/>
        <v>35.551623612842235</v>
      </c>
      <c r="Y185" s="55">
        <f t="shared" ca="1" si="54"/>
        <v>-5.4873384381496679</v>
      </c>
      <c r="Z185">
        <f t="shared" ca="1" si="48"/>
        <v>120</v>
      </c>
      <c r="AA185">
        <f t="shared" ca="1" si="55"/>
        <v>400.61841767782471</v>
      </c>
      <c r="AB185">
        <f t="shared" ca="1" si="49"/>
        <v>0</v>
      </c>
      <c r="AC185">
        <f t="shared" ca="1" si="50"/>
        <v>0.9993619205657106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101.961603312094</v>
      </c>
      <c r="U186" s="55">
        <f t="shared" ca="1" si="46"/>
        <v>104.40410738859819</v>
      </c>
      <c r="V186" s="55">
        <f t="shared" ca="1" si="47"/>
        <v>0</v>
      </c>
      <c r="W186" s="55">
        <f t="shared" ca="1" si="52"/>
        <v>-140.53874421184446</v>
      </c>
      <c r="X186" s="55">
        <f t="shared" ca="1" si="53"/>
        <v>35.791530911838215</v>
      </c>
      <c r="Y186" s="55">
        <f t="shared" ca="1" si="54"/>
        <v>-5.4766923152427402</v>
      </c>
      <c r="Z186">
        <f t="shared" ca="1" si="48"/>
        <v>120</v>
      </c>
      <c r="AA186">
        <f t="shared" ca="1" si="55"/>
        <v>400.72841767782472</v>
      </c>
      <c r="AB186">
        <f t="shared" ca="1" si="49"/>
        <v>0</v>
      </c>
      <c r="AC186">
        <f t="shared" ca="1" si="50"/>
        <v>0.99950627352993981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95.367363001795923</v>
      </c>
      <c r="U187" s="55">
        <f t="shared" ca="1" si="46"/>
        <v>111.118486533834</v>
      </c>
      <c r="V187" s="55">
        <f t="shared" ca="1" si="47"/>
        <v>0</v>
      </c>
      <c r="W187" s="55">
        <f t="shared" ca="1" si="52"/>
        <v>-140.68219262035967</v>
      </c>
      <c r="X187" s="55">
        <f t="shared" ca="1" si="53"/>
        <v>36.044139574661678</v>
      </c>
      <c r="Y187" s="55">
        <f t="shared" ca="1" si="54"/>
        <v>-5.4657137346132565</v>
      </c>
      <c r="Z187">
        <f t="shared" ca="1" si="48"/>
        <v>120</v>
      </c>
      <c r="AA187">
        <f t="shared" ca="1" si="55"/>
        <v>400.91841767782472</v>
      </c>
      <c r="AB187">
        <f t="shared" ca="1" si="49"/>
        <v>0</v>
      </c>
      <c r="AC187">
        <f t="shared" ca="1" si="50"/>
        <v>0.99962506249463789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88.620251395587772</v>
      </c>
      <c r="U188" s="55">
        <f t="shared" ca="1" si="46"/>
        <v>117.64807669104245</v>
      </c>
      <c r="V188" s="55">
        <f t="shared" ca="1" si="47"/>
        <v>0</v>
      </c>
      <c r="W188" s="55">
        <f t="shared" ca="1" si="52"/>
        <v>-141.15224920380376</v>
      </c>
      <c r="X188" s="55">
        <f t="shared" ca="1" si="53"/>
        <v>36.286171305959684</v>
      </c>
      <c r="Y188" s="55">
        <f t="shared" ca="1" si="54"/>
        <v>-5.4552103314668869</v>
      </c>
      <c r="Z188">
        <f t="shared" ca="1" si="48"/>
        <v>120</v>
      </c>
      <c r="AA188">
        <f t="shared" ca="1" si="55"/>
        <v>401.58841767782474</v>
      </c>
      <c r="AB188">
        <f t="shared" ca="1" si="49"/>
        <v>0</v>
      </c>
      <c r="AC188">
        <f t="shared" ca="1" si="50"/>
        <v>0.99971082054199512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82.373225047656774</v>
      </c>
      <c r="U189" s="55">
        <f t="shared" ca="1" si="46"/>
        <v>124.14206437287378</v>
      </c>
      <c r="V189" s="55">
        <f t="shared" ca="1" si="47"/>
        <v>0</v>
      </c>
      <c r="W189" s="55">
        <f t="shared" ca="1" si="52"/>
        <v>-141.15224920380376</v>
      </c>
      <c r="X189" s="55">
        <f t="shared" ca="1" si="53"/>
        <v>36.522913593453431</v>
      </c>
      <c r="Y189" s="55">
        <f t="shared" ca="1" si="54"/>
        <v>-5.4449912850602908</v>
      </c>
      <c r="Z189">
        <f t="shared" ca="1" si="48"/>
        <v>117.5</v>
      </c>
      <c r="AA189">
        <f t="shared" ca="1" si="55"/>
        <v>401.58841767782474</v>
      </c>
      <c r="AB189">
        <f t="shared" ca="1" si="49"/>
        <v>0</v>
      </c>
      <c r="AC189">
        <f t="shared" ca="1" si="50"/>
        <v>0.9997751924980024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76.076467323694914</v>
      </c>
      <c r="U190" s="55">
        <f t="shared" ca="1" si="46"/>
        <v>130.67828136035445</v>
      </c>
      <c r="V190" s="55">
        <f t="shared" ca="1" si="47"/>
        <v>0</v>
      </c>
      <c r="W190" s="55">
        <f t="shared" ca="1" si="52"/>
        <v>-141.15224920380376</v>
      </c>
      <c r="X190" s="55">
        <f t="shared" ca="1" si="53"/>
        <v>36.752340085103313</v>
      </c>
      <c r="Y190" s="55">
        <f t="shared" ca="1" si="54"/>
        <v>-5.4349585131913605</v>
      </c>
      <c r="Z190">
        <f t="shared" ca="1" si="48"/>
        <v>113.27503015181954</v>
      </c>
      <c r="AA190">
        <f t="shared" ca="1" si="55"/>
        <v>401.58841767782474</v>
      </c>
      <c r="AB190">
        <f t="shared" ca="1" si="49"/>
        <v>0</v>
      </c>
      <c r="AC190">
        <f t="shared" ca="1" si="50"/>
        <v>0.99982457123185742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69.273605867696205</v>
      </c>
      <c r="U191" s="55">
        <f t="shared" ca="1" si="46"/>
        <v>137.7302219049738</v>
      </c>
      <c r="V191" s="55">
        <f t="shared" ca="1" si="47"/>
        <v>0</v>
      </c>
      <c r="W191" s="55">
        <f t="shared" ca="1" si="52"/>
        <v>-141.15224920380376</v>
      </c>
      <c r="X191" s="55">
        <f t="shared" ca="1" si="53"/>
        <v>36.991167370417593</v>
      </c>
      <c r="Y191" s="55">
        <f t="shared" ca="1" si="54"/>
        <v>-5.4247067098849886</v>
      </c>
      <c r="Z191">
        <f t="shared" ca="1" si="48"/>
        <v>113.2250857225709</v>
      </c>
      <c r="AA191">
        <f t="shared" ca="1" si="55"/>
        <v>401.58841767782474</v>
      </c>
      <c r="AB191">
        <f t="shared" ca="1" si="49"/>
        <v>0</v>
      </c>
      <c r="AC191">
        <f t="shared" ca="1" si="50"/>
        <v>0.9998650882318223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62.123988743830026</v>
      </c>
      <c r="U192" s="55">
        <f t="shared" ca="1" si="46"/>
        <v>145.13774128170121</v>
      </c>
      <c r="V192" s="55">
        <f t="shared" ca="1" si="47"/>
        <v>0</v>
      </c>
      <c r="W192" s="55">
        <f t="shared" ca="1" si="52"/>
        <v>-141.15224920380376</v>
      </c>
      <c r="X192" s="55">
        <f t="shared" ca="1" si="53"/>
        <v>37.238727584931866</v>
      </c>
      <c r="Y192" s="55">
        <f t="shared" ca="1" si="54"/>
        <v>-5.4143646715380251</v>
      </c>
      <c r="Z192">
        <f t="shared" ca="1" si="48"/>
        <v>114.32512795959903</v>
      </c>
      <c r="AA192">
        <f t="shared" ca="1" si="55"/>
        <v>401.58841767782474</v>
      </c>
      <c r="AB192">
        <f t="shared" ca="1" si="49"/>
        <v>0</v>
      </c>
      <c r="AC192">
        <f t="shared" ca="1" si="50"/>
        <v>0.99989716574717413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54.568024224230214</v>
      </c>
      <c r="U193" s="55">
        <f t="shared" ca="1" si="46"/>
        <v>152.96231298466765</v>
      </c>
      <c r="V193" s="55">
        <f t="shared" ca="1" si="47"/>
        <v>0</v>
      </c>
      <c r="W193" s="55">
        <f t="shared" ca="1" si="52"/>
        <v>-141.15224920380376</v>
      </c>
      <c r="X193" s="55">
        <f t="shared" ca="1" si="53"/>
        <v>37.496839925882654</v>
      </c>
      <c r="Y193" s="55">
        <f t="shared" ca="1" si="54"/>
        <v>-5.4038698291221845</v>
      </c>
      <c r="Z193">
        <f t="shared" ca="1" si="48"/>
        <v>117.02516029029979</v>
      </c>
      <c r="AA193">
        <f t="shared" ca="1" si="55"/>
        <v>401.58841767782474</v>
      </c>
      <c r="AB193">
        <f t="shared" ca="1" si="49"/>
        <v>0</v>
      </c>
      <c r="AC193">
        <f t="shared" ca="1" si="50"/>
        <v>0.99992253142336029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47.4554569818361</v>
      </c>
      <c r="U194" s="55">
        <f t="shared" ca="1" si="46"/>
        <v>160.33008449998897</v>
      </c>
      <c r="V194" s="55">
        <f t="shared" ca="1" si="47"/>
        <v>0</v>
      </c>
      <c r="W194" s="55">
        <f t="shared" ca="1" si="52"/>
        <v>-141.15224920380376</v>
      </c>
      <c r="X194" s="55">
        <f t="shared" ca="1" si="53"/>
        <v>37.7420799715578</v>
      </c>
      <c r="Y194" s="55">
        <f t="shared" ca="1" si="54"/>
        <v>-5.3939056018701192</v>
      </c>
      <c r="Z194">
        <f t="shared" ca="1" si="48"/>
        <v>117.15017230403811</v>
      </c>
      <c r="AA194">
        <f t="shared" ca="1" si="55"/>
        <v>401.58841767782474</v>
      </c>
      <c r="AB194">
        <f t="shared" ca="1" si="49"/>
        <v>0</v>
      </c>
      <c r="AC194">
        <f t="shared" ca="1" si="50"/>
        <v>0.999940538174936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39.918746830645681</v>
      </c>
      <c r="U195" s="55">
        <f t="shared" ca="1" si="46"/>
        <v>168.12649442195732</v>
      </c>
      <c r="V195" s="55">
        <f t="shared" ca="1" si="47"/>
        <v>0</v>
      </c>
      <c r="W195" s="55">
        <f t="shared" ca="1" si="52"/>
        <v>-141.15224920380376</v>
      </c>
      <c r="X195" s="55">
        <f t="shared" ca="1" si="53"/>
        <v>37.991612460913281</v>
      </c>
      <c r="Y195" s="55">
        <f t="shared" ca="1" si="54"/>
        <v>-5.3837383204476739</v>
      </c>
      <c r="Z195">
        <f t="shared" ca="1" si="48"/>
        <v>113.17518141326923</v>
      </c>
      <c r="AA195">
        <f t="shared" ca="1" si="55"/>
        <v>401.58841767782474</v>
      </c>
      <c r="AB195">
        <f t="shared" ca="1" si="49"/>
        <v>0</v>
      </c>
      <c r="AC195">
        <f t="shared" ca="1" si="50"/>
        <v>0.99995500647936486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32.116502569518751</v>
      </c>
      <c r="U196" s="55">
        <f t="shared" ca="1" si="46"/>
        <v>176.17860171030617</v>
      </c>
      <c r="V196" s="55">
        <f t="shared" ca="1" si="47"/>
        <v>0</v>
      </c>
      <c r="W196" s="55">
        <f t="shared" ca="1" si="52"/>
        <v>-141.15224920380376</v>
      </c>
      <c r="X196" s="55">
        <f t="shared" ca="1" si="53"/>
        <v>38.231219248327506</v>
      </c>
      <c r="Y196" s="55">
        <f t="shared" ca="1" si="54"/>
        <v>-5.3734820806399775</v>
      </c>
      <c r="Z196">
        <f t="shared" ca="1" si="48"/>
        <v>106.95019714544856</v>
      </c>
      <c r="AA196">
        <f t="shared" ca="1" si="55"/>
        <v>401.58841767782474</v>
      </c>
      <c r="AB196">
        <f t="shared" ca="1" si="49"/>
        <v>0</v>
      </c>
      <c r="AC196">
        <f t="shared" ca="1" si="50"/>
        <v>0.999966266207441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158.90283733097363</v>
      </c>
      <c r="U197" s="55">
        <f t="shared" ca="1" si="46"/>
        <v>184.86049130310306</v>
      </c>
      <c r="V197" s="55">
        <f t="shared" ca="1" si="47"/>
        <v>135.20125575328439</v>
      </c>
      <c r="W197" s="55">
        <f t="shared" ca="1" si="52"/>
        <v>-141.15224920380376</v>
      </c>
      <c r="X197" s="55">
        <f t="shared" ca="1" si="53"/>
        <v>38.487504775773104</v>
      </c>
      <c r="Y197" s="55">
        <f t="shared" ca="1" si="54"/>
        <v>-5.3627990071181877</v>
      </c>
      <c r="Z197">
        <f t="shared" ca="1" si="48"/>
        <v>107.25021929607391</v>
      </c>
      <c r="AA197">
        <f t="shared" ca="1" si="55"/>
        <v>401.58841767782474</v>
      </c>
      <c r="AB197">
        <f t="shared" ca="1" si="49"/>
        <v>0</v>
      </c>
      <c r="AC197">
        <f t="shared" ca="1" si="50"/>
        <v>0.99997531066809642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151.06858946928594</v>
      </c>
      <c r="U198" s="55">
        <f t="shared" ca="1" si="46"/>
        <v>192.95716782522297</v>
      </c>
      <c r="V198" s="55">
        <f t="shared" ca="1" si="47"/>
        <v>0</v>
      </c>
      <c r="W198" s="55">
        <f t="shared" ca="1" si="52"/>
        <v>-141.15224920380376</v>
      </c>
      <c r="X198" s="55">
        <f t="shared" ca="1" si="53"/>
        <v>38.739787435024397</v>
      </c>
      <c r="Y198" s="55">
        <f t="shared" ca="1" si="54"/>
        <v>-5.3526530059372348</v>
      </c>
      <c r="Z198">
        <f t="shared" ca="1" si="48"/>
        <v>110.30023366464775</v>
      </c>
      <c r="AA198">
        <f t="shared" ca="1" si="55"/>
        <v>401.58841767782474</v>
      </c>
      <c r="AB198">
        <f t="shared" ca="1" si="49"/>
        <v>0</v>
      </c>
      <c r="AC198">
        <f t="shared" ca="1" si="50"/>
        <v>0.99998160054933838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143.33066398674427</v>
      </c>
      <c r="U199" s="55">
        <f t="shared" ca="1" si="46"/>
        <v>200.9532923750233</v>
      </c>
      <c r="V199" s="55">
        <f t="shared" ca="1" si="47"/>
        <v>0</v>
      </c>
      <c r="W199" s="55">
        <f t="shared" ca="1" si="52"/>
        <v>-141.15224920380376</v>
      </c>
      <c r="X199" s="55">
        <f t="shared" ca="1" si="53"/>
        <v>38.987946871863677</v>
      </c>
      <c r="Y199" s="55">
        <f t="shared" ca="1" si="54"/>
        <v>-5.3426133755178435</v>
      </c>
      <c r="Z199">
        <f t="shared" ca="1" si="48"/>
        <v>108.57524247049831</v>
      </c>
      <c r="AA199">
        <f t="shared" ca="1" si="55"/>
        <v>401.58841767782474</v>
      </c>
      <c r="AB199">
        <f t="shared" ca="1" si="49"/>
        <v>0</v>
      </c>
      <c r="AC199">
        <f t="shared" ca="1" si="50"/>
        <v>0.99998629673187456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135.38774247815579</v>
      </c>
      <c r="U200" s="55">
        <f t="shared" ca="1" si="46"/>
        <v>209.15502881222631</v>
      </c>
      <c r="V200" s="55">
        <f t="shared" ca="1" si="47"/>
        <v>0</v>
      </c>
      <c r="W200" s="55">
        <f t="shared" ca="1" si="52"/>
        <v>-141.15224920380376</v>
      </c>
      <c r="X200" s="55">
        <f t="shared" ca="1" si="53"/>
        <v>39.236543827954165</v>
      </c>
      <c r="Y200" s="55">
        <f t="shared" ca="1" si="54"/>
        <v>-5.3323954029938134</v>
      </c>
      <c r="Z200">
        <f t="shared" ca="1" si="48"/>
        <v>105.32525035402958</v>
      </c>
      <c r="AA200">
        <f t="shared" ca="1" si="55"/>
        <v>401.58841767782474</v>
      </c>
      <c r="AB200">
        <f t="shared" ca="1" si="49"/>
        <v>0</v>
      </c>
      <c r="AC200">
        <f t="shared" ca="1" si="50"/>
        <v>0.99998993255786062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127.78628680718464</v>
      </c>
      <c r="U201" s="55">
        <f t="shared" ca="1" si="46"/>
        <v>216.99810780564121</v>
      </c>
      <c r="V201" s="55">
        <f t="shared" ca="1" si="47"/>
        <v>0</v>
      </c>
      <c r="W201" s="55">
        <f t="shared" ca="1" si="52"/>
        <v>-141.15224920380376</v>
      </c>
      <c r="X201" s="55">
        <f t="shared" ca="1" si="53"/>
        <v>39.468206946424907</v>
      </c>
      <c r="Y201" s="55">
        <f t="shared" ca="1" si="54"/>
        <v>-5.3224351990208145</v>
      </c>
      <c r="Z201">
        <f t="shared" ca="1" si="48"/>
        <v>100.22525897586802</v>
      </c>
      <c r="AA201">
        <f t="shared" ca="1" si="55"/>
        <v>401.58841767782474</v>
      </c>
      <c r="AB201">
        <f t="shared" ca="1" si="49"/>
        <v>0</v>
      </c>
      <c r="AC201">
        <f t="shared" ca="1" si="50"/>
        <v>0.99999255900168138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120.77874770085691</v>
      </c>
      <c r="U202" s="55">
        <f t="shared" ca="1" si="46"/>
        <v>224.22792207863577</v>
      </c>
      <c r="V202" s="55">
        <f t="shared" ca="1" si="47"/>
        <v>0</v>
      </c>
      <c r="W202" s="55">
        <f t="shared" ca="1" si="52"/>
        <v>-141.15224920380376</v>
      </c>
      <c r="X202" s="55">
        <f t="shared" ca="1" si="53"/>
        <v>39.680970992056515</v>
      </c>
      <c r="Y202" s="55">
        <f t="shared" ca="1" si="54"/>
        <v>-5.3129240779855831</v>
      </c>
      <c r="Z202">
        <f t="shared" ca="1" si="48"/>
        <v>96.200267559513449</v>
      </c>
      <c r="AA202">
        <f t="shared" ca="1" si="55"/>
        <v>401.58841767782474</v>
      </c>
      <c r="AB202">
        <f t="shared" ca="1" si="49"/>
        <v>0</v>
      </c>
      <c r="AC202">
        <f t="shared" ca="1" si="50"/>
        <v>0.99999441409724554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113.93890724178712</v>
      </c>
      <c r="U203" s="55">
        <f t="shared" ca="1" si="46"/>
        <v>231.27525655907834</v>
      </c>
      <c r="V203" s="55">
        <f t="shared" ca="1" si="47"/>
        <v>0</v>
      </c>
      <c r="W203" s="55">
        <f t="shared" ca="1" si="52"/>
        <v>-141.15224920380376</v>
      </c>
      <c r="X203" s="55">
        <f t="shared" ca="1" si="53"/>
        <v>39.879028766847036</v>
      </c>
      <c r="Y203" s="55">
        <f t="shared" ca="1" si="54"/>
        <v>-5.3034878314033254</v>
      </c>
      <c r="Z203">
        <f t="shared" ca="1" si="48"/>
        <v>89.175275341506861</v>
      </c>
      <c r="AA203">
        <f t="shared" ca="1" si="55"/>
        <v>401.58841767782474</v>
      </c>
      <c r="AB203">
        <f t="shared" ca="1" si="49"/>
        <v>0</v>
      </c>
      <c r="AC203">
        <f t="shared" ca="1" si="50"/>
        <v>0.99999581467918064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107.42450683603003</v>
      </c>
      <c r="U204" s="55">
        <f t="shared" ca="1" si="46"/>
        <v>237.99068274849469</v>
      </c>
      <c r="V204" s="55">
        <f t="shared" ca="1" si="47"/>
        <v>0</v>
      </c>
      <c r="W204" s="55">
        <f t="shared" ca="1" si="52"/>
        <v>-141.15224920380376</v>
      </c>
      <c r="X204" s="55">
        <f t="shared" ca="1" si="53"/>
        <v>40.070802713357779</v>
      </c>
      <c r="Y204" s="55">
        <f t="shared" ca="1" si="54"/>
        <v>-5.294235994254799</v>
      </c>
      <c r="Z204">
        <f t="shared" ca="1" si="48"/>
        <v>87.100281909318866</v>
      </c>
      <c r="AA204">
        <f t="shared" ca="1" si="55"/>
        <v>401.58841767782474</v>
      </c>
      <c r="AB204">
        <f t="shared" ca="1" si="49"/>
        <v>0</v>
      </c>
      <c r="AC204">
        <f t="shared" ca="1" si="50"/>
        <v>0.99999685312578868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101.02638065370913</v>
      </c>
      <c r="U205" s="55">
        <f t="shared" ca="1" si="46"/>
        <v>244.59241347231381</v>
      </c>
      <c r="V205" s="55">
        <f t="shared" ca="1" si="47"/>
        <v>0</v>
      </c>
      <c r="W205" s="55">
        <f t="shared" ca="1" si="52"/>
        <v>-141.15224920380376</v>
      </c>
      <c r="X205" s="55">
        <f t="shared" ca="1" si="53"/>
        <v>40.265133797216649</v>
      </c>
      <c r="Y205" s="55">
        <f t="shared" ca="1" si="54"/>
        <v>-5.2849625366154616</v>
      </c>
      <c r="Z205">
        <f t="shared" ca="1" si="48"/>
        <v>86.675287370511569</v>
      </c>
      <c r="AA205">
        <f t="shared" ca="1" si="55"/>
        <v>401.58841767782474</v>
      </c>
      <c r="AB205">
        <f t="shared" ca="1" si="49"/>
        <v>0</v>
      </c>
      <c r="AC205">
        <f t="shared" ca="1" si="50"/>
        <v>0.99999764962659543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94.702343648576147</v>
      </c>
      <c r="U206" s="55">
        <f t="shared" ca="1" si="46"/>
        <v>251.14170408870402</v>
      </c>
      <c r="V206" s="55">
        <f t="shared" ca="1" si="47"/>
        <v>0</v>
      </c>
      <c r="W206" s="55">
        <f t="shared" ca="1" si="52"/>
        <v>-141.15224920380376</v>
      </c>
      <c r="X206" s="55">
        <f t="shared" ca="1" si="53"/>
        <v>40.481004534854449</v>
      </c>
      <c r="Y206" s="55">
        <f t="shared" ca="1" si="54"/>
        <v>-5.2755796629960363</v>
      </c>
      <c r="Z206">
        <f t="shared" ca="1" si="48"/>
        <v>93.557747692586673</v>
      </c>
      <c r="AA206">
        <f t="shared" ca="1" si="55"/>
        <v>401.58841767782474</v>
      </c>
      <c r="AB206">
        <f t="shared" ca="1" si="49"/>
        <v>0</v>
      </c>
      <c r="AC206">
        <f t="shared" ca="1" si="50"/>
        <v>0.99999826390883673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88.941985514920589</v>
      </c>
      <c r="U207" s="55">
        <f t="shared" ca="1" si="46"/>
        <v>257.12320949367734</v>
      </c>
      <c r="V207" s="55">
        <f t="shared" ca="1" si="47"/>
        <v>0</v>
      </c>
      <c r="W207" s="55">
        <f t="shared" ca="1" si="52"/>
        <v>-141.15224920380376</v>
      </c>
      <c r="X207" s="55">
        <f t="shared" ca="1" si="53"/>
        <v>40.693133354180219</v>
      </c>
      <c r="Y207" s="55">
        <f t="shared" ca="1" si="54"/>
        <v>-5.2665612110040465</v>
      </c>
      <c r="Z207">
        <f t="shared" ca="1" si="48"/>
        <v>94.982750288826125</v>
      </c>
      <c r="AA207">
        <f t="shared" ca="1" si="55"/>
        <v>401.58841767782474</v>
      </c>
      <c r="AB207">
        <f t="shared" ca="1" si="49"/>
        <v>0</v>
      </c>
      <c r="AC207">
        <f t="shared" ca="1" si="50"/>
        <v>0.99999870168251037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83.305546196150488</v>
      </c>
      <c r="U208" s="55">
        <f t="shared" ca="1" si="46"/>
        <v>262.99166917509746</v>
      </c>
      <c r="V208" s="55">
        <f t="shared" ca="1" si="47"/>
        <v>0</v>
      </c>
      <c r="W208" s="55">
        <f t="shared" ca="1" si="52"/>
        <v>-141.15224920380376</v>
      </c>
      <c r="X208" s="55">
        <f t="shared" ca="1" si="53"/>
        <v>40.91605484457677</v>
      </c>
      <c r="Y208" s="55">
        <f t="shared" ca="1" si="54"/>
        <v>-5.2574623387505826</v>
      </c>
      <c r="Z208">
        <f t="shared" ca="1" si="48"/>
        <v>97.132751952449325</v>
      </c>
      <c r="AA208">
        <f t="shared" ca="1" si="55"/>
        <v>401.58841767782474</v>
      </c>
      <c r="AB208">
        <f t="shared" ca="1" si="49"/>
        <v>0</v>
      </c>
      <c r="AC208">
        <f t="shared" ca="1" si="50"/>
        <v>0.99999903856802597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77.849339387570623</v>
      </c>
      <c r="U209" s="55">
        <f t="shared" ca="1" si="46"/>
        <v>268.68430802274804</v>
      </c>
      <c r="V209" s="55">
        <f t="shared" ca="1" si="47"/>
        <v>0</v>
      </c>
      <c r="W209" s="55">
        <f t="shared" ca="1" si="52"/>
        <v>-141.15224920380376</v>
      </c>
      <c r="X209" s="55">
        <f t="shared" ca="1" si="53"/>
        <v>41.143341525953339</v>
      </c>
      <c r="Y209" s="55">
        <f t="shared" ca="1" si="54"/>
        <v>-5.2483169810564352</v>
      </c>
      <c r="Z209">
        <f t="shared" ca="1" si="48"/>
        <v>96.907753153372411</v>
      </c>
      <c r="AA209">
        <f t="shared" ca="1" si="55"/>
        <v>401.58841767782474</v>
      </c>
      <c r="AB209">
        <f t="shared" ca="1" si="49"/>
        <v>0</v>
      </c>
      <c r="AC209">
        <f t="shared" ca="1" si="50"/>
        <v>0.99999929388682329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72.918492447209616</v>
      </c>
      <c r="U210" s="55">
        <f t="shared" ref="U210:U273" ca="1" si="64">VLOOKUP(S210,ModelOutputs,7,FALSE)</f>
        <v>273.84410980446449</v>
      </c>
      <c r="V210" s="55">
        <f t="shared" ref="V210:V273" ca="1" si="65">VLOOKUP(S210,ModelOutputs,6,FALSE)</f>
        <v>0</v>
      </c>
      <c r="W210" s="55">
        <f t="shared" ca="1" si="52"/>
        <v>-141.15224920380376</v>
      </c>
      <c r="X210" s="55">
        <f t="shared" ca="1" si="53"/>
        <v>41.363491119884017</v>
      </c>
      <c r="Y210" s="55">
        <f t="shared" ca="1" si="54"/>
        <v>-5.2395117336316677</v>
      </c>
      <c r="Z210">
        <f t="shared" ref="Z210:Z273" ca="1" si="66">VLOOKUP(S210,ModelOutputs,10,FALSE)*AWC</f>
        <v>96.757754061855792</v>
      </c>
      <c r="AA210">
        <f t="shared" ca="1" si="55"/>
        <v>401.58841767782474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0.99999947544679846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68.126012001583533</v>
      </c>
      <c r="U211" s="55">
        <f t="shared" ca="1" si="64"/>
        <v>278.86632208958457</v>
      </c>
      <c r="V211" s="55">
        <f t="shared" ca="1" si="65"/>
        <v>0</v>
      </c>
      <c r="W211" s="55">
        <f t="shared" ref="W211:W274" ca="1" si="70">-VLOOKUP(S211,ModelOutputs,9,FALSE)+W210</f>
        <v>-141.15224920380376</v>
      </c>
      <c r="X211" s="55">
        <f t="shared" ref="X211:X274" ca="1" si="71">VLOOKUP(S211,ModelOutputs,5,FALSE)+X210</f>
        <v>41.584318017067957</v>
      </c>
      <c r="Y211" s="55">
        <f t="shared" ref="Y211:Y274" ca="1" si="72">VLOOKUP(S211,ModelOutputs,4,FALSE)+Y210</f>
        <v>-5.2306067913216197</v>
      </c>
      <c r="Z211">
        <f t="shared" ca="1" si="66"/>
        <v>94.33197563379062</v>
      </c>
      <c r="AA211">
        <f t="shared" ref="AA211:AA274" ca="1" si="73">VLOOKUP(S211,ModelOutputs,11,FALSE)+AA210</f>
        <v>401.58841767782474</v>
      </c>
      <c r="AB211">
        <f t="shared" ca="1" si="67"/>
        <v>0</v>
      </c>
      <c r="AC211">
        <f t="shared" ca="1" si="68"/>
        <v>0.99999961462546816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63.606993986453205</v>
      </c>
      <c r="U212" s="55">
        <f t="shared" ca="1" si="64"/>
        <v>283.60535946481855</v>
      </c>
      <c r="V212" s="55">
        <f t="shared" ca="1" si="65"/>
        <v>0</v>
      </c>
      <c r="W212" s="55">
        <f t="shared" ca="1" si="70"/>
        <v>-141.15224920380376</v>
      </c>
      <c r="X212" s="55">
        <f t="shared" ca="1" si="71"/>
        <v>41.795488666162306</v>
      </c>
      <c r="Y212" s="55">
        <f t="shared" ca="1" si="72"/>
        <v>-5.2217580803123322</v>
      </c>
      <c r="Z212">
        <f t="shared" ca="1" si="66"/>
        <v>89.481976158996133</v>
      </c>
      <c r="AA212">
        <f t="shared" ca="1" si="73"/>
        <v>401.58841767782474</v>
      </c>
      <c r="AB212">
        <f t="shared" ca="1" si="67"/>
        <v>0</v>
      </c>
      <c r="AC212">
        <f t="shared" ca="1" si="68"/>
        <v>0.9999997177728287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59.42815874884802</v>
      </c>
      <c r="U213" s="55">
        <f t="shared" ca="1" si="64"/>
        <v>288.00418785956441</v>
      </c>
      <c r="V213" s="55">
        <f t="shared" ca="1" si="65"/>
        <v>0</v>
      </c>
      <c r="W213" s="55">
        <f t="shared" ca="1" si="70"/>
        <v>-141.15224920380376</v>
      </c>
      <c r="X213" s="55">
        <f t="shared" ca="1" si="71"/>
        <v>42.006768666763129</v>
      </c>
      <c r="Y213" s="55">
        <f t="shared" ca="1" si="72"/>
        <v>-5.2130449237724772</v>
      </c>
      <c r="Z213">
        <f t="shared" ca="1" si="66"/>
        <v>89.756976619370477</v>
      </c>
      <c r="AA213">
        <f t="shared" ca="1" si="73"/>
        <v>401.58841767782474</v>
      </c>
      <c r="AB213">
        <f t="shared" ca="1" si="67"/>
        <v>0</v>
      </c>
      <c r="AC213">
        <f t="shared" ca="1" si="68"/>
        <v>0.99999979311551845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55.648017635326291</v>
      </c>
      <c r="U214" s="55">
        <f t="shared" ca="1" si="64"/>
        <v>291.99662168120773</v>
      </c>
      <c r="V214" s="55">
        <f t="shared" ca="1" si="65"/>
        <v>0</v>
      </c>
      <c r="W214" s="55">
        <f t="shared" ca="1" si="70"/>
        <v>-141.15224920380376</v>
      </c>
      <c r="X214" s="55">
        <f t="shared" ca="1" si="71"/>
        <v>42.210599292261833</v>
      </c>
      <c r="Y214" s="55">
        <f t="shared" ca="1" si="72"/>
        <v>-5.2045828411495956</v>
      </c>
      <c r="Z214">
        <f t="shared" ca="1" si="66"/>
        <v>88.243884830021429</v>
      </c>
      <c r="AA214">
        <f t="shared" ca="1" si="73"/>
        <v>401.58841767782474</v>
      </c>
      <c r="AB214">
        <f t="shared" ca="1" si="67"/>
        <v>0</v>
      </c>
      <c r="AC214">
        <f t="shared" ca="1" si="68"/>
        <v>0.9739025680133645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52.170675078257972</v>
      </c>
      <c r="U215" s="55">
        <f t="shared" ca="1" si="64"/>
        <v>295.68300073626085</v>
      </c>
      <c r="V215" s="55">
        <f t="shared" ca="1" si="65"/>
        <v>0</v>
      </c>
      <c r="W215" s="55">
        <f t="shared" ca="1" si="70"/>
        <v>-141.15224920380376</v>
      </c>
      <c r="X215" s="55">
        <f t="shared" ca="1" si="71"/>
        <v>42.411313751409217</v>
      </c>
      <c r="Y215" s="55">
        <f t="shared" ca="1" si="72"/>
        <v>-5.1962608023121737</v>
      </c>
      <c r="Z215">
        <f t="shared" ca="1" si="66"/>
        <v>87.226776806265661</v>
      </c>
      <c r="AA215">
        <f t="shared" ca="1" si="73"/>
        <v>401.58841767782474</v>
      </c>
      <c r="AB215">
        <f t="shared" ca="1" si="67"/>
        <v>0</v>
      </c>
      <c r="AC215">
        <f t="shared" ca="1" si="68"/>
        <v>0.94233063249411431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48.841075710704402</v>
      </c>
      <c r="U216" s="55">
        <f t="shared" ca="1" si="64"/>
        <v>299.21846011958354</v>
      </c>
      <c r="V216" s="55">
        <f t="shared" ca="1" si="65"/>
        <v>0</v>
      </c>
      <c r="W216" s="55">
        <f t="shared" ca="1" si="70"/>
        <v>-141.15224920380376</v>
      </c>
      <c r="X216" s="55">
        <f t="shared" ca="1" si="71"/>
        <v>42.608760983496396</v>
      </c>
      <c r="Y216" s="55">
        <f t="shared" ca="1" si="72"/>
        <v>-5.1878480186302358</v>
      </c>
      <c r="Z216">
        <f t="shared" ca="1" si="66"/>
        <v>83.087566791908742</v>
      </c>
      <c r="AA216">
        <f t="shared" ca="1" si="73"/>
        <v>401.58841767782474</v>
      </c>
      <c r="AB216">
        <f t="shared" ca="1" si="67"/>
        <v>0</v>
      </c>
      <c r="AC216">
        <f t="shared" ca="1" si="68"/>
        <v>0.90959674351201036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45.693846289556241</v>
      </c>
      <c r="U217" s="55">
        <f t="shared" ca="1" si="64"/>
        <v>302.58153422841093</v>
      </c>
      <c r="V217" s="55">
        <f t="shared" ca="1" si="65"/>
        <v>0</v>
      </c>
      <c r="W217" s="55">
        <f t="shared" ca="1" si="70"/>
        <v>-141.15224920380376</v>
      </c>
      <c r="X217" s="55">
        <f t="shared" ca="1" si="71"/>
        <v>42.816116112976012</v>
      </c>
      <c r="Y217" s="55">
        <f t="shared" ca="1" si="72"/>
        <v>-5.179358460430624</v>
      </c>
      <c r="Z217">
        <f t="shared" ca="1" si="66"/>
        <v>85.044076950455548</v>
      </c>
      <c r="AA217">
        <f t="shared" ca="1" si="73"/>
        <v>401.58841767782474</v>
      </c>
      <c r="AB217">
        <f t="shared" ca="1" si="67"/>
        <v>0</v>
      </c>
      <c r="AC217">
        <f t="shared" ca="1" si="68"/>
        <v>0.87576729840778733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42.92064366463125</v>
      </c>
      <c r="U218" s="55">
        <f t="shared" ca="1" si="64"/>
        <v>305.55591712032373</v>
      </c>
      <c r="V218" s="55">
        <f t="shared" ca="1" si="65"/>
        <v>0</v>
      </c>
      <c r="W218" s="55">
        <f t="shared" ca="1" si="70"/>
        <v>-141.15224920380376</v>
      </c>
      <c r="X218" s="55">
        <f t="shared" ca="1" si="71"/>
        <v>43.009141001674124</v>
      </c>
      <c r="Y218" s="55">
        <f t="shared" ca="1" si="72"/>
        <v>-5.1712030821409289</v>
      </c>
      <c r="Z218">
        <f t="shared" ca="1" si="66"/>
        <v>81.418862945279514</v>
      </c>
      <c r="AA218">
        <f t="shared" ca="1" si="73"/>
        <v>401.58841767782474</v>
      </c>
      <c r="AB218">
        <f t="shared" ca="1" si="67"/>
        <v>0</v>
      </c>
      <c r="AC218">
        <f t="shared" ca="1" si="68"/>
        <v>0.84319940277751981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40.475396730159403</v>
      </c>
      <c r="U219" s="55">
        <f t="shared" ca="1" si="64"/>
        <v>308.18897773736592</v>
      </c>
      <c r="V219" s="55">
        <f t="shared" ca="1" si="65"/>
        <v>0</v>
      </c>
      <c r="W219" s="55">
        <f t="shared" ca="1" si="70"/>
        <v>-141.15224920380376</v>
      </c>
      <c r="X219" s="55">
        <f t="shared" ca="1" si="71"/>
        <v>43.189112509709091</v>
      </c>
      <c r="Y219" s="55">
        <f t="shared" ca="1" si="72"/>
        <v>-5.1633609076055524</v>
      </c>
      <c r="Z219">
        <f t="shared" ca="1" si="66"/>
        <v>77.907116898548779</v>
      </c>
      <c r="AA219">
        <f t="shared" ca="1" si="73"/>
        <v>401.58841767782474</v>
      </c>
      <c r="AB219">
        <f t="shared" ca="1" si="67"/>
        <v>0</v>
      </c>
      <c r="AC219">
        <f t="shared" ca="1" si="68"/>
        <v>0.81185985795084015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38.23819304587461</v>
      </c>
      <c r="U220" s="55">
        <f t="shared" ca="1" si="64"/>
        <v>310.60395347532864</v>
      </c>
      <c r="V220" s="55">
        <f t="shared" ca="1" si="65"/>
        <v>0</v>
      </c>
      <c r="W220" s="55">
        <f t="shared" ca="1" si="70"/>
        <v>-141.15224920380376</v>
      </c>
      <c r="X220" s="55">
        <f t="shared" ca="1" si="71"/>
        <v>43.359162649918844</v>
      </c>
      <c r="Y220" s="55">
        <f t="shared" ca="1" si="72"/>
        <v>-5.1556389941373784</v>
      </c>
      <c r="Z220">
        <f t="shared" ca="1" si="66"/>
        <v>73.034330886704197</v>
      </c>
      <c r="AA220">
        <f t="shared" ca="1" si="73"/>
        <v>401.58841767782474</v>
      </c>
      <c r="AB220">
        <f t="shared" ca="1" si="67"/>
        <v>0</v>
      </c>
      <c r="AC220">
        <f t="shared" ca="1" si="68"/>
        <v>0.78061990913526247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36.103683784746295</v>
      </c>
      <c r="U221" s="55">
        <f t="shared" ca="1" si="64"/>
        <v>312.9177748356239</v>
      </c>
      <c r="V221" s="55">
        <f t="shared" ca="1" si="65"/>
        <v>0</v>
      </c>
      <c r="W221" s="55">
        <f t="shared" ca="1" si="70"/>
        <v>-141.15224920380376</v>
      </c>
      <c r="X221" s="55">
        <f t="shared" ca="1" si="71"/>
        <v>43.530632148214302</v>
      </c>
      <c r="Y221" s="55">
        <f t="shared" ca="1" si="72"/>
        <v>-5.1477963932658835</v>
      </c>
      <c r="Z221">
        <f t="shared" ca="1" si="66"/>
        <v>70.611486112807484</v>
      </c>
      <c r="AA221">
        <f t="shared" ca="1" si="73"/>
        <v>401.58841767782474</v>
      </c>
      <c r="AB221">
        <f t="shared" ca="1" si="67"/>
        <v>0</v>
      </c>
      <c r="AC221">
        <f t="shared" ca="1" si="68"/>
        <v>0.74798561616426018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34.153006216413829</v>
      </c>
      <c r="U222" s="55">
        <f t="shared" ca="1" si="64"/>
        <v>315.04729463241534</v>
      </c>
      <c r="V222" s="55">
        <f t="shared" ca="1" si="65"/>
        <v>0</v>
      </c>
      <c r="W222" s="55">
        <f t="shared" ca="1" si="70"/>
        <v>-141.15224920380376</v>
      </c>
      <c r="X222" s="55">
        <f t="shared" ca="1" si="71"/>
        <v>43.701702276703244</v>
      </c>
      <c r="Y222" s="55">
        <f t="shared" ca="1" si="72"/>
        <v>-5.140024293295852</v>
      </c>
      <c r="Z222">
        <f t="shared" ca="1" si="66"/>
        <v>69.877068958271593</v>
      </c>
      <c r="AA222">
        <f t="shared" ca="1" si="73"/>
        <v>401.58841767782474</v>
      </c>
      <c r="AB222">
        <f t="shared" ca="1" si="67"/>
        <v>0</v>
      </c>
      <c r="AC222">
        <f t="shared" ca="1" si="68"/>
        <v>0.71511893250068748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32.353665184604438</v>
      </c>
      <c r="U223" s="55">
        <f t="shared" ca="1" si="64"/>
        <v>317.03315859952932</v>
      </c>
      <c r="V223" s="55">
        <f t="shared" ca="1" si="65"/>
        <v>0</v>
      </c>
      <c r="W223" s="55">
        <f t="shared" ca="1" si="70"/>
        <v>-141.15224920380376</v>
      </c>
      <c r="X223" s="55">
        <f t="shared" ca="1" si="71"/>
        <v>43.880438575475026</v>
      </c>
      <c r="Y223" s="55">
        <f t="shared" ca="1" si="72"/>
        <v>-5.1322376567630501</v>
      </c>
      <c r="Z223">
        <f t="shared" ca="1" si="66"/>
        <v>72.107682865412841</v>
      </c>
      <c r="AA223">
        <f t="shared" ca="1" si="73"/>
        <v>401.58841767782474</v>
      </c>
      <c r="AB223">
        <f t="shared" ca="1" si="67"/>
        <v>0</v>
      </c>
      <c r="AC223">
        <f t="shared" ca="1" si="68"/>
        <v>0.68148867941866809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30.697234657121761</v>
      </c>
      <c r="U224" s="55">
        <f t="shared" ca="1" si="64"/>
        <v>318.87779793658387</v>
      </c>
      <c r="V224" s="55">
        <f t="shared" ca="1" si="65"/>
        <v>0</v>
      </c>
      <c r="W224" s="55">
        <f t="shared" ca="1" si="70"/>
        <v>-141.15224920380376</v>
      </c>
      <c r="X224" s="55">
        <f t="shared" ca="1" si="71"/>
        <v>44.060848310025762</v>
      </c>
      <c r="Y224" s="55">
        <f t="shared" ca="1" si="72"/>
        <v>-5.1244385817419014</v>
      </c>
      <c r="Z224">
        <f t="shared" ca="1" si="66"/>
        <v>71.245009811699234</v>
      </c>
      <c r="AA224">
        <f t="shared" ca="1" si="73"/>
        <v>401.58841767782474</v>
      </c>
      <c r="AB224">
        <f t="shared" ca="1" si="67"/>
        <v>0</v>
      </c>
      <c r="AC224">
        <f t="shared" ca="1" si="68"/>
        <v>0.6470948569182019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29.231115763164411</v>
      </c>
      <c r="U225" s="55">
        <f t="shared" ca="1" si="64"/>
        <v>320.52634049378918</v>
      </c>
      <c r="V225" s="55">
        <f t="shared" ca="1" si="65"/>
        <v>0</v>
      </c>
      <c r="W225" s="55">
        <f t="shared" ca="1" si="70"/>
        <v>-141.15224920380376</v>
      </c>
      <c r="X225" s="55">
        <f t="shared" ca="1" si="71"/>
        <v>44.235664156700587</v>
      </c>
      <c r="Y225" s="55">
        <f t="shared" ca="1" si="72"/>
        <v>-5.1168307651687748</v>
      </c>
      <c r="Z225">
        <f t="shared" ca="1" si="66"/>
        <v>69.518328425307203</v>
      </c>
      <c r="AA225">
        <f t="shared" ca="1" si="73"/>
        <v>401.58841767782474</v>
      </c>
      <c r="AB225">
        <f t="shared" ca="1" si="67"/>
        <v>0</v>
      </c>
      <c r="AC225">
        <f t="shared" ca="1" si="68"/>
        <v>0.61319901447324443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27.839380260290561</v>
      </c>
      <c r="U226" s="55">
        <f t="shared" ca="1" si="64"/>
        <v>322.10684485477185</v>
      </c>
      <c r="V226" s="55">
        <f t="shared" ca="1" si="65"/>
        <v>0</v>
      </c>
      <c r="W226" s="55">
        <f t="shared" ca="1" si="70"/>
        <v>-141.15224920380376</v>
      </c>
      <c r="X226" s="55">
        <f t="shared" ca="1" si="71"/>
        <v>44.416607145954451</v>
      </c>
      <c r="Y226" s="55">
        <f t="shared" ca="1" si="72"/>
        <v>-5.1090048963138139</v>
      </c>
      <c r="Z226">
        <f t="shared" ca="1" si="66"/>
        <v>68.070684636953146</v>
      </c>
      <c r="AA226">
        <f t="shared" ca="1" si="73"/>
        <v>401.58841767782474</v>
      </c>
      <c r="AB226">
        <f t="shared" ca="1" si="67"/>
        <v>0</v>
      </c>
      <c r="AC226">
        <f t="shared" ca="1" si="68"/>
        <v>0.57724485446551754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26.594902548828472</v>
      </c>
      <c r="U227" s="55">
        <f t="shared" ca="1" si="64"/>
        <v>323.53576944046512</v>
      </c>
      <c r="V227" s="55">
        <f t="shared" ca="1" si="65"/>
        <v>0</v>
      </c>
      <c r="W227" s="55">
        <f t="shared" ca="1" si="70"/>
        <v>-141.15224920380376</v>
      </c>
      <c r="X227" s="55">
        <f t="shared" ca="1" si="71"/>
        <v>44.593318714240105</v>
      </c>
      <c r="Y227" s="55">
        <f t="shared" ca="1" si="72"/>
        <v>-5.1012695903682905</v>
      </c>
      <c r="Z227">
        <f t="shared" ca="1" si="66"/>
        <v>65.571156446182542</v>
      </c>
      <c r="AA227">
        <f t="shared" ca="1" si="73"/>
        <v>401.58841767782474</v>
      </c>
      <c r="AB227">
        <f t="shared" ca="1" si="67"/>
        <v>0</v>
      </c>
      <c r="AC227">
        <f t="shared" ca="1" si="68"/>
        <v>0.54112470110595479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25.531614844221671</v>
      </c>
      <c r="U228" s="55">
        <f t="shared" ca="1" si="64"/>
        <v>324.7798079259494</v>
      </c>
      <c r="V228" s="55">
        <f t="shared" ca="1" si="65"/>
        <v>0</v>
      </c>
      <c r="W228" s="55">
        <f t="shared" ca="1" si="70"/>
        <v>-141.15224920380376</v>
      </c>
      <c r="X228" s="55">
        <f t="shared" ca="1" si="71"/>
        <v>44.76663707441481</v>
      </c>
      <c r="Y228" s="55">
        <f t="shared" ca="1" si="72"/>
        <v>-5.0938371696655089</v>
      </c>
      <c r="Z228">
        <f t="shared" ca="1" si="66"/>
        <v>66.45388584020229</v>
      </c>
      <c r="AA228">
        <f t="shared" ca="1" si="73"/>
        <v>401.58841767782474</v>
      </c>
      <c r="AB228">
        <f t="shared" ca="1" si="67"/>
        <v>0</v>
      </c>
      <c r="AC228">
        <f t="shared" ca="1" si="68"/>
        <v>0.50619969987961277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24.606250732220939</v>
      </c>
      <c r="U229" s="55">
        <f t="shared" ca="1" si="64"/>
        <v>325.8929286435872</v>
      </c>
      <c r="V229" s="55">
        <f t="shared" ca="1" si="65"/>
        <v>0</v>
      </c>
      <c r="W229" s="55">
        <f t="shared" ca="1" si="70"/>
        <v>-141.15224920380376</v>
      </c>
      <c r="X229" s="55">
        <f t="shared" ca="1" si="71"/>
        <v>44.947110973997816</v>
      </c>
      <c r="Y229" s="55">
        <f t="shared" ca="1" si="72"/>
        <v>-5.0865544636114493</v>
      </c>
      <c r="Z229">
        <f t="shared" ca="1" si="66"/>
        <v>70.688166961305129</v>
      </c>
      <c r="AA229">
        <f t="shared" ca="1" si="73"/>
        <v>401.58841767782474</v>
      </c>
      <c r="AB229">
        <f t="shared" ca="1" si="67"/>
        <v>0</v>
      </c>
      <c r="AC229">
        <f t="shared" ca="1" si="68"/>
        <v>0.47154028801620862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23.780394769838487</v>
      </c>
      <c r="U230" s="55">
        <f t="shared" ca="1" si="64"/>
        <v>326.9062300380113</v>
      </c>
      <c r="V230" s="55">
        <f t="shared" ca="1" si="65"/>
        <v>0</v>
      </c>
      <c r="W230" s="55">
        <f t="shared" ca="1" si="70"/>
        <v>-141.15224920380376</v>
      </c>
      <c r="X230" s="55">
        <f t="shared" ca="1" si="71"/>
        <v>45.127326201213293</v>
      </c>
      <c r="Y230" s="55">
        <f t="shared" ca="1" si="72"/>
        <v>-5.0793242587852721</v>
      </c>
      <c r="Z230">
        <f t="shared" ca="1" si="66"/>
        <v>69.751604393161486</v>
      </c>
      <c r="AA230">
        <f t="shared" ca="1" si="73"/>
        <v>401.58841767782474</v>
      </c>
      <c r="AB230">
        <f t="shared" ca="1" si="67"/>
        <v>0</v>
      </c>
      <c r="AC230">
        <f t="shared" ca="1" si="68"/>
        <v>0.43651569077876495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23.036660555620681</v>
      </c>
      <c r="U231" s="55">
        <f t="shared" ca="1" si="64"/>
        <v>327.84082825441396</v>
      </c>
      <c r="V231" s="55">
        <f t="shared" ca="1" si="65"/>
        <v>0</v>
      </c>
      <c r="W231" s="55">
        <f t="shared" ca="1" si="70"/>
        <v>-141.15224920380376</v>
      </c>
      <c r="X231" s="55">
        <f t="shared" ca="1" si="71"/>
        <v>45.310928801924689</v>
      </c>
      <c r="Y231" s="55">
        <f t="shared" ca="1" si="72"/>
        <v>-5.0720628573118125</v>
      </c>
      <c r="Z231">
        <f t="shared" ca="1" si="66"/>
        <v>69.385464625038281</v>
      </c>
      <c r="AA231">
        <f t="shared" ca="1" si="73"/>
        <v>401.58841767782474</v>
      </c>
      <c r="AB231">
        <f t="shared" ca="1" si="67"/>
        <v>0</v>
      </c>
      <c r="AC231">
        <f t="shared" ca="1" si="68"/>
        <v>0.40056153077103818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22.368892551899098</v>
      </c>
      <c r="U232" s="55">
        <f t="shared" ca="1" si="64"/>
        <v>328.69710311882136</v>
      </c>
      <c r="V232" s="55">
        <f t="shared" ca="1" si="65"/>
        <v>0</v>
      </c>
      <c r="W232" s="55">
        <f t="shared" ca="1" si="70"/>
        <v>-141.15224920380376</v>
      </c>
      <c r="X232" s="55">
        <f t="shared" ca="1" si="71"/>
        <v>45.492160409700439</v>
      </c>
      <c r="Y232" s="55">
        <f t="shared" ca="1" si="72"/>
        <v>-5.0647876044017526</v>
      </c>
      <c r="Z232">
        <f t="shared" ca="1" si="66"/>
        <v>66.402517748373725</v>
      </c>
      <c r="AA232">
        <f t="shared" ca="1" si="73"/>
        <v>401.58841767782474</v>
      </c>
      <c r="AB232">
        <f t="shared" ca="1" si="67"/>
        <v>0</v>
      </c>
      <c r="AC232">
        <f t="shared" ca="1" si="68"/>
        <v>0.36377740400413039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21.785787846365352</v>
      </c>
      <c r="U233" s="55">
        <f t="shared" ca="1" si="64"/>
        <v>329.4891813612814</v>
      </c>
      <c r="V233" s="55">
        <f t="shared" ca="1" si="65"/>
        <v>0</v>
      </c>
      <c r="W233" s="55">
        <f t="shared" ca="1" si="70"/>
        <v>-141.15224920380376</v>
      </c>
      <c r="X233" s="55">
        <f t="shared" ca="1" si="71"/>
        <v>45.693766464747618</v>
      </c>
      <c r="Y233" s="55">
        <f t="shared" ca="1" si="72"/>
        <v>-5.0574201225226467</v>
      </c>
      <c r="Z233">
        <f t="shared" ca="1" si="66"/>
        <v>73.063048362398334</v>
      </c>
      <c r="AA233">
        <f t="shared" ca="1" si="73"/>
        <v>401.58841767782474</v>
      </c>
      <c r="AB233">
        <f t="shared" ca="1" si="67"/>
        <v>0</v>
      </c>
      <c r="AC233">
        <f t="shared" ca="1" si="68"/>
        <v>0.32563213175216554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21.271905957583684</v>
      </c>
      <c r="U234" s="55">
        <f t="shared" ca="1" si="64"/>
        <v>330.21057553707749</v>
      </c>
      <c r="V234" s="55">
        <f t="shared" ca="1" si="65"/>
        <v>0</v>
      </c>
      <c r="W234" s="55">
        <f t="shared" ca="1" si="70"/>
        <v>-141.15224920380376</v>
      </c>
      <c r="X234" s="55">
        <f t="shared" ca="1" si="71"/>
        <v>45.893882850268206</v>
      </c>
      <c r="Y234" s="55">
        <f t="shared" ca="1" si="72"/>
        <v>-5.0500242210288047</v>
      </c>
      <c r="Z234">
        <f t="shared" ca="1" si="66"/>
        <v>70.345026061302818</v>
      </c>
      <c r="AA234">
        <f t="shared" ca="1" si="73"/>
        <v>401.58841767782474</v>
      </c>
      <c r="AB234">
        <f t="shared" ca="1" si="67"/>
        <v>0</v>
      </c>
      <c r="AC234">
        <f t="shared" ca="1" si="68"/>
        <v>0.2865240980595507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20.858784403299818</v>
      </c>
      <c r="U235" s="55">
        <f t="shared" ca="1" si="64"/>
        <v>330.85266837893568</v>
      </c>
      <c r="V235" s="55">
        <f t="shared" ca="1" si="65"/>
        <v>0</v>
      </c>
      <c r="W235" s="55">
        <f t="shared" ca="1" si="70"/>
        <v>-141.15224920380376</v>
      </c>
      <c r="X235" s="55">
        <f t="shared" ca="1" si="71"/>
        <v>46.11555390226895</v>
      </c>
      <c r="Y235" s="55">
        <f t="shared" ca="1" si="72"/>
        <v>-5.0427239854552237</v>
      </c>
      <c r="Z235">
        <f t="shared" ca="1" si="66"/>
        <v>79.196720530576727</v>
      </c>
      <c r="AA235">
        <f t="shared" ca="1" si="73"/>
        <v>401.58841767782474</v>
      </c>
      <c r="AB235">
        <f t="shared" ca="1" si="67"/>
        <v>0</v>
      </c>
      <c r="AC235">
        <f t="shared" ca="1" si="68"/>
        <v>0.24725007101509944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20.537059025703606</v>
      </c>
      <c r="U236" s="55">
        <f t="shared" ca="1" si="64"/>
        <v>331.41319680437726</v>
      </c>
      <c r="V236" s="55">
        <f t="shared" ca="1" si="65"/>
        <v>0</v>
      </c>
      <c r="W236" s="55">
        <f t="shared" ca="1" si="70"/>
        <v>-141.15224920380376</v>
      </c>
      <c r="X236" s="55">
        <f t="shared" ca="1" si="71"/>
        <v>46.347264875323283</v>
      </c>
      <c r="Y236" s="55">
        <f t="shared" ca="1" si="72"/>
        <v>-5.0356319106641791</v>
      </c>
      <c r="Z236">
        <f t="shared" ca="1" si="66"/>
        <v>84.466688541563784</v>
      </c>
      <c r="AA236">
        <f t="shared" ca="1" si="73"/>
        <v>401.58841767782474</v>
      </c>
      <c r="AB236">
        <f t="shared" ca="1" si="67"/>
        <v>0</v>
      </c>
      <c r="AC236">
        <f t="shared" ca="1" si="68"/>
        <v>0.20857362003725877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20.282673256201981</v>
      </c>
      <c r="U237" s="55">
        <f t="shared" ca="1" si="64"/>
        <v>331.91154910562392</v>
      </c>
      <c r="V237" s="55">
        <f t="shared" ca="1" si="65"/>
        <v>0</v>
      </c>
      <c r="W237" s="55">
        <f t="shared" ca="1" si="70"/>
        <v>-141.15224920380376</v>
      </c>
      <c r="X237" s="55">
        <f t="shared" ca="1" si="71"/>
        <v>46.584240205576876</v>
      </c>
      <c r="Y237" s="55">
        <f t="shared" ca="1" si="72"/>
        <v>-5.028640709172743</v>
      </c>
      <c r="Z237">
        <f t="shared" ca="1" si="66"/>
        <v>86.287717058511404</v>
      </c>
      <c r="AA237">
        <f t="shared" ca="1" si="73"/>
        <v>401.58841767782474</v>
      </c>
      <c r="AB237">
        <f t="shared" ca="1" si="67"/>
        <v>0</v>
      </c>
      <c r="AC237">
        <f t="shared" ca="1" si="68"/>
        <v>0.16979757304831644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20.099568791824758</v>
      </c>
      <c r="U238" s="55">
        <f t="shared" ca="1" si="64"/>
        <v>332.33470221346693</v>
      </c>
      <c r="V238" s="55">
        <f t="shared" ca="1" si="65"/>
        <v>0</v>
      </c>
      <c r="W238" s="55">
        <f t="shared" ca="1" si="70"/>
        <v>-141.15224920380376</v>
      </c>
      <c r="X238" s="55">
        <f t="shared" ca="1" si="71"/>
        <v>46.817653308524072</v>
      </c>
      <c r="Y238" s="55">
        <f t="shared" ca="1" si="72"/>
        <v>-5.0220051686541556</v>
      </c>
      <c r="Z238">
        <f t="shared" ca="1" si="66"/>
        <v>88.64913786094283</v>
      </c>
      <c r="AA238">
        <f t="shared" ca="1" si="73"/>
        <v>401.58841767782474</v>
      </c>
      <c r="AB238">
        <f t="shared" ca="1" si="67"/>
        <v>0</v>
      </c>
      <c r="AC238">
        <f t="shared" ca="1" si="68"/>
        <v>0.1327478569184708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19.958891688151194</v>
      </c>
      <c r="U239" s="55">
        <f t="shared" ca="1" si="64"/>
        <v>332.71006855522592</v>
      </c>
      <c r="V239" s="55">
        <f t="shared" ca="1" si="65"/>
        <v>0</v>
      </c>
      <c r="W239" s="55">
        <f t="shared" ca="1" si="70"/>
        <v>-141.15224920380376</v>
      </c>
      <c r="X239" s="55">
        <f t="shared" ca="1" si="71"/>
        <v>47.045834164004766</v>
      </c>
      <c r="Y239" s="55">
        <f t="shared" ca="1" si="72"/>
        <v>-5.0154967860494244</v>
      </c>
      <c r="Z239">
        <f t="shared" ca="1" si="66"/>
        <v>86.952594866445864</v>
      </c>
      <c r="AA239">
        <f t="shared" ca="1" si="73"/>
        <v>401.58841767782474</v>
      </c>
      <c r="AB239">
        <f t="shared" ca="1" si="67"/>
        <v>0</v>
      </c>
      <c r="AC239">
        <f t="shared" ca="1" si="68"/>
        <v>9.5864134140461243E-2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19.844264891185173</v>
      </c>
      <c r="U240" s="55">
        <f t="shared" ca="1" si="64"/>
        <v>333.05757636502534</v>
      </c>
      <c r="V240" s="55">
        <f t="shared" ca="1" si="65"/>
        <v>0</v>
      </c>
      <c r="W240" s="55">
        <f t="shared" ca="1" si="70"/>
        <v>-141.15224920380376</v>
      </c>
      <c r="X240" s="55">
        <f t="shared" ca="1" si="71"/>
        <v>47.272103547626607</v>
      </c>
      <c r="Y240" s="55">
        <f t="shared" ca="1" si="72"/>
        <v>-5.0088851568378612</v>
      </c>
      <c r="Z240">
        <f t="shared" ca="1" si="66"/>
        <v>82.887469304268038</v>
      </c>
      <c r="AA240">
        <f t="shared" ca="1" si="73"/>
        <v>401.58841767782474</v>
      </c>
      <c r="AB240">
        <f t="shared" ca="1" si="67"/>
        <v>0</v>
      </c>
      <c r="AC240">
        <f t="shared" ca="1" si="68"/>
        <v>5.7453272525558319E-2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19.770479911436411</v>
      </c>
      <c r="U241" s="55">
        <f t="shared" ca="1" si="64"/>
        <v>333.36341797304124</v>
      </c>
      <c r="V241" s="55">
        <f t="shared" ca="1" si="65"/>
        <v>0</v>
      </c>
      <c r="W241" s="55">
        <f t="shared" ca="1" si="70"/>
        <v>-141.15224920380376</v>
      </c>
      <c r="X241" s="55">
        <f t="shared" ca="1" si="71"/>
        <v>47.49769645224292</v>
      </c>
      <c r="Y241" s="55">
        <f t="shared" ca="1" si="72"/>
        <v>-5.0024214331870418</v>
      </c>
      <c r="Z241">
        <f t="shared" ca="1" si="66"/>
        <v>83.258274635887602</v>
      </c>
      <c r="AA241">
        <f t="shared" ca="1" si="73"/>
        <v>401.58841767782474</v>
      </c>
      <c r="AB241">
        <f t="shared" ca="1" si="67"/>
        <v>0</v>
      </c>
      <c r="AC241">
        <f t="shared" ca="1" si="68"/>
        <v>1.9341198943960691E-2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19.717945555717606</v>
      </c>
      <c r="U242" s="55">
        <f t="shared" ca="1" si="64"/>
        <v>333.64674945675426</v>
      </c>
      <c r="V242" s="55">
        <f t="shared" ca="1" si="65"/>
        <v>0</v>
      </c>
      <c r="W242" s="55">
        <f t="shared" ca="1" si="70"/>
        <v>-141.15224920380376</v>
      </c>
      <c r="X242" s="55">
        <f t="shared" ca="1" si="71"/>
        <v>47.721894327926044</v>
      </c>
      <c r="Y242" s="55">
        <f t="shared" ca="1" si="72"/>
        <v>-4.9958221808759449</v>
      </c>
      <c r="Z242">
        <f t="shared" ca="1" si="66"/>
        <v>78.884902974659823</v>
      </c>
      <c r="AA242">
        <f t="shared" ca="1" si="73"/>
        <v>401.58841767782474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19.693988206316789</v>
      </c>
      <c r="U243" s="55">
        <f t="shared" ca="1" si="64"/>
        <v>333.9056183744807</v>
      </c>
      <c r="V243" s="55">
        <f t="shared" ca="1" si="65"/>
        <v>0</v>
      </c>
      <c r="W243" s="55">
        <f t="shared" ca="1" si="70"/>
        <v>-141.15224920380376</v>
      </c>
      <c r="X243" s="55">
        <f t="shared" ca="1" si="71"/>
        <v>47.950109697031785</v>
      </c>
      <c r="Y243" s="55">
        <f t="shared" ca="1" si="72"/>
        <v>-4.989125981656068</v>
      </c>
      <c r="Z243">
        <f t="shared" ca="1" si="66"/>
        <v>77.291938962755111</v>
      </c>
      <c r="AA243">
        <f t="shared" ca="1" si="73"/>
        <v>401.58841767782474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19.695926357183215</v>
      </c>
      <c r="U244" s="55">
        <f t="shared" ca="1" si="64"/>
        <v>334.12889091605092</v>
      </c>
      <c r="V244" s="55">
        <f t="shared" ca="1" si="65"/>
        <v>0</v>
      </c>
      <c r="W244" s="55">
        <f t="shared" ca="1" si="70"/>
        <v>-141.15224920380376</v>
      </c>
      <c r="X244" s="55">
        <f t="shared" ca="1" si="71"/>
        <v>48.168844250936012</v>
      </c>
      <c r="Y244" s="55">
        <f t="shared" ca="1" si="72"/>
        <v>-4.9826498431236415</v>
      </c>
      <c r="Z244">
        <f t="shared" ca="1" si="66"/>
        <v>75.0640495324037</v>
      </c>
      <c r="AA244">
        <f t="shared" ca="1" si="73"/>
        <v>401.58841767782474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19.73432906747589</v>
      </c>
      <c r="U245" s="55">
        <f t="shared" ca="1" si="64"/>
        <v>334.32408194205493</v>
      </c>
      <c r="V245" s="55">
        <f t="shared" ca="1" si="65"/>
        <v>0</v>
      </c>
      <c r="W245" s="55">
        <f t="shared" ca="1" si="70"/>
        <v>-141.15224920380376</v>
      </c>
      <c r="X245" s="55">
        <f t="shared" ca="1" si="71"/>
        <v>48.396108238612626</v>
      </c>
      <c r="Y245" s="55">
        <f t="shared" ca="1" si="72"/>
        <v>-4.9763200945035706</v>
      </c>
      <c r="Z245">
        <f t="shared" ca="1" si="66"/>
        <v>79.061797040412316</v>
      </c>
      <c r="AA245">
        <f t="shared" ca="1" si="73"/>
        <v>401.58841767782474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19.794173603664277</v>
      </c>
      <c r="U246" s="55">
        <f t="shared" ca="1" si="64"/>
        <v>334.49377324094007</v>
      </c>
      <c r="V246" s="55">
        <f t="shared" ca="1" si="65"/>
        <v>0</v>
      </c>
      <c r="W246" s="55">
        <f t="shared" ca="1" si="70"/>
        <v>-141.15224920380376</v>
      </c>
      <c r="X246" s="55">
        <f t="shared" ca="1" si="71"/>
        <v>48.61949092912333</v>
      </c>
      <c r="Y246" s="55">
        <f t="shared" ca="1" si="72"/>
        <v>-4.9701669499407481</v>
      </c>
      <c r="Z246">
        <f t="shared" ca="1" si="66"/>
        <v>78.626832214809752</v>
      </c>
      <c r="AA246">
        <f t="shared" ca="1" si="73"/>
        <v>401.58841767782474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19.892363000887343</v>
      </c>
      <c r="U247" s="55">
        <f t="shared" ca="1" si="64"/>
        <v>334.6445382462486</v>
      </c>
      <c r="V247" s="55">
        <f t="shared" ca="1" si="65"/>
        <v>0</v>
      </c>
      <c r="W247" s="55">
        <f t="shared" ca="1" si="70"/>
        <v>-141.15224920380376</v>
      </c>
      <c r="X247" s="55">
        <f t="shared" ca="1" si="71"/>
        <v>48.862355052021286</v>
      </c>
      <c r="Y247" s="55">
        <f t="shared" ca="1" si="72"/>
        <v>-4.964076670307108</v>
      </c>
      <c r="Z247">
        <f t="shared" ca="1" si="66"/>
        <v>85.474596196908948</v>
      </c>
      <c r="AA247">
        <f t="shared" ca="1" si="73"/>
        <v>401.58841767782474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20.021354590908224</v>
      </c>
      <c r="U248" s="55">
        <f t="shared" ca="1" si="64"/>
        <v>334.77770645750223</v>
      </c>
      <c r="V248" s="55">
        <f t="shared" ca="1" si="65"/>
        <v>0</v>
      </c>
      <c r="W248" s="55">
        <f t="shared" ca="1" si="70"/>
        <v>-141.15224920380376</v>
      </c>
      <c r="X248" s="55">
        <f t="shared" ca="1" si="71"/>
        <v>49.118512492917475</v>
      </c>
      <c r="Y248" s="55">
        <f t="shared" ca="1" si="72"/>
        <v>-4.9580743099287838</v>
      </c>
      <c r="Z248">
        <f t="shared" ca="1" si="66"/>
        <v>90.033905972958834</v>
      </c>
      <c r="AA248">
        <f t="shared" ca="1" si="73"/>
        <v>401.58841767782474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20.173485532579377</v>
      </c>
      <c r="U249" s="55">
        <f t="shared" ca="1" si="64"/>
        <v>334.89219018485022</v>
      </c>
      <c r="V249" s="55">
        <f t="shared" ca="1" si="65"/>
        <v>0</v>
      </c>
      <c r="W249" s="55">
        <f t="shared" ca="1" si="70"/>
        <v>-141.15224920380376</v>
      </c>
      <c r="X249" s="55">
        <f t="shared" ca="1" si="71"/>
        <v>49.379348510970452</v>
      </c>
      <c r="Y249" s="55">
        <f t="shared" ca="1" si="72"/>
        <v>-4.9522956589626181</v>
      </c>
      <c r="Z249">
        <f t="shared" ca="1" si="66"/>
        <v>93.818679367633379</v>
      </c>
      <c r="AA249">
        <f t="shared" ca="1" si="73"/>
        <v>401.58841767782474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20.349056506272287</v>
      </c>
      <c r="U250" s="55">
        <f t="shared" ca="1" si="64"/>
        <v>334.99469660531958</v>
      </c>
      <c r="V250" s="55">
        <f t="shared" ca="1" si="65"/>
        <v>0</v>
      </c>
      <c r="W250" s="55">
        <f t="shared" ca="1" si="70"/>
        <v>-141.15224920380376</v>
      </c>
      <c r="X250" s="55">
        <f t="shared" ca="1" si="71"/>
        <v>49.651674153635668</v>
      </c>
      <c r="Y250" s="55">
        <f t="shared" ca="1" si="72"/>
        <v>-4.9465439074655695</v>
      </c>
      <c r="Z250">
        <f t="shared" ca="1" si="66"/>
        <v>96.493181597570228</v>
      </c>
      <c r="AA250">
        <f t="shared" ca="1" si="73"/>
        <v>401.58841767782474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20.525858010808847</v>
      </c>
      <c r="U251" s="55">
        <f t="shared" ca="1" si="64"/>
        <v>335.08697999873755</v>
      </c>
      <c r="V251" s="55">
        <f t="shared" ca="1" si="65"/>
        <v>0</v>
      </c>
      <c r="W251" s="55">
        <f t="shared" ca="1" si="70"/>
        <v>-141.15224920380376</v>
      </c>
      <c r="X251" s="55">
        <f t="shared" ca="1" si="71"/>
        <v>49.914995998139474</v>
      </c>
      <c r="Y251" s="55">
        <f t="shared" ca="1" si="72"/>
        <v>-4.9407808540148421</v>
      </c>
      <c r="Z251">
        <f t="shared" ca="1" si="66"/>
        <v>91.424514476952027</v>
      </c>
      <c r="AA251">
        <f t="shared" ca="1" si="73"/>
        <v>401.58841767782474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20.718728366103626</v>
      </c>
      <c r="U252" s="55">
        <f t="shared" ca="1" si="64"/>
        <v>335.16804232680596</v>
      </c>
      <c r="V252" s="55">
        <f t="shared" ca="1" si="65"/>
        <v>0</v>
      </c>
      <c r="W252" s="55">
        <f t="shared" ca="1" si="70"/>
        <v>-141.15224920380376</v>
      </c>
      <c r="X252" s="55">
        <f t="shared" ca="1" si="71"/>
        <v>50.183266404870814</v>
      </c>
      <c r="Y252" s="55">
        <f t="shared" ca="1" si="72"/>
        <v>-4.9351185773829895</v>
      </c>
      <c r="Z252">
        <f t="shared" ca="1" si="66"/>
        <v>93.127225901850323</v>
      </c>
      <c r="AA252">
        <f t="shared" ca="1" si="73"/>
        <v>401.58841767782474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20.912558191866122</v>
      </c>
      <c r="U253" s="55">
        <f t="shared" ca="1" si="64"/>
        <v>335.24010948337178</v>
      </c>
      <c r="V253" s="55">
        <f t="shared" ca="1" si="65"/>
        <v>0</v>
      </c>
      <c r="W253" s="55">
        <f t="shared" ca="1" si="70"/>
        <v>-141.15224920380376</v>
      </c>
      <c r="X253" s="55">
        <f t="shared" ca="1" si="71"/>
        <v>50.443538781822873</v>
      </c>
      <c r="Y253" s="55">
        <f t="shared" ca="1" si="72"/>
        <v>-4.9294939720067346</v>
      </c>
      <c r="Z253">
        <f t="shared" ca="1" si="66"/>
        <v>89.243169549098909</v>
      </c>
      <c r="AA253">
        <f t="shared" ca="1" si="73"/>
        <v>401.58841767782474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21.103420194588622</v>
      </c>
      <c r="U254" s="55">
        <f t="shared" ca="1" si="64"/>
        <v>335.30149414316747</v>
      </c>
      <c r="V254" s="55">
        <f t="shared" ca="1" si="65"/>
        <v>0</v>
      </c>
      <c r="W254" s="55">
        <f t="shared" ca="1" si="70"/>
        <v>-141.15224920380376</v>
      </c>
      <c r="X254" s="55">
        <f t="shared" ca="1" si="71"/>
        <v>50.690402942506317</v>
      </c>
      <c r="Y254" s="55">
        <f t="shared" ca="1" si="72"/>
        <v>-4.9241114701719848</v>
      </c>
      <c r="Z254">
        <f t="shared" ca="1" si="66"/>
        <v>87.095946175489132</v>
      </c>
      <c r="AA254">
        <f t="shared" ca="1" si="73"/>
        <v>401.58841767782474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21.305941219323465</v>
      </c>
      <c r="U255" s="55">
        <f t="shared" ca="1" si="64"/>
        <v>335.35611730309301</v>
      </c>
      <c r="V255" s="55">
        <f t="shared" ca="1" si="65"/>
        <v>0</v>
      </c>
      <c r="W255" s="55">
        <f t="shared" ca="1" si="70"/>
        <v>-141.15224920380376</v>
      </c>
      <c r="X255" s="55">
        <f t="shared" ca="1" si="71"/>
        <v>50.942206602205182</v>
      </c>
      <c r="Y255" s="55">
        <f t="shared" ca="1" si="72"/>
        <v>-4.9187709452104631</v>
      </c>
      <c r="Z255">
        <f t="shared" ca="1" si="66"/>
        <v>87.912140414169357</v>
      </c>
      <c r="AA255">
        <f t="shared" ca="1" si="73"/>
        <v>401.58841767782474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21.531080688777699</v>
      </c>
      <c r="U256" s="55">
        <f t="shared" ca="1" si="64"/>
        <v>335.40504736302086</v>
      </c>
      <c r="V256" s="55">
        <f t="shared" ca="1" si="65"/>
        <v>0</v>
      </c>
      <c r="W256" s="55">
        <f t="shared" ca="1" si="70"/>
        <v>-141.15224920380376</v>
      </c>
      <c r="X256" s="55">
        <f t="shared" ca="1" si="71"/>
        <v>51.210938100842334</v>
      </c>
      <c r="Y256" s="55">
        <f t="shared" ca="1" si="72"/>
        <v>-4.9134329144655391</v>
      </c>
      <c r="Z256">
        <f t="shared" ca="1" si="66"/>
        <v>92.09079923954171</v>
      </c>
      <c r="AA256">
        <f t="shared" ca="1" si="73"/>
        <v>401.58841767782474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21.741401457544281</v>
      </c>
      <c r="U257" s="55">
        <f t="shared" ca="1" si="64"/>
        <v>335.44700626621113</v>
      </c>
      <c r="V257" s="55">
        <f t="shared" ca="1" si="65"/>
        <v>0</v>
      </c>
      <c r="W257" s="55">
        <f t="shared" ca="1" si="70"/>
        <v>-141.15224920380376</v>
      </c>
      <c r="X257" s="55">
        <f t="shared" ca="1" si="71"/>
        <v>51.458078249806327</v>
      </c>
      <c r="Y257" s="55">
        <f t="shared" ca="1" si="72"/>
        <v>-4.9082933914726761</v>
      </c>
      <c r="Z257">
        <f t="shared" ca="1" si="66"/>
        <v>86.495657977184493</v>
      </c>
      <c r="AA257">
        <f t="shared" ca="1" si="73"/>
        <v>401.58841767782474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21.950079648191878</v>
      </c>
      <c r="U258" s="55">
        <f t="shared" ca="1" si="64"/>
        <v>335.48409806333137</v>
      </c>
      <c r="V258" s="55">
        <f t="shared" ca="1" si="65"/>
        <v>0</v>
      </c>
      <c r="W258" s="55">
        <f t="shared" ca="1" si="70"/>
        <v>-141.15224920380376</v>
      </c>
      <c r="X258" s="55">
        <f t="shared" ca="1" si="71"/>
        <v>51.698774226397411</v>
      </c>
      <c r="Y258" s="55">
        <f t="shared" ca="1" si="72"/>
        <v>-4.9032193802959236</v>
      </c>
      <c r="Z258">
        <f t="shared" ca="1" si="66"/>
        <v>83.615108545473618</v>
      </c>
      <c r="AA258">
        <f t="shared" ca="1" si="73"/>
        <v>401.58841767782474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22.161626984127352</v>
      </c>
      <c r="U259" s="55">
        <f t="shared" ca="1" si="64"/>
        <v>335.51867033540771</v>
      </c>
      <c r="V259" s="55">
        <f t="shared" ca="1" si="65"/>
        <v>0</v>
      </c>
      <c r="W259" s="55">
        <f t="shared" ca="1" si="70"/>
        <v>-141.15224920380376</v>
      </c>
      <c r="X259" s="55">
        <f t="shared" ca="1" si="71"/>
        <v>51.939627504403084</v>
      </c>
      <c r="Y259" s="55">
        <f t="shared" ca="1" si="72"/>
        <v>-4.8979530502897957</v>
      </c>
      <c r="Z259">
        <f t="shared" ca="1" si="66"/>
        <v>78.184428033502229</v>
      </c>
      <c r="AA259">
        <f t="shared" ca="1" si="73"/>
        <v>401.58841767782474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22.384567988568538</v>
      </c>
      <c r="U260" s="55">
        <f t="shared" ca="1" si="64"/>
        <v>335.54949771947565</v>
      </c>
      <c r="V260" s="55">
        <f t="shared" ca="1" si="65"/>
        <v>0</v>
      </c>
      <c r="W260" s="55">
        <f t="shared" ca="1" si="70"/>
        <v>-141.15224920380376</v>
      </c>
      <c r="X260" s="55">
        <f t="shared" ca="1" si="71"/>
        <v>52.188109104134128</v>
      </c>
      <c r="Y260" s="55">
        <f t="shared" ca="1" si="72"/>
        <v>-4.8926662615117049</v>
      </c>
      <c r="Z260">
        <f t="shared" ca="1" si="66"/>
        <v>78.770560045528896</v>
      </c>
      <c r="AA260">
        <f t="shared" ca="1" si="73"/>
        <v>401.58841767782474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22.620981928624531</v>
      </c>
      <c r="U261" s="55">
        <f t="shared" ca="1" si="64"/>
        <v>335.5758314905076</v>
      </c>
      <c r="V261" s="55">
        <f t="shared" ca="1" si="65"/>
        <v>0</v>
      </c>
      <c r="W261" s="55">
        <f t="shared" ca="1" si="70"/>
        <v>-141.15224920380376</v>
      </c>
      <c r="X261" s="55">
        <f t="shared" ca="1" si="71"/>
        <v>52.445752007937848</v>
      </c>
      <c r="Y261" s="55">
        <f t="shared" ca="1" si="72"/>
        <v>-4.8875614542274946</v>
      </c>
      <c r="Z261">
        <f t="shared" ca="1" si="66"/>
        <v>83.584557375257859</v>
      </c>
      <c r="AA261">
        <f t="shared" ca="1" si="73"/>
        <v>401.58841767782474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22.900233368376618</v>
      </c>
      <c r="U262" s="55">
        <f t="shared" ca="1" si="64"/>
        <v>335.59817863666933</v>
      </c>
      <c r="V262" s="55">
        <f t="shared" ca="1" si="65"/>
        <v>0</v>
      </c>
      <c r="W262" s="55">
        <f t="shared" ca="1" si="70"/>
        <v>-141.15224920380376</v>
      </c>
      <c r="X262" s="55">
        <f t="shared" ca="1" si="71"/>
        <v>52.742460586448658</v>
      </c>
      <c r="Y262" s="55">
        <f t="shared" ca="1" si="72"/>
        <v>-4.8826714468244781</v>
      </c>
      <c r="Z262">
        <f t="shared" ca="1" si="66"/>
        <v>98.890206234690396</v>
      </c>
      <c r="AA262">
        <f t="shared" ca="1" si="73"/>
        <v>401.58841767782474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23.17149580303742</v>
      </c>
      <c r="U263" s="55">
        <f t="shared" ca="1" si="64"/>
        <v>335.6174552279179</v>
      </c>
      <c r="V263" s="55">
        <f t="shared" ca="1" si="65"/>
        <v>0</v>
      </c>
      <c r="W263" s="55">
        <f t="shared" ca="1" si="70"/>
        <v>-141.15224920380376</v>
      </c>
      <c r="X263" s="55">
        <f t="shared" ca="1" si="71"/>
        <v>53.028255058964554</v>
      </c>
      <c r="Y263" s="55">
        <f t="shared" ca="1" si="72"/>
        <v>-4.8779268934309989</v>
      </c>
      <c r="Z263">
        <f t="shared" ca="1" si="66"/>
        <v>96.620400495313632</v>
      </c>
      <c r="AA263">
        <f t="shared" ca="1" si="73"/>
        <v>401.58841767782474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23.43461297672188</v>
      </c>
      <c r="U264" s="55">
        <f t="shared" ca="1" si="64"/>
        <v>335.63478260869556</v>
      </c>
      <c r="V264" s="55">
        <f t="shared" ca="1" si="65"/>
        <v>0</v>
      </c>
      <c r="W264" s="55">
        <f t="shared" ca="1" si="70"/>
        <v>-141.15224920380376</v>
      </c>
      <c r="X264" s="55">
        <f t="shared" ca="1" si="71"/>
        <v>53.303921322497068</v>
      </c>
      <c r="Y264" s="55">
        <f t="shared" ca="1" si="72"/>
        <v>-4.8731486025013897</v>
      </c>
      <c r="Z264">
        <f t="shared" ca="1" si="66"/>
        <v>90.744394446607785</v>
      </c>
      <c r="AA264">
        <f t="shared" ca="1" si="73"/>
        <v>401.58841767782474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G16" sqref="G16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9" t="s">
        <v>111</v>
      </c>
      <c r="B1" s="140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275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246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226</v>
      </c>
      <c r="B3" s="13" t="str">
        <f>SoilOrder</f>
        <v>SandyClayLoam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45048</v>
      </c>
      <c r="K3" s="3">
        <v>50</v>
      </c>
      <c r="L3" s="3"/>
      <c r="M3" s="3">
        <f ca="1">SUMIF($I$8:$I$1001,TRUE,M8:M1001)</f>
        <v>-4.8731486025013897</v>
      </c>
      <c r="N3" s="3">
        <f ca="1">SUMIF($I$8:$I$1001,TRUE,N8:N1001)</f>
        <v>53.054957626331017</v>
      </c>
      <c r="O3" s="3">
        <f ca="1">SUMIF($I$8:$I$1001,TRUE,O8:O1001)</f>
        <v>399.79269552253959</v>
      </c>
      <c r="P3" s="3">
        <f ca="1">VLOOKUP(B32,ModelOutputs,P5,FALSE)-Q3</f>
        <v>0</v>
      </c>
      <c r="Q3" s="120">
        <f ca="1">VLOOKUP(B32,ModelOutputs,P5,FALSE)</f>
        <v>2.2471402428519216</v>
      </c>
      <c r="R3" s="13"/>
      <c r="W3" s="3">
        <f ca="1">MAX(0,X4-X3)</f>
        <v>1.1368683772161603E-13</v>
      </c>
      <c r="X3" s="3">
        <f ca="1">SUM(K3:R3)</f>
        <v>500.2216447892211</v>
      </c>
      <c r="AA3" s="3"/>
    </row>
    <row r="4" spans="1:31" ht="15" thickBot="1">
      <c r="A4" s="12" t="s">
        <v>208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45293</v>
      </c>
      <c r="K4" s="24">
        <f ca="1">VLOOKUP(J4,ModelOutputs,2,FALSE)</f>
        <v>23.43461297672188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141.15224920380376</v>
      </c>
      <c r="S4" s="3"/>
      <c r="T4" s="3"/>
      <c r="U4" s="3"/>
      <c r="V4" s="3"/>
      <c r="W4" s="3">
        <f ca="1">MAX(0,X3-X4)</f>
        <v>0</v>
      </c>
      <c r="X4" s="3">
        <f ca="1">SUM(K4:R4)</f>
        <v>500.22164478922122</v>
      </c>
    </row>
    <row r="5" spans="1:31">
      <c r="A5" s="12" t="s">
        <v>236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152.46670282117211</v>
      </c>
      <c r="M5">
        <f ca="1">SUMIF(H7:H1000,TRUE,M7:M1000)</f>
        <v>-4.8779268934309989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45047</v>
      </c>
      <c r="K7">
        <f ca="1"/>
        <v>0</v>
      </c>
      <c r="L7">
        <f ca="1"/>
        <v>2.8014315909417604</v>
      </c>
      <c r="M7">
        <f ca="1"/>
        <v>0</v>
      </c>
      <c r="N7" s="4">
        <f ca="1"/>
        <v>0.24896369616605118</v>
      </c>
      <c r="O7">
        <f ca="1"/>
        <v>0</v>
      </c>
      <c r="P7">
        <f ca="1"/>
        <v>108.00000000000001</v>
      </c>
      <c r="Q7">
        <f ca="1"/>
        <v>98.8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45047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227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45048</v>
      </c>
      <c r="K8">
        <f ca="1"/>
        <v>49.918364171497124</v>
      </c>
      <c r="L8">
        <f ca="1"/>
        <v>0</v>
      </c>
      <c r="M8">
        <f ca="1"/>
        <v>-0.34605114552468064</v>
      </c>
      <c r="N8" s="4">
        <f ca="1"/>
        <v>0.26639125227025956</v>
      </c>
      <c r="O8">
        <f ca="1"/>
        <v>0</v>
      </c>
      <c r="P8">
        <f ca="1"/>
        <v>0</v>
      </c>
      <c r="Q8">
        <f ca="1"/>
        <v>0</v>
      </c>
      <c r="R8">
        <f ca="1"/>
        <v>1.9759352484561054E-3</v>
      </c>
      <c r="S8">
        <f ca="1"/>
        <v>1</v>
      </c>
      <c r="T8">
        <f ca="1"/>
        <v>5.000000000002558E-3</v>
      </c>
      <c r="U8">
        <f ca="1"/>
        <v>0</v>
      </c>
      <c r="V8">
        <f ca="1"/>
        <v>0</v>
      </c>
      <c r="X8" s="2">
        <f t="shared" ca="1" si="1"/>
        <v>45048</v>
      </c>
      <c r="Y8">
        <f t="shared" ca="1" si="2"/>
        <v>0</v>
      </c>
      <c r="Z8" s="3"/>
      <c r="AA8" s="63">
        <f ca="1">K7+M8+N8+O8</f>
        <v>-7.9659893254421077E-2</v>
      </c>
      <c r="AB8" s="63">
        <f ca="1">K8+L8+R8</f>
        <v>49.920340106745577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45049</v>
      </c>
      <c r="K9">
        <f ca="1"/>
        <v>49.571761603470591</v>
      </c>
      <c r="L9">
        <f ca="1"/>
        <v>0</v>
      </c>
      <c r="M9">
        <f ca="1"/>
        <v>-0.3279568177273231</v>
      </c>
      <c r="N9" s="4">
        <f ca="1"/>
        <v>0.26391329084058007</v>
      </c>
      <c r="O9">
        <f ca="1"/>
        <v>0</v>
      </c>
      <c r="P9">
        <f ca="1"/>
        <v>0</v>
      </c>
      <c r="Q9">
        <f ca="1"/>
        <v>0</v>
      </c>
      <c r="R9">
        <f ca="1"/>
        <v>0.28255904113978469</v>
      </c>
      <c r="S9">
        <f ca="1"/>
        <v>1</v>
      </c>
      <c r="T9">
        <f ca="1"/>
        <v>0.72000000000000597</v>
      </c>
      <c r="U9">
        <f ca="1"/>
        <v>0</v>
      </c>
      <c r="V9">
        <f ca="1"/>
        <v>0</v>
      </c>
      <c r="X9" s="2">
        <f t="shared" ca="1" si="1"/>
        <v>45049</v>
      </c>
      <c r="Y9">
        <f t="shared" ca="1" si="2"/>
        <v>0</v>
      </c>
      <c r="AA9" s="63">
        <f t="shared" ref="AA9:AA72" ca="1" si="4">K8+M9+N9+O9</f>
        <v>49.854320644610375</v>
      </c>
      <c r="AB9" s="63">
        <f t="shared" ref="AB9:AB72" ca="1" si="5">K9+L9+R9</f>
        <v>49.854320644610375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45050</v>
      </c>
      <c r="K10">
        <f ca="1"/>
        <v>49.369718597817474</v>
      </c>
      <c r="L10">
        <f ca="1"/>
        <v>0</v>
      </c>
      <c r="M10">
        <f ca="1"/>
        <v>-0.30728337279901852</v>
      </c>
      <c r="N10" s="4">
        <f ca="1"/>
        <v>0.25766937331666695</v>
      </c>
      <c r="O10">
        <f ca="1"/>
        <v>0</v>
      </c>
      <c r="P10">
        <f ca="1"/>
        <v>0</v>
      </c>
      <c r="Q10">
        <f ca="1"/>
        <v>0</v>
      </c>
      <c r="R10">
        <f ca="1"/>
        <v>0.15242900617076172</v>
      </c>
      <c r="S10">
        <f ca="1"/>
        <v>1</v>
      </c>
      <c r="T10">
        <f ca="1"/>
        <v>0.39000000000000057</v>
      </c>
      <c r="U10">
        <f ca="1"/>
        <v>0</v>
      </c>
      <c r="V10">
        <f ca="1"/>
        <v>0</v>
      </c>
      <c r="X10" s="2">
        <f t="shared" ca="1" si="1"/>
        <v>45050</v>
      </c>
      <c r="Y10">
        <f t="shared" ca="1" si="2"/>
        <v>0</v>
      </c>
      <c r="AA10" s="63">
        <f t="shared" ca="1" si="4"/>
        <v>49.522147603988238</v>
      </c>
      <c r="AB10" s="63">
        <f t="shared" ca="1" si="5"/>
        <v>49.522147603988238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45051</v>
      </c>
      <c r="K11">
        <f ca="1"/>
        <v>48.842899452408837</v>
      </c>
      <c r="L11">
        <f ca="1"/>
        <v>0</v>
      </c>
      <c r="M11">
        <f ca="1"/>
        <v>-0.29541088624405432</v>
      </c>
      <c r="N11" s="4">
        <f ca="1"/>
        <v>0.25966639241318118</v>
      </c>
      <c r="O11">
        <f ca="1"/>
        <v>0</v>
      </c>
      <c r="P11">
        <f ca="1"/>
        <v>0</v>
      </c>
      <c r="Q11">
        <f ca="1"/>
        <v>0</v>
      </c>
      <c r="R11">
        <f ca="1"/>
        <v>0.49107465157776181</v>
      </c>
      <c r="S11">
        <f ca="1"/>
        <v>1</v>
      </c>
      <c r="T11">
        <f ca="1"/>
        <v>1.2700000000000031</v>
      </c>
      <c r="U11">
        <f ca="1"/>
        <v>0</v>
      </c>
      <c r="V11">
        <f ca="1"/>
        <v>0</v>
      </c>
      <c r="X11" s="2">
        <f t="shared" ca="1" si="1"/>
        <v>45051</v>
      </c>
      <c r="Y11">
        <f t="shared" ca="1" si="2"/>
        <v>0</v>
      </c>
      <c r="AA11" s="63">
        <f t="shared" ca="1" si="4"/>
        <v>49.333974103986598</v>
      </c>
      <c r="AB11" s="63">
        <f t="shared" ca="1" si="5"/>
        <v>49.333974103986598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Barley Fodder General</v>
      </c>
      <c r="D12" s="137" t="str">
        <f>ConceptDemo!C36</f>
        <v>Soil Mineral N Test Results</v>
      </c>
      <c r="E12" s="138"/>
      <c r="H12" t="b">
        <f t="shared" ca="1" si="3"/>
        <v>1</v>
      </c>
      <c r="I12" t="b">
        <f t="shared" ca="1" si="0"/>
        <v>1</v>
      </c>
      <c r="J12" s="2">
        <f ca="1"/>
        <v>45052</v>
      </c>
      <c r="K12">
        <f ca="1"/>
        <v>48.187680773010293</v>
      </c>
      <c r="L12">
        <f ca="1"/>
        <v>0</v>
      </c>
      <c r="M12">
        <f ca="1"/>
        <v>-0.28519217302664868</v>
      </c>
      <c r="N12" s="4">
        <f ca="1"/>
        <v>0.26323993178674993</v>
      </c>
      <c r="O12">
        <f ca="1"/>
        <v>0</v>
      </c>
      <c r="P12">
        <f ca="1"/>
        <v>0</v>
      </c>
      <c r="Q12">
        <f ca="1"/>
        <v>0</v>
      </c>
      <c r="R12">
        <f ca="1"/>
        <v>0.63326643815864503</v>
      </c>
      <c r="S12">
        <f ca="1"/>
        <v>1</v>
      </c>
      <c r="T12">
        <f ca="1"/>
        <v>1.6600000000000037</v>
      </c>
      <c r="U12">
        <f ca="1"/>
        <v>0</v>
      </c>
      <c r="V12">
        <f ca="1"/>
        <v>0</v>
      </c>
      <c r="X12" s="2">
        <f t="shared" ca="1" si="1"/>
        <v>45052</v>
      </c>
      <c r="Y12">
        <f t="shared" ca="1" si="2"/>
        <v>0</v>
      </c>
      <c r="AA12" s="63">
        <f t="shared" ca="1" si="4"/>
        <v>48.820947211168935</v>
      </c>
      <c r="AB12" s="63">
        <f t="shared" ca="1" si="5"/>
        <v>48.820947211168935</v>
      </c>
      <c r="AC12" s="3">
        <f t="shared" ca="1" si="6"/>
        <v>0</v>
      </c>
    </row>
    <row r="13" spans="1:31" ht="15" thickBot="1">
      <c r="A13" s="6" t="s">
        <v>237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45053</v>
      </c>
      <c r="K13">
        <f ca="1"/>
        <v>48.177490618551687</v>
      </c>
      <c r="L13">
        <f ca="1"/>
        <v>0</v>
      </c>
      <c r="M13">
        <f ca="1"/>
        <v>-0.26631280412818126</v>
      </c>
      <c r="N13" s="4">
        <f ca="1"/>
        <v>0.25612264966957848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0.99916666666666665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45053</v>
      </c>
      <c r="Y13">
        <f t="shared" ca="1" si="2"/>
        <v>0</v>
      </c>
      <c r="AA13" s="63">
        <f t="shared" ca="1" si="4"/>
        <v>48.177490618551687</v>
      </c>
      <c r="AB13" s="63">
        <f t="shared" ca="1" si="5"/>
        <v>48.177490618551687</v>
      </c>
      <c r="AC13" s="3">
        <f t="shared" ca="1" si="6"/>
        <v>0</v>
      </c>
    </row>
    <row r="14" spans="1:31">
      <c r="A14" s="6" t="s">
        <v>230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45054</v>
      </c>
      <c r="K14">
        <f ca="1"/>
        <v>47.604611463508739</v>
      </c>
      <c r="L14">
        <f ca="1"/>
        <v>0</v>
      </c>
      <c r="M14">
        <f ca="1"/>
        <v>-0.24988350223889433</v>
      </c>
      <c r="N14" s="4">
        <f ca="1"/>
        <v>0.25042751281132436</v>
      </c>
      <c r="O14">
        <f ca="1"/>
        <v>0</v>
      </c>
      <c r="P14">
        <f ca="1"/>
        <v>0</v>
      </c>
      <c r="Q14">
        <f ca="1"/>
        <v>0</v>
      </c>
      <c r="R14">
        <f ca="1"/>
        <v>0.57342316561538409</v>
      </c>
      <c r="S14">
        <f ca="1"/>
        <v>1</v>
      </c>
      <c r="T14">
        <f ca="1"/>
        <v>1.5215416666666712</v>
      </c>
      <c r="U14">
        <f ca="1"/>
        <v>0</v>
      </c>
      <c r="V14">
        <f ca="1"/>
        <v>0</v>
      </c>
      <c r="X14" s="2">
        <f t="shared" ca="1" si="1"/>
        <v>45054</v>
      </c>
      <c r="Y14">
        <f t="shared" ca="1" si="2"/>
        <v>0</v>
      </c>
      <c r="AA14" s="63">
        <f t="shared" ca="1" si="4"/>
        <v>48.17803462912412</v>
      </c>
      <c r="AB14" s="63">
        <f t="shared" ca="1" si="5"/>
        <v>48.17803462912412</v>
      </c>
      <c r="AC14" s="3">
        <f t="shared" ca="1" si="6"/>
        <v>0</v>
      </c>
    </row>
    <row r="15" spans="1:31">
      <c r="A15" s="6" t="s">
        <v>231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45055</v>
      </c>
      <c r="K15">
        <f ca="1"/>
        <v>47.388841876801173</v>
      </c>
      <c r="L15">
        <f ca="1"/>
        <v>0</v>
      </c>
      <c r="M15">
        <f ca="1"/>
        <v>-0.23206577683114515</v>
      </c>
      <c r="N15" s="4">
        <f ca="1"/>
        <v>0.24139318903838619</v>
      </c>
      <c r="O15">
        <f ca="1"/>
        <v>0</v>
      </c>
      <c r="P15">
        <f ca="1"/>
        <v>0</v>
      </c>
      <c r="Q15">
        <f ca="1"/>
        <v>0</v>
      </c>
      <c r="R15">
        <f ca="1"/>
        <v>0.22509699891480608</v>
      </c>
      <c r="S15">
        <f ca="1"/>
        <v>1</v>
      </c>
      <c r="T15">
        <f ca="1"/>
        <v>0.60000000000000142</v>
      </c>
      <c r="U15">
        <f ca="1"/>
        <v>0</v>
      </c>
      <c r="V15">
        <f ca="1"/>
        <v>0</v>
      </c>
      <c r="X15" s="2">
        <f t="shared" ca="1" si="1"/>
        <v>45055</v>
      </c>
      <c r="Y15">
        <f t="shared" ca="1" si="2"/>
        <v>0</v>
      </c>
      <c r="AA15" s="63">
        <f t="shared" ca="1" si="4"/>
        <v>47.613938875715981</v>
      </c>
      <c r="AB15" s="63">
        <f t="shared" ca="1" si="5"/>
        <v>47.613938875715981</v>
      </c>
      <c r="AC15" s="3">
        <f t="shared" ca="1" si="6"/>
        <v>0</v>
      </c>
    </row>
    <row r="16" spans="1:31">
      <c r="A16" s="6" t="s">
        <v>113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45056</v>
      </c>
      <c r="K16">
        <f ca="1"/>
        <v>46.852698038839826</v>
      </c>
      <c r="L16">
        <f ca="1"/>
        <v>0</v>
      </c>
      <c r="M16">
        <f ca="1"/>
        <v>-0.2239357656092098</v>
      </c>
      <c r="N16" s="4">
        <f ca="1"/>
        <v>0.24416771685908575</v>
      </c>
      <c r="O16">
        <f ca="1"/>
        <v>0</v>
      </c>
      <c r="P16">
        <f ca="1"/>
        <v>0</v>
      </c>
      <c r="Q16">
        <f ca="1"/>
        <v>0</v>
      </c>
      <c r="R16">
        <f ca="1"/>
        <v>0.55637578921122288</v>
      </c>
      <c r="S16">
        <f ca="1"/>
        <v>1</v>
      </c>
      <c r="T16">
        <f ca="1"/>
        <v>1.5</v>
      </c>
      <c r="U16">
        <f ca="1"/>
        <v>0</v>
      </c>
      <c r="V16">
        <f ca="1"/>
        <v>0</v>
      </c>
      <c r="X16" s="2">
        <f t="shared" ca="1" si="1"/>
        <v>45056</v>
      </c>
      <c r="Y16">
        <f t="shared" ca="1" si="2"/>
        <v>0</v>
      </c>
      <c r="AA16" s="63">
        <f t="shared" ca="1" si="4"/>
        <v>47.409073828051049</v>
      </c>
      <c r="AB16" s="63">
        <f t="shared" ca="1" si="5"/>
        <v>47.409073828051049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45057</v>
      </c>
      <c r="K17">
        <f ca="1"/>
        <v>46.66318029289814</v>
      </c>
      <c r="L17">
        <f ca="1"/>
        <v>0</v>
      </c>
      <c r="M17">
        <f ca="1"/>
        <v>-0.21829515236174579</v>
      </c>
      <c r="N17" s="4">
        <f ca="1"/>
        <v>0.25042751281132436</v>
      </c>
      <c r="O17">
        <f ca="1"/>
        <v>0</v>
      </c>
      <c r="P17">
        <f ca="1"/>
        <v>0</v>
      </c>
      <c r="Q17">
        <f ca="1"/>
        <v>0</v>
      </c>
      <c r="R17">
        <f ca="1"/>
        <v>0.22165010639126667</v>
      </c>
      <c r="S17">
        <f ca="1"/>
        <v>1</v>
      </c>
      <c r="T17">
        <f ca="1"/>
        <v>0.60000000000000142</v>
      </c>
      <c r="U17">
        <f ca="1"/>
        <v>0</v>
      </c>
      <c r="V17">
        <f ca="1"/>
        <v>0</v>
      </c>
      <c r="X17" s="2">
        <f t="shared" ca="1" si="1"/>
        <v>45057</v>
      </c>
      <c r="Y17">
        <f t="shared" ca="1" si="2"/>
        <v>0</v>
      </c>
      <c r="AA17" s="63">
        <f t="shared" ca="1" si="4"/>
        <v>46.884830399289406</v>
      </c>
      <c r="AB17" s="63">
        <f t="shared" ca="1" si="5"/>
        <v>46.884830399289406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45058</v>
      </c>
      <c r="K18">
        <f ca="1"/>
        <v>45.986818831642033</v>
      </c>
      <c r="L18">
        <f ca="1"/>
        <v>0</v>
      </c>
      <c r="M18">
        <f ca="1"/>
        <v>-0.21296614003172198</v>
      </c>
      <c r="N18" s="4">
        <f ca="1"/>
        <v>0.25744806396161041</v>
      </c>
      <c r="O18">
        <f ca="1"/>
        <v>0</v>
      </c>
      <c r="P18">
        <f ca="1"/>
        <v>0</v>
      </c>
      <c r="Q18">
        <f ca="1"/>
        <v>0</v>
      </c>
      <c r="R18">
        <f ca="1"/>
        <v>0.72084338518599034</v>
      </c>
      <c r="S18">
        <f ca="1"/>
        <v>1</v>
      </c>
      <c r="T18">
        <f ca="1"/>
        <v>1.980000000000004</v>
      </c>
      <c r="U18">
        <f ca="1"/>
        <v>0</v>
      </c>
      <c r="V18">
        <f ca="1"/>
        <v>0</v>
      </c>
      <c r="X18" s="2">
        <f t="shared" ca="1" si="1"/>
        <v>45058</v>
      </c>
      <c r="Y18">
        <f t="shared" ca="1" si="2"/>
        <v>0</v>
      </c>
      <c r="AA18" s="63">
        <f t="shared" ca="1" si="4"/>
        <v>46.707662216828027</v>
      </c>
      <c r="AB18" s="63">
        <f t="shared" ca="1" si="5"/>
        <v>46.707662216828027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45059</v>
      </c>
      <c r="K19">
        <f ca="1"/>
        <v>45.454014579797985</v>
      </c>
      <c r="L19">
        <f ca="1"/>
        <v>0</v>
      </c>
      <c r="M19">
        <f ca="1"/>
        <v>-0.20193984692563216</v>
      </c>
      <c r="N19" s="4">
        <f ca="1"/>
        <v>0.25568177488839233</v>
      </c>
      <c r="O19">
        <f ca="1"/>
        <v>0</v>
      </c>
      <c r="P19">
        <f ca="1"/>
        <v>0</v>
      </c>
      <c r="Q19">
        <f ca="1"/>
        <v>0</v>
      </c>
      <c r="R19">
        <f ca="1"/>
        <v>0.58654617980681079</v>
      </c>
      <c r="S19">
        <f ca="1"/>
        <v>1</v>
      </c>
      <c r="T19">
        <f ca="1"/>
        <v>1.6300000000000026</v>
      </c>
      <c r="U19">
        <f ca="1"/>
        <v>0</v>
      </c>
      <c r="V19">
        <f ca="1"/>
        <v>0</v>
      </c>
      <c r="X19" s="2">
        <f t="shared" ca="1" si="1"/>
        <v>45059</v>
      </c>
      <c r="Y19">
        <f t="shared" ca="1" si="2"/>
        <v>0</v>
      </c>
      <c r="AA19" s="63">
        <f t="shared" ca="1" si="4"/>
        <v>46.040560759604794</v>
      </c>
      <c r="AB19" s="63">
        <f t="shared" ca="1" si="5"/>
        <v>46.040560759604794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45060</v>
      </c>
      <c r="K20">
        <f ca="1"/>
        <v>45.082380675216235</v>
      </c>
      <c r="L20">
        <f ca="1"/>
        <v>0</v>
      </c>
      <c r="M20">
        <f ca="1"/>
        <v>-0.18825665941466641</v>
      </c>
      <c r="N20" s="4">
        <f ca="1"/>
        <v>0.24847439305092375</v>
      </c>
      <c r="O20">
        <f ca="1"/>
        <v>0</v>
      </c>
      <c r="P20">
        <f ca="1"/>
        <v>0</v>
      </c>
      <c r="Q20">
        <f ca="1"/>
        <v>0</v>
      </c>
      <c r="R20">
        <f ca="1"/>
        <v>0.43185163821800915</v>
      </c>
      <c r="S20">
        <f ca="1"/>
        <v>1</v>
      </c>
      <c r="T20">
        <f ca="1"/>
        <v>1.2100000000000009</v>
      </c>
      <c r="U20">
        <f ca="1"/>
        <v>0</v>
      </c>
      <c r="V20">
        <f ca="1"/>
        <v>0</v>
      </c>
      <c r="X20" s="2">
        <f t="shared" ca="1" si="1"/>
        <v>45060</v>
      </c>
      <c r="Y20">
        <f t="shared" ca="1" si="2"/>
        <v>0</v>
      </c>
      <c r="AA20" s="63">
        <f t="shared" ca="1" si="4"/>
        <v>45.514232313434242</v>
      </c>
      <c r="AB20" s="63">
        <f t="shared" ca="1" si="5"/>
        <v>45.514232313434242</v>
      </c>
      <c r="AC20" s="3">
        <f t="shared" ca="1" si="6"/>
        <v>0</v>
      </c>
    </row>
    <row r="21" spans="1:29">
      <c r="A21" s="6" t="s">
        <v>118</v>
      </c>
      <c r="B21" s="34">
        <f>PriorHarvestDate</f>
        <v>45047</v>
      </c>
      <c r="H21" t="b">
        <f t="shared" ca="1" si="3"/>
        <v>1</v>
      </c>
      <c r="I21" t="b">
        <f t="shared" ca="1" si="0"/>
        <v>1</v>
      </c>
      <c r="J21" s="2">
        <f ca="1"/>
        <v>45061</v>
      </c>
      <c r="K21">
        <f ca="1"/>
        <v>44.332745171758461</v>
      </c>
      <c r="L21">
        <f ca="1"/>
        <v>0</v>
      </c>
      <c r="M21">
        <f ca="1"/>
        <v>-0.17862724064749003</v>
      </c>
      <c r="N21" s="4">
        <f ca="1"/>
        <v>0.24674616583710265</v>
      </c>
      <c r="O21">
        <f ca="1"/>
        <v>0</v>
      </c>
      <c r="P21">
        <f ca="1"/>
        <v>0</v>
      </c>
      <c r="Q21">
        <f ca="1"/>
        <v>0</v>
      </c>
      <c r="R21">
        <f ca="1"/>
        <v>0.81775442864739389</v>
      </c>
      <c r="S21">
        <f ca="1"/>
        <v>1</v>
      </c>
      <c r="T21">
        <f ca="1"/>
        <v>2.3299999999999983</v>
      </c>
      <c r="U21">
        <f ca="1"/>
        <v>0</v>
      </c>
      <c r="V21">
        <f ca="1"/>
        <v>0</v>
      </c>
      <c r="X21" s="2">
        <f t="shared" ca="1" si="1"/>
        <v>45061</v>
      </c>
      <c r="Y21">
        <f t="shared" ca="1" si="2"/>
        <v>0</v>
      </c>
      <c r="AA21" s="63">
        <f t="shared" ca="1" si="4"/>
        <v>45.150499600405844</v>
      </c>
      <c r="AB21" s="63">
        <f t="shared" ca="1" si="5"/>
        <v>45.150499600405851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45062</v>
      </c>
      <c r="K22">
        <f ca="1"/>
        <v>43.601479363133926</v>
      </c>
      <c r="L22">
        <f ca="1"/>
        <v>0</v>
      </c>
      <c r="M22">
        <f ca="1"/>
        <v>-0.17051019231525766</v>
      </c>
      <c r="N22" s="4">
        <f ca="1"/>
        <v>0.24696178889277556</v>
      </c>
      <c r="O22">
        <f ca="1"/>
        <v>0</v>
      </c>
      <c r="P22">
        <f ca="1"/>
        <v>0</v>
      </c>
      <c r="Q22">
        <f ca="1"/>
        <v>0</v>
      </c>
      <c r="R22">
        <f ca="1"/>
        <v>0.80771740520205704</v>
      </c>
      <c r="S22">
        <f ca="1"/>
        <v>1</v>
      </c>
      <c r="T22">
        <f ca="1"/>
        <v>2.3400000000000034</v>
      </c>
      <c r="U22">
        <f ca="1"/>
        <v>0</v>
      </c>
      <c r="V22">
        <f ca="1"/>
        <v>0</v>
      </c>
      <c r="X22" s="2">
        <f t="shared" ca="1" si="1"/>
        <v>45062</v>
      </c>
      <c r="Y22">
        <f t="shared" ca="1" si="2"/>
        <v>0</v>
      </c>
      <c r="AA22" s="63">
        <f t="shared" ca="1" si="4"/>
        <v>44.409196768335981</v>
      </c>
      <c r="AB22" s="63">
        <f t="shared" ca="1" si="5"/>
        <v>44.409196768335981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45063</v>
      </c>
      <c r="K23">
        <f ca="1"/>
        <v>42.940580483821329</v>
      </c>
      <c r="L23">
        <f ca="1"/>
        <v>0</v>
      </c>
      <c r="M23">
        <f ca="1"/>
        <v>-0.15824309217220245</v>
      </c>
      <c r="N23" s="4">
        <f ca="1"/>
        <v>0.23842706437621505</v>
      </c>
      <c r="O23">
        <f ca="1"/>
        <v>0</v>
      </c>
      <c r="P23">
        <f ca="1"/>
        <v>0</v>
      </c>
      <c r="Q23">
        <f ca="1"/>
        <v>0</v>
      </c>
      <c r="R23">
        <f ca="1"/>
        <v>0.74108285151661624</v>
      </c>
      <c r="S23">
        <f ca="1"/>
        <v>1</v>
      </c>
      <c r="T23">
        <f ca="1"/>
        <v>2.1799999999999997</v>
      </c>
      <c r="U23">
        <f ca="1"/>
        <v>0</v>
      </c>
      <c r="V23">
        <f ca="1"/>
        <v>0</v>
      </c>
      <c r="X23" s="2">
        <f t="shared" ca="1" si="1"/>
        <v>45063</v>
      </c>
      <c r="Y23">
        <f t="shared" ca="1" si="2"/>
        <v>0</v>
      </c>
      <c r="AA23" s="63">
        <f t="shared" ca="1" si="4"/>
        <v>43.681663335337944</v>
      </c>
      <c r="AB23" s="63">
        <f t="shared" ca="1" si="5"/>
        <v>43.681663335337944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45064</v>
      </c>
      <c r="K24">
        <f ca="1"/>
        <v>42.342625004692891</v>
      </c>
      <c r="L24">
        <f ca="1"/>
        <v>0</v>
      </c>
      <c r="M24">
        <f ca="1"/>
        <v>-0.1496056305063842</v>
      </c>
      <c r="N24" s="4">
        <f ca="1"/>
        <v>0.23548354520374024</v>
      </c>
      <c r="O24">
        <f ca="1"/>
        <v>0</v>
      </c>
      <c r="P24">
        <f ca="1"/>
        <v>0</v>
      </c>
      <c r="Q24">
        <f ca="1"/>
        <v>0</v>
      </c>
      <c r="R24">
        <f ca="1"/>
        <v>0.68383339382579011</v>
      </c>
      <c r="S24">
        <f ca="1"/>
        <v>1</v>
      </c>
      <c r="T24">
        <f ca="1"/>
        <v>2.0399999999999991</v>
      </c>
      <c r="U24">
        <f ca="1"/>
        <v>0</v>
      </c>
      <c r="V24">
        <f ca="1"/>
        <v>0</v>
      </c>
      <c r="X24" s="2">
        <f t="shared" ca="1" si="1"/>
        <v>45064</v>
      </c>
      <c r="Y24">
        <f t="shared" ca="1" si="2"/>
        <v>0</v>
      </c>
      <c r="AA24" s="63">
        <f t="shared" ca="1" si="4"/>
        <v>43.026458398518685</v>
      </c>
      <c r="AB24" s="63">
        <f t="shared" ca="1" si="5"/>
        <v>43.026458398518685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Agria</v>
      </c>
      <c r="H25" t="b">
        <f t="shared" ca="1" si="3"/>
        <v>1</v>
      </c>
      <c r="I25" t="b">
        <f t="shared" ca="1" si="0"/>
        <v>1</v>
      </c>
      <c r="J25" s="2">
        <f ca="1"/>
        <v>45065</v>
      </c>
      <c r="K25">
        <f ca="1"/>
        <v>42.440782292894845</v>
      </c>
      <c r="L25">
        <f ca="1"/>
        <v>0</v>
      </c>
      <c r="M25">
        <f ca="1"/>
        <v>-0.14751249883953488</v>
      </c>
      <c r="N25" s="4">
        <f ca="1"/>
        <v>0.24566978704148509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0.99229166666666657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45065</v>
      </c>
      <c r="Y25">
        <f t="shared" ca="1" si="2"/>
        <v>0</v>
      </c>
      <c r="AA25" s="63">
        <f t="shared" ca="1" si="4"/>
        <v>42.440782292894845</v>
      </c>
      <c r="AB25" s="63">
        <f t="shared" ca="1" si="5"/>
        <v>42.440782292894845</v>
      </c>
      <c r="AC25" s="3">
        <f t="shared" ca="1" si="6"/>
        <v>0</v>
      </c>
    </row>
    <row r="26" spans="1:29">
      <c r="A26" s="9" t="s">
        <v>238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45066</v>
      </c>
      <c r="K26">
        <f ca="1"/>
        <v>41.429771279807476</v>
      </c>
      <c r="L26">
        <f ca="1"/>
        <v>0</v>
      </c>
      <c r="M26">
        <f ca="1"/>
        <v>-0.14004462212112756</v>
      </c>
      <c r="N26" s="4">
        <f ca="1"/>
        <v>0.24459630136723751</v>
      </c>
      <c r="O26">
        <f ca="1"/>
        <v>0</v>
      </c>
      <c r="P26">
        <f ca="1"/>
        <v>0</v>
      </c>
      <c r="Q26">
        <f ca="1"/>
        <v>0</v>
      </c>
      <c r="R26">
        <f ca="1"/>
        <v>1.1155626923334776</v>
      </c>
      <c r="S26">
        <f ca="1"/>
        <v>1</v>
      </c>
      <c r="T26">
        <f ca="1"/>
        <v>3.4012541666666607</v>
      </c>
      <c r="U26">
        <f ca="1"/>
        <v>0</v>
      </c>
      <c r="V26">
        <f ca="1"/>
        <v>0</v>
      </c>
      <c r="X26" s="2">
        <f t="shared" ca="1" si="1"/>
        <v>45066</v>
      </c>
      <c r="Y26">
        <f t="shared" ca="1" si="2"/>
        <v>0</v>
      </c>
      <c r="AA26" s="63">
        <f t="shared" ca="1" si="4"/>
        <v>42.545333972140952</v>
      </c>
      <c r="AB26" s="63">
        <f t="shared" ca="1" si="5"/>
        <v>42.545333972140952</v>
      </c>
      <c r="AC26" s="3">
        <f t="shared" ca="1" si="6"/>
        <v>0</v>
      </c>
    </row>
    <row r="27" spans="1:29">
      <c r="A27" s="9" t="s">
        <v>232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45067</v>
      </c>
      <c r="K27">
        <f ca="1"/>
        <v>40.374765163733429</v>
      </c>
      <c r="L27">
        <f ca="1"/>
        <v>0</v>
      </c>
      <c r="M27">
        <f ca="1"/>
        <v>-0.1360101102137552</v>
      </c>
      <c r="N27" s="4">
        <f ca="1"/>
        <v>0.25086281475888478</v>
      </c>
      <c r="O27">
        <f ca="1"/>
        <v>0</v>
      </c>
      <c r="P27">
        <f ca="1"/>
        <v>0</v>
      </c>
      <c r="Q27">
        <f ca="1"/>
        <v>0</v>
      </c>
      <c r="R27">
        <f ca="1"/>
        <v>1.1698588206191751</v>
      </c>
      <c r="S27">
        <f ca="1"/>
        <v>1</v>
      </c>
      <c r="T27">
        <f ca="1"/>
        <v>3.6599999999999966</v>
      </c>
      <c r="U27">
        <f ca="1"/>
        <v>0</v>
      </c>
      <c r="V27">
        <f ca="1"/>
        <v>0</v>
      </c>
      <c r="X27" s="2">
        <f t="shared" ca="1" si="1"/>
        <v>45067</v>
      </c>
      <c r="Y27">
        <f t="shared" ca="1" si="2"/>
        <v>0</v>
      </c>
      <c r="AA27" s="63">
        <f t="shared" ca="1" si="4"/>
        <v>41.544623984352604</v>
      </c>
      <c r="AB27" s="63">
        <f t="shared" ca="1" si="5"/>
        <v>41.544623984352604</v>
      </c>
      <c r="AC27" s="3">
        <f t="shared" ca="1" si="6"/>
        <v>0</v>
      </c>
    </row>
    <row r="28" spans="1:29">
      <c r="A28" s="9" t="s">
        <v>233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45068</v>
      </c>
      <c r="K28">
        <f ca="1"/>
        <v>39.449477245941608</v>
      </c>
      <c r="L28">
        <f ca="1"/>
        <v>0</v>
      </c>
      <c r="M28">
        <f ca="1"/>
        <v>-0.12478487180624054</v>
      </c>
      <c r="N28" s="4">
        <f ca="1"/>
        <v>0.23948379791055882</v>
      </c>
      <c r="O28">
        <f ca="1"/>
        <v>0</v>
      </c>
      <c r="P28">
        <f ca="1"/>
        <v>0</v>
      </c>
      <c r="Q28">
        <f ca="1"/>
        <v>0</v>
      </c>
      <c r="R28">
        <f ca="1"/>
        <v>1.0399868438961375</v>
      </c>
      <c r="S28">
        <f ca="1"/>
        <v>1</v>
      </c>
      <c r="T28">
        <f ca="1"/>
        <v>3.3300000000000054</v>
      </c>
      <c r="U28">
        <f ca="1"/>
        <v>0</v>
      </c>
      <c r="V28">
        <f ca="1"/>
        <v>0</v>
      </c>
      <c r="X28" s="2">
        <f t="shared" ca="1" si="1"/>
        <v>45068</v>
      </c>
      <c r="Y28">
        <f t="shared" ca="1" si="2"/>
        <v>0</v>
      </c>
      <c r="AA28" s="63">
        <f t="shared" ca="1" si="4"/>
        <v>40.489464089837746</v>
      </c>
      <c r="AB28" s="63">
        <f t="shared" ca="1" si="5"/>
        <v>40.489464089837746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45069</v>
      </c>
      <c r="K29">
        <f ca="1"/>
        <v>37.670305458035727</v>
      </c>
      <c r="L29">
        <f ca="1"/>
        <v>0</v>
      </c>
      <c r="M29">
        <f ca="1"/>
        <v>-0.11690966857889595</v>
      </c>
      <c r="N29" s="4">
        <f ca="1"/>
        <v>0.23443776048511222</v>
      </c>
      <c r="O29">
        <f ca="1"/>
        <v>0</v>
      </c>
      <c r="P29">
        <f ca="1"/>
        <v>0</v>
      </c>
      <c r="Q29">
        <f ca="1"/>
        <v>0</v>
      </c>
      <c r="R29">
        <f ca="1"/>
        <v>1.8966998798120986</v>
      </c>
      <c r="S29">
        <f ca="1"/>
        <v>1</v>
      </c>
      <c r="T29">
        <f ca="1"/>
        <v>6.3599999999999994</v>
      </c>
      <c r="U29">
        <f ca="1"/>
        <v>0</v>
      </c>
      <c r="V29">
        <f ca="1"/>
        <v>0</v>
      </c>
      <c r="X29" s="2">
        <f t="shared" ca="1" si="1"/>
        <v>45069</v>
      </c>
      <c r="Y29">
        <f t="shared" ca="1" si="2"/>
        <v>0</v>
      </c>
      <c r="AA29" s="63">
        <f t="shared" ca="1" si="4"/>
        <v>39.567005337847824</v>
      </c>
      <c r="AB29" s="63">
        <f t="shared" ca="1" si="5"/>
        <v>39.567005337847824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45070</v>
      </c>
      <c r="K30">
        <f ca="1"/>
        <v>36.680272234578482</v>
      </c>
      <c r="L30">
        <f ca="1"/>
        <v>0</v>
      </c>
      <c r="M30">
        <f ca="1"/>
        <v>-0.11083529837713701</v>
      </c>
      <c r="N30" s="4">
        <f ca="1"/>
        <v>0.23297849596583792</v>
      </c>
      <c r="O30">
        <f ca="1"/>
        <v>0</v>
      </c>
      <c r="P30">
        <f ca="1"/>
        <v>0</v>
      </c>
      <c r="Q30">
        <f ca="1"/>
        <v>0</v>
      </c>
      <c r="R30">
        <f ca="1"/>
        <v>1.1121764210459477</v>
      </c>
      <c r="S30">
        <f ca="1"/>
        <v>1</v>
      </c>
      <c r="T30">
        <f ca="1"/>
        <v>3.8299999999999983</v>
      </c>
      <c r="U30">
        <f ca="1"/>
        <v>0</v>
      </c>
      <c r="V30">
        <f ca="1"/>
        <v>0</v>
      </c>
      <c r="X30" s="2">
        <f t="shared" ca="1" si="1"/>
        <v>45070</v>
      </c>
      <c r="Y30">
        <f t="shared" ca="1" si="2"/>
        <v>0</v>
      </c>
      <c r="AA30" s="63">
        <f t="shared" ca="1" si="4"/>
        <v>37.792448655624426</v>
      </c>
      <c r="AB30" s="63">
        <f t="shared" ca="1" si="5"/>
        <v>37.792448655624426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45071</v>
      </c>
      <c r="K31">
        <f ca="1"/>
        <v>35.553410081478667</v>
      </c>
      <c r="L31">
        <f ca="1"/>
        <v>0</v>
      </c>
      <c r="M31">
        <f ca="1"/>
        <v>-0.10756526554529255</v>
      </c>
      <c r="N31" s="4">
        <f ca="1"/>
        <v>0.23884941170380042</v>
      </c>
      <c r="O31">
        <f ca="1"/>
        <v>0</v>
      </c>
      <c r="P31">
        <f ca="1"/>
        <v>0</v>
      </c>
      <c r="Q31">
        <f ca="1"/>
        <v>0</v>
      </c>
      <c r="R31">
        <f ca="1"/>
        <v>1.2581462992583261</v>
      </c>
      <c r="S31">
        <f ca="1"/>
        <v>1</v>
      </c>
      <c r="T31">
        <f ca="1"/>
        <v>4.4699999999999989</v>
      </c>
      <c r="U31">
        <f ca="1"/>
        <v>0</v>
      </c>
      <c r="V31">
        <f ca="1"/>
        <v>0</v>
      </c>
      <c r="X31" s="2">
        <f t="shared" ca="1" si="1"/>
        <v>45071</v>
      </c>
      <c r="Y31">
        <f t="shared" ca="1" si="2"/>
        <v>0</v>
      </c>
      <c r="AA31" s="63">
        <f t="shared" ca="1" si="4"/>
        <v>36.811556380736995</v>
      </c>
      <c r="AB31" s="63">
        <f t="shared" ca="1" si="5"/>
        <v>36.811556380736995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45143</v>
      </c>
      <c r="H32" t="b">
        <f t="shared" ca="1" si="3"/>
        <v>1</v>
      </c>
      <c r="I32" t="b">
        <f t="shared" ca="1" si="0"/>
        <v>1</v>
      </c>
      <c r="J32" s="2">
        <f ca="1"/>
        <v>45072</v>
      </c>
      <c r="K32">
        <f ca="1"/>
        <v>34.216704049290001</v>
      </c>
      <c r="L32">
        <f ca="1"/>
        <v>0</v>
      </c>
      <c r="M32">
        <f ca="1"/>
        <v>-0.10508238204694464</v>
      </c>
      <c r="N32" s="4">
        <f ca="1"/>
        <v>0.24739338238883696</v>
      </c>
      <c r="O32">
        <f ca="1"/>
        <v>0</v>
      </c>
      <c r="P32">
        <f ca="1"/>
        <v>0</v>
      </c>
      <c r="Q32">
        <f ca="1"/>
        <v>0</v>
      </c>
      <c r="R32">
        <f ca="1"/>
        <v>1.4790170325305587</v>
      </c>
      <c r="S32">
        <f ca="1"/>
        <v>1</v>
      </c>
      <c r="T32">
        <f ca="1"/>
        <v>5.4599999999999937</v>
      </c>
      <c r="U32">
        <f ca="1"/>
        <v>0</v>
      </c>
      <c r="V32">
        <f ca="1"/>
        <v>0</v>
      </c>
      <c r="X32" s="2">
        <f t="shared" ca="1" si="1"/>
        <v>45072</v>
      </c>
      <c r="Y32">
        <f t="shared" ca="1" si="2"/>
        <v>0</v>
      </c>
      <c r="AA32" s="63">
        <f t="shared" ca="1" si="4"/>
        <v>35.695721081820558</v>
      </c>
      <c r="AB32" s="63">
        <f t="shared" ca="1" si="5"/>
        <v>35.695721081820558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45073</v>
      </c>
      <c r="K33">
        <f ca="1"/>
        <v>33.602467882290689</v>
      </c>
      <c r="L33">
        <f ca="1"/>
        <v>0</v>
      </c>
      <c r="M33">
        <f ca="1"/>
        <v>-9.5629825060068896E-2</v>
      </c>
      <c r="N33" s="4">
        <f ca="1"/>
        <v>0.2342289489069187</v>
      </c>
      <c r="O33">
        <f ca="1"/>
        <v>0</v>
      </c>
      <c r="P33">
        <f ca="1"/>
        <v>0</v>
      </c>
      <c r="Q33">
        <f ca="1"/>
        <v>0</v>
      </c>
      <c r="R33">
        <f ca="1"/>
        <v>0.75283529084615408</v>
      </c>
      <c r="S33">
        <f ca="1"/>
        <v>1</v>
      </c>
      <c r="T33">
        <f ca="1"/>
        <v>2.8299999999999983</v>
      </c>
      <c r="U33">
        <f ca="1"/>
        <v>0</v>
      </c>
      <c r="V33">
        <f ca="1"/>
        <v>0</v>
      </c>
      <c r="X33" s="2">
        <f t="shared" ca="1" si="1"/>
        <v>45073</v>
      </c>
      <c r="Y33">
        <f t="shared" ca="1" si="2"/>
        <v>0</v>
      </c>
      <c r="AA33" s="63">
        <f t="shared" ca="1" si="4"/>
        <v>34.355303173136846</v>
      </c>
      <c r="AB33" s="63">
        <f t="shared" ca="1" si="5"/>
        <v>34.355303173136846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45293</v>
      </c>
      <c r="H34" t="b">
        <f t="shared" ca="1" si="3"/>
        <v>1</v>
      </c>
      <c r="I34" t="b">
        <f t="shared" ca="1" si="0"/>
        <v>1</v>
      </c>
      <c r="J34" s="2">
        <f ca="1"/>
        <v>45074</v>
      </c>
      <c r="K34">
        <f ca="1"/>
        <v>33.124239384161797</v>
      </c>
      <c r="L34">
        <f ca="1"/>
        <v>0</v>
      </c>
      <c r="M34">
        <f ca="1"/>
        <v>-8.6520048527943594E-2</v>
      </c>
      <c r="N34" s="4">
        <f ca="1"/>
        <v>0.21929574937273377</v>
      </c>
      <c r="O34">
        <f ca="1"/>
        <v>0</v>
      </c>
      <c r="P34">
        <f ca="1"/>
        <v>0</v>
      </c>
      <c r="Q34">
        <f ca="1"/>
        <v>0</v>
      </c>
      <c r="R34">
        <f ca="1"/>
        <v>0.61100419897368397</v>
      </c>
      <c r="S34">
        <f ca="1"/>
        <v>1</v>
      </c>
      <c r="T34">
        <f ca="1"/>
        <v>2.3299999999999983</v>
      </c>
      <c r="U34">
        <f ca="1"/>
        <v>0</v>
      </c>
      <c r="V34">
        <f ca="1"/>
        <v>0</v>
      </c>
      <c r="X34" s="2">
        <f t="shared" ca="1" si="1"/>
        <v>45074</v>
      </c>
      <c r="Y34">
        <f t="shared" ca="1" si="2"/>
        <v>0</v>
      </c>
      <c r="AA34" s="63">
        <f t="shared" ca="1" si="4"/>
        <v>33.735243583135478</v>
      </c>
      <c r="AB34" s="63">
        <f t="shared" ca="1" si="5"/>
        <v>33.735243583135478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45075</v>
      </c>
      <c r="K35">
        <f ca="1"/>
        <v>32.354232266977824</v>
      </c>
      <c r="L35">
        <f ca="1"/>
        <v>0</v>
      </c>
      <c r="M35">
        <f ca="1"/>
        <v>-8.0361976303870541E-2</v>
      </c>
      <c r="N35" s="4">
        <f ca="1"/>
        <v>0.21195946495968632</v>
      </c>
      <c r="O35">
        <f ca="1"/>
        <v>0</v>
      </c>
      <c r="P35">
        <f ca="1"/>
        <v>0</v>
      </c>
      <c r="Q35">
        <f ca="1"/>
        <v>0</v>
      </c>
      <c r="R35">
        <f ca="1"/>
        <v>0.90160460583978297</v>
      </c>
      <c r="S35">
        <f ca="1"/>
        <v>1</v>
      </c>
      <c r="T35">
        <f ca="1"/>
        <v>3.5200000000000031</v>
      </c>
      <c r="U35">
        <f ca="1"/>
        <v>0</v>
      </c>
      <c r="V35">
        <f ca="1"/>
        <v>0</v>
      </c>
      <c r="X35" s="2">
        <f t="shared" ca="1" si="1"/>
        <v>45075</v>
      </c>
      <c r="Y35">
        <f t="shared" ca="1" si="2"/>
        <v>0</v>
      </c>
      <c r="AA35" s="63">
        <f t="shared" ca="1" si="4"/>
        <v>33.255836872817611</v>
      </c>
      <c r="AB35" s="63">
        <f t="shared" ca="1" si="5"/>
        <v>33.255836872817611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45076</v>
      </c>
      <c r="K36">
        <f ca="1"/>
        <v>31.479670686919537</v>
      </c>
      <c r="L36">
        <f ca="1"/>
        <v>0</v>
      </c>
      <c r="M36">
        <f ca="1"/>
        <v>-7.8156198161132728E-2</v>
      </c>
      <c r="N36" s="4">
        <f ca="1"/>
        <v>0.21789584069429485</v>
      </c>
      <c r="O36">
        <f ca="1"/>
        <v>0</v>
      </c>
      <c r="P36">
        <f ca="1"/>
        <v>0</v>
      </c>
      <c r="Q36">
        <f ca="1"/>
        <v>0</v>
      </c>
      <c r="R36">
        <f ca="1"/>
        <v>1.0143012225914534</v>
      </c>
      <c r="S36">
        <f ca="1"/>
        <v>1</v>
      </c>
      <c r="T36">
        <f ca="1"/>
        <v>4.07</v>
      </c>
      <c r="U36">
        <f ca="1"/>
        <v>0</v>
      </c>
      <c r="V36">
        <f ca="1"/>
        <v>0</v>
      </c>
      <c r="X36" s="2">
        <f t="shared" ca="1" si="1"/>
        <v>45076</v>
      </c>
      <c r="Y36">
        <f t="shared" ca="1" si="2"/>
        <v>0</v>
      </c>
      <c r="AA36" s="63">
        <f t="shared" ca="1" si="4"/>
        <v>32.493971909510989</v>
      </c>
      <c r="AB36" s="63">
        <f t="shared" ca="1" si="5"/>
        <v>32.493971909510989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45077</v>
      </c>
      <c r="K37">
        <f ca="1"/>
        <v>30.592033503652239</v>
      </c>
      <c r="L37">
        <f ca="1"/>
        <v>0</v>
      </c>
      <c r="M37">
        <f ca="1"/>
        <v>-7.29202866034937E-2</v>
      </c>
      <c r="N37">
        <f ca="1"/>
        <v>0.21215569460878969</v>
      </c>
      <c r="O37">
        <f ca="1"/>
        <v>0</v>
      </c>
      <c r="P37">
        <f ca="1"/>
        <v>0</v>
      </c>
      <c r="Q37">
        <f ca="1"/>
        <v>0</v>
      </c>
      <c r="R37">
        <f ca="1"/>
        <v>1.0268725912725938</v>
      </c>
      <c r="S37">
        <f ca="1"/>
        <v>1</v>
      </c>
      <c r="T37">
        <f ca="1"/>
        <v>4.240000000000002</v>
      </c>
      <c r="U37">
        <f ca="1"/>
        <v>0</v>
      </c>
      <c r="V37">
        <f ca="1"/>
        <v>0</v>
      </c>
      <c r="X37" s="2">
        <f t="shared" ca="1" si="1"/>
        <v>45077</v>
      </c>
      <c r="Y37">
        <f t="shared" ca="1" si="2"/>
        <v>0</v>
      </c>
      <c r="AA37" s="63">
        <f t="shared" ca="1" si="4"/>
        <v>31.618906094924832</v>
      </c>
      <c r="AB37" s="63">
        <f t="shared" ca="1" si="5"/>
        <v>31.618906094924832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45078</v>
      </c>
      <c r="K38">
        <f ca="1"/>
        <v>30.050087239354891</v>
      </c>
      <c r="L38">
        <f ca="1"/>
        <v>0</v>
      </c>
      <c r="M38">
        <f ca="1"/>
        <v>-6.9549340612180544E-2</v>
      </c>
      <c r="N38">
        <f ca="1"/>
        <v>0.21274506537212654</v>
      </c>
      <c r="O38">
        <f ca="1"/>
        <v>0</v>
      </c>
      <c r="P38">
        <f ca="1"/>
        <v>0</v>
      </c>
      <c r="Q38">
        <f ca="1"/>
        <v>0</v>
      </c>
      <c r="R38">
        <f ca="1"/>
        <v>0.68514198905729218</v>
      </c>
      <c r="S38">
        <f ca="1"/>
        <v>1</v>
      </c>
      <c r="T38">
        <f ca="1"/>
        <v>2.8800000000000026</v>
      </c>
      <c r="U38">
        <f ca="1"/>
        <v>0</v>
      </c>
      <c r="V38">
        <f ca="1"/>
        <v>0</v>
      </c>
      <c r="X38" s="2">
        <f t="shared" ca="1" si="1"/>
        <v>45078</v>
      </c>
      <c r="Y38">
        <f t="shared" ca="1" si="2"/>
        <v>0</v>
      </c>
      <c r="AA38" s="63">
        <f t="shared" ca="1" si="4"/>
        <v>30.735229228412184</v>
      </c>
      <c r="AB38" s="63">
        <f t="shared" ca="1" si="5"/>
        <v>30.735229228412184</v>
      </c>
      <c r="AC38" s="3">
        <f t="shared" ca="1" si="6"/>
        <v>0</v>
      </c>
    </row>
    <row r="39" spans="1:29">
      <c r="A39" s="6" t="s">
        <v>239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45079</v>
      </c>
      <c r="K39">
        <f ca="1"/>
        <v>29.310193479180583</v>
      </c>
      <c r="L39">
        <f ca="1"/>
        <v>0</v>
      </c>
      <c r="M39">
        <f ca="1"/>
        <v>-6.5438616016043838E-2</v>
      </c>
      <c r="N39">
        <f ca="1"/>
        <v>0.20961356665751493</v>
      </c>
      <c r="O39">
        <f ca="1"/>
        <v>0</v>
      </c>
      <c r="P39">
        <f ca="1"/>
        <v>0</v>
      </c>
      <c r="Q39">
        <f ca="1"/>
        <v>0</v>
      </c>
      <c r="R39">
        <f ca="1"/>
        <v>0.88406871081578331</v>
      </c>
      <c r="S39">
        <f ca="1"/>
        <v>1</v>
      </c>
      <c r="T39">
        <f ca="1"/>
        <v>3.8099999999999952</v>
      </c>
      <c r="U39">
        <f ca="1"/>
        <v>0</v>
      </c>
      <c r="V39">
        <f ca="1"/>
        <v>0</v>
      </c>
      <c r="X39" s="2">
        <f t="shared" ca="1" si="1"/>
        <v>45079</v>
      </c>
      <c r="Y39">
        <f t="shared" ca="1" si="2"/>
        <v>0</v>
      </c>
      <c r="AA39" s="63">
        <f t="shared" ca="1" si="4"/>
        <v>30.194262189996365</v>
      </c>
      <c r="AB39" s="63">
        <f t="shared" ca="1" si="5"/>
        <v>30.194262189996365</v>
      </c>
      <c r="AC39" s="3">
        <f t="shared" ca="1" si="6"/>
        <v>0</v>
      </c>
    </row>
    <row r="40" spans="1:29">
      <c r="A40" s="6" t="s">
        <v>234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45080</v>
      </c>
      <c r="K40">
        <f ca="1"/>
        <v>29.149453781850184</v>
      </c>
      <c r="L40">
        <f ca="1"/>
        <v>0</v>
      </c>
      <c r="M40">
        <f ca="1"/>
        <v>-6.000201824020035E-2</v>
      </c>
      <c r="N40">
        <f ca="1"/>
        <v>0.19925878274801007</v>
      </c>
      <c r="O40">
        <f ca="1"/>
        <v>0</v>
      </c>
      <c r="P40">
        <f ca="1"/>
        <v>0</v>
      </c>
      <c r="Q40">
        <f ca="1"/>
        <v>0</v>
      </c>
      <c r="R40">
        <f ca="1"/>
        <v>0.29999646183820755</v>
      </c>
      <c r="S40">
        <f ca="1"/>
        <v>1</v>
      </c>
      <c r="T40">
        <f ca="1"/>
        <v>1.2999999999999972</v>
      </c>
      <c r="U40">
        <f ca="1"/>
        <v>0</v>
      </c>
      <c r="V40">
        <f ca="1"/>
        <v>0</v>
      </c>
      <c r="X40" s="2">
        <f t="shared" ca="1" si="1"/>
        <v>45080</v>
      </c>
      <c r="Y40">
        <f t="shared" ca="1" si="2"/>
        <v>0</v>
      </c>
      <c r="AA40" s="63">
        <f t="shared" ca="1" si="4"/>
        <v>29.449450243688393</v>
      </c>
      <c r="AB40" s="63">
        <f t="shared" ca="1" si="5"/>
        <v>29.449450243688393</v>
      </c>
      <c r="AC40" s="3">
        <f t="shared" ca="1" si="6"/>
        <v>0</v>
      </c>
    </row>
    <row r="41" spans="1:29">
      <c r="A41" s="6" t="s">
        <v>235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45081</v>
      </c>
      <c r="K41">
        <f ca="1"/>
        <v>28.604815625642068</v>
      </c>
      <c r="L41">
        <f ca="1"/>
        <v>0</v>
      </c>
      <c r="M41">
        <f ca="1"/>
        <v>-5.7556974314578291E-2</v>
      </c>
      <c r="N41">
        <f ca="1"/>
        <v>0.20134138083024905</v>
      </c>
      <c r="O41">
        <f ca="1"/>
        <v>0</v>
      </c>
      <c r="P41">
        <f ca="1"/>
        <v>0</v>
      </c>
      <c r="Q41">
        <f ca="1"/>
        <v>0</v>
      </c>
      <c r="R41">
        <f ca="1"/>
        <v>0.68842256272378566</v>
      </c>
      <c r="S41">
        <f ca="1"/>
        <v>1</v>
      </c>
      <c r="T41">
        <f ca="1"/>
        <v>3.0399999999999991</v>
      </c>
      <c r="U41">
        <f ca="1"/>
        <v>0</v>
      </c>
      <c r="V41">
        <f ca="1"/>
        <v>0</v>
      </c>
      <c r="X41" s="2">
        <f t="shared" ca="1" si="1"/>
        <v>45081</v>
      </c>
      <c r="Y41">
        <f t="shared" ca="1" si="2"/>
        <v>0</v>
      </c>
      <c r="AA41" s="63">
        <f t="shared" ca="1" si="4"/>
        <v>29.293238188365855</v>
      </c>
      <c r="AB41" s="63">
        <f t="shared" ca="1" si="5"/>
        <v>29.293238188365855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45082</v>
      </c>
      <c r="K42">
        <f ca="1"/>
        <v>28.296422361617406</v>
      </c>
      <c r="L42">
        <f ca="1"/>
        <v>0</v>
      </c>
      <c r="M42">
        <f ca="1"/>
        <v>-5.5226269854161458E-2</v>
      </c>
      <c r="N42">
        <f ca="1"/>
        <v>0.20382022696961694</v>
      </c>
      <c r="O42">
        <f ca="1"/>
        <v>0</v>
      </c>
      <c r="P42">
        <f ca="1"/>
        <v>0</v>
      </c>
      <c r="Q42">
        <f ca="1"/>
        <v>0</v>
      </c>
      <c r="R42">
        <f ca="1"/>
        <v>0.45698722114012102</v>
      </c>
      <c r="S42">
        <f ca="1"/>
        <v>1</v>
      </c>
      <c r="T42">
        <f ca="1"/>
        <v>2.0399999999999991</v>
      </c>
      <c r="U42">
        <f ca="1"/>
        <v>0</v>
      </c>
      <c r="V42">
        <f ca="1"/>
        <v>0</v>
      </c>
      <c r="X42" s="2">
        <f t="shared" ca="1" si="1"/>
        <v>45082</v>
      </c>
      <c r="Y42">
        <f t="shared" ca="1" si="2"/>
        <v>0</v>
      </c>
      <c r="AA42" s="63">
        <f t="shared" ca="1" si="4"/>
        <v>28.753409582757527</v>
      </c>
      <c r="AB42" s="63">
        <f t="shared" ca="1" si="5"/>
        <v>28.753409582757527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45083</v>
      </c>
      <c r="K43">
        <f ca="1"/>
        <v>27.968582741691439</v>
      </c>
      <c r="L43">
        <f ca="1"/>
        <v>0</v>
      </c>
      <c r="M43">
        <f ca="1"/>
        <v>-5.2250628777850139E-2</v>
      </c>
      <c r="N43">
        <f ca="1"/>
        <v>0.2026737737348096</v>
      </c>
      <c r="O43">
        <f ca="1"/>
        <v>0</v>
      </c>
      <c r="P43">
        <f ca="1"/>
        <v>0</v>
      </c>
      <c r="Q43">
        <f ca="1"/>
        <v>0</v>
      </c>
      <c r="R43">
        <f ca="1"/>
        <v>0.47826276488292291</v>
      </c>
      <c r="S43">
        <f ca="1"/>
        <v>1</v>
      </c>
      <c r="T43">
        <f ca="1"/>
        <v>2.1599999999999966</v>
      </c>
      <c r="U43">
        <f ca="1"/>
        <v>0</v>
      </c>
      <c r="V43">
        <f ca="1"/>
        <v>0</v>
      </c>
      <c r="X43" s="2">
        <f t="shared" ca="1" si="1"/>
        <v>45083</v>
      </c>
      <c r="Y43">
        <f t="shared" ca="1" si="2"/>
        <v>0</v>
      </c>
      <c r="AA43" s="63">
        <f t="shared" ca="1" si="4"/>
        <v>28.446845506574363</v>
      </c>
      <c r="AB43" s="63">
        <f t="shared" ca="1" si="5"/>
        <v>28.446845506574363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45084</v>
      </c>
      <c r="K44">
        <f ca="1"/>
        <v>27.741249105951702</v>
      </c>
      <c r="L44">
        <f ca="1"/>
        <v>0</v>
      </c>
      <c r="M44">
        <f ca="1"/>
        <v>-4.9976640655777338E-2</v>
      </c>
      <c r="N44">
        <f ca="1"/>
        <v>0.20477871135052383</v>
      </c>
      <c r="O44">
        <f ca="1"/>
        <v>0</v>
      </c>
      <c r="P44">
        <f ca="1"/>
        <v>0</v>
      </c>
      <c r="Q44">
        <f ca="1"/>
        <v>0</v>
      </c>
      <c r="R44">
        <f ca="1"/>
        <v>0.38213570643448358</v>
      </c>
      <c r="S44">
        <f ca="1"/>
        <v>1</v>
      </c>
      <c r="T44">
        <f ca="1"/>
        <v>1.7399999999999949</v>
      </c>
      <c r="U44">
        <f ca="1"/>
        <v>0</v>
      </c>
      <c r="V44">
        <f ca="1"/>
        <v>0</v>
      </c>
      <c r="X44" s="2">
        <f t="shared" ca="1" si="1"/>
        <v>45084</v>
      </c>
      <c r="Y44">
        <f t="shared" ca="1" si="2"/>
        <v>0</v>
      </c>
      <c r="AA44" s="63">
        <f t="shared" ca="1" si="4"/>
        <v>28.123384812386185</v>
      </c>
      <c r="AB44" s="63">
        <f t="shared" ca="1" si="5"/>
        <v>28.123384812386185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45308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45085</v>
      </c>
      <c r="K45">
        <f ca="1"/>
        <v>27.593125859984216</v>
      </c>
      <c r="L45">
        <f ca="1"/>
        <v>0</v>
      </c>
      <c r="M45">
        <f ca="1"/>
        <v>-4.8324239305463479E-2</v>
      </c>
      <c r="N45">
        <f ca="1"/>
        <v>0.21039371654730044</v>
      </c>
      <c r="O45">
        <f ca="1"/>
        <v>0</v>
      </c>
      <c r="P45">
        <f ca="1"/>
        <v>0</v>
      </c>
      <c r="Q45">
        <f ca="1"/>
        <v>0</v>
      </c>
      <c r="R45">
        <f ca="1"/>
        <v>0.3101927232093214</v>
      </c>
      <c r="S45">
        <f ca="1"/>
        <v>1</v>
      </c>
      <c r="T45">
        <f ca="1"/>
        <v>1.4199999999999946</v>
      </c>
      <c r="U45">
        <f ca="1"/>
        <v>0</v>
      </c>
      <c r="V45">
        <f ca="1"/>
        <v>0</v>
      </c>
      <c r="X45" s="2">
        <f t="shared" ca="1" si="1"/>
        <v>45085</v>
      </c>
      <c r="Y45">
        <f t="shared" ca="1" si="2"/>
        <v>0</v>
      </c>
      <c r="AA45" s="63">
        <f t="shared" ca="1" si="4"/>
        <v>27.903318583193538</v>
      </c>
      <c r="AB45" s="63">
        <f t="shared" ca="1" si="5"/>
        <v>27.903318583193538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45086</v>
      </c>
      <c r="K46">
        <f ca="1"/>
        <v>26.951355580017786</v>
      </c>
      <c r="L46">
        <f ca="1"/>
        <v>0</v>
      </c>
      <c r="M46">
        <f ca="1"/>
        <v>-4.6945502694904384E-2</v>
      </c>
      <c r="N46">
        <f ca="1"/>
        <v>0.2180954854107606</v>
      </c>
      <c r="O46">
        <f ca="1"/>
        <v>0</v>
      </c>
      <c r="P46">
        <f ca="1"/>
        <v>0</v>
      </c>
      <c r="Q46">
        <f ca="1"/>
        <v>0</v>
      </c>
      <c r="R46">
        <f ca="1"/>
        <v>0.81292026268228679</v>
      </c>
      <c r="S46">
        <f ca="1"/>
        <v>1</v>
      </c>
      <c r="T46">
        <f ca="1"/>
        <v>3.8100000000000023</v>
      </c>
      <c r="U46">
        <f ca="1"/>
        <v>0</v>
      </c>
      <c r="V46">
        <f ca="1"/>
        <v>0</v>
      </c>
      <c r="X46" s="2">
        <f t="shared" ca="1" si="1"/>
        <v>45086</v>
      </c>
      <c r="Y46">
        <f t="shared" ca="1" si="2"/>
        <v>0</v>
      </c>
      <c r="AA46" s="63">
        <f t="shared" ca="1" si="4"/>
        <v>27.764275842700073</v>
      </c>
      <c r="AB46" s="63">
        <f t="shared" ca="1" si="5"/>
        <v>27.764275842700073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45428</v>
      </c>
      <c r="H47" t="b">
        <f t="shared" ca="1" si="3"/>
        <v>1</v>
      </c>
      <c r="I47" t="b">
        <f t="shared" ca="1" si="0"/>
        <v>1</v>
      </c>
      <c r="J47" s="2">
        <f ca="1"/>
        <v>45087</v>
      </c>
      <c r="K47">
        <f ca="1"/>
        <v>25.916994771304719</v>
      </c>
      <c r="L47">
        <f ca="1"/>
        <v>0</v>
      </c>
      <c r="M47">
        <f ca="1"/>
        <v>-4.4368057048247422E-2</v>
      </c>
      <c r="N47">
        <f ca="1"/>
        <v>0.21849511702547286</v>
      </c>
      <c r="O47">
        <f ca="1"/>
        <v>0</v>
      </c>
      <c r="P47">
        <f ca="1"/>
        <v>0</v>
      </c>
      <c r="Q47">
        <f ca="1"/>
        <v>0</v>
      </c>
      <c r="R47">
        <f ca="1"/>
        <v>1.2084878686902962</v>
      </c>
      <c r="S47">
        <f ca="1"/>
        <v>1</v>
      </c>
      <c r="T47">
        <f ca="1"/>
        <v>5.8900000000000006</v>
      </c>
      <c r="U47">
        <f ca="1"/>
        <v>0</v>
      </c>
      <c r="V47">
        <f ca="1"/>
        <v>0</v>
      </c>
      <c r="X47" s="2">
        <f t="shared" ca="1" si="1"/>
        <v>45087</v>
      </c>
      <c r="Y47">
        <f t="shared" ca="1" si="2"/>
        <v>0</v>
      </c>
      <c r="AA47" s="63">
        <f t="shared" ca="1" si="4"/>
        <v>27.12548263999501</v>
      </c>
      <c r="AB47" s="63">
        <f t="shared" ca="1" si="5"/>
        <v>27.125482639995013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45088</v>
      </c>
      <c r="K48">
        <f ca="1"/>
        <v>25.383330834160372</v>
      </c>
      <c r="L48">
        <f ca="1"/>
        <v>0</v>
      </c>
      <c r="M48">
        <f ca="1"/>
        <v>-4.1992840844766732E-2</v>
      </c>
      <c r="N48">
        <f ca="1"/>
        <v>0.2196967503277642</v>
      </c>
      <c r="O48">
        <f ca="1"/>
        <v>0</v>
      </c>
      <c r="P48">
        <f ca="1"/>
        <v>0</v>
      </c>
      <c r="Q48">
        <f ca="1"/>
        <v>0</v>
      </c>
      <c r="R48">
        <f ca="1"/>
        <v>0.7113678466273442</v>
      </c>
      <c r="S48">
        <f ca="1"/>
        <v>1</v>
      </c>
      <c r="T48">
        <f ca="1"/>
        <v>3.5399999999999991</v>
      </c>
      <c r="U48">
        <f ca="1"/>
        <v>0</v>
      </c>
      <c r="V48">
        <f ca="1"/>
        <v>0</v>
      </c>
      <c r="X48" s="2">
        <f t="shared" ca="1" si="1"/>
        <v>45088</v>
      </c>
      <c r="Y48">
        <f t="shared" ca="1" si="2"/>
        <v>0</v>
      </c>
      <c r="AA48" s="63">
        <f t="shared" ca="1" si="4"/>
        <v>26.094698680787715</v>
      </c>
      <c r="AB48" s="63">
        <f t="shared" ca="1" si="5"/>
        <v>26.094698680787715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45089</v>
      </c>
      <c r="K49">
        <f ca="1"/>
        <v>24.998339213918449</v>
      </c>
      <c r="L49">
        <f ca="1"/>
        <v>0</v>
      </c>
      <c r="M49">
        <f ca="1"/>
        <v>-3.9049795360860173E-2</v>
      </c>
      <c r="N49">
        <f ca="1"/>
        <v>0.21610416844520289</v>
      </c>
      <c r="O49">
        <f ca="1"/>
        <v>0</v>
      </c>
      <c r="P49">
        <f ca="1"/>
        <v>0</v>
      </c>
      <c r="Q49">
        <f ca="1"/>
        <v>0</v>
      </c>
      <c r="R49">
        <f ca="1"/>
        <v>0.56204599332626559</v>
      </c>
      <c r="S49">
        <f ca="1"/>
        <v>1</v>
      </c>
      <c r="T49">
        <f ca="1"/>
        <v>2.8399999999999963</v>
      </c>
      <c r="U49">
        <f ca="1"/>
        <v>0</v>
      </c>
      <c r="V49">
        <f ca="1"/>
        <v>0</v>
      </c>
      <c r="X49" s="2">
        <f t="shared" ca="1" si="1"/>
        <v>45089</v>
      </c>
      <c r="Y49">
        <f t="shared" ca="1" si="2"/>
        <v>0</v>
      </c>
      <c r="AA49" s="63">
        <f t="shared" ca="1" si="4"/>
        <v>25.560385207244714</v>
      </c>
      <c r="AB49" s="63">
        <f t="shared" ca="1" si="5"/>
        <v>25.560385207244714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45090</v>
      </c>
      <c r="K50">
        <f ca="1"/>
        <v>24.756959069079638</v>
      </c>
      <c r="L50">
        <f ca="1"/>
        <v>0</v>
      </c>
      <c r="M50">
        <f ca="1"/>
        <v>-3.6267960420594214E-2</v>
      </c>
      <c r="N50">
        <f ca="1"/>
        <v>0.21235203788413951</v>
      </c>
      <c r="O50">
        <f ca="1"/>
        <v>0</v>
      </c>
      <c r="P50">
        <f ca="1"/>
        <v>0</v>
      </c>
      <c r="Q50">
        <f ca="1"/>
        <v>0</v>
      </c>
      <c r="R50">
        <f ca="1"/>
        <v>0.41746422230235591</v>
      </c>
      <c r="S50">
        <f ca="1"/>
        <v>1</v>
      </c>
      <c r="T50">
        <f ca="1"/>
        <v>2.1300000000000026</v>
      </c>
      <c r="U50">
        <f ca="1"/>
        <v>0</v>
      </c>
      <c r="V50">
        <f ca="1"/>
        <v>0</v>
      </c>
      <c r="X50" s="2">
        <f t="shared" ca="1" si="1"/>
        <v>45090</v>
      </c>
      <c r="Y50">
        <f t="shared" ca="1" si="2"/>
        <v>0</v>
      </c>
      <c r="AA50" s="63">
        <f t="shared" ca="1" si="4"/>
        <v>25.174423291381995</v>
      </c>
      <c r="AB50" s="63">
        <f t="shared" ca="1" si="5"/>
        <v>25.174423291381995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45091</v>
      </c>
      <c r="K51">
        <f ca="1"/>
        <v>24.544634064282125</v>
      </c>
      <c r="L51">
        <f ca="1"/>
        <v>0</v>
      </c>
      <c r="M51">
        <f ca="1"/>
        <v>-3.2815480396986452E-2</v>
      </c>
      <c r="N51">
        <f ca="1"/>
        <v>0.20134138083024905</v>
      </c>
      <c r="O51">
        <f ca="1"/>
        <v>0</v>
      </c>
      <c r="P51">
        <f ca="1"/>
        <v>0</v>
      </c>
      <c r="Q51">
        <f ca="1"/>
        <v>0</v>
      </c>
      <c r="R51">
        <f ca="1"/>
        <v>0.38085090523077636</v>
      </c>
      <c r="S51">
        <f ca="1"/>
        <v>1</v>
      </c>
      <c r="T51">
        <f ca="1"/>
        <v>1.9599999999999937</v>
      </c>
      <c r="U51">
        <f ca="1"/>
        <v>0</v>
      </c>
      <c r="V51">
        <f ca="1"/>
        <v>0</v>
      </c>
      <c r="X51" s="2">
        <f t="shared" ca="1" si="1"/>
        <v>45091</v>
      </c>
      <c r="Y51">
        <f t="shared" ca="1" si="2"/>
        <v>0</v>
      </c>
      <c r="AA51" s="63">
        <f t="shared" ca="1" si="4"/>
        <v>24.925484969512901</v>
      </c>
      <c r="AB51" s="63">
        <f t="shared" ca="1" si="5"/>
        <v>24.925484969512901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45092</v>
      </c>
      <c r="K52">
        <f ca="1"/>
        <v>23.758732409365457</v>
      </c>
      <c r="L52">
        <f ca="1"/>
        <v>0</v>
      </c>
      <c r="M52">
        <f ca="1"/>
        <v>-3.1006826910443763E-2</v>
      </c>
      <c r="N52">
        <f ca="1"/>
        <v>0.20248309337282872</v>
      </c>
      <c r="O52">
        <f ca="1"/>
        <v>0</v>
      </c>
      <c r="P52">
        <f ca="1"/>
        <v>0</v>
      </c>
      <c r="Q52">
        <f ca="1"/>
        <v>0</v>
      </c>
      <c r="R52">
        <f ca="1"/>
        <v>0.95737792137905486</v>
      </c>
      <c r="S52">
        <f ca="1"/>
        <v>1</v>
      </c>
      <c r="T52">
        <f ca="1"/>
        <v>5.0899999999999963</v>
      </c>
      <c r="U52">
        <f ca="1"/>
        <v>0</v>
      </c>
      <c r="V52">
        <f ca="1"/>
        <v>0</v>
      </c>
      <c r="X52" s="2">
        <f t="shared" ca="1" si="1"/>
        <v>45092</v>
      </c>
      <c r="Y52">
        <f t="shared" ca="1" si="2"/>
        <v>0</v>
      </c>
      <c r="AA52" s="63">
        <f t="shared" ca="1" si="4"/>
        <v>24.71611033074451</v>
      </c>
      <c r="AB52" s="63">
        <f t="shared" ca="1" si="5"/>
        <v>24.716110330744513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45093</v>
      </c>
      <c r="K53">
        <f ca="1"/>
        <v>23.387414097721354</v>
      </c>
      <c r="L53">
        <f ca="1"/>
        <v>0</v>
      </c>
      <c r="M53">
        <f ca="1"/>
        <v>-2.8034150248653411E-2</v>
      </c>
      <c r="N53">
        <f ca="1"/>
        <v>0.19180038364866461</v>
      </c>
      <c r="O53">
        <f ca="1"/>
        <v>0</v>
      </c>
      <c r="P53">
        <f ca="1"/>
        <v>0</v>
      </c>
      <c r="Q53">
        <f ca="1"/>
        <v>0</v>
      </c>
      <c r="R53">
        <f ca="1"/>
        <v>0.53508454504411529</v>
      </c>
      <c r="S53">
        <f ca="1"/>
        <v>1</v>
      </c>
      <c r="T53">
        <f ca="1"/>
        <v>2.8899999999999935</v>
      </c>
      <c r="U53">
        <f ca="1"/>
        <v>0</v>
      </c>
      <c r="V53">
        <f ca="1"/>
        <v>0</v>
      </c>
      <c r="X53" s="2">
        <f t="shared" ca="1" si="1"/>
        <v>45093</v>
      </c>
      <c r="Y53">
        <f t="shared" ca="1" si="2"/>
        <v>0</v>
      </c>
      <c r="AA53" s="63">
        <f t="shared" ca="1" si="4"/>
        <v>23.922498642765468</v>
      </c>
      <c r="AB53" s="63">
        <f t="shared" ca="1" si="5"/>
        <v>23.922498642765468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45094</v>
      </c>
      <c r="K54">
        <f ca="1"/>
        <v>22.938413196231604</v>
      </c>
      <c r="L54">
        <f ca="1"/>
        <v>0</v>
      </c>
      <c r="M54">
        <f ca="1"/>
        <v>-2.6483882396173719E-2</v>
      </c>
      <c r="N54">
        <f ca="1"/>
        <v>0.193092645060289</v>
      </c>
      <c r="O54">
        <f ca="1"/>
        <v>0</v>
      </c>
      <c r="P54">
        <f ca="1"/>
        <v>0</v>
      </c>
      <c r="Q54">
        <f ca="1"/>
        <v>0</v>
      </c>
      <c r="R54">
        <f ca="1"/>
        <v>0.61560966415386564</v>
      </c>
      <c r="S54">
        <f ca="1"/>
        <v>1</v>
      </c>
      <c r="T54">
        <f ca="1"/>
        <v>3.3900000000000006</v>
      </c>
      <c r="U54">
        <f ca="1"/>
        <v>0</v>
      </c>
      <c r="V54">
        <f ca="1"/>
        <v>0</v>
      </c>
      <c r="X54" s="2">
        <f t="shared" ca="1" si="1"/>
        <v>45094</v>
      </c>
      <c r="Y54">
        <f t="shared" ca="1" si="2"/>
        <v>0</v>
      </c>
      <c r="AA54" s="63">
        <f t="shared" ca="1" si="4"/>
        <v>23.554022860385469</v>
      </c>
      <c r="AB54" s="63">
        <f t="shared" ca="1" si="5"/>
        <v>23.554022860385469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45095</v>
      </c>
      <c r="K55">
        <f ca="1"/>
        <v>22.471714459573473</v>
      </c>
      <c r="L55">
        <f ca="1"/>
        <v>0</v>
      </c>
      <c r="M55">
        <f ca="1"/>
        <v>-2.575232622341872E-2</v>
      </c>
      <c r="N55">
        <f ca="1"/>
        <v>0.20305547311923097</v>
      </c>
      <c r="O55">
        <f ca="1"/>
        <v>0</v>
      </c>
      <c r="P55">
        <f ca="1"/>
        <v>0</v>
      </c>
      <c r="Q55">
        <f ca="1"/>
        <v>0</v>
      </c>
      <c r="R55">
        <f ca="1"/>
        <v>0.64400188355394272</v>
      </c>
      <c r="S55">
        <f ca="1"/>
        <v>1</v>
      </c>
      <c r="T55">
        <f ca="1"/>
        <v>3.6199999999999974</v>
      </c>
      <c r="U55">
        <f ca="1"/>
        <v>0</v>
      </c>
      <c r="V55">
        <f ca="1"/>
        <v>0</v>
      </c>
      <c r="X55" s="2">
        <f t="shared" ca="1" si="1"/>
        <v>45095</v>
      </c>
      <c r="Y55">
        <f t="shared" ca="1" si="2"/>
        <v>0</v>
      </c>
      <c r="AA55" s="63">
        <f t="shared" ca="1" si="4"/>
        <v>23.115716343127417</v>
      </c>
      <c r="AB55" s="63">
        <f t="shared" ca="1" si="5"/>
        <v>23.115716343127417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45096</v>
      </c>
      <c r="K56">
        <f ca="1"/>
        <v>22.129584379600242</v>
      </c>
      <c r="L56">
        <f ca="1"/>
        <v>0</v>
      </c>
      <c r="M56">
        <f ca="1"/>
        <v>-2.35048314903894E-2</v>
      </c>
      <c r="N56">
        <f ca="1"/>
        <v>0.1964408279523531</v>
      </c>
      <c r="O56">
        <f ca="1"/>
        <v>0</v>
      </c>
      <c r="P56">
        <f ca="1"/>
        <v>0</v>
      </c>
      <c r="Q56">
        <f ca="1"/>
        <v>0</v>
      </c>
      <c r="R56">
        <f ca="1"/>
        <v>0.5150660764351952</v>
      </c>
      <c r="S56">
        <f ca="1"/>
        <v>1</v>
      </c>
      <c r="T56">
        <f ca="1"/>
        <v>2.9399999999999977</v>
      </c>
      <c r="U56">
        <f ca="1"/>
        <v>0</v>
      </c>
      <c r="V56">
        <f ca="1"/>
        <v>0</v>
      </c>
      <c r="X56" s="2">
        <f t="shared" ca="1" si="1"/>
        <v>45096</v>
      </c>
      <c r="Y56">
        <f t="shared" ca="1" si="2"/>
        <v>0</v>
      </c>
      <c r="AA56" s="63">
        <f t="shared" ca="1" si="4"/>
        <v>22.644650456035439</v>
      </c>
      <c r="AB56" s="63">
        <f t="shared" ca="1" si="5"/>
        <v>22.644650456035439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45097</v>
      </c>
      <c r="K57">
        <f ca="1"/>
        <v>21.51811380834252</v>
      </c>
      <c r="L57">
        <f ca="1"/>
        <v>0</v>
      </c>
      <c r="M57">
        <f ca="1"/>
        <v>-2.218958792623571E-2</v>
      </c>
      <c r="N57">
        <f ca="1"/>
        <v>0.19944754655180394</v>
      </c>
      <c r="O57">
        <f ca="1"/>
        <v>0</v>
      </c>
      <c r="P57">
        <f ca="1"/>
        <v>0</v>
      </c>
      <c r="Q57">
        <f ca="1"/>
        <v>0</v>
      </c>
      <c r="R57">
        <f ca="1"/>
        <v>0.78872852988328868</v>
      </c>
      <c r="S57">
        <f ca="1"/>
        <v>1</v>
      </c>
      <c r="T57">
        <f ca="1"/>
        <v>4.6300000000000026</v>
      </c>
      <c r="U57">
        <f ca="1"/>
        <v>0</v>
      </c>
      <c r="V57">
        <f ca="1"/>
        <v>0</v>
      </c>
      <c r="X57" s="2">
        <f t="shared" ca="1" si="1"/>
        <v>45097</v>
      </c>
      <c r="Y57">
        <f t="shared" ca="1" si="2"/>
        <v>0</v>
      </c>
      <c r="AA57" s="63">
        <f t="shared" ca="1" si="4"/>
        <v>22.30684233822581</v>
      </c>
      <c r="AB57" s="63">
        <f t="shared" ca="1" si="5"/>
        <v>22.30684233822581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45098</v>
      </c>
      <c r="K58">
        <f ca="1"/>
        <v>21.543627181312765</v>
      </c>
      <c r="L58">
        <f ca="1"/>
        <v>0</v>
      </c>
      <c r="M58">
        <f ca="1"/>
        <v>-2.0814130445437229E-2</v>
      </c>
      <c r="N58">
        <f ca="1"/>
        <v>0.20153138423439018</v>
      </c>
      <c r="O58">
        <f ca="1"/>
        <v>0</v>
      </c>
      <c r="P58">
        <f ca="1"/>
        <v>0</v>
      </c>
      <c r="Q58">
        <f ca="1"/>
        <v>0</v>
      </c>
      <c r="R58">
        <f ca="1"/>
        <v>0.15520388081870801</v>
      </c>
      <c r="S58">
        <f ca="1"/>
        <v>1</v>
      </c>
      <c r="T58">
        <f ca="1"/>
        <v>0.91000000000000369</v>
      </c>
      <c r="U58">
        <f ca="1"/>
        <v>0</v>
      </c>
      <c r="V58">
        <f ca="1"/>
        <v>0</v>
      </c>
      <c r="X58" s="2">
        <f t="shared" ca="1" si="1"/>
        <v>45098</v>
      </c>
      <c r="Y58">
        <f t="shared" ca="1" si="2"/>
        <v>0</v>
      </c>
      <c r="AA58" s="63">
        <f t="shared" ca="1" si="4"/>
        <v>21.698831062131472</v>
      </c>
      <c r="AB58" s="63">
        <f t="shared" ca="1" si="5"/>
        <v>21.698831062131472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45099</v>
      </c>
      <c r="K59">
        <f ca="1"/>
        <v>21.569606118483023</v>
      </c>
      <c r="L59">
        <f ca="1"/>
        <v>0</v>
      </c>
      <c r="M59">
        <f ca="1"/>
        <v>-1.8887243552491384E-2</v>
      </c>
      <c r="N59">
        <f ca="1"/>
        <v>0.19513443668151187</v>
      </c>
      <c r="O59">
        <f ca="1"/>
        <v>0</v>
      </c>
      <c r="P59">
        <f ca="1"/>
        <v>0</v>
      </c>
      <c r="Q59">
        <f ca="1"/>
        <v>0</v>
      </c>
      <c r="R59">
        <f ca="1"/>
        <v>0.15026825595876431</v>
      </c>
      <c r="S59">
        <f ca="1"/>
        <v>1</v>
      </c>
      <c r="T59">
        <f ca="1"/>
        <v>0.87999999999999545</v>
      </c>
      <c r="U59">
        <f ca="1"/>
        <v>0</v>
      </c>
      <c r="V59">
        <f ca="1"/>
        <v>0</v>
      </c>
      <c r="X59" s="2">
        <f t="shared" ca="1" si="1"/>
        <v>45099</v>
      </c>
      <c r="Y59">
        <f t="shared" ca="1" si="2"/>
        <v>0</v>
      </c>
      <c r="AA59" s="63">
        <f t="shared" ca="1" si="4"/>
        <v>21.719874374441787</v>
      </c>
      <c r="AB59" s="63">
        <f t="shared" ca="1" si="5"/>
        <v>21.719874374441787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45100</v>
      </c>
      <c r="K60">
        <f ca="1"/>
        <v>21.123966484001365</v>
      </c>
      <c r="L60">
        <f ca="1"/>
        <v>0</v>
      </c>
      <c r="M60">
        <f ca="1"/>
        <v>-1.7213678518077202E-2</v>
      </c>
      <c r="N60">
        <f ca="1"/>
        <v>0.19033022896362495</v>
      </c>
      <c r="O60">
        <f ca="1"/>
        <v>0</v>
      </c>
      <c r="P60">
        <f ca="1"/>
        <v>0</v>
      </c>
      <c r="Q60">
        <f ca="1"/>
        <v>0</v>
      </c>
      <c r="R60">
        <f ca="1"/>
        <v>0.61875618492720708</v>
      </c>
      <c r="S60">
        <f ca="1"/>
        <v>1</v>
      </c>
      <c r="T60">
        <f ca="1"/>
        <v>3.7000000000000028</v>
      </c>
      <c r="U60">
        <f ca="1"/>
        <v>0</v>
      </c>
      <c r="V60">
        <f ca="1"/>
        <v>0</v>
      </c>
      <c r="X60" s="2">
        <f t="shared" ca="1" si="1"/>
        <v>45100</v>
      </c>
      <c r="Y60">
        <f t="shared" ca="1" si="2"/>
        <v>0</v>
      </c>
      <c r="AA60" s="63">
        <f t="shared" ca="1" si="4"/>
        <v>21.742722668928572</v>
      </c>
      <c r="AB60" s="63">
        <f t="shared" ca="1" si="5"/>
        <v>21.742722668928572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45101</v>
      </c>
      <c r="K61">
        <f ca="1"/>
        <v>20.445637531796429</v>
      </c>
      <c r="L61">
        <f ca="1"/>
        <v>0</v>
      </c>
      <c r="M61">
        <f ca="1"/>
        <v>-1.6054841419054888E-2</v>
      </c>
      <c r="N61">
        <f ca="1"/>
        <v>0.19235353804321131</v>
      </c>
      <c r="O61">
        <f ca="1"/>
        <v>0</v>
      </c>
      <c r="P61">
        <f ca="1"/>
        <v>0</v>
      </c>
      <c r="Q61">
        <f ca="1"/>
        <v>0</v>
      </c>
      <c r="R61">
        <f ca="1"/>
        <v>0.85462764882909081</v>
      </c>
      <c r="S61">
        <f ca="1"/>
        <v>1</v>
      </c>
      <c r="T61">
        <f ca="1"/>
        <v>5.2800000000000011</v>
      </c>
      <c r="U61">
        <f ca="1"/>
        <v>0</v>
      </c>
      <c r="V61">
        <f ca="1"/>
        <v>0</v>
      </c>
      <c r="X61" s="2">
        <f t="shared" ca="1" si="1"/>
        <v>45101</v>
      </c>
      <c r="Y61">
        <f t="shared" ca="1" si="2"/>
        <v>0</v>
      </c>
      <c r="AA61" s="63">
        <f t="shared" ca="1" si="4"/>
        <v>21.300265180625519</v>
      </c>
      <c r="AB61" s="63">
        <f t="shared" ca="1" si="5"/>
        <v>21.300265180625519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45102</v>
      </c>
      <c r="K62">
        <f ca="1"/>
        <v>19.480321091423175</v>
      </c>
      <c r="L62">
        <f ca="1"/>
        <v>0</v>
      </c>
      <c r="M62">
        <f ca="1"/>
        <v>-1.4974850086446168E-2</v>
      </c>
      <c r="N62">
        <f ca="1"/>
        <v>0.19550712991161051</v>
      </c>
      <c r="O62">
        <f ca="1"/>
        <v>0</v>
      </c>
      <c r="P62">
        <f ca="1"/>
        <v>0</v>
      </c>
      <c r="Q62">
        <f ca="1"/>
        <v>0</v>
      </c>
      <c r="R62">
        <f ca="1"/>
        <v>1.1458487201984207</v>
      </c>
      <c r="S62">
        <f ca="1"/>
        <v>1</v>
      </c>
      <c r="T62">
        <f ca="1"/>
        <v>7.43</v>
      </c>
      <c r="U62">
        <f ca="1"/>
        <v>0</v>
      </c>
      <c r="V62">
        <f ca="1"/>
        <v>0</v>
      </c>
      <c r="X62" s="2">
        <f t="shared" ca="1" si="1"/>
        <v>45102</v>
      </c>
      <c r="Y62">
        <f t="shared" ca="1" si="2"/>
        <v>0</v>
      </c>
      <c r="AA62" s="63">
        <f t="shared" ca="1" si="4"/>
        <v>20.626169811621594</v>
      </c>
      <c r="AB62" s="63">
        <f t="shared" ca="1" si="5"/>
        <v>20.626169811621594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45103</v>
      </c>
      <c r="K63">
        <f ca="1"/>
        <v>19.280114478554502</v>
      </c>
      <c r="L63">
        <f ca="1"/>
        <v>0</v>
      </c>
      <c r="M63">
        <f ca="1"/>
        <v>-1.3411240109799216E-2</v>
      </c>
      <c r="N63">
        <f ca="1"/>
        <v>0.18868485671097293</v>
      </c>
      <c r="O63">
        <f ca="1"/>
        <v>0</v>
      </c>
      <c r="P63">
        <f ca="1"/>
        <v>0</v>
      </c>
      <c r="Q63">
        <f ca="1"/>
        <v>0</v>
      </c>
      <c r="R63">
        <f ca="1"/>
        <v>0.37548022946984794</v>
      </c>
      <c r="S63">
        <f ca="1"/>
        <v>1</v>
      </c>
      <c r="T63">
        <f ca="1"/>
        <v>2.4599999999999937</v>
      </c>
      <c r="U63">
        <f ca="1"/>
        <v>0</v>
      </c>
      <c r="V63">
        <f ca="1"/>
        <v>0</v>
      </c>
      <c r="X63" s="2">
        <f t="shared" ca="1" si="1"/>
        <v>45103</v>
      </c>
      <c r="Y63">
        <f t="shared" ca="1" si="2"/>
        <v>0</v>
      </c>
      <c r="AA63" s="63">
        <f t="shared" ca="1" si="4"/>
        <v>19.655594708024349</v>
      </c>
      <c r="AB63" s="63">
        <f t="shared" ca="1" si="5"/>
        <v>19.655594708024349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45104</v>
      </c>
      <c r="K64">
        <f ca="1"/>
        <v>19.25400853620015</v>
      </c>
      <c r="L64">
        <f ca="1"/>
        <v>0</v>
      </c>
      <c r="M64">
        <f ca="1"/>
        <v>-1.2366608640417276E-2</v>
      </c>
      <c r="N64">
        <f ca="1"/>
        <v>0.19051360684092139</v>
      </c>
      <c r="O64">
        <f ca="1"/>
        <v>0</v>
      </c>
      <c r="P64">
        <f ca="1"/>
        <v>0</v>
      </c>
      <c r="Q64">
        <f ca="1"/>
        <v>0</v>
      </c>
      <c r="R64">
        <f ca="1"/>
        <v>0.2042529405548571</v>
      </c>
      <c r="S64">
        <f ca="1"/>
        <v>1</v>
      </c>
      <c r="T64">
        <f ca="1"/>
        <v>1.3400000000000034</v>
      </c>
      <c r="U64">
        <f ca="1"/>
        <v>0</v>
      </c>
      <c r="V64">
        <f ca="1"/>
        <v>0</v>
      </c>
      <c r="X64" s="2">
        <f t="shared" ca="1" si="1"/>
        <v>45104</v>
      </c>
      <c r="Y64">
        <f t="shared" ca="1" si="2"/>
        <v>0</v>
      </c>
      <c r="AA64" s="63">
        <f t="shared" ca="1" si="4"/>
        <v>19.458261476755006</v>
      </c>
      <c r="AB64" s="63">
        <f t="shared" ca="1" si="5"/>
        <v>19.458261476755006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45105</v>
      </c>
      <c r="K65">
        <f ca="1"/>
        <v>18.784267865320583</v>
      </c>
      <c r="L65">
        <f ca="1"/>
        <v>0</v>
      </c>
      <c r="M65">
        <f ca="1"/>
        <v>-1.117789316136264E-2</v>
      </c>
      <c r="N65">
        <f ca="1"/>
        <v>0.18832044689377292</v>
      </c>
      <c r="O65">
        <f ca="1"/>
        <v>0</v>
      </c>
      <c r="P65">
        <f ca="1"/>
        <v>0</v>
      </c>
      <c r="Q65">
        <f ca="1"/>
        <v>0</v>
      </c>
      <c r="R65">
        <f ca="1"/>
        <v>0.64688322461197756</v>
      </c>
      <c r="S65">
        <f ca="1"/>
        <v>1</v>
      </c>
      <c r="T65">
        <f ca="1"/>
        <v>4.3500000000000014</v>
      </c>
      <c r="U65">
        <f ca="1"/>
        <v>0</v>
      </c>
      <c r="V65">
        <f ca="1"/>
        <v>0</v>
      </c>
      <c r="X65" s="2">
        <f t="shared" ca="1" si="1"/>
        <v>45105</v>
      </c>
      <c r="Y65">
        <f t="shared" ca="1" si="2"/>
        <v>0</v>
      </c>
      <c r="AA65" s="63">
        <f t="shared" ca="1" si="4"/>
        <v>19.431151089932559</v>
      </c>
      <c r="AB65" s="63">
        <f t="shared" ca="1" si="5"/>
        <v>19.431151089932559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45106</v>
      </c>
      <c r="K66">
        <f ca="1"/>
        <v>18.38634433439103</v>
      </c>
      <c r="L66">
        <f ca="1"/>
        <v>0</v>
      </c>
      <c r="M66">
        <f ca="1"/>
        <v>-1.0203013333279998E-2</v>
      </c>
      <c r="N66">
        <f ca="1"/>
        <v>0.19014696288002342</v>
      </c>
      <c r="O66">
        <f ca="1"/>
        <v>0</v>
      </c>
      <c r="P66">
        <f ca="1"/>
        <v>0</v>
      </c>
      <c r="Q66">
        <f ca="1"/>
        <v>0</v>
      </c>
      <c r="R66">
        <f ca="1"/>
        <v>0.57786748047629788</v>
      </c>
      <c r="S66">
        <f ca="1"/>
        <v>1</v>
      </c>
      <c r="T66">
        <f ca="1"/>
        <v>3.9699999999999989</v>
      </c>
      <c r="U66">
        <f ca="1"/>
        <v>0</v>
      </c>
      <c r="V66">
        <f ca="1"/>
        <v>0</v>
      </c>
      <c r="X66" s="2">
        <f t="shared" ca="1" si="1"/>
        <v>45106</v>
      </c>
      <c r="Y66">
        <f t="shared" ca="1" si="2"/>
        <v>0</v>
      </c>
      <c r="AA66" s="63">
        <f t="shared" ca="1" si="4"/>
        <v>18.96421181486733</v>
      </c>
      <c r="AB66" s="63">
        <f t="shared" ca="1" si="5"/>
        <v>18.964211814867326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45107</v>
      </c>
      <c r="K67">
        <f ca="1"/>
        <v>17.705467694730601</v>
      </c>
      <c r="L67">
        <f ca="1"/>
        <v>0</v>
      </c>
      <c r="M67">
        <f ca="1"/>
        <v>-9.2403820627318112E-3</v>
      </c>
      <c r="N67">
        <f ca="1"/>
        <v>0.19180038364866461</v>
      </c>
      <c r="O67">
        <f ca="1"/>
        <v>0</v>
      </c>
      <c r="P67">
        <f ca="1"/>
        <v>0</v>
      </c>
      <c r="Q67">
        <f ca="1"/>
        <v>0</v>
      </c>
      <c r="R67">
        <f ca="1"/>
        <v>0.86343664124636199</v>
      </c>
      <c r="S67">
        <f ca="1"/>
        <v>1</v>
      </c>
      <c r="T67">
        <f ca="1"/>
        <v>6.1599999999999966</v>
      </c>
      <c r="U67">
        <f ca="1"/>
        <v>0</v>
      </c>
      <c r="V67">
        <f ca="1"/>
        <v>0</v>
      </c>
      <c r="X67" s="2">
        <f t="shared" ca="1" si="1"/>
        <v>45107</v>
      </c>
      <c r="Y67">
        <f t="shared" ca="1" si="2"/>
        <v>0</v>
      </c>
      <c r="AA67" s="63">
        <f t="shared" ca="1" si="4"/>
        <v>18.568904335976963</v>
      </c>
      <c r="AB67" s="63">
        <f t="shared" ca="1" si="5"/>
        <v>18.568904335976963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45108</v>
      </c>
      <c r="K68">
        <f ca="1"/>
        <v>17.587314565750457</v>
      </c>
      <c r="L68">
        <f ca="1"/>
        <v>0</v>
      </c>
      <c r="M68">
        <f ca="1"/>
        <v>-7.9270969164024763E-3</v>
      </c>
      <c r="N68">
        <f ca="1"/>
        <v>0.18077074352207492</v>
      </c>
      <c r="O68">
        <f ca="1"/>
        <v>0</v>
      </c>
      <c r="P68">
        <f ca="1"/>
        <v>0</v>
      </c>
      <c r="Q68">
        <f ca="1"/>
        <v>0</v>
      </c>
      <c r="R68">
        <f ca="1"/>
        <v>0.29099677558581233</v>
      </c>
      <c r="S68">
        <f ca="1"/>
        <v>1</v>
      </c>
      <c r="T68">
        <f ca="1"/>
        <v>2.0899999999999963</v>
      </c>
      <c r="U68">
        <f ca="1"/>
        <v>0</v>
      </c>
      <c r="V68">
        <f ca="1"/>
        <v>0</v>
      </c>
      <c r="X68" s="2">
        <f t="shared" ca="1" si="1"/>
        <v>45108</v>
      </c>
      <c r="Y68">
        <f t="shared" ca="1" si="2"/>
        <v>0</v>
      </c>
      <c r="AA68" s="63">
        <f t="shared" ca="1" si="4"/>
        <v>17.878311341336271</v>
      </c>
      <c r="AB68" s="63">
        <f t="shared" ca="1" si="5"/>
        <v>17.878311341336271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45109</v>
      </c>
      <c r="K69">
        <f ca="1"/>
        <v>17.349064419537751</v>
      </c>
      <c r="L69">
        <f ca="1"/>
        <v>0</v>
      </c>
      <c r="M69">
        <f ca="1"/>
        <v>-6.8325284601424841E-3</v>
      </c>
      <c r="N69">
        <f ca="1"/>
        <v>0.17238185661217495</v>
      </c>
      <c r="O69">
        <f ca="1"/>
        <v>0</v>
      </c>
      <c r="P69">
        <f ca="1"/>
        <v>0</v>
      </c>
      <c r="Q69">
        <f ca="1"/>
        <v>0</v>
      </c>
      <c r="R69">
        <f ca="1"/>
        <v>0.40379947436474184</v>
      </c>
      <c r="S69">
        <f ca="1"/>
        <v>1</v>
      </c>
      <c r="T69">
        <f ca="1"/>
        <v>2.9400000000000048</v>
      </c>
      <c r="U69">
        <f ca="1"/>
        <v>0</v>
      </c>
      <c r="V69">
        <f ca="1"/>
        <v>0</v>
      </c>
      <c r="X69" s="2">
        <f t="shared" ca="1" si="1"/>
        <v>45109</v>
      </c>
      <c r="Y69">
        <f t="shared" ca="1" si="2"/>
        <v>0</v>
      </c>
      <c r="AA69" s="63">
        <f t="shared" ca="1" si="4"/>
        <v>17.752863893902493</v>
      </c>
      <c r="AB69" s="63">
        <f t="shared" ca="1" si="5"/>
        <v>17.752863893902493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45110</v>
      </c>
      <c r="K70">
        <f ca="1"/>
        <v>17.244562439413105</v>
      </c>
      <c r="L70">
        <f ca="1"/>
        <v>0</v>
      </c>
      <c r="M70">
        <f ca="1"/>
        <v>-6.0918217853274115E-3</v>
      </c>
      <c r="N70">
        <f ca="1"/>
        <v>0.17462874695139194</v>
      </c>
      <c r="O70">
        <f ca="1"/>
        <v>0</v>
      </c>
      <c r="P70">
        <f ca="1"/>
        <v>0</v>
      </c>
      <c r="Q70">
        <f ca="1"/>
        <v>0</v>
      </c>
      <c r="R70">
        <f ca="1"/>
        <v>0.27303890529070746</v>
      </c>
      <c r="S70">
        <f ca="1"/>
        <v>1</v>
      </c>
      <c r="T70">
        <f ca="1"/>
        <v>2</v>
      </c>
      <c r="U70">
        <f ca="1"/>
        <v>0</v>
      </c>
      <c r="V70">
        <f ca="1"/>
        <v>0</v>
      </c>
      <c r="X70" s="2">
        <f t="shared" ca="1" si="1"/>
        <v>45110</v>
      </c>
      <c r="Y70">
        <f t="shared" ca="1" si="2"/>
        <v>0</v>
      </c>
      <c r="AA70" s="63">
        <f t="shared" ca="1" si="4"/>
        <v>17.517601344703813</v>
      </c>
      <c r="AB70" s="63">
        <f t="shared" ca="1" si="5"/>
        <v>17.517601344703813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45111</v>
      </c>
      <c r="K71">
        <f ca="1"/>
        <v>16.891288820113903</v>
      </c>
      <c r="L71">
        <f ca="1"/>
        <v>0</v>
      </c>
      <c r="M71">
        <f ca="1"/>
        <v>-5.4810864138552517E-3</v>
      </c>
      <c r="N71">
        <f ca="1"/>
        <v>0.18308659865681695</v>
      </c>
      <c r="O71">
        <f ca="1"/>
        <v>0</v>
      </c>
      <c r="P71">
        <f ca="1"/>
        <v>0</v>
      </c>
      <c r="Q71">
        <f ca="1"/>
        <v>0</v>
      </c>
      <c r="R71">
        <f ca="1"/>
        <v>0.53087913154216315</v>
      </c>
      <c r="S71">
        <f ca="1"/>
        <v>1</v>
      </c>
      <c r="T71">
        <f ca="1"/>
        <v>3.9699999999999989</v>
      </c>
      <c r="U71">
        <f ca="1"/>
        <v>0</v>
      </c>
      <c r="V71">
        <f ca="1"/>
        <v>0</v>
      </c>
      <c r="X71" s="2">
        <f t="shared" ref="X71:X134" ca="1" si="8">IFERROR(J71,$X$5)</f>
        <v>45111</v>
      </c>
      <c r="Y71">
        <f t="shared" ref="Y71:Y134" ca="1" si="9">IFERROR(O71,0)</f>
        <v>0</v>
      </c>
      <c r="AA71" s="63">
        <f t="shared" ca="1" si="4"/>
        <v>17.422167951656068</v>
      </c>
      <c r="AB71" s="63">
        <f t="shared" ca="1" si="5"/>
        <v>17.422167951656068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45112</v>
      </c>
      <c r="K72">
        <f ca="1"/>
        <v>16.87555642999455</v>
      </c>
      <c r="L72">
        <f ca="1"/>
        <v>0</v>
      </c>
      <c r="M72">
        <f ca="1"/>
        <v>-4.8322356976244762E-3</v>
      </c>
      <c r="N72">
        <f ca="1"/>
        <v>0.19216904128587201</v>
      </c>
      <c r="O72">
        <f ca="1"/>
        <v>0</v>
      </c>
      <c r="P72">
        <f ca="1"/>
        <v>0</v>
      </c>
      <c r="Q72">
        <f ca="1"/>
        <v>0</v>
      </c>
      <c r="R72">
        <f ca="1"/>
        <v>0.20306919570760149</v>
      </c>
      <c r="S72">
        <f ca="1"/>
        <v>1</v>
      </c>
      <c r="T72">
        <f ca="1"/>
        <v>1.5200000000000031</v>
      </c>
      <c r="U72">
        <f ca="1"/>
        <v>0</v>
      </c>
      <c r="V72">
        <f ca="1"/>
        <v>0</v>
      </c>
      <c r="X72" s="2">
        <f t="shared" ca="1" si="8"/>
        <v>45112</v>
      </c>
      <c r="Y72">
        <f t="shared" ca="1" si="9"/>
        <v>0</v>
      </c>
      <c r="AA72" s="63">
        <f t="shared" ca="1" si="4"/>
        <v>17.078625625702152</v>
      </c>
      <c r="AB72" s="63">
        <f t="shared" ca="1" si="5"/>
        <v>17.078625625702152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45113</v>
      </c>
      <c r="K73">
        <f ca="1"/>
        <v>16.650229864065476</v>
      </c>
      <c r="L73">
        <f ca="1"/>
        <v>0</v>
      </c>
      <c r="M73">
        <f ca="1"/>
        <v>-3.9959817201031811E-3</v>
      </c>
      <c r="N73">
        <f ca="1"/>
        <v>0.19124823663101764</v>
      </c>
      <c r="O73">
        <f ca="1"/>
        <v>0</v>
      </c>
      <c r="P73">
        <f ca="1"/>
        <v>0</v>
      </c>
      <c r="Q73">
        <f ca="1"/>
        <v>0</v>
      </c>
      <c r="R73">
        <f ca="1"/>
        <v>0.41257882083998865</v>
      </c>
      <c r="S73">
        <f ca="1"/>
        <v>1</v>
      </c>
      <c r="T73">
        <f ca="1"/>
        <v>3.1299999999999955</v>
      </c>
      <c r="U73">
        <f ca="1"/>
        <v>0</v>
      </c>
      <c r="V73">
        <f ca="1"/>
        <v>0</v>
      </c>
      <c r="X73" s="2">
        <f t="shared" ca="1" si="8"/>
        <v>45113</v>
      </c>
      <c r="Y73">
        <f t="shared" ca="1" si="9"/>
        <v>0</v>
      </c>
      <c r="AA73" s="63">
        <f t="shared" ref="AA73:AA136" ca="1" si="11">K72+M73+N73+O73</f>
        <v>17.062808684905466</v>
      </c>
      <c r="AB73" s="63">
        <f t="shared" ref="AB73:AB136" ca="1" si="12">K73+L73+R73</f>
        <v>17.062808684905466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45114</v>
      </c>
      <c r="K74">
        <f ca="1"/>
        <v>16.644792659911786</v>
      </c>
      <c r="L74">
        <f ca="1"/>
        <v>0</v>
      </c>
      <c r="M74">
        <f ca="1"/>
        <v>-3.1981052062333148E-3</v>
      </c>
      <c r="N74">
        <f ca="1"/>
        <v>0.19014696288002342</v>
      </c>
      <c r="O74">
        <f ca="1"/>
        <v>0</v>
      </c>
      <c r="P74">
        <f ca="1"/>
        <v>0</v>
      </c>
      <c r="Q74">
        <f ca="1"/>
        <v>0</v>
      </c>
      <c r="R74">
        <f ca="1"/>
        <v>0.19238606182748053</v>
      </c>
      <c r="S74">
        <f ca="1"/>
        <v>1</v>
      </c>
      <c r="T74">
        <f ca="1"/>
        <v>1.4600000000000009</v>
      </c>
      <c r="U74">
        <f ca="1"/>
        <v>0</v>
      </c>
      <c r="V74">
        <f ca="1"/>
        <v>0</v>
      </c>
      <c r="X74" s="2">
        <f t="shared" ca="1" si="8"/>
        <v>45114</v>
      </c>
      <c r="Y74">
        <f t="shared" ca="1" si="9"/>
        <v>0</v>
      </c>
      <c r="AA74" s="63">
        <f t="shared" ca="1" si="11"/>
        <v>16.837178721739267</v>
      </c>
      <c r="AB74" s="63">
        <f t="shared" ca="1" si="12"/>
        <v>16.837178721739267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45115</v>
      </c>
      <c r="K75">
        <f ca="1"/>
        <v>16.506922067950658</v>
      </c>
      <c r="L75">
        <f ca="1"/>
        <v>0</v>
      </c>
      <c r="M75">
        <f ca="1"/>
        <v>-2.4059608128927934E-3</v>
      </c>
      <c r="N75">
        <f ca="1"/>
        <v>0.18470087812805741</v>
      </c>
      <c r="O75">
        <f ca="1"/>
        <v>0</v>
      </c>
      <c r="P75">
        <f ca="1"/>
        <v>0</v>
      </c>
      <c r="Q75">
        <f ca="1"/>
        <v>0</v>
      </c>
      <c r="R75">
        <f ca="1"/>
        <v>0.32016550927629239</v>
      </c>
      <c r="S75">
        <f ca="1"/>
        <v>1</v>
      </c>
      <c r="T75">
        <f ca="1"/>
        <v>2.4499999999999957</v>
      </c>
      <c r="U75">
        <f ca="1"/>
        <v>0</v>
      </c>
      <c r="V75">
        <f ca="1"/>
        <v>0</v>
      </c>
      <c r="X75" s="2">
        <f t="shared" ca="1" si="8"/>
        <v>45115</v>
      </c>
      <c r="Y75">
        <f t="shared" ca="1" si="9"/>
        <v>0</v>
      </c>
      <c r="AA75" s="63">
        <f t="shared" ca="1" si="11"/>
        <v>16.827087577226951</v>
      </c>
      <c r="AB75" s="63">
        <f t="shared" ca="1" si="12"/>
        <v>16.827087577226951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45116</v>
      </c>
      <c r="K76">
        <f ca="1"/>
        <v>16.286460314906439</v>
      </c>
      <c r="L76">
        <f ca="1"/>
        <v>0</v>
      </c>
      <c r="M76">
        <f ca="1"/>
        <v>-1.7295240352623864E-3</v>
      </c>
      <c r="N76">
        <f ca="1"/>
        <v>0.18741137509402189</v>
      </c>
      <c r="O76">
        <f ca="1"/>
        <v>0</v>
      </c>
      <c r="P76">
        <f ca="1"/>
        <v>0</v>
      </c>
      <c r="Q76">
        <f ca="1"/>
        <v>0</v>
      </c>
      <c r="R76">
        <f ca="1"/>
        <v>0.40614360410298</v>
      </c>
      <c r="S76">
        <f ca="1"/>
        <v>1</v>
      </c>
      <c r="T76">
        <f ca="1"/>
        <v>3.1500000000000057</v>
      </c>
      <c r="U76">
        <f ca="1"/>
        <v>0</v>
      </c>
      <c r="V76">
        <f ca="1"/>
        <v>0</v>
      </c>
      <c r="X76" s="2">
        <f t="shared" ca="1" si="8"/>
        <v>45116</v>
      </c>
      <c r="Y76">
        <f t="shared" ca="1" si="9"/>
        <v>0</v>
      </c>
      <c r="AA76" s="63">
        <f t="shared" ca="1" si="11"/>
        <v>16.692603919009418</v>
      </c>
      <c r="AB76" s="63">
        <f t="shared" ca="1" si="12"/>
        <v>16.692603919009418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45117</v>
      </c>
      <c r="K77">
        <f ca="1"/>
        <v>16.351256818324448</v>
      </c>
      <c r="L77">
        <f ca="1"/>
        <v>0</v>
      </c>
      <c r="M77">
        <f ca="1"/>
        <v>-1.019485803278819E-3</v>
      </c>
      <c r="N77">
        <f ca="1"/>
        <v>0.17584632156126245</v>
      </c>
      <c r="O77">
        <f ca="1"/>
        <v>0</v>
      </c>
      <c r="P77">
        <f ca="1"/>
        <v>0</v>
      </c>
      <c r="Q77">
        <f ca="1"/>
        <v>0</v>
      </c>
      <c r="R77">
        <f ca="1"/>
        <v>0.11003033233997513</v>
      </c>
      <c r="S77">
        <f ca="1"/>
        <v>1</v>
      </c>
      <c r="T77">
        <f ca="1"/>
        <v>0.85000000000000142</v>
      </c>
      <c r="U77">
        <f ca="1"/>
        <v>0</v>
      </c>
      <c r="V77">
        <f ca="1"/>
        <v>0</v>
      </c>
      <c r="X77" s="2">
        <f t="shared" ca="1" si="8"/>
        <v>45117</v>
      </c>
      <c r="Y77">
        <f t="shared" ca="1" si="9"/>
        <v>0</v>
      </c>
      <c r="AA77" s="63">
        <f t="shared" ca="1" si="11"/>
        <v>16.461287150664422</v>
      </c>
      <c r="AB77" s="63">
        <f t="shared" ca="1" si="12"/>
        <v>16.461287150664422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45118</v>
      </c>
      <c r="K78">
        <f ca="1"/>
        <v>16.173489736320722</v>
      </c>
      <c r="L78">
        <f ca="1"/>
        <v>0</v>
      </c>
      <c r="M78">
        <f ca="1"/>
        <v>-4.2029171451662961E-4</v>
      </c>
      <c r="N78">
        <f ca="1"/>
        <v>0.16964195409543553</v>
      </c>
      <c r="O78">
        <f ca="1"/>
        <v>0</v>
      </c>
      <c r="P78">
        <f ca="1"/>
        <v>0</v>
      </c>
      <c r="Q78">
        <f ca="1"/>
        <v>0</v>
      </c>
      <c r="R78">
        <f ca="1"/>
        <v>0.34698874438464672</v>
      </c>
      <c r="S78">
        <f ca="1"/>
        <v>1</v>
      </c>
      <c r="T78">
        <f ca="1"/>
        <v>2.7099999999999937</v>
      </c>
      <c r="U78">
        <f ca="1"/>
        <v>0</v>
      </c>
      <c r="V78">
        <f ca="1"/>
        <v>0</v>
      </c>
      <c r="X78" s="2">
        <f t="shared" ca="1" si="8"/>
        <v>45118</v>
      </c>
      <c r="Y78">
        <f t="shared" ca="1" si="9"/>
        <v>0</v>
      </c>
      <c r="AA78" s="63">
        <f t="shared" ca="1" si="11"/>
        <v>16.520478480705368</v>
      </c>
      <c r="AB78" s="63">
        <f t="shared" ca="1" si="12"/>
        <v>16.520478480705368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45119</v>
      </c>
      <c r="K79">
        <f ca="1"/>
        <v>15.630549137764174</v>
      </c>
      <c r="L79">
        <f ca="1"/>
        <v>0</v>
      </c>
      <c r="M79">
        <f ca="1"/>
        <v>1.3336906773275814E-4</v>
      </c>
      <c r="N79">
        <f ca="1"/>
        <v>0.17462874695139194</v>
      </c>
      <c r="O79">
        <f ca="1"/>
        <v>0</v>
      </c>
      <c r="P79">
        <f ca="1"/>
        <v>0</v>
      </c>
      <c r="Q79">
        <f ca="1"/>
        <v>0</v>
      </c>
      <c r="R79">
        <f ca="1"/>
        <v>0.71770271457567214</v>
      </c>
      <c r="S79">
        <f ca="1"/>
        <v>1</v>
      </c>
      <c r="T79">
        <f ca="1"/>
        <v>5.8000000000000043</v>
      </c>
      <c r="U79">
        <f ca="1"/>
        <v>0</v>
      </c>
      <c r="V79">
        <f ca="1"/>
        <v>0</v>
      </c>
      <c r="X79" s="2">
        <f t="shared" ca="1" si="8"/>
        <v>45119</v>
      </c>
      <c r="Y79">
        <f t="shared" ca="1" si="9"/>
        <v>0</v>
      </c>
      <c r="AA79" s="63">
        <f t="shared" ca="1" si="11"/>
        <v>16.348251852339846</v>
      </c>
      <c r="AB79" s="63">
        <f t="shared" ca="1" si="12"/>
        <v>16.348251852339846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45120</v>
      </c>
      <c r="K80">
        <f ca="1"/>
        <v>15.657783152214391</v>
      </c>
      <c r="L80">
        <f ca="1"/>
        <v>0</v>
      </c>
      <c r="M80">
        <f ca="1"/>
        <v>6.9152573879804891E-4</v>
      </c>
      <c r="N80">
        <f ca="1"/>
        <v>0.17777057765655671</v>
      </c>
      <c r="O80">
        <f ca="1"/>
        <v>0</v>
      </c>
      <c r="P80">
        <f ca="1"/>
        <v>0</v>
      </c>
      <c r="Q80">
        <f ca="1"/>
        <v>0</v>
      </c>
      <c r="R80">
        <f ca="1"/>
        <v>0.1512280889451372</v>
      </c>
      <c r="S80">
        <f ca="1"/>
        <v>1</v>
      </c>
      <c r="T80">
        <f ca="1"/>
        <v>1.2199999999999989</v>
      </c>
      <c r="U80">
        <f ca="1"/>
        <v>0</v>
      </c>
      <c r="V80">
        <f ca="1"/>
        <v>0</v>
      </c>
      <c r="X80" s="2">
        <f t="shared" ca="1" si="8"/>
        <v>45120</v>
      </c>
      <c r="Y80">
        <f t="shared" ca="1" si="9"/>
        <v>0</v>
      </c>
      <c r="AA80" s="63">
        <f t="shared" ca="1" si="11"/>
        <v>15.809011241159528</v>
      </c>
      <c r="AB80" s="63">
        <f t="shared" ca="1" si="12"/>
        <v>15.809011241159528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45121</v>
      </c>
      <c r="K81">
        <f ca="1"/>
        <v>15.428997733459559</v>
      </c>
      <c r="L81">
        <f ca="1"/>
        <v>0</v>
      </c>
      <c r="M81">
        <f ca="1"/>
        <v>1.188097883410677E-3</v>
      </c>
      <c r="N81">
        <f ca="1"/>
        <v>0.17066612450725621</v>
      </c>
      <c r="O81">
        <f ca="1"/>
        <v>0</v>
      </c>
      <c r="P81">
        <f ca="1"/>
        <v>0</v>
      </c>
      <c r="Q81">
        <f ca="1"/>
        <v>0</v>
      </c>
      <c r="R81">
        <f ca="1"/>
        <v>0.40063964114549999</v>
      </c>
      <c r="S81">
        <f ca="1"/>
        <v>1</v>
      </c>
      <c r="T81">
        <f ca="1"/>
        <v>3.2800000000000011</v>
      </c>
      <c r="U81">
        <f ca="1"/>
        <v>0</v>
      </c>
      <c r="V81">
        <f ca="1"/>
        <v>0</v>
      </c>
      <c r="X81" s="2">
        <f t="shared" ca="1" si="8"/>
        <v>45121</v>
      </c>
      <c r="Y81">
        <f t="shared" ca="1" si="9"/>
        <v>0</v>
      </c>
      <c r="AA81" s="63">
        <f t="shared" ca="1" si="11"/>
        <v>15.829637374605058</v>
      </c>
      <c r="AB81" s="63">
        <f t="shared" ca="1" si="12"/>
        <v>15.829637374605058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45122</v>
      </c>
      <c r="K82">
        <f ca="1"/>
        <v>15.013510765512914</v>
      </c>
      <c r="L82">
        <f ca="1"/>
        <v>0</v>
      </c>
      <c r="M82">
        <f ca="1"/>
        <v>1.8012988337918756E-3</v>
      </c>
      <c r="N82">
        <f ca="1"/>
        <v>0.18650509117260758</v>
      </c>
      <c r="O82">
        <f ca="1"/>
        <v>0</v>
      </c>
      <c r="P82">
        <f ca="1"/>
        <v>0</v>
      </c>
      <c r="Q82">
        <f ca="1"/>
        <v>0</v>
      </c>
      <c r="R82">
        <f ca="1"/>
        <v>0.60379335795304423</v>
      </c>
      <c r="S82">
        <f ca="1"/>
        <v>1</v>
      </c>
      <c r="T82">
        <f ca="1"/>
        <v>5.0799999999999983</v>
      </c>
      <c r="U82">
        <f ca="1"/>
        <v>0</v>
      </c>
      <c r="V82">
        <f ca="1"/>
        <v>0</v>
      </c>
      <c r="X82" s="2">
        <f t="shared" ca="1" si="8"/>
        <v>45122</v>
      </c>
      <c r="Y82">
        <f t="shared" ca="1" si="9"/>
        <v>0</v>
      </c>
      <c r="AA82" s="63">
        <f t="shared" ca="1" si="11"/>
        <v>15.617304123465958</v>
      </c>
      <c r="AB82" s="63">
        <f t="shared" ca="1" si="12"/>
        <v>15.617304123465958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45123</v>
      </c>
      <c r="K83">
        <f ca="1"/>
        <v>14.756185041862762</v>
      </c>
      <c r="L83">
        <f ca="1"/>
        <v>0</v>
      </c>
      <c r="M83">
        <f ca="1"/>
        <v>2.4372926568165809E-3</v>
      </c>
      <c r="N83">
        <f ca="1"/>
        <v>0.19700239484302642</v>
      </c>
      <c r="O83">
        <f ca="1"/>
        <v>0</v>
      </c>
      <c r="P83">
        <f ca="1"/>
        <v>0</v>
      </c>
      <c r="Q83">
        <f ca="1"/>
        <v>0</v>
      </c>
      <c r="R83">
        <f ca="1"/>
        <v>0.45676541114999408</v>
      </c>
      <c r="S83">
        <f ca="1"/>
        <v>1</v>
      </c>
      <c r="T83">
        <f ca="1"/>
        <v>3.9100000000000037</v>
      </c>
      <c r="U83">
        <f ca="1"/>
        <v>0</v>
      </c>
      <c r="V83">
        <f ca="1"/>
        <v>0</v>
      </c>
      <c r="X83" s="2">
        <f t="shared" ca="1" si="8"/>
        <v>45123</v>
      </c>
      <c r="Y83">
        <f t="shared" ca="1" si="9"/>
        <v>0</v>
      </c>
      <c r="AA83" s="63">
        <f t="shared" ca="1" si="11"/>
        <v>15.212950453012757</v>
      </c>
      <c r="AB83" s="63">
        <f t="shared" ca="1" si="12"/>
        <v>15.212950453012757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45124</v>
      </c>
      <c r="K84">
        <f ca="1"/>
        <v>14.228315968438977</v>
      </c>
      <c r="L84">
        <f ca="1"/>
        <v>0</v>
      </c>
      <c r="M84">
        <f ca="1"/>
        <v>2.931547628914899E-3</v>
      </c>
      <c r="N84">
        <f ca="1"/>
        <v>0.19235353804321131</v>
      </c>
      <c r="O84">
        <f ca="1"/>
        <v>0</v>
      </c>
      <c r="P84">
        <f ca="1"/>
        <v>0</v>
      </c>
      <c r="Q84">
        <f ca="1"/>
        <v>0</v>
      </c>
      <c r="R84">
        <f ca="1"/>
        <v>0.72315415909591119</v>
      </c>
      <c r="S84">
        <f ca="1"/>
        <v>1</v>
      </c>
      <c r="T84">
        <f ca="1"/>
        <v>6.4200000000000017</v>
      </c>
      <c r="U84">
        <f ca="1"/>
        <v>0</v>
      </c>
      <c r="V84">
        <f ca="1"/>
        <v>0</v>
      </c>
      <c r="X84" s="2">
        <f t="shared" ca="1" si="8"/>
        <v>45124</v>
      </c>
      <c r="Y84">
        <f t="shared" ca="1" si="9"/>
        <v>0</v>
      </c>
      <c r="AA84" s="63">
        <f t="shared" ca="1" si="11"/>
        <v>14.951470127534888</v>
      </c>
      <c r="AB84" s="63">
        <f t="shared" ca="1" si="12"/>
        <v>14.951470127534888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45125</v>
      </c>
      <c r="K85">
        <f ca="1"/>
        <v>13.710651802742646</v>
      </c>
      <c r="L85">
        <f ca="1"/>
        <v>0</v>
      </c>
      <c r="M85">
        <f ca="1"/>
        <v>3.3469586636272197E-3</v>
      </c>
      <c r="N85">
        <f ca="1"/>
        <v>0.1856015929238915</v>
      </c>
      <c r="O85">
        <f ca="1"/>
        <v>0</v>
      </c>
      <c r="P85">
        <f ca="1"/>
        <v>0</v>
      </c>
      <c r="Q85">
        <f ca="1"/>
        <v>0</v>
      </c>
      <c r="R85">
        <f ca="1"/>
        <v>0.706612717283849</v>
      </c>
      <c r="S85">
        <f ca="1"/>
        <v>1</v>
      </c>
      <c r="T85">
        <f ca="1"/>
        <v>6.509999999999998</v>
      </c>
      <c r="U85">
        <f ca="1"/>
        <v>0</v>
      </c>
      <c r="V85">
        <f ca="1"/>
        <v>0</v>
      </c>
      <c r="X85" s="2">
        <f t="shared" ca="1" si="8"/>
        <v>45125</v>
      </c>
      <c r="Y85">
        <f t="shared" ca="1" si="9"/>
        <v>0</v>
      </c>
      <c r="AA85" s="63">
        <f t="shared" ca="1" si="11"/>
        <v>14.417264520026496</v>
      </c>
      <c r="AB85" s="63">
        <f t="shared" ca="1" si="12"/>
        <v>14.417264520026496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45126</v>
      </c>
      <c r="K86">
        <f ca="1"/>
        <v>13.579478480777645</v>
      </c>
      <c r="L86">
        <f ca="1"/>
        <v>0</v>
      </c>
      <c r="M86">
        <f ca="1"/>
        <v>3.7736053125581037E-3</v>
      </c>
      <c r="N86">
        <f ca="1"/>
        <v>0.18326551845533015</v>
      </c>
      <c r="O86">
        <f ca="1"/>
        <v>0</v>
      </c>
      <c r="P86">
        <f ca="1"/>
        <v>0</v>
      </c>
      <c r="Q86">
        <f ca="1"/>
        <v>0</v>
      </c>
      <c r="R86">
        <f ca="1"/>
        <v>0.31821244573288959</v>
      </c>
      <c r="S86">
        <f ca="1"/>
        <v>1</v>
      </c>
      <c r="T86">
        <f ca="1"/>
        <v>2.9600000000000009</v>
      </c>
      <c r="U86">
        <f ca="1"/>
        <v>0</v>
      </c>
      <c r="V86">
        <f ca="1"/>
        <v>0</v>
      </c>
      <c r="X86" s="2">
        <f t="shared" ca="1" si="8"/>
        <v>45126</v>
      </c>
      <c r="Y86">
        <f t="shared" ca="1" si="9"/>
        <v>0</v>
      </c>
      <c r="AA86" s="63">
        <f t="shared" ca="1" si="11"/>
        <v>13.897690926510535</v>
      </c>
      <c r="AB86" s="63">
        <f t="shared" ca="1" si="12"/>
        <v>13.897690926510535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45127</v>
      </c>
      <c r="K87">
        <f ca="1"/>
        <v>13.619481605271295</v>
      </c>
      <c r="L87">
        <f ca="1"/>
        <v>0</v>
      </c>
      <c r="M87">
        <f ca="1"/>
        <v>4.3587672607987571E-3</v>
      </c>
      <c r="N87">
        <f ca="1"/>
        <v>0.19198465649336038</v>
      </c>
      <c r="O87">
        <f ca="1"/>
        <v>0</v>
      </c>
      <c r="P87">
        <f ca="1"/>
        <v>0</v>
      </c>
      <c r="Q87">
        <f ca="1"/>
        <v>0</v>
      </c>
      <c r="R87">
        <f ca="1"/>
        <v>0.15634029926051038</v>
      </c>
      <c r="S87">
        <f ca="1"/>
        <v>1</v>
      </c>
      <c r="T87">
        <f ca="1"/>
        <v>1.4500000000000028</v>
      </c>
      <c r="U87">
        <f ca="1"/>
        <v>0</v>
      </c>
      <c r="V87">
        <f ca="1"/>
        <v>0</v>
      </c>
      <c r="X87" s="2">
        <f t="shared" ca="1" si="8"/>
        <v>45127</v>
      </c>
      <c r="Y87">
        <f t="shared" ca="1" si="9"/>
        <v>0</v>
      </c>
      <c r="AA87" s="63">
        <f t="shared" ca="1" si="11"/>
        <v>13.775821904531805</v>
      </c>
      <c r="AB87" s="63">
        <f t="shared" ca="1" si="12"/>
        <v>13.775821904531805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45128</v>
      </c>
      <c r="K88">
        <f ca="1"/>
        <v>13.444265288563923</v>
      </c>
      <c r="L88">
        <f ca="1"/>
        <v>0</v>
      </c>
      <c r="M88">
        <f ca="1"/>
        <v>4.6362296550004345E-3</v>
      </c>
      <c r="N88">
        <f ca="1"/>
        <v>0.18308659865681695</v>
      </c>
      <c r="O88">
        <f ca="1"/>
        <v>0</v>
      </c>
      <c r="P88">
        <f ca="1"/>
        <v>0</v>
      </c>
      <c r="Q88">
        <f ca="1"/>
        <v>0</v>
      </c>
      <c r="R88">
        <f ca="1"/>
        <v>0.36293914501919061</v>
      </c>
      <c r="S88">
        <f ca="1"/>
        <v>1</v>
      </c>
      <c r="T88">
        <f ca="1"/>
        <v>3.4100000000000037</v>
      </c>
      <c r="U88">
        <f ca="1"/>
        <v>0</v>
      </c>
      <c r="V88">
        <f ca="1"/>
        <v>0</v>
      </c>
      <c r="X88" s="2">
        <f t="shared" ca="1" si="8"/>
        <v>45128</v>
      </c>
      <c r="Y88">
        <f t="shared" ca="1" si="9"/>
        <v>0</v>
      </c>
      <c r="AA88" s="63">
        <f t="shared" ca="1" si="11"/>
        <v>13.807204433583113</v>
      </c>
      <c r="AB88" s="63">
        <f t="shared" ca="1" si="12"/>
        <v>13.807204433583113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45129</v>
      </c>
      <c r="K89">
        <f ca="1"/>
        <v>13.207160737094027</v>
      </c>
      <c r="L89">
        <f ca="1"/>
        <v>0</v>
      </c>
      <c r="M89">
        <f ca="1"/>
        <v>5.248690579418458E-3</v>
      </c>
      <c r="N89">
        <f ca="1"/>
        <v>0.19364815178400135</v>
      </c>
      <c r="O89">
        <f ca="1"/>
        <v>0</v>
      </c>
      <c r="P89">
        <f ca="1"/>
        <v>0</v>
      </c>
      <c r="Q89">
        <f ca="1"/>
        <v>0</v>
      </c>
      <c r="R89">
        <f ca="1"/>
        <v>0.43600139383331671</v>
      </c>
      <c r="S89">
        <f ca="1"/>
        <v>1</v>
      </c>
      <c r="T89">
        <f ca="1"/>
        <v>4.1700000000000017</v>
      </c>
      <c r="U89">
        <f ca="1"/>
        <v>0</v>
      </c>
      <c r="V89">
        <f ca="1"/>
        <v>0</v>
      </c>
      <c r="X89" s="2">
        <f t="shared" ca="1" si="8"/>
        <v>45129</v>
      </c>
      <c r="Y89">
        <f t="shared" ca="1" si="9"/>
        <v>0</v>
      </c>
      <c r="AA89" s="63">
        <f t="shared" ca="1" si="11"/>
        <v>13.643162130927342</v>
      </c>
      <c r="AB89" s="63">
        <f t="shared" ca="1" si="12"/>
        <v>13.643162130927344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45130</v>
      </c>
      <c r="K90">
        <f ca="1"/>
        <v>12.726764873846278</v>
      </c>
      <c r="L90">
        <f ca="1"/>
        <v>0</v>
      </c>
      <c r="M90">
        <f ca="1"/>
        <v>5.6036166338548909E-3</v>
      </c>
      <c r="N90">
        <f ca="1"/>
        <v>0.19106441140701794</v>
      </c>
      <c r="O90">
        <f ca="1"/>
        <v>0</v>
      </c>
      <c r="P90">
        <f ca="1"/>
        <v>0</v>
      </c>
      <c r="Q90">
        <f ca="1"/>
        <v>0</v>
      </c>
      <c r="R90">
        <f ca="1"/>
        <v>0.67706389128862199</v>
      </c>
      <c r="S90">
        <f ca="1"/>
        <v>1</v>
      </c>
      <c r="T90">
        <f ca="1"/>
        <v>6.7199999999999989</v>
      </c>
      <c r="U90">
        <f ca="1"/>
        <v>0</v>
      </c>
      <c r="V90">
        <f ca="1"/>
        <v>0</v>
      </c>
      <c r="X90" s="2">
        <f t="shared" ca="1" si="8"/>
        <v>45130</v>
      </c>
      <c r="Y90">
        <f t="shared" ca="1" si="9"/>
        <v>0</v>
      </c>
      <c r="AA90" s="63">
        <f t="shared" ca="1" si="11"/>
        <v>13.403828765134898</v>
      </c>
      <c r="AB90" s="63">
        <f t="shared" ca="1" si="12"/>
        <v>13.4038287651349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45131</v>
      </c>
      <c r="K91">
        <f ca="1"/>
        <v>12.637438146250716</v>
      </c>
      <c r="L91">
        <f ca="1"/>
        <v>0</v>
      </c>
      <c r="M91">
        <f ca="1"/>
        <v>6.0060146370428669E-3</v>
      </c>
      <c r="N91">
        <f ca="1"/>
        <v>0.19180038364866461</v>
      </c>
      <c r="O91">
        <f ca="1"/>
        <v>0</v>
      </c>
      <c r="P91">
        <f ca="1"/>
        <v>0</v>
      </c>
      <c r="Q91">
        <f ca="1"/>
        <v>0</v>
      </c>
      <c r="R91">
        <f ca="1"/>
        <v>0.28713312588127116</v>
      </c>
      <c r="S91">
        <f ca="1"/>
        <v>1</v>
      </c>
      <c r="T91">
        <f ca="1"/>
        <v>2.8699999999999974</v>
      </c>
      <c r="U91">
        <f ca="1"/>
        <v>0</v>
      </c>
      <c r="V91">
        <f ca="1"/>
        <v>0</v>
      </c>
      <c r="X91" s="2">
        <f t="shared" ca="1" si="8"/>
        <v>45131</v>
      </c>
      <c r="Y91">
        <f t="shared" ca="1" si="9"/>
        <v>0</v>
      </c>
      <c r="AA91" s="63">
        <f t="shared" ca="1" si="11"/>
        <v>12.924571272131987</v>
      </c>
      <c r="AB91" s="63">
        <f t="shared" ca="1" si="12"/>
        <v>12.924571272131987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45132</v>
      </c>
      <c r="K92">
        <f ca="1"/>
        <v>12.477339493480693</v>
      </c>
      <c r="L92">
        <f ca="1"/>
        <v>0</v>
      </c>
      <c r="M92">
        <f ca="1"/>
        <v>6.1218906001521134E-3</v>
      </c>
      <c r="N92">
        <f ca="1"/>
        <v>0.18148131718148816</v>
      </c>
      <c r="O92">
        <f ca="1"/>
        <v>0</v>
      </c>
      <c r="P92">
        <f ca="1"/>
        <v>0</v>
      </c>
      <c r="Q92">
        <f ca="1"/>
        <v>0</v>
      </c>
      <c r="R92">
        <f ca="1"/>
        <v>0.3477018605516623</v>
      </c>
      <c r="S92">
        <f ca="1"/>
        <v>1</v>
      </c>
      <c r="T92">
        <f ca="1"/>
        <v>3.5200000000000031</v>
      </c>
      <c r="U92">
        <f ca="1"/>
        <v>0</v>
      </c>
      <c r="V92">
        <f ca="1"/>
        <v>0</v>
      </c>
      <c r="X92" s="2">
        <f t="shared" ca="1" si="8"/>
        <v>45132</v>
      </c>
      <c r="Y92">
        <f t="shared" ca="1" si="9"/>
        <v>0</v>
      </c>
      <c r="AA92" s="63">
        <f t="shared" ca="1" si="11"/>
        <v>12.825041354032356</v>
      </c>
      <c r="AB92" s="63">
        <f t="shared" ca="1" si="12"/>
        <v>12.825041354032356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45133</v>
      </c>
      <c r="K93">
        <f ca="1"/>
        <v>12.451514911162718</v>
      </c>
      <c r="L93">
        <f ca="1"/>
        <v>0</v>
      </c>
      <c r="M93">
        <f ca="1"/>
        <v>6.4023696037054378E-3</v>
      </c>
      <c r="N93">
        <f ca="1"/>
        <v>0.1797082081287352</v>
      </c>
      <c r="O93">
        <f ca="1"/>
        <v>0</v>
      </c>
      <c r="P93">
        <f ca="1"/>
        <v>0</v>
      </c>
      <c r="Q93">
        <f ca="1"/>
        <v>0</v>
      </c>
      <c r="R93">
        <f ca="1"/>
        <v>0.21193516005041532</v>
      </c>
      <c r="S93">
        <f ca="1"/>
        <v>1</v>
      </c>
      <c r="T93">
        <f ca="1"/>
        <v>2.1499999999999986</v>
      </c>
      <c r="U93">
        <f ca="1"/>
        <v>0</v>
      </c>
      <c r="V93">
        <f ca="1"/>
        <v>0</v>
      </c>
      <c r="X93" s="2">
        <f t="shared" ca="1" si="8"/>
        <v>45133</v>
      </c>
      <c r="Y93">
        <f t="shared" ca="1" si="9"/>
        <v>0</v>
      </c>
      <c r="AA93" s="63">
        <f t="shared" ca="1" si="11"/>
        <v>12.663450071213134</v>
      </c>
      <c r="AB93" s="63">
        <f t="shared" ca="1" si="12"/>
        <v>12.663450071213134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45134</v>
      </c>
      <c r="K94">
        <f ca="1"/>
        <v>12.271627973580268</v>
      </c>
      <c r="L94">
        <f ca="1"/>
        <v>0</v>
      </c>
      <c r="M94">
        <f ca="1"/>
        <v>6.9121613457827635E-3</v>
      </c>
      <c r="N94">
        <f ca="1"/>
        <v>0.18722989534984866</v>
      </c>
      <c r="O94">
        <f ca="1"/>
        <v>0</v>
      </c>
      <c r="P94">
        <f ca="1"/>
        <v>0</v>
      </c>
      <c r="Q94">
        <f ca="1"/>
        <v>0</v>
      </c>
      <c r="R94">
        <f ca="1"/>
        <v>0.37402899427808206</v>
      </c>
      <c r="S94">
        <f ca="1"/>
        <v>1</v>
      </c>
      <c r="T94">
        <f ca="1"/>
        <v>3.8500000000000014</v>
      </c>
      <c r="U94">
        <f ca="1"/>
        <v>0</v>
      </c>
      <c r="V94">
        <f ca="1"/>
        <v>0</v>
      </c>
      <c r="X94" s="2">
        <f t="shared" ca="1" si="8"/>
        <v>45134</v>
      </c>
      <c r="Y94">
        <f t="shared" ca="1" si="9"/>
        <v>0</v>
      </c>
      <c r="AA94" s="63">
        <f t="shared" ca="1" si="11"/>
        <v>12.645656967858349</v>
      </c>
      <c r="AB94" s="63">
        <f t="shared" ca="1" si="12"/>
        <v>12.645656967858349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45135</v>
      </c>
      <c r="K95">
        <f ca="1"/>
        <v>12.271521557472258</v>
      </c>
      <c r="L95">
        <f ca="1"/>
        <v>0</v>
      </c>
      <c r="M95">
        <f ca="1"/>
        <v>7.2684370644342522E-3</v>
      </c>
      <c r="N95">
        <f ca="1"/>
        <v>0.18886722906746664</v>
      </c>
      <c r="O95">
        <f ca="1"/>
        <v>0</v>
      </c>
      <c r="P95">
        <f ca="1"/>
        <v>0</v>
      </c>
      <c r="Q95">
        <f ca="1"/>
        <v>0</v>
      </c>
      <c r="R95">
        <f ca="1"/>
        <v>0.19624208223991085</v>
      </c>
      <c r="S95">
        <f ca="1"/>
        <v>1</v>
      </c>
      <c r="T95">
        <f ca="1"/>
        <v>2.0200000000000031</v>
      </c>
      <c r="U95">
        <f ca="1"/>
        <v>0</v>
      </c>
      <c r="V95">
        <f ca="1"/>
        <v>0</v>
      </c>
      <c r="X95" s="2">
        <f t="shared" ca="1" si="8"/>
        <v>45135</v>
      </c>
      <c r="Y95">
        <f t="shared" ca="1" si="9"/>
        <v>0</v>
      </c>
      <c r="AA95" s="63">
        <f t="shared" ca="1" si="11"/>
        <v>12.467763639712169</v>
      </c>
      <c r="AB95" s="63">
        <f t="shared" ca="1" si="12"/>
        <v>12.467763639712169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45136</v>
      </c>
      <c r="K96">
        <f ca="1"/>
        <v>12.067436431034992</v>
      </c>
      <c r="L96">
        <f ca="1"/>
        <v>0</v>
      </c>
      <c r="M96">
        <f ca="1"/>
        <v>7.6696130038058641E-3</v>
      </c>
      <c r="N96">
        <f ca="1"/>
        <v>0.19235353804321131</v>
      </c>
      <c r="O96">
        <f ca="1"/>
        <v>0</v>
      </c>
      <c r="P96">
        <f ca="1"/>
        <v>0</v>
      </c>
      <c r="Q96">
        <f ca="1"/>
        <v>0</v>
      </c>
      <c r="R96">
        <f ca="1"/>
        <v>0.40410827748428402</v>
      </c>
      <c r="S96">
        <f ca="1"/>
        <v>1</v>
      </c>
      <c r="T96">
        <f ca="1"/>
        <v>4.2299999999999969</v>
      </c>
      <c r="U96">
        <f ca="1"/>
        <v>0</v>
      </c>
      <c r="V96">
        <f ca="1"/>
        <v>0</v>
      </c>
      <c r="X96" s="2">
        <f t="shared" ca="1" si="8"/>
        <v>45136</v>
      </c>
      <c r="Y96">
        <f t="shared" ca="1" si="9"/>
        <v>0</v>
      </c>
      <c r="AA96" s="63">
        <f t="shared" ca="1" si="11"/>
        <v>12.471544708519275</v>
      </c>
      <c r="AB96" s="63">
        <f t="shared" ca="1" si="12"/>
        <v>12.471544708519275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45137</v>
      </c>
      <c r="K97">
        <f ca="1"/>
        <v>12.135936827621871</v>
      </c>
      <c r="L97">
        <f ca="1"/>
        <v>0</v>
      </c>
      <c r="M97">
        <f ca="1"/>
        <v>7.9557034772559376E-3</v>
      </c>
      <c r="N97">
        <f ca="1"/>
        <v>0.19216904128587201</v>
      </c>
      <c r="O97">
        <f ca="1"/>
        <v>0</v>
      </c>
      <c r="P97">
        <f ca="1"/>
        <v>0</v>
      </c>
      <c r="Q97">
        <f ca="1"/>
        <v>0</v>
      </c>
      <c r="R97">
        <f ca="1"/>
        <v>0.13162434817624863</v>
      </c>
      <c r="S97">
        <f ca="1"/>
        <v>1</v>
      </c>
      <c r="T97">
        <f ca="1"/>
        <v>1.3699999999999974</v>
      </c>
      <c r="U97">
        <f ca="1"/>
        <v>0</v>
      </c>
      <c r="V97">
        <f ca="1"/>
        <v>0</v>
      </c>
      <c r="X97" s="2">
        <f t="shared" ca="1" si="8"/>
        <v>45137</v>
      </c>
      <c r="Y97">
        <f t="shared" ca="1" si="9"/>
        <v>0</v>
      </c>
      <c r="AA97" s="63">
        <f t="shared" ca="1" si="11"/>
        <v>12.26756117579812</v>
      </c>
      <c r="AB97" s="63">
        <f t="shared" ca="1" si="12"/>
        <v>12.26756117579812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45138</v>
      </c>
      <c r="K98">
        <f ca="1"/>
        <v>12.056485913656758</v>
      </c>
      <c r="L98">
        <f ca="1"/>
        <v>0</v>
      </c>
      <c r="M98">
        <f ca="1"/>
        <v>8.2847226070734692E-3</v>
      </c>
      <c r="N98">
        <f ca="1"/>
        <v>0.19383354486967372</v>
      </c>
      <c r="O98">
        <f ca="1"/>
        <v>0</v>
      </c>
      <c r="P98">
        <f ca="1"/>
        <v>0</v>
      </c>
      <c r="Q98">
        <f ca="1"/>
        <v>0</v>
      </c>
      <c r="R98">
        <f ca="1"/>
        <v>0.28156918144185911</v>
      </c>
      <c r="S98">
        <f ca="1"/>
        <v>1</v>
      </c>
      <c r="T98">
        <f ca="1"/>
        <v>2.9500000000000028</v>
      </c>
      <c r="U98">
        <f ca="1"/>
        <v>0</v>
      </c>
      <c r="V98">
        <f ca="1"/>
        <v>0</v>
      </c>
      <c r="X98" s="2">
        <f t="shared" ca="1" si="8"/>
        <v>45138</v>
      </c>
      <c r="Y98">
        <f t="shared" ca="1" si="9"/>
        <v>0</v>
      </c>
      <c r="AA98" s="63">
        <f t="shared" ca="1" si="11"/>
        <v>12.338055095098619</v>
      </c>
      <c r="AB98" s="63">
        <f t="shared" ca="1" si="12"/>
        <v>12.338055095098618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45139</v>
      </c>
      <c r="K99">
        <f ca="1"/>
        <v>12.028431738425443</v>
      </c>
      <c r="L99">
        <f ca="1"/>
        <v>0</v>
      </c>
      <c r="M99">
        <f ca="1"/>
        <v>8.5805879494644799E-3</v>
      </c>
      <c r="N99">
        <f ca="1"/>
        <v>0.19476219238718048</v>
      </c>
      <c r="O99">
        <f ca="1"/>
        <v>0</v>
      </c>
      <c r="P99">
        <f ca="1"/>
        <v>0</v>
      </c>
      <c r="Q99">
        <f ca="1"/>
        <v>0</v>
      </c>
      <c r="R99">
        <f ca="1"/>
        <v>0.23139695556795942</v>
      </c>
      <c r="S99">
        <f ca="1"/>
        <v>1</v>
      </c>
      <c r="T99">
        <f ca="1"/>
        <v>2.4299999999999997</v>
      </c>
      <c r="U99">
        <f ca="1"/>
        <v>0</v>
      </c>
      <c r="V99">
        <f ca="1"/>
        <v>0</v>
      </c>
      <c r="X99" s="2">
        <f t="shared" ca="1" si="8"/>
        <v>45139</v>
      </c>
      <c r="Y99">
        <f t="shared" ca="1" si="9"/>
        <v>0</v>
      </c>
      <c r="AA99" s="63">
        <f t="shared" ca="1" si="11"/>
        <v>12.259828693993402</v>
      </c>
      <c r="AB99" s="63">
        <f t="shared" ca="1" si="12"/>
        <v>12.259828693993402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45140</v>
      </c>
      <c r="K100">
        <f ca="1"/>
        <v>11.831194249207769</v>
      </c>
      <c r="L100">
        <f ca="1"/>
        <v>0</v>
      </c>
      <c r="M100">
        <f ca="1"/>
        <v>9.0477725424822353E-3</v>
      </c>
      <c r="N100">
        <f ca="1"/>
        <v>0.20115149019693665</v>
      </c>
      <c r="O100">
        <f ca="1"/>
        <v>0</v>
      </c>
      <c r="P100">
        <f ca="1"/>
        <v>0</v>
      </c>
      <c r="Q100">
        <f ca="1"/>
        <v>0</v>
      </c>
      <c r="R100">
        <f ca="1"/>
        <v>0.40743675195709206</v>
      </c>
      <c r="S100">
        <f ca="1"/>
        <v>1</v>
      </c>
      <c r="T100">
        <f ca="1"/>
        <v>4.3499999999999943</v>
      </c>
      <c r="U100">
        <f ca="1"/>
        <v>0</v>
      </c>
      <c r="V100">
        <f ca="1"/>
        <v>0</v>
      </c>
      <c r="X100" s="2">
        <f t="shared" ca="1" si="8"/>
        <v>45140</v>
      </c>
      <c r="Y100">
        <f t="shared" ca="1" si="9"/>
        <v>0</v>
      </c>
      <c r="AA100" s="63">
        <f t="shared" ca="1" si="11"/>
        <v>12.238631001164862</v>
      </c>
      <c r="AB100" s="63">
        <f t="shared" ca="1" si="12"/>
        <v>12.238631001164862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45141</v>
      </c>
      <c r="K101">
        <f ca="1"/>
        <v>11.871109758061616</v>
      </c>
      <c r="L101">
        <f ca="1"/>
        <v>0</v>
      </c>
      <c r="M101">
        <f ca="1"/>
        <v>9.2534108985704577E-3</v>
      </c>
      <c r="N101">
        <f ca="1"/>
        <v>0.19982541200765366</v>
      </c>
      <c r="O101">
        <f ca="1"/>
        <v>0</v>
      </c>
      <c r="P101">
        <f ca="1"/>
        <v>0</v>
      </c>
      <c r="Q101">
        <f ca="1"/>
        <v>0</v>
      </c>
      <c r="R101">
        <f ca="1"/>
        <v>0.16916331405237781</v>
      </c>
      <c r="S101">
        <f ca="1"/>
        <v>1</v>
      </c>
      <c r="T101">
        <f ca="1"/>
        <v>1.7999999999999972</v>
      </c>
      <c r="U101">
        <f ca="1"/>
        <v>0</v>
      </c>
      <c r="V101">
        <f ca="1"/>
        <v>0</v>
      </c>
      <c r="X101" s="2">
        <f t="shared" ca="1" si="8"/>
        <v>45141</v>
      </c>
      <c r="Y101">
        <f t="shared" ca="1" si="9"/>
        <v>0</v>
      </c>
      <c r="AA101" s="63">
        <f t="shared" ca="1" si="11"/>
        <v>12.040273072113992</v>
      </c>
      <c r="AB101" s="63">
        <f t="shared" ca="1" si="12"/>
        <v>12.040273072113994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45142</v>
      </c>
      <c r="K102">
        <f ca="1"/>
        <v>11.74215637868882</v>
      </c>
      <c r="L102">
        <f ca="1"/>
        <v>0</v>
      </c>
      <c r="M102">
        <f ca="1"/>
        <v>9.4286883345899852E-3</v>
      </c>
      <c r="N102">
        <f ca="1"/>
        <v>0.19812856384520355</v>
      </c>
      <c r="O102">
        <f ca="1"/>
        <v>0</v>
      </c>
      <c r="P102">
        <f ca="1"/>
        <v>0</v>
      </c>
      <c r="Q102">
        <f ca="1"/>
        <v>0</v>
      </c>
      <c r="R102">
        <f ca="1"/>
        <v>0.3365106315525902</v>
      </c>
      <c r="S102">
        <f ca="1"/>
        <v>1</v>
      </c>
      <c r="T102">
        <f ca="1"/>
        <v>3.6199999999999974</v>
      </c>
      <c r="U102">
        <f ca="1"/>
        <v>0</v>
      </c>
      <c r="V102">
        <f ca="1"/>
        <v>0</v>
      </c>
      <c r="X102" s="2">
        <f t="shared" ca="1" si="8"/>
        <v>45142</v>
      </c>
      <c r="Y102">
        <f t="shared" ca="1" si="9"/>
        <v>0</v>
      </c>
      <c r="AA102" s="63">
        <f t="shared" ca="1" si="11"/>
        <v>12.078667010241409</v>
      </c>
      <c r="AB102" s="63">
        <f t="shared" ca="1" si="12"/>
        <v>12.078667010241411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45143</v>
      </c>
      <c r="K103">
        <f ca="1"/>
        <v>11.617823624282911</v>
      </c>
      <c r="L103">
        <f ca="1"/>
        <v>0</v>
      </c>
      <c r="M103">
        <f ca="1"/>
        <v>9.4536295145699611E-3</v>
      </c>
      <c r="N103">
        <f ca="1"/>
        <v>0.19272286752030662</v>
      </c>
      <c r="O103">
        <f ca="1"/>
        <v>0</v>
      </c>
      <c r="P103">
        <f ca="1"/>
        <v>2.2471402428519216</v>
      </c>
      <c r="Q103">
        <f ca="1"/>
        <v>2.0246268999797512</v>
      </c>
      <c r="R103">
        <f ca="1"/>
        <v>0.32650925144078469</v>
      </c>
      <c r="S103">
        <f ca="1"/>
        <v>1</v>
      </c>
      <c r="T103">
        <f ca="1"/>
        <v>3.5500000000000043</v>
      </c>
      <c r="U103">
        <f ca="1"/>
        <v>0</v>
      </c>
      <c r="V103">
        <f ca="1"/>
        <v>6.6928509242848624E-3</v>
      </c>
      <c r="X103" s="2">
        <f t="shared" ca="1" si="8"/>
        <v>45143</v>
      </c>
      <c r="Y103">
        <f t="shared" ca="1" si="9"/>
        <v>0</v>
      </c>
      <c r="AA103" s="63">
        <f t="shared" ca="1" si="11"/>
        <v>11.944332875723696</v>
      </c>
      <c r="AB103" s="63">
        <f t="shared" ca="1" si="12"/>
        <v>11.944332875723696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45144</v>
      </c>
      <c r="K104">
        <f ca="1"/>
        <v>133.31076840347021</v>
      </c>
      <c r="L104">
        <f ca="1"/>
        <v>0</v>
      </c>
      <c r="M104">
        <f ca="1"/>
        <v>9.5982101326752556E-3</v>
      </c>
      <c r="N104">
        <f ca="1"/>
        <v>0.19124823663101764</v>
      </c>
      <c r="O104">
        <f ca="1"/>
        <v>124.3258140868171</v>
      </c>
      <c r="P104">
        <f ca="1"/>
        <v>2.2471402428519216</v>
      </c>
      <c r="Q104">
        <f ca="1"/>
        <v>2.0246268999797512</v>
      </c>
      <c r="R104">
        <f ca="1"/>
        <v>2.8337157543935221</v>
      </c>
      <c r="S104">
        <f ca="1"/>
        <v>1</v>
      </c>
      <c r="T104">
        <f ca="1"/>
        <v>2.6900000000000048</v>
      </c>
      <c r="U104">
        <f ca="1"/>
        <v>0</v>
      </c>
      <c r="V104">
        <f ca="1"/>
        <v>6.6928509242848624E-3</v>
      </c>
      <c r="X104" s="2">
        <f t="shared" ca="1" si="8"/>
        <v>45144</v>
      </c>
      <c r="Y104">
        <f t="shared" ca="1" si="9"/>
        <v>124.3258140868171</v>
      </c>
      <c r="AA104" s="63">
        <f t="shared" ca="1" si="11"/>
        <v>136.1444841578637</v>
      </c>
      <c r="AB104" s="63">
        <f t="shared" ca="1" si="12"/>
        <v>136.14448415786373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45145</v>
      </c>
      <c r="K105">
        <f ca="1"/>
        <v>131.65861557189609</v>
      </c>
      <c r="L105">
        <f ca="1"/>
        <v>0</v>
      </c>
      <c r="M105">
        <f ca="1"/>
        <v>9.858790963705566E-3</v>
      </c>
      <c r="N105">
        <f ca="1"/>
        <v>0.19327770189615157</v>
      </c>
      <c r="O105">
        <f ca="1"/>
        <v>0</v>
      </c>
      <c r="P105">
        <f ca="1"/>
        <v>2.2471402428519216</v>
      </c>
      <c r="Q105">
        <f ca="1"/>
        <v>2.0246268999797512</v>
      </c>
      <c r="R105">
        <f ca="1"/>
        <v>1.8552893244339705</v>
      </c>
      <c r="S105">
        <f ca="1"/>
        <v>1</v>
      </c>
      <c r="T105">
        <f ca="1"/>
        <v>1.7800000000000011</v>
      </c>
      <c r="U105">
        <f ca="1"/>
        <v>0</v>
      </c>
      <c r="V105">
        <f ca="1"/>
        <v>6.6928509242848624E-3</v>
      </c>
      <c r="X105" s="2">
        <f t="shared" ca="1" si="8"/>
        <v>45145</v>
      </c>
      <c r="Y105">
        <f t="shared" ca="1" si="9"/>
        <v>0</v>
      </c>
      <c r="AA105" s="63">
        <f t="shared" ca="1" si="11"/>
        <v>133.51390489633008</v>
      </c>
      <c r="AB105" s="63">
        <f t="shared" ca="1" si="12"/>
        <v>133.51390489633008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45146</v>
      </c>
      <c r="K106">
        <f ca="1"/>
        <v>131.21767663257106</v>
      </c>
      <c r="L106">
        <f ca="1"/>
        <v>0</v>
      </c>
      <c r="M106">
        <f ca="1"/>
        <v>1.0028511752861569E-2</v>
      </c>
      <c r="N106">
        <f ca="1"/>
        <v>0.193092645060289</v>
      </c>
      <c r="O106">
        <f ca="1"/>
        <v>0</v>
      </c>
      <c r="P106">
        <f ca="1"/>
        <v>2.2471402428519216</v>
      </c>
      <c r="Q106">
        <f ca="1"/>
        <v>2.0246268999797512</v>
      </c>
      <c r="R106">
        <f ca="1"/>
        <v>0.64406009613820014</v>
      </c>
      <c r="S106">
        <f ca="1"/>
        <v>1</v>
      </c>
      <c r="T106">
        <f ca="1"/>
        <v>0.61999999999999744</v>
      </c>
      <c r="U106">
        <f ca="1"/>
        <v>0</v>
      </c>
      <c r="V106">
        <f ca="1"/>
        <v>6.6928509242848624E-3</v>
      </c>
      <c r="X106" s="2">
        <f t="shared" ca="1" si="8"/>
        <v>45146</v>
      </c>
      <c r="Y106">
        <f t="shared" ca="1" si="9"/>
        <v>0</v>
      </c>
      <c r="AA106" s="63">
        <f t="shared" ca="1" si="11"/>
        <v>131.86173672870925</v>
      </c>
      <c r="AB106" s="63">
        <f t="shared" ca="1" si="12"/>
        <v>131.86173672870925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45147</v>
      </c>
      <c r="K107">
        <f ca="1"/>
        <v>128.43416584243377</v>
      </c>
      <c r="L107">
        <f ca="1"/>
        <v>0</v>
      </c>
      <c r="M107">
        <f ca="1"/>
        <v>1.0287289933742727E-2</v>
      </c>
      <c r="N107">
        <f ca="1"/>
        <v>0.19550712991161051</v>
      </c>
      <c r="O107">
        <f ca="1"/>
        <v>0</v>
      </c>
      <c r="P107">
        <f ca="1"/>
        <v>2.2471402428519216</v>
      </c>
      <c r="Q107">
        <f ca="1"/>
        <v>2.0246268999797512</v>
      </c>
      <c r="R107">
        <f ca="1"/>
        <v>2.9893052099826432</v>
      </c>
      <c r="S107">
        <f ca="1"/>
        <v>1</v>
      </c>
      <c r="T107">
        <f ca="1"/>
        <v>2.9399999999999977</v>
      </c>
      <c r="U107">
        <f ca="1"/>
        <v>0</v>
      </c>
      <c r="V107">
        <f ca="1"/>
        <v>6.6928509242848624E-3</v>
      </c>
      <c r="X107" s="2">
        <f t="shared" ca="1" si="8"/>
        <v>45147</v>
      </c>
      <c r="Y107">
        <f t="shared" ca="1" si="9"/>
        <v>0</v>
      </c>
      <c r="AA107" s="63">
        <f t="shared" ca="1" si="11"/>
        <v>131.4234710524164</v>
      </c>
      <c r="AB107" s="63">
        <f t="shared" ca="1" si="12"/>
        <v>131.4234710524164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45148</v>
      </c>
      <c r="K108">
        <f ca="1"/>
        <v>125.89504425826456</v>
      </c>
      <c r="L108">
        <f ca="1"/>
        <v>0</v>
      </c>
      <c r="M108">
        <f ca="1"/>
        <v>1.0286268135532239E-2</v>
      </c>
      <c r="N108">
        <f ca="1"/>
        <v>0.19143217373456078</v>
      </c>
      <c r="O108">
        <f ca="1"/>
        <v>0</v>
      </c>
      <c r="P108">
        <f ca="1"/>
        <v>2.2471402428519216</v>
      </c>
      <c r="Q108">
        <f ca="1"/>
        <v>2.0246268999797512</v>
      </c>
      <c r="R108">
        <f ca="1"/>
        <v>2.7408400260393018</v>
      </c>
      <c r="S108">
        <f ca="1"/>
        <v>1</v>
      </c>
      <c r="T108">
        <f ca="1"/>
        <v>2.75</v>
      </c>
      <c r="U108">
        <f ca="1"/>
        <v>0</v>
      </c>
      <c r="V108">
        <f ca="1"/>
        <v>6.6928509242848624E-3</v>
      </c>
      <c r="X108" s="2">
        <f t="shared" ca="1" si="8"/>
        <v>45148</v>
      </c>
      <c r="Y108">
        <f t="shared" ca="1" si="9"/>
        <v>0</v>
      </c>
      <c r="AA108" s="63">
        <f t="shared" ca="1" si="11"/>
        <v>128.63588428430387</v>
      </c>
      <c r="AB108" s="63">
        <f t="shared" ca="1" si="12"/>
        <v>128.63588428430387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45149</v>
      </c>
      <c r="K109">
        <f ca="1"/>
        <v>122.27817845099192</v>
      </c>
      <c r="L109">
        <f ca="1"/>
        <v>0</v>
      </c>
      <c r="M109">
        <f ca="1"/>
        <v>1.0620867661437217E-2</v>
      </c>
      <c r="N109">
        <f ca="1"/>
        <v>0.19625386371049675</v>
      </c>
      <c r="O109">
        <f ca="1"/>
        <v>0</v>
      </c>
      <c r="P109">
        <f ca="1"/>
        <v>2.2471402428519216</v>
      </c>
      <c r="Q109">
        <f ca="1"/>
        <v>2.0246268999797512</v>
      </c>
      <c r="R109">
        <f ca="1"/>
        <v>3.8237405386445702</v>
      </c>
      <c r="S109">
        <f ca="1"/>
        <v>1</v>
      </c>
      <c r="T109">
        <f ca="1"/>
        <v>3.9500000000000099</v>
      </c>
      <c r="U109">
        <f ca="1"/>
        <v>0</v>
      </c>
      <c r="V109">
        <f ca="1"/>
        <v>6.6928509242848624E-3</v>
      </c>
      <c r="X109" s="2">
        <f t="shared" ca="1" si="8"/>
        <v>45149</v>
      </c>
      <c r="Y109">
        <f t="shared" ca="1" si="9"/>
        <v>0</v>
      </c>
      <c r="AA109" s="63">
        <f t="shared" ca="1" si="11"/>
        <v>126.10191898963649</v>
      </c>
      <c r="AB109" s="63">
        <f t="shared" ca="1" si="12"/>
        <v>126.10191898963649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45150</v>
      </c>
      <c r="K110">
        <f ca="1"/>
        <v>120.42997610177773</v>
      </c>
      <c r="L110">
        <f ca="1"/>
        <v>0</v>
      </c>
      <c r="M110">
        <f ca="1"/>
        <v>1.0551790944476558E-2</v>
      </c>
      <c r="N110">
        <f ca="1"/>
        <v>0.19106441140701794</v>
      </c>
      <c r="O110">
        <f ca="1"/>
        <v>0</v>
      </c>
      <c r="P110">
        <f ca="1"/>
        <v>2.2471402428519216</v>
      </c>
      <c r="Q110">
        <f ca="1"/>
        <v>2.0246268999797512</v>
      </c>
      <c r="R110">
        <f ca="1"/>
        <v>2.0498185515656742</v>
      </c>
      <c r="S110">
        <f ca="1"/>
        <v>1</v>
      </c>
      <c r="T110">
        <f ca="1"/>
        <v>2.1499999999999986</v>
      </c>
      <c r="U110">
        <f ca="1"/>
        <v>0</v>
      </c>
      <c r="V110">
        <f ca="1"/>
        <v>6.6928509242848624E-3</v>
      </c>
      <c r="X110" s="2">
        <f t="shared" ca="1" si="8"/>
        <v>45150</v>
      </c>
      <c r="Y110">
        <f t="shared" ca="1" si="9"/>
        <v>0</v>
      </c>
      <c r="AA110" s="63">
        <f t="shared" ca="1" si="11"/>
        <v>122.4797946533434</v>
      </c>
      <c r="AB110" s="63">
        <f t="shared" ca="1" si="12"/>
        <v>122.4797946533434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45151</v>
      </c>
      <c r="K111">
        <f ca="1"/>
        <v>118.13898306053134</v>
      </c>
      <c r="L111">
        <f ca="1"/>
        <v>0</v>
      </c>
      <c r="M111">
        <f ca="1"/>
        <v>1.0848986024321938E-2</v>
      </c>
      <c r="N111">
        <f ca="1"/>
        <v>0.19532072717127388</v>
      </c>
      <c r="O111">
        <f ca="1"/>
        <v>0</v>
      </c>
      <c r="P111">
        <f ca="1"/>
        <v>2.2471402428519216</v>
      </c>
      <c r="Q111">
        <f ca="1"/>
        <v>2.0246268999797512</v>
      </c>
      <c r="R111">
        <f ca="1"/>
        <v>2.497162754441983</v>
      </c>
      <c r="S111">
        <f ca="1"/>
        <v>1</v>
      </c>
      <c r="T111">
        <f ca="1"/>
        <v>2.6700000000000017</v>
      </c>
      <c r="U111">
        <f ca="1"/>
        <v>0</v>
      </c>
      <c r="V111">
        <f ca="1"/>
        <v>6.6928509242848624E-3</v>
      </c>
      <c r="X111" s="2">
        <f t="shared" ca="1" si="8"/>
        <v>45151</v>
      </c>
      <c r="Y111">
        <f t="shared" ca="1" si="9"/>
        <v>0</v>
      </c>
      <c r="AA111" s="63">
        <f t="shared" ca="1" si="11"/>
        <v>120.63614581497333</v>
      </c>
      <c r="AB111" s="63">
        <f t="shared" ca="1" si="12"/>
        <v>120.63614581497333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45152</v>
      </c>
      <c r="K112">
        <f ca="1"/>
        <v>115.33866866044698</v>
      </c>
      <c r="L112">
        <f ca="1"/>
        <v>0</v>
      </c>
      <c r="M112">
        <f ca="1"/>
        <v>1.0869640460211549E-2</v>
      </c>
      <c r="N112">
        <f ca="1"/>
        <v>0.192907700273974</v>
      </c>
      <c r="O112">
        <f ca="1"/>
        <v>0</v>
      </c>
      <c r="P112">
        <f ca="1"/>
        <v>2.2471402428519216</v>
      </c>
      <c r="Q112">
        <f ca="1"/>
        <v>2.0246268999797512</v>
      </c>
      <c r="R112">
        <f ca="1"/>
        <v>3.0040917408185579</v>
      </c>
      <c r="S112">
        <f ca="1"/>
        <v>1</v>
      </c>
      <c r="T112">
        <f ca="1"/>
        <v>3.2899999999999991</v>
      </c>
      <c r="U112">
        <f ca="1"/>
        <v>0</v>
      </c>
      <c r="V112">
        <f ca="1"/>
        <v>6.6928509242848624E-3</v>
      </c>
      <c r="X112" s="2">
        <f t="shared" ca="1" si="8"/>
        <v>45152</v>
      </c>
      <c r="Y112">
        <f t="shared" ca="1" si="9"/>
        <v>0</v>
      </c>
      <c r="AA112" s="63">
        <f t="shared" ca="1" si="11"/>
        <v>118.34276040126554</v>
      </c>
      <c r="AB112" s="63">
        <f t="shared" ca="1" si="12"/>
        <v>118.34276040126554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45153</v>
      </c>
      <c r="K113">
        <f ca="1"/>
        <v>112.55597484943893</v>
      </c>
      <c r="L113">
        <f ca="1"/>
        <v>0</v>
      </c>
      <c r="M113">
        <f ca="1"/>
        <v>1.0565967357709205E-2</v>
      </c>
      <c r="N113">
        <f ca="1"/>
        <v>0.18290778994482482</v>
      </c>
      <c r="O113">
        <f ca="1"/>
        <v>0</v>
      </c>
      <c r="P113">
        <f ca="1"/>
        <v>2.2471402428519216</v>
      </c>
      <c r="Q113">
        <f ca="1"/>
        <v>2.0246268999797512</v>
      </c>
      <c r="R113">
        <f ca="1"/>
        <v>2.9761675683105842</v>
      </c>
      <c r="S113">
        <f ca="1"/>
        <v>1</v>
      </c>
      <c r="T113">
        <f ca="1"/>
        <v>3.3400000000000034</v>
      </c>
      <c r="U113">
        <f ca="1"/>
        <v>0</v>
      </c>
      <c r="V113">
        <f ca="1"/>
        <v>6.6928509242848624E-3</v>
      </c>
      <c r="X113" s="2">
        <f t="shared" ca="1" si="8"/>
        <v>45153</v>
      </c>
      <c r="Y113">
        <f t="shared" ca="1" si="9"/>
        <v>0</v>
      </c>
      <c r="AA113" s="63">
        <f t="shared" ca="1" si="11"/>
        <v>115.53214241774951</v>
      </c>
      <c r="AB113" s="63">
        <f t="shared" ca="1" si="12"/>
        <v>115.53214241774951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45154</v>
      </c>
      <c r="K114">
        <f ca="1"/>
        <v>110.46756506561431</v>
      </c>
      <c r="L114">
        <f ca="1"/>
        <v>0</v>
      </c>
      <c r="M114">
        <f ca="1"/>
        <v>1.0681729985162924E-2</v>
      </c>
      <c r="N114">
        <f ca="1"/>
        <v>0.18344454935848645</v>
      </c>
      <c r="O114">
        <f ca="1"/>
        <v>0</v>
      </c>
      <c r="P114">
        <f ca="1"/>
        <v>2.2471402428519216</v>
      </c>
      <c r="Q114">
        <f ca="1"/>
        <v>2.0246268999797512</v>
      </c>
      <c r="R114">
        <f ca="1"/>
        <v>2.2825360631682616</v>
      </c>
      <c r="S114">
        <f ca="1"/>
        <v>1</v>
      </c>
      <c r="T114">
        <f ca="1"/>
        <v>2.6100000000000065</v>
      </c>
      <c r="U114">
        <f ca="1"/>
        <v>0</v>
      </c>
      <c r="V114">
        <f ca="1"/>
        <v>6.6928509242848624E-3</v>
      </c>
      <c r="X114" s="2">
        <f t="shared" ca="1" si="8"/>
        <v>45154</v>
      </c>
      <c r="Y114">
        <f t="shared" ca="1" si="9"/>
        <v>0</v>
      </c>
      <c r="AA114" s="63">
        <f t="shared" ca="1" si="11"/>
        <v>112.75010112878257</v>
      </c>
      <c r="AB114" s="63">
        <f t="shared" ca="1" si="12"/>
        <v>112.75010112878257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45155</v>
      </c>
      <c r="K115">
        <f ca="1"/>
        <v>107.80890047457683</v>
      </c>
      <c r="L115">
        <f ca="1"/>
        <v>0</v>
      </c>
      <c r="M115">
        <f ca="1"/>
        <v>1.0678911582193251E-2</v>
      </c>
      <c r="N115">
        <f ca="1"/>
        <v>0.18130350742893928</v>
      </c>
      <c r="O115">
        <f ca="1"/>
        <v>0</v>
      </c>
      <c r="P115">
        <f ca="1"/>
        <v>2.2471402428519216</v>
      </c>
      <c r="Q115">
        <f ca="1"/>
        <v>2.0246268999797512</v>
      </c>
      <c r="R115">
        <f ca="1"/>
        <v>2.8506470100485997</v>
      </c>
      <c r="S115">
        <f ca="1"/>
        <v>1</v>
      </c>
      <c r="T115">
        <f ca="1"/>
        <v>3.3399999999999963</v>
      </c>
      <c r="U115">
        <f ca="1"/>
        <v>0</v>
      </c>
      <c r="V115">
        <f ca="1"/>
        <v>6.6928509242848624E-3</v>
      </c>
      <c r="X115" s="2">
        <f t="shared" ca="1" si="8"/>
        <v>45155</v>
      </c>
      <c r="Y115">
        <f t="shared" ca="1" si="9"/>
        <v>0</v>
      </c>
      <c r="AA115" s="63">
        <f t="shared" ca="1" si="11"/>
        <v>110.65954748462543</v>
      </c>
      <c r="AB115" s="63">
        <f t="shared" ca="1" si="12"/>
        <v>110.65954748462543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45156</v>
      </c>
      <c r="K116">
        <f ca="1"/>
        <v>106.27618748954809</v>
      </c>
      <c r="L116">
        <f ca="1"/>
        <v>0</v>
      </c>
      <c r="M116">
        <f ca="1"/>
        <v>1.0757467008121857E-2</v>
      </c>
      <c r="N116">
        <f ca="1"/>
        <v>0.18130350742893928</v>
      </c>
      <c r="O116">
        <f ca="1"/>
        <v>0</v>
      </c>
      <c r="P116">
        <f ca="1"/>
        <v>2.2471402428519216</v>
      </c>
      <c r="Q116">
        <f ca="1"/>
        <v>2.0246268999797512</v>
      </c>
      <c r="R116">
        <f ca="1"/>
        <v>1.7247739594657883</v>
      </c>
      <c r="S116">
        <f ca="1"/>
        <v>1</v>
      </c>
      <c r="T116">
        <f ca="1"/>
        <v>2.0499999999999972</v>
      </c>
      <c r="U116">
        <f ca="1"/>
        <v>0</v>
      </c>
      <c r="V116">
        <f ca="1"/>
        <v>6.6928509242848624E-3</v>
      </c>
      <c r="X116" s="2">
        <f t="shared" ca="1" si="8"/>
        <v>45156</v>
      </c>
      <c r="Y116">
        <f t="shared" ca="1" si="9"/>
        <v>0</v>
      </c>
      <c r="AA116" s="63">
        <f t="shared" ca="1" si="11"/>
        <v>108.00096144901389</v>
      </c>
      <c r="AB116" s="63">
        <f t="shared" ca="1" si="12"/>
        <v>108.00096144901389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45157</v>
      </c>
      <c r="K117">
        <f ca="1"/>
        <v>105.0227459992593</v>
      </c>
      <c r="L117">
        <f ca="1"/>
        <v>0</v>
      </c>
      <c r="M117">
        <f ca="1"/>
        <v>1.087480570459487E-2</v>
      </c>
      <c r="N117">
        <f ca="1"/>
        <v>0.18237203014641107</v>
      </c>
      <c r="O117">
        <f ca="1"/>
        <v>0</v>
      </c>
      <c r="P117">
        <f ca="1"/>
        <v>2.2471402428519216</v>
      </c>
      <c r="Q117">
        <f ca="1"/>
        <v>2.0246268999797512</v>
      </c>
      <c r="R117">
        <f ca="1"/>
        <v>1.4466883261397983</v>
      </c>
      <c r="S117">
        <f ca="1"/>
        <v>1</v>
      </c>
      <c r="T117">
        <f ca="1"/>
        <v>1.740000000000002</v>
      </c>
      <c r="U117">
        <f ca="1"/>
        <v>0</v>
      </c>
      <c r="V117">
        <f ca="1"/>
        <v>6.6928509242848624E-3</v>
      </c>
      <c r="X117" s="2">
        <f t="shared" ca="1" si="8"/>
        <v>45157</v>
      </c>
      <c r="Y117">
        <f t="shared" ca="1" si="9"/>
        <v>0</v>
      </c>
      <c r="AA117" s="63">
        <f t="shared" ca="1" si="11"/>
        <v>106.46943432539909</v>
      </c>
      <c r="AB117" s="63">
        <f t="shared" ca="1" si="12"/>
        <v>106.46943432539909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45158</v>
      </c>
      <c r="K118">
        <f ca="1"/>
        <v>102.76438830056736</v>
      </c>
      <c r="L118">
        <f ca="1"/>
        <v>0</v>
      </c>
      <c r="M118">
        <f ca="1"/>
        <v>1.1156176500103143E-2</v>
      </c>
      <c r="N118">
        <f ca="1"/>
        <v>0.18741137509402189</v>
      </c>
      <c r="O118">
        <f ca="1"/>
        <v>0</v>
      </c>
      <c r="P118">
        <f ca="1"/>
        <v>2.2471402428519216</v>
      </c>
      <c r="Q118">
        <f ca="1"/>
        <v>2.0246268999797512</v>
      </c>
      <c r="R118">
        <f ca="1"/>
        <v>2.456925250286067</v>
      </c>
      <c r="S118">
        <f ca="1"/>
        <v>1</v>
      </c>
      <c r="T118">
        <f ca="1"/>
        <v>3.0200000000000031</v>
      </c>
      <c r="U118">
        <f ca="1"/>
        <v>0</v>
      </c>
      <c r="V118">
        <f ca="1"/>
        <v>6.6928509242848624E-3</v>
      </c>
      <c r="X118" s="2">
        <f t="shared" ca="1" si="8"/>
        <v>45158</v>
      </c>
      <c r="Y118">
        <f t="shared" ca="1" si="9"/>
        <v>0</v>
      </c>
      <c r="AA118" s="63">
        <f t="shared" ca="1" si="11"/>
        <v>105.22131355085342</v>
      </c>
      <c r="AB118" s="63">
        <f t="shared" ca="1" si="12"/>
        <v>105.22131355085342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45159</v>
      </c>
      <c r="K119">
        <f ca="1"/>
        <v>101.21357518724948</v>
      </c>
      <c r="L119">
        <f ca="1"/>
        <v>0</v>
      </c>
      <c r="M119">
        <f ca="1"/>
        <v>1.1439099708685951E-2</v>
      </c>
      <c r="N119">
        <f ca="1"/>
        <v>0.19253814678236719</v>
      </c>
      <c r="O119">
        <f ca="1"/>
        <v>0</v>
      </c>
      <c r="P119">
        <f ca="1"/>
        <v>2.2471402428519216</v>
      </c>
      <c r="Q119">
        <f ca="1"/>
        <v>2.0246268999797512</v>
      </c>
      <c r="R119">
        <f ca="1"/>
        <v>1.7547903598089358</v>
      </c>
      <c r="S119">
        <f ca="1"/>
        <v>1</v>
      </c>
      <c r="T119">
        <f ca="1"/>
        <v>2.1899999999999977</v>
      </c>
      <c r="U119">
        <f ca="1"/>
        <v>0</v>
      </c>
      <c r="V119">
        <f ca="1"/>
        <v>6.6928509242848624E-3</v>
      </c>
      <c r="X119" s="2">
        <f t="shared" ca="1" si="8"/>
        <v>45159</v>
      </c>
      <c r="Y119">
        <f t="shared" ca="1" si="9"/>
        <v>0</v>
      </c>
      <c r="AA119" s="63">
        <f t="shared" ca="1" si="11"/>
        <v>102.96836554705841</v>
      </c>
      <c r="AB119" s="63">
        <f t="shared" ca="1" si="12"/>
        <v>102.96836554705841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45160</v>
      </c>
      <c r="K120">
        <f ca="1"/>
        <v>99.807757839907069</v>
      </c>
      <c r="L120">
        <f ca="1"/>
        <v>4.7208387721964229E-4</v>
      </c>
      <c r="M120">
        <f ca="1"/>
        <v>1.1601767223611503E-2</v>
      </c>
      <c r="N120">
        <f ca="1"/>
        <v>0.19494825842569802</v>
      </c>
      <c r="O120">
        <f ca="1"/>
        <v>0</v>
      </c>
      <c r="P120">
        <f ca="1"/>
        <v>2.2476123267291412</v>
      </c>
      <c r="Q120">
        <f ca="1"/>
        <v>2.0250522377929587</v>
      </c>
      <c r="R120">
        <f ca="1"/>
        <v>1.6118952891144989</v>
      </c>
      <c r="S120">
        <f ca="1"/>
        <v>1</v>
      </c>
      <c r="T120">
        <f ca="1"/>
        <v>2.0399999999999991</v>
      </c>
      <c r="U120">
        <f ca="1"/>
        <v>0</v>
      </c>
      <c r="V120">
        <f ca="1"/>
        <v>6.6970699484879756E-3</v>
      </c>
      <c r="X120" s="2">
        <f t="shared" ca="1" si="8"/>
        <v>45160</v>
      </c>
      <c r="Y120">
        <f t="shared" ca="1" si="9"/>
        <v>0</v>
      </c>
      <c r="AA120" s="63">
        <f t="shared" ca="1" si="11"/>
        <v>101.42012521289878</v>
      </c>
      <c r="AB120" s="63">
        <f t="shared" ca="1" si="12"/>
        <v>101.42012521289878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45161</v>
      </c>
      <c r="K121">
        <f ca="1"/>
        <v>98.900206006461858</v>
      </c>
      <c r="L121">
        <f ca="1"/>
        <v>0.1481767031752832</v>
      </c>
      <c r="M121">
        <f ca="1"/>
        <v>1.185880239383863E-2</v>
      </c>
      <c r="N121">
        <f ca="1"/>
        <v>0.19963642296631437</v>
      </c>
      <c r="O121">
        <f ca="1"/>
        <v>0</v>
      </c>
      <c r="P121">
        <f ca="1"/>
        <v>2.3957890299044244</v>
      </c>
      <c r="Q121">
        <f ca="1"/>
        <v>2.1585563838529525</v>
      </c>
      <c r="R121">
        <f ca="1"/>
        <v>0.97087035563010204</v>
      </c>
      <c r="S121">
        <f ca="1"/>
        <v>1</v>
      </c>
      <c r="T121">
        <f ca="1"/>
        <v>1.240000000000002</v>
      </c>
      <c r="U121">
        <f ca="1"/>
        <v>0</v>
      </c>
      <c r="V121">
        <f ca="1"/>
        <v>8.1101162888398727E-3</v>
      </c>
      <c r="X121" s="2">
        <f t="shared" ca="1" si="8"/>
        <v>45161</v>
      </c>
      <c r="Y121">
        <f t="shared" ca="1" si="9"/>
        <v>0</v>
      </c>
      <c r="AA121" s="63">
        <f t="shared" ca="1" si="11"/>
        <v>100.01925306526722</v>
      </c>
      <c r="AB121" s="63">
        <f t="shared" ca="1" si="12"/>
        <v>100.01925306526724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45162</v>
      </c>
      <c r="K122">
        <f ca="1"/>
        <v>97.968813234571513</v>
      </c>
      <c r="L122">
        <f ca="1"/>
        <v>0.15813861979638677</v>
      </c>
      <c r="M122">
        <f ca="1"/>
        <v>1.1915212294313804E-2</v>
      </c>
      <c r="N122">
        <f ca="1"/>
        <v>0.19982541200765366</v>
      </c>
      <c r="O122">
        <f ca="1"/>
        <v>0</v>
      </c>
      <c r="P122">
        <f ca="1"/>
        <v>2.5539276497008112</v>
      </c>
      <c r="Q122">
        <f ca="1"/>
        <v>2.3010360108294581</v>
      </c>
      <c r="R122">
        <f ca="1"/>
        <v>0.98499477639592359</v>
      </c>
      <c r="S122">
        <f ca="1"/>
        <v>1</v>
      </c>
      <c r="T122">
        <f ca="1"/>
        <v>1.2700000000000031</v>
      </c>
      <c r="U122">
        <f ca="1"/>
        <v>0</v>
      </c>
      <c r="V122">
        <f ca="1"/>
        <v>9.8214453138957963E-3</v>
      </c>
      <c r="X122" s="2">
        <f t="shared" ca="1" si="8"/>
        <v>45162</v>
      </c>
      <c r="Y122">
        <f t="shared" ca="1" si="9"/>
        <v>0</v>
      </c>
      <c r="AA122" s="63">
        <f t="shared" ca="1" si="11"/>
        <v>99.111946630763825</v>
      </c>
      <c r="AB122" s="63">
        <f t="shared" ca="1" si="12"/>
        <v>99.111946630763825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45163</v>
      </c>
      <c r="K123">
        <f ca="1"/>
        <v>94.063689040943189</v>
      </c>
      <c r="L123">
        <f ca="1"/>
        <v>0.17392201941636776</v>
      </c>
      <c r="M123">
        <f ca="1"/>
        <v>1.2115820975258984E-2</v>
      </c>
      <c r="N123">
        <f ca="1"/>
        <v>0.20343762415569766</v>
      </c>
      <c r="O123">
        <f ca="1"/>
        <v>0</v>
      </c>
      <c r="P123">
        <f ca="1"/>
        <v>2.727849669117179</v>
      </c>
      <c r="Q123">
        <f ca="1"/>
        <v>2.4577361545473604</v>
      </c>
      <c r="R123">
        <f ca="1"/>
        <v>3.9467556193429112</v>
      </c>
      <c r="S123">
        <f ca="1"/>
        <v>1</v>
      </c>
      <c r="T123">
        <f ca="1"/>
        <v>5.3000000000000043</v>
      </c>
      <c r="U123">
        <f ca="1"/>
        <v>0</v>
      </c>
      <c r="V123">
        <f ca="1"/>
        <v>1.1960571845149353E-2</v>
      </c>
      <c r="X123" s="2">
        <f t="shared" ca="1" si="8"/>
        <v>45163</v>
      </c>
      <c r="Y123">
        <f t="shared" ca="1" si="9"/>
        <v>0</v>
      </c>
      <c r="AA123" s="63">
        <f t="shared" ca="1" si="11"/>
        <v>98.184366679702464</v>
      </c>
      <c r="AB123" s="63">
        <f t="shared" ca="1" si="12"/>
        <v>98.184366679702464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45164</v>
      </c>
      <c r="K124">
        <f ca="1"/>
        <v>92.240307067132846</v>
      </c>
      <c r="L124">
        <f ca="1"/>
        <v>0.18139009110736914</v>
      </c>
      <c r="M124">
        <f ca="1"/>
        <v>1.2034911392832193E-2</v>
      </c>
      <c r="N124">
        <f ca="1"/>
        <v>0.20077204717913294</v>
      </c>
      <c r="O124">
        <f ca="1"/>
        <v>0</v>
      </c>
      <c r="P124">
        <f ca="1"/>
        <v>2.9092397602245481</v>
      </c>
      <c r="Q124">
        <f ca="1"/>
        <v>2.621164876459114</v>
      </c>
      <c r="R124">
        <f ca="1"/>
        <v>1.8547988412749288</v>
      </c>
      <c r="S124">
        <f ca="1"/>
        <v>1</v>
      </c>
      <c r="T124">
        <f ca="1"/>
        <v>2.5399999999999991</v>
      </c>
      <c r="U124">
        <f ca="1"/>
        <v>0</v>
      </c>
      <c r="V124">
        <f ca="1"/>
        <v>1.4495176528813963E-2</v>
      </c>
      <c r="X124" s="2">
        <f t="shared" ca="1" si="8"/>
        <v>45164</v>
      </c>
      <c r="Y124">
        <f t="shared" ca="1" si="9"/>
        <v>0</v>
      </c>
      <c r="AA124" s="63">
        <f t="shared" ca="1" si="11"/>
        <v>94.276495999515149</v>
      </c>
      <c r="AB124" s="63">
        <f t="shared" ca="1" si="12"/>
        <v>94.276495999515149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45165</v>
      </c>
      <c r="K125">
        <f ca="1"/>
        <v>91.614684358393419</v>
      </c>
      <c r="L125">
        <f ca="1"/>
        <v>0.19236443621169474</v>
      </c>
      <c r="M125">
        <f ca="1"/>
        <v>1.2039796312300233E-2</v>
      </c>
      <c r="N125">
        <f ca="1"/>
        <v>0.20020372803515518</v>
      </c>
      <c r="O125">
        <f ca="1"/>
        <v>0</v>
      </c>
      <c r="P125">
        <f ca="1"/>
        <v>3.1016041964362429</v>
      </c>
      <c r="Q125">
        <f ca="1"/>
        <v>2.7944812564191612</v>
      </c>
      <c r="R125">
        <f ca="1"/>
        <v>0.64550179687518072</v>
      </c>
      <c r="S125">
        <f ca="1"/>
        <v>1</v>
      </c>
      <c r="T125">
        <f ca="1"/>
        <v>0.89000000000000057</v>
      </c>
      <c r="U125">
        <f ca="1"/>
        <v>0</v>
      </c>
      <c r="V125">
        <f ca="1"/>
        <v>1.7540945854288243E-2</v>
      </c>
      <c r="X125" s="2">
        <f t="shared" ca="1" si="8"/>
        <v>45165</v>
      </c>
      <c r="Y125">
        <f t="shared" ca="1" si="9"/>
        <v>0</v>
      </c>
      <c r="AA125" s="63">
        <f t="shared" ca="1" si="11"/>
        <v>92.452550591480289</v>
      </c>
      <c r="AB125" s="63">
        <f t="shared" ca="1" si="12"/>
        <v>92.452550591480289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45166</v>
      </c>
      <c r="K126">
        <f ca="1"/>
        <v>91.417213992042036</v>
      </c>
      <c r="L126">
        <f ca="1"/>
        <v>0.19320799636068919</v>
      </c>
      <c r="M126">
        <f ca="1"/>
        <v>1.1782772263019936E-2</v>
      </c>
      <c r="N126">
        <f ca="1"/>
        <v>0.19383354486967372</v>
      </c>
      <c r="O126">
        <f ca="1"/>
        <v>0</v>
      </c>
      <c r="P126">
        <f ca="1"/>
        <v>3.294812192796932</v>
      </c>
      <c r="Q126">
        <f ca="1"/>
        <v>2.9685576666331444</v>
      </c>
      <c r="R126">
        <f ca="1"/>
        <v>0.20987868712339591</v>
      </c>
      <c r="S126">
        <f ca="1"/>
        <v>1</v>
      </c>
      <c r="T126">
        <f ca="1"/>
        <v>0.28999999999999915</v>
      </c>
      <c r="U126">
        <f ca="1"/>
        <v>0</v>
      </c>
      <c r="V126">
        <f ca="1"/>
        <v>2.0990144625568249E-2</v>
      </c>
      <c r="X126" s="2">
        <f t="shared" ca="1" si="8"/>
        <v>45166</v>
      </c>
      <c r="Y126">
        <f t="shared" ca="1" si="9"/>
        <v>0</v>
      </c>
      <c r="AA126" s="63">
        <f t="shared" ca="1" si="11"/>
        <v>91.820300675526113</v>
      </c>
      <c r="AB126" s="63">
        <f t="shared" ca="1" si="12"/>
        <v>91.820300675526113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45167</v>
      </c>
      <c r="K127">
        <f ca="1"/>
        <v>91.251922263666003</v>
      </c>
      <c r="L127">
        <f ca="1"/>
        <v>0.20438449999264074</v>
      </c>
      <c r="M127">
        <f ca="1"/>
        <v>1.1784442606604273E-2</v>
      </c>
      <c r="N127">
        <f ca="1"/>
        <v>0.19346287079843785</v>
      </c>
      <c r="O127">
        <f ca="1"/>
        <v>0</v>
      </c>
      <c r="P127">
        <f ca="1"/>
        <v>3.4991966927895728</v>
      </c>
      <c r="Q127">
        <f ca="1"/>
        <v>3.152703875549256</v>
      </c>
      <c r="R127">
        <f ca="1"/>
        <v>0.1661545417884229</v>
      </c>
      <c r="S127">
        <f ca="1"/>
        <v>1</v>
      </c>
      <c r="T127">
        <f ca="1"/>
        <v>0.22999999999999687</v>
      </c>
      <c r="U127">
        <f ca="1"/>
        <v>0</v>
      </c>
      <c r="V127">
        <f ca="1"/>
        <v>2.5084735619386404E-2</v>
      </c>
      <c r="X127" s="2">
        <f t="shared" ca="1" si="8"/>
        <v>45167</v>
      </c>
      <c r="Y127">
        <f t="shared" ca="1" si="9"/>
        <v>0</v>
      </c>
      <c r="AA127" s="63">
        <f t="shared" ca="1" si="11"/>
        <v>91.622461305447075</v>
      </c>
      <c r="AB127" s="63">
        <f t="shared" ca="1" si="12"/>
        <v>91.622461305447075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45168</v>
      </c>
      <c r="K128">
        <f ca="1"/>
        <v>90.40729628027664</v>
      </c>
      <c r="L128">
        <f ca="1"/>
        <v>0.22236533672886649</v>
      </c>
      <c r="M128">
        <f ca="1"/>
        <v>1.1912679044684182E-2</v>
      </c>
      <c r="N128">
        <f ca="1"/>
        <v>0.19606701180202218</v>
      </c>
      <c r="O128">
        <f ca="1"/>
        <v>0</v>
      </c>
      <c r="P128">
        <f ca="1"/>
        <v>3.7215620295184393</v>
      </c>
      <c r="Q128">
        <f ca="1"/>
        <v>3.3530504466172664</v>
      </c>
      <c r="R128">
        <f ca="1"/>
        <v>0.83024033750720982</v>
      </c>
      <c r="S128">
        <f ca="1"/>
        <v>1</v>
      </c>
      <c r="T128">
        <f ca="1"/>
        <v>1.1600000000000037</v>
      </c>
      <c r="U128">
        <f ca="1"/>
        <v>0</v>
      </c>
      <c r="V128">
        <f ca="1"/>
        <v>3.0082937653592209E-2</v>
      </c>
      <c r="X128" s="2">
        <f t="shared" ca="1" si="8"/>
        <v>45168</v>
      </c>
      <c r="Y128">
        <f t="shared" ca="1" si="9"/>
        <v>0</v>
      </c>
      <c r="AA128" s="63">
        <f t="shared" ca="1" si="11"/>
        <v>91.459901954512716</v>
      </c>
      <c r="AB128" s="63">
        <f t="shared" ca="1" si="12"/>
        <v>91.459901954512716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45169</v>
      </c>
      <c r="K129">
        <f ca="1"/>
        <v>88.458827748262166</v>
      </c>
      <c r="L129">
        <f ca="1"/>
        <v>0.2388099363523728</v>
      </c>
      <c r="M129">
        <f ca="1"/>
        <v>1.1971000994172698E-2</v>
      </c>
      <c r="N129">
        <f ca="1"/>
        <v>0.19718980858311519</v>
      </c>
      <c r="O129">
        <f ca="1"/>
        <v>0</v>
      </c>
      <c r="P129">
        <f ca="1"/>
        <v>3.9603719658708121</v>
      </c>
      <c r="Q129">
        <f ca="1"/>
        <v>3.5682132619597748</v>
      </c>
      <c r="R129">
        <f ca="1"/>
        <v>1.9188194052393881</v>
      </c>
      <c r="S129">
        <f ca="1"/>
        <v>1</v>
      </c>
      <c r="T129">
        <f ca="1"/>
        <v>2.740000000000002</v>
      </c>
      <c r="U129">
        <f ca="1"/>
        <v>0</v>
      </c>
      <c r="V129">
        <f ca="1"/>
        <v>3.6106409794615865E-2</v>
      </c>
      <c r="X129" s="2">
        <f t="shared" ca="1" si="8"/>
        <v>45169</v>
      </c>
      <c r="Y129">
        <f t="shared" ca="1" si="9"/>
        <v>0</v>
      </c>
      <c r="AA129" s="63">
        <f t="shared" ca="1" si="11"/>
        <v>90.616457089853924</v>
      </c>
      <c r="AB129" s="63">
        <f t="shared" ca="1" si="12"/>
        <v>90.616457089853924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45170</v>
      </c>
      <c r="K130">
        <f ca="1"/>
        <v>87.764609855274415</v>
      </c>
      <c r="L130">
        <f ca="1"/>
        <v>0.24734451369578014</v>
      </c>
      <c r="M130">
        <f ca="1"/>
        <v>1.1851195485718335E-2</v>
      </c>
      <c r="N130">
        <f ca="1"/>
        <v>0.19439039689531745</v>
      </c>
      <c r="O130">
        <f ca="1"/>
        <v>0</v>
      </c>
      <c r="P130">
        <f ca="1"/>
        <v>4.2077164795665922</v>
      </c>
      <c r="Q130">
        <f ca="1"/>
        <v>3.791065555039324</v>
      </c>
      <c r="R130">
        <f ca="1"/>
        <v>0.65311497167299892</v>
      </c>
      <c r="S130">
        <f ca="1"/>
        <v>1</v>
      </c>
      <c r="T130">
        <f ca="1"/>
        <v>0.93999999999999773</v>
      </c>
      <c r="U130">
        <f ca="1"/>
        <v>0</v>
      </c>
      <c r="V130">
        <f ca="1"/>
        <v>4.3085530706958371E-2</v>
      </c>
      <c r="X130" s="2">
        <f t="shared" ca="1" si="8"/>
        <v>45170</v>
      </c>
      <c r="Y130">
        <f t="shared" ca="1" si="9"/>
        <v>0</v>
      </c>
      <c r="AA130" s="63">
        <f t="shared" ca="1" si="11"/>
        <v>88.6650693406432</v>
      </c>
      <c r="AB130" s="63">
        <f t="shared" ca="1" si="12"/>
        <v>88.6650693406432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45171</v>
      </c>
      <c r="K131">
        <f ca="1"/>
        <v>87.188949411464762</v>
      </c>
      <c r="L131">
        <f ca="1"/>
        <v>0.26538343220037053</v>
      </c>
      <c r="M131">
        <f ca="1"/>
        <v>1.1900245609678173E-2</v>
      </c>
      <c r="N131">
        <f ca="1"/>
        <v>0.19550712991161051</v>
      </c>
      <c r="O131">
        <f ca="1"/>
        <v>0</v>
      </c>
      <c r="P131">
        <f ca="1"/>
        <v>4.4730999117669628</v>
      </c>
      <c r="Q131">
        <f ca="1"/>
        <v>4.0301705407432484</v>
      </c>
      <c r="R131">
        <f ca="1"/>
        <v>0.51768438713056708</v>
      </c>
      <c r="S131">
        <f ca="1"/>
        <v>1</v>
      </c>
      <c r="T131">
        <f ca="1"/>
        <v>0.74999999999999289</v>
      </c>
      <c r="U131">
        <f ca="1"/>
        <v>0</v>
      </c>
      <c r="V131">
        <f ca="1"/>
        <v>5.1434592384827942E-2</v>
      </c>
      <c r="X131" s="2">
        <f t="shared" ca="1" si="8"/>
        <v>45171</v>
      </c>
      <c r="Y131">
        <f t="shared" ca="1" si="9"/>
        <v>0</v>
      </c>
      <c r="AA131" s="63">
        <f t="shared" ca="1" si="11"/>
        <v>87.9720172307957</v>
      </c>
      <c r="AB131" s="63">
        <f t="shared" ca="1" si="12"/>
        <v>87.9720172307957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45172</v>
      </c>
      <c r="K132">
        <f ca="1"/>
        <v>87.021347557441075</v>
      </c>
      <c r="L132">
        <f ca="1"/>
        <v>0.31071542325109824</v>
      </c>
      <c r="M132">
        <f ca="1"/>
        <v>1.2383552497108319E-2</v>
      </c>
      <c r="N132">
        <f ca="1"/>
        <v>0.20651110689488775</v>
      </c>
      <c r="O132">
        <f ca="1"/>
        <v>0</v>
      </c>
      <c r="P132">
        <f ca="1"/>
        <v>4.783815335018061</v>
      </c>
      <c r="Q132">
        <f ca="1"/>
        <v>4.3101187131609953</v>
      </c>
      <c r="R132">
        <f ca="1"/>
        <v>7.5781090164599635E-2</v>
      </c>
      <c r="S132">
        <f ca="1"/>
        <v>1</v>
      </c>
      <c r="T132">
        <f ca="1"/>
        <v>0.10999999999999233</v>
      </c>
      <c r="U132">
        <f ca="1"/>
        <v>0</v>
      </c>
      <c r="V132">
        <f ca="1"/>
        <v>6.2365122377941271E-2</v>
      </c>
      <c r="X132" s="2">
        <f t="shared" ca="1" si="8"/>
        <v>45172</v>
      </c>
      <c r="Y132">
        <f t="shared" ca="1" si="9"/>
        <v>0</v>
      </c>
      <c r="AA132" s="63">
        <f t="shared" ca="1" si="11"/>
        <v>87.407844070856768</v>
      </c>
      <c r="AB132" s="63">
        <f t="shared" ca="1" si="12"/>
        <v>87.407844070856768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45173</v>
      </c>
      <c r="K133">
        <f ca="1"/>
        <v>85.757594310668281</v>
      </c>
      <c r="L133">
        <f ca="1"/>
        <v>0.33729500586454719</v>
      </c>
      <c r="M133">
        <f ca="1"/>
        <v>1.2460161767736899E-2</v>
      </c>
      <c r="N133">
        <f ca="1"/>
        <v>0.20844674453882714</v>
      </c>
      <c r="O133">
        <f ca="1"/>
        <v>0</v>
      </c>
      <c r="P133">
        <f ca="1"/>
        <v>5.1211103408826082</v>
      </c>
      <c r="Q133">
        <f ca="1"/>
        <v>4.6140145399899888</v>
      </c>
      <c r="R133">
        <f ca="1"/>
        <v>1.1473651472148143</v>
      </c>
      <c r="S133">
        <f ca="1"/>
        <v>1</v>
      </c>
      <c r="T133">
        <f ca="1"/>
        <v>1.6899999999999977</v>
      </c>
      <c r="U133">
        <f ca="1"/>
        <v>0</v>
      </c>
      <c r="V133">
        <f ca="1"/>
        <v>7.565534320546248E-2</v>
      </c>
      <c r="X133" s="2">
        <f t="shared" ca="1" si="8"/>
        <v>45173</v>
      </c>
      <c r="Y133">
        <f t="shared" ca="1" si="9"/>
        <v>0</v>
      </c>
      <c r="AA133" s="63">
        <f t="shared" ca="1" si="11"/>
        <v>87.242254463747642</v>
      </c>
      <c r="AB133" s="63">
        <f t="shared" ca="1" si="12"/>
        <v>87.242254463747642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45174</v>
      </c>
      <c r="K134">
        <f ca="1"/>
        <v>83.200111179367553</v>
      </c>
      <c r="L134">
        <f ca="1"/>
        <v>0.37152669169066321</v>
      </c>
      <c r="M134">
        <f ca="1"/>
        <v>1.2611087203307392E-2</v>
      </c>
      <c r="N134">
        <f ca="1"/>
        <v>0.21215569460878969</v>
      </c>
      <c r="O134">
        <f ca="1"/>
        <v>0</v>
      </c>
      <c r="P134">
        <f ca="1"/>
        <v>5.4926370325732714</v>
      </c>
      <c r="Q134">
        <f ca="1"/>
        <v>4.9487524080203142</v>
      </c>
      <c r="R134">
        <f ca="1"/>
        <v>2.4107232214221725</v>
      </c>
      <c r="S134">
        <f ca="1"/>
        <v>1</v>
      </c>
      <c r="T134">
        <f ca="1"/>
        <v>3.6599999999999966</v>
      </c>
      <c r="U134">
        <f ca="1"/>
        <v>0</v>
      </c>
      <c r="V134">
        <f ca="1"/>
        <v>9.2003626394997456E-2</v>
      </c>
      <c r="X134" s="2">
        <f t="shared" ca="1" si="8"/>
        <v>45174</v>
      </c>
      <c r="Y134">
        <f t="shared" ca="1" si="9"/>
        <v>0</v>
      </c>
      <c r="AA134" s="63">
        <f t="shared" ca="1" si="11"/>
        <v>85.982361092480389</v>
      </c>
      <c r="AB134" s="63">
        <f t="shared" ca="1" si="12"/>
        <v>85.982361092480389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45175</v>
      </c>
      <c r="K135">
        <f ca="1"/>
        <v>81.919903875342129</v>
      </c>
      <c r="L135">
        <f ca="1"/>
        <v>0.39494112981464369</v>
      </c>
      <c r="M135">
        <f ca="1"/>
        <v>1.2548842169547214E-2</v>
      </c>
      <c r="N135">
        <f ca="1"/>
        <v>0.2111756823321066</v>
      </c>
      <c r="O135">
        <f ca="1"/>
        <v>0</v>
      </c>
      <c r="P135">
        <f ca="1"/>
        <v>5.8875781623879151</v>
      </c>
      <c r="Q135">
        <f ca="1"/>
        <v>5.3045862007151188</v>
      </c>
      <c r="R135">
        <f ca="1"/>
        <v>1.1089906987124403</v>
      </c>
      <c r="S135">
        <f ca="1"/>
        <v>1</v>
      </c>
      <c r="T135">
        <f ca="1"/>
        <v>1.7099999999999937</v>
      </c>
      <c r="U135">
        <f ca="1"/>
        <v>0</v>
      </c>
      <c r="V135">
        <f ca="1"/>
        <v>0.11130163726699646</v>
      </c>
      <c r="X135" s="2">
        <f t="shared" ref="X135:X198" ca="1" si="15">IFERROR(J135,$X$5)</f>
        <v>45175</v>
      </c>
      <c r="Y135">
        <f t="shared" ref="Y135:Y198" ca="1" si="16">IFERROR(O135,0)</f>
        <v>0</v>
      </c>
      <c r="AA135" s="63">
        <f t="shared" ca="1" si="11"/>
        <v>83.423835703869216</v>
      </c>
      <c r="AB135" s="63">
        <f t="shared" ca="1" si="12"/>
        <v>83.423835703869216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45176</v>
      </c>
      <c r="K136">
        <f ca="1"/>
        <v>81.385965654470255</v>
      </c>
      <c r="L136">
        <f ca="1"/>
        <v>0.40383783594669609</v>
      </c>
      <c r="M136">
        <f ca="1"/>
        <v>1.2277084524948023E-2</v>
      </c>
      <c r="N136">
        <f ca="1"/>
        <v>0.2055475337227306</v>
      </c>
      <c r="O136">
        <f ca="1"/>
        <v>0</v>
      </c>
      <c r="P136">
        <f ca="1"/>
        <v>6.2914159983346112</v>
      </c>
      <c r="Q136">
        <f ca="1"/>
        <v>5.6684357416986488</v>
      </c>
      <c r="R136">
        <f ca="1"/>
        <v>0.34792500317285974</v>
      </c>
      <c r="S136">
        <f ca="1"/>
        <v>1</v>
      </c>
      <c r="T136">
        <f ca="1"/>
        <v>0.53999999999999915</v>
      </c>
      <c r="U136">
        <f ca="1"/>
        <v>0</v>
      </c>
      <c r="V136">
        <f ca="1"/>
        <v>0.13298561381678928</v>
      </c>
      <c r="X136" s="2">
        <f t="shared" ca="1" si="15"/>
        <v>45176</v>
      </c>
      <c r="Y136">
        <f t="shared" ca="1" si="16"/>
        <v>0</v>
      </c>
      <c r="AA136" s="63">
        <f t="shared" ca="1" si="11"/>
        <v>82.137728493589819</v>
      </c>
      <c r="AB136" s="63">
        <f t="shared" ca="1" si="12"/>
        <v>82.137728493589805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45177</v>
      </c>
      <c r="K137">
        <f ca="1"/>
        <v>79.879939669833163</v>
      </c>
      <c r="L137">
        <f ca="1"/>
        <v>0.46169117981071839</v>
      </c>
      <c r="M137">
        <f ca="1"/>
        <v>1.2630492217724054E-2</v>
      </c>
      <c r="N137">
        <f ca="1"/>
        <v>0.21412424295212784</v>
      </c>
      <c r="O137">
        <f ca="1"/>
        <v>0</v>
      </c>
      <c r="P137">
        <f ca="1"/>
        <v>6.7531071781453296</v>
      </c>
      <c r="Q137">
        <f ca="1"/>
        <v>6.0844099494062389</v>
      </c>
      <c r="R137">
        <f ca="1"/>
        <v>1.2710895399962192</v>
      </c>
      <c r="S137">
        <f ca="1"/>
        <v>1</v>
      </c>
      <c r="T137">
        <f ca="1"/>
        <v>2.009999999999998</v>
      </c>
      <c r="U137">
        <f ca="1"/>
        <v>0</v>
      </c>
      <c r="V137">
        <f ca="1"/>
        <v>0.16000942747237359</v>
      </c>
      <c r="X137" s="2">
        <f t="shared" ca="1" si="15"/>
        <v>45177</v>
      </c>
      <c r="Y137">
        <f t="shared" ca="1" si="16"/>
        <v>0</v>
      </c>
      <c r="AA137" s="63">
        <f t="shared" ref="AA137:AA200" ca="1" si="18">K136+M137+N137+O137</f>
        <v>81.612720389640103</v>
      </c>
      <c r="AB137" s="63">
        <f t="shared" ref="AB137:AB200" ca="1" si="19">K137+L137+R137</f>
        <v>81.612720389640103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45178</v>
      </c>
      <c r="K138">
        <f ca="1"/>
        <v>78.733871776861974</v>
      </c>
      <c r="L138">
        <f ca="1"/>
        <v>0.46788170012343411</v>
      </c>
      <c r="M138">
        <f ca="1"/>
        <v>1.2289336429402553E-2</v>
      </c>
      <c r="N138">
        <f ca="1"/>
        <v>0.20709060897905301</v>
      </c>
      <c r="O138">
        <f ca="1"/>
        <v>0</v>
      </c>
      <c r="P138">
        <f ca="1"/>
        <v>7.2209888782687637</v>
      </c>
      <c r="Q138">
        <f ca="1"/>
        <v>6.5059616879287665</v>
      </c>
      <c r="R138">
        <f ca="1"/>
        <v>0.897566138256225</v>
      </c>
      <c r="S138">
        <f ca="1"/>
        <v>1</v>
      </c>
      <c r="T138">
        <f ca="1"/>
        <v>1.4399999999999977</v>
      </c>
      <c r="U138">
        <f ca="1"/>
        <v>0</v>
      </c>
      <c r="V138">
        <f ca="1"/>
        <v>0.18955243884979125</v>
      </c>
      <c r="X138" s="2">
        <f t="shared" ca="1" si="15"/>
        <v>45178</v>
      </c>
      <c r="Y138">
        <f t="shared" ca="1" si="16"/>
        <v>0</v>
      </c>
      <c r="AA138" s="63">
        <f t="shared" ca="1" si="18"/>
        <v>80.099319615241626</v>
      </c>
      <c r="AB138" s="63">
        <f t="shared" ca="1" si="19"/>
        <v>80.099319615241626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45179</v>
      </c>
      <c r="K139">
        <f ca="1"/>
        <v>78.444749046930909</v>
      </c>
      <c r="L139">
        <f ca="1"/>
        <v>0.51151041092938865</v>
      </c>
      <c r="M139">
        <f ca="1"/>
        <v>1.2384266323334892E-2</v>
      </c>
      <c r="N139">
        <f ca="1"/>
        <v>0.2100034146749864</v>
      </c>
      <c r="O139">
        <f ca="1"/>
        <v>0</v>
      </c>
      <c r="P139">
        <f ca="1"/>
        <v>7.7324992891981523</v>
      </c>
      <c r="Q139">
        <f ca="1"/>
        <v>6.9668219928792929</v>
      </c>
      <c r="R139">
        <f ca="1"/>
        <v>0</v>
      </c>
      <c r="S139">
        <f ca="1"/>
        <v>0.98229166666666667</v>
      </c>
      <c r="T139">
        <f ca="1"/>
        <v>0</v>
      </c>
      <c r="U139">
        <f ca="1"/>
        <v>0</v>
      </c>
      <c r="V139">
        <f ca="1"/>
        <v>0.22392713073276141</v>
      </c>
      <c r="X139" s="2">
        <f t="shared" ca="1" si="15"/>
        <v>45179</v>
      </c>
      <c r="Y139">
        <f t="shared" ca="1" si="16"/>
        <v>0</v>
      </c>
      <c r="AA139" s="63">
        <f t="shared" ca="1" si="18"/>
        <v>78.956259457860298</v>
      </c>
      <c r="AB139" s="63">
        <f t="shared" ca="1" si="19"/>
        <v>78.956259457860298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45180</v>
      </c>
      <c r="K140">
        <f ca="1"/>
        <v>78.02452866423944</v>
      </c>
      <c r="L140">
        <f ca="1"/>
        <v>0.5587932722355653</v>
      </c>
      <c r="M140">
        <f ca="1"/>
        <v>1.2467418275530662E-2</v>
      </c>
      <c r="N140">
        <f ca="1"/>
        <v>0.21274506537212654</v>
      </c>
      <c r="O140">
        <f ca="1"/>
        <v>0</v>
      </c>
      <c r="P140">
        <f ca="1"/>
        <v>8.2912925614337176</v>
      </c>
      <c r="Q140">
        <f ca="1"/>
        <v>7.4702831783102477</v>
      </c>
      <c r="R140">
        <f ca="1"/>
        <v>8.6639594103568321E-2</v>
      </c>
      <c r="S140">
        <f ca="1"/>
        <v>1</v>
      </c>
      <c r="T140">
        <f ca="1"/>
        <v>0.14026292649541716</v>
      </c>
      <c r="U140">
        <f ca="1"/>
        <v>0</v>
      </c>
      <c r="V140">
        <f ca="1"/>
        <v>0.26337704270791618</v>
      </c>
      <c r="X140" s="2">
        <f t="shared" ca="1" si="15"/>
        <v>45180</v>
      </c>
      <c r="Y140">
        <f t="shared" ca="1" si="16"/>
        <v>0</v>
      </c>
      <c r="AA140" s="63">
        <f t="shared" ca="1" si="18"/>
        <v>78.669961530578576</v>
      </c>
      <c r="AB140" s="63">
        <f t="shared" ca="1" si="19"/>
        <v>78.669961530578576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45181</v>
      </c>
      <c r="K141">
        <f ca="1"/>
        <v>76.706289108990518</v>
      </c>
      <c r="L141">
        <f ca="1"/>
        <v>0.63475608904429492</v>
      </c>
      <c r="M141">
        <f ca="1"/>
        <v>1.2775047303691167E-2</v>
      </c>
      <c r="N141">
        <f ca="1"/>
        <v>0.22070125088207898</v>
      </c>
      <c r="O141">
        <f ca="1"/>
        <v>0</v>
      </c>
      <c r="P141">
        <f ca="1"/>
        <v>8.9260486504780125</v>
      </c>
      <c r="Q141">
        <f ca="1"/>
        <v>8.0421852911814966</v>
      </c>
      <c r="R141">
        <f ca="1"/>
        <v>0.9169597643903894</v>
      </c>
      <c r="S141">
        <f ca="1"/>
        <v>1</v>
      </c>
      <c r="T141">
        <f ca="1"/>
        <v>1.509999999999998</v>
      </c>
      <c r="U141">
        <f ca="1"/>
        <v>0</v>
      </c>
      <c r="V141">
        <f ca="1"/>
        <v>0.30973364580083568</v>
      </c>
      <c r="X141" s="2">
        <f t="shared" ca="1" si="15"/>
        <v>45181</v>
      </c>
      <c r="Y141">
        <f t="shared" ca="1" si="16"/>
        <v>0</v>
      </c>
      <c r="AA141" s="63">
        <f t="shared" ca="1" si="18"/>
        <v>78.258004962425204</v>
      </c>
      <c r="AB141" s="63">
        <f t="shared" ca="1" si="19"/>
        <v>78.25800496242519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45182</v>
      </c>
      <c r="K142">
        <f ca="1"/>
        <v>74.588415632540219</v>
      </c>
      <c r="L142">
        <f ca="1"/>
        <v>0.6572846398779344</v>
      </c>
      <c r="M142">
        <f ca="1"/>
        <v>1.2509934890461594E-2</v>
      </c>
      <c r="N142">
        <f ca="1"/>
        <v>0.21570727248394497</v>
      </c>
      <c r="O142">
        <f ca="1"/>
        <v>0</v>
      </c>
      <c r="P142">
        <f ca="1"/>
        <v>9.5833332903559469</v>
      </c>
      <c r="Q142">
        <f ca="1"/>
        <v>8.6343851625840315</v>
      </c>
      <c r="R142">
        <f ca="1"/>
        <v>1.6888060439467649</v>
      </c>
      <c r="S142">
        <f ca="1"/>
        <v>1</v>
      </c>
      <c r="T142">
        <f ca="1"/>
        <v>2.8599999999999994</v>
      </c>
      <c r="U142">
        <f ca="1"/>
        <v>0</v>
      </c>
      <c r="V142">
        <f ca="1"/>
        <v>0.35843332953666313</v>
      </c>
      <c r="X142" s="2">
        <f t="shared" ca="1" si="15"/>
        <v>45182</v>
      </c>
      <c r="Y142">
        <f t="shared" ca="1" si="16"/>
        <v>0</v>
      </c>
      <c r="AA142" s="63">
        <f t="shared" ca="1" si="18"/>
        <v>76.934506316364917</v>
      </c>
      <c r="AB142" s="63">
        <f t="shared" ca="1" si="19"/>
        <v>76.934506316364917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45183</v>
      </c>
      <c r="K143">
        <f ca="1"/>
        <v>73.446789697214513</v>
      </c>
      <c r="L143">
        <f ca="1"/>
        <v>0.72210214168377895</v>
      </c>
      <c r="M143">
        <f ca="1"/>
        <v>1.2608988228656415E-2</v>
      </c>
      <c r="N143">
        <f ca="1"/>
        <v>0.21909542011138533</v>
      </c>
      <c r="O143">
        <f ca="1"/>
        <v>0</v>
      </c>
      <c r="P143">
        <f ca="1"/>
        <v>10.305435432039726</v>
      </c>
      <c r="Q143">
        <f ca="1"/>
        <v>9.2849842630347048</v>
      </c>
      <c r="R143">
        <f ca="1"/>
        <v>0.65122820198196718</v>
      </c>
      <c r="S143">
        <f ca="1"/>
        <v>1</v>
      </c>
      <c r="T143">
        <f ca="1"/>
        <v>1.1199999999999974</v>
      </c>
      <c r="U143">
        <f ca="1"/>
        <v>0</v>
      </c>
      <c r="V143">
        <f ca="1"/>
        <v>0.41154467684386997</v>
      </c>
      <c r="X143" s="2">
        <f t="shared" ca="1" si="15"/>
        <v>45183</v>
      </c>
      <c r="Y143">
        <f t="shared" ca="1" si="16"/>
        <v>0</v>
      </c>
      <c r="AA143" s="63">
        <f t="shared" ca="1" si="18"/>
        <v>74.820120040880255</v>
      </c>
      <c r="AB143" s="63">
        <f t="shared" ca="1" si="19"/>
        <v>74.820120040880255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45184</v>
      </c>
      <c r="K144">
        <f ca="1"/>
        <v>72.336832007158378</v>
      </c>
      <c r="L144">
        <f ca="1"/>
        <v>0.80983843142889178</v>
      </c>
      <c r="M144">
        <f ca="1"/>
        <v>1.2828569247382404E-2</v>
      </c>
      <c r="N144">
        <f ca="1"/>
        <v>0.22535876364530144</v>
      </c>
      <c r="O144">
        <f ca="1"/>
        <v>0</v>
      </c>
      <c r="P144">
        <f ca="1"/>
        <v>11.115273863468618</v>
      </c>
      <c r="Q144">
        <f ca="1"/>
        <v>10.014631946628962</v>
      </c>
      <c r="R144">
        <f ca="1"/>
        <v>0.53830659151993565</v>
      </c>
      <c r="S144">
        <f ca="1"/>
        <v>1</v>
      </c>
      <c r="T144">
        <f ca="1"/>
        <v>0.93999999999999773</v>
      </c>
      <c r="U144">
        <f ca="1"/>
        <v>0</v>
      </c>
      <c r="V144">
        <f ca="1"/>
        <v>0.46924816396274754</v>
      </c>
      <c r="X144" s="2">
        <f t="shared" ca="1" si="15"/>
        <v>45184</v>
      </c>
      <c r="Y144">
        <f t="shared" ca="1" si="16"/>
        <v>0</v>
      </c>
      <c r="AA144" s="63">
        <f t="shared" ca="1" si="18"/>
        <v>73.684977030107191</v>
      </c>
      <c r="AB144" s="63">
        <f t="shared" ca="1" si="19"/>
        <v>73.684977030107206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45185</v>
      </c>
      <c r="K145">
        <f ca="1"/>
        <v>70.948847407050224</v>
      </c>
      <c r="L145">
        <f ca="1"/>
        <v>0.89437745182450179</v>
      </c>
      <c r="M145">
        <f ca="1"/>
        <v>1.2939552883010741E-2</v>
      </c>
      <c r="N145">
        <f ca="1"/>
        <v>0.22925197048394486</v>
      </c>
      <c r="O145">
        <f ca="1"/>
        <v>0</v>
      </c>
      <c r="P145">
        <f ca="1"/>
        <v>12.009651315293119</v>
      </c>
      <c r="Q145">
        <f ca="1"/>
        <v>10.820447539785313</v>
      </c>
      <c r="R145">
        <f ca="1"/>
        <v>0.73579867165061785</v>
      </c>
      <c r="S145">
        <f ca="1"/>
        <v>1</v>
      </c>
      <c r="T145">
        <f ca="1"/>
        <v>1.3100000000000023</v>
      </c>
      <c r="U145">
        <f ca="1"/>
        <v>0</v>
      </c>
      <c r="V145">
        <f ca="1"/>
        <v>0.52928765508877385</v>
      </c>
      <c r="X145" s="2">
        <f t="shared" ca="1" si="15"/>
        <v>45185</v>
      </c>
      <c r="Y145">
        <f t="shared" ca="1" si="16"/>
        <v>0</v>
      </c>
      <c r="AA145" s="63">
        <f t="shared" ca="1" si="18"/>
        <v>72.579023530525333</v>
      </c>
      <c r="AB145" s="63">
        <f t="shared" ca="1" si="19"/>
        <v>72.579023530525333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45186</v>
      </c>
      <c r="K146">
        <f ca="1"/>
        <v>70.061059895952965</v>
      </c>
      <c r="L146">
        <f ca="1"/>
        <v>0.9502855978990965</v>
      </c>
      <c r="M146">
        <f ca="1"/>
        <v>1.2788350995071696E-2</v>
      </c>
      <c r="N146">
        <f ca="1"/>
        <v>0.22719775420986049</v>
      </c>
      <c r="O146">
        <f ca="1"/>
        <v>0</v>
      </c>
      <c r="P146">
        <f ca="1"/>
        <v>12.959936913192216</v>
      </c>
      <c r="Q146">
        <f ca="1"/>
        <v>11.676635216673727</v>
      </c>
      <c r="R146">
        <f ca="1"/>
        <v>0.1774880184030849</v>
      </c>
      <c r="S146">
        <f ca="1"/>
        <v>1</v>
      </c>
      <c r="T146">
        <f ca="1"/>
        <v>0.32000000000000739</v>
      </c>
      <c r="U146">
        <f ca="1"/>
        <v>0</v>
      </c>
      <c r="V146">
        <f ca="1"/>
        <v>0.58772303167604223</v>
      </c>
      <c r="X146" s="2">
        <f t="shared" ca="1" si="15"/>
        <v>45186</v>
      </c>
      <c r="Y146">
        <f t="shared" ca="1" si="16"/>
        <v>0</v>
      </c>
      <c r="AA146" s="63">
        <f t="shared" ca="1" si="18"/>
        <v>71.188833512255144</v>
      </c>
      <c r="AB146" s="63">
        <f t="shared" ca="1" si="19"/>
        <v>71.188833512255144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45187</v>
      </c>
      <c r="K147">
        <f ca="1"/>
        <v>69.244916684476365</v>
      </c>
      <c r="L147">
        <f ca="1"/>
        <v>0.99109313303447522</v>
      </c>
      <c r="M147">
        <f ca="1"/>
        <v>1.2531881777694487E-2</v>
      </c>
      <c r="N147">
        <f ca="1"/>
        <v>0.22271882139289842</v>
      </c>
      <c r="O147">
        <f ca="1"/>
        <v>0</v>
      </c>
      <c r="P147">
        <f ca="1"/>
        <v>13.951030046226691</v>
      </c>
      <c r="Q147">
        <f ca="1"/>
        <v>12.569589639037758</v>
      </c>
      <c r="R147">
        <f ca="1"/>
        <v>6.030078161273119E-2</v>
      </c>
      <c r="S147">
        <f ca="1"/>
        <v>1</v>
      </c>
      <c r="T147">
        <f ca="1"/>
        <v>0.10999999999999943</v>
      </c>
      <c r="U147">
        <f ca="1"/>
        <v>0</v>
      </c>
      <c r="V147">
        <f ca="1"/>
        <v>0.64218429846534308</v>
      </c>
      <c r="X147" s="2">
        <f t="shared" ca="1" si="15"/>
        <v>45187</v>
      </c>
      <c r="Y147">
        <f t="shared" ca="1" si="16"/>
        <v>0</v>
      </c>
      <c r="AA147" s="63">
        <f t="shared" ca="1" si="18"/>
        <v>70.296310599123558</v>
      </c>
      <c r="AB147" s="63">
        <f t="shared" ca="1" si="19"/>
        <v>70.296310599123572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45188</v>
      </c>
      <c r="K148">
        <f ca="1"/>
        <v>67.73673063176993</v>
      </c>
      <c r="L148">
        <f ca="1"/>
        <v>1.0497167566277881</v>
      </c>
      <c r="M148">
        <f ca="1"/>
        <v>1.2389571852353676E-2</v>
      </c>
      <c r="N148">
        <f ca="1"/>
        <v>0.22090249364595518</v>
      </c>
      <c r="O148">
        <f ca="1"/>
        <v>0</v>
      </c>
      <c r="P148">
        <f ca="1"/>
        <v>15.000746802854479</v>
      </c>
      <c r="Q148">
        <f ca="1"/>
        <v>13.515362734236682</v>
      </c>
      <c r="R148">
        <f ca="1"/>
        <v>0.69176136157694623</v>
      </c>
      <c r="S148">
        <f ca="1"/>
        <v>1</v>
      </c>
      <c r="T148">
        <f ca="1"/>
        <v>1.289999999999992</v>
      </c>
      <c r="U148">
        <f ca="1"/>
        <v>0</v>
      </c>
      <c r="V148">
        <f ca="1"/>
        <v>0.69259923566958603</v>
      </c>
      <c r="X148" s="2">
        <f t="shared" ca="1" si="15"/>
        <v>45188</v>
      </c>
      <c r="Y148">
        <f t="shared" ca="1" si="16"/>
        <v>0</v>
      </c>
      <c r="AA148" s="63">
        <f t="shared" ca="1" si="18"/>
        <v>69.478208749974669</v>
      </c>
      <c r="AB148" s="63">
        <f t="shared" ca="1" si="19"/>
        <v>69.478208749974669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45189</v>
      </c>
      <c r="K149">
        <f ca="1"/>
        <v>66.848400911306314</v>
      </c>
      <c r="L149">
        <f ca="1"/>
        <v>1.1150063648692772</v>
      </c>
      <c r="M149">
        <f ca="1"/>
        <v>1.2272059150034487E-2</v>
      </c>
      <c r="N149">
        <f ca="1"/>
        <v>0.2196967503277642</v>
      </c>
      <c r="O149">
        <f ca="1"/>
        <v>0</v>
      </c>
      <c r="P149">
        <f ca="1"/>
        <v>16.115753167723756</v>
      </c>
      <c r="Q149">
        <f ca="1"/>
        <v>14.519960416621624</v>
      </c>
      <c r="R149">
        <f ca="1"/>
        <v>5.2921650721440309E-3</v>
      </c>
      <c r="S149">
        <f ca="1"/>
        <v>1</v>
      </c>
      <c r="T149">
        <f ca="1"/>
        <v>9.9999999999980105E-3</v>
      </c>
      <c r="U149">
        <f ca="1"/>
        <v>0</v>
      </c>
      <c r="V149">
        <f ca="1"/>
        <v>0.73843260506396791</v>
      </c>
      <c r="X149" s="2">
        <f t="shared" ca="1" si="15"/>
        <v>45189</v>
      </c>
      <c r="Y149">
        <f t="shared" ca="1" si="16"/>
        <v>0</v>
      </c>
      <c r="AA149" s="63">
        <f t="shared" ca="1" si="18"/>
        <v>67.968699441247736</v>
      </c>
      <c r="AB149" s="63">
        <f t="shared" ca="1" si="19"/>
        <v>67.968699441247736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45190</v>
      </c>
      <c r="K150">
        <f ca="1"/>
        <v>65.81878481667691</v>
      </c>
      <c r="L150">
        <f ca="1"/>
        <v>1.176061814608957</v>
      </c>
      <c r="M150">
        <f ca="1"/>
        <v>1.2119870727581805E-2</v>
      </c>
      <c r="N150">
        <f ca="1"/>
        <v>0.21769631001975795</v>
      </c>
      <c r="O150">
        <f ca="1"/>
        <v>0</v>
      </c>
      <c r="P150">
        <f ca="1"/>
        <v>17.291814982332713</v>
      </c>
      <c r="Q150">
        <f ca="1"/>
        <v>15.579567796922184</v>
      </c>
      <c r="R150">
        <f ca="1"/>
        <v>8.3370460767788979E-2</v>
      </c>
      <c r="S150">
        <f ca="1"/>
        <v>1</v>
      </c>
      <c r="T150">
        <f ca="1"/>
        <v>0.15999999999999659</v>
      </c>
      <c r="U150">
        <f ca="1"/>
        <v>0</v>
      </c>
      <c r="V150">
        <f ca="1"/>
        <v>0.77906128932534302</v>
      </c>
      <c r="X150" s="2">
        <f t="shared" ca="1" si="15"/>
        <v>45190</v>
      </c>
      <c r="Y150">
        <f t="shared" ca="1" si="16"/>
        <v>0</v>
      </c>
      <c r="AA150" s="63">
        <f t="shared" ca="1" si="18"/>
        <v>67.078217092053663</v>
      </c>
      <c r="AB150" s="63">
        <f t="shared" ca="1" si="19"/>
        <v>67.078217092053663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45191</v>
      </c>
      <c r="K151">
        <f ca="1"/>
        <v>63.881912265084047</v>
      </c>
      <c r="L151">
        <f ca="1"/>
        <v>1.2847193966518589</v>
      </c>
      <c r="M151">
        <f ca="1"/>
        <v>1.2176253682765648E-2</v>
      </c>
      <c r="N151">
        <f ca="1"/>
        <v>0.22070125088207898</v>
      </c>
      <c r="O151">
        <f ca="1"/>
        <v>0</v>
      </c>
      <c r="P151">
        <f ca="1"/>
        <v>18.576534378984572</v>
      </c>
      <c r="Q151">
        <f ca="1"/>
        <v>16.737073412186319</v>
      </c>
      <c r="R151">
        <f ca="1"/>
        <v>0.8850306595058518</v>
      </c>
      <c r="S151">
        <f ca="1"/>
        <v>1</v>
      </c>
      <c r="T151">
        <f ca="1"/>
        <v>1.75</v>
      </c>
      <c r="U151">
        <f ca="1"/>
        <v>0</v>
      </c>
      <c r="V151">
        <f ca="1"/>
        <v>0.8156770471395387</v>
      </c>
      <c r="X151" s="2">
        <f t="shared" ca="1" si="15"/>
        <v>45191</v>
      </c>
      <c r="Y151">
        <f t="shared" ca="1" si="16"/>
        <v>0</v>
      </c>
      <c r="AA151" s="63">
        <f t="shared" ca="1" si="18"/>
        <v>66.05166232124175</v>
      </c>
      <c r="AB151" s="63">
        <f t="shared" ca="1" si="19"/>
        <v>66.051662321241764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45192</v>
      </c>
      <c r="K152">
        <f ca="1"/>
        <v>62.254176782827919</v>
      </c>
      <c r="L152">
        <f ca="1"/>
        <v>1.3999998584780222</v>
      </c>
      <c r="M152">
        <f ca="1"/>
        <v>1.2212886264441281E-2</v>
      </c>
      <c r="N152">
        <f ca="1"/>
        <v>0.22332632218300291</v>
      </c>
      <c r="O152">
        <f ca="1"/>
        <v>0</v>
      </c>
      <c r="P152">
        <f ca="1"/>
        <v>19.976534237462594</v>
      </c>
      <c r="Q152">
        <f ca="1"/>
        <v>17.998444340173045</v>
      </c>
      <c r="R152">
        <f ca="1"/>
        <v>0.46327483222554683</v>
      </c>
      <c r="S152">
        <f ca="1"/>
        <v>1</v>
      </c>
      <c r="T152">
        <f ca="1"/>
        <v>0.94000000000000483</v>
      </c>
      <c r="U152">
        <f ca="1"/>
        <v>0</v>
      </c>
      <c r="V152">
        <f ca="1"/>
        <v>0.84794553095172165</v>
      </c>
      <c r="X152" s="2">
        <f t="shared" ca="1" si="15"/>
        <v>45192</v>
      </c>
      <c r="Y152">
        <f t="shared" ca="1" si="16"/>
        <v>0</v>
      </c>
      <c r="AA152" s="63">
        <f t="shared" ca="1" si="18"/>
        <v>64.117451473531489</v>
      </c>
      <c r="AB152" s="63">
        <f t="shared" ca="1" si="19"/>
        <v>64.117451473531489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45193</v>
      </c>
      <c r="K153">
        <f ca="1"/>
        <v>59.938952937039865</v>
      </c>
      <c r="L153">
        <f ca="1"/>
        <v>1.5920763194893794</v>
      </c>
      <c r="M153">
        <f ca="1"/>
        <v>1.251174121264409E-2</v>
      </c>
      <c r="N153">
        <f ca="1"/>
        <v>0.23235482242187427</v>
      </c>
      <c r="O153">
        <f ca="1"/>
        <v>0</v>
      </c>
      <c r="P153">
        <f ca="1"/>
        <v>21.568610556951974</v>
      </c>
      <c r="Q153">
        <f ca="1"/>
        <v>19.432872188418102</v>
      </c>
      <c r="R153">
        <f ca="1"/>
        <v>0.9680140899331936</v>
      </c>
      <c r="S153">
        <f ca="1"/>
        <v>1</v>
      </c>
      <c r="T153">
        <f ca="1"/>
        <v>2.0399999999999991</v>
      </c>
      <c r="U153">
        <f ca="1"/>
        <v>0</v>
      </c>
      <c r="V153">
        <f ca="1"/>
        <v>0.87694182801908038</v>
      </c>
      <c r="X153" s="2">
        <f t="shared" ca="1" si="15"/>
        <v>45193</v>
      </c>
      <c r="Y153">
        <f t="shared" ca="1" si="16"/>
        <v>0</v>
      </c>
      <c r="AA153" s="63">
        <f t="shared" ca="1" si="18"/>
        <v>62.499043346462436</v>
      </c>
      <c r="AB153" s="63">
        <f t="shared" ca="1" si="19"/>
        <v>62.499043346462436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45194</v>
      </c>
      <c r="K154">
        <f ca="1"/>
        <v>58.167926629390479</v>
      </c>
      <c r="L154">
        <f ca="1"/>
        <v>1.6409787100408124</v>
      </c>
      <c r="M154">
        <f ca="1"/>
        <v>1.2174324283815707E-2</v>
      </c>
      <c r="N154">
        <f ca="1"/>
        <v>0.2261749467604216</v>
      </c>
      <c r="O154">
        <f ca="1"/>
        <v>0</v>
      </c>
      <c r="P154">
        <f ca="1"/>
        <v>23.209589266992786</v>
      </c>
      <c r="Q154">
        <f ca="1"/>
        <v>20.911360079510366</v>
      </c>
      <c r="R154">
        <f ca="1"/>
        <v>0.36839686865280841</v>
      </c>
      <c r="S154">
        <f ca="1"/>
        <v>1</v>
      </c>
      <c r="T154">
        <f ca="1"/>
        <v>0.80000000000000426</v>
      </c>
      <c r="U154">
        <f ca="1"/>
        <v>0</v>
      </c>
      <c r="V154">
        <f ca="1"/>
        <v>0.90020217176363293</v>
      </c>
      <c r="X154" s="2">
        <f t="shared" ca="1" si="15"/>
        <v>45194</v>
      </c>
      <c r="Y154">
        <f t="shared" ca="1" si="16"/>
        <v>0</v>
      </c>
      <c r="AA154" s="63">
        <f t="shared" ca="1" si="18"/>
        <v>60.1773022080841</v>
      </c>
      <c r="AB154" s="63">
        <f t="shared" ca="1" si="19"/>
        <v>60.1773022080841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45195</v>
      </c>
      <c r="K155">
        <f ca="1"/>
        <v>55.86979471475275</v>
      </c>
      <c r="L155">
        <f ca="1"/>
        <v>1.7339239978620213</v>
      </c>
      <c r="M155">
        <f ca="1"/>
        <v>1.2018571399525335E-2</v>
      </c>
      <c r="N155">
        <f ca="1"/>
        <v>0.22434111192491357</v>
      </c>
      <c r="O155">
        <f ca="1"/>
        <v>0</v>
      </c>
      <c r="P155">
        <f ca="1"/>
        <v>24.943513264854808</v>
      </c>
      <c r="Q155">
        <f ca="1"/>
        <v>22.473589753318588</v>
      </c>
      <c r="R155">
        <f ca="1"/>
        <v>0.80056760010014238</v>
      </c>
      <c r="S155">
        <f ca="1"/>
        <v>1</v>
      </c>
      <c r="T155">
        <f ca="1"/>
        <v>1.8099999999999952</v>
      </c>
      <c r="U155">
        <f ca="1"/>
        <v>0</v>
      </c>
      <c r="V155">
        <f ca="1"/>
        <v>0.91925796833354823</v>
      </c>
      <c r="X155" s="2">
        <f t="shared" ca="1" si="15"/>
        <v>45195</v>
      </c>
      <c r="Y155">
        <f t="shared" ca="1" si="16"/>
        <v>0</v>
      </c>
      <c r="AA155" s="63">
        <f t="shared" ca="1" si="18"/>
        <v>58.404286312714916</v>
      </c>
      <c r="AB155" s="63">
        <f t="shared" ca="1" si="19"/>
        <v>58.404286312714916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45196</v>
      </c>
      <c r="K156">
        <f ca="1"/>
        <v>54.081253100018614</v>
      </c>
      <c r="L156">
        <f ca="1"/>
        <v>1.9515962597216685</v>
      </c>
      <c r="M156">
        <f ca="1"/>
        <v>1.2254701971121662E-2</v>
      </c>
      <c r="N156">
        <f ca="1"/>
        <v>0.2321471612210193</v>
      </c>
      <c r="O156">
        <f ca="1"/>
        <v>0</v>
      </c>
      <c r="P156">
        <f ca="1"/>
        <v>26.895109524576476</v>
      </c>
      <c r="Q156">
        <f ca="1"/>
        <v>24.231937634765313</v>
      </c>
      <c r="R156">
        <f ca="1"/>
        <v>8.1347218204610355E-2</v>
      </c>
      <c r="S156">
        <f ca="1"/>
        <v>1</v>
      </c>
      <c r="T156">
        <f ca="1"/>
        <v>0.18999999999999773</v>
      </c>
      <c r="U156">
        <f ca="1"/>
        <v>0</v>
      </c>
      <c r="V156">
        <f ca="1"/>
        <v>0.93566755674712376</v>
      </c>
      <c r="X156" s="2">
        <f t="shared" ca="1" si="15"/>
        <v>45196</v>
      </c>
      <c r="Y156">
        <f t="shared" ca="1" si="16"/>
        <v>0</v>
      </c>
      <c r="AA156" s="63">
        <f t="shared" ca="1" si="18"/>
        <v>56.114196577944895</v>
      </c>
      <c r="AB156" s="63">
        <f t="shared" ca="1" si="19"/>
        <v>56.114196577944895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45197</v>
      </c>
      <c r="K157">
        <f ca="1"/>
        <v>51.416009394968647</v>
      </c>
      <c r="L157">
        <f ca="1"/>
        <v>2.1797838393700175</v>
      </c>
      <c r="M157">
        <f ca="1"/>
        <v>1.2439290571656159E-2</v>
      </c>
      <c r="N157">
        <f ca="1"/>
        <v>0.23884941170380042</v>
      </c>
      <c r="O157">
        <f ca="1"/>
        <v>0</v>
      </c>
      <c r="P157">
        <f ca="1"/>
        <v>29.074893363946494</v>
      </c>
      <c r="Q157">
        <f ca="1"/>
        <v>26.195877807777688</v>
      </c>
      <c r="R157">
        <f ca="1"/>
        <v>0.73674856795540589</v>
      </c>
      <c r="S157">
        <f ca="1"/>
        <v>1</v>
      </c>
      <c r="T157">
        <f ca="1"/>
        <v>1.8100000000000023</v>
      </c>
      <c r="U157">
        <f ca="1"/>
        <v>0</v>
      </c>
      <c r="V157">
        <f ca="1"/>
        <v>0.94941714902941821</v>
      </c>
      <c r="X157" s="2">
        <f t="shared" ca="1" si="15"/>
        <v>45197</v>
      </c>
      <c r="Y157">
        <f t="shared" ca="1" si="16"/>
        <v>0</v>
      </c>
      <c r="AA157" s="63">
        <f t="shared" ca="1" si="18"/>
        <v>54.332541802294074</v>
      </c>
      <c r="AB157" s="63">
        <f t="shared" ca="1" si="19"/>
        <v>54.332541802294074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45198</v>
      </c>
      <c r="K158">
        <f ca="1"/>
        <v>48.831702649022247</v>
      </c>
      <c r="L158">
        <f ca="1"/>
        <v>2.4409988266537574</v>
      </c>
      <c r="M158">
        <f ca="1"/>
        <v>1.2639774543584892E-2</v>
      </c>
      <c r="N158">
        <f ca="1"/>
        <v>0.24609999130739199</v>
      </c>
      <c r="O158">
        <f ca="1"/>
        <v>0</v>
      </c>
      <c r="P158">
        <f ca="1"/>
        <v>31.515892190600251</v>
      </c>
      <c r="Q158">
        <f ca="1"/>
        <v>28.395167283805232</v>
      </c>
      <c r="R158">
        <f ca="1"/>
        <v>0.40204768514361616</v>
      </c>
      <c r="S158">
        <f ca="1"/>
        <v>1</v>
      </c>
      <c r="T158">
        <f ca="1"/>
        <v>1.0399999999999991</v>
      </c>
      <c r="U158">
        <f ca="1"/>
        <v>0</v>
      </c>
      <c r="V158">
        <f ca="1"/>
        <v>0.96076122154550425</v>
      </c>
      <c r="X158" s="2">
        <f t="shared" ca="1" si="15"/>
        <v>45198</v>
      </c>
      <c r="Y158">
        <f t="shared" ca="1" si="16"/>
        <v>0</v>
      </c>
      <c r="AA158" s="63">
        <f t="shared" ca="1" si="18"/>
        <v>51.674749160819623</v>
      </c>
      <c r="AB158" s="63">
        <f t="shared" ca="1" si="19"/>
        <v>51.674749160819616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45199</v>
      </c>
      <c r="K159">
        <f ca="1"/>
        <v>45.48144702937654</v>
      </c>
      <c r="L159">
        <f ca="1"/>
        <v>2.5874673879831427</v>
      </c>
      <c r="M159">
        <f ca="1"/>
        <v>1.2446092887733684E-2</v>
      </c>
      <c r="N159">
        <f ca="1"/>
        <v>0.24373959493702374</v>
      </c>
      <c r="O159">
        <f ca="1"/>
        <v>0</v>
      </c>
      <c r="P159">
        <f ca="1"/>
        <v>34.103359578583394</v>
      </c>
      <c r="Q159">
        <f ca="1"/>
        <v>30.726421905404845</v>
      </c>
      <c r="R159">
        <f ca="1"/>
        <v>1.0189739194873231</v>
      </c>
      <c r="S159">
        <f ca="1"/>
        <v>1</v>
      </c>
      <c r="T159">
        <f ca="1"/>
        <v>2.8299999999999983</v>
      </c>
      <c r="U159">
        <f ca="1"/>
        <v>0</v>
      </c>
      <c r="V159">
        <f ca="1"/>
        <v>0.96953965789063745</v>
      </c>
      <c r="X159" s="2">
        <f t="shared" ca="1" si="15"/>
        <v>45199</v>
      </c>
      <c r="Y159">
        <f t="shared" ca="1" si="16"/>
        <v>0</v>
      </c>
      <c r="AA159" s="63">
        <f t="shared" ca="1" si="18"/>
        <v>49.087888336847008</v>
      </c>
      <c r="AB159" s="63">
        <f t="shared" ca="1" si="19"/>
        <v>49.087888336847001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45200</v>
      </c>
      <c r="K160">
        <f ca="1"/>
        <v>41.567013227511907</v>
      </c>
      <c r="L160">
        <f ca="1"/>
        <v>2.687462876995518</v>
      </c>
      <c r="M160">
        <f ca="1"/>
        <v>1.213613510426903E-2</v>
      </c>
      <c r="N160">
        <f ca="1"/>
        <v>0.23842706437621505</v>
      </c>
      <c r="O160">
        <f ca="1"/>
        <v>0</v>
      </c>
      <c r="P160">
        <f ca="1"/>
        <v>36.790822455578912</v>
      </c>
      <c r="Q160">
        <f ca="1"/>
        <v>33.147770395233238</v>
      </c>
      <c r="R160">
        <f ca="1"/>
        <v>1.477534124349601</v>
      </c>
      <c r="S160">
        <f ca="1"/>
        <v>1</v>
      </c>
      <c r="T160">
        <f ca="1"/>
        <v>4.490000000000002</v>
      </c>
      <c r="U160">
        <f ca="1"/>
        <v>0</v>
      </c>
      <c r="V160">
        <f ca="1"/>
        <v>0.97621901995213534</v>
      </c>
      <c r="X160" s="2">
        <f t="shared" ca="1" si="15"/>
        <v>45200</v>
      </c>
      <c r="Y160">
        <f t="shared" ca="1" si="16"/>
        <v>0</v>
      </c>
      <c r="AA160" s="63">
        <f t="shared" ca="1" si="18"/>
        <v>45.732010228857028</v>
      </c>
      <c r="AB160" s="63">
        <f t="shared" ca="1" si="19"/>
        <v>45.732010228857028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45201</v>
      </c>
      <c r="K161">
        <f ca="1"/>
        <v>38.417336928296351</v>
      </c>
      <c r="L161">
        <f ca="1"/>
        <v>2.8418207347339504</v>
      </c>
      <c r="M161">
        <f ca="1"/>
        <v>1.1973316773341125E-2</v>
      </c>
      <c r="N161">
        <f ca="1"/>
        <v>0.23674228749374457</v>
      </c>
      <c r="O161">
        <f ca="1"/>
        <v>0</v>
      </c>
      <c r="P161">
        <f ca="1"/>
        <v>39.632643190312862</v>
      </c>
      <c r="Q161">
        <f ca="1"/>
        <v>35.708192123589825</v>
      </c>
      <c r="R161">
        <f ca="1"/>
        <v>0.55657116874869506</v>
      </c>
      <c r="S161">
        <f ca="1"/>
        <v>1</v>
      </c>
      <c r="T161">
        <f ca="1"/>
        <v>1.8300000000000054</v>
      </c>
      <c r="U161">
        <f ca="1"/>
        <v>0</v>
      </c>
      <c r="V161">
        <f ca="1"/>
        <v>0.98141550369504649</v>
      </c>
      <c r="X161" s="2">
        <f t="shared" ca="1" si="15"/>
        <v>45201</v>
      </c>
      <c r="Y161">
        <f t="shared" ca="1" si="16"/>
        <v>0</v>
      </c>
      <c r="AA161" s="63">
        <f t="shared" ca="1" si="18"/>
        <v>41.815728831778998</v>
      </c>
      <c r="AB161" s="63">
        <f t="shared" ca="1" si="19"/>
        <v>41.815728831778998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45202</v>
      </c>
      <c r="K162">
        <f ca="1"/>
        <v>34.902577129570844</v>
      </c>
      <c r="L162">
        <f ca="1"/>
        <v>3.1482812373431059</v>
      </c>
      <c r="M162">
        <f ca="1"/>
        <v>1.2125314532913656E-2</v>
      </c>
      <c r="N162">
        <f ca="1"/>
        <v>0.24309827920516552</v>
      </c>
      <c r="O162">
        <f ca="1"/>
        <v>0</v>
      </c>
      <c r="P162">
        <f ca="1"/>
        <v>42.780924427655968</v>
      </c>
      <c r="Q162">
        <f ca="1"/>
        <v>38.544728428834752</v>
      </c>
      <c r="R162">
        <f ca="1"/>
        <v>0.62170215512048077</v>
      </c>
      <c r="S162">
        <f ca="1"/>
        <v>1</v>
      </c>
      <c r="T162">
        <f ca="1"/>
        <v>2.25</v>
      </c>
      <c r="U162">
        <f ca="1"/>
        <v>0</v>
      </c>
      <c r="V162">
        <f ca="1"/>
        <v>0.98562877685589367</v>
      </c>
      <c r="X162" s="2">
        <f t="shared" ca="1" si="15"/>
        <v>45202</v>
      </c>
      <c r="Y162">
        <f t="shared" ca="1" si="16"/>
        <v>0</v>
      </c>
      <c r="AA162" s="63">
        <f t="shared" ca="1" si="18"/>
        <v>38.672560522034431</v>
      </c>
      <c r="AB162" s="63">
        <f t="shared" ca="1" si="19"/>
        <v>38.672560522034431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45203</v>
      </c>
      <c r="K163">
        <f ca="1"/>
        <v>31.953614255058319</v>
      </c>
      <c r="L163">
        <f ca="1"/>
        <v>3.1955229146076007</v>
      </c>
      <c r="M163">
        <f ca="1"/>
        <v>1.1704311124711708E-2</v>
      </c>
      <c r="N163">
        <f ca="1"/>
        <v>0.2348557289703691</v>
      </c>
      <c r="O163">
        <f ca="1"/>
        <v>0</v>
      </c>
      <c r="P163">
        <f ca="1"/>
        <v>45.976447342263569</v>
      </c>
      <c r="Q163">
        <f ca="1"/>
        <v>41.423828508590027</v>
      </c>
      <c r="R163">
        <f ca="1"/>
        <v>0</v>
      </c>
      <c r="S163">
        <f ca="1"/>
        <v>0.99416666666666664</v>
      </c>
      <c r="T163">
        <f ca="1"/>
        <v>0</v>
      </c>
      <c r="U163">
        <f ca="1"/>
        <v>0</v>
      </c>
      <c r="V163">
        <f ca="1"/>
        <v>0.98876101823039453</v>
      </c>
      <c r="X163" s="2">
        <f t="shared" ca="1" si="15"/>
        <v>45203</v>
      </c>
      <c r="Y163">
        <f t="shared" ca="1" si="16"/>
        <v>0</v>
      </c>
      <c r="AA163" s="63">
        <f t="shared" ca="1" si="18"/>
        <v>35.14913716966592</v>
      </c>
      <c r="AB163" s="63">
        <f t="shared" ca="1" si="19"/>
        <v>35.14913716966592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45204</v>
      </c>
      <c r="K164">
        <f ca="1"/>
        <v>168.02234943526759</v>
      </c>
      <c r="L164">
        <f ca="1"/>
        <v>3.4073491395512647</v>
      </c>
      <c r="M164">
        <f ca="1"/>
        <v>1.1631202174749333E-2</v>
      </c>
      <c r="N164">
        <f ca="1"/>
        <v>0.23548354520374024</v>
      </c>
      <c r="O164">
        <f ca="1"/>
        <v>140.2656256824381</v>
      </c>
      <c r="P164">
        <f ca="1"/>
        <v>49.383796481814834</v>
      </c>
      <c r="Q164">
        <f ca="1"/>
        <v>44.493779637587252</v>
      </c>
      <c r="R164">
        <f ca="1"/>
        <v>1.0366561100560583</v>
      </c>
      <c r="S164">
        <f ca="1"/>
        <v>1</v>
      </c>
      <c r="T164">
        <f ca="1"/>
        <v>0.7801576584835459</v>
      </c>
      <c r="U164">
        <f ca="1"/>
        <v>0</v>
      </c>
      <c r="V164">
        <f ca="1"/>
        <v>0.99122494525715499</v>
      </c>
      <c r="X164" s="2">
        <f t="shared" ca="1" si="15"/>
        <v>45204</v>
      </c>
      <c r="Y164">
        <f t="shared" ca="1" si="16"/>
        <v>140.2656256824381</v>
      </c>
      <c r="AA164" s="63">
        <f t="shared" ca="1" si="18"/>
        <v>172.46635468487491</v>
      </c>
      <c r="AB164" s="63">
        <f t="shared" ca="1" si="19"/>
        <v>172.46635468487491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45205</v>
      </c>
      <c r="K165">
        <f ca="1"/>
        <v>164.60164091469005</v>
      </c>
      <c r="L165">
        <f ca="1"/>
        <v>3.6703424546090702</v>
      </c>
      <c r="M165">
        <f ca="1"/>
        <v>1.1628755645030964E-2</v>
      </c>
      <c r="N165">
        <f ca="1"/>
        <v>0.23800517838652496</v>
      </c>
      <c r="O165">
        <f ca="1"/>
        <v>0</v>
      </c>
      <c r="P165">
        <f ca="1"/>
        <v>53.054138936423904</v>
      </c>
      <c r="Q165">
        <f ca="1"/>
        <v>47.800682306157775</v>
      </c>
      <c r="R165">
        <f ca="1"/>
        <v>0</v>
      </c>
      <c r="S165">
        <f ca="1"/>
        <v>0.99583333333333324</v>
      </c>
      <c r="T165">
        <f ca="1"/>
        <v>0</v>
      </c>
      <c r="U165">
        <f ca="1"/>
        <v>0</v>
      </c>
      <c r="V165">
        <f ca="1"/>
        <v>0.9931782839293396</v>
      </c>
      <c r="X165" s="2">
        <f t="shared" ca="1" si="15"/>
        <v>45205</v>
      </c>
      <c r="Y165">
        <f t="shared" ca="1" si="16"/>
        <v>0</v>
      </c>
      <c r="AA165" s="63">
        <f t="shared" ca="1" si="18"/>
        <v>168.27198336929914</v>
      </c>
      <c r="AB165" s="63">
        <f t="shared" ca="1" si="19"/>
        <v>168.27198336929911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45206</v>
      </c>
      <c r="K166">
        <f ca="1"/>
        <v>161.0769648335781</v>
      </c>
      <c r="L166">
        <f ca="1"/>
        <v>3.7689932384005758</v>
      </c>
      <c r="M166">
        <f ca="1"/>
        <v>1.1338661322813692E-2</v>
      </c>
      <c r="N166">
        <f ca="1"/>
        <v>0.23297849596583792</v>
      </c>
      <c r="O166">
        <f ca="1"/>
        <v>0</v>
      </c>
      <c r="P166">
        <f ca="1"/>
        <v>56.82313217482448</v>
      </c>
      <c r="Q166">
        <f ca="1"/>
        <v>51.196467291354367</v>
      </c>
      <c r="R166">
        <f ca="1"/>
        <v>0</v>
      </c>
      <c r="S166">
        <f ca="1"/>
        <v>0.99145964080518667</v>
      </c>
      <c r="T166">
        <f ca="1"/>
        <v>0</v>
      </c>
      <c r="U166">
        <f ca="1"/>
        <v>0</v>
      </c>
      <c r="V166">
        <f ca="1"/>
        <v>0.9946588383861763</v>
      </c>
      <c r="X166" s="2">
        <f t="shared" ca="1" si="15"/>
        <v>45206</v>
      </c>
      <c r="Y166">
        <f t="shared" ca="1" si="16"/>
        <v>0</v>
      </c>
      <c r="AA166" s="63">
        <f t="shared" ca="1" si="18"/>
        <v>164.84595807197869</v>
      </c>
      <c r="AB166" s="63">
        <f t="shared" ca="1" si="19"/>
        <v>164.84595807197869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45207</v>
      </c>
      <c r="K167">
        <f ca="1"/>
        <v>155.78142545158465</v>
      </c>
      <c r="L167">
        <f ca="1"/>
        <v>4.3591458230010005</v>
      </c>
      <c r="M167">
        <f ca="1"/>
        <v>1.1813192983828102E-2</v>
      </c>
      <c r="N167">
        <f ca="1"/>
        <v>0.24825795922662597</v>
      </c>
      <c r="O167">
        <f ca="1"/>
        <v>0</v>
      </c>
      <c r="P167">
        <f ca="1"/>
        <v>61.18227799782548</v>
      </c>
      <c r="Q167">
        <f ca="1"/>
        <v>55.123967554079975</v>
      </c>
      <c r="R167">
        <f ca="1"/>
        <v>1.196464711202917</v>
      </c>
      <c r="S167">
        <f ca="1"/>
        <v>1</v>
      </c>
      <c r="T167">
        <f ca="1"/>
        <v>0.97015664181331118</v>
      </c>
      <c r="U167">
        <f ca="1"/>
        <v>0</v>
      </c>
      <c r="V167">
        <f ca="1"/>
        <v>0.99591342661428806</v>
      </c>
      <c r="X167" s="2">
        <f t="shared" ca="1" si="15"/>
        <v>45207</v>
      </c>
      <c r="Y167">
        <f t="shared" ca="1" si="16"/>
        <v>0</v>
      </c>
      <c r="AA167" s="63">
        <f t="shared" ca="1" si="18"/>
        <v>161.33703598578856</v>
      </c>
      <c r="AB167" s="63">
        <f t="shared" ca="1" si="19"/>
        <v>161.33703598578856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45208</v>
      </c>
      <c r="K168">
        <f ca="1"/>
        <v>149.51474702712588</v>
      </c>
      <c r="L168">
        <f ca="1"/>
        <v>4.7322201016783794</v>
      </c>
      <c r="M168">
        <f ca="1"/>
        <v>1.1875050409782872E-2</v>
      </c>
      <c r="N168">
        <f ca="1"/>
        <v>0.25282741603623299</v>
      </c>
      <c r="O168">
        <f ca="1"/>
        <v>0</v>
      </c>
      <c r="P168">
        <f ca="1"/>
        <v>65.914498099503859</v>
      </c>
      <c r="Q168">
        <f ca="1"/>
        <v>59.387600028715113</v>
      </c>
      <c r="R168">
        <f ca="1"/>
        <v>1.7991607892264101</v>
      </c>
      <c r="S168">
        <f ca="1"/>
        <v>1</v>
      </c>
      <c r="T168">
        <f ca="1"/>
        <v>1.519999999999996</v>
      </c>
      <c r="U168">
        <f ca="1"/>
        <v>0</v>
      </c>
      <c r="V168">
        <f ca="1"/>
        <v>0.99689493851759059</v>
      </c>
      <c r="X168" s="2">
        <f t="shared" ca="1" si="15"/>
        <v>45208</v>
      </c>
      <c r="Y168">
        <f t="shared" ca="1" si="16"/>
        <v>0</v>
      </c>
      <c r="AA168" s="63">
        <f t="shared" ca="1" si="18"/>
        <v>156.04612791803066</v>
      </c>
      <c r="AB168" s="63">
        <f t="shared" ca="1" si="19"/>
        <v>156.04612791803069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45209</v>
      </c>
      <c r="K169">
        <f ca="1"/>
        <v>143.26214426366914</v>
      </c>
      <c r="L169">
        <f ca="1"/>
        <v>4.5728804832389613</v>
      </c>
      <c r="M169">
        <f ca="1"/>
        <v>1.1184621290031949E-2</v>
      </c>
      <c r="N169">
        <f ca="1"/>
        <v>0.23716279004073956</v>
      </c>
      <c r="O169">
        <f ca="1"/>
        <v>0</v>
      </c>
      <c r="P169">
        <f ca="1"/>
        <v>70.487378582742821</v>
      </c>
      <c r="Q169">
        <f ca="1"/>
        <v>63.507670801426606</v>
      </c>
      <c r="R169">
        <f ca="1"/>
        <v>1.9280696915485509</v>
      </c>
      <c r="S169">
        <f ca="1"/>
        <v>1</v>
      </c>
      <c r="T169">
        <f ca="1"/>
        <v>1.7000000000000028</v>
      </c>
      <c r="U169">
        <f ca="1"/>
        <v>0</v>
      </c>
      <c r="V169">
        <f ca="1"/>
        <v>0.9975861454870627</v>
      </c>
      <c r="X169" s="2">
        <f t="shared" ca="1" si="15"/>
        <v>45209</v>
      </c>
      <c r="Y169">
        <f t="shared" ca="1" si="16"/>
        <v>0</v>
      </c>
      <c r="AA169" s="63">
        <f t="shared" ca="1" si="18"/>
        <v>149.76309443845665</v>
      </c>
      <c r="AB169" s="63">
        <f t="shared" ca="1" si="19"/>
        <v>149.76309443845668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45210</v>
      </c>
      <c r="K170">
        <f ca="1"/>
        <v>138.54783218218381</v>
      </c>
      <c r="L170">
        <f ca="1"/>
        <v>4.9684875416383107</v>
      </c>
      <c r="M170">
        <f ca="1"/>
        <v>1.129072166342926E-2</v>
      </c>
      <c r="N170">
        <f ca="1"/>
        <v>0.24288473848951933</v>
      </c>
      <c r="O170">
        <f ca="1"/>
        <v>0</v>
      </c>
      <c r="P170">
        <f ca="1"/>
        <v>75.455866124381131</v>
      </c>
      <c r="Q170">
        <f ca="1"/>
        <v>67.984175354719895</v>
      </c>
      <c r="R170">
        <f ca="1"/>
        <v>0</v>
      </c>
      <c r="S170">
        <f ca="1"/>
        <v>0.98916666666666664</v>
      </c>
      <c r="T170">
        <f ca="1"/>
        <v>0</v>
      </c>
      <c r="U170">
        <f ca="1"/>
        <v>0</v>
      </c>
      <c r="V170">
        <f ca="1"/>
        <v>0.998139745889843</v>
      </c>
      <c r="X170" s="2">
        <f t="shared" ca="1" si="15"/>
        <v>45210</v>
      </c>
      <c r="Y170">
        <f t="shared" ca="1" si="16"/>
        <v>0</v>
      </c>
      <c r="AA170" s="63">
        <f t="shared" ca="1" si="18"/>
        <v>143.51631972382211</v>
      </c>
      <c r="AB170" s="63">
        <f t="shared" ca="1" si="19"/>
        <v>143.51631972382211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45211</v>
      </c>
      <c r="K171">
        <f ca="1"/>
        <v>131.24405214591698</v>
      </c>
      <c r="L171">
        <f ca="1"/>
        <v>5.5431611892460353</v>
      </c>
      <c r="M171">
        <f ca="1"/>
        <v>1.1584642944749923E-2</v>
      </c>
      <c r="N171">
        <f ca="1"/>
        <v>0.25392292351403012</v>
      </c>
      <c r="O171">
        <f ca="1"/>
        <v>0</v>
      </c>
      <c r="P171">
        <f ca="1"/>
        <v>80.999027313627167</v>
      </c>
      <c r="Q171">
        <f ca="1"/>
        <v>72.97844898333328</v>
      </c>
      <c r="R171">
        <f ca="1"/>
        <v>2.0261264134795756</v>
      </c>
      <c r="S171">
        <f ca="1"/>
        <v>1</v>
      </c>
      <c r="T171">
        <f ca="1"/>
        <v>1.9500446176990351</v>
      </c>
      <c r="U171">
        <f ca="1"/>
        <v>0</v>
      </c>
      <c r="V171">
        <f ca="1"/>
        <v>0.99858953533064365</v>
      </c>
      <c r="X171" s="2">
        <f t="shared" ca="1" si="15"/>
        <v>45211</v>
      </c>
      <c r="Y171">
        <f t="shared" ca="1" si="16"/>
        <v>0</v>
      </c>
      <c r="AA171" s="63">
        <f t="shared" ca="1" si="18"/>
        <v>138.81333974864259</v>
      </c>
      <c r="AB171" s="63">
        <f t="shared" ca="1" si="19"/>
        <v>138.81333974864259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45212</v>
      </c>
      <c r="K172">
        <f ca="1"/>
        <v>123.81648457176759</v>
      </c>
      <c r="L172">
        <f ca="1"/>
        <v>5.7601247049258149</v>
      </c>
      <c r="M172">
        <f ca="1"/>
        <v>1.140688347959351E-2</v>
      </c>
      <c r="N172">
        <f ca="1"/>
        <v>0.25217150459734589</v>
      </c>
      <c r="O172">
        <f ca="1"/>
        <v>0</v>
      </c>
      <c r="P172">
        <f ca="1"/>
        <v>86.759152018552982</v>
      </c>
      <c r="Q172">
        <f ca="1"/>
        <v>78.168202253930218</v>
      </c>
      <c r="R172">
        <f ca="1"/>
        <v>1.931021257300531</v>
      </c>
      <c r="S172">
        <f ca="1"/>
        <v>1</v>
      </c>
      <c r="T172">
        <f ca="1"/>
        <v>1.970000000000006</v>
      </c>
      <c r="U172">
        <f ca="1"/>
        <v>0</v>
      </c>
      <c r="V172">
        <f ca="1"/>
        <v>0.99892797289458901</v>
      </c>
      <c r="X172" s="2">
        <f t="shared" ca="1" si="15"/>
        <v>45212</v>
      </c>
      <c r="Y172">
        <f t="shared" ca="1" si="16"/>
        <v>0</v>
      </c>
      <c r="AA172" s="63">
        <f t="shared" ca="1" si="18"/>
        <v>131.50763053399393</v>
      </c>
      <c r="AB172" s="63">
        <f t="shared" ca="1" si="19"/>
        <v>131.50763053399393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45213</v>
      </c>
      <c r="K173">
        <f ca="1"/>
        <v>115.75679514374575</v>
      </c>
      <c r="L173">
        <f ca="1"/>
        <v>5.7864679340873124</v>
      </c>
      <c r="M173">
        <f ca="1"/>
        <v>1.1039131404841918E-2</v>
      </c>
      <c r="N173">
        <f ca="1"/>
        <v>0.24502534855146982</v>
      </c>
      <c r="O173">
        <f ca="1"/>
        <v>0</v>
      </c>
      <c r="P173">
        <f ca="1"/>
        <v>92.545619952640294</v>
      </c>
      <c r="Q173">
        <f ca="1"/>
        <v>83.381690229364708</v>
      </c>
      <c r="R173">
        <f ca="1"/>
        <v>2.5292859738908429</v>
      </c>
      <c r="S173">
        <f ca="1"/>
        <v>1</v>
      </c>
      <c r="T173">
        <f ca="1"/>
        <v>2.759999999999998</v>
      </c>
      <c r="U173">
        <f ca="1"/>
        <v>0</v>
      </c>
      <c r="V173">
        <f ca="1"/>
        <v>0.99917670307667472</v>
      </c>
      <c r="X173" s="2">
        <f t="shared" ca="1" si="15"/>
        <v>45213</v>
      </c>
      <c r="Y173">
        <f t="shared" ca="1" si="16"/>
        <v>0</v>
      </c>
      <c r="AA173" s="63">
        <f t="shared" ca="1" si="18"/>
        <v>124.0725490517239</v>
      </c>
      <c r="AB173" s="63">
        <f t="shared" ca="1" si="19"/>
        <v>124.0725490517239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45214</v>
      </c>
      <c r="K174">
        <f ca="1"/>
        <v>107.85207918121922</v>
      </c>
      <c r="L174">
        <f ca="1"/>
        <v>5.8062497078140467</v>
      </c>
      <c r="M174">
        <f ca="1"/>
        <v>1.0713974091517642E-2</v>
      </c>
      <c r="N174">
        <f ca="1"/>
        <v>0.23884941170380042</v>
      </c>
      <c r="O174">
        <f ca="1"/>
        <v>0</v>
      </c>
      <c r="P174">
        <f ca="1"/>
        <v>98.351869660454341</v>
      </c>
      <c r="Q174">
        <f ca="1"/>
        <v>88.613001173945804</v>
      </c>
      <c r="R174">
        <f ca="1"/>
        <v>2.3480296405077934</v>
      </c>
      <c r="S174">
        <f ca="1"/>
        <v>1</v>
      </c>
      <c r="T174">
        <f ca="1"/>
        <v>2.75</v>
      </c>
      <c r="U174">
        <f ca="1"/>
        <v>0</v>
      </c>
      <c r="V174">
        <f ca="1"/>
        <v>0.9993619205657106</v>
      </c>
      <c r="X174" s="2">
        <f t="shared" ca="1" si="15"/>
        <v>45214</v>
      </c>
      <c r="Y174">
        <f t="shared" ca="1" si="16"/>
        <v>0</v>
      </c>
      <c r="AA174" s="63">
        <f t="shared" ca="1" si="18"/>
        <v>116.00635852954106</v>
      </c>
      <c r="AB174" s="63">
        <f t="shared" ca="1" si="19"/>
        <v>116.00635852954106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45215</v>
      </c>
      <c r="K175">
        <f ca="1"/>
        <v>101.961603312094</v>
      </c>
      <c r="L175">
        <f ca="1"/>
        <v>6.0522377281438509</v>
      </c>
      <c r="M175">
        <f ca="1"/>
        <v>1.064612290692768E-2</v>
      </c>
      <c r="N175">
        <f ca="1"/>
        <v>0.23990729899597737</v>
      </c>
      <c r="O175">
        <f ca="1"/>
        <v>0</v>
      </c>
      <c r="P175">
        <f ca="1"/>
        <v>104.40410738859819</v>
      </c>
      <c r="Q175">
        <f ca="1"/>
        <v>94.065942239128731</v>
      </c>
      <c r="R175">
        <f ca="1"/>
        <v>8.8791562884281403E-2</v>
      </c>
      <c r="S175">
        <f ca="1"/>
        <v>1</v>
      </c>
      <c r="T175">
        <f ca="1"/>
        <v>0.10999999999999943</v>
      </c>
      <c r="U175">
        <f ca="1"/>
        <v>0</v>
      </c>
      <c r="V175">
        <f ca="1"/>
        <v>0.99950627352993981</v>
      </c>
      <c r="X175" s="2">
        <f t="shared" ca="1" si="15"/>
        <v>45215</v>
      </c>
      <c r="Y175">
        <f t="shared" ca="1" si="16"/>
        <v>0</v>
      </c>
      <c r="AA175" s="63">
        <f t="shared" ca="1" si="18"/>
        <v>108.10263260312213</v>
      </c>
      <c r="AB175" s="63">
        <f t="shared" ca="1" si="19"/>
        <v>108.10263260312213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45216</v>
      </c>
      <c r="K176">
        <f ca="1"/>
        <v>95.367363001795923</v>
      </c>
      <c r="L176">
        <f ca="1"/>
        <v>6.7143791452358101</v>
      </c>
      <c r="M176">
        <f ca="1"/>
        <v>1.0978580629483758E-2</v>
      </c>
      <c r="N176">
        <f ca="1"/>
        <v>0.25260866282346151</v>
      </c>
      <c r="O176">
        <f ca="1"/>
        <v>0</v>
      </c>
      <c r="P176">
        <f ca="1"/>
        <v>111.118486533834</v>
      </c>
      <c r="Q176">
        <f ca="1"/>
        <v>100.11545903157187</v>
      </c>
      <c r="R176">
        <f ca="1"/>
        <v>0.14344840851520504</v>
      </c>
      <c r="S176">
        <f ca="1"/>
        <v>1</v>
      </c>
      <c r="T176">
        <f ca="1"/>
        <v>0.19000000000000483</v>
      </c>
      <c r="U176">
        <f ca="1"/>
        <v>0</v>
      </c>
      <c r="V176">
        <f ca="1"/>
        <v>0.99962506249463789</v>
      </c>
      <c r="X176" s="2">
        <f t="shared" ca="1" si="15"/>
        <v>45216</v>
      </c>
      <c r="Y176">
        <f t="shared" ca="1" si="16"/>
        <v>0</v>
      </c>
      <c r="AA176" s="63">
        <f t="shared" ca="1" si="18"/>
        <v>102.22519055554694</v>
      </c>
      <c r="AB176" s="63">
        <f t="shared" ca="1" si="19"/>
        <v>102.22519055554694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45217</v>
      </c>
      <c r="K177">
        <f ca="1"/>
        <v>88.620251395587772</v>
      </c>
      <c r="L177">
        <f ca="1"/>
        <v>6.529590157208446</v>
      </c>
      <c r="M177">
        <f ca="1"/>
        <v>1.050340314636955E-2</v>
      </c>
      <c r="N177">
        <f ca="1"/>
        <v>0.2420317312980079</v>
      </c>
      <c r="O177">
        <f ca="1"/>
        <v>0</v>
      </c>
      <c r="P177">
        <f ca="1"/>
        <v>117.64807669104245</v>
      </c>
      <c r="Q177">
        <f ca="1"/>
        <v>105.99848476624935</v>
      </c>
      <c r="R177">
        <f ca="1"/>
        <v>0.47005658344409296</v>
      </c>
      <c r="S177">
        <f ca="1"/>
        <v>1</v>
      </c>
      <c r="T177">
        <f ca="1"/>
        <v>0.6699999999999946</v>
      </c>
      <c r="U177">
        <f ca="1"/>
        <v>0</v>
      </c>
      <c r="V177">
        <f ca="1"/>
        <v>0.99971082054199512</v>
      </c>
      <c r="X177" s="2">
        <f t="shared" ca="1" si="15"/>
        <v>45217</v>
      </c>
      <c r="Y177">
        <f t="shared" ca="1" si="16"/>
        <v>0</v>
      </c>
      <c r="AA177" s="63">
        <f t="shared" ca="1" si="18"/>
        <v>95.619898136240309</v>
      </c>
      <c r="AB177" s="63">
        <f t="shared" ca="1" si="19"/>
        <v>95.619898136240309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45218</v>
      </c>
      <c r="K178">
        <f ca="1"/>
        <v>82.373225047656774</v>
      </c>
      <c r="L178">
        <f ca="1"/>
        <v>6.493987681831328</v>
      </c>
      <c r="M178">
        <f ca="1"/>
        <v>1.02190464065961E-2</v>
      </c>
      <c r="N178">
        <f ca="1"/>
        <v>0.23674228749374457</v>
      </c>
      <c r="O178">
        <f ca="1"/>
        <v>0</v>
      </c>
      <c r="P178">
        <f ca="1"/>
        <v>124.14206437287378</v>
      </c>
      <c r="Q178">
        <f ca="1"/>
        <v>111.84943340668063</v>
      </c>
      <c r="R178">
        <f ca="1"/>
        <v>0</v>
      </c>
      <c r="S178">
        <f ca="1"/>
        <v>0.97916666666666663</v>
      </c>
      <c r="T178">
        <f ca="1"/>
        <v>0</v>
      </c>
      <c r="U178">
        <f ca="1"/>
        <v>0</v>
      </c>
      <c r="V178">
        <f ca="1"/>
        <v>0.9997751924980024</v>
      </c>
      <c r="X178" s="2">
        <f t="shared" ca="1" si="15"/>
        <v>45218</v>
      </c>
      <c r="Y178">
        <f t="shared" ca="1" si="16"/>
        <v>0</v>
      </c>
      <c r="AA178" s="63">
        <f t="shared" ca="1" si="18"/>
        <v>88.867212729488102</v>
      </c>
      <c r="AB178" s="63">
        <f t="shared" ca="1" si="19"/>
        <v>88.867212729488102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45219</v>
      </c>
      <c r="K179">
        <f ca="1"/>
        <v>76.076467323694914</v>
      </c>
      <c r="L179">
        <f ca="1"/>
        <v>6.536216987480671</v>
      </c>
      <c r="M179">
        <f ca="1"/>
        <v>1.0032771868930368E-2</v>
      </c>
      <c r="N179">
        <f ca="1"/>
        <v>0.22942649164988069</v>
      </c>
      <c r="O179">
        <f ca="1"/>
        <v>0</v>
      </c>
      <c r="P179">
        <f ca="1"/>
        <v>130.67828136035445</v>
      </c>
      <c r="Q179">
        <f ca="1"/>
        <v>117.73842977842598</v>
      </c>
      <c r="R179">
        <f ca="1"/>
        <v>0</v>
      </c>
      <c r="S179">
        <f ca="1"/>
        <v>0.94395858459849613</v>
      </c>
      <c r="T179">
        <f ca="1"/>
        <v>0</v>
      </c>
      <c r="U179">
        <f ca="1"/>
        <v>0</v>
      </c>
      <c r="V179">
        <f ca="1"/>
        <v>0.99982457123185742</v>
      </c>
      <c r="X179" s="2">
        <f t="shared" ca="1" si="15"/>
        <v>45219</v>
      </c>
      <c r="Y179">
        <f t="shared" ca="1" si="16"/>
        <v>0</v>
      </c>
      <c r="AA179" s="63">
        <f t="shared" ca="1" si="18"/>
        <v>82.612684311175585</v>
      </c>
      <c r="AB179" s="63">
        <f t="shared" ca="1" si="19"/>
        <v>82.612684311175585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45220</v>
      </c>
      <c r="K180">
        <f ca="1"/>
        <v>69.273605867696205</v>
      </c>
      <c r="L180">
        <f ca="1"/>
        <v>7.0519405446193559</v>
      </c>
      <c r="M180">
        <f ca="1"/>
        <v>1.0251803306371876E-2</v>
      </c>
      <c r="N180">
        <f ca="1"/>
        <v>0.23882728531427824</v>
      </c>
      <c r="O180">
        <f ca="1"/>
        <v>0</v>
      </c>
      <c r="P180">
        <f ca="1"/>
        <v>137.7302219049738</v>
      </c>
      <c r="Q180">
        <f ca="1"/>
        <v>124.09208241275115</v>
      </c>
      <c r="R180">
        <f ca="1"/>
        <v>0</v>
      </c>
      <c r="S180">
        <f ca="1"/>
        <v>0.94354238102142407</v>
      </c>
      <c r="T180">
        <f ca="1"/>
        <v>0</v>
      </c>
      <c r="U180">
        <f ca="1"/>
        <v>0</v>
      </c>
      <c r="V180">
        <f ca="1"/>
        <v>0.9998650882318223</v>
      </c>
      <c r="X180" s="2">
        <f t="shared" ca="1" si="15"/>
        <v>45220</v>
      </c>
      <c r="Y180">
        <f t="shared" ca="1" si="16"/>
        <v>0</v>
      </c>
      <c r="AA180" s="63">
        <f t="shared" ca="1" si="18"/>
        <v>76.32554641231556</v>
      </c>
      <c r="AB180" s="63">
        <f t="shared" ca="1" si="19"/>
        <v>76.32554641231556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45221</v>
      </c>
      <c r="K181">
        <f ca="1"/>
        <v>62.123988743830026</v>
      </c>
      <c r="L181">
        <f ca="1"/>
        <v>7.4075193767274072</v>
      </c>
      <c r="M181">
        <f ca="1"/>
        <v>1.0342038346963456E-2</v>
      </c>
      <c r="N181">
        <f ca="1"/>
        <v>0.24756021451426977</v>
      </c>
      <c r="O181">
        <f ca="1"/>
        <v>0</v>
      </c>
      <c r="P181">
        <f ca="1"/>
        <v>145.13774128170121</v>
      </c>
      <c r="Q181">
        <f ca="1"/>
        <v>130.76610422333908</v>
      </c>
      <c r="R181">
        <f ca="1"/>
        <v>0</v>
      </c>
      <c r="S181">
        <f ca="1"/>
        <v>0.95270939966332524</v>
      </c>
      <c r="T181">
        <f ca="1"/>
        <v>0</v>
      </c>
      <c r="U181">
        <f ca="1"/>
        <v>0</v>
      </c>
      <c r="V181">
        <f ca="1"/>
        <v>0.99989716574717413</v>
      </c>
      <c r="X181" s="2">
        <f t="shared" ca="1" si="15"/>
        <v>45221</v>
      </c>
      <c r="Y181">
        <f t="shared" ca="1" si="16"/>
        <v>0</v>
      </c>
      <c r="AA181" s="63">
        <f t="shared" ca="1" si="18"/>
        <v>69.531508120557433</v>
      </c>
      <c r="AB181" s="63">
        <f t="shared" ca="1" si="19"/>
        <v>69.531508120557433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45222</v>
      </c>
      <c r="K182">
        <f ca="1"/>
        <v>54.568024224230214</v>
      </c>
      <c r="L182">
        <f ca="1"/>
        <v>7.8245717029664377</v>
      </c>
      <c r="M182">
        <f ca="1"/>
        <v>1.0494842415840644E-2</v>
      </c>
      <c r="N182">
        <f ca="1"/>
        <v>0.25811234095078717</v>
      </c>
      <c r="O182">
        <f ca="1"/>
        <v>0</v>
      </c>
      <c r="P182">
        <f ca="1"/>
        <v>152.96231298466765</v>
      </c>
      <c r="Q182">
        <f ca="1"/>
        <v>137.81588155745899</v>
      </c>
      <c r="R182">
        <f ca="1"/>
        <v>0</v>
      </c>
      <c r="S182">
        <f ca="1"/>
        <v>0.97520966908583162</v>
      </c>
      <c r="T182">
        <f ca="1"/>
        <v>0</v>
      </c>
      <c r="U182">
        <f ca="1"/>
        <v>0</v>
      </c>
      <c r="V182">
        <f ca="1"/>
        <v>0.99992253142336029</v>
      </c>
      <c r="X182" s="2">
        <f t="shared" ca="1" si="15"/>
        <v>45222</v>
      </c>
      <c r="Y182">
        <f t="shared" ca="1" si="16"/>
        <v>0</v>
      </c>
      <c r="AA182" s="63">
        <f t="shared" ca="1" si="18"/>
        <v>62.392595927196652</v>
      </c>
      <c r="AB182" s="63">
        <f t="shared" ca="1" si="19"/>
        <v>62.392595927196652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45223</v>
      </c>
      <c r="K183">
        <f ca="1"/>
        <v>47.4554569818361</v>
      </c>
      <c r="L183">
        <f ca="1"/>
        <v>7.3677715153213228</v>
      </c>
      <c r="M183">
        <f ca="1"/>
        <v>9.9642272520652497E-3</v>
      </c>
      <c r="N183">
        <f ca="1"/>
        <v>0.24524004567514462</v>
      </c>
      <c r="O183">
        <f ca="1"/>
        <v>0</v>
      </c>
      <c r="P183">
        <f ca="1"/>
        <v>160.33008449998897</v>
      </c>
      <c r="Q183">
        <f ca="1"/>
        <v>144.45409136669301</v>
      </c>
      <c r="R183">
        <f ca="1"/>
        <v>0</v>
      </c>
      <c r="S183">
        <f ca="1"/>
        <v>0.97625143586698426</v>
      </c>
      <c r="T183">
        <f ca="1"/>
        <v>0</v>
      </c>
      <c r="U183">
        <f ca="1"/>
        <v>0</v>
      </c>
      <c r="V183">
        <f ca="1"/>
        <v>0.999940538174936</v>
      </c>
      <c r="X183" s="2">
        <f t="shared" ca="1" si="15"/>
        <v>45223</v>
      </c>
      <c r="Y183">
        <f t="shared" ca="1" si="16"/>
        <v>0</v>
      </c>
      <c r="AA183" s="63">
        <f t="shared" ca="1" si="18"/>
        <v>54.823228497157423</v>
      </c>
      <c r="AB183" s="63">
        <f t="shared" ca="1" si="19"/>
        <v>54.823228497157423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45224</v>
      </c>
      <c r="K184">
        <f ca="1"/>
        <v>39.918746830645681</v>
      </c>
      <c r="L184">
        <f ca="1"/>
        <v>7.7964099219683476</v>
      </c>
      <c r="M184">
        <f ca="1"/>
        <v>1.0167281422445384E-2</v>
      </c>
      <c r="N184">
        <f ca="1"/>
        <v>0.24953248935547903</v>
      </c>
      <c r="O184">
        <f ca="1"/>
        <v>0</v>
      </c>
      <c r="P184">
        <f ca="1"/>
        <v>168.12649442195732</v>
      </c>
      <c r="Q184">
        <f ca="1"/>
        <v>151.47849551836853</v>
      </c>
      <c r="R184">
        <f ca="1"/>
        <v>0</v>
      </c>
      <c r="S184">
        <f ca="1"/>
        <v>0.9431265117772436</v>
      </c>
      <c r="T184">
        <f ca="1"/>
        <v>0</v>
      </c>
      <c r="U184">
        <f ca="1"/>
        <v>0</v>
      </c>
      <c r="V184">
        <f ca="1"/>
        <v>0.99995500647936486</v>
      </c>
      <c r="X184" s="2">
        <f t="shared" ca="1" si="15"/>
        <v>45224</v>
      </c>
      <c r="Y184">
        <f t="shared" ca="1" si="16"/>
        <v>0</v>
      </c>
      <c r="AA184" s="63">
        <f t="shared" ca="1" si="18"/>
        <v>47.715156752614028</v>
      </c>
      <c r="AB184" s="63">
        <f t="shared" ca="1" si="19"/>
        <v>47.715156752614028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45225</v>
      </c>
      <c r="K185">
        <f ca="1"/>
        <v>32.116502569518751</v>
      </c>
      <c r="L185">
        <f ca="1"/>
        <v>8.05210728834885</v>
      </c>
      <c r="M185">
        <f ca="1"/>
        <v>1.025623980769641E-2</v>
      </c>
      <c r="N185">
        <f ca="1"/>
        <v>0.23960678741422131</v>
      </c>
      <c r="O185">
        <f ca="1"/>
        <v>0</v>
      </c>
      <c r="P185">
        <f ca="1"/>
        <v>176.17860171030617</v>
      </c>
      <c r="Q185">
        <f ca="1"/>
        <v>158.73327771070024</v>
      </c>
      <c r="R185">
        <f ca="1"/>
        <v>0</v>
      </c>
      <c r="S185">
        <f ca="1"/>
        <v>0.89125164287873793</v>
      </c>
      <c r="T185">
        <f ca="1"/>
        <v>0</v>
      </c>
      <c r="U185">
        <f ca="1"/>
        <v>0</v>
      </c>
      <c r="V185">
        <f ca="1"/>
        <v>0.999966266207441</v>
      </c>
      <c r="X185" s="2">
        <f t="shared" ca="1" si="15"/>
        <v>45225</v>
      </c>
      <c r="Y185">
        <f t="shared" ca="1" si="16"/>
        <v>0</v>
      </c>
      <c r="AA185" s="63">
        <f t="shared" ca="1" si="18"/>
        <v>40.168609857867601</v>
      </c>
      <c r="AB185" s="63">
        <f t="shared" ca="1" si="19"/>
        <v>40.168609857867601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45226</v>
      </c>
      <c r="K186">
        <f ca="1"/>
        <v>158.90283733097363</v>
      </c>
      <c r="L186">
        <f ca="1"/>
        <v>8.6818895927968924</v>
      </c>
      <c r="M186">
        <f ca="1"/>
        <v>1.0683073521789765E-2</v>
      </c>
      <c r="N186">
        <f ca="1"/>
        <v>0.25628552744560046</v>
      </c>
      <c r="O186">
        <f ca="1"/>
        <v>135.20125575328439</v>
      </c>
      <c r="P186">
        <f ca="1"/>
        <v>184.86049130310306</v>
      </c>
      <c r="Q186">
        <f ca="1"/>
        <v>166.55548073881323</v>
      </c>
      <c r="R186">
        <f ca="1"/>
        <v>0</v>
      </c>
      <c r="S186">
        <f ca="1"/>
        <v>0.89375182746728254</v>
      </c>
      <c r="T186">
        <f ca="1"/>
        <v>0</v>
      </c>
      <c r="U186">
        <f ca="1"/>
        <v>0</v>
      </c>
      <c r="V186">
        <f ca="1"/>
        <v>0.99997531066809642</v>
      </c>
      <c r="X186" s="2">
        <f t="shared" ca="1" si="15"/>
        <v>45226</v>
      </c>
      <c r="Y186">
        <f t="shared" ca="1" si="16"/>
        <v>135.20125575328439</v>
      </c>
      <c r="AA186" s="63">
        <f t="shared" ca="1" si="18"/>
        <v>167.58472692377052</v>
      </c>
      <c r="AB186" s="63">
        <f t="shared" ca="1" si="19"/>
        <v>167.58472692377052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45227</v>
      </c>
      <c r="K187">
        <f ca="1"/>
        <v>151.06858946928594</v>
      </c>
      <c r="L187">
        <f ca="1"/>
        <v>8.0966765221199068</v>
      </c>
      <c r="M187">
        <f ca="1"/>
        <v>1.0146001180952879E-2</v>
      </c>
      <c r="N187">
        <f ca="1"/>
        <v>0.25228265925129117</v>
      </c>
      <c r="O187">
        <f ca="1"/>
        <v>0</v>
      </c>
      <c r="P187">
        <f ca="1"/>
        <v>192.95716782522297</v>
      </c>
      <c r="Q187">
        <f ca="1"/>
        <v>173.85041888931951</v>
      </c>
      <c r="R187">
        <f ca="1"/>
        <v>0</v>
      </c>
      <c r="S187">
        <f ca="1"/>
        <v>0.91916861387206461</v>
      </c>
      <c r="T187">
        <f ca="1"/>
        <v>0</v>
      </c>
      <c r="U187">
        <f ca="1"/>
        <v>0</v>
      </c>
      <c r="V187">
        <f ca="1"/>
        <v>0.99998160054933838</v>
      </c>
      <c r="X187" s="2">
        <f t="shared" ca="1" si="15"/>
        <v>45227</v>
      </c>
      <c r="Y187">
        <f t="shared" ca="1" si="16"/>
        <v>0</v>
      </c>
      <c r="AA187" s="63">
        <f t="shared" ca="1" si="18"/>
        <v>159.16526599140585</v>
      </c>
      <c r="AB187" s="63">
        <f t="shared" ca="1" si="19"/>
        <v>159.16526599140585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45228</v>
      </c>
      <c r="K188">
        <f ca="1"/>
        <v>143.33066398674427</v>
      </c>
      <c r="L188">
        <f ca="1"/>
        <v>7.9961245498003279</v>
      </c>
      <c r="M188">
        <f ca="1"/>
        <v>1.0039630419391266E-2</v>
      </c>
      <c r="N188">
        <f ca="1"/>
        <v>0.24815943683928163</v>
      </c>
      <c r="O188">
        <f ca="1"/>
        <v>0</v>
      </c>
      <c r="P188">
        <f ca="1"/>
        <v>200.9532923750233</v>
      </c>
      <c r="Q188">
        <f ca="1"/>
        <v>181.05476179164231</v>
      </c>
      <c r="R188">
        <f ca="1"/>
        <v>0</v>
      </c>
      <c r="S188">
        <f ca="1"/>
        <v>0.90479368725415255</v>
      </c>
      <c r="T188">
        <f ca="1"/>
        <v>0</v>
      </c>
      <c r="U188">
        <f ca="1"/>
        <v>0</v>
      </c>
      <c r="V188">
        <f ca="1"/>
        <v>0.99998629673187456</v>
      </c>
      <c r="X188" s="2">
        <f t="shared" ca="1" si="15"/>
        <v>45228</v>
      </c>
      <c r="Y188">
        <f t="shared" ca="1" si="16"/>
        <v>0</v>
      </c>
      <c r="AA188" s="63">
        <f t="shared" ca="1" si="18"/>
        <v>151.3267885365446</v>
      </c>
      <c r="AB188" s="63">
        <f t="shared" ca="1" si="19"/>
        <v>151.3267885365446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45229</v>
      </c>
      <c r="K189">
        <f ca="1"/>
        <v>135.38774247815579</v>
      </c>
      <c r="L189">
        <f ca="1"/>
        <v>8.2017364372030102</v>
      </c>
      <c r="M189">
        <f ca="1"/>
        <v>1.0217972524030117E-2</v>
      </c>
      <c r="N189">
        <f ca="1"/>
        <v>0.24859695609048479</v>
      </c>
      <c r="O189">
        <f ca="1"/>
        <v>0</v>
      </c>
      <c r="P189">
        <f ca="1"/>
        <v>209.15502881222631</v>
      </c>
      <c r="Q189">
        <f ca="1"/>
        <v>188.44435675356189</v>
      </c>
      <c r="R189">
        <f ca="1"/>
        <v>0</v>
      </c>
      <c r="S189">
        <f ca="1"/>
        <v>0.87771041961691321</v>
      </c>
      <c r="T189">
        <f ca="1"/>
        <v>0</v>
      </c>
      <c r="U189">
        <f ca="1"/>
        <v>0</v>
      </c>
      <c r="V189">
        <f ca="1"/>
        <v>0.99998993255786062</v>
      </c>
      <c r="X189" s="2">
        <f t="shared" ca="1" si="15"/>
        <v>45229</v>
      </c>
      <c r="Y189">
        <f t="shared" ca="1" si="16"/>
        <v>0</v>
      </c>
      <c r="AA189" s="63">
        <f t="shared" ca="1" si="18"/>
        <v>143.5894789153588</v>
      </c>
      <c r="AB189" s="63">
        <f t="shared" ca="1" si="19"/>
        <v>143.5894789153588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45230</v>
      </c>
      <c r="K190">
        <f ca="1"/>
        <v>127.78628680718464</v>
      </c>
      <c r="L190">
        <f ca="1"/>
        <v>7.8430789934149061</v>
      </c>
      <c r="M190">
        <f ca="1"/>
        <v>9.9602039729989045E-3</v>
      </c>
      <c r="N190">
        <f ca="1"/>
        <v>0.23166311847074</v>
      </c>
      <c r="O190">
        <f ca="1"/>
        <v>0</v>
      </c>
      <c r="P190">
        <f ca="1"/>
        <v>216.99810780564121</v>
      </c>
      <c r="Q190">
        <f ca="1"/>
        <v>195.5108087737442</v>
      </c>
      <c r="R190">
        <f ca="1"/>
        <v>0</v>
      </c>
      <c r="S190">
        <f ca="1"/>
        <v>0.83521049146556681</v>
      </c>
      <c r="T190">
        <f ca="1"/>
        <v>0</v>
      </c>
      <c r="U190">
        <f ca="1"/>
        <v>0</v>
      </c>
      <c r="V190">
        <f ca="1"/>
        <v>0.99999255900168138</v>
      </c>
      <c r="X190" s="2">
        <f t="shared" ca="1" si="15"/>
        <v>45230</v>
      </c>
      <c r="Y190">
        <f t="shared" ca="1" si="16"/>
        <v>0</v>
      </c>
      <c r="AA190" s="63">
        <f t="shared" ca="1" si="18"/>
        <v>135.62936580059954</v>
      </c>
      <c r="AB190" s="63">
        <f t="shared" ca="1" si="19"/>
        <v>135.62936580059954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45231</v>
      </c>
      <c r="K191">
        <f ca="1"/>
        <v>120.77874770085691</v>
      </c>
      <c r="L191">
        <f ca="1"/>
        <v>7.2298142729945596</v>
      </c>
      <c r="M191">
        <f ca="1"/>
        <v>9.5111210352314401E-3</v>
      </c>
      <c r="N191">
        <f ca="1"/>
        <v>0.21276404563160628</v>
      </c>
      <c r="O191">
        <f ca="1"/>
        <v>0</v>
      </c>
      <c r="P191">
        <f ca="1"/>
        <v>224.22792207863577</v>
      </c>
      <c r="Q191">
        <f ca="1"/>
        <v>202.02472195985899</v>
      </c>
      <c r="R191">
        <f ca="1"/>
        <v>0</v>
      </c>
      <c r="S191">
        <f ca="1"/>
        <v>0.80166889632927874</v>
      </c>
      <c r="T191">
        <f ca="1"/>
        <v>0</v>
      </c>
      <c r="U191">
        <f ca="1"/>
        <v>0</v>
      </c>
      <c r="V191">
        <f ca="1"/>
        <v>0.99999441409724554</v>
      </c>
      <c r="X191" s="2">
        <f t="shared" ca="1" si="15"/>
        <v>45231</v>
      </c>
      <c r="Y191">
        <f t="shared" ca="1" si="16"/>
        <v>0</v>
      </c>
      <c r="AA191" s="63">
        <f t="shared" ca="1" si="18"/>
        <v>128.00856197385147</v>
      </c>
      <c r="AB191" s="63">
        <f t="shared" ca="1" si="19"/>
        <v>128.00856197385147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45232</v>
      </c>
      <c r="K192">
        <f ca="1"/>
        <v>113.93890724178712</v>
      </c>
      <c r="L192">
        <f ca="1"/>
        <v>7.0473344804425722</v>
      </c>
      <c r="M192">
        <f ca="1"/>
        <v>9.4362465822577235E-3</v>
      </c>
      <c r="N192">
        <f ca="1"/>
        <v>0.19805777479052067</v>
      </c>
      <c r="O192">
        <f ca="1"/>
        <v>0</v>
      </c>
      <c r="P192">
        <f ca="1"/>
        <v>231.27525655907834</v>
      </c>
      <c r="Q192">
        <f ca="1"/>
        <v>208.37422462558962</v>
      </c>
      <c r="R192">
        <f ca="1"/>
        <v>0</v>
      </c>
      <c r="S192">
        <f ca="1"/>
        <v>0.74312729451255721</v>
      </c>
      <c r="T192">
        <f ca="1"/>
        <v>0</v>
      </c>
      <c r="U192">
        <f ca="1"/>
        <v>0</v>
      </c>
      <c r="V192">
        <f ca="1"/>
        <v>0.99999581467918064</v>
      </c>
      <c r="X192" s="2">
        <f t="shared" ca="1" si="15"/>
        <v>45232</v>
      </c>
      <c r="Y192">
        <f t="shared" ca="1" si="16"/>
        <v>0</v>
      </c>
      <c r="AA192" s="63">
        <f t="shared" ca="1" si="18"/>
        <v>120.98624172222969</v>
      </c>
      <c r="AB192" s="63">
        <f t="shared" ca="1" si="19"/>
        <v>120.98624172222969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45233</v>
      </c>
      <c r="K193">
        <f ca="1"/>
        <v>107.42450683603003</v>
      </c>
      <c r="L193">
        <f ca="1"/>
        <v>6.7154261894163483</v>
      </c>
      <c r="M193">
        <f ca="1"/>
        <v>9.2518371485263984E-3</v>
      </c>
      <c r="N193">
        <f ca="1"/>
        <v>0.19177394651074187</v>
      </c>
      <c r="O193">
        <f ca="1"/>
        <v>0</v>
      </c>
      <c r="P193">
        <f ca="1"/>
        <v>237.99068274849469</v>
      </c>
      <c r="Q193">
        <f ca="1"/>
        <v>214.42468478319216</v>
      </c>
      <c r="R193">
        <f ca="1"/>
        <v>0</v>
      </c>
      <c r="S193">
        <f ca="1"/>
        <v>0.72583568257765718</v>
      </c>
      <c r="T193">
        <f ca="1"/>
        <v>0</v>
      </c>
      <c r="U193">
        <f ca="1"/>
        <v>0</v>
      </c>
      <c r="V193">
        <f ca="1"/>
        <v>0.99999685312578868</v>
      </c>
      <c r="X193" s="2">
        <f t="shared" ca="1" si="15"/>
        <v>45233</v>
      </c>
      <c r="Y193">
        <f t="shared" ca="1" si="16"/>
        <v>0</v>
      </c>
      <c r="AA193" s="63">
        <f t="shared" ca="1" si="18"/>
        <v>114.13993302544638</v>
      </c>
      <c r="AB193" s="63">
        <f t="shared" ca="1" si="19"/>
        <v>114.13993302544638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45234</v>
      </c>
      <c r="K194">
        <f ca="1"/>
        <v>101.02638065370913</v>
      </c>
      <c r="L194">
        <f ca="1"/>
        <v>6.6017307238191165</v>
      </c>
      <c r="M194">
        <f ca="1"/>
        <v>9.2734576393374013E-3</v>
      </c>
      <c r="N194">
        <f ca="1"/>
        <v>0.19433108385886985</v>
      </c>
      <c r="O194">
        <f ca="1"/>
        <v>0</v>
      </c>
      <c r="P194">
        <f ca="1"/>
        <v>244.59241347231381</v>
      </c>
      <c r="Q194">
        <f ca="1"/>
        <v>220.37270767690518</v>
      </c>
      <c r="R194">
        <f ca="1"/>
        <v>0</v>
      </c>
      <c r="S194">
        <f ca="1"/>
        <v>0.72229406142092978</v>
      </c>
      <c r="T194">
        <f ca="1"/>
        <v>0</v>
      </c>
      <c r="U194">
        <f ca="1"/>
        <v>0</v>
      </c>
      <c r="V194">
        <f ca="1"/>
        <v>0.99999764962659543</v>
      </c>
      <c r="X194" s="2">
        <f t="shared" ca="1" si="15"/>
        <v>45234</v>
      </c>
      <c r="Y194">
        <f t="shared" ca="1" si="16"/>
        <v>0</v>
      </c>
      <c r="AA194" s="63">
        <f t="shared" ca="1" si="18"/>
        <v>107.62811137752824</v>
      </c>
      <c r="AB194" s="63">
        <f t="shared" ca="1" si="19"/>
        <v>107.62811137752824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45235</v>
      </c>
      <c r="K195">
        <f ca="1"/>
        <v>94.702343648576147</v>
      </c>
      <c r="L195">
        <f ca="1"/>
        <v>6.5492906163902092</v>
      </c>
      <c r="M195">
        <f ca="1"/>
        <v>9.3828736194252471E-3</v>
      </c>
      <c r="N195">
        <f ca="1"/>
        <v>0.21587073763779738</v>
      </c>
      <c r="O195">
        <f ca="1"/>
        <v>0</v>
      </c>
      <c r="P195">
        <f ca="1"/>
        <v>251.14170408870402</v>
      </c>
      <c r="Q195">
        <f ca="1"/>
        <v>226.27348311800537</v>
      </c>
      <c r="R195">
        <f ca="1"/>
        <v>0</v>
      </c>
      <c r="S195">
        <f ca="1"/>
        <v>0.77964789743822227</v>
      </c>
      <c r="T195">
        <f ca="1"/>
        <v>0</v>
      </c>
      <c r="U195">
        <f ca="1"/>
        <v>0</v>
      </c>
      <c r="V195">
        <f ca="1"/>
        <v>0.99999826390883673</v>
      </c>
      <c r="X195" s="2">
        <f t="shared" ca="1" si="15"/>
        <v>45235</v>
      </c>
      <c r="Y195">
        <f t="shared" ca="1" si="16"/>
        <v>0</v>
      </c>
      <c r="AA195" s="63">
        <f t="shared" ca="1" si="18"/>
        <v>101.25163426496636</v>
      </c>
      <c r="AB195" s="63">
        <f t="shared" ca="1" si="19"/>
        <v>101.25163426496636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45236</v>
      </c>
      <c r="K196">
        <f ca="1"/>
        <v>88.941985514920589</v>
      </c>
      <c r="L196">
        <f ca="1"/>
        <v>5.9815054049733192</v>
      </c>
      <c r="M196">
        <f ca="1"/>
        <v>9.0184519919898065E-3</v>
      </c>
      <c r="N196">
        <f ca="1"/>
        <v>0.21212881932576638</v>
      </c>
      <c r="O196">
        <f ca="1"/>
        <v>0</v>
      </c>
      <c r="P196">
        <f ca="1"/>
        <v>257.12320949367734</v>
      </c>
      <c r="Q196">
        <f ca="1"/>
        <v>231.66269582237743</v>
      </c>
      <c r="R196">
        <f ca="1"/>
        <v>0</v>
      </c>
      <c r="S196">
        <f ca="1"/>
        <v>0.79152291907355099</v>
      </c>
      <c r="T196">
        <f ca="1"/>
        <v>0</v>
      </c>
      <c r="U196">
        <f ca="1"/>
        <v>0</v>
      </c>
      <c r="V196">
        <f ca="1"/>
        <v>0.99999870168251037</v>
      </c>
      <c r="X196" s="2">
        <f t="shared" ca="1" si="15"/>
        <v>45236</v>
      </c>
      <c r="Y196">
        <f t="shared" ca="1" si="16"/>
        <v>0</v>
      </c>
      <c r="AA196" s="63">
        <f t="shared" ca="1" si="18"/>
        <v>94.923490919893908</v>
      </c>
      <c r="AB196" s="63">
        <f t="shared" ca="1" si="19"/>
        <v>94.923490919893908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45237</v>
      </c>
      <c r="K197">
        <f ca="1"/>
        <v>83.305546196150488</v>
      </c>
      <c r="L197">
        <f ca="1"/>
        <v>5.86845968142012</v>
      </c>
      <c r="M197">
        <f ca="1"/>
        <v>9.0988722534639521E-3</v>
      </c>
      <c r="N197">
        <f ca="1"/>
        <v>0.22292149039655271</v>
      </c>
      <c r="O197">
        <f ca="1"/>
        <v>0</v>
      </c>
      <c r="P197">
        <f ca="1"/>
        <v>262.99166917509746</v>
      </c>
      <c r="Q197">
        <f ca="1"/>
        <v>236.95005666700834</v>
      </c>
      <c r="R197">
        <f ca="1"/>
        <v>0</v>
      </c>
      <c r="S197">
        <f ca="1"/>
        <v>0.80943959960374434</v>
      </c>
      <c r="T197">
        <f ca="1"/>
        <v>0</v>
      </c>
      <c r="U197">
        <f ca="1"/>
        <v>0</v>
      </c>
      <c r="V197">
        <f ca="1"/>
        <v>0.99999903856802597</v>
      </c>
      <c r="X197" s="2">
        <f t="shared" ca="1" si="15"/>
        <v>45237</v>
      </c>
      <c r="Y197">
        <f t="shared" ca="1" si="16"/>
        <v>0</v>
      </c>
      <c r="AA197" s="63">
        <f t="shared" ca="1" si="18"/>
        <v>89.174005877570607</v>
      </c>
      <c r="AB197" s="63">
        <f t="shared" ca="1" si="19"/>
        <v>89.174005877570607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45238</v>
      </c>
      <c r="K198">
        <f ca="1"/>
        <v>77.849339387570623</v>
      </c>
      <c r="L198">
        <f ca="1"/>
        <v>5.6926388476505849</v>
      </c>
      <c r="M198">
        <f ca="1"/>
        <v>9.1453576941473713E-3</v>
      </c>
      <c r="N198">
        <f ca="1"/>
        <v>0.22728668137657132</v>
      </c>
      <c r="O198">
        <f ca="1"/>
        <v>0</v>
      </c>
      <c r="P198">
        <f ca="1"/>
        <v>268.68430802274804</v>
      </c>
      <c r="Q198">
        <f ca="1"/>
        <v>242.07900657544658</v>
      </c>
      <c r="R198">
        <f ca="1"/>
        <v>0</v>
      </c>
      <c r="S198">
        <f ca="1"/>
        <v>0.80756460961143672</v>
      </c>
      <c r="T198">
        <f ca="1"/>
        <v>0</v>
      </c>
      <c r="U198">
        <f ca="1"/>
        <v>0</v>
      </c>
      <c r="V198">
        <f ca="1"/>
        <v>0.99999929388682329</v>
      </c>
      <c r="X198" s="2">
        <f t="shared" ca="1" si="15"/>
        <v>45238</v>
      </c>
      <c r="Y198">
        <f t="shared" ca="1" si="16"/>
        <v>0</v>
      </c>
      <c r="AA198" s="63">
        <f t="shared" ca="1" si="18"/>
        <v>83.541978235221208</v>
      </c>
      <c r="AB198" s="63">
        <f t="shared" ca="1" si="19"/>
        <v>83.541978235221208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45239</v>
      </c>
      <c r="K199">
        <f ca="1"/>
        <v>72.918492447209616</v>
      </c>
      <c r="L199">
        <f ca="1"/>
        <v>5.1598017817164532</v>
      </c>
      <c r="M199">
        <f ca="1"/>
        <v>8.805247424767515E-3</v>
      </c>
      <c r="N199">
        <f ca="1"/>
        <v>0.22014959393067784</v>
      </c>
      <c r="O199">
        <f ca="1"/>
        <v>0</v>
      </c>
      <c r="P199">
        <f ca="1"/>
        <v>273.84410980446449</v>
      </c>
      <c r="Q199">
        <f ca="1"/>
        <v>246.72788130369599</v>
      </c>
      <c r="R199">
        <f ca="1"/>
        <v>0</v>
      </c>
      <c r="S199">
        <f ca="1"/>
        <v>0.8063146171821316</v>
      </c>
      <c r="T199">
        <f ca="1"/>
        <v>0</v>
      </c>
      <c r="U199">
        <f ca="1"/>
        <v>0</v>
      </c>
      <c r="V199">
        <f ca="1"/>
        <v>0.99999947544679846</v>
      </c>
      <c r="X199" s="2">
        <f t="shared" ref="X199:X262" ca="1" si="22">IFERROR(J199,$X$5)</f>
        <v>45239</v>
      </c>
      <c r="Y199">
        <f t="shared" ref="Y199:Y262" ca="1" si="23">IFERROR(O199,0)</f>
        <v>0</v>
      </c>
      <c r="AA199" s="63">
        <f t="shared" ca="1" si="18"/>
        <v>78.078294228926069</v>
      </c>
      <c r="AB199" s="63">
        <f t="shared" ca="1" si="19"/>
        <v>78.078294228926069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45240</v>
      </c>
      <c r="K200">
        <f ca="1"/>
        <v>68.126012001583533</v>
      </c>
      <c r="L200">
        <f ca="1"/>
        <v>5.0222122851200766</v>
      </c>
      <c r="M200">
        <f ca="1"/>
        <v>8.9049423100480141E-3</v>
      </c>
      <c r="N200">
        <f ca="1"/>
        <v>0.22082689718393678</v>
      </c>
      <c r="O200">
        <f ca="1"/>
        <v>0</v>
      </c>
      <c r="P200">
        <f ca="1"/>
        <v>278.86632208958457</v>
      </c>
      <c r="Q200">
        <f ca="1"/>
        <v>251.25279074012624</v>
      </c>
      <c r="R200">
        <f ca="1"/>
        <v>0</v>
      </c>
      <c r="S200">
        <f ca="1"/>
        <v>0.78609979694825516</v>
      </c>
      <c r="T200">
        <f ca="1"/>
        <v>0</v>
      </c>
      <c r="U200">
        <f ca="1"/>
        <v>0</v>
      </c>
      <c r="V200">
        <f ca="1"/>
        <v>0.99999961462546816</v>
      </c>
      <c r="X200" s="2">
        <f t="shared" ca="1" si="22"/>
        <v>45240</v>
      </c>
      <c r="Y200">
        <f t="shared" ca="1" si="23"/>
        <v>0</v>
      </c>
      <c r="AA200" s="63">
        <f t="shared" ca="1" si="18"/>
        <v>73.148224286703609</v>
      </c>
      <c r="AB200" s="63">
        <f t="shared" ca="1" si="19"/>
        <v>73.148224286703609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45241</v>
      </c>
      <c r="K201">
        <f ca="1"/>
        <v>63.606993986453205</v>
      </c>
      <c r="L201">
        <f ca="1"/>
        <v>4.7390373752339769</v>
      </c>
      <c r="M201">
        <f ca="1"/>
        <v>8.8487110092874133E-3</v>
      </c>
      <c r="N201">
        <f ca="1"/>
        <v>0.21117064909435193</v>
      </c>
      <c r="O201">
        <f ca="1"/>
        <v>0</v>
      </c>
      <c r="P201">
        <f ca="1"/>
        <v>283.60535946481855</v>
      </c>
      <c r="Q201">
        <f ca="1"/>
        <v>255.5225654372903</v>
      </c>
      <c r="R201">
        <f ca="1"/>
        <v>0</v>
      </c>
      <c r="S201">
        <f ca="1"/>
        <v>0.74568313465830105</v>
      </c>
      <c r="T201">
        <f ca="1"/>
        <v>0</v>
      </c>
      <c r="U201">
        <f ca="1"/>
        <v>0</v>
      </c>
      <c r="V201">
        <f ca="1"/>
        <v>0.9999997177728287</v>
      </c>
      <c r="X201" s="2">
        <f t="shared" ca="1" si="22"/>
        <v>45241</v>
      </c>
      <c r="Y201">
        <f t="shared" ca="1" si="23"/>
        <v>0</v>
      </c>
      <c r="AA201" s="63">
        <f ca="1">K200+M201+N201+O201</f>
        <v>68.346031361687182</v>
      </c>
      <c r="AB201" s="63">
        <f ca="1">K201+L201+R201</f>
        <v>68.346031361687182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45242</v>
      </c>
      <c r="K202">
        <f ca="1"/>
        <v>59.42815874884802</v>
      </c>
      <c r="L202">
        <f ca="1"/>
        <v>4.3988283947458626</v>
      </c>
      <c r="M202">
        <f ca="1"/>
        <v>8.7131565398550492E-3</v>
      </c>
      <c r="N202">
        <f ca="1"/>
        <v>0.2112800006008195</v>
      </c>
      <c r="O202">
        <f ca="1"/>
        <v>0</v>
      </c>
      <c r="P202">
        <f ca="1"/>
        <v>288.00418785956441</v>
      </c>
      <c r="Q202">
        <f ca="1"/>
        <v>259.48581887673487</v>
      </c>
      <c r="R202">
        <f ca="1"/>
        <v>0</v>
      </c>
      <c r="S202">
        <f ca="1"/>
        <v>0.74797480516142067</v>
      </c>
      <c r="T202">
        <f ca="1"/>
        <v>0</v>
      </c>
      <c r="U202">
        <f ca="1"/>
        <v>0</v>
      </c>
      <c r="V202">
        <f ca="1"/>
        <v>0.99999979311551845</v>
      </c>
      <c r="X202" s="2">
        <f t="shared" ca="1" si="22"/>
        <v>45242</v>
      </c>
      <c r="Y202">
        <f t="shared" ca="1" si="23"/>
        <v>0</v>
      </c>
      <c r="AA202" s="63">
        <f ca="1">K201+M202+N202+O202</f>
        <v>63.826987143593882</v>
      </c>
      <c r="AB202" s="63">
        <f ca="1">K202+L202+R202</f>
        <v>63.826987143593882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45243</v>
      </c>
      <c r="K203">
        <f ca="1"/>
        <v>55.648017635326291</v>
      </c>
      <c r="L203">
        <f ca="1"/>
        <v>3.9924338216433171</v>
      </c>
      <c r="M203">
        <f ca="1"/>
        <v>8.4620826228816171E-3</v>
      </c>
      <c r="N203">
        <f ca="1"/>
        <v>0.2038306254987059</v>
      </c>
      <c r="O203">
        <f ca="1"/>
        <v>0</v>
      </c>
      <c r="P203">
        <f ca="1"/>
        <v>291.99662168120773</v>
      </c>
      <c r="Q203">
        <f ca="1"/>
        <v>263.08291920787815</v>
      </c>
      <c r="R203">
        <f ca="1"/>
        <v>0</v>
      </c>
      <c r="S203">
        <f ca="1"/>
        <v>0.73536570691684522</v>
      </c>
      <c r="T203">
        <f ca="1"/>
        <v>0</v>
      </c>
      <c r="U203">
        <f ca="1"/>
        <v>0</v>
      </c>
      <c r="V203">
        <f ca="1"/>
        <v>0.9739025680133645</v>
      </c>
      <c r="X203" s="2">
        <f t="shared" ca="1" si="22"/>
        <v>45243</v>
      </c>
      <c r="Y203">
        <f t="shared" ca="1" si="23"/>
        <v>0</v>
      </c>
      <c r="AA203" s="63">
        <f ca="1">K202+M203+N203+O203</f>
        <v>59.640451456969608</v>
      </c>
      <c r="AB203" s="63">
        <f ca="1">K203+L203+R203</f>
        <v>59.640451456969608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45244</v>
      </c>
      <c r="K204">
        <f ca="1"/>
        <v>52.170675078257972</v>
      </c>
      <c r="L204">
        <f ca="1"/>
        <v>3.6863790550531235</v>
      </c>
      <c r="M204">
        <f ca="1"/>
        <v>8.3220388374218857E-3</v>
      </c>
      <c r="N204">
        <f ca="1"/>
        <v>0.20071445914738584</v>
      </c>
      <c r="O204">
        <f ca="1"/>
        <v>0</v>
      </c>
      <c r="P204">
        <f ca="1"/>
        <v>295.68300073626085</v>
      </c>
      <c r="Q204">
        <f ca="1"/>
        <v>266.40427052189767</v>
      </c>
      <c r="R204">
        <f ca="1"/>
        <v>0</v>
      </c>
      <c r="S204">
        <f ca="1"/>
        <v>0.72688980671888048</v>
      </c>
      <c r="T204">
        <f ca="1"/>
        <v>0</v>
      </c>
      <c r="U204">
        <f ca="1"/>
        <v>0</v>
      </c>
      <c r="V204">
        <f ca="1"/>
        <v>0.94233063249411431</v>
      </c>
      <c r="X204" s="2">
        <f t="shared" ca="1" si="22"/>
        <v>45244</v>
      </c>
      <c r="Y204">
        <f t="shared" ca="1" si="23"/>
        <v>0</v>
      </c>
      <c r="AA204" s="63">
        <f t="shared" ref="AA204:AA267" ca="1" si="25">K203+M204+N204+O204</f>
        <v>55.857054133311095</v>
      </c>
      <c r="AB204" s="63">
        <f t="shared" ref="AB204:AB267" ca="1" si="26">K204+L204+R204</f>
        <v>55.857054133311095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45245</v>
      </c>
      <c r="K205">
        <f ca="1"/>
        <v>48.841075710704402</v>
      </c>
      <c r="L205">
        <f ca="1"/>
        <v>3.5354593833226886</v>
      </c>
      <c r="M205">
        <f ca="1"/>
        <v>8.4127836819378743E-3</v>
      </c>
      <c r="N205">
        <f ca="1"/>
        <v>0.19744723208717763</v>
      </c>
      <c r="O205">
        <f ca="1"/>
        <v>0</v>
      </c>
      <c r="P205">
        <f ca="1"/>
        <v>299.21846011958354</v>
      </c>
      <c r="Q205">
        <f ca="1"/>
        <v>269.58964633189896</v>
      </c>
      <c r="R205">
        <f ca="1"/>
        <v>0</v>
      </c>
      <c r="S205">
        <f ca="1"/>
        <v>0.6923963899325728</v>
      </c>
      <c r="T205">
        <f ca="1"/>
        <v>0</v>
      </c>
      <c r="U205">
        <f ca="1"/>
        <v>0</v>
      </c>
      <c r="V205">
        <f ca="1"/>
        <v>0.90959674351201036</v>
      </c>
      <c r="X205" s="2">
        <f t="shared" ca="1" si="22"/>
        <v>45245</v>
      </c>
      <c r="Y205">
        <f t="shared" ca="1" si="23"/>
        <v>0</v>
      </c>
      <c r="AA205" s="63">
        <f t="shared" ca="1" si="25"/>
        <v>52.376535094027091</v>
      </c>
      <c r="AB205" s="63">
        <f t="shared" ca="1" si="26"/>
        <v>52.376535094027091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45246</v>
      </c>
      <c r="K206">
        <f ca="1"/>
        <v>45.693846289556241</v>
      </c>
      <c r="L206">
        <f ca="1"/>
        <v>3.3630741088273908</v>
      </c>
      <c r="M206">
        <f ca="1"/>
        <v>8.4895581996118352E-3</v>
      </c>
      <c r="N206">
        <f ca="1"/>
        <v>0.20735512947961901</v>
      </c>
      <c r="O206">
        <f ca="1"/>
        <v>0</v>
      </c>
      <c r="P206">
        <f ca="1"/>
        <v>302.58153422841093</v>
      </c>
      <c r="Q206">
        <f ca="1"/>
        <v>272.61970657358461</v>
      </c>
      <c r="R206">
        <f ca="1"/>
        <v>0</v>
      </c>
      <c r="S206">
        <f ca="1"/>
        <v>0.70870064125379628</v>
      </c>
      <c r="T206">
        <f ca="1"/>
        <v>0</v>
      </c>
      <c r="U206">
        <f ca="1"/>
        <v>0</v>
      </c>
      <c r="V206">
        <f ca="1"/>
        <v>0.87576729840778733</v>
      </c>
      <c r="X206" s="2">
        <f t="shared" ca="1" si="22"/>
        <v>45246</v>
      </c>
      <c r="Y206">
        <f t="shared" ca="1" si="23"/>
        <v>0</v>
      </c>
      <c r="AA206" s="63">
        <f t="shared" ca="1" si="25"/>
        <v>49.056920398383632</v>
      </c>
      <c r="AB206" s="63">
        <f t="shared" ca="1" si="26"/>
        <v>49.056920398383632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45247</v>
      </c>
      <c r="K207">
        <f ca="1"/>
        <v>42.92064366463125</v>
      </c>
      <c r="L207">
        <f ca="1"/>
        <v>2.9743828919127964</v>
      </c>
      <c r="M207">
        <f ca="1"/>
        <v>8.1553782896950366E-3</v>
      </c>
      <c r="N207">
        <f ca="1"/>
        <v>0.19302488869811432</v>
      </c>
      <c r="O207">
        <f ca="1"/>
        <v>0</v>
      </c>
      <c r="P207">
        <f ca="1"/>
        <v>305.55591712032373</v>
      </c>
      <c r="Q207">
        <f ca="1"/>
        <v>275.29956406488367</v>
      </c>
      <c r="R207">
        <f ca="1"/>
        <v>0</v>
      </c>
      <c r="S207">
        <f ca="1"/>
        <v>0.67849052454399594</v>
      </c>
      <c r="T207">
        <f ca="1"/>
        <v>0</v>
      </c>
      <c r="U207">
        <f ca="1"/>
        <v>0</v>
      </c>
      <c r="V207">
        <f ca="1"/>
        <v>0.84319940277751981</v>
      </c>
      <c r="X207" s="2">
        <f t="shared" ca="1" si="22"/>
        <v>45247</v>
      </c>
      <c r="Y207">
        <f t="shared" ca="1" si="23"/>
        <v>0</v>
      </c>
      <c r="AA207" s="63">
        <f t="shared" ca="1" si="25"/>
        <v>45.895026556544046</v>
      </c>
      <c r="AB207" s="63">
        <f t="shared" ca="1" si="26"/>
        <v>45.895026556544046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45248</v>
      </c>
      <c r="K208">
        <f ca="1"/>
        <v>40.475396730159403</v>
      </c>
      <c r="L208">
        <f ca="1"/>
        <v>2.6330606170421902</v>
      </c>
      <c r="M208">
        <f ca="1"/>
        <v>7.8421745353765004E-3</v>
      </c>
      <c r="N208">
        <f ca="1"/>
        <v>0.17997150803496839</v>
      </c>
      <c r="O208">
        <f ca="1"/>
        <v>0</v>
      </c>
      <c r="P208">
        <f ca="1"/>
        <v>308.18897773736592</v>
      </c>
      <c r="Q208">
        <f ca="1"/>
        <v>277.67189724324157</v>
      </c>
      <c r="R208">
        <f ca="1"/>
        <v>0</v>
      </c>
      <c r="S208">
        <f ca="1"/>
        <v>0.64922597415457317</v>
      </c>
      <c r="T208">
        <f ca="1"/>
        <v>0</v>
      </c>
      <c r="U208">
        <f ca="1"/>
        <v>0</v>
      </c>
      <c r="V208">
        <f ca="1"/>
        <v>0.81185985795084015</v>
      </c>
      <c r="X208" s="2">
        <f t="shared" ca="1" si="22"/>
        <v>45248</v>
      </c>
      <c r="Y208">
        <f t="shared" ca="1" si="23"/>
        <v>0</v>
      </c>
      <c r="AA208" s="63">
        <f t="shared" ca="1" si="25"/>
        <v>43.108457347201593</v>
      </c>
      <c r="AB208" s="63">
        <f t="shared" ca="1" si="26"/>
        <v>43.108457347201593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45249</v>
      </c>
      <c r="K209">
        <f ca="1"/>
        <v>38.23819304587461</v>
      </c>
      <c r="L209">
        <f ca="1"/>
        <v>2.4149757379627204</v>
      </c>
      <c r="M209">
        <f ca="1"/>
        <v>7.7219134681740798E-3</v>
      </c>
      <c r="N209">
        <f ca="1"/>
        <v>0.17005014020974979</v>
      </c>
      <c r="O209">
        <f ca="1"/>
        <v>0</v>
      </c>
      <c r="P209">
        <f ca="1"/>
        <v>310.60395347532864</v>
      </c>
      <c r="Q209">
        <f ca="1"/>
        <v>279.84774045437666</v>
      </c>
      <c r="R209">
        <f ca="1"/>
        <v>0</v>
      </c>
      <c r="S209">
        <f ca="1"/>
        <v>0.60861942405586833</v>
      </c>
      <c r="T209">
        <f ca="1"/>
        <v>0</v>
      </c>
      <c r="U209">
        <f ca="1"/>
        <v>0</v>
      </c>
      <c r="V209">
        <f ca="1"/>
        <v>0.78061990913526247</v>
      </c>
      <c r="X209" s="2">
        <f t="shared" ca="1" si="22"/>
        <v>45249</v>
      </c>
      <c r="Y209">
        <f t="shared" ca="1" si="23"/>
        <v>0</v>
      </c>
      <c r="AA209" s="63">
        <f t="shared" ca="1" si="25"/>
        <v>40.65316878383733</v>
      </c>
      <c r="AB209" s="63">
        <f t="shared" ca="1" si="26"/>
        <v>40.65316878383733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45250</v>
      </c>
      <c r="K210">
        <f ca="1"/>
        <v>36.103683784746295</v>
      </c>
      <c r="L210">
        <f ca="1"/>
        <v>2.3138213602952646</v>
      </c>
      <c r="M210">
        <f ca="1"/>
        <v>7.8426008714949091E-3</v>
      </c>
      <c r="N210">
        <f ca="1"/>
        <v>0.17146949829545741</v>
      </c>
      <c r="O210">
        <f ca="1"/>
        <v>0</v>
      </c>
      <c r="P210">
        <f ca="1"/>
        <v>312.9177748356239</v>
      </c>
      <c r="Q210">
        <f ca="1"/>
        <v>281.93244566256431</v>
      </c>
      <c r="R210">
        <f ca="1"/>
        <v>0</v>
      </c>
      <c r="S210">
        <f ca="1"/>
        <v>0.58842905094006237</v>
      </c>
      <c r="T210">
        <f ca="1"/>
        <v>0</v>
      </c>
      <c r="U210">
        <f ca="1"/>
        <v>0</v>
      </c>
      <c r="V210">
        <f ca="1"/>
        <v>0.74798561616426018</v>
      </c>
      <c r="X210" s="2">
        <f t="shared" ca="1" si="22"/>
        <v>45250</v>
      </c>
      <c r="Y210">
        <f t="shared" ca="1" si="23"/>
        <v>0</v>
      </c>
      <c r="AA210" s="63">
        <f t="shared" ca="1" si="25"/>
        <v>38.417505145041567</v>
      </c>
      <c r="AB210" s="63">
        <f t="shared" ca="1" si="26"/>
        <v>38.417505145041559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45251</v>
      </c>
      <c r="K211">
        <f ca="1"/>
        <v>34.153006216413829</v>
      </c>
      <c r="L211">
        <f ca="1"/>
        <v>2.1295197967914419</v>
      </c>
      <c r="M211">
        <f ca="1"/>
        <v>7.7720999700314763E-3</v>
      </c>
      <c r="N211">
        <f ca="1"/>
        <v>0.17107012848894113</v>
      </c>
      <c r="O211">
        <f ca="1"/>
        <v>0</v>
      </c>
      <c r="P211">
        <f ca="1"/>
        <v>315.04729463241534</v>
      </c>
      <c r="Q211">
        <f ca="1"/>
        <v>283.8510989724046</v>
      </c>
      <c r="R211">
        <f ca="1"/>
        <v>0</v>
      </c>
      <c r="S211">
        <f ca="1"/>
        <v>0.58230890798559665</v>
      </c>
      <c r="T211">
        <f ca="1"/>
        <v>0</v>
      </c>
      <c r="U211">
        <f ca="1"/>
        <v>0</v>
      </c>
      <c r="V211">
        <f ca="1"/>
        <v>0.71511893250068748</v>
      </c>
      <c r="X211" s="2">
        <f t="shared" ca="1" si="22"/>
        <v>45251</v>
      </c>
      <c r="Y211">
        <f t="shared" ca="1" si="23"/>
        <v>0</v>
      </c>
      <c r="AA211" s="63">
        <f t="shared" ca="1" si="25"/>
        <v>36.28252601320527</v>
      </c>
      <c r="AB211" s="63">
        <f t="shared" ca="1" si="26"/>
        <v>36.28252601320527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45252</v>
      </c>
      <c r="K212">
        <f ca="1"/>
        <v>32.353665184604438</v>
      </c>
      <c r="L212">
        <f ca="1"/>
        <v>1.9858639671139713</v>
      </c>
      <c r="M212">
        <f ca="1"/>
        <v>7.7866365328018716E-3</v>
      </c>
      <c r="N212">
        <f ca="1"/>
        <v>0.17873629877177921</v>
      </c>
      <c r="O212">
        <f ca="1"/>
        <v>0</v>
      </c>
      <c r="P212">
        <f ca="1"/>
        <v>317.03315859952932</v>
      </c>
      <c r="Q212">
        <f ca="1"/>
        <v>285.64032134973917</v>
      </c>
      <c r="R212">
        <f ca="1"/>
        <v>0</v>
      </c>
      <c r="S212">
        <f ca="1"/>
        <v>0.60089735721177362</v>
      </c>
      <c r="T212">
        <f ca="1"/>
        <v>0</v>
      </c>
      <c r="U212">
        <f ca="1"/>
        <v>0</v>
      </c>
      <c r="V212">
        <f ca="1"/>
        <v>0.68148867941866809</v>
      </c>
      <c r="X212" s="2">
        <f t="shared" ca="1" si="22"/>
        <v>45252</v>
      </c>
      <c r="Y212">
        <f t="shared" ca="1" si="23"/>
        <v>0</v>
      </c>
      <c r="AA212" s="63">
        <f t="shared" ca="1" si="25"/>
        <v>34.339529151718409</v>
      </c>
      <c r="AB212" s="63">
        <f t="shared" ca="1" si="26"/>
        <v>34.339529151718409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45253</v>
      </c>
      <c r="K213">
        <f ca="1"/>
        <v>30.697234657121761</v>
      </c>
      <c r="L213">
        <f ca="1"/>
        <v>1.8446393370545593</v>
      </c>
      <c r="M213">
        <f ca="1"/>
        <v>7.7990750211487381E-3</v>
      </c>
      <c r="N213">
        <f ca="1"/>
        <v>0.180409734550733</v>
      </c>
      <c r="O213">
        <f ca="1"/>
        <v>0</v>
      </c>
      <c r="P213">
        <f ca="1"/>
        <v>318.87779793658387</v>
      </c>
      <c r="Q213">
        <f ca="1"/>
        <v>287.30230325515936</v>
      </c>
      <c r="R213">
        <f ca="1"/>
        <v>0</v>
      </c>
      <c r="S213">
        <f ca="1"/>
        <v>0.59370841509749361</v>
      </c>
      <c r="T213">
        <f ca="1"/>
        <v>0</v>
      </c>
      <c r="U213">
        <f ca="1"/>
        <v>0</v>
      </c>
      <c r="V213">
        <f ca="1"/>
        <v>0.6470948569182019</v>
      </c>
      <c r="X213" s="2">
        <f t="shared" ca="1" si="22"/>
        <v>45253</v>
      </c>
      <c r="Y213">
        <f t="shared" ca="1" si="23"/>
        <v>0</v>
      </c>
      <c r="AA213" s="63">
        <f t="shared" ca="1" si="25"/>
        <v>32.541873994176321</v>
      </c>
      <c r="AB213" s="63">
        <f t="shared" ca="1" si="26"/>
        <v>32.541873994176321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45254</v>
      </c>
      <c r="K214">
        <f ca="1"/>
        <v>29.231115763164411</v>
      </c>
      <c r="L214">
        <f ca="1"/>
        <v>1.6485425572053032</v>
      </c>
      <c r="M214">
        <f ca="1"/>
        <v>7.6078165731265912E-3</v>
      </c>
      <c r="N214">
        <f ca="1"/>
        <v>0.17481584667482358</v>
      </c>
      <c r="O214">
        <f ca="1"/>
        <v>0</v>
      </c>
      <c r="P214">
        <f ca="1"/>
        <v>320.52634049378918</v>
      </c>
      <c r="Q214">
        <f ca="1"/>
        <v>288.78760601616693</v>
      </c>
      <c r="R214">
        <f ca="1"/>
        <v>0</v>
      </c>
      <c r="S214">
        <f ca="1"/>
        <v>0.57931940354422673</v>
      </c>
      <c r="T214">
        <f ca="1"/>
        <v>0</v>
      </c>
      <c r="U214">
        <f ca="1"/>
        <v>0</v>
      </c>
      <c r="V214">
        <f ca="1"/>
        <v>0.61319901447324443</v>
      </c>
      <c r="X214" s="2">
        <f t="shared" ca="1" si="22"/>
        <v>45254</v>
      </c>
      <c r="Y214">
        <f t="shared" ca="1" si="23"/>
        <v>0</v>
      </c>
      <c r="AA214" s="63">
        <f t="shared" ca="1" si="25"/>
        <v>30.879658320369714</v>
      </c>
      <c r="AB214" s="63">
        <f t="shared" ca="1" si="26"/>
        <v>30.879658320369714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45255</v>
      </c>
      <c r="K215">
        <f ca="1"/>
        <v>27.839380260290561</v>
      </c>
      <c r="L215">
        <f ca="1"/>
        <v>1.5805043609826726</v>
      </c>
      <c r="M215">
        <f ca="1"/>
        <v>7.825868854960838E-3</v>
      </c>
      <c r="N215">
        <f ca="1"/>
        <v>0.18094298925386118</v>
      </c>
      <c r="O215">
        <f ca="1"/>
        <v>0</v>
      </c>
      <c r="P215">
        <f ca="1"/>
        <v>322.10684485477185</v>
      </c>
      <c r="Q215">
        <f ca="1"/>
        <v>290.21160776904361</v>
      </c>
      <c r="R215">
        <f ca="1"/>
        <v>0</v>
      </c>
      <c r="S215">
        <f ca="1"/>
        <v>0.56725570530794289</v>
      </c>
      <c r="T215">
        <f ca="1"/>
        <v>0</v>
      </c>
      <c r="U215">
        <f ca="1"/>
        <v>0</v>
      </c>
      <c r="V215">
        <f ca="1"/>
        <v>0.57724485446551754</v>
      </c>
      <c r="X215" s="2">
        <f t="shared" ca="1" si="22"/>
        <v>45255</v>
      </c>
      <c r="Y215">
        <f t="shared" ca="1" si="23"/>
        <v>0</v>
      </c>
      <c r="AA215" s="63">
        <f t="shared" ca="1" si="25"/>
        <v>29.419884621273233</v>
      </c>
      <c r="AB215" s="63">
        <f t="shared" ca="1" si="26"/>
        <v>29.419884621273233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45256</v>
      </c>
      <c r="K216">
        <f ca="1"/>
        <v>26.594902548828472</v>
      </c>
      <c r="L216">
        <f ca="1"/>
        <v>1.4289245856932666</v>
      </c>
      <c r="M216">
        <f ca="1"/>
        <v>7.7353059455234074E-3</v>
      </c>
      <c r="N216">
        <f ca="1"/>
        <v>0.1767115682856549</v>
      </c>
      <c r="O216">
        <f ca="1"/>
        <v>0</v>
      </c>
      <c r="P216">
        <f ca="1"/>
        <v>323.53576944046512</v>
      </c>
      <c r="Q216">
        <f ca="1"/>
        <v>291.49903927824283</v>
      </c>
      <c r="R216">
        <f ca="1"/>
        <v>0</v>
      </c>
      <c r="S216">
        <f ca="1"/>
        <v>0.5464263037181879</v>
      </c>
      <c r="T216">
        <f ca="1"/>
        <v>0</v>
      </c>
      <c r="U216">
        <f ca="1"/>
        <v>0</v>
      </c>
      <c r="V216">
        <f ca="1"/>
        <v>0.54112470110595479</v>
      </c>
      <c r="X216" s="2">
        <f t="shared" ca="1" si="22"/>
        <v>45256</v>
      </c>
      <c r="Y216">
        <f t="shared" ca="1" si="23"/>
        <v>0</v>
      </c>
      <c r="AA216" s="63">
        <f t="shared" ca="1" si="25"/>
        <v>28.023827134521738</v>
      </c>
      <c r="AB216" s="63">
        <f t="shared" ca="1" si="26"/>
        <v>28.023827134521738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45257</v>
      </c>
      <c r="K217">
        <f ca="1"/>
        <v>25.531614844221671</v>
      </c>
      <c r="L217">
        <f ca="1"/>
        <v>1.2440384854842819</v>
      </c>
      <c r="M217">
        <f ca="1"/>
        <v>7.4324207027816058E-3</v>
      </c>
      <c r="N217">
        <f ca="1"/>
        <v>0.17331836017470242</v>
      </c>
      <c r="O217">
        <f ca="1"/>
        <v>0</v>
      </c>
      <c r="P217">
        <f ca="1"/>
        <v>324.7798079259494</v>
      </c>
      <c r="Q217">
        <f ca="1"/>
        <v>292.61989223360837</v>
      </c>
      <c r="R217">
        <f ca="1"/>
        <v>0</v>
      </c>
      <c r="S217">
        <f ca="1"/>
        <v>0.55378238200168572</v>
      </c>
      <c r="T217">
        <f ca="1"/>
        <v>0</v>
      </c>
      <c r="U217">
        <f ca="1"/>
        <v>0</v>
      </c>
      <c r="V217">
        <f ca="1"/>
        <v>0.50619969987961277</v>
      </c>
      <c r="X217" s="2">
        <f t="shared" ca="1" si="22"/>
        <v>45257</v>
      </c>
      <c r="Y217">
        <f t="shared" ca="1" si="23"/>
        <v>0</v>
      </c>
      <c r="AA217" s="63">
        <f t="shared" ca="1" si="25"/>
        <v>26.775653329705953</v>
      </c>
      <c r="AB217" s="63">
        <f t="shared" ca="1" si="26"/>
        <v>26.775653329705953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45258</v>
      </c>
      <c r="K218">
        <f ca="1"/>
        <v>24.606250732220939</v>
      </c>
      <c r="L218">
        <f ca="1"/>
        <v>1.1131207176377984</v>
      </c>
      <c r="M218">
        <f ca="1"/>
        <v>7.2827060540596733E-3</v>
      </c>
      <c r="N218">
        <f ca="1"/>
        <v>0.18047389958300653</v>
      </c>
      <c r="O218">
        <f ca="1"/>
        <v>0</v>
      </c>
      <c r="P218">
        <f ca="1"/>
        <v>325.8929286435872</v>
      </c>
      <c r="Q218">
        <f ca="1"/>
        <v>293.62279098682279</v>
      </c>
      <c r="R218">
        <f ca="1"/>
        <v>0</v>
      </c>
      <c r="S218">
        <f ca="1"/>
        <v>0.58906805801087603</v>
      </c>
      <c r="T218">
        <f ca="1"/>
        <v>0</v>
      </c>
      <c r="U218">
        <f ca="1"/>
        <v>0</v>
      </c>
      <c r="V218">
        <f ca="1"/>
        <v>0.47154028801620862</v>
      </c>
      <c r="X218" s="2">
        <f t="shared" ca="1" si="22"/>
        <v>45258</v>
      </c>
      <c r="Y218">
        <f t="shared" ca="1" si="23"/>
        <v>0</v>
      </c>
      <c r="AA218" s="63">
        <f t="shared" ca="1" si="25"/>
        <v>25.719371449858738</v>
      </c>
      <c r="AB218" s="63">
        <f t="shared" ca="1" si="26"/>
        <v>25.719371449858738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45259</v>
      </c>
      <c r="K219">
        <f ca="1"/>
        <v>23.780394769838487</v>
      </c>
      <c r="L219">
        <f ca="1"/>
        <v>1.0133013944241043</v>
      </c>
      <c r="M219">
        <f ca="1"/>
        <v>7.2302048261772001E-3</v>
      </c>
      <c r="N219">
        <f ca="1"/>
        <v>0.18021522721547464</v>
      </c>
      <c r="O219">
        <f ca="1"/>
        <v>0</v>
      </c>
      <c r="P219">
        <f ca="1"/>
        <v>326.9062300380113</v>
      </c>
      <c r="Q219">
        <f ca="1"/>
        <v>294.53575459355096</v>
      </c>
      <c r="R219">
        <f ca="1"/>
        <v>0</v>
      </c>
      <c r="S219">
        <f ca="1"/>
        <v>0.58126336994301242</v>
      </c>
      <c r="T219">
        <f ca="1"/>
        <v>0</v>
      </c>
      <c r="U219">
        <f ca="1"/>
        <v>0</v>
      </c>
      <c r="V219">
        <f ca="1"/>
        <v>0.43651569077876495</v>
      </c>
      <c r="X219" s="2">
        <f t="shared" ca="1" si="22"/>
        <v>45259</v>
      </c>
      <c r="Y219">
        <f t="shared" ca="1" si="23"/>
        <v>0</v>
      </c>
      <c r="AA219" s="63">
        <f t="shared" ca="1" si="25"/>
        <v>24.793696164262588</v>
      </c>
      <c r="AB219" s="63">
        <f t="shared" ca="1" si="26"/>
        <v>24.793696164262592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45260</v>
      </c>
      <c r="K220">
        <f ca="1"/>
        <v>23.036660555620681</v>
      </c>
      <c r="L220">
        <f ca="1"/>
        <v>0.93459821640266227</v>
      </c>
      <c r="M220">
        <f ca="1"/>
        <v>7.26140147345955E-3</v>
      </c>
      <c r="N220">
        <f ca="1"/>
        <v>0.18360260071139584</v>
      </c>
      <c r="O220">
        <f ca="1"/>
        <v>0</v>
      </c>
      <c r="P220">
        <f ca="1"/>
        <v>327.84082825441396</v>
      </c>
      <c r="Q220">
        <f ca="1"/>
        <v>295.37780826404219</v>
      </c>
      <c r="R220">
        <f ca="1"/>
        <v>0</v>
      </c>
      <c r="S220">
        <f ca="1"/>
        <v>0.57821220520865235</v>
      </c>
      <c r="T220">
        <f ca="1"/>
        <v>0</v>
      </c>
      <c r="U220">
        <f ca="1"/>
        <v>0</v>
      </c>
      <c r="V220">
        <f ca="1"/>
        <v>0.40056153077103818</v>
      </c>
      <c r="X220" s="2">
        <f t="shared" ca="1" si="22"/>
        <v>45260</v>
      </c>
      <c r="Y220">
        <f t="shared" ca="1" si="23"/>
        <v>0</v>
      </c>
      <c r="AA220" s="63">
        <f t="shared" ca="1" si="25"/>
        <v>23.971258772023344</v>
      </c>
      <c r="AB220" s="63">
        <f t="shared" ca="1" si="26"/>
        <v>23.971258772023344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45261</v>
      </c>
      <c r="K221">
        <f ca="1"/>
        <v>22.368892551899098</v>
      </c>
      <c r="L221">
        <f ca="1"/>
        <v>0.85627486440739631</v>
      </c>
      <c r="M221">
        <f ca="1"/>
        <v>7.2752529100599261E-3</v>
      </c>
      <c r="N221">
        <f ca="1"/>
        <v>0.18123160777575303</v>
      </c>
      <c r="O221">
        <f ca="1"/>
        <v>0</v>
      </c>
      <c r="P221">
        <f ca="1"/>
        <v>328.69710311882136</v>
      </c>
      <c r="Q221">
        <f ca="1"/>
        <v>296.14929421369322</v>
      </c>
      <c r="R221">
        <f ca="1"/>
        <v>0</v>
      </c>
      <c r="S221">
        <f ca="1"/>
        <v>0.55335431456978101</v>
      </c>
      <c r="T221">
        <f ca="1"/>
        <v>0</v>
      </c>
      <c r="U221">
        <f ca="1"/>
        <v>0</v>
      </c>
      <c r="V221">
        <f ca="1"/>
        <v>0.36377740400413039</v>
      </c>
      <c r="X221" s="2">
        <f t="shared" ca="1" si="22"/>
        <v>45261</v>
      </c>
      <c r="Y221">
        <f t="shared" ca="1" si="23"/>
        <v>0</v>
      </c>
      <c r="AA221" s="63">
        <f t="shared" ca="1" si="25"/>
        <v>23.225167416306494</v>
      </c>
      <c r="AB221" s="63">
        <f t="shared" ca="1" si="26"/>
        <v>23.225167416306494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45262</v>
      </c>
      <c r="K222">
        <f ca="1"/>
        <v>21.785787846365352</v>
      </c>
      <c r="L222">
        <f ca="1"/>
        <v>0.79207824246003611</v>
      </c>
      <c r="M222">
        <f ca="1"/>
        <v>7.3674818791058527E-3</v>
      </c>
      <c r="N222">
        <f ca="1"/>
        <v>0.20160605504718099</v>
      </c>
      <c r="O222">
        <f ca="1"/>
        <v>0</v>
      </c>
      <c r="P222">
        <f ca="1"/>
        <v>329.4891813612814</v>
      </c>
      <c r="Q222">
        <f ca="1"/>
        <v>296.86294033421217</v>
      </c>
      <c r="R222">
        <f ca="1"/>
        <v>0</v>
      </c>
      <c r="S222">
        <f ca="1"/>
        <v>0.60885873635331944</v>
      </c>
      <c r="T222">
        <f ca="1"/>
        <v>0</v>
      </c>
      <c r="U222">
        <f ca="1"/>
        <v>0</v>
      </c>
      <c r="V222">
        <f ca="1"/>
        <v>0.32563213175216554</v>
      </c>
      <c r="X222" s="2">
        <f t="shared" ca="1" si="22"/>
        <v>45262</v>
      </c>
      <c r="Y222">
        <f t="shared" ca="1" si="23"/>
        <v>0</v>
      </c>
      <c r="AA222" s="63">
        <f t="shared" ca="1" si="25"/>
        <v>22.577866088825381</v>
      </c>
      <c r="AB222" s="63">
        <f t="shared" ca="1" si="26"/>
        <v>22.577866088825388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45263</v>
      </c>
      <c r="K223">
        <f ca="1"/>
        <v>21.271905957583684</v>
      </c>
      <c r="L223">
        <f ca="1"/>
        <v>0.72139417579609244</v>
      </c>
      <c r="M223">
        <f ca="1"/>
        <v>7.3959014938420609E-3</v>
      </c>
      <c r="N223">
        <f ca="1"/>
        <v>0.20011638552058403</v>
      </c>
      <c r="O223">
        <f ca="1"/>
        <v>0</v>
      </c>
      <c r="P223">
        <f ca="1"/>
        <v>330.21057553707749</v>
      </c>
      <c r="Q223">
        <f ca="1"/>
        <v>297.51290157203493</v>
      </c>
      <c r="R223">
        <f ca="1"/>
        <v>0</v>
      </c>
      <c r="S223">
        <f ca="1"/>
        <v>0.58620855051085685</v>
      </c>
      <c r="T223">
        <f ca="1"/>
        <v>0</v>
      </c>
      <c r="U223">
        <f ca="1"/>
        <v>0</v>
      </c>
      <c r="V223">
        <f ca="1"/>
        <v>0.2865240980595507</v>
      </c>
      <c r="X223" s="2">
        <f t="shared" ca="1" si="22"/>
        <v>45263</v>
      </c>
      <c r="Y223">
        <f t="shared" ca="1" si="23"/>
        <v>0</v>
      </c>
      <c r="AA223" s="63">
        <f t="shared" ca="1" si="25"/>
        <v>21.99330013337978</v>
      </c>
      <c r="AB223" s="63">
        <f t="shared" ca="1" si="26"/>
        <v>21.993300133379776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45264</v>
      </c>
      <c r="K224">
        <f ca="1"/>
        <v>20.858784403299818</v>
      </c>
      <c r="L224">
        <f ca="1"/>
        <v>0.6420928418581866</v>
      </c>
      <c r="M224">
        <f ca="1"/>
        <v>7.3002355735809488E-3</v>
      </c>
      <c r="N224">
        <f ca="1"/>
        <v>0.22167105200074047</v>
      </c>
      <c r="O224">
        <f ca="1"/>
        <v>0</v>
      </c>
      <c r="P224">
        <f ca="1"/>
        <v>330.85266837893568</v>
      </c>
      <c r="Q224">
        <f ca="1"/>
        <v>298.09141394750679</v>
      </c>
      <c r="R224">
        <f ca="1"/>
        <v>0</v>
      </c>
      <c r="S224">
        <f ca="1"/>
        <v>0.6599726710881394</v>
      </c>
      <c r="T224">
        <f ca="1"/>
        <v>0</v>
      </c>
      <c r="U224">
        <f ca="1"/>
        <v>0</v>
      </c>
      <c r="V224">
        <f ca="1"/>
        <v>0.24725007101509944</v>
      </c>
      <c r="X224" s="2">
        <f t="shared" ca="1" si="22"/>
        <v>45264</v>
      </c>
      <c r="Y224">
        <f t="shared" ca="1" si="23"/>
        <v>0</v>
      </c>
      <c r="AA224" s="63">
        <f t="shared" ca="1" si="25"/>
        <v>21.500877245158005</v>
      </c>
      <c r="AB224" s="63">
        <f t="shared" ca="1" si="26"/>
        <v>21.500877245158005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45265</v>
      </c>
      <c r="K225">
        <f ca="1"/>
        <v>20.537059025703606</v>
      </c>
      <c r="L225">
        <f ca="1"/>
        <v>0.56052842544158921</v>
      </c>
      <c r="M225">
        <f ca="1"/>
        <v>7.092074791044567E-3</v>
      </c>
      <c r="N225">
        <f ca="1"/>
        <v>0.2317109730543338</v>
      </c>
      <c r="O225">
        <f ca="1"/>
        <v>0</v>
      </c>
      <c r="P225">
        <f ca="1"/>
        <v>331.41319680437726</v>
      </c>
      <c r="Q225">
        <f ca="1"/>
        <v>298.59643847010273</v>
      </c>
      <c r="R225">
        <f ca="1"/>
        <v>0</v>
      </c>
      <c r="S225">
        <f ca="1"/>
        <v>0.70388907117969823</v>
      </c>
      <c r="T225">
        <f ca="1"/>
        <v>0</v>
      </c>
      <c r="U225">
        <f ca="1"/>
        <v>0</v>
      </c>
      <c r="V225">
        <f ca="1"/>
        <v>0.20857362003725877</v>
      </c>
      <c r="X225" s="2">
        <f t="shared" ca="1" si="22"/>
        <v>45265</v>
      </c>
      <c r="Y225">
        <f t="shared" ca="1" si="23"/>
        <v>0</v>
      </c>
      <c r="AA225" s="63">
        <f t="shared" ca="1" si="25"/>
        <v>21.097587451145195</v>
      </c>
      <c r="AB225" s="63">
        <f t="shared" ca="1" si="26"/>
        <v>21.097587451145195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45266</v>
      </c>
      <c r="K226">
        <f ca="1"/>
        <v>20.282673256201981</v>
      </c>
      <c r="L226">
        <f ca="1"/>
        <v>0.49835230124665486</v>
      </c>
      <c r="M226">
        <f ca="1"/>
        <v>6.991201491436172E-3</v>
      </c>
      <c r="N226">
        <f ca="1"/>
        <v>0.2369753302535936</v>
      </c>
      <c r="O226">
        <f ca="1"/>
        <v>0</v>
      </c>
      <c r="P226">
        <f ca="1"/>
        <v>331.91154910562392</v>
      </c>
      <c r="Q226">
        <f ca="1"/>
        <v>299.04544359026835</v>
      </c>
      <c r="R226">
        <f ca="1"/>
        <v>0</v>
      </c>
      <c r="S226">
        <f ca="1"/>
        <v>0.71906430882092842</v>
      </c>
      <c r="T226">
        <f ca="1"/>
        <v>0</v>
      </c>
      <c r="U226">
        <f ca="1"/>
        <v>0</v>
      </c>
      <c r="V226">
        <f ca="1"/>
        <v>0.16979757304831644</v>
      </c>
      <c r="X226" s="2">
        <f t="shared" ca="1" si="22"/>
        <v>45266</v>
      </c>
      <c r="Y226">
        <f t="shared" ca="1" si="23"/>
        <v>0</v>
      </c>
      <c r="AA226" s="63">
        <f t="shared" ca="1" si="25"/>
        <v>20.781025557448636</v>
      </c>
      <c r="AB226" s="63">
        <f t="shared" ca="1" si="26"/>
        <v>20.781025557448636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45267</v>
      </c>
      <c r="K227">
        <f ca="1"/>
        <v>20.099568791824758</v>
      </c>
      <c r="L227">
        <f ca="1"/>
        <v>0.42315310784300664</v>
      </c>
      <c r="M227">
        <f ca="1"/>
        <v>6.6355405185873906E-3</v>
      </c>
      <c r="N227">
        <f ca="1"/>
        <v>0.23341310294719708</v>
      </c>
      <c r="O227">
        <f ca="1"/>
        <v>0</v>
      </c>
      <c r="P227">
        <f ca="1"/>
        <v>332.33470221346693</v>
      </c>
      <c r="Q227">
        <f ca="1"/>
        <v>299.42669579189402</v>
      </c>
      <c r="R227">
        <f ca="1"/>
        <v>0</v>
      </c>
      <c r="S227">
        <f ca="1"/>
        <v>0.73874281550785692</v>
      </c>
      <c r="T227">
        <f ca="1"/>
        <v>0</v>
      </c>
      <c r="U227">
        <f ca="1"/>
        <v>0</v>
      </c>
      <c r="V227">
        <f ca="1"/>
        <v>0.1327478569184708</v>
      </c>
      <c r="X227" s="2">
        <f t="shared" ca="1" si="22"/>
        <v>45267</v>
      </c>
      <c r="Y227">
        <f t="shared" ca="1" si="23"/>
        <v>0</v>
      </c>
      <c r="AA227" s="63">
        <f t="shared" ca="1" si="25"/>
        <v>20.522721899667765</v>
      </c>
      <c r="AB227" s="63">
        <f t="shared" ca="1" si="26"/>
        <v>20.522721899667765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45268</v>
      </c>
      <c r="K228">
        <f ca="1"/>
        <v>19.958891688151194</v>
      </c>
      <c r="L228">
        <f ca="1"/>
        <v>0.37536634175899053</v>
      </c>
      <c r="M228">
        <f ca="1"/>
        <v>6.5083826047311888E-3</v>
      </c>
      <c r="N228">
        <f ca="1"/>
        <v>0.2281808554806932</v>
      </c>
      <c r="O228">
        <f ca="1"/>
        <v>0</v>
      </c>
      <c r="P228">
        <f ca="1"/>
        <v>332.71006855522592</v>
      </c>
      <c r="Q228">
        <f ca="1"/>
        <v>299.7648931052525</v>
      </c>
      <c r="R228">
        <f ca="1"/>
        <v>0</v>
      </c>
      <c r="S228">
        <f ca="1"/>
        <v>0.72460495722038221</v>
      </c>
      <c r="T228">
        <f ca="1"/>
        <v>0</v>
      </c>
      <c r="U228">
        <f ca="1"/>
        <v>0</v>
      </c>
      <c r="V228">
        <f ca="1"/>
        <v>9.5864134140461243E-2</v>
      </c>
      <c r="X228" s="2">
        <f t="shared" ca="1" si="22"/>
        <v>45268</v>
      </c>
      <c r="Y228">
        <f t="shared" ca="1" si="23"/>
        <v>0</v>
      </c>
      <c r="AA228" s="63">
        <f t="shared" ca="1" si="25"/>
        <v>20.334258029910185</v>
      </c>
      <c r="AB228" s="63">
        <f t="shared" ca="1" si="26"/>
        <v>20.334258029910185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45269</v>
      </c>
      <c r="K229">
        <f ca="1"/>
        <v>19.844264891185173</v>
      </c>
      <c r="L229">
        <f ca="1"/>
        <v>0.34750780979942419</v>
      </c>
      <c r="M229">
        <f ca="1"/>
        <v>6.6116292115632191E-3</v>
      </c>
      <c r="N229">
        <f ca="1"/>
        <v>0.22626938362183949</v>
      </c>
      <c r="O229">
        <f ca="1"/>
        <v>0</v>
      </c>
      <c r="P229">
        <f ca="1"/>
        <v>333.05757636502534</v>
      </c>
      <c r="Q229">
        <f ca="1"/>
        <v>300.07799045728069</v>
      </c>
      <c r="R229">
        <f ca="1"/>
        <v>0</v>
      </c>
      <c r="S229">
        <f ca="1"/>
        <v>0.69072891086890031</v>
      </c>
      <c r="T229">
        <f ca="1"/>
        <v>0</v>
      </c>
      <c r="U229">
        <f ca="1"/>
        <v>0</v>
      </c>
      <c r="V229">
        <f ca="1"/>
        <v>5.7453272525558319E-2</v>
      </c>
      <c r="X229" s="2">
        <f t="shared" ca="1" si="22"/>
        <v>45269</v>
      </c>
      <c r="Y229">
        <f t="shared" ca="1" si="23"/>
        <v>0</v>
      </c>
      <c r="AA229" s="63">
        <f t="shared" ca="1" si="25"/>
        <v>20.191772700984597</v>
      </c>
      <c r="AB229" s="63">
        <f t="shared" ca="1" si="26"/>
        <v>20.191772700984597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45270</v>
      </c>
      <c r="K230">
        <f ca="1"/>
        <v>19.770479911436411</v>
      </c>
      <c r="L230">
        <f ca="1"/>
        <v>0.30584160801589633</v>
      </c>
      <c r="M230">
        <f ca="1"/>
        <v>6.4637236508193752E-3</v>
      </c>
      <c r="N230">
        <f ca="1"/>
        <v>0.22559290461631476</v>
      </c>
      <c r="O230">
        <f ca="1"/>
        <v>0</v>
      </c>
      <c r="P230">
        <f ca="1"/>
        <v>333.36341797304124</v>
      </c>
      <c r="Q230">
        <f ca="1"/>
        <v>300.35354742293595</v>
      </c>
      <c r="R230">
        <f ca="1"/>
        <v>0</v>
      </c>
      <c r="S230">
        <f ca="1"/>
        <v>0.69381895529906334</v>
      </c>
      <c r="T230">
        <f ca="1"/>
        <v>0</v>
      </c>
      <c r="U230">
        <f ca="1"/>
        <v>0</v>
      </c>
      <c r="V230">
        <f ca="1"/>
        <v>1.9341198943960691E-2</v>
      </c>
      <c r="X230" s="2">
        <f t="shared" ca="1" si="22"/>
        <v>45270</v>
      </c>
      <c r="Y230">
        <f t="shared" ca="1" si="23"/>
        <v>0</v>
      </c>
      <c r="AA230" s="63">
        <f t="shared" ca="1" si="25"/>
        <v>20.076321519452307</v>
      </c>
      <c r="AB230" s="63">
        <f t="shared" ca="1" si="26"/>
        <v>20.076321519452307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45271</v>
      </c>
      <c r="K231">
        <f ca="1"/>
        <v>19.717945555717606</v>
      </c>
      <c r="L231">
        <f ca="1"/>
        <v>0.28333148371302741</v>
      </c>
      <c r="M231">
        <f ca="1"/>
        <v>6.5992523110969259E-3</v>
      </c>
      <c r="N231">
        <f ca="1"/>
        <v>0.22419787568312283</v>
      </c>
      <c r="O231">
        <f ca="1"/>
        <v>0</v>
      </c>
      <c r="P231">
        <f ca="1"/>
        <v>333.64674945675426</v>
      </c>
      <c r="Q231">
        <f ca="1"/>
        <v>300.60882323198314</v>
      </c>
      <c r="R231">
        <f ca="1"/>
        <v>0</v>
      </c>
      <c r="S231">
        <f ca="1"/>
        <v>0.65737419145549858</v>
      </c>
      <c r="T231">
        <f ca="1"/>
        <v>0</v>
      </c>
      <c r="U231">
        <f ca="1"/>
        <v>0</v>
      </c>
      <c r="V231">
        <f ca="1"/>
        <v>0</v>
      </c>
      <c r="X231" s="2">
        <f t="shared" ca="1" si="22"/>
        <v>45271</v>
      </c>
      <c r="Y231">
        <f t="shared" ca="1" si="23"/>
        <v>0</v>
      </c>
      <c r="AA231" s="63">
        <f t="shared" ca="1" si="25"/>
        <v>20.001277039430633</v>
      </c>
      <c r="AB231" s="63">
        <f t="shared" ca="1" si="26"/>
        <v>20.001277039430633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45272</v>
      </c>
      <c r="K232">
        <f ca="1"/>
        <v>19.693988206316789</v>
      </c>
      <c r="L232">
        <f ca="1"/>
        <v>0.25886891772643139</v>
      </c>
      <c r="M232">
        <f ca="1"/>
        <v>6.6961992198768527E-3</v>
      </c>
      <c r="N232">
        <f ca="1"/>
        <v>0.22821536910573831</v>
      </c>
      <c r="O232">
        <f ca="1"/>
        <v>0</v>
      </c>
      <c r="P232">
        <f ca="1"/>
        <v>333.9056183744807</v>
      </c>
      <c r="Q232">
        <f ca="1"/>
        <v>300.84205877483134</v>
      </c>
      <c r="R232">
        <f ca="1"/>
        <v>0</v>
      </c>
      <c r="S232">
        <f ca="1"/>
        <v>0.64409949135629263</v>
      </c>
      <c r="T232">
        <f ca="1"/>
        <v>0</v>
      </c>
      <c r="U232">
        <f ca="1"/>
        <v>0</v>
      </c>
      <c r="V232">
        <f ca="1"/>
        <v>0</v>
      </c>
      <c r="X232" s="2">
        <f t="shared" ca="1" si="22"/>
        <v>45272</v>
      </c>
      <c r="Y232">
        <f t="shared" ca="1" si="23"/>
        <v>0</v>
      </c>
      <c r="AA232" s="63">
        <f t="shared" ca="1" si="25"/>
        <v>19.95285712404322</v>
      </c>
      <c r="AB232" s="63">
        <f t="shared" ca="1" si="26"/>
        <v>19.95285712404322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45273</v>
      </c>
      <c r="K233">
        <f ca="1"/>
        <v>19.695926357183215</v>
      </c>
      <c r="L233">
        <f ca="1"/>
        <v>0.2232725415702248</v>
      </c>
      <c r="M233">
        <f ca="1"/>
        <v>6.4761385324265675E-3</v>
      </c>
      <c r="N233">
        <f ca="1"/>
        <v>0.21873455390422392</v>
      </c>
      <c r="O233">
        <f ca="1"/>
        <v>0</v>
      </c>
      <c r="P233">
        <f ca="1"/>
        <v>334.12889091605092</v>
      </c>
      <c r="Q233">
        <f ca="1"/>
        <v>301.04322271870535</v>
      </c>
      <c r="R233">
        <f ca="1"/>
        <v>0</v>
      </c>
      <c r="S233">
        <f ca="1"/>
        <v>0.62553374610336421</v>
      </c>
      <c r="T233">
        <f ca="1"/>
        <v>0</v>
      </c>
      <c r="U233">
        <f ca="1"/>
        <v>0</v>
      </c>
      <c r="V233">
        <f ca="1"/>
        <v>0</v>
      </c>
      <c r="X233" s="2">
        <f t="shared" ca="1" si="22"/>
        <v>45273</v>
      </c>
      <c r="Y233">
        <f t="shared" ca="1" si="23"/>
        <v>0</v>
      </c>
      <c r="AA233" s="63">
        <f t="shared" ca="1" si="25"/>
        <v>19.919198898753439</v>
      </c>
      <c r="AB233" s="63">
        <f t="shared" ca="1" si="26"/>
        <v>19.919198898753439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45274</v>
      </c>
      <c r="K234">
        <f ca="1"/>
        <v>19.73432906747589</v>
      </c>
      <c r="L234">
        <f ca="1"/>
        <v>0.19519102600401084</v>
      </c>
      <c r="M234">
        <f ca="1"/>
        <v>6.3297486200708519E-3</v>
      </c>
      <c r="N234">
        <f ca="1"/>
        <v>0.22726398767661438</v>
      </c>
      <c r="O234">
        <f ca="1"/>
        <v>0</v>
      </c>
      <c r="P234">
        <f ca="1"/>
        <v>334.32408194205493</v>
      </c>
      <c r="Q234">
        <f ca="1"/>
        <v>301.21908579762948</v>
      </c>
      <c r="R234">
        <f ca="1"/>
        <v>0</v>
      </c>
      <c r="S234">
        <f ca="1"/>
        <v>0.65884830867010258</v>
      </c>
      <c r="T234">
        <f ca="1"/>
        <v>0</v>
      </c>
      <c r="U234">
        <f ca="1"/>
        <v>0</v>
      </c>
      <c r="V234">
        <f ca="1"/>
        <v>0</v>
      </c>
      <c r="X234" s="2">
        <f t="shared" ca="1" si="22"/>
        <v>45274</v>
      </c>
      <c r="Y234">
        <f t="shared" ca="1" si="23"/>
        <v>0</v>
      </c>
      <c r="AA234" s="63">
        <f t="shared" ca="1" si="25"/>
        <v>19.929520093479901</v>
      </c>
      <c r="AB234" s="63">
        <f t="shared" ca="1" si="26"/>
        <v>19.929520093479901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45275</v>
      </c>
      <c r="K235">
        <f ca="1"/>
        <v>19.794173603664277</v>
      </c>
      <c r="L235">
        <f ca="1"/>
        <v>0.1696912988851409</v>
      </c>
      <c r="M235">
        <f ca="1"/>
        <v>6.1531445628224546E-3</v>
      </c>
      <c r="N235">
        <f ca="1"/>
        <v>0.22338269051070384</v>
      </c>
      <c r="O235">
        <f ca="1"/>
        <v>0</v>
      </c>
      <c r="P235">
        <f ca="1"/>
        <v>334.49377324094007</v>
      </c>
      <c r="Q235">
        <f ca="1"/>
        <v>301.37197414961736</v>
      </c>
      <c r="R235">
        <f ca="1"/>
        <v>0</v>
      </c>
      <c r="S235">
        <f ca="1"/>
        <v>0.65522360179008121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45275</v>
      </c>
      <c r="Y235">
        <f t="shared" ca="1" si="23"/>
        <v>0</v>
      </c>
      <c r="AA235" s="63">
        <f t="shared" ca="1" si="25"/>
        <v>19.963864902549417</v>
      </c>
      <c r="AB235" s="63">
        <f t="shared" ca="1" si="26"/>
        <v>19.963864902549417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45276</v>
      </c>
      <c r="K236">
        <f ca="1"/>
        <v>19.892363000887343</v>
      </c>
      <c r="L236">
        <f ca="1"/>
        <v>0.15076500530852854</v>
      </c>
      <c r="M236">
        <f ca="1"/>
        <v>6.0902796336401721E-3</v>
      </c>
      <c r="N236">
        <f ca="1"/>
        <v>0.24286412289795495</v>
      </c>
      <c r="O236">
        <f ca="1"/>
        <v>0</v>
      </c>
      <c r="P236">
        <f ca="1"/>
        <v>334.6445382462486</v>
      </c>
      <c r="Q236">
        <f ca="1"/>
        <v>301.50781030238721</v>
      </c>
      <c r="R236">
        <f ca="1"/>
        <v>0</v>
      </c>
      <c r="S236">
        <f ca="1"/>
        <v>0.71228830164090784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45276</v>
      </c>
      <c r="Y236">
        <f t="shared" ca="1" si="23"/>
        <v>0</v>
      </c>
      <c r="AA236" s="63">
        <f t="shared" ca="1" si="25"/>
        <v>20.043128006195872</v>
      </c>
      <c r="AB236" s="63">
        <f t="shared" ca="1" si="26"/>
        <v>20.043128006195872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45277</v>
      </c>
      <c r="K237">
        <f ca="1"/>
        <v>20.021354590908224</v>
      </c>
      <c r="L237">
        <f ca="1"/>
        <v>0.13316821125363276</v>
      </c>
      <c r="M237">
        <f ca="1"/>
        <v>6.0023603783241342E-3</v>
      </c>
      <c r="N237">
        <f ca="1"/>
        <v>0.25615744089618719</v>
      </c>
      <c r="O237">
        <f ca="1"/>
        <v>0</v>
      </c>
      <c r="P237">
        <f ca="1"/>
        <v>334.77770645750223</v>
      </c>
      <c r="Q237">
        <f ca="1"/>
        <v>301.62779210752103</v>
      </c>
      <c r="R237">
        <f ca="1"/>
        <v>0</v>
      </c>
      <c r="S237">
        <f ca="1"/>
        <v>0.75028254977465691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45277</v>
      </c>
      <c r="Y237">
        <f t="shared" ca="1" si="23"/>
        <v>0</v>
      </c>
      <c r="AA237" s="63">
        <f t="shared" ca="1" si="25"/>
        <v>20.154522802161857</v>
      </c>
      <c r="AB237" s="63">
        <f t="shared" ca="1" si="26"/>
        <v>20.154522802161857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45278</v>
      </c>
      <c r="K238">
        <f ca="1"/>
        <v>20.173485532579377</v>
      </c>
      <c r="L238">
        <f ca="1"/>
        <v>0.11448372734798795</v>
      </c>
      <c r="M238">
        <f ca="1"/>
        <v>5.7786509661656993E-3</v>
      </c>
      <c r="N238">
        <f ca="1"/>
        <v>0.26083601805297607</v>
      </c>
      <c r="O238">
        <f ca="1"/>
        <v>0</v>
      </c>
      <c r="P238">
        <f ca="1"/>
        <v>334.89219018485022</v>
      </c>
      <c r="Q238">
        <f ca="1"/>
        <v>301.73093957895099</v>
      </c>
      <c r="R238">
        <f ca="1"/>
        <v>0</v>
      </c>
      <c r="S238">
        <f ca="1"/>
        <v>0.78182232806361152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45278</v>
      </c>
      <c r="Y238">
        <f t="shared" ca="1" si="23"/>
        <v>0</v>
      </c>
      <c r="AA238" s="63">
        <f t="shared" ca="1" si="25"/>
        <v>20.287969259927365</v>
      </c>
      <c r="AB238" s="63">
        <f t="shared" ca="1" si="26"/>
        <v>20.287969259927365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45279</v>
      </c>
      <c r="K239">
        <f ca="1"/>
        <v>20.349056506272287</v>
      </c>
      <c r="L239">
        <f ca="1"/>
        <v>0.10250642046935354</v>
      </c>
      <c r="M239">
        <f ca="1"/>
        <v>5.7517514970486516E-3</v>
      </c>
      <c r="N239">
        <f ca="1"/>
        <v>0.27232564266521497</v>
      </c>
      <c r="O239">
        <f ca="1"/>
        <v>0</v>
      </c>
      <c r="P239">
        <f ca="1"/>
        <v>334.99469660531958</v>
      </c>
      <c r="Q239">
        <f ca="1"/>
        <v>301.82329574450989</v>
      </c>
      <c r="R239">
        <f ca="1"/>
        <v>0</v>
      </c>
      <c r="S239">
        <f ca="1"/>
        <v>0.8041098466464186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45279</v>
      </c>
      <c r="Y239">
        <f t="shared" ca="1" si="23"/>
        <v>0</v>
      </c>
      <c r="AA239" s="63">
        <f t="shared" ca="1" si="25"/>
        <v>20.451562926741641</v>
      </c>
      <c r="AB239" s="63">
        <f t="shared" ca="1" si="26"/>
        <v>20.451562926741641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45280</v>
      </c>
      <c r="K240">
        <f ca="1"/>
        <v>20.525858010808847</v>
      </c>
      <c r="L240">
        <f ca="1"/>
        <v>9.2283393417972093E-2</v>
      </c>
      <c r="M240">
        <f ca="1"/>
        <v>5.7630534507273623E-3</v>
      </c>
      <c r="N240">
        <f ca="1"/>
        <v>0.26332184450380436</v>
      </c>
      <c r="O240">
        <f ca="1"/>
        <v>0</v>
      </c>
      <c r="P240">
        <f ca="1"/>
        <v>335.08697999873755</v>
      </c>
      <c r="Q240">
        <f ca="1"/>
        <v>301.90644117405304</v>
      </c>
      <c r="R240">
        <f ca="1"/>
        <v>0</v>
      </c>
      <c r="S240">
        <f ca="1"/>
        <v>0.76187095397460025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45280</v>
      </c>
      <c r="Y240">
        <f t="shared" ca="1" si="23"/>
        <v>0</v>
      </c>
      <c r="AA240" s="63">
        <f t="shared" ca="1" si="25"/>
        <v>20.618141404226819</v>
      </c>
      <c r="AB240" s="63">
        <f t="shared" ca="1" si="26"/>
        <v>20.618141404226819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45281</v>
      </c>
      <c r="K241">
        <f ca="1"/>
        <v>20.718728366103626</v>
      </c>
      <c r="L241">
        <f ca="1"/>
        <v>8.1062328068412626E-2</v>
      </c>
      <c r="M241">
        <f ca="1"/>
        <v>5.6622766318525919E-3</v>
      </c>
      <c r="N241">
        <f ca="1"/>
        <v>0.2682704067313405</v>
      </c>
      <c r="O241">
        <f ca="1"/>
        <v>0</v>
      </c>
      <c r="P241">
        <f ca="1"/>
        <v>335.16804232680596</v>
      </c>
      <c r="Q241">
        <f ca="1"/>
        <v>301.97947665570763</v>
      </c>
      <c r="R241">
        <f ca="1"/>
        <v>0</v>
      </c>
      <c r="S241">
        <f ca="1"/>
        <v>0.77606021584875273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45281</v>
      </c>
      <c r="Y241">
        <f t="shared" ca="1" si="23"/>
        <v>0</v>
      </c>
      <c r="AA241" s="63">
        <f t="shared" ca="1" si="25"/>
        <v>20.799790694172039</v>
      </c>
      <c r="AB241" s="63">
        <f t="shared" ca="1" si="26"/>
        <v>20.799790694172039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45282</v>
      </c>
      <c r="K242">
        <f ca="1"/>
        <v>20.912558191866122</v>
      </c>
      <c r="L242">
        <f ca="1"/>
        <v>7.2067156565822188E-2</v>
      </c>
      <c r="M242">
        <f ca="1"/>
        <v>5.6246053762549764E-3</v>
      </c>
      <c r="N242">
        <f ca="1"/>
        <v>0.26027237695206268</v>
      </c>
      <c r="O242">
        <f ca="1"/>
        <v>0</v>
      </c>
      <c r="P242">
        <f ca="1"/>
        <v>335.24010948337178</v>
      </c>
      <c r="Q242">
        <f ca="1"/>
        <v>302.0444076738105</v>
      </c>
      <c r="R242">
        <f ca="1"/>
        <v>0</v>
      </c>
      <c r="S242">
        <f ca="1"/>
        <v>0.7436930795758242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45282</v>
      </c>
      <c r="Y242">
        <f t="shared" ca="1" si="23"/>
        <v>0</v>
      </c>
      <c r="AA242" s="63">
        <f t="shared" ca="1" si="25"/>
        <v>20.984625348431944</v>
      </c>
      <c r="AB242" s="63">
        <f t="shared" ca="1" si="26"/>
        <v>20.984625348431944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45283</v>
      </c>
      <c r="K243">
        <f ca="1"/>
        <v>21.103420194588622</v>
      </c>
      <c r="L243">
        <f ca="1"/>
        <v>6.1384659795692187E-2</v>
      </c>
      <c r="M243">
        <f ca="1"/>
        <v>5.3825018347497533E-3</v>
      </c>
      <c r="N243">
        <f ca="1"/>
        <v>0.24686416068344377</v>
      </c>
      <c r="O243">
        <f ca="1"/>
        <v>0</v>
      </c>
      <c r="P243">
        <f ca="1"/>
        <v>335.30149414316747</v>
      </c>
      <c r="Q243">
        <f ca="1"/>
        <v>302.09971398318027</v>
      </c>
      <c r="R243">
        <f ca="1"/>
        <v>0</v>
      </c>
      <c r="S243">
        <f ca="1"/>
        <v>0.72579955146240938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45283</v>
      </c>
      <c r="Y243">
        <f t="shared" ca="1" si="23"/>
        <v>0</v>
      </c>
      <c r="AA243" s="63">
        <f t="shared" ca="1" si="25"/>
        <v>21.164804854384315</v>
      </c>
      <c r="AB243" s="63">
        <f t="shared" ca="1" si="26"/>
        <v>21.164804854384315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45284</v>
      </c>
      <c r="K244">
        <f ca="1"/>
        <v>21.305941219323465</v>
      </c>
      <c r="L244">
        <f ca="1"/>
        <v>5.4623159925540676E-2</v>
      </c>
      <c r="M244">
        <f ca="1"/>
        <v>5.3405249615217087E-3</v>
      </c>
      <c r="N244">
        <f ca="1"/>
        <v>0.25180365969886237</v>
      </c>
      <c r="O244">
        <f ca="1"/>
        <v>0</v>
      </c>
      <c r="P244">
        <f ca="1"/>
        <v>335.35611730309301</v>
      </c>
      <c r="Q244">
        <f ca="1"/>
        <v>302.1489283209587</v>
      </c>
      <c r="R244">
        <f ca="1"/>
        <v>0</v>
      </c>
      <c r="S244">
        <f ca="1"/>
        <v>0.73260117011807802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45284</v>
      </c>
      <c r="Y244">
        <f t="shared" ca="1" si="23"/>
        <v>0</v>
      </c>
      <c r="AA244" s="63">
        <f t="shared" ca="1" si="25"/>
        <v>21.360564379249006</v>
      </c>
      <c r="AB244" s="63">
        <f t="shared" ca="1" si="26"/>
        <v>21.360564379249006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45285</v>
      </c>
      <c r="K245">
        <f ca="1"/>
        <v>21.531080688777699</v>
      </c>
      <c r="L245">
        <f ca="1"/>
        <v>4.893005992784083E-2</v>
      </c>
      <c r="M245">
        <f ca="1"/>
        <v>5.338030744924005E-3</v>
      </c>
      <c r="N245">
        <f ca="1"/>
        <v>0.26873149863715012</v>
      </c>
      <c r="O245">
        <f ca="1"/>
        <v>0</v>
      </c>
      <c r="P245">
        <f ca="1"/>
        <v>335.40504736302086</v>
      </c>
      <c r="Q245">
        <f ca="1"/>
        <v>302.19301329334201</v>
      </c>
      <c r="R245">
        <f ca="1"/>
        <v>0</v>
      </c>
      <c r="S245">
        <f ca="1"/>
        <v>0.76742332699618088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45285</v>
      </c>
      <c r="Y245">
        <f t="shared" ca="1" si="23"/>
        <v>0</v>
      </c>
      <c r="AA245" s="63">
        <f t="shared" ca="1" si="25"/>
        <v>21.58001074870554</v>
      </c>
      <c r="AB245" s="63">
        <f t="shared" ca="1" si="26"/>
        <v>21.58001074870554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45286</v>
      </c>
      <c r="K246">
        <f ca="1"/>
        <v>21.741401457544281</v>
      </c>
      <c r="L246">
        <f ca="1"/>
        <v>4.1958903190277397E-2</v>
      </c>
      <c r="M246">
        <f ca="1"/>
        <v>5.1395229928630215E-3</v>
      </c>
      <c r="N246">
        <f ca="1"/>
        <v>0.24714014896399505</v>
      </c>
      <c r="O246">
        <f ca="1"/>
        <v>0</v>
      </c>
      <c r="P246">
        <f ca="1"/>
        <v>335.44700626621113</v>
      </c>
      <c r="Q246">
        <f ca="1"/>
        <v>302.23081739763091</v>
      </c>
      <c r="R246">
        <f ca="1"/>
        <v>0</v>
      </c>
      <c r="S246">
        <f ca="1"/>
        <v>0.72079714980987075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45286</v>
      </c>
      <c r="Y246">
        <f t="shared" ca="1" si="23"/>
        <v>0</v>
      </c>
      <c r="AA246" s="63">
        <f t="shared" ca="1" si="25"/>
        <v>21.783360360734559</v>
      </c>
      <c r="AB246" s="63">
        <f t="shared" ca="1" si="26"/>
        <v>21.783360360734559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45287</v>
      </c>
      <c r="K247">
        <f ca="1"/>
        <v>21.950079648191878</v>
      </c>
      <c r="L247">
        <f ca="1"/>
        <v>3.7091797120240244E-2</v>
      </c>
      <c r="M247">
        <f ca="1"/>
        <v>5.0740111767524354E-3</v>
      </c>
      <c r="N247">
        <f ca="1"/>
        <v>0.24069597659108571</v>
      </c>
      <c r="O247">
        <f ca="1"/>
        <v>0</v>
      </c>
      <c r="P247">
        <f ca="1"/>
        <v>335.48409806333137</v>
      </c>
      <c r="Q247">
        <f ca="1"/>
        <v>302.26423633997649</v>
      </c>
      <c r="R247">
        <f ca="1"/>
        <v>0</v>
      </c>
      <c r="S247">
        <f ca="1"/>
        <v>0.69679257121228011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45287</v>
      </c>
      <c r="Y247">
        <f t="shared" ca="1" si="23"/>
        <v>0</v>
      </c>
      <c r="AA247" s="63">
        <f t="shared" ca="1" si="25"/>
        <v>21.987171445312118</v>
      </c>
      <c r="AB247" s="63">
        <f t="shared" ca="1" si="26"/>
        <v>21.987171445312118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45288</v>
      </c>
      <c r="K248">
        <f ca="1"/>
        <v>22.161626984127352</v>
      </c>
      <c r="L248">
        <f ca="1"/>
        <v>3.4572272076331956E-2</v>
      </c>
      <c r="M248">
        <f ca="1"/>
        <v>5.2663300061279728E-3</v>
      </c>
      <c r="N248">
        <f ca="1"/>
        <v>0.24085327800567566</v>
      </c>
      <c r="O248">
        <f ca="1"/>
        <v>0</v>
      </c>
      <c r="P248">
        <f ca="1"/>
        <v>335.51867033540771</v>
      </c>
      <c r="Q248">
        <f ca="1"/>
        <v>302.29538524234772</v>
      </c>
      <c r="R248">
        <f ca="1"/>
        <v>0</v>
      </c>
      <c r="S248">
        <f ca="1"/>
        <v>0.6515369002791852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45288</v>
      </c>
      <c r="Y248">
        <f t="shared" ca="1" si="23"/>
        <v>0</v>
      </c>
      <c r="AA248" s="63">
        <f t="shared" ca="1" si="25"/>
        <v>22.196199256203681</v>
      </c>
      <c r="AB248" s="63">
        <f t="shared" ca="1" si="26"/>
        <v>22.196199256203684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45289</v>
      </c>
      <c r="K249">
        <f ca="1"/>
        <v>22.384567988568538</v>
      </c>
      <c r="L249">
        <f ca="1"/>
        <v>3.0827384067947605E-2</v>
      </c>
      <c r="M249">
        <f ca="1"/>
        <v>5.2867887780907452E-3</v>
      </c>
      <c r="N249">
        <f ca="1"/>
        <v>0.2484815997310425</v>
      </c>
      <c r="O249">
        <f ca="1"/>
        <v>0</v>
      </c>
      <c r="P249">
        <f ca="1"/>
        <v>335.54949771947565</v>
      </c>
      <c r="Q249">
        <f ca="1"/>
        <v>302.32316007804769</v>
      </c>
      <c r="R249">
        <f ca="1"/>
        <v>0</v>
      </c>
      <c r="S249">
        <f ca="1"/>
        <v>0.65642133371274081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45289</v>
      </c>
      <c r="Y249">
        <f t="shared" ca="1" si="23"/>
        <v>0</v>
      </c>
      <c r="AA249" s="63">
        <f t="shared" ca="1" si="25"/>
        <v>22.415395372636485</v>
      </c>
      <c r="AB249" s="63">
        <f t="shared" ca="1" si="26"/>
        <v>22.415395372636485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45290</v>
      </c>
      <c r="K250">
        <f ca="1"/>
        <v>22.620981928624531</v>
      </c>
      <c r="L250">
        <f ca="1"/>
        <v>2.6333771031943343E-2</v>
      </c>
      <c r="M250">
        <f ca="1"/>
        <v>5.1048072842103664E-3</v>
      </c>
      <c r="N250">
        <f ca="1"/>
        <v>0.25764290380372357</v>
      </c>
      <c r="O250">
        <f ca="1"/>
        <v>0</v>
      </c>
      <c r="P250">
        <f ca="1"/>
        <v>335.5758314905076</v>
      </c>
      <c r="Q250">
        <f ca="1"/>
        <v>302.34688626130611</v>
      </c>
      <c r="R250">
        <f ca="1"/>
        <v>0</v>
      </c>
      <c r="S250">
        <f ca="1"/>
        <v>0.69653797812714879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45290</v>
      </c>
      <c r="Y250">
        <f t="shared" ca="1" si="23"/>
        <v>0</v>
      </c>
      <c r="AA250" s="63">
        <f t="shared" ca="1" si="25"/>
        <v>22.64731569965647</v>
      </c>
      <c r="AB250" s="63">
        <f t="shared" ca="1" si="26"/>
        <v>22.647315699656474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45291</v>
      </c>
      <c r="K251">
        <f ca="1"/>
        <v>22.900233368376618</v>
      </c>
      <c r="L251">
        <f ca="1"/>
        <v>2.2347146161735054E-2</v>
      </c>
      <c r="M251">
        <f ca="1"/>
        <v>4.8900074030164831E-3</v>
      </c>
      <c r="N251">
        <f ca="1"/>
        <v>0.29670857851080684</v>
      </c>
      <c r="O251">
        <f ca="1"/>
        <v>0</v>
      </c>
      <c r="P251">
        <f ca="1"/>
        <v>335.59817863666933</v>
      </c>
      <c r="Q251">
        <f ca="1"/>
        <v>302.36702057797845</v>
      </c>
      <c r="R251">
        <f ca="1"/>
        <v>0</v>
      </c>
      <c r="S251">
        <f ca="1"/>
        <v>0.82408505195575332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45291</v>
      </c>
      <c r="Y251">
        <f t="shared" ca="1" si="23"/>
        <v>0</v>
      </c>
      <c r="AA251" s="63">
        <f t="shared" ca="1" si="25"/>
        <v>22.922580514538353</v>
      </c>
      <c r="AB251" s="63">
        <f t="shared" ca="1" si="26"/>
        <v>22.922580514538353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45292</v>
      </c>
      <c r="K252">
        <f ca="1"/>
        <v>23.17149580303742</v>
      </c>
      <c r="L252">
        <f ca="1"/>
        <v>1.927659124856973E-2</v>
      </c>
      <c r="M252">
        <f ca="1"/>
        <v>4.7445533934791229E-3</v>
      </c>
      <c r="N252">
        <f ca="1"/>
        <v>0.28579447251589357</v>
      </c>
      <c r="O252">
        <f ca="1"/>
        <v>0</v>
      </c>
      <c r="P252">
        <f ca="1"/>
        <v>335.6174552279179</v>
      </c>
      <c r="Q252">
        <f ca="1"/>
        <v>302.38438838815676</v>
      </c>
      <c r="R252">
        <f ca="1"/>
        <v>0</v>
      </c>
      <c r="S252">
        <f ca="1"/>
        <v>0.80517000412761364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45292</v>
      </c>
      <c r="Y252">
        <f t="shared" ca="1" si="23"/>
        <v>0</v>
      </c>
      <c r="AA252" s="63">
        <f t="shared" ca="1" si="25"/>
        <v>23.19077239428599</v>
      </c>
      <c r="AB252" s="63">
        <f t="shared" ca="1" si="26"/>
        <v>23.19077239428599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1</v>
      </c>
      <c r="J253" s="2">
        <f ca="1"/>
        <v>45293</v>
      </c>
      <c r="K253">
        <f ca="1"/>
        <v>23.43461297672188</v>
      </c>
      <c r="L253">
        <f ca="1"/>
        <v>1.7327380777658163E-2</v>
      </c>
      <c r="M253">
        <f ca="1"/>
        <v>4.7782909296092413E-3</v>
      </c>
      <c r="N253">
        <f ca="1"/>
        <v>0.27566626353251239</v>
      </c>
      <c r="O253">
        <f ca="1"/>
        <v>0</v>
      </c>
      <c r="P253">
        <f ca="1"/>
        <v>335.63478260869556</v>
      </c>
      <c r="Q253">
        <f ca="1"/>
        <v>302.39999999999992</v>
      </c>
      <c r="R253">
        <f ca="1"/>
        <v>0</v>
      </c>
      <c r="S253">
        <f ca="1"/>
        <v>0.7562032870550649</v>
      </c>
      <c r="T253">
        <f ca="1"/>
        <v>0</v>
      </c>
      <c r="U253">
        <f ca="1"/>
        <v>0</v>
      </c>
      <c r="V253">
        <f ca="1"/>
        <v>0</v>
      </c>
      <c r="X253" s="2">
        <f t="shared" ca="1" si="22"/>
        <v>45293</v>
      </c>
      <c r="Y253">
        <f t="shared" ca="1" si="23"/>
        <v>0</v>
      </c>
      <c r="AA253" s="63">
        <f t="shared" ca="1" si="25"/>
        <v>23.451940357499542</v>
      </c>
      <c r="AB253" s="63">
        <f t="shared" ca="1" si="26"/>
        <v>23.451940357499538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45294</v>
      </c>
      <c r="K254">
        <f ca="1"/>
        <v>22.601917136570989</v>
      </c>
      <c r="L254">
        <f ca="1"/>
        <v>0</v>
      </c>
      <c r="M254">
        <f ca="1"/>
        <v>-1.0890372760771951</v>
      </c>
      <c r="N254">
        <f ca="1"/>
        <v>0.25634143592630726</v>
      </c>
      <c r="O254">
        <f ca="1"/>
        <v>0</v>
      </c>
      <c r="P254">
        <f ca="1"/>
        <v>0</v>
      </c>
      <c r="Q254">
        <f ca="1"/>
        <v>0</v>
      </c>
      <c r="R254">
        <f ca="1"/>
        <v>0</v>
      </c>
      <c r="S254">
        <f ca="1"/>
        <v>0.71145247752404639</v>
      </c>
      <c r="T254">
        <f ca="1"/>
        <v>0</v>
      </c>
      <c r="U254">
        <f ca="1"/>
        <v>0</v>
      </c>
      <c r="V254">
        <f ca="1"/>
        <v>0</v>
      </c>
      <c r="X254" s="2">
        <f t="shared" ca="1" si="22"/>
        <v>45294</v>
      </c>
      <c r="Y254">
        <f t="shared" ca="1" si="23"/>
        <v>0</v>
      </c>
      <c r="AA254" s="63">
        <f t="shared" ca="1" si="25"/>
        <v>22.601917136570989</v>
      </c>
      <c r="AB254" s="63">
        <f t="shared" ca="1" si="26"/>
        <v>22.601917136570989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45295</v>
      </c>
      <c r="K255">
        <f ca="1"/>
        <v>21.814371739796989</v>
      </c>
      <c r="L255">
        <f ca="1"/>
        <v>0</v>
      </c>
      <c r="M255">
        <f ca="1"/>
        <v>-1.0346896775465044</v>
      </c>
      <c r="N255">
        <f ca="1"/>
        <v>0.24714428077250425</v>
      </c>
      <c r="O255">
        <f ca="1"/>
        <v>0</v>
      </c>
      <c r="P255">
        <f ca="1"/>
        <v>0</v>
      </c>
      <c r="Q255">
        <f ca="1"/>
        <v>0</v>
      </c>
      <c r="R255">
        <f ca="1"/>
        <v>0</v>
      </c>
      <c r="S255">
        <f ca="1"/>
        <v>0.67032695729620606</v>
      </c>
      <c r="T255">
        <f ca="1"/>
        <v>0</v>
      </c>
      <c r="U255">
        <f ca="1"/>
        <v>0</v>
      </c>
      <c r="V255">
        <f ca="1"/>
        <v>0</v>
      </c>
      <c r="X255" s="2">
        <f t="shared" ca="1" si="22"/>
        <v>45295</v>
      </c>
      <c r="Y255">
        <f t="shared" ca="1" si="23"/>
        <v>0</v>
      </c>
      <c r="AA255" s="63">
        <f t="shared" ca="1" si="25"/>
        <v>21.814371739796989</v>
      </c>
      <c r="AB255" s="63">
        <f t="shared" ca="1" si="26"/>
        <v>21.814371739796989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45296</v>
      </c>
      <c r="K256">
        <f ca="1"/>
        <v>21.104529821719016</v>
      </c>
      <c r="L256">
        <f ca="1"/>
        <v>0</v>
      </c>
      <c r="M256">
        <f ca="1"/>
        <v>-0.93938763562128447</v>
      </c>
      <c r="N256">
        <f ca="1"/>
        <v>0.22954571754331074</v>
      </c>
      <c r="O256">
        <f ca="1"/>
        <v>0</v>
      </c>
      <c r="P256">
        <f ca="1"/>
        <v>0</v>
      </c>
      <c r="Q256">
        <f ca="1"/>
        <v>0</v>
      </c>
      <c r="R256">
        <f ca="1"/>
        <v>0</v>
      </c>
      <c r="S256">
        <f ca="1"/>
        <v>0.63815918548043571</v>
      </c>
      <c r="T256">
        <f ca="1"/>
        <v>0</v>
      </c>
      <c r="U256">
        <f ca="1"/>
        <v>0</v>
      </c>
      <c r="V256">
        <f ca="1"/>
        <v>0</v>
      </c>
      <c r="X256" s="2">
        <f t="shared" ca="1" si="22"/>
        <v>45296</v>
      </c>
      <c r="Y256">
        <f t="shared" ca="1" si="23"/>
        <v>0</v>
      </c>
      <c r="AA256" s="63">
        <f t="shared" ca="1" si="25"/>
        <v>21.104529821719016</v>
      </c>
      <c r="AB256" s="63">
        <f t="shared" ca="1" si="26"/>
        <v>21.104529821719016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45297</v>
      </c>
      <c r="K257">
        <f ca="1"/>
        <v>20.446216878615317</v>
      </c>
      <c r="L257">
        <f ca="1"/>
        <v>0</v>
      </c>
      <c r="M257">
        <f ca="1"/>
        <v>-0.882326472845401</v>
      </c>
      <c r="N257">
        <f ca="1"/>
        <v>0.22401352974170255</v>
      </c>
      <c r="O257">
        <f ca="1"/>
        <v>0</v>
      </c>
      <c r="P257">
        <f ca="1"/>
        <v>0</v>
      </c>
      <c r="Q257">
        <f ca="1"/>
        <v>0</v>
      </c>
      <c r="R257">
        <f ca="1"/>
        <v>0</v>
      </c>
      <c r="S257">
        <f ca="1"/>
        <v>0.61531777969615253</v>
      </c>
      <c r="T257">
        <f ca="1"/>
        <v>0</v>
      </c>
      <c r="U257">
        <f ca="1"/>
        <v>0</v>
      </c>
      <c r="V257">
        <f ca="1"/>
        <v>0</v>
      </c>
      <c r="X257" s="2">
        <f t="shared" ca="1" si="22"/>
        <v>45297</v>
      </c>
      <c r="Y257">
        <f t="shared" ca="1" si="23"/>
        <v>0</v>
      </c>
      <c r="AA257" s="63">
        <f t="shared" ca="1" si="25"/>
        <v>20.446216878615317</v>
      </c>
      <c r="AB257" s="63">
        <f t="shared" ca="1" si="26"/>
        <v>20.446216878615317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45298</v>
      </c>
      <c r="K258">
        <f ca="1"/>
        <v>19.823387158419294</v>
      </c>
      <c r="L258">
        <f ca="1"/>
        <v>0</v>
      </c>
      <c r="M258">
        <f ca="1"/>
        <v>-0.84788345303419455</v>
      </c>
      <c r="N258">
        <f ca="1"/>
        <v>0.22505373283817096</v>
      </c>
      <c r="O258">
        <f ca="1"/>
        <v>0</v>
      </c>
      <c r="P258">
        <f ca="1"/>
        <v>0</v>
      </c>
      <c r="Q258">
        <f ca="1"/>
        <v>0</v>
      </c>
      <c r="R258">
        <f ca="1"/>
        <v>0</v>
      </c>
      <c r="S258">
        <f ca="1"/>
        <v>0.59392924388454282</v>
      </c>
      <c r="T258">
        <f ca="1"/>
        <v>0</v>
      </c>
      <c r="U258">
        <f ca="1"/>
        <v>0</v>
      </c>
      <c r="V258">
        <f ca="1"/>
        <v>0</v>
      </c>
      <c r="X258" s="2">
        <f t="shared" ca="1" si="22"/>
        <v>45298</v>
      </c>
      <c r="Y258">
        <f t="shared" ca="1" si="23"/>
        <v>0</v>
      </c>
      <c r="AA258" s="63">
        <f t="shared" ca="1" si="25"/>
        <v>19.823387158419294</v>
      </c>
      <c r="AB258" s="63">
        <f t="shared" ca="1" si="26"/>
        <v>19.823387158419294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45299</v>
      </c>
      <c r="K259">
        <f ca="1"/>
        <v>19.254070839653231</v>
      </c>
      <c r="L259">
        <f ca="1"/>
        <v>0</v>
      </c>
      <c r="M259">
        <f ca="1"/>
        <v>-0.7998415422033176</v>
      </c>
      <c r="N259">
        <f ca="1"/>
        <v>0.23052522343725529</v>
      </c>
      <c r="O259">
        <f ca="1"/>
        <v>0</v>
      </c>
      <c r="P259">
        <f ca="1"/>
        <v>0</v>
      </c>
      <c r="Q259">
        <f ca="1"/>
        <v>0</v>
      </c>
      <c r="R259">
        <f ca="1"/>
        <v>0</v>
      </c>
      <c r="S259">
        <f ca="1"/>
        <v>0.60019019919092709</v>
      </c>
      <c r="T259">
        <f ca="1"/>
        <v>0</v>
      </c>
      <c r="U259">
        <f ca="1"/>
        <v>0</v>
      </c>
      <c r="V259">
        <f ca="1"/>
        <v>0</v>
      </c>
      <c r="X259" s="2">
        <f t="shared" ca="1" si="22"/>
        <v>45299</v>
      </c>
      <c r="Y259">
        <f t="shared" ca="1" si="23"/>
        <v>0</v>
      </c>
      <c r="AA259" s="63">
        <f t="shared" ca="1" si="25"/>
        <v>19.254070839653231</v>
      </c>
      <c r="AB259" s="63">
        <f t="shared" ca="1" si="26"/>
        <v>19.254070839653231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45300</v>
      </c>
      <c r="K260">
        <f ca="1"/>
        <v>18.738342508313671</v>
      </c>
      <c r="L260">
        <f ca="1"/>
        <v>0</v>
      </c>
      <c r="M260">
        <f ca="1"/>
        <v>-0.75340994334801792</v>
      </c>
      <c r="N260">
        <f ca="1"/>
        <v>0.2376816120084573</v>
      </c>
      <c r="O260">
        <f ca="1"/>
        <v>0</v>
      </c>
      <c r="P260">
        <f ca="1"/>
        <v>0</v>
      </c>
      <c r="Q260">
        <f ca="1"/>
        <v>0</v>
      </c>
      <c r="R260">
        <f ca="1"/>
        <v>0</v>
      </c>
      <c r="S260">
        <f ca="1"/>
        <v>0.61088204859438011</v>
      </c>
      <c r="T260">
        <f ca="1"/>
        <v>0</v>
      </c>
      <c r="U260">
        <f ca="1"/>
        <v>0</v>
      </c>
      <c r="V260">
        <f ca="1"/>
        <v>0</v>
      </c>
      <c r="X260" s="2">
        <f t="shared" ca="1" si="22"/>
        <v>45300</v>
      </c>
      <c r="Y260">
        <f t="shared" ca="1" si="23"/>
        <v>0</v>
      </c>
      <c r="AA260" s="63">
        <f t="shared" ca="1" si="25"/>
        <v>18.738342508313671</v>
      </c>
      <c r="AB260" s="63">
        <f t="shared" ca="1" si="26"/>
        <v>18.738342508313671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45301</v>
      </c>
      <c r="K261">
        <f ca="1"/>
        <v>18.273387701121308</v>
      </c>
      <c r="L261">
        <f ca="1"/>
        <v>0</v>
      </c>
      <c r="M261">
        <f ca="1"/>
        <v>-0.69030421323956226</v>
      </c>
      <c r="N261">
        <f ca="1"/>
        <v>0.22534940604719564</v>
      </c>
      <c r="O261">
        <f ca="1"/>
        <v>0</v>
      </c>
      <c r="P261">
        <f ca="1"/>
        <v>0</v>
      </c>
      <c r="Q261">
        <f ca="1"/>
        <v>0</v>
      </c>
      <c r="R261">
        <f ca="1"/>
        <v>0</v>
      </c>
      <c r="S261">
        <f ca="1"/>
        <v>0.57981565568507598</v>
      </c>
      <c r="T261">
        <f ca="1"/>
        <v>0</v>
      </c>
      <c r="U261">
        <f ca="1"/>
        <v>0</v>
      </c>
      <c r="V261">
        <f ca="1"/>
        <v>0</v>
      </c>
      <c r="X261" s="2">
        <f t="shared" ca="1" si="22"/>
        <v>45301</v>
      </c>
      <c r="Y261">
        <f t="shared" ca="1" si="23"/>
        <v>0</v>
      </c>
      <c r="AA261" s="63">
        <f t="shared" ca="1" si="25"/>
        <v>18.273387701121305</v>
      </c>
      <c r="AB261" s="63">
        <f t="shared" ca="1" si="26"/>
        <v>18.273387701121308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45302</v>
      </c>
      <c r="K262">
        <f ca="1"/>
        <v>17.858636059974252</v>
      </c>
      <c r="L262">
        <f ca="1"/>
        <v>0</v>
      </c>
      <c r="M262">
        <f ca="1"/>
        <v>-0.62803023017254311</v>
      </c>
      <c r="N262">
        <f ca="1"/>
        <v>0.21327858902549027</v>
      </c>
      <c r="O262">
        <f ca="1"/>
        <v>0</v>
      </c>
      <c r="P262">
        <f ca="1"/>
        <v>0</v>
      </c>
      <c r="Q262">
        <f ca="1"/>
        <v>0</v>
      </c>
      <c r="R262">
        <f ca="1"/>
        <v>0</v>
      </c>
      <c r="S262">
        <f ca="1"/>
        <v>0.55301221984646365</v>
      </c>
      <c r="T262">
        <f ca="1"/>
        <v>0</v>
      </c>
      <c r="U262">
        <f ca="1"/>
        <v>0</v>
      </c>
      <c r="V262">
        <f ca="1"/>
        <v>0</v>
      </c>
      <c r="X262" s="2">
        <f t="shared" ca="1" si="22"/>
        <v>45302</v>
      </c>
      <c r="Y262">
        <f t="shared" ca="1" si="23"/>
        <v>0</v>
      </c>
      <c r="AA262" s="63">
        <f t="shared" ca="1" si="25"/>
        <v>17.858636059974256</v>
      </c>
      <c r="AB262" s="63">
        <f t="shared" ca="1" si="26"/>
        <v>17.858636059974252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45303</v>
      </c>
      <c r="K263">
        <f ca="1"/>
        <v>17.480066805868837</v>
      </c>
      <c r="L263">
        <f ca="1"/>
        <v>0</v>
      </c>
      <c r="M263">
        <f ca="1"/>
        <v>-0.58607689719285183</v>
      </c>
      <c r="N263">
        <f ca="1"/>
        <v>0.20750764308743508</v>
      </c>
      <c r="O263">
        <f ca="1"/>
        <v>0</v>
      </c>
      <c r="P263">
        <f ca="1"/>
        <v>0</v>
      </c>
      <c r="Q263">
        <f ca="1"/>
        <v>0</v>
      </c>
      <c r="R263">
        <f ca="1"/>
        <v>0</v>
      </c>
      <c r="S263">
        <f ca="1"/>
        <v>0.52556742606791151</v>
      </c>
      <c r="T263">
        <f ca="1"/>
        <v>0</v>
      </c>
      <c r="U263">
        <f ca="1"/>
        <v>0</v>
      </c>
      <c r="V263">
        <f ca="1"/>
        <v>0</v>
      </c>
      <c r="X263" s="2">
        <f t="shared" ref="X263:X326" ca="1" si="29">IFERROR(J263,$X$5)</f>
        <v>45303</v>
      </c>
      <c r="Y263">
        <f t="shared" ref="Y263:Y326" ca="1" si="30">IFERROR(O263,0)</f>
        <v>0</v>
      </c>
      <c r="AA263" s="63">
        <f t="shared" ca="1" si="25"/>
        <v>17.480066805868834</v>
      </c>
      <c r="AB263" s="63">
        <f t="shared" ca="1" si="26"/>
        <v>17.480066805868837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45304</v>
      </c>
      <c r="K264">
        <f ca="1"/>
        <v>17.15127298346561</v>
      </c>
      <c r="L264">
        <f ca="1"/>
        <v>0</v>
      </c>
      <c r="M264">
        <f ca="1"/>
        <v>-0.54724049801674823</v>
      </c>
      <c r="N264">
        <f ca="1"/>
        <v>0.21844667561351974</v>
      </c>
      <c r="O264">
        <f ca="1"/>
        <v>0</v>
      </c>
      <c r="P264">
        <f ca="1"/>
        <v>0</v>
      </c>
      <c r="Q264">
        <f ca="1"/>
        <v>0</v>
      </c>
      <c r="R264">
        <f ca="1"/>
        <v>0</v>
      </c>
      <c r="S264">
        <f ca="1"/>
        <v>0.55532838486674285</v>
      </c>
      <c r="T264">
        <f ca="1"/>
        <v>0</v>
      </c>
      <c r="U264">
        <f ca="1"/>
        <v>0</v>
      </c>
      <c r="V264">
        <f ca="1"/>
        <v>0</v>
      </c>
      <c r="X264" s="2">
        <f t="shared" ca="1" si="29"/>
        <v>45304</v>
      </c>
      <c r="Y264">
        <f t="shared" ca="1" si="30"/>
        <v>0</v>
      </c>
      <c r="AA264" s="63">
        <f t="shared" ca="1" si="25"/>
        <v>17.15127298346561</v>
      </c>
      <c r="AB264" s="63">
        <f t="shared" ca="1" si="26"/>
        <v>17.15127298346561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45305</v>
      </c>
      <c r="K265">
        <f ca="1"/>
        <v>16.860034941111707</v>
      </c>
      <c r="L265">
        <f ca="1"/>
        <v>0</v>
      </c>
      <c r="M265">
        <f ca="1"/>
        <v>-0.51174201973986833</v>
      </c>
      <c r="N265">
        <f ca="1"/>
        <v>0.22050397738596808</v>
      </c>
      <c r="O265">
        <f ca="1"/>
        <v>0</v>
      </c>
      <c r="P265">
        <f ca="1"/>
        <v>0</v>
      </c>
      <c r="Q265">
        <f ca="1"/>
        <v>0</v>
      </c>
      <c r="R265">
        <f ca="1"/>
        <v>0</v>
      </c>
      <c r="S265">
        <f ca="1"/>
        <v>0.55014134878548571</v>
      </c>
      <c r="T265">
        <f ca="1"/>
        <v>0</v>
      </c>
      <c r="U265">
        <f ca="1"/>
        <v>0</v>
      </c>
      <c r="V265">
        <f ca="1"/>
        <v>0</v>
      </c>
      <c r="X265" s="2">
        <f t="shared" ca="1" si="29"/>
        <v>45305</v>
      </c>
      <c r="Y265">
        <f t="shared" ca="1" si="30"/>
        <v>0</v>
      </c>
      <c r="AA265" s="63">
        <f t="shared" ca="1" si="25"/>
        <v>16.860034941111707</v>
      </c>
      <c r="AB265" s="63">
        <f t="shared" ca="1" si="26"/>
        <v>16.860034941111707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45306</v>
      </c>
      <c r="K266">
        <f ca="1"/>
        <v>16.603517911229339</v>
      </c>
      <c r="L266">
        <f ca="1"/>
        <v>0</v>
      </c>
      <c r="M266">
        <f ca="1"/>
        <v>-0.46922823035423811</v>
      </c>
      <c r="N266">
        <f ca="1"/>
        <v>0.21271120047187431</v>
      </c>
      <c r="O266">
        <f ca="1"/>
        <v>0</v>
      </c>
      <c r="P266">
        <f ca="1"/>
        <v>0</v>
      </c>
      <c r="Q266">
        <f ca="1"/>
        <v>0</v>
      </c>
      <c r="R266">
        <f ca="1"/>
        <v>0</v>
      </c>
      <c r="S266">
        <f ca="1"/>
        <v>0.5246693517362222</v>
      </c>
      <c r="T266">
        <f ca="1"/>
        <v>0</v>
      </c>
      <c r="U266">
        <f ca="1"/>
        <v>0</v>
      </c>
      <c r="V266">
        <f ca="1"/>
        <v>0</v>
      </c>
      <c r="X266" s="2">
        <f t="shared" ca="1" si="29"/>
        <v>45306</v>
      </c>
      <c r="Y266">
        <f t="shared" ca="1" si="30"/>
        <v>0</v>
      </c>
      <c r="AA266" s="63">
        <f t="shared" ca="1" si="25"/>
        <v>16.603517911229339</v>
      </c>
      <c r="AB266" s="63">
        <f t="shared" ca="1" si="26"/>
        <v>16.603517911229339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45307</v>
      </c>
      <c r="K267">
        <f ca="1"/>
        <v>16.390176284001136</v>
      </c>
      <c r="L267">
        <f ca="1"/>
        <v>0</v>
      </c>
      <c r="M267">
        <f ca="1"/>
        <v>-0.42976486006650916</v>
      </c>
      <c r="N267">
        <f ca="1"/>
        <v>0.21642323283830558</v>
      </c>
      <c r="O267">
        <f ca="1"/>
        <v>0</v>
      </c>
      <c r="P267">
        <f ca="1"/>
        <v>0</v>
      </c>
      <c r="Q267">
        <f ca="1"/>
        <v>0</v>
      </c>
      <c r="R267">
        <f ca="1"/>
        <v>0</v>
      </c>
      <c r="S267">
        <f ca="1"/>
        <v>0.53884577003395495</v>
      </c>
      <c r="T267">
        <f ca="1"/>
        <v>0</v>
      </c>
      <c r="U267">
        <f ca="1"/>
        <v>0</v>
      </c>
      <c r="V267">
        <f ca="1"/>
        <v>0</v>
      </c>
      <c r="X267" s="2">
        <f t="shared" ca="1" si="29"/>
        <v>45307</v>
      </c>
      <c r="Y267">
        <f t="shared" ca="1" si="30"/>
        <v>0</v>
      </c>
      <c r="AA267" s="63">
        <f t="shared" ca="1" si="25"/>
        <v>16.390176284001136</v>
      </c>
      <c r="AB267" s="63">
        <f t="shared" ca="1" si="26"/>
        <v>16.390176284001136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45308</v>
      </c>
      <c r="K268">
        <f ca="1"/>
        <v>16.218753076417578</v>
      </c>
      <c r="L268">
        <f ca="1"/>
        <v>0</v>
      </c>
      <c r="M268">
        <f ca="1"/>
        <v>-0.38765006335133556</v>
      </c>
      <c r="N268">
        <f ca="1"/>
        <v>0.21622685576777848</v>
      </c>
      <c r="O268">
        <f ca="1"/>
        <v>0</v>
      </c>
      <c r="P268">
        <f ca="1"/>
        <v>1.5506245596055472</v>
      </c>
      <c r="Q268">
        <f ca="1"/>
        <v>1.4348311671674707</v>
      </c>
      <c r="R268">
        <f ca="1"/>
        <v>0</v>
      </c>
      <c r="S268">
        <f ca="1"/>
        <v>0.5504360629614119</v>
      </c>
      <c r="T268">
        <f ca="1"/>
        <v>0</v>
      </c>
      <c r="U268">
        <f ca="1"/>
        <v>0</v>
      </c>
      <c r="V268">
        <f ca="1"/>
        <v>7.6151880498666596E-3</v>
      </c>
      <c r="X268" s="2">
        <f t="shared" ca="1" si="29"/>
        <v>45308</v>
      </c>
      <c r="Y268">
        <f t="shared" ca="1" si="30"/>
        <v>0</v>
      </c>
      <c r="AA268" s="63">
        <f t="shared" ref="AA268:AA331" ca="1" si="32">K267+M268+N268+O268</f>
        <v>16.218753076417578</v>
      </c>
      <c r="AB268" s="63">
        <f t="shared" ref="AB268:AB331" ca="1" si="33">K268+L268+R268</f>
        <v>16.218753076417578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45309</v>
      </c>
      <c r="K269">
        <f ca="1"/>
        <v>15.996083535092435</v>
      </c>
      <c r="L269">
        <f ca="1"/>
        <v>8.2402232981111823E-2</v>
      </c>
      <c r="M269">
        <f ca="1"/>
        <v>-0.35562932485969512</v>
      </c>
      <c r="N269">
        <f ca="1"/>
        <v>0.21536201651566356</v>
      </c>
      <c r="O269">
        <f ca="1"/>
        <v>0</v>
      </c>
      <c r="P269">
        <f ca="1"/>
        <v>1.6330267925866591</v>
      </c>
      <c r="Q269">
        <f ca="1"/>
        <v>1.5110799866467459</v>
      </c>
      <c r="R269">
        <f ca="1"/>
        <v>0</v>
      </c>
      <c r="S269">
        <f ca="1"/>
        <v>0.54462227487842718</v>
      </c>
      <c r="T269">
        <f ca="1"/>
        <v>0</v>
      </c>
      <c r="U269">
        <f ca="1"/>
        <v>0</v>
      </c>
      <c r="V269">
        <f ca="1"/>
        <v>8.6665551885986916E-3</v>
      </c>
      <c r="X269" s="2">
        <f t="shared" ca="1" si="29"/>
        <v>45309</v>
      </c>
      <c r="Y269">
        <f t="shared" ca="1" si="30"/>
        <v>0</v>
      </c>
      <c r="AA269" s="63">
        <f t="shared" ca="1" si="32"/>
        <v>16.078485768073545</v>
      </c>
      <c r="AB269" s="63">
        <f t="shared" ca="1" si="33"/>
        <v>16.078485768073548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45310</v>
      </c>
      <c r="K270">
        <f ca="1"/>
        <v>15.795727312631143</v>
      </c>
      <c r="L270">
        <f ca="1"/>
        <v>8.8144582281053374E-2</v>
      </c>
      <c r="M270">
        <f ca="1"/>
        <v>-0.33051001276962921</v>
      </c>
      <c r="N270">
        <f ca="1"/>
        <v>0.21829837258939019</v>
      </c>
      <c r="O270">
        <f ca="1"/>
        <v>0</v>
      </c>
      <c r="P270">
        <f ca="1"/>
        <v>1.7211713748677124</v>
      </c>
      <c r="Q270">
        <f ca="1"/>
        <v>1.5926423436275909</v>
      </c>
      <c r="R270">
        <f ca="1"/>
        <v>0</v>
      </c>
      <c r="S270">
        <f ca="1"/>
        <v>0.5386852025677098</v>
      </c>
      <c r="T270">
        <f ca="1"/>
        <v>0</v>
      </c>
      <c r="U270">
        <f ca="1"/>
        <v>0</v>
      </c>
      <c r="V270">
        <f ca="1"/>
        <v>9.8816435122381988E-3</v>
      </c>
      <c r="X270" s="2">
        <f t="shared" ca="1" si="29"/>
        <v>45310</v>
      </c>
      <c r="Y270">
        <f t="shared" ca="1" si="30"/>
        <v>0</v>
      </c>
      <c r="AA270" s="63">
        <f t="shared" ca="1" si="32"/>
        <v>15.883871894912195</v>
      </c>
      <c r="AB270" s="63">
        <f t="shared" ca="1" si="33"/>
        <v>15.883871894912197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45311</v>
      </c>
      <c r="K271">
        <f ca="1"/>
        <v>15.614432609031654</v>
      </c>
      <c r="L271">
        <f ca="1"/>
        <v>9.2507196177584516E-2</v>
      </c>
      <c r="M271">
        <f ca="1"/>
        <v>-0.29849097301823235</v>
      </c>
      <c r="N271">
        <f ca="1"/>
        <v>0.20970346559632674</v>
      </c>
      <c r="O271">
        <f ca="1"/>
        <v>0</v>
      </c>
      <c r="P271">
        <f ca="1"/>
        <v>1.813678571045297</v>
      </c>
      <c r="Q271">
        <f ca="1"/>
        <v>1.6782415348958104</v>
      </c>
      <c r="R271">
        <f ca="1"/>
        <v>0</v>
      </c>
      <c r="S271">
        <f ca="1"/>
        <v>0.51221415959109817</v>
      </c>
      <c r="T271">
        <f ca="1"/>
        <v>0</v>
      </c>
      <c r="U271">
        <f ca="1"/>
        <v>0</v>
      </c>
      <c r="V271">
        <f ca="1"/>
        <v>1.125965381977662E-2</v>
      </c>
      <c r="X271" s="2">
        <f t="shared" ca="1" si="29"/>
        <v>45311</v>
      </c>
      <c r="Y271">
        <f t="shared" ca="1" si="30"/>
        <v>0</v>
      </c>
      <c r="AA271" s="63">
        <f t="shared" ca="1" si="32"/>
        <v>15.706939805209238</v>
      </c>
      <c r="AB271" s="63">
        <f t="shared" ca="1" si="33"/>
        <v>15.706939805209238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45312</v>
      </c>
      <c r="K272">
        <f ca="1"/>
        <v>15.494943144454943</v>
      </c>
      <c r="L272">
        <f ca="1"/>
        <v>9.8666429661955934E-2</v>
      </c>
      <c r="M272">
        <f ca="1"/>
        <v>-0.27416422868908796</v>
      </c>
      <c r="N272">
        <f ca="1"/>
        <v>0.25334119377433156</v>
      </c>
      <c r="O272">
        <f ca="1"/>
        <v>0</v>
      </c>
      <c r="P272">
        <f ca="1"/>
        <v>1.9123450007072529</v>
      </c>
      <c r="Q272">
        <f ca="1"/>
        <v>1.7695400168882049</v>
      </c>
      <c r="R272">
        <f ca="1"/>
        <v>0</v>
      </c>
      <c r="S272">
        <f ca="1"/>
        <v>0.64162332102241948</v>
      </c>
      <c r="T272">
        <f ca="1"/>
        <v>0</v>
      </c>
      <c r="U272">
        <f ca="1"/>
        <v>0</v>
      </c>
      <c r="V272">
        <f ca="1"/>
        <v>1.2847916510203897E-2</v>
      </c>
      <c r="X272" s="2">
        <f t="shared" ca="1" si="29"/>
        <v>45312</v>
      </c>
      <c r="Y272">
        <f t="shared" ca="1" si="30"/>
        <v>0</v>
      </c>
      <c r="AA272" s="63">
        <f t="shared" ca="1" si="32"/>
        <v>15.593609574116899</v>
      </c>
      <c r="AB272" s="63">
        <f t="shared" ca="1" si="33"/>
        <v>15.593609574116899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45313</v>
      </c>
      <c r="K273">
        <f ca="1"/>
        <v>15.405430589059829</v>
      </c>
      <c r="L273">
        <f ca="1"/>
        <v>0.10449220275962356</v>
      </c>
      <c r="M273">
        <f ca="1"/>
        <v>-0.24813693231639178</v>
      </c>
      <c r="N273">
        <f ca="1"/>
        <v>0.26311657968090085</v>
      </c>
      <c r="O273">
        <f ca="1"/>
        <v>0</v>
      </c>
      <c r="P273">
        <f ca="1"/>
        <v>2.0168372034668764</v>
      </c>
      <c r="Q273">
        <f ca="1"/>
        <v>1.8662292304807138</v>
      </c>
      <c r="R273">
        <f ca="1"/>
        <v>0</v>
      </c>
      <c r="S273">
        <f ca="1"/>
        <v>0.66509431329239155</v>
      </c>
      <c r="T273">
        <f ca="1"/>
        <v>0</v>
      </c>
      <c r="U273">
        <f ca="1"/>
        <v>0</v>
      </c>
      <c r="V273">
        <f ca="1"/>
        <v>1.4666073571756772E-2</v>
      </c>
      <c r="X273" s="2">
        <f t="shared" ca="1" si="29"/>
        <v>45313</v>
      </c>
      <c r="Y273">
        <f t="shared" ca="1" si="30"/>
        <v>0</v>
      </c>
      <c r="AA273" s="63">
        <f t="shared" ca="1" si="32"/>
        <v>15.509922791819452</v>
      </c>
      <c r="AB273" s="63">
        <f t="shared" ca="1" si="33"/>
        <v>15.509922791819452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45314</v>
      </c>
      <c r="K274">
        <f ca="1"/>
        <v>15.332630086435469</v>
      </c>
      <c r="L274">
        <f ca="1"/>
        <v>0.11026503204297278</v>
      </c>
      <c r="M274">
        <f ca="1"/>
        <v>-0.22239742517200511</v>
      </c>
      <c r="N274">
        <f ca="1"/>
        <v>0.25986195459061645</v>
      </c>
      <c r="O274">
        <f ca="1"/>
        <v>0</v>
      </c>
      <c r="P274">
        <f ca="1"/>
        <v>2.1271022355098492</v>
      </c>
      <c r="Q274">
        <f ca="1"/>
        <v>1.9682601854555422</v>
      </c>
      <c r="R274">
        <f ca="1"/>
        <v>0</v>
      </c>
      <c r="S274">
        <f ca="1"/>
        <v>0.65465762536169325</v>
      </c>
      <c r="T274">
        <f ca="1"/>
        <v>0</v>
      </c>
      <c r="U274">
        <f ca="1"/>
        <v>0</v>
      </c>
      <c r="V274">
        <f ca="1"/>
        <v>1.6739486150287624E-2</v>
      </c>
      <c r="X274" s="2">
        <f t="shared" ca="1" si="29"/>
        <v>45314</v>
      </c>
      <c r="Y274">
        <f t="shared" ca="1" si="30"/>
        <v>0</v>
      </c>
      <c r="AA274" s="63">
        <f t="shared" ca="1" si="32"/>
        <v>15.442895118478441</v>
      </c>
      <c r="AB274" s="63">
        <f t="shared" ca="1" si="33"/>
        <v>15.442895118478441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45315</v>
      </c>
      <c r="K275">
        <f ca="1"/>
        <v>15.282990209863463</v>
      </c>
      <c r="L275">
        <f ca="1"/>
        <v>0.11648224968861287</v>
      </c>
      <c r="M275">
        <f ca="1"/>
        <v>-0.19851769000148067</v>
      </c>
      <c r="N275">
        <f ca="1"/>
        <v>0.26536006311808724</v>
      </c>
      <c r="O275">
        <f ca="1"/>
        <v>0</v>
      </c>
      <c r="P275">
        <f ca="1"/>
        <v>2.2435844851984621</v>
      </c>
      <c r="Q275">
        <f ca="1"/>
        <v>2.0760440853297455</v>
      </c>
      <c r="R275">
        <f ca="1"/>
        <v>0</v>
      </c>
      <c r="S275">
        <f ca="1"/>
        <v>0.66818552098183293</v>
      </c>
      <c r="T275">
        <f ca="1"/>
        <v>0</v>
      </c>
      <c r="U275">
        <f ca="1"/>
        <v>0</v>
      </c>
      <c r="V275">
        <f ca="1"/>
        <v>1.9105635905283531E-2</v>
      </c>
      <c r="X275" s="2">
        <f t="shared" ca="1" si="29"/>
        <v>45315</v>
      </c>
      <c r="Y275">
        <f t="shared" ca="1" si="30"/>
        <v>0</v>
      </c>
      <c r="AA275" s="63">
        <f t="shared" ca="1" si="32"/>
        <v>15.399472459552076</v>
      </c>
      <c r="AB275" s="63">
        <f t="shared" ca="1" si="33"/>
        <v>15.399472459552076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45316</v>
      </c>
      <c r="K276">
        <f ca="1"/>
        <v>15.254678035984593</v>
      </c>
      <c r="L276">
        <f ca="1"/>
        <v>0.12431248680417406</v>
      </c>
      <c r="M276">
        <f ca="1"/>
        <v>-0.17824809437372835</v>
      </c>
      <c r="N276">
        <f ca="1"/>
        <v>0.27424840729903155</v>
      </c>
      <c r="O276">
        <f ca="1"/>
        <v>0</v>
      </c>
      <c r="P276">
        <f ca="1"/>
        <v>2.3678969720026362</v>
      </c>
      <c r="Q276">
        <f ca="1"/>
        <v>2.1910734968206214</v>
      </c>
      <c r="R276">
        <f ca="1"/>
        <v>0</v>
      </c>
      <c r="S276">
        <f ca="1"/>
        <v>0.68039941360510225</v>
      </c>
      <c r="T276">
        <f ca="1"/>
        <v>0</v>
      </c>
      <c r="U276">
        <f ca="1"/>
        <v>0</v>
      </c>
      <c r="V276">
        <f ca="1"/>
        <v>2.1833478475928626E-2</v>
      </c>
      <c r="X276" s="2">
        <f t="shared" ca="1" si="29"/>
        <v>45316</v>
      </c>
      <c r="Y276">
        <f t="shared" ca="1" si="30"/>
        <v>0</v>
      </c>
      <c r="AA276" s="63">
        <f t="shared" ca="1" si="32"/>
        <v>15.378990522788767</v>
      </c>
      <c r="AB276" s="63">
        <f t="shared" ca="1" si="33"/>
        <v>15.378990522788767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45317</v>
      </c>
      <c r="K277">
        <f ca="1"/>
        <v>15.228442885221767</v>
      </c>
      <c r="L277">
        <f ca="1"/>
        <v>0.13195866411510737</v>
      </c>
      <c r="M277">
        <f ca="1"/>
        <v>-0.15740747088636198</v>
      </c>
      <c r="N277">
        <f ca="1"/>
        <v>0.26313098423864201</v>
      </c>
      <c r="O277">
        <f ca="1"/>
        <v>0</v>
      </c>
      <c r="P277">
        <f ca="1"/>
        <v>2.4998556361177435</v>
      </c>
      <c r="Q277">
        <f ca="1"/>
        <v>2.3131781048492108</v>
      </c>
      <c r="R277">
        <f ca="1"/>
        <v>0</v>
      </c>
      <c r="S277">
        <f ca="1"/>
        <v>0.64283111776081392</v>
      </c>
      <c r="T277">
        <f ca="1"/>
        <v>0</v>
      </c>
      <c r="U277">
        <f ca="1"/>
        <v>0</v>
      </c>
      <c r="V277">
        <f ca="1"/>
        <v>2.4961500223006573E-2</v>
      </c>
      <c r="X277" s="2">
        <f t="shared" ca="1" si="29"/>
        <v>45317</v>
      </c>
      <c r="Y277">
        <f t="shared" ca="1" si="30"/>
        <v>0</v>
      </c>
      <c r="AA277" s="63">
        <f t="shared" ca="1" si="32"/>
        <v>15.360401549336874</v>
      </c>
      <c r="AB277" s="63">
        <f t="shared" ca="1" si="33"/>
        <v>15.360401549336874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45318</v>
      </c>
      <c r="K278">
        <f ca="1"/>
        <v>15.211981911178993</v>
      </c>
      <c r="L278">
        <f ca="1"/>
        <v>0.1367947260468565</v>
      </c>
      <c r="M278">
        <f ca="1"/>
        <v>-0.13365490066897223</v>
      </c>
      <c r="N278">
        <f ca="1"/>
        <v>0.25398865267305454</v>
      </c>
      <c r="O278">
        <f ca="1"/>
        <v>0</v>
      </c>
      <c r="P278">
        <f ca="1"/>
        <v>2.6366503621646</v>
      </c>
      <c r="Q278">
        <f ca="1"/>
        <v>2.4397576403146459</v>
      </c>
      <c r="R278">
        <f ca="1"/>
        <v>0</v>
      </c>
      <c r="S278">
        <f ca="1"/>
        <v>0.63423628226371342</v>
      </c>
      <c r="T278">
        <f ca="1"/>
        <v>0</v>
      </c>
      <c r="U278">
        <f ca="1"/>
        <v>0</v>
      </c>
      <c r="V278">
        <f ca="1"/>
        <v>2.8460112111480612E-2</v>
      </c>
      <c r="X278" s="2">
        <f t="shared" ca="1" si="29"/>
        <v>45318</v>
      </c>
      <c r="Y278">
        <f t="shared" ca="1" si="30"/>
        <v>0</v>
      </c>
      <c r="AA278" s="63">
        <f t="shared" ca="1" si="32"/>
        <v>15.34877663722585</v>
      </c>
      <c r="AB278" s="63">
        <f t="shared" ca="1" si="33"/>
        <v>15.34877663722585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45319</v>
      </c>
      <c r="K279">
        <f ca="1"/>
        <v>15.198212387113408</v>
      </c>
      <c r="L279">
        <f ca="1"/>
        <v>0.14542535513421528</v>
      </c>
      <c r="M279">
        <f ca="1"/>
        <v>-0.11624053176321425</v>
      </c>
      <c r="N279">
        <f ca="1"/>
        <v>0.24789636283184446</v>
      </c>
      <c r="O279">
        <f ca="1"/>
        <v>0</v>
      </c>
      <c r="P279">
        <f ca="1"/>
        <v>2.7820757172988153</v>
      </c>
      <c r="Q279">
        <f ca="1"/>
        <v>2.5743233098381895</v>
      </c>
      <c r="R279">
        <f ca="1"/>
        <v>0</v>
      </c>
      <c r="S279">
        <f ca="1"/>
        <v>0.60733341684667241</v>
      </c>
      <c r="T279">
        <f ca="1"/>
        <v>0</v>
      </c>
      <c r="U279">
        <f ca="1"/>
        <v>0</v>
      </c>
      <c r="V279">
        <f ca="1"/>
        <v>3.2468242923406894E-2</v>
      </c>
      <c r="X279" s="2">
        <f t="shared" ca="1" si="29"/>
        <v>45319</v>
      </c>
      <c r="Y279">
        <f t="shared" ca="1" si="30"/>
        <v>0</v>
      </c>
      <c r="AA279" s="63">
        <f t="shared" ca="1" si="32"/>
        <v>15.343637742247623</v>
      </c>
      <c r="AB279" s="63">
        <f t="shared" ca="1" si="33"/>
        <v>15.343637742247623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45320</v>
      </c>
      <c r="K280">
        <f ca="1"/>
        <v>15.188984655757372</v>
      </c>
      <c r="L280">
        <f ca="1"/>
        <v>0.15530146699217839</v>
      </c>
      <c r="M280">
        <f ca="1"/>
        <v>-0.1000513208546181</v>
      </c>
      <c r="N280">
        <f ca="1"/>
        <v>0.24612505649076061</v>
      </c>
      <c r="O280">
        <f ca="1"/>
        <v>0</v>
      </c>
      <c r="P280">
        <f ca="1"/>
        <v>2.9373771842909937</v>
      </c>
      <c r="Q280">
        <f ca="1"/>
        <v>2.7180275893601729</v>
      </c>
      <c r="R280">
        <f ca="1"/>
        <v>0</v>
      </c>
      <c r="S280">
        <f ca="1"/>
        <v>0.58897284797236793</v>
      </c>
      <c r="T280">
        <f ca="1"/>
        <v>0</v>
      </c>
      <c r="U280">
        <f ca="1"/>
        <v>0</v>
      </c>
      <c r="V280">
        <f ca="1"/>
        <v>3.7079788761938404E-2</v>
      </c>
      <c r="X280" s="2">
        <f t="shared" ca="1" si="29"/>
        <v>45320</v>
      </c>
      <c r="Y280">
        <f t="shared" ca="1" si="30"/>
        <v>0</v>
      </c>
      <c r="AA280" s="63">
        <f t="shared" ca="1" si="32"/>
        <v>15.34428612274955</v>
      </c>
      <c r="AB280" s="63">
        <f t="shared" ca="1" si="33"/>
        <v>15.34428612274955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45321</v>
      </c>
      <c r="K281">
        <f ca="1"/>
        <v>15.191915153239899</v>
      </c>
      <c r="L281">
        <f ca="1"/>
        <v>0.16591972873147798</v>
      </c>
      <c r="M281">
        <f ca="1"/>
        <v>-8.4309429212396481E-2</v>
      </c>
      <c r="N281">
        <f ca="1"/>
        <v>0.25315965542640145</v>
      </c>
      <c r="O281">
        <f ca="1"/>
        <v>0</v>
      </c>
      <c r="P281">
        <f ca="1"/>
        <v>3.1032969130224717</v>
      </c>
      <c r="Q281">
        <f ca="1"/>
        <v>2.8715572084785856</v>
      </c>
      <c r="R281">
        <f ca="1"/>
        <v>0</v>
      </c>
      <c r="S281">
        <f ca="1"/>
        <v>0.59721199724394514</v>
      </c>
      <c r="T281">
        <f ca="1"/>
        <v>0</v>
      </c>
      <c r="U281">
        <f ca="1"/>
        <v>0</v>
      </c>
      <c r="V281">
        <f ca="1"/>
        <v>4.2386392206681882E-2</v>
      </c>
      <c r="X281" s="2">
        <f t="shared" ca="1" si="29"/>
        <v>45321</v>
      </c>
      <c r="Y281">
        <f t="shared" ca="1" si="30"/>
        <v>0</v>
      </c>
      <c r="AA281" s="63">
        <f t="shared" ca="1" si="32"/>
        <v>15.357834881971376</v>
      </c>
      <c r="AB281" s="63">
        <f t="shared" ca="1" si="33"/>
        <v>15.357834881971376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45322</v>
      </c>
      <c r="K282">
        <f ca="1"/>
        <v>15.202828508926476</v>
      </c>
      <c r="L282">
        <f ca="1"/>
        <v>0.17460314652088105</v>
      </c>
      <c r="M282">
        <f ca="1"/>
        <v>-6.7769335251146146E-2</v>
      </c>
      <c r="N282">
        <f ca="1"/>
        <v>0.25328583745860472</v>
      </c>
      <c r="O282">
        <f ca="1"/>
        <v>0</v>
      </c>
      <c r="P282">
        <f ca="1"/>
        <v>3.2779000595433527</v>
      </c>
      <c r="Q282">
        <f ca="1"/>
        <v>3.0331218083436871</v>
      </c>
      <c r="R282">
        <f ca="1"/>
        <v>0</v>
      </c>
      <c r="S282">
        <f ca="1"/>
        <v>0.60079895245986259</v>
      </c>
      <c r="T282">
        <f ca="1"/>
        <v>0</v>
      </c>
      <c r="U282">
        <f ca="1"/>
        <v>0</v>
      </c>
      <c r="V282">
        <f ca="1"/>
        <v>4.839474639201935E-2</v>
      </c>
      <c r="X282" s="2">
        <f t="shared" ca="1" si="29"/>
        <v>45322</v>
      </c>
      <c r="Y282">
        <f t="shared" ca="1" si="30"/>
        <v>0</v>
      </c>
      <c r="AA282" s="63">
        <f t="shared" ca="1" si="32"/>
        <v>15.377431655447358</v>
      </c>
      <c r="AB282" s="63">
        <f t="shared" ca="1" si="33"/>
        <v>15.377431655447356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45323</v>
      </c>
      <c r="K283">
        <f ca="1"/>
        <v>15.207485693223022</v>
      </c>
      <c r="L283">
        <f ca="1"/>
        <v>0.18523255753426549</v>
      </c>
      <c r="M283">
        <f ca="1"/>
        <v>-5.3120249762763194E-2</v>
      </c>
      <c r="N283">
        <f ca="1"/>
        <v>0.24300999159357356</v>
      </c>
      <c r="O283">
        <f ca="1"/>
        <v>0</v>
      </c>
      <c r="P283">
        <f ca="1"/>
        <v>3.4631326170776182</v>
      </c>
      <c r="Q283">
        <f ca="1"/>
        <v>3.2045220645036396</v>
      </c>
      <c r="R283">
        <f ca="1"/>
        <v>0</v>
      </c>
      <c r="S283">
        <f ca="1"/>
        <v>0.56436374642330234</v>
      </c>
      <c r="T283">
        <f ca="1"/>
        <v>0</v>
      </c>
      <c r="U283">
        <f ca="1"/>
        <v>0</v>
      </c>
      <c r="V283">
        <f ca="1"/>
        <v>5.5242528819339255E-2</v>
      </c>
      <c r="X283" s="2">
        <f t="shared" ca="1" si="29"/>
        <v>45323</v>
      </c>
      <c r="Y283">
        <f t="shared" ca="1" si="30"/>
        <v>0</v>
      </c>
      <c r="AA283" s="63">
        <f t="shared" ca="1" si="32"/>
        <v>15.392718250757287</v>
      </c>
      <c r="AB283" s="63">
        <f t="shared" ca="1" si="33"/>
        <v>15.392718250757287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45324</v>
      </c>
      <c r="K284">
        <f ca="1"/>
        <v>15.223668940333825</v>
      </c>
      <c r="L284">
        <f ca="1"/>
        <v>0.19328888435161495</v>
      </c>
      <c r="M284">
        <f ca="1"/>
        <v>-3.8589967510191059E-2</v>
      </c>
      <c r="N284">
        <f ca="1"/>
        <v>0.24806209897260886</v>
      </c>
      <c r="O284">
        <f ca="1"/>
        <v>0</v>
      </c>
      <c r="P284">
        <f ca="1"/>
        <v>3.6564215014292332</v>
      </c>
      <c r="Q284">
        <f ca="1"/>
        <v>3.3833770386601669</v>
      </c>
      <c r="R284">
        <f ca="1"/>
        <v>0</v>
      </c>
      <c r="S284">
        <f ca="1"/>
        <v>0.59161967146920869</v>
      </c>
      <c r="T284">
        <f ca="1"/>
        <v>0</v>
      </c>
      <c r="U284">
        <f ca="1"/>
        <v>0</v>
      </c>
      <c r="V284">
        <f ca="1"/>
        <v>6.2903508550455442E-2</v>
      </c>
      <c r="X284" s="2">
        <f t="shared" ca="1" si="29"/>
        <v>45324</v>
      </c>
      <c r="Y284">
        <f t="shared" ca="1" si="30"/>
        <v>0</v>
      </c>
      <c r="AA284" s="63">
        <f t="shared" ca="1" si="32"/>
        <v>15.41695782468544</v>
      </c>
      <c r="AB284" s="63">
        <f t="shared" ca="1" si="33"/>
        <v>15.41695782468544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45325</v>
      </c>
      <c r="K285">
        <f ca="1"/>
        <v>15.229723149487882</v>
      </c>
      <c r="L285">
        <f ca="1"/>
        <v>0.20152933134034168</v>
      </c>
      <c r="M285">
        <f ca="1"/>
        <v>-2.56883271389583E-2</v>
      </c>
      <c r="N285">
        <f ca="1"/>
        <v>0.23327186763335608</v>
      </c>
      <c r="O285">
        <f ca="1"/>
        <v>0</v>
      </c>
      <c r="P285">
        <f ca="1"/>
        <v>3.8579508327695748</v>
      </c>
      <c r="Q285">
        <f ca="1"/>
        <v>3.5698571017510679</v>
      </c>
      <c r="R285">
        <f ca="1"/>
        <v>0</v>
      </c>
      <c r="S285">
        <f ca="1"/>
        <v>0.55735738370730292</v>
      </c>
      <c r="T285">
        <f ca="1"/>
        <v>0</v>
      </c>
      <c r="U285">
        <f ca="1"/>
        <v>0</v>
      </c>
      <c r="V285">
        <f ca="1"/>
        <v>7.1443351070160754E-2</v>
      </c>
      <c r="X285" s="2">
        <f t="shared" ca="1" si="29"/>
        <v>45325</v>
      </c>
      <c r="Y285">
        <f t="shared" ca="1" si="30"/>
        <v>0</v>
      </c>
      <c r="AA285" s="63">
        <f t="shared" ca="1" si="32"/>
        <v>15.431252480828222</v>
      </c>
      <c r="AB285" s="63">
        <f t="shared" ca="1" si="33"/>
        <v>15.431252480828224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45326</v>
      </c>
      <c r="K286">
        <f ca="1"/>
        <v>15.249825067454417</v>
      </c>
      <c r="L286">
        <f ca="1"/>
        <v>0.20543957835919979</v>
      </c>
      <c r="M286">
        <f ca="1"/>
        <v>-1.3994117921846794E-2</v>
      </c>
      <c r="N286">
        <f ca="1"/>
        <v>0.23953561424758144</v>
      </c>
      <c r="O286">
        <f ca="1"/>
        <v>0</v>
      </c>
      <c r="P286">
        <f ca="1"/>
        <v>4.0633904111287746</v>
      </c>
      <c r="Q286">
        <f ca="1"/>
        <v>3.7599554128951325</v>
      </c>
      <c r="R286">
        <f ca="1"/>
        <v>0</v>
      </c>
      <c r="S286">
        <f ca="1"/>
        <v>0.61117767243697052</v>
      </c>
      <c r="T286">
        <f ca="1"/>
        <v>0</v>
      </c>
      <c r="U286">
        <f ca="1"/>
        <v>0</v>
      </c>
      <c r="V286">
        <f ca="1"/>
        <v>8.0716941688170563E-2</v>
      </c>
      <c r="X286" s="2">
        <f t="shared" ca="1" si="29"/>
        <v>45326</v>
      </c>
      <c r="Y286">
        <f t="shared" ca="1" si="30"/>
        <v>0</v>
      </c>
      <c r="AA286" s="63">
        <f t="shared" ca="1" si="32"/>
        <v>15.455264645813616</v>
      </c>
      <c r="AB286" s="63">
        <f t="shared" ca="1" si="33"/>
        <v>15.455264645813617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45327</v>
      </c>
      <c r="K287">
        <f ca="1"/>
        <v>15.269354192444194</v>
      </c>
      <c r="L287">
        <f ca="1"/>
        <v>0.2217355903491427</v>
      </c>
      <c r="M287">
        <f ca="1"/>
        <v>-4.3632103646977782E-3</v>
      </c>
      <c r="N287">
        <f ca="1"/>
        <v>0.24562792570361813</v>
      </c>
      <c r="O287">
        <f ca="1"/>
        <v>0</v>
      </c>
      <c r="P287">
        <f ca="1"/>
        <v>4.2851260014779173</v>
      </c>
      <c r="Q287">
        <f ca="1"/>
        <v>3.9651328260428778</v>
      </c>
      <c r="R287">
        <f ca="1"/>
        <v>0</v>
      </c>
      <c r="S287">
        <f ca="1"/>
        <v>0.60424733528828911</v>
      </c>
      <c r="T287">
        <f ca="1"/>
        <v>0</v>
      </c>
      <c r="U287">
        <f ca="1"/>
        <v>0</v>
      </c>
      <c r="V287">
        <f ca="1"/>
        <v>9.1351242145708819E-2</v>
      </c>
      <c r="X287" s="2">
        <f t="shared" ca="1" si="29"/>
        <v>45327</v>
      </c>
      <c r="Y287">
        <f t="shared" ca="1" si="30"/>
        <v>0</v>
      </c>
      <c r="AA287" s="63">
        <f t="shared" ca="1" si="32"/>
        <v>15.491089782793336</v>
      </c>
      <c r="AB287" s="63">
        <f t="shared" ca="1" si="33"/>
        <v>15.491089782793336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45328</v>
      </c>
      <c r="K288">
        <f ca="1"/>
        <v>15.268831847882659</v>
      </c>
      <c r="L288">
        <f ca="1"/>
        <v>0.23208284839468085</v>
      </c>
      <c r="M288">
        <f ca="1"/>
        <v>5.0429600117603002E-3</v>
      </c>
      <c r="N288">
        <f ca="1"/>
        <v>0.22651754382138575</v>
      </c>
      <c r="O288">
        <f ca="1"/>
        <v>0</v>
      </c>
      <c r="P288">
        <f ca="1"/>
        <v>4.5172088498725982</v>
      </c>
      <c r="Q288">
        <f ca="1"/>
        <v>4.1798848123821113</v>
      </c>
      <c r="R288">
        <f ca="1"/>
        <v>0</v>
      </c>
      <c r="S288">
        <f ca="1"/>
        <v>0.5499886141741549</v>
      </c>
      <c r="T288">
        <f ca="1"/>
        <v>0</v>
      </c>
      <c r="U288">
        <f ca="1"/>
        <v>0</v>
      </c>
      <c r="V288">
        <f ca="1"/>
        <v>0.10315086824018324</v>
      </c>
      <c r="X288" s="2">
        <f t="shared" ca="1" si="29"/>
        <v>45328</v>
      </c>
      <c r="Y288">
        <f t="shared" ca="1" si="30"/>
        <v>0</v>
      </c>
      <c r="AA288" s="63">
        <f t="shared" ca="1" si="32"/>
        <v>15.50091469627734</v>
      </c>
      <c r="AB288" s="63">
        <f t="shared" ca="1" si="33"/>
        <v>15.50091469627734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45329</v>
      </c>
      <c r="K289">
        <f ca="1"/>
        <v>15.254267715720813</v>
      </c>
      <c r="L289">
        <f ca="1"/>
        <v>0.24582226277863306</v>
      </c>
      <c r="M289">
        <f ca="1"/>
        <v>1.3791794858335038E-2</v>
      </c>
      <c r="N289">
        <f ca="1"/>
        <v>0.2174663357584519</v>
      </c>
      <c r="O289">
        <f ca="1"/>
        <v>0</v>
      </c>
      <c r="P289">
        <f ca="1"/>
        <v>4.7630311126512312</v>
      </c>
      <c r="Q289">
        <f ca="1"/>
        <v>4.4073502178753277</v>
      </c>
      <c r="R289">
        <f ca="1"/>
        <v>0</v>
      </c>
      <c r="S289">
        <f ca="1"/>
        <v>0.51315392364917589</v>
      </c>
      <c r="T289">
        <f ca="1"/>
        <v>0</v>
      </c>
      <c r="U289">
        <f ca="1"/>
        <v>0</v>
      </c>
      <c r="V289">
        <f ca="1"/>
        <v>0.11635940092663848</v>
      </c>
      <c r="X289" s="2">
        <f t="shared" ca="1" si="29"/>
        <v>45329</v>
      </c>
      <c r="Y289">
        <f t="shared" ca="1" si="30"/>
        <v>0</v>
      </c>
      <c r="AA289" s="63">
        <f t="shared" ca="1" si="32"/>
        <v>15.500089978499446</v>
      </c>
      <c r="AB289" s="63">
        <f t="shared" ca="1" si="33"/>
        <v>15.500089978499446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45330</v>
      </c>
      <c r="K290">
        <f ca="1"/>
        <v>15.233171441784787</v>
      </c>
      <c r="L290">
        <f ca="1"/>
        <v>0.25861080934619451</v>
      </c>
      <c r="M290">
        <f ca="1"/>
        <v>2.1813760822411155E-2</v>
      </c>
      <c r="N290">
        <f ca="1"/>
        <v>0.21570077458775777</v>
      </c>
      <c r="O290">
        <f ca="1"/>
        <v>0</v>
      </c>
      <c r="P290">
        <f ca="1"/>
        <v>5.0216419219974258</v>
      </c>
      <c r="Q290">
        <f ca="1"/>
        <v>4.646649181069046</v>
      </c>
      <c r="R290">
        <f ca="1"/>
        <v>0</v>
      </c>
      <c r="S290">
        <f ca="1"/>
        <v>0.5080733018811795</v>
      </c>
      <c r="T290">
        <f ca="1"/>
        <v>0</v>
      </c>
      <c r="U290">
        <f ca="1"/>
        <v>0</v>
      </c>
      <c r="V290">
        <f ca="1"/>
        <v>0.1309961464081395</v>
      </c>
      <c r="X290" s="2">
        <f t="shared" ca="1" si="29"/>
        <v>45330</v>
      </c>
      <c r="Y290">
        <f t="shared" ca="1" si="30"/>
        <v>0</v>
      </c>
      <c r="AA290" s="63">
        <f t="shared" ca="1" si="32"/>
        <v>15.491782251130982</v>
      </c>
      <c r="AB290" s="63">
        <f t="shared" ca="1" si="33"/>
        <v>15.491782251130982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45331</v>
      </c>
      <c r="K291">
        <f ca="1"/>
        <v>15.196979355964622</v>
      </c>
      <c r="L291">
        <f ca="1"/>
        <v>0.27420377990689104</v>
      </c>
      <c r="M291">
        <f ca="1"/>
        <v>2.8178328010813658E-2</v>
      </c>
      <c r="N291">
        <f ca="1"/>
        <v>0.20983336607591205</v>
      </c>
      <c r="O291">
        <f ca="1"/>
        <v>0</v>
      </c>
      <c r="P291">
        <f ca="1"/>
        <v>5.2958457019043168</v>
      </c>
      <c r="Q291">
        <f ca="1"/>
        <v>4.9003767046841897</v>
      </c>
      <c r="R291">
        <f ca="1"/>
        <v>0</v>
      </c>
      <c r="S291">
        <f ca="1"/>
        <v>0.47988499229961562</v>
      </c>
      <c r="T291">
        <f ca="1"/>
        <v>0</v>
      </c>
      <c r="U291">
        <f ca="1"/>
        <v>0</v>
      </c>
      <c r="V291">
        <f ca="1"/>
        <v>0.14728261825706584</v>
      </c>
      <c r="X291" s="2">
        <f t="shared" ca="1" si="29"/>
        <v>45331</v>
      </c>
      <c r="Y291">
        <f t="shared" ca="1" si="30"/>
        <v>0</v>
      </c>
      <c r="AA291" s="63">
        <f t="shared" ca="1" si="32"/>
        <v>15.471183135871513</v>
      </c>
      <c r="AB291" s="63">
        <f t="shared" ca="1" si="33"/>
        <v>15.471183135871513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45332</v>
      </c>
      <c r="K292">
        <f ca="1"/>
        <v>15.148680506855356</v>
      </c>
      <c r="L292">
        <f ca="1"/>
        <v>0.29447707135460277</v>
      </c>
      <c r="M292">
        <f ca="1"/>
        <v>3.4452817717237849E-2</v>
      </c>
      <c r="N292">
        <f ca="1"/>
        <v>0.21172540452809852</v>
      </c>
      <c r="O292">
        <f ca="1"/>
        <v>0</v>
      </c>
      <c r="P292">
        <f ca="1"/>
        <v>5.5903227732589196</v>
      </c>
      <c r="Q292">
        <f ca="1"/>
        <v>5.172863605125948</v>
      </c>
      <c r="R292">
        <f ca="1"/>
        <v>0</v>
      </c>
      <c r="S292">
        <f ca="1"/>
        <v>0.46635414343668796</v>
      </c>
      <c r="T292">
        <f ca="1"/>
        <v>0</v>
      </c>
      <c r="U292">
        <f ca="1"/>
        <v>0</v>
      </c>
      <c r="V292">
        <f ca="1"/>
        <v>0.16556954447888142</v>
      </c>
      <c r="X292" s="2">
        <f t="shared" ca="1" si="29"/>
        <v>45332</v>
      </c>
      <c r="Y292">
        <f t="shared" ca="1" si="30"/>
        <v>0</v>
      </c>
      <c r="AA292" s="63">
        <f t="shared" ca="1" si="32"/>
        <v>15.443157578209959</v>
      </c>
      <c r="AB292" s="63">
        <f t="shared" ca="1" si="33"/>
        <v>15.443157578209959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45333</v>
      </c>
      <c r="K293">
        <f ca="1"/>
        <v>15.092712162196122</v>
      </c>
      <c r="L293">
        <f ca="1"/>
        <v>0.31348326829854489</v>
      </c>
      <c r="M293">
        <f ca="1"/>
        <v>4.1371946373072177E-2</v>
      </c>
      <c r="N293">
        <f ca="1"/>
        <v>0.21614297726623774</v>
      </c>
      <c r="O293">
        <f ca="1"/>
        <v>0</v>
      </c>
      <c r="P293">
        <f ca="1"/>
        <v>5.9038060415574645</v>
      </c>
      <c r="Q293">
        <f ca="1"/>
        <v>5.4629374085840174</v>
      </c>
      <c r="R293">
        <f ca="1"/>
        <v>0</v>
      </c>
      <c r="S293">
        <f ca="1"/>
        <v>0.47180186656853657</v>
      </c>
      <c r="T293">
        <f ca="1"/>
        <v>0</v>
      </c>
      <c r="U293">
        <f ca="1"/>
        <v>0</v>
      </c>
      <c r="V293">
        <f ca="1"/>
        <v>0.18583557892014643</v>
      </c>
      <c r="X293" s="2">
        <f t="shared" ca="1" si="29"/>
        <v>45333</v>
      </c>
      <c r="Y293">
        <f t="shared" ca="1" si="30"/>
        <v>0</v>
      </c>
      <c r="AA293" s="63">
        <f t="shared" ca="1" si="32"/>
        <v>15.406195430494666</v>
      </c>
      <c r="AB293" s="63">
        <f t="shared" ca="1" si="33"/>
        <v>15.406195430494666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45334</v>
      </c>
      <c r="K294">
        <f ca="1"/>
        <v>15.028872492557959</v>
      </c>
      <c r="L294">
        <f ca="1"/>
        <v>0.32935381252440532</v>
      </c>
      <c r="M294">
        <f ca="1"/>
        <v>4.774925529255114E-2</v>
      </c>
      <c r="N294">
        <f ca="1"/>
        <v>0.21776488759368978</v>
      </c>
      <c r="O294">
        <f ca="1"/>
        <v>0</v>
      </c>
      <c r="P294">
        <f ca="1"/>
        <v>6.2331598540818698</v>
      </c>
      <c r="Q294">
        <f ca="1"/>
        <v>5.7676966182251066</v>
      </c>
      <c r="R294">
        <f ca="1"/>
        <v>0</v>
      </c>
      <c r="S294">
        <f ca="1"/>
        <v>0.48134480945387942</v>
      </c>
      <c r="T294">
        <f ca="1"/>
        <v>0</v>
      </c>
      <c r="U294">
        <f ca="1"/>
        <v>0</v>
      </c>
      <c r="V294">
        <f ca="1"/>
        <v>0.20788259509618059</v>
      </c>
      <c r="X294" s="2">
        <f t="shared" ca="1" si="29"/>
        <v>45334</v>
      </c>
      <c r="Y294">
        <f t="shared" ca="1" si="30"/>
        <v>0</v>
      </c>
      <c r="AA294" s="63">
        <f t="shared" ca="1" si="32"/>
        <v>15.358226305082363</v>
      </c>
      <c r="AB294" s="63">
        <f t="shared" ca="1" si="33"/>
        <v>15.358226305082365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45335</v>
      </c>
      <c r="K295">
        <f ca="1"/>
        <v>14.937303893424907</v>
      </c>
      <c r="L295">
        <f ca="1"/>
        <v>0.34355856966417253</v>
      </c>
      <c r="M295">
        <f ca="1"/>
        <v>4.7873845455196573E-2</v>
      </c>
      <c r="N295">
        <f ca="1"/>
        <v>0.20411612507592322</v>
      </c>
      <c r="O295">
        <f ca="1"/>
        <v>0</v>
      </c>
      <c r="P295">
        <f ca="1"/>
        <v>6.5767184237460423</v>
      </c>
      <c r="Q295">
        <f ca="1"/>
        <v>6.0855998401546172</v>
      </c>
      <c r="R295">
        <f ca="1"/>
        <v>0</v>
      </c>
      <c r="S295">
        <f ca="1"/>
        <v>0.44251416052232989</v>
      </c>
      <c r="T295">
        <f ca="1"/>
        <v>0</v>
      </c>
      <c r="U295">
        <f ca="1"/>
        <v>0</v>
      </c>
      <c r="V295">
        <f ca="1"/>
        <v>0.23154920604863558</v>
      </c>
      <c r="X295" s="2">
        <f t="shared" ca="1" si="29"/>
        <v>45335</v>
      </c>
      <c r="Y295">
        <f t="shared" ca="1" si="30"/>
        <v>0</v>
      </c>
      <c r="AA295" s="63">
        <f t="shared" ca="1" si="32"/>
        <v>15.280862463089079</v>
      </c>
      <c r="AB295" s="63">
        <f t="shared" ca="1" si="33"/>
        <v>15.280862463089079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45336</v>
      </c>
      <c r="K296">
        <f ca="1"/>
        <v>14.827247318287061</v>
      </c>
      <c r="L296">
        <f ca="1"/>
        <v>0.36225971118691813</v>
      </c>
      <c r="M296">
        <f ca="1"/>
        <v>5.0620951723928442E-2</v>
      </c>
      <c r="N296">
        <f ca="1"/>
        <v>0.20158218432514405</v>
      </c>
      <c r="O296">
        <f ca="1"/>
        <v>0</v>
      </c>
      <c r="P296">
        <f ca="1"/>
        <v>6.9389781349329605</v>
      </c>
      <c r="Q296">
        <f ca="1"/>
        <v>6.4208076897918636</v>
      </c>
      <c r="R296">
        <f ca="1"/>
        <v>0</v>
      </c>
      <c r="S296">
        <f ca="1"/>
        <v>0.43167753453435048</v>
      </c>
      <c r="T296">
        <f ca="1"/>
        <v>0</v>
      </c>
      <c r="U296">
        <f ca="1"/>
        <v>0</v>
      </c>
      <c r="V296">
        <f ca="1"/>
        <v>0.2570628349070081</v>
      </c>
      <c r="X296" s="2">
        <f t="shared" ca="1" si="29"/>
        <v>45336</v>
      </c>
      <c r="Y296">
        <f t="shared" ca="1" si="30"/>
        <v>0</v>
      </c>
      <c r="AA296" s="63">
        <f t="shared" ca="1" si="32"/>
        <v>15.18950702947398</v>
      </c>
      <c r="AB296" s="63">
        <f t="shared" ca="1" si="33"/>
        <v>15.18950702947398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45337</v>
      </c>
      <c r="K297">
        <f ca="1"/>
        <v>14.704540980116406</v>
      </c>
      <c r="L297">
        <f ca="1"/>
        <v>0.37693456647748036</v>
      </c>
      <c r="M297">
        <f ca="1"/>
        <v>5.4137501775645802E-2</v>
      </c>
      <c r="N297">
        <f ca="1"/>
        <v>0.20009072653117987</v>
      </c>
      <c r="O297">
        <f ca="1"/>
        <v>0</v>
      </c>
      <c r="P297">
        <f ca="1"/>
        <v>7.3159127014104408</v>
      </c>
      <c r="Q297">
        <f ca="1"/>
        <v>6.7695945451362851</v>
      </c>
      <c r="R297">
        <f ca="1"/>
        <v>0</v>
      </c>
      <c r="S297">
        <f ca="1"/>
        <v>0.43877920317964564</v>
      </c>
      <c r="T297">
        <f ca="1"/>
        <v>0</v>
      </c>
      <c r="U297">
        <f ca="1"/>
        <v>0</v>
      </c>
      <c r="V297">
        <f ca="1"/>
        <v>0.28401719383592128</v>
      </c>
      <c r="X297" s="2">
        <f t="shared" ca="1" si="29"/>
        <v>45337</v>
      </c>
      <c r="Y297">
        <f t="shared" ca="1" si="30"/>
        <v>0</v>
      </c>
      <c r="AA297" s="63">
        <f t="shared" ca="1" si="32"/>
        <v>15.081475546593886</v>
      </c>
      <c r="AB297" s="63">
        <f t="shared" ca="1" si="33"/>
        <v>15.081475546593886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45338</v>
      </c>
      <c r="K298">
        <f ca="1"/>
        <v>14.561020007132024</v>
      </c>
      <c r="L298">
        <f ca="1"/>
        <v>0.39456780682063908</v>
      </c>
      <c r="M298">
        <f ca="1"/>
        <v>5.5370739948429559E-2</v>
      </c>
      <c r="N298">
        <f ca="1"/>
        <v>0.19567609388782833</v>
      </c>
      <c r="O298">
        <f ca="1"/>
        <v>0</v>
      </c>
      <c r="P298">
        <f ca="1"/>
        <v>7.7104805082310799</v>
      </c>
      <c r="Q298">
        <f ca="1"/>
        <v>7.1346978728761616</v>
      </c>
      <c r="R298">
        <f ca="1"/>
        <v>0</v>
      </c>
      <c r="S298">
        <f ca="1"/>
        <v>0.42702033491423297</v>
      </c>
      <c r="T298">
        <f ca="1"/>
        <v>0</v>
      </c>
      <c r="U298">
        <f ca="1"/>
        <v>0</v>
      </c>
      <c r="V298">
        <f ca="1"/>
        <v>0.31245694604831853</v>
      </c>
      <c r="X298" s="2">
        <f t="shared" ca="1" si="29"/>
        <v>45338</v>
      </c>
      <c r="Y298">
        <f t="shared" ca="1" si="30"/>
        <v>0</v>
      </c>
      <c r="AA298" s="63">
        <f t="shared" ca="1" si="32"/>
        <v>14.955587813952663</v>
      </c>
      <c r="AB298" s="63">
        <f t="shared" ca="1" si="33"/>
        <v>14.955587813952663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45339</v>
      </c>
      <c r="K299">
        <f ca="1"/>
        <v>14.41773711088031</v>
      </c>
      <c r="L299">
        <f ca="1"/>
        <v>0.41547698944015909</v>
      </c>
      <c r="M299">
        <f ca="1"/>
        <v>6.4487538959618007E-2</v>
      </c>
      <c r="N299">
        <f ca="1"/>
        <v>0.20770655422882825</v>
      </c>
      <c r="O299">
        <f ca="1"/>
        <v>0</v>
      </c>
      <c r="P299">
        <f ca="1"/>
        <v>8.125957497671239</v>
      </c>
      <c r="Q299">
        <f ca="1"/>
        <v>7.5191489832347509</v>
      </c>
      <c r="R299">
        <f ca="1"/>
        <v>0</v>
      </c>
      <c r="S299">
        <f ca="1"/>
        <v>0.47208151778594259</v>
      </c>
      <c r="T299">
        <f ca="1"/>
        <v>0</v>
      </c>
      <c r="U299">
        <f ca="1"/>
        <v>0</v>
      </c>
      <c r="V299">
        <f ca="1"/>
        <v>0.3424144629958491</v>
      </c>
      <c r="X299" s="2">
        <f t="shared" ca="1" si="29"/>
        <v>45339</v>
      </c>
      <c r="Y299">
        <f t="shared" ca="1" si="30"/>
        <v>0</v>
      </c>
      <c r="AA299" s="63">
        <f t="shared" ca="1" si="32"/>
        <v>14.83321410032047</v>
      </c>
      <c r="AB299" s="63">
        <f t="shared" ca="1" si="33"/>
        <v>14.833214100320468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45340</v>
      </c>
      <c r="K300">
        <f ca="1"/>
        <v>14.245236484585426</v>
      </c>
      <c r="L300">
        <f ca="1"/>
        <v>0.44021587633005588</v>
      </c>
      <c r="M300">
        <f ca="1"/>
        <v>6.4545581857345269E-2</v>
      </c>
      <c r="N300">
        <f ca="1"/>
        <v>0.20316966817782717</v>
      </c>
      <c r="O300">
        <f ca="1"/>
        <v>0</v>
      </c>
      <c r="P300">
        <f ca="1"/>
        <v>8.5661733740012949</v>
      </c>
      <c r="Q300">
        <f ca="1"/>
        <v>7.9264915960726281</v>
      </c>
      <c r="R300">
        <f ca="1"/>
        <v>0</v>
      </c>
      <c r="S300">
        <f ca="1"/>
        <v>0.44727153005858078</v>
      </c>
      <c r="T300">
        <f ca="1"/>
        <v>0</v>
      </c>
      <c r="U300">
        <f ca="1"/>
        <v>0</v>
      </c>
      <c r="V300">
        <f ca="1"/>
        <v>0.37391448267378469</v>
      </c>
      <c r="X300" s="2">
        <f t="shared" ca="1" si="29"/>
        <v>45340</v>
      </c>
      <c r="Y300">
        <f t="shared" ca="1" si="30"/>
        <v>0</v>
      </c>
      <c r="AA300" s="63">
        <f t="shared" ca="1" si="32"/>
        <v>14.685452360915482</v>
      </c>
      <c r="AB300" s="63">
        <f t="shared" ca="1" si="33"/>
        <v>14.685452360915482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45341</v>
      </c>
      <c r="K301">
        <f ca="1"/>
        <v>14.044255743667712</v>
      </c>
      <c r="L301">
        <f ca="1"/>
        <v>0.4630479218330823</v>
      </c>
      <c r="M301">
        <f ca="1"/>
        <v>6.4030836255724921E-2</v>
      </c>
      <c r="N301">
        <f ca="1"/>
        <v>0.19803634465964237</v>
      </c>
      <c r="O301">
        <f ca="1"/>
        <v>0</v>
      </c>
      <c r="P301">
        <f ca="1"/>
        <v>9.0292212958343772</v>
      </c>
      <c r="Q301">
        <f ca="1"/>
        <v>8.3549612640025899</v>
      </c>
      <c r="R301">
        <f ca="1"/>
        <v>0</v>
      </c>
      <c r="S301">
        <f ca="1"/>
        <v>0.42735899739301741</v>
      </c>
      <c r="T301">
        <f ca="1"/>
        <v>0</v>
      </c>
      <c r="U301">
        <f ca="1"/>
        <v>0</v>
      </c>
      <c r="V301">
        <f ca="1"/>
        <v>0.40652087869178238</v>
      </c>
      <c r="X301" s="2">
        <f t="shared" ca="1" si="29"/>
        <v>45341</v>
      </c>
      <c r="Y301">
        <f t="shared" ca="1" si="30"/>
        <v>0</v>
      </c>
      <c r="AA301" s="63">
        <f t="shared" ca="1" si="32"/>
        <v>14.507303665500794</v>
      </c>
      <c r="AB301" s="63">
        <f t="shared" ca="1" si="33"/>
        <v>14.507303665500794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45342</v>
      </c>
      <c r="K302">
        <f ca="1"/>
        <v>13.833007896785606</v>
      </c>
      <c r="L302">
        <f ca="1"/>
        <v>0.48926579640961165</v>
      </c>
      <c r="M302">
        <f ca="1"/>
        <v>7.1118175384313531E-2</v>
      </c>
      <c r="N302">
        <f ca="1"/>
        <v>0.20689977414319305</v>
      </c>
      <c r="O302">
        <f ca="1"/>
        <v>0</v>
      </c>
      <c r="P302">
        <f ca="1"/>
        <v>9.5184870922439888</v>
      </c>
      <c r="Q302">
        <f ca="1"/>
        <v>8.807690978212781</v>
      </c>
      <c r="R302">
        <f ca="1"/>
        <v>0</v>
      </c>
      <c r="S302">
        <f ca="1"/>
        <v>0.45632962872130611</v>
      </c>
      <c r="T302">
        <f ca="1"/>
        <v>0</v>
      </c>
      <c r="U302">
        <f ca="1"/>
        <v>0</v>
      </c>
      <c r="V302">
        <f ca="1"/>
        <v>0.44012906021900916</v>
      </c>
      <c r="X302" s="2">
        <f t="shared" ca="1" si="29"/>
        <v>45342</v>
      </c>
      <c r="Y302">
        <f t="shared" ca="1" si="30"/>
        <v>0</v>
      </c>
      <c r="AA302" s="63">
        <f t="shared" ca="1" si="32"/>
        <v>14.322273693195218</v>
      </c>
      <c r="AB302" s="63">
        <f t="shared" ca="1" si="33"/>
        <v>14.322273693195218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45343</v>
      </c>
      <c r="K303">
        <f ca="1"/>
        <v>13.60217469820001</v>
      </c>
      <c r="L303">
        <f ca="1"/>
        <v>0.51262437383928905</v>
      </c>
      <c r="M303">
        <f ca="1"/>
        <v>7.4050090983334371E-2</v>
      </c>
      <c r="N303">
        <f ca="1"/>
        <v>0.20774108427035751</v>
      </c>
      <c r="O303">
        <f ca="1"/>
        <v>0</v>
      </c>
      <c r="P303">
        <f ca="1"/>
        <v>10.031111466083278</v>
      </c>
      <c r="Q303">
        <f ca="1"/>
        <v>9.2820349604991375</v>
      </c>
      <c r="R303">
        <f ca="1"/>
        <v>0</v>
      </c>
      <c r="S303">
        <f ca="1"/>
        <v>0.46333632818735665</v>
      </c>
      <c r="T303">
        <f ca="1"/>
        <v>0</v>
      </c>
      <c r="U303">
        <f ca="1"/>
        <v>0</v>
      </c>
      <c r="V303">
        <f ca="1"/>
        <v>0.47417201159211969</v>
      </c>
      <c r="X303" s="2">
        <f t="shared" ca="1" si="29"/>
        <v>45343</v>
      </c>
      <c r="Y303">
        <f t="shared" ca="1" si="30"/>
        <v>0</v>
      </c>
      <c r="AA303" s="63">
        <f t="shared" ca="1" si="32"/>
        <v>14.114799072039299</v>
      </c>
      <c r="AB303" s="63">
        <f t="shared" ca="1" si="33"/>
        <v>14.114799072039299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45344</v>
      </c>
      <c r="K304">
        <f ca="1"/>
        <v>13.338718395531636</v>
      </c>
      <c r="L304">
        <f ca="1"/>
        <v>0.53288067941742234</v>
      </c>
      <c r="M304">
        <f ca="1"/>
        <v>7.1009423948233064E-2</v>
      </c>
      <c r="N304">
        <f ca="1"/>
        <v>0.19841495280081531</v>
      </c>
      <c r="O304">
        <f ca="1"/>
        <v>0</v>
      </c>
      <c r="P304">
        <f ca="1"/>
        <v>10.5639921455007</v>
      </c>
      <c r="Q304">
        <f ca="1"/>
        <v>9.7751226021678548</v>
      </c>
      <c r="R304">
        <f ca="1"/>
        <v>0</v>
      </c>
      <c r="S304">
        <f ca="1"/>
        <v>0.43955074110868847</v>
      </c>
      <c r="T304">
        <f ca="1"/>
        <v>0</v>
      </c>
      <c r="U304">
        <f ca="1"/>
        <v>0</v>
      </c>
      <c r="V304">
        <f ca="1"/>
        <v>0.50808625431152654</v>
      </c>
      <c r="X304" s="2">
        <f t="shared" ca="1" si="29"/>
        <v>45344</v>
      </c>
      <c r="Y304">
        <f t="shared" ca="1" si="30"/>
        <v>0</v>
      </c>
      <c r="AA304" s="63">
        <f t="shared" ca="1" si="32"/>
        <v>13.871599074949058</v>
      </c>
      <c r="AB304" s="63">
        <f t="shared" ca="1" si="33"/>
        <v>13.871599074949058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45345</v>
      </c>
      <c r="K305">
        <f ca="1"/>
        <v>13.053405801983766</v>
      </c>
      <c r="L305">
        <f ca="1"/>
        <v>0.55939100982628531</v>
      </c>
      <c r="M305">
        <f ca="1"/>
        <v>7.3790884194316675E-2</v>
      </c>
      <c r="N305">
        <f ca="1"/>
        <v>0.20028753208409894</v>
      </c>
      <c r="O305">
        <f ca="1"/>
        <v>0</v>
      </c>
      <c r="P305">
        <f ca="1"/>
        <v>11.123383155326986</v>
      </c>
      <c r="Q305">
        <f ca="1"/>
        <v>10.292740906714906</v>
      </c>
      <c r="R305">
        <f ca="1"/>
        <v>0</v>
      </c>
      <c r="S305">
        <f ca="1"/>
        <v>0.44740116388240575</v>
      </c>
      <c r="T305">
        <f ca="1"/>
        <v>0</v>
      </c>
      <c r="U305">
        <f ca="1"/>
        <v>0</v>
      </c>
      <c r="V305">
        <f ca="1"/>
        <v>0.54190871120978057</v>
      </c>
      <c r="X305" s="2">
        <f t="shared" ca="1" si="29"/>
        <v>45345</v>
      </c>
      <c r="Y305">
        <f t="shared" ca="1" si="30"/>
        <v>0</v>
      </c>
      <c r="AA305" s="63">
        <f t="shared" ca="1" si="32"/>
        <v>13.612796811810052</v>
      </c>
      <c r="AB305" s="63">
        <f t="shared" ca="1" si="33"/>
        <v>13.612796811810052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45346</v>
      </c>
      <c r="K306">
        <f ca="1"/>
        <v>12.736518746829857</v>
      </c>
      <c r="L306">
        <f ca="1"/>
        <v>0.57390090029281815</v>
      </c>
      <c r="M306">
        <f ca="1"/>
        <v>6.8928307741362715E-2</v>
      </c>
      <c r="N306">
        <f ca="1"/>
        <v>0.18808553739754552</v>
      </c>
      <c r="O306">
        <f ca="1"/>
        <v>0</v>
      </c>
      <c r="P306">
        <f ca="1"/>
        <v>11.697284055619804</v>
      </c>
      <c r="Q306">
        <f ca="1"/>
        <v>10.823785570946894</v>
      </c>
      <c r="R306">
        <f ca="1"/>
        <v>0</v>
      </c>
      <c r="S306">
        <f ca="1"/>
        <v>0.42288227138482659</v>
      </c>
      <c r="T306">
        <f ca="1"/>
        <v>0</v>
      </c>
      <c r="U306">
        <f ca="1"/>
        <v>0</v>
      </c>
      <c r="V306">
        <f ca="1"/>
        <v>0.5746074631304664</v>
      </c>
      <c r="X306" s="2">
        <f t="shared" ca="1" si="29"/>
        <v>45346</v>
      </c>
      <c r="Y306">
        <f t="shared" ca="1" si="30"/>
        <v>0</v>
      </c>
      <c r="AA306" s="63">
        <f t="shared" ca="1" si="32"/>
        <v>13.310419647122675</v>
      </c>
      <c r="AB306" s="63">
        <f t="shared" ca="1" si="33"/>
        <v>13.310419647122675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45347</v>
      </c>
      <c r="K307">
        <f ca="1"/>
        <v>12.387779125056868</v>
      </c>
      <c r="L307">
        <f ca="1"/>
        <v>0.58571118039919945</v>
      </c>
      <c r="M307">
        <f ca="1"/>
        <v>6.2598961703944411E-2</v>
      </c>
      <c r="N307">
        <f ca="1"/>
        <v>0.17437259692226675</v>
      </c>
      <c r="O307">
        <f ca="1"/>
        <v>0</v>
      </c>
      <c r="P307">
        <f ca="1"/>
        <v>12.282995236019003</v>
      </c>
      <c r="Q307">
        <f ca="1"/>
        <v>11.365758578783819</v>
      </c>
      <c r="R307">
        <f ca="1"/>
        <v>0</v>
      </c>
      <c r="S307">
        <f ca="1"/>
        <v>0.39170383216988852</v>
      </c>
      <c r="T307">
        <f ca="1"/>
        <v>0</v>
      </c>
      <c r="U307">
        <f ca="1"/>
        <v>0</v>
      </c>
      <c r="V307">
        <f ca="1"/>
        <v>0.60584056775058559</v>
      </c>
      <c r="X307" s="2">
        <f t="shared" ca="1" si="29"/>
        <v>45347</v>
      </c>
      <c r="Y307">
        <f t="shared" ca="1" si="30"/>
        <v>0</v>
      </c>
      <c r="AA307" s="63">
        <f t="shared" ca="1" si="32"/>
        <v>12.973490305456068</v>
      </c>
      <c r="AB307" s="63">
        <f t="shared" ca="1" si="33"/>
        <v>12.973490305456068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45348</v>
      </c>
      <c r="K308">
        <f ca="1"/>
        <v>12.00692810259264</v>
      </c>
      <c r="L308">
        <f ca="1"/>
        <v>0.61699505230740037</v>
      </c>
      <c r="M308">
        <f ca="1"/>
        <v>6.2331284920539076E-2</v>
      </c>
      <c r="N308">
        <f ca="1"/>
        <v>0.17381274492263399</v>
      </c>
      <c r="O308">
        <f ca="1"/>
        <v>0</v>
      </c>
      <c r="P308">
        <f ca="1"/>
        <v>12.899990288326403</v>
      </c>
      <c r="Q308">
        <f ca="1"/>
        <v>11.936679325237098</v>
      </c>
      <c r="R308">
        <f ca="1"/>
        <v>0</v>
      </c>
      <c r="S308">
        <f ca="1"/>
        <v>0.38257052228775396</v>
      </c>
      <c r="T308">
        <f ca="1"/>
        <v>0</v>
      </c>
      <c r="U308">
        <f ca="1"/>
        <v>0</v>
      </c>
      <c r="V308">
        <f ca="1"/>
        <v>0.63641193747966174</v>
      </c>
      <c r="X308" s="2">
        <f t="shared" ca="1" si="29"/>
        <v>45348</v>
      </c>
      <c r="Y308">
        <f t="shared" ca="1" si="30"/>
        <v>0</v>
      </c>
      <c r="AA308" s="63">
        <f t="shared" ca="1" si="32"/>
        <v>12.623923154900041</v>
      </c>
      <c r="AB308" s="63">
        <f t="shared" ca="1" si="33"/>
        <v>12.623923154900041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45349</v>
      </c>
      <c r="K309">
        <f ca="1"/>
        <v>11.589538802586514</v>
      </c>
      <c r="L309">
        <f ca="1"/>
        <v>0.64991581510498975</v>
      </c>
      <c r="M309">
        <f ca="1"/>
        <v>6.0758924176745666E-2</v>
      </c>
      <c r="N309">
        <f ca="1"/>
        <v>0.17176759092211816</v>
      </c>
      <c r="O309">
        <f ca="1"/>
        <v>0</v>
      </c>
      <c r="P309">
        <f ca="1"/>
        <v>13.549906103431393</v>
      </c>
      <c r="Q309">
        <f ca="1"/>
        <v>12.53806246583749</v>
      </c>
      <c r="R309">
        <f ca="1"/>
        <v>0</v>
      </c>
      <c r="S309">
        <f ca="1"/>
        <v>0.366412294199493</v>
      </c>
      <c r="T309">
        <f ca="1"/>
        <v>0</v>
      </c>
      <c r="U309">
        <f ca="1"/>
        <v>0</v>
      </c>
      <c r="V309">
        <f ca="1"/>
        <v>0.66609242294384652</v>
      </c>
      <c r="X309" s="2">
        <f t="shared" ca="1" si="29"/>
        <v>45349</v>
      </c>
      <c r="Y309">
        <f t="shared" ca="1" si="30"/>
        <v>0</v>
      </c>
      <c r="AA309" s="63">
        <f t="shared" ca="1" si="32"/>
        <v>12.239454617691504</v>
      </c>
      <c r="AB309" s="63">
        <f t="shared" ca="1" si="33"/>
        <v>12.239454617691504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45350</v>
      </c>
      <c r="K310">
        <f ca="1"/>
        <v>11.158239254915516</v>
      </c>
      <c r="L310">
        <f ca="1"/>
        <v>0.67026533173440583</v>
      </c>
      <c r="M310">
        <f ca="1"/>
        <v>6.4710247669566456E-2</v>
      </c>
      <c r="N310">
        <f ca="1"/>
        <v>0.17425553639384256</v>
      </c>
      <c r="O310">
        <f ca="1"/>
        <v>0</v>
      </c>
      <c r="P310">
        <f ca="1"/>
        <v>14.220171435165799</v>
      </c>
      <c r="Q310">
        <f ca="1"/>
        <v>13.158275516306015</v>
      </c>
      <c r="R310">
        <f ca="1"/>
        <v>0</v>
      </c>
      <c r="S310">
        <f ca="1"/>
        <v>0.39414509037747814</v>
      </c>
      <c r="T310">
        <f ca="1"/>
        <v>0</v>
      </c>
      <c r="U310">
        <f ca="1"/>
        <v>0</v>
      </c>
      <c r="V310">
        <f ca="1"/>
        <v>0.69410850203430008</v>
      </c>
      <c r="X310" s="2">
        <f t="shared" ca="1" si="29"/>
        <v>45350</v>
      </c>
      <c r="Y310">
        <f t="shared" ca="1" si="30"/>
        <v>0</v>
      </c>
      <c r="AA310" s="63">
        <f t="shared" ca="1" si="32"/>
        <v>11.828504586649922</v>
      </c>
      <c r="AB310" s="63">
        <f t="shared" ca="1" si="33"/>
        <v>11.828504586649922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45351</v>
      </c>
      <c r="K311">
        <f ca="1"/>
        <v>10.710852632077488</v>
      </c>
      <c r="L311">
        <f ca="1"/>
        <v>0.70338161292713863</v>
      </c>
      <c r="M311">
        <f ca="1"/>
        <v>7.2025030733236406E-2</v>
      </c>
      <c r="N311">
        <f ca="1"/>
        <v>0.18396995935587379</v>
      </c>
      <c r="O311">
        <f ca="1"/>
        <v>0</v>
      </c>
      <c r="P311">
        <f ca="1"/>
        <v>14.923553048092938</v>
      </c>
      <c r="Q311">
        <f ca="1"/>
        <v>13.809131878917167</v>
      </c>
      <c r="R311">
        <f ca="1"/>
        <v>0</v>
      </c>
      <c r="S311">
        <f ca="1"/>
        <v>0.43335553333918869</v>
      </c>
      <c r="T311">
        <f ca="1"/>
        <v>0</v>
      </c>
      <c r="U311">
        <f ca="1"/>
        <v>0</v>
      </c>
      <c r="V311">
        <f ca="1"/>
        <v>0.72084461444662917</v>
      </c>
      <c r="X311" s="2">
        <f t="shared" ca="1" si="29"/>
        <v>45351</v>
      </c>
      <c r="Y311">
        <f t="shared" ca="1" si="30"/>
        <v>0</v>
      </c>
      <c r="AA311" s="63">
        <f t="shared" ca="1" si="32"/>
        <v>11.414234245004627</v>
      </c>
      <c r="AB311" s="63">
        <f t="shared" ca="1" si="33"/>
        <v>11.414234245004627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45352</v>
      </c>
      <c r="K312">
        <f ca="1"/>
        <v>10.222730604035075</v>
      </c>
      <c r="L312">
        <f ca="1"/>
        <v>0.75155115831189967</v>
      </c>
      <c r="M312">
        <f ca="1"/>
        <v>7.4337526957428679E-2</v>
      </c>
      <c r="N312">
        <f ca="1"/>
        <v>0.18909160331205793</v>
      </c>
      <c r="O312">
        <f ca="1"/>
        <v>0</v>
      </c>
      <c r="P312">
        <f ca="1"/>
        <v>15.675104206404837</v>
      </c>
      <c r="Q312">
        <f ca="1"/>
        <v>14.504560710472008</v>
      </c>
      <c r="R312">
        <f ca="1"/>
        <v>0</v>
      </c>
      <c r="S312">
        <f ca="1"/>
        <v>0.43222914962268216</v>
      </c>
      <c r="T312">
        <f ca="1"/>
        <v>0</v>
      </c>
      <c r="U312">
        <f ca="1"/>
        <v>0</v>
      </c>
      <c r="V312">
        <f ca="1"/>
        <v>0.7466198824955752</v>
      </c>
      <c r="X312" s="2">
        <f t="shared" ca="1" si="29"/>
        <v>45352</v>
      </c>
      <c r="Y312">
        <f t="shared" ca="1" si="30"/>
        <v>0</v>
      </c>
      <c r="AA312" s="63">
        <f t="shared" ca="1" si="32"/>
        <v>10.974281762346974</v>
      </c>
      <c r="AB312" s="63">
        <f t="shared" ca="1" si="33"/>
        <v>10.974281762346974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45353</v>
      </c>
      <c r="K313">
        <f ca="1"/>
        <v>9.7085234116814938</v>
      </c>
      <c r="L313">
        <f ca="1"/>
        <v>0.7889420529599267</v>
      </c>
      <c r="M313">
        <f ca="1"/>
        <v>7.9092718942021634E-2</v>
      </c>
      <c r="N313">
        <f ca="1"/>
        <v>0.19564214166432395</v>
      </c>
      <c r="O313">
        <f ca="1"/>
        <v>0</v>
      </c>
      <c r="P313">
        <f ca="1"/>
        <v>16.464046259364764</v>
      </c>
      <c r="Q313">
        <f ca="1"/>
        <v>15.234588259477135</v>
      </c>
      <c r="R313">
        <f ca="1"/>
        <v>0</v>
      </c>
      <c r="S313">
        <f ca="1"/>
        <v>0.45522456162657537</v>
      </c>
      <c r="T313">
        <f ca="1"/>
        <v>0</v>
      </c>
      <c r="U313">
        <f ca="1"/>
        <v>0</v>
      </c>
      <c r="V313">
        <f ca="1"/>
        <v>0.77084687795443541</v>
      </c>
      <c r="X313" s="2">
        <f t="shared" ca="1" si="29"/>
        <v>45353</v>
      </c>
      <c r="Y313">
        <f t="shared" ca="1" si="30"/>
        <v>0</v>
      </c>
      <c r="AA313" s="63">
        <f t="shared" ca="1" si="32"/>
        <v>10.49746546464142</v>
      </c>
      <c r="AB313" s="63">
        <f t="shared" ca="1" si="33"/>
        <v>10.49746546464142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45354</v>
      </c>
      <c r="K314">
        <f ca="1"/>
        <v>9.1991782404211389</v>
      </c>
      <c r="L314">
        <f ca="1"/>
        <v>0.79248045587830518</v>
      </c>
      <c r="M314">
        <f ca="1"/>
        <v>8.2986830287435254E-2</v>
      </c>
      <c r="N314">
        <f ca="1"/>
        <v>0.20014845433051512</v>
      </c>
      <c r="O314">
        <f ca="1"/>
        <v>0</v>
      </c>
      <c r="P314">
        <f ca="1"/>
        <v>17.256526715243069</v>
      </c>
      <c r="Q314">
        <f ca="1"/>
        <v>15.967889980013876</v>
      </c>
      <c r="R314">
        <f ca="1"/>
        <v>0</v>
      </c>
      <c r="S314">
        <f ca="1"/>
        <v>0.5141090631130677</v>
      </c>
      <c r="T314">
        <f ca="1"/>
        <v>0</v>
      </c>
      <c r="U314">
        <f ca="1"/>
        <v>0</v>
      </c>
      <c r="V314">
        <f ca="1"/>
        <v>0.79255240772857027</v>
      </c>
      <c r="X314" s="2">
        <f t="shared" ca="1" si="29"/>
        <v>45354</v>
      </c>
      <c r="Y314">
        <f t="shared" ca="1" si="30"/>
        <v>0</v>
      </c>
      <c r="AA314" s="63">
        <f t="shared" ca="1" si="32"/>
        <v>9.991658696299444</v>
      </c>
      <c r="AB314" s="63">
        <f t="shared" ca="1" si="33"/>
        <v>9.991658696299444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45355</v>
      </c>
      <c r="K315">
        <f ca="1"/>
        <v>8.6560366583011277</v>
      </c>
      <c r="L315">
        <f ca="1"/>
        <v>0.823487903040796</v>
      </c>
      <c r="M315">
        <f ca="1"/>
        <v>8.2817935312043289E-2</v>
      </c>
      <c r="N315">
        <f ca="1"/>
        <v>0.19752838560874195</v>
      </c>
      <c r="O315">
        <f ca="1"/>
        <v>0</v>
      </c>
      <c r="P315">
        <f ca="1"/>
        <v>18.080014618283865</v>
      </c>
      <c r="Q315">
        <f ca="1"/>
        <v>16.729883656528902</v>
      </c>
      <c r="R315">
        <f ca="1"/>
        <v>0</v>
      </c>
      <c r="S315">
        <f ca="1"/>
        <v>0.50868586670625804</v>
      </c>
      <c r="T315">
        <f ca="1"/>
        <v>0</v>
      </c>
      <c r="U315">
        <f ca="1"/>
        <v>0</v>
      </c>
      <c r="V315">
        <f ca="1"/>
        <v>0.81261554817765158</v>
      </c>
      <c r="X315" s="2">
        <f t="shared" ca="1" si="29"/>
        <v>45355</v>
      </c>
      <c r="Y315">
        <f t="shared" ca="1" si="30"/>
        <v>0</v>
      </c>
      <c r="AA315" s="63">
        <f t="shared" ca="1" si="32"/>
        <v>9.4795245613419237</v>
      </c>
      <c r="AB315" s="63">
        <f t="shared" ca="1" si="33"/>
        <v>9.4795245613419237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45356</v>
      </c>
      <c r="K316">
        <f ca="1"/>
        <v>8.0632343776457223</v>
      </c>
      <c r="L316">
        <f ca="1"/>
        <v>0.87916322781489953</v>
      </c>
      <c r="M316">
        <f ca="1"/>
        <v>8.5232885245385859E-2</v>
      </c>
      <c r="N316">
        <f ca="1"/>
        <v>0.20112806191410745</v>
      </c>
      <c r="O316">
        <f ca="1"/>
        <v>0</v>
      </c>
      <c r="P316">
        <f ca="1"/>
        <v>18.959177846098765</v>
      </c>
      <c r="Q316">
        <f ca="1"/>
        <v>17.543395084864116</v>
      </c>
      <c r="R316">
        <f ca="1"/>
        <v>0</v>
      </c>
      <c r="S316">
        <f ca="1"/>
        <v>0.49906968295805526</v>
      </c>
      <c r="T316">
        <f ca="1"/>
        <v>0</v>
      </c>
      <c r="U316">
        <f ca="1"/>
        <v>0</v>
      </c>
      <c r="V316">
        <f ca="1"/>
        <v>0.83155748407997554</v>
      </c>
      <c r="X316" s="2">
        <f t="shared" ca="1" si="29"/>
        <v>45356</v>
      </c>
      <c r="Y316">
        <f t="shared" ca="1" si="30"/>
        <v>0</v>
      </c>
      <c r="AA316" s="63">
        <f t="shared" ca="1" si="32"/>
        <v>8.9423976054606218</v>
      </c>
      <c r="AB316" s="63">
        <f t="shared" ca="1" si="33"/>
        <v>8.9423976054606218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45357</v>
      </c>
      <c r="K317">
        <f ca="1"/>
        <v>7.4506919350067111</v>
      </c>
      <c r="L317">
        <f ca="1"/>
        <v>0.88862255779415733</v>
      </c>
      <c r="M317">
        <f ca="1"/>
        <v>8.2160199062322192E-2</v>
      </c>
      <c r="N317">
        <f ca="1"/>
        <v>0.19391991609282458</v>
      </c>
      <c r="O317">
        <f ca="1"/>
        <v>0</v>
      </c>
      <c r="P317">
        <f ca="1"/>
        <v>19.847800403892922</v>
      </c>
      <c r="Q317">
        <f ca="1"/>
        <v>18.365659464641176</v>
      </c>
      <c r="R317">
        <f ca="1"/>
        <v>0</v>
      </c>
      <c r="S317">
        <f ca="1"/>
        <v>0.5038708763525277</v>
      </c>
      <c r="T317">
        <f ca="1"/>
        <v>0</v>
      </c>
      <c r="U317">
        <f ca="1"/>
        <v>0</v>
      </c>
      <c r="V317">
        <f ca="1"/>
        <v>0.84842385255940678</v>
      </c>
      <c r="X317" s="2">
        <f t="shared" ca="1" si="29"/>
        <v>45357</v>
      </c>
      <c r="Y317">
        <f t="shared" ca="1" si="30"/>
        <v>0</v>
      </c>
      <c r="AA317" s="63">
        <f t="shared" ca="1" si="32"/>
        <v>8.3393144928008685</v>
      </c>
      <c r="AB317" s="63">
        <f t="shared" ca="1" si="33"/>
        <v>8.3393144928008685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45358</v>
      </c>
      <c r="K318">
        <f ca="1"/>
        <v>6.7755791418605975</v>
      </c>
      <c r="L318">
        <f ca="1"/>
        <v>0.94456919968272146</v>
      </c>
      <c r="M318">
        <f ca="1"/>
        <v>7.9064031189567174E-2</v>
      </c>
      <c r="N318">
        <f ca="1"/>
        <v>0.19039237534704029</v>
      </c>
      <c r="O318">
        <f ca="1"/>
        <v>0</v>
      </c>
      <c r="P318">
        <f ca="1"/>
        <v>20.792369603575644</v>
      </c>
      <c r="Q318">
        <f ca="1"/>
        <v>19.239692652659283</v>
      </c>
      <c r="R318">
        <f ca="1"/>
        <v>0</v>
      </c>
      <c r="S318">
        <f ca="1"/>
        <v>0.4697178928815493</v>
      </c>
      <c r="T318">
        <f ca="1"/>
        <v>0</v>
      </c>
      <c r="U318">
        <f ca="1"/>
        <v>0</v>
      </c>
      <c r="V318">
        <f ca="1"/>
        <v>0.8641681122571595</v>
      </c>
      <c r="X318" s="2">
        <f t="shared" ca="1" si="29"/>
        <v>45358</v>
      </c>
      <c r="Y318">
        <f t="shared" ca="1" si="30"/>
        <v>0</v>
      </c>
      <c r="AA318" s="63">
        <f t="shared" ca="1" si="32"/>
        <v>7.720148341543319</v>
      </c>
      <c r="AB318" s="63">
        <f t="shared" ca="1" si="33"/>
        <v>7.720148341543319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45359</v>
      </c>
      <c r="K319">
        <f ca="1"/>
        <v>6.0590615704577511</v>
      </c>
      <c r="L319">
        <f ca="1"/>
        <v>0.99793252655770459</v>
      </c>
      <c r="M319">
        <f ca="1"/>
        <v>8.3209643829491142E-2</v>
      </c>
      <c r="N319">
        <f ca="1"/>
        <v>0.1982053113253667</v>
      </c>
      <c r="O319">
        <f ca="1"/>
        <v>0</v>
      </c>
      <c r="P319">
        <f ca="1"/>
        <v>21.790302130133348</v>
      </c>
      <c r="Q319">
        <f ca="1"/>
        <v>20.163104243792223</v>
      </c>
      <c r="R319">
        <f ca="1"/>
        <v>0</v>
      </c>
      <c r="S319">
        <f ca="1"/>
        <v>0.48678215093186078</v>
      </c>
      <c r="T319">
        <f ca="1"/>
        <v>0</v>
      </c>
      <c r="U319">
        <f ca="1"/>
        <v>0</v>
      </c>
      <c r="V319">
        <f ca="1"/>
        <v>0.8786918943460168</v>
      </c>
      <c r="X319" s="2">
        <f t="shared" ca="1" si="29"/>
        <v>45359</v>
      </c>
      <c r="Y319">
        <f t="shared" ca="1" si="30"/>
        <v>0</v>
      </c>
      <c r="AA319" s="63">
        <f t="shared" ca="1" si="32"/>
        <v>7.0569940970154557</v>
      </c>
      <c r="AB319" s="63">
        <f t="shared" ca="1" si="33"/>
        <v>7.0569940970154557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45360</v>
      </c>
      <c r="K320">
        <f ca="1"/>
        <v>5.3035200676794689</v>
      </c>
      <c r="L320">
        <f ca="1"/>
        <v>1.0241668596687568</v>
      </c>
      <c r="M320">
        <f ca="1"/>
        <v>7.8670314779873962E-2</v>
      </c>
      <c r="N320">
        <f ca="1"/>
        <v>0.18995504211060038</v>
      </c>
      <c r="O320">
        <f ca="1"/>
        <v>0</v>
      </c>
      <c r="P320">
        <f ca="1"/>
        <v>22.814468989802105</v>
      </c>
      <c r="Q320">
        <f ca="1"/>
        <v>21.110791110693505</v>
      </c>
      <c r="R320">
        <f ca="1"/>
        <v>0</v>
      </c>
      <c r="S320">
        <f ca="1"/>
        <v>0.47025558370464032</v>
      </c>
      <c r="T320">
        <f ca="1"/>
        <v>0</v>
      </c>
      <c r="U320">
        <f ca="1"/>
        <v>0</v>
      </c>
      <c r="V320">
        <f ca="1"/>
        <v>0.89166627414488331</v>
      </c>
      <c r="X320" s="2">
        <f t="shared" ca="1" si="29"/>
        <v>45360</v>
      </c>
      <c r="Y320">
        <f t="shared" ca="1" si="30"/>
        <v>0</v>
      </c>
      <c r="AA320" s="63">
        <f t="shared" ca="1" si="32"/>
        <v>6.3276869273482257</v>
      </c>
      <c r="AB320" s="63">
        <f t="shared" ca="1" si="33"/>
        <v>6.3276869273482257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45361</v>
      </c>
      <c r="K321">
        <f ca="1"/>
        <v>4.5420874439413224</v>
      </c>
      <c r="L321">
        <f ca="1"/>
        <v>1.0562870778449671</v>
      </c>
      <c r="M321">
        <f ca="1"/>
        <v>8.2416351165132795E-2</v>
      </c>
      <c r="N321">
        <f ca="1"/>
        <v>0.21243810294168758</v>
      </c>
      <c r="O321">
        <f ca="1"/>
        <v>0</v>
      </c>
      <c r="P321">
        <f ca="1"/>
        <v>23.870756067647072</v>
      </c>
      <c r="Q321">
        <f ca="1"/>
        <v>22.088199608050051</v>
      </c>
      <c r="R321">
        <f ca="1"/>
        <v>0</v>
      </c>
      <c r="S321">
        <f ca="1"/>
        <v>0.56473434728213656</v>
      </c>
      <c r="T321">
        <f ca="1"/>
        <v>0</v>
      </c>
      <c r="U321">
        <f ca="1"/>
        <v>0</v>
      </c>
      <c r="V321">
        <f ca="1"/>
        <v>0.90330076257421943</v>
      </c>
      <c r="X321" s="2">
        <f t="shared" ca="1" si="29"/>
        <v>45361</v>
      </c>
      <c r="Y321">
        <f t="shared" ca="1" si="30"/>
        <v>0</v>
      </c>
      <c r="AA321" s="63">
        <f t="shared" ca="1" si="32"/>
        <v>5.5983745217862895</v>
      </c>
      <c r="AB321" s="63">
        <f t="shared" ca="1" si="33"/>
        <v>5.5983745217862895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45362</v>
      </c>
      <c r="K322">
        <f ca="1"/>
        <v>3.73128875898965</v>
      </c>
      <c r="L322">
        <f ca="1"/>
        <v>1.1102532218906553</v>
      </c>
      <c r="M322">
        <f ca="1"/>
        <v>8.3119401655512348E-2</v>
      </c>
      <c r="N322">
        <f ca="1"/>
        <v>0.21633513528347087</v>
      </c>
      <c r="O322">
        <f ca="1"/>
        <v>0</v>
      </c>
      <c r="P322">
        <f ca="1"/>
        <v>24.981009289537727</v>
      </c>
      <c r="Q322">
        <f ca="1"/>
        <v>23.115544310124196</v>
      </c>
      <c r="R322">
        <f ca="1"/>
        <v>0</v>
      </c>
      <c r="S322">
        <f ca="1"/>
        <v>0.56821686078431732</v>
      </c>
      <c r="T322">
        <f ca="1"/>
        <v>0</v>
      </c>
      <c r="U322">
        <f ca="1"/>
        <v>0</v>
      </c>
      <c r="V322">
        <f ca="1"/>
        <v>0.91390658061743213</v>
      </c>
      <c r="X322" s="2">
        <f t="shared" ca="1" si="29"/>
        <v>45362</v>
      </c>
      <c r="Y322">
        <f t="shared" ca="1" si="30"/>
        <v>0</v>
      </c>
      <c r="AA322" s="63">
        <f t="shared" ca="1" si="32"/>
        <v>4.8415419808803053</v>
      </c>
      <c r="AB322" s="63">
        <f t="shared" ca="1" si="33"/>
        <v>4.8415419808803053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45363</v>
      </c>
      <c r="K323">
        <f ca="1"/>
        <v>2.8845523803539441</v>
      </c>
      <c r="L323">
        <f ca="1"/>
        <v>1.1309582712975725</v>
      </c>
      <c r="M323">
        <f ca="1"/>
        <v>8.0629692162414557E-2</v>
      </c>
      <c r="N323">
        <f ca="1"/>
        <v>0.20359220049945195</v>
      </c>
      <c r="O323">
        <f ca="1"/>
        <v>0</v>
      </c>
      <c r="P323">
        <f ca="1"/>
        <v>26.1119675608353</v>
      </c>
      <c r="Q323">
        <f ca="1"/>
        <v>24.162047905318374</v>
      </c>
      <c r="R323">
        <f ca="1"/>
        <v>0</v>
      </c>
      <c r="S323">
        <f ca="1"/>
        <v>0.54355127606318188</v>
      </c>
      <c r="T323">
        <f ca="1"/>
        <v>0</v>
      </c>
      <c r="U323">
        <f ca="1"/>
        <v>0</v>
      </c>
      <c r="V323">
        <f ca="1"/>
        <v>0.92326290021876256</v>
      </c>
      <c r="X323" s="2">
        <f t="shared" ca="1" si="29"/>
        <v>45363</v>
      </c>
      <c r="Y323">
        <f t="shared" ca="1" si="30"/>
        <v>0</v>
      </c>
      <c r="AA323" s="63">
        <f t="shared" ca="1" si="32"/>
        <v>4.0155106516515167</v>
      </c>
      <c r="AB323" s="63">
        <f t="shared" ca="1" si="33"/>
        <v>4.0155106516515167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45364</v>
      </c>
      <c r="K324">
        <f ca="1"/>
        <v>1.9883756826446004</v>
      </c>
      <c r="L324">
        <f ca="1"/>
        <v>1.1749964544996416</v>
      </c>
      <c r="M324">
        <f ca="1"/>
        <v>8.0191531452317832E-2</v>
      </c>
      <c r="N324">
        <f ca="1"/>
        <v>0.19862822533797994</v>
      </c>
      <c r="O324">
        <f ca="1"/>
        <v>0</v>
      </c>
      <c r="P324">
        <f ca="1"/>
        <v>27.286964015334942</v>
      </c>
      <c r="Q324">
        <f ca="1"/>
        <v>25.249301118085906</v>
      </c>
      <c r="R324">
        <f ca="1"/>
        <v>0</v>
      </c>
      <c r="S324">
        <f ca="1"/>
        <v>0.52492220545912527</v>
      </c>
      <c r="T324">
        <f ca="1"/>
        <v>0</v>
      </c>
      <c r="U324">
        <f ca="1"/>
        <v>0</v>
      </c>
      <c r="V324">
        <f ca="1"/>
        <v>0.93167842350504293</v>
      </c>
      <c r="X324" s="2">
        <f t="shared" ca="1" si="29"/>
        <v>45364</v>
      </c>
      <c r="Y324">
        <f t="shared" ca="1" si="30"/>
        <v>0</v>
      </c>
      <c r="AA324" s="63">
        <f t="shared" ca="1" si="32"/>
        <v>3.163372137144242</v>
      </c>
      <c r="AB324" s="63">
        <f t="shared" ca="1" si="33"/>
        <v>3.163372137144242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45365</v>
      </c>
      <c r="K325">
        <f ca="1"/>
        <v>1.0576372109182577</v>
      </c>
      <c r="L325">
        <f ca="1"/>
        <v>1.2088874869280914</v>
      </c>
      <c r="M325">
        <f ca="1"/>
        <v>7.8824197701418797E-2</v>
      </c>
      <c r="N325">
        <f ca="1"/>
        <v>0.19932481750032977</v>
      </c>
      <c r="O325">
        <f ca="1"/>
        <v>0</v>
      </c>
      <c r="P325">
        <f ca="1"/>
        <v>28.495851502263033</v>
      </c>
      <c r="Q325">
        <f ca="1"/>
        <v>26.367914539431702</v>
      </c>
      <c r="R325">
        <f ca="1"/>
        <v>0</v>
      </c>
      <c r="S325">
        <f ca="1"/>
        <v>0.53675948882274505</v>
      </c>
      <c r="T325">
        <f ca="1"/>
        <v>0</v>
      </c>
      <c r="U325">
        <f ca="1"/>
        <v>0</v>
      </c>
      <c r="V325">
        <f ca="1"/>
        <v>0.93916728798111104</v>
      </c>
      <c r="X325" s="2">
        <f t="shared" ca="1" si="29"/>
        <v>45365</v>
      </c>
      <c r="Y325">
        <f t="shared" ca="1" si="30"/>
        <v>0</v>
      </c>
      <c r="AA325" s="63">
        <f t="shared" ca="1" si="32"/>
        <v>2.2665246978463491</v>
      </c>
      <c r="AB325" s="63">
        <f t="shared" ca="1" si="33"/>
        <v>2.2665246978463491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45366</v>
      </c>
      <c r="K326">
        <f ca="1"/>
        <v>7.5437912047383149E-2</v>
      </c>
      <c r="L326">
        <f ca="1"/>
        <v>1.2643496556445619</v>
      </c>
      <c r="M326">
        <f ca="1"/>
        <v>7.9057318097275342E-2</v>
      </c>
      <c r="N326">
        <f ca="1"/>
        <v>0.20309303867641201</v>
      </c>
      <c r="O326">
        <f ca="1"/>
        <v>0</v>
      </c>
      <c r="P326">
        <f ca="1"/>
        <v>29.760201157907595</v>
      </c>
      <c r="Q326">
        <f ca="1"/>
        <v>27.537848474037872</v>
      </c>
      <c r="R326">
        <f ca="1"/>
        <v>0</v>
      </c>
      <c r="S326">
        <f ca="1"/>
        <v>0.54284572382786234</v>
      </c>
      <c r="T326">
        <f ca="1"/>
        <v>0</v>
      </c>
      <c r="U326">
        <f ca="1"/>
        <v>0</v>
      </c>
      <c r="V326">
        <f ca="1"/>
        <v>0.94593353154584547</v>
      </c>
      <c r="X326" s="2">
        <f t="shared" ca="1" si="29"/>
        <v>45366</v>
      </c>
      <c r="Y326">
        <f t="shared" ca="1" si="30"/>
        <v>0</v>
      </c>
      <c r="AA326" s="63">
        <f t="shared" ca="1" si="32"/>
        <v>1.3397875676919451</v>
      </c>
      <c r="AB326" s="63">
        <f t="shared" ca="1" si="33"/>
        <v>1.3397875676919451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45367</v>
      </c>
      <c r="K327">
        <f ca="1"/>
        <v>-0.95366883231939226</v>
      </c>
      <c r="L327">
        <f ca="1"/>
        <v>1.3098403460758199</v>
      </c>
      <c r="M327">
        <f ca="1"/>
        <v>7.8366370546072872E-2</v>
      </c>
      <c r="N327">
        <f ca="1"/>
        <v>0.20236723116297162</v>
      </c>
      <c r="O327">
        <f ca="1"/>
        <v>0</v>
      </c>
      <c r="P327">
        <f ca="1"/>
        <v>31.070041503983415</v>
      </c>
      <c r="Q327">
        <f ca="1"/>
        <v>28.74987606699764</v>
      </c>
      <c r="R327">
        <f ca="1"/>
        <v>0</v>
      </c>
      <c r="S327">
        <f ca="1"/>
        <v>0.54129257900276972</v>
      </c>
      <c r="T327">
        <f ca="1"/>
        <v>0</v>
      </c>
      <c r="U327">
        <f ca="1"/>
        <v>0</v>
      </c>
      <c r="V327">
        <f ca="1"/>
        <v>0.95197920745875775</v>
      </c>
      <c r="X327" s="2">
        <f t="shared" ref="X327:X390" ca="1" si="36">IFERROR(J327,$X$5)</f>
        <v>45367</v>
      </c>
      <c r="Y327">
        <f t="shared" ref="Y327:Y390" ca="1" si="37">IFERROR(O327,0)</f>
        <v>0</v>
      </c>
      <c r="AA327" s="63">
        <f t="shared" ca="1" si="32"/>
        <v>0.35617151375642764</v>
      </c>
      <c r="AB327" s="63">
        <f t="shared" ca="1" si="33"/>
        <v>0.35617151375642764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45368</v>
      </c>
      <c r="K328">
        <f ca="1"/>
        <v>-2.0320067915354914</v>
      </c>
      <c r="L328">
        <f ca="1"/>
        <v>1.3514194232571519</v>
      </c>
      <c r="M328">
        <f ca="1"/>
        <v>7.731638540524699E-2</v>
      </c>
      <c r="N328">
        <f ca="1"/>
        <v>0.19576507863580592</v>
      </c>
      <c r="O328">
        <f ca="1"/>
        <v>0</v>
      </c>
      <c r="P328">
        <f ca="1"/>
        <v>32.421460927240567</v>
      </c>
      <c r="Q328">
        <f ca="1"/>
        <v>30.000377806050526</v>
      </c>
      <c r="R328">
        <f ca="1"/>
        <v>0</v>
      </c>
      <c r="S328">
        <f ca="1"/>
        <v>0.52084242324350394</v>
      </c>
      <c r="T328">
        <f ca="1"/>
        <v>0</v>
      </c>
      <c r="U328">
        <f ca="1"/>
        <v>0</v>
      </c>
      <c r="V328">
        <f ca="1"/>
        <v>0.95735626928236484</v>
      </c>
      <c r="X328" s="2">
        <f t="shared" ca="1" si="36"/>
        <v>45368</v>
      </c>
      <c r="Y328">
        <f t="shared" ca="1" si="37"/>
        <v>0</v>
      </c>
      <c r="AA328" s="63">
        <f t="shared" ca="1" si="32"/>
        <v>-0.68058736827833932</v>
      </c>
      <c r="AB328" s="63">
        <f t="shared" ca="1" si="33"/>
        <v>-0.68058736827833943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45369</v>
      </c>
      <c r="K329">
        <f ca="1"/>
        <v>-3.1373940544115966</v>
      </c>
      <c r="L329">
        <f ca="1"/>
        <v>1.3633251733686791</v>
      </c>
      <c r="M329">
        <f ca="1"/>
        <v>7.4177139200390485E-2</v>
      </c>
      <c r="N329">
        <f ca="1"/>
        <v>0.18376077129218307</v>
      </c>
      <c r="O329">
        <f ca="1"/>
        <v>0</v>
      </c>
      <c r="P329">
        <f ca="1"/>
        <v>33.784786100609246</v>
      </c>
      <c r="Q329">
        <f ca="1"/>
        <v>31.261896229459854</v>
      </c>
      <c r="R329">
        <f ca="1"/>
        <v>0</v>
      </c>
      <c r="S329">
        <f ca="1"/>
        <v>0.49903260271142136</v>
      </c>
      <c r="T329">
        <f ca="1"/>
        <v>0</v>
      </c>
      <c r="U329">
        <f ca="1"/>
        <v>0</v>
      </c>
      <c r="V329">
        <f ca="1"/>
        <v>0.96203933481376669</v>
      </c>
      <c r="X329" s="2">
        <f t="shared" ca="1" si="36"/>
        <v>45369</v>
      </c>
      <c r="Y329">
        <f t="shared" ca="1" si="37"/>
        <v>0</v>
      </c>
      <c r="AA329" s="63">
        <f t="shared" ca="1" si="32"/>
        <v>-1.7740688810429177</v>
      </c>
      <c r="AB329" s="63">
        <f t="shared" ca="1" si="33"/>
        <v>-1.7740688810429175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45370</v>
      </c>
      <c r="K330">
        <f ca="1"/>
        <v>-4.287346350681144</v>
      </c>
      <c r="L330">
        <f ca="1"/>
        <v>1.414072399847953</v>
      </c>
      <c r="M330">
        <f ca="1"/>
        <v>7.3933365927507211E-2</v>
      </c>
      <c r="N330">
        <f ca="1"/>
        <v>0.19018673765089783</v>
      </c>
      <c r="O330">
        <f ca="1"/>
        <v>0</v>
      </c>
      <c r="P330">
        <f ca="1"/>
        <v>35.198858500457199</v>
      </c>
      <c r="Q330">
        <f ca="1"/>
        <v>32.570372313734744</v>
      </c>
      <c r="R330">
        <f ca="1"/>
        <v>0</v>
      </c>
      <c r="S330">
        <f ca="1"/>
        <v>0.52217277898283054</v>
      </c>
      <c r="T330">
        <f ca="1"/>
        <v>0</v>
      </c>
      <c r="U330">
        <f ca="1"/>
        <v>0</v>
      </c>
      <c r="V330">
        <f ca="1"/>
        <v>0.96623777330341531</v>
      </c>
      <c r="X330" s="2">
        <f t="shared" ca="1" si="36"/>
        <v>45370</v>
      </c>
      <c r="Y330">
        <f t="shared" ca="1" si="37"/>
        <v>0</v>
      </c>
      <c r="AA330" s="63">
        <f t="shared" ca="1" si="32"/>
        <v>-2.8732739508331915</v>
      </c>
      <c r="AB330" s="63">
        <f t="shared" ca="1" si="33"/>
        <v>-2.873273950833191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45371</v>
      </c>
      <c r="K331">
        <f ca="1"/>
        <v>-5.5153237170464537</v>
      </c>
      <c r="L331">
        <f ca="1"/>
        <v>1.4857702258445826</v>
      </c>
      <c r="M331">
        <f ca="1"/>
        <v>7.2567860469426648E-2</v>
      </c>
      <c r="N331">
        <f ca="1"/>
        <v>0.18522499900984615</v>
      </c>
      <c r="O331">
        <f ca="1"/>
        <v>0</v>
      </c>
      <c r="P331">
        <f ca="1"/>
        <v>36.684628726301781</v>
      </c>
      <c r="Q331">
        <f ca="1"/>
        <v>33.945192165571449</v>
      </c>
      <c r="R331">
        <f ca="1"/>
        <v>0</v>
      </c>
      <c r="S331">
        <f ca="1"/>
        <v>0.48574857608337835</v>
      </c>
      <c r="T331">
        <f ca="1"/>
        <v>0</v>
      </c>
      <c r="U331">
        <f ca="1"/>
        <v>0</v>
      </c>
      <c r="V331">
        <f ca="1"/>
        <v>0.97004384410079736</v>
      </c>
      <c r="X331" s="2">
        <f t="shared" ca="1" si="36"/>
        <v>45371</v>
      </c>
      <c r="Y331">
        <f t="shared" ca="1" si="37"/>
        <v>0</v>
      </c>
      <c r="AA331" s="63">
        <f t="shared" ca="1" si="32"/>
        <v>-4.0295534912018711</v>
      </c>
      <c r="AB331" s="63">
        <f t="shared" ca="1" si="33"/>
        <v>-4.0295534912018711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45372</v>
      </c>
      <c r="K332">
        <f ca="1"/>
        <v>-6.782175286077976</v>
      </c>
      <c r="L332">
        <f ca="1"/>
        <v>1.5257080014114237</v>
      </c>
      <c r="M332">
        <f ca="1"/>
        <v>7.2784206439521881E-2</v>
      </c>
      <c r="N332">
        <f ca="1"/>
        <v>0.18607222594037967</v>
      </c>
      <c r="O332">
        <f ca="1"/>
        <v>0</v>
      </c>
      <c r="P332">
        <f ca="1"/>
        <v>38.210336727713205</v>
      </c>
      <c r="Q332">
        <f ca="1"/>
        <v>35.356967426617736</v>
      </c>
      <c r="R332">
        <f ca="1"/>
        <v>0</v>
      </c>
      <c r="S332">
        <f ca="1"/>
        <v>0.49565275338873277</v>
      </c>
      <c r="T332">
        <f ca="1"/>
        <v>0</v>
      </c>
      <c r="U332">
        <f ca="1"/>
        <v>0</v>
      </c>
      <c r="V332">
        <f ca="1"/>
        <v>0.97341255807887272</v>
      </c>
      <c r="X332" s="2">
        <f t="shared" ca="1" si="36"/>
        <v>45372</v>
      </c>
      <c r="Y332">
        <f t="shared" ca="1" si="37"/>
        <v>0</v>
      </c>
      <c r="AA332" s="63">
        <f t="shared" ref="AA332:AA395" ca="1" si="39">K331+M332+N332+O332</f>
        <v>-5.2564672846665523</v>
      </c>
      <c r="AB332" s="63">
        <f t="shared" ref="AB332:AB395" ca="1" si="40">K332+L332+R332</f>
        <v>-5.2564672846665523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45373</v>
      </c>
      <c r="K333">
        <f ca="1"/>
        <v>-8.0711591783379557</v>
      </c>
      <c r="L333">
        <f ca="1"/>
        <v>1.5441111835050094</v>
      </c>
      <c r="M333">
        <f ca="1"/>
        <v>7.0999994360379404E-2</v>
      </c>
      <c r="N333">
        <f ca="1"/>
        <v>0.18412729688465035</v>
      </c>
      <c r="O333">
        <f ca="1"/>
        <v>0</v>
      </c>
      <c r="P333">
        <f ca="1"/>
        <v>39.754447911218215</v>
      </c>
      <c r="Q333">
        <f ca="1"/>
        <v>36.785771606159713</v>
      </c>
      <c r="R333">
        <f ca="1"/>
        <v>0</v>
      </c>
      <c r="S333">
        <f ca="1"/>
        <v>0.50760519851121033</v>
      </c>
      <c r="T333">
        <f ca="1"/>
        <v>0</v>
      </c>
      <c r="U333">
        <f ca="1"/>
        <v>0</v>
      </c>
      <c r="V333">
        <f ca="1"/>
        <v>0.97635631159076197</v>
      </c>
      <c r="X333" s="2">
        <f t="shared" ca="1" si="36"/>
        <v>45373</v>
      </c>
      <c r="Y333">
        <f t="shared" ca="1" si="37"/>
        <v>0</v>
      </c>
      <c r="AA333" s="63">
        <f t="shared" ca="1" si="39"/>
        <v>-6.5270479948329463</v>
      </c>
      <c r="AB333" s="63">
        <f t="shared" ca="1" si="40"/>
        <v>-6.5270479948329463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45374</v>
      </c>
      <c r="K334">
        <f ca="1"/>
        <v>-9.4069203868680908</v>
      </c>
      <c r="L334">
        <f ca="1"/>
        <v>1.5847349011753238</v>
      </c>
      <c r="M334">
        <f ca="1"/>
        <v>6.9118620698155553E-2</v>
      </c>
      <c r="N334">
        <f ca="1"/>
        <v>0.17985507194703282</v>
      </c>
      <c r="O334">
        <f ca="1"/>
        <v>0</v>
      </c>
      <c r="P334">
        <f ca="1"/>
        <v>41.339182812393538</v>
      </c>
      <c r="Q334">
        <f ca="1"/>
        <v>38.252165914065451</v>
      </c>
      <c r="R334">
        <f ca="1"/>
        <v>0</v>
      </c>
      <c r="S334">
        <f ca="1"/>
        <v>0.49448190214066662</v>
      </c>
      <c r="T334">
        <f ca="1"/>
        <v>0</v>
      </c>
      <c r="U334">
        <f ca="1"/>
        <v>0</v>
      </c>
      <c r="V334">
        <f ca="1"/>
        <v>0.97896954739169706</v>
      </c>
      <c r="X334" s="2">
        <f t="shared" ca="1" si="36"/>
        <v>45374</v>
      </c>
      <c r="Y334">
        <f t="shared" ca="1" si="37"/>
        <v>0</v>
      </c>
      <c r="AA334" s="63">
        <f t="shared" ca="1" si="39"/>
        <v>-7.8221854856927671</v>
      </c>
      <c r="AB334" s="63">
        <f t="shared" ca="1" si="40"/>
        <v>-7.8221854856927671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45375</v>
      </c>
      <c r="K335">
        <f ca="1"/>
        <v>-10.797984557485236</v>
      </c>
      <c r="L335">
        <f ca="1"/>
        <v>1.6348010294344562</v>
      </c>
      <c r="M335">
        <f ca="1"/>
        <v>6.6679855980270375E-2</v>
      </c>
      <c r="N335">
        <f ca="1"/>
        <v>0.17705700283703973</v>
      </c>
      <c r="O335">
        <f ca="1"/>
        <v>0</v>
      </c>
      <c r="P335">
        <f ca="1"/>
        <v>42.973983841827994</v>
      </c>
      <c r="Q335">
        <f ca="1"/>
        <v>39.764887645847331</v>
      </c>
      <c r="R335">
        <f ca="1"/>
        <v>0</v>
      </c>
      <c r="S335">
        <f ca="1"/>
        <v>0.48133085036881917</v>
      </c>
      <c r="T335">
        <f ca="1"/>
        <v>0</v>
      </c>
      <c r="U335">
        <f ca="1"/>
        <v>0</v>
      </c>
      <c r="V335">
        <f ca="1"/>
        <v>0.98130207620447396</v>
      </c>
      <c r="X335" s="2">
        <f t="shared" ca="1" si="36"/>
        <v>45375</v>
      </c>
      <c r="Y335">
        <f t="shared" ca="1" si="37"/>
        <v>0</v>
      </c>
      <c r="AA335" s="63">
        <f t="shared" ca="1" si="39"/>
        <v>-9.1631835280507801</v>
      </c>
      <c r="AB335" s="63">
        <f t="shared" ca="1" si="40"/>
        <v>-9.1631835280507801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45376</v>
      </c>
      <c r="K336">
        <f ca="1"/>
        <v>-12.235977169815824</v>
      </c>
      <c r="L336">
        <f ca="1"/>
        <v>1.6903289668395445</v>
      </c>
      <c r="M336">
        <f ca="1"/>
        <v>6.8856638522568403E-2</v>
      </c>
      <c r="N336">
        <f ca="1"/>
        <v>0.18347971598638799</v>
      </c>
      <c r="O336">
        <f ca="1"/>
        <v>0</v>
      </c>
      <c r="P336">
        <f ca="1"/>
        <v>44.664312808667539</v>
      </c>
      <c r="Q336">
        <f ca="1"/>
        <v>41.328990748280027</v>
      </c>
      <c r="R336">
        <f ca="1"/>
        <v>0</v>
      </c>
      <c r="S336">
        <f ca="1"/>
        <v>0.50434138048400001</v>
      </c>
      <c r="T336">
        <f ca="1"/>
        <v>0</v>
      </c>
      <c r="U336">
        <f ca="1"/>
        <v>0</v>
      </c>
      <c r="V336">
        <f ca="1"/>
        <v>0.98338836595064694</v>
      </c>
      <c r="X336" s="2">
        <f t="shared" ca="1" si="36"/>
        <v>45376</v>
      </c>
      <c r="Y336">
        <f t="shared" ca="1" si="37"/>
        <v>0</v>
      </c>
      <c r="AA336" s="63">
        <f t="shared" ca="1" si="39"/>
        <v>-10.545648202976279</v>
      </c>
      <c r="AB336" s="63">
        <f t="shared" ca="1" si="40"/>
        <v>-10.545648202976279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45377</v>
      </c>
      <c r="K337">
        <f ca="1"/>
        <v>-13.747401412104143</v>
      </c>
      <c r="L337">
        <f ca="1"/>
        <v>1.7549011478029541</v>
      </c>
      <c r="M337">
        <f ca="1"/>
        <v>6.5179546663792109E-2</v>
      </c>
      <c r="N337">
        <f ca="1"/>
        <v>0.17829735885084244</v>
      </c>
      <c r="O337">
        <f ca="1"/>
        <v>0</v>
      </c>
      <c r="P337">
        <f ca="1"/>
        <v>46.419213956470493</v>
      </c>
      <c r="Q337">
        <f ca="1"/>
        <v>42.952844083097695</v>
      </c>
      <c r="R337">
        <f ca="1"/>
        <v>0</v>
      </c>
      <c r="S337">
        <f ca="1"/>
        <v>0.47363084239634717</v>
      </c>
      <c r="T337">
        <f ca="1"/>
        <v>0</v>
      </c>
      <c r="U337">
        <f ca="1"/>
        <v>0</v>
      </c>
      <c r="V337">
        <f ca="1"/>
        <v>0.98526075568404048</v>
      </c>
      <c r="X337" s="2">
        <f t="shared" ca="1" si="36"/>
        <v>45377</v>
      </c>
      <c r="Y337">
        <f t="shared" ca="1" si="37"/>
        <v>0</v>
      </c>
      <c r="AA337" s="63">
        <f t="shared" ca="1" si="39"/>
        <v>-11.992500264301189</v>
      </c>
      <c r="AB337" s="63">
        <f t="shared" ca="1" si="40"/>
        <v>-11.992500264301189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45378</v>
      </c>
      <c r="K338">
        <f ca="1"/>
        <v>-15.302297763130147</v>
      </c>
      <c r="L338">
        <f ca="1"/>
        <v>1.7974481165412044</v>
      </c>
      <c r="M338">
        <f ca="1"/>
        <v>6.4539346673925024E-2</v>
      </c>
      <c r="N338">
        <f ca="1"/>
        <v>0.17801241884127447</v>
      </c>
      <c r="O338">
        <f ca="1"/>
        <v>0</v>
      </c>
      <c r="P338">
        <f ca="1"/>
        <v>48.216662073011697</v>
      </c>
      <c r="Q338">
        <f ca="1"/>
        <v>44.616067177949134</v>
      </c>
      <c r="R338">
        <f ca="1"/>
        <v>0</v>
      </c>
      <c r="S338">
        <f ca="1"/>
        <v>0.47654940814803087</v>
      </c>
      <c r="T338">
        <f ca="1"/>
        <v>0</v>
      </c>
      <c r="U338">
        <f ca="1"/>
        <v>0</v>
      </c>
      <c r="V338">
        <f ca="1"/>
        <v>0.98691852583122153</v>
      </c>
      <c r="X338" s="2">
        <f t="shared" ca="1" si="36"/>
        <v>45378</v>
      </c>
      <c r="Y338">
        <f t="shared" ca="1" si="37"/>
        <v>0</v>
      </c>
      <c r="AA338" s="63">
        <f t="shared" ca="1" si="39"/>
        <v>-13.504849646588942</v>
      </c>
      <c r="AB338" s="63">
        <f t="shared" ca="1" si="40"/>
        <v>-13.504849646588942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45379</v>
      </c>
      <c r="K339">
        <f ca="1"/>
        <v>-16.921629777733187</v>
      </c>
      <c r="L339">
        <f ca="1"/>
        <v>1.8688206445218185</v>
      </c>
      <c r="M339">
        <f ca="1"/>
        <v>6.6143763581379744E-2</v>
      </c>
      <c r="N339">
        <f ca="1"/>
        <v>0.18334486633739625</v>
      </c>
      <c r="O339">
        <f ca="1"/>
        <v>0</v>
      </c>
      <c r="P339">
        <f ca="1"/>
        <v>50.085482717533516</v>
      </c>
      <c r="Q339">
        <f ca="1"/>
        <v>46.345333034081342</v>
      </c>
      <c r="R339">
        <f ca="1"/>
        <v>0</v>
      </c>
      <c r="S339">
        <f ca="1"/>
        <v>0.48732453258292247</v>
      </c>
      <c r="T339">
        <f ca="1"/>
        <v>0</v>
      </c>
      <c r="U339">
        <f ca="1"/>
        <v>0</v>
      </c>
      <c r="V339">
        <f ca="1"/>
        <v>0.98840822557276997</v>
      </c>
      <c r="X339" s="2">
        <f t="shared" ca="1" si="36"/>
        <v>45379</v>
      </c>
      <c r="Y339">
        <f t="shared" ca="1" si="37"/>
        <v>0</v>
      </c>
      <c r="AA339" s="63">
        <f t="shared" ca="1" si="39"/>
        <v>-15.052809133211371</v>
      </c>
      <c r="AB339" s="63">
        <f t="shared" ca="1" si="40"/>
        <v>-15.052809133211369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45380</v>
      </c>
      <c r="K340">
        <f ca="1"/>
        <v>-18.58266417282173</v>
      </c>
      <c r="L340">
        <f ca="1"/>
        <v>1.8969039163137751</v>
      </c>
      <c r="M340">
        <f ca="1"/>
        <v>6.1148742536031975E-2</v>
      </c>
      <c r="N340">
        <f ca="1"/>
        <v>0.17472077868919733</v>
      </c>
      <c r="O340">
        <f ca="1"/>
        <v>0</v>
      </c>
      <c r="P340">
        <f ca="1"/>
        <v>51.982386633847291</v>
      </c>
      <c r="Q340">
        <f ca="1"/>
        <v>48.100585034566478</v>
      </c>
      <c r="R340">
        <f ca="1"/>
        <v>0</v>
      </c>
      <c r="S340">
        <f ca="1"/>
        <v>0.46221942509404329</v>
      </c>
      <c r="T340">
        <f ca="1"/>
        <v>0</v>
      </c>
      <c r="U340">
        <f ca="1"/>
        <v>0</v>
      </c>
      <c r="V340">
        <f ca="1"/>
        <v>0.98971568484646388</v>
      </c>
      <c r="X340" s="2">
        <f t="shared" ca="1" si="36"/>
        <v>45380</v>
      </c>
      <c r="Y340">
        <f t="shared" ca="1" si="37"/>
        <v>0</v>
      </c>
      <c r="AA340" s="63">
        <f t="shared" ca="1" si="39"/>
        <v>-16.685760256507955</v>
      </c>
      <c r="AB340" s="63">
        <f t="shared" ca="1" si="40"/>
        <v>-16.685760256507955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45381</v>
      </c>
      <c r="K341">
        <f ca="1"/>
        <v>-20.266576504317815</v>
      </c>
      <c r="L341">
        <f ca="1"/>
        <v>1.920660865713387</v>
      </c>
      <c r="M341">
        <f ca="1"/>
        <v>6.1504651371109276E-2</v>
      </c>
      <c r="N341">
        <f ca="1"/>
        <v>0.17524388284619399</v>
      </c>
      <c r="O341">
        <f ca="1"/>
        <v>0</v>
      </c>
      <c r="P341">
        <f ca="1"/>
        <v>53.903047499560678</v>
      </c>
      <c r="Q341">
        <f ca="1"/>
        <v>49.877819926541534</v>
      </c>
      <c r="R341">
        <f ca="1"/>
        <v>0</v>
      </c>
      <c r="S341">
        <f ca="1"/>
        <v>0.47762260363917536</v>
      </c>
      <c r="T341">
        <f ca="1"/>
        <v>0</v>
      </c>
      <c r="U341">
        <f ca="1"/>
        <v>0</v>
      </c>
      <c r="V341">
        <f ca="1"/>
        <v>0.99086298435066367</v>
      </c>
      <c r="X341" s="2">
        <f t="shared" ca="1" si="36"/>
        <v>45381</v>
      </c>
      <c r="Y341">
        <f t="shared" ca="1" si="37"/>
        <v>0</v>
      </c>
      <c r="AA341" s="63">
        <f t="shared" ca="1" si="39"/>
        <v>-18.345915638604428</v>
      </c>
      <c r="AB341" s="63">
        <f t="shared" ca="1" si="40"/>
        <v>-18.345915638604428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45382</v>
      </c>
      <c r="K342">
        <f ca="1"/>
        <v>-21.973519402619551</v>
      </c>
      <c r="L342">
        <f ca="1"/>
        <v>1.9339035483652012</v>
      </c>
      <c r="M342">
        <f ca="1"/>
        <v>5.8160078592832676E-2</v>
      </c>
      <c r="N342">
        <f ca="1"/>
        <v>0.16880057147063376</v>
      </c>
      <c r="O342">
        <f ca="1"/>
        <v>0</v>
      </c>
      <c r="P342">
        <f ca="1"/>
        <v>55.836951047925879</v>
      </c>
      <c r="Q342">
        <f ca="1"/>
        <v>51.667308599541805</v>
      </c>
      <c r="R342">
        <f ca="1"/>
        <v>0</v>
      </c>
      <c r="S342">
        <f ca="1"/>
        <v>0.4662947444960937</v>
      </c>
      <c r="T342">
        <f ca="1"/>
        <v>0</v>
      </c>
      <c r="U342">
        <f ca="1"/>
        <v>0</v>
      </c>
      <c r="V342">
        <f ca="1"/>
        <v>0.99186684454341822</v>
      </c>
      <c r="X342" s="2">
        <f t="shared" ca="1" si="36"/>
        <v>45382</v>
      </c>
      <c r="Y342">
        <f t="shared" ca="1" si="37"/>
        <v>0</v>
      </c>
      <c r="AA342" s="63">
        <f t="shared" ca="1" si="39"/>
        <v>-20.03961585425435</v>
      </c>
      <c r="AB342" s="63">
        <f t="shared" ca="1" si="40"/>
        <v>-20.03961585425435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45383</v>
      </c>
      <c r="K343">
        <f ca="1"/>
        <v>-23.70940449940499</v>
      </c>
      <c r="L343">
        <f ca="1"/>
        <v>1.9683069209066559</v>
      </c>
      <c r="M343">
        <f ca="1"/>
        <v>5.9846514760369729E-2</v>
      </c>
      <c r="N343">
        <f ca="1"/>
        <v>0.17257530936084786</v>
      </c>
      <c r="O343">
        <f ca="1"/>
        <v>0</v>
      </c>
      <c r="P343">
        <f ca="1"/>
        <v>57.805257968832535</v>
      </c>
      <c r="Q343">
        <f ca="1"/>
        <v>53.488631562069074</v>
      </c>
      <c r="R343">
        <f ca="1"/>
        <v>0</v>
      </c>
      <c r="S343">
        <f ca="1"/>
        <v>0.48865250515344177</v>
      </c>
      <c r="T343">
        <f ca="1"/>
        <v>0</v>
      </c>
      <c r="U343">
        <f ca="1"/>
        <v>0</v>
      </c>
      <c r="V343">
        <f ca="1"/>
        <v>0.99275665170699068</v>
      </c>
      <c r="X343" s="2">
        <f t="shared" ca="1" si="36"/>
        <v>45383</v>
      </c>
      <c r="Y343">
        <f t="shared" ca="1" si="37"/>
        <v>0</v>
      </c>
      <c r="AA343" s="63">
        <f t="shared" ca="1" si="39"/>
        <v>-21.741097578498334</v>
      </c>
      <c r="AB343" s="63">
        <f t="shared" ca="1" si="40"/>
        <v>-21.741097578498334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45384</v>
      </c>
      <c r="K344">
        <f ca="1"/>
        <v>-25.502584085267891</v>
      </c>
      <c r="L344">
        <f ca="1"/>
        <v>2.0308622650119759</v>
      </c>
      <c r="M344">
        <f ca="1"/>
        <v>6.0870556632080408E-2</v>
      </c>
      <c r="N344">
        <f ca="1"/>
        <v>0.17681212251699657</v>
      </c>
      <c r="O344">
        <f ca="1"/>
        <v>0</v>
      </c>
      <c r="P344">
        <f ca="1"/>
        <v>59.836120233844511</v>
      </c>
      <c r="Q344">
        <f ca="1"/>
        <v>55.367838528070401</v>
      </c>
      <c r="R344">
        <f ca="1"/>
        <v>0</v>
      </c>
      <c r="S344">
        <f ca="1"/>
        <v>0.49814197198877513</v>
      </c>
      <c r="T344">
        <f ca="1"/>
        <v>0</v>
      </c>
      <c r="U344">
        <f ca="1"/>
        <v>0</v>
      </c>
      <c r="V344">
        <f ca="1"/>
        <v>0.99355652529034821</v>
      </c>
      <c r="X344" s="2">
        <f t="shared" ca="1" si="36"/>
        <v>45384</v>
      </c>
      <c r="Y344">
        <f t="shared" ca="1" si="37"/>
        <v>0</v>
      </c>
      <c r="AA344" s="63">
        <f t="shared" ca="1" si="39"/>
        <v>-23.471721820255912</v>
      </c>
      <c r="AB344" s="63">
        <f t="shared" ca="1" si="40"/>
        <v>-23.471721820255915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45385</v>
      </c>
      <c r="K345">
        <f ca="1"/>
        <v>-27.304256913940996</v>
      </c>
      <c r="L345">
        <f ca="1"/>
        <v>2.0247415668284745</v>
      </c>
      <c r="M345">
        <f ca="1"/>
        <v>5.6140000364761633E-2</v>
      </c>
      <c r="N345">
        <f ca="1"/>
        <v>0.16692873779060849</v>
      </c>
      <c r="O345">
        <f ca="1"/>
        <v>0</v>
      </c>
      <c r="P345">
        <f ca="1"/>
        <v>61.860861800672986</v>
      </c>
      <c r="Q345">
        <f ca="1"/>
        <v>57.241381861012343</v>
      </c>
      <c r="R345">
        <f ca="1"/>
        <v>0</v>
      </c>
      <c r="S345">
        <f ca="1"/>
        <v>0.47835418274454899</v>
      </c>
      <c r="T345">
        <f ca="1"/>
        <v>0</v>
      </c>
      <c r="U345">
        <f ca="1"/>
        <v>0</v>
      </c>
      <c r="V345">
        <f ca="1"/>
        <v>0.99425246598802586</v>
      </c>
      <c r="X345" s="2">
        <f t="shared" ca="1" si="36"/>
        <v>45385</v>
      </c>
      <c r="Y345">
        <f t="shared" ca="1" si="37"/>
        <v>0</v>
      </c>
      <c r="AA345" s="63">
        <f t="shared" ca="1" si="39"/>
        <v>-25.279515347112518</v>
      </c>
      <c r="AB345" s="63">
        <f t="shared" ca="1" si="40"/>
        <v>-25.279515347112522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45386</v>
      </c>
      <c r="K346">
        <f ca="1"/>
        <v>-29.150977927952642</v>
      </c>
      <c r="L346">
        <f ca="1"/>
        <v>2.0646317088061608</v>
      </c>
      <c r="M346">
        <f ca="1"/>
        <v>5.3914613068240413E-2</v>
      </c>
      <c r="N346">
        <f ca="1"/>
        <v>0.16399608172627492</v>
      </c>
      <c r="O346">
        <f ca="1"/>
        <v>0</v>
      </c>
      <c r="P346">
        <f ca="1"/>
        <v>63.925493509479146</v>
      </c>
      <c r="Q346">
        <f ca="1"/>
        <v>59.151836526628436</v>
      </c>
      <c r="R346">
        <f ca="1"/>
        <v>0</v>
      </c>
      <c r="S346">
        <f ca="1"/>
        <v>0.46536753352452681</v>
      </c>
      <c r="T346">
        <f ca="1"/>
        <v>0</v>
      </c>
      <c r="U346">
        <f ca="1"/>
        <v>0</v>
      </c>
      <c r="V346">
        <f ca="1"/>
        <v>0.99487326796677833</v>
      </c>
      <c r="X346" s="2">
        <f t="shared" ca="1" si="36"/>
        <v>45386</v>
      </c>
      <c r="Y346">
        <f t="shared" ca="1" si="37"/>
        <v>0</v>
      </c>
      <c r="AA346" s="63">
        <f t="shared" ca="1" si="39"/>
        <v>-27.086346219146481</v>
      </c>
      <c r="AB346" s="63">
        <f t="shared" ca="1" si="40"/>
        <v>-27.086346219146481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45387</v>
      </c>
      <c r="K347">
        <f ca="1"/>
        <v>-31.033640126533776</v>
      </c>
      <c r="L347">
        <f ca="1"/>
        <v>2.1060760022637552</v>
      </c>
      <c r="M347">
        <f ca="1"/>
        <v>5.535878167353836E-2</v>
      </c>
      <c r="N347">
        <f ca="1"/>
        <v>0.16805502200908207</v>
      </c>
      <c r="O347">
        <f ca="1"/>
        <v>0</v>
      </c>
      <c r="P347">
        <f ca="1"/>
        <v>66.031569511742902</v>
      </c>
      <c r="Q347">
        <f ca="1"/>
        <v>61.10064061963223</v>
      </c>
      <c r="R347">
        <f ca="1"/>
        <v>0</v>
      </c>
      <c r="S347">
        <f ca="1"/>
        <v>0.48349655051070123</v>
      </c>
      <c r="T347">
        <f ca="1"/>
        <v>0</v>
      </c>
      <c r="U347">
        <f ca="1"/>
        <v>0</v>
      </c>
      <c r="V347">
        <f ca="1"/>
        <v>0.9954276456577803</v>
      </c>
      <c r="X347" s="2">
        <f t="shared" ca="1" si="36"/>
        <v>45387</v>
      </c>
      <c r="Y347">
        <f t="shared" ca="1" si="37"/>
        <v>0</v>
      </c>
      <c r="AA347" s="63">
        <f t="shared" ca="1" si="39"/>
        <v>-28.927564124270024</v>
      </c>
      <c r="AB347" s="63">
        <f t="shared" ca="1" si="40"/>
        <v>-28.92756412427002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45388</v>
      </c>
      <c r="K348">
        <f ca="1"/>
        <v>-32.951643229006834</v>
      </c>
      <c r="L348">
        <f ca="1"/>
        <v>2.1398424013028006</v>
      </c>
      <c r="M348">
        <f ca="1"/>
        <v>5.4437836482254198E-2</v>
      </c>
      <c r="N348">
        <f ca="1"/>
        <v>0.16740146234749317</v>
      </c>
      <c r="O348">
        <f ca="1"/>
        <v>0</v>
      </c>
      <c r="P348">
        <f ca="1"/>
        <v>68.171411913045702</v>
      </c>
      <c r="Q348">
        <f ca="1"/>
        <v>63.080689594863721</v>
      </c>
      <c r="R348">
        <f ca="1"/>
        <v>0</v>
      </c>
      <c r="S348">
        <f ca="1"/>
        <v>0.48294975563922238</v>
      </c>
      <c r="T348">
        <f ca="1"/>
        <v>0</v>
      </c>
      <c r="U348">
        <f ca="1"/>
        <v>0</v>
      </c>
      <c r="V348">
        <f ca="1"/>
        <v>0.99592117468283925</v>
      </c>
      <c r="X348" s="2">
        <f t="shared" ca="1" si="36"/>
        <v>45388</v>
      </c>
      <c r="Y348">
        <f t="shared" ca="1" si="37"/>
        <v>0</v>
      </c>
      <c r="AA348" s="63">
        <f t="shared" ca="1" si="39"/>
        <v>-30.81180082770403</v>
      </c>
      <c r="AB348" s="63">
        <f t="shared" ca="1" si="40"/>
        <v>-30.811800827704033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45389</v>
      </c>
      <c r="K349">
        <f ca="1"/>
        <v>-34.87241261498994</v>
      </c>
      <c r="L349">
        <f ca="1"/>
        <v>2.1423773509958295</v>
      </c>
      <c r="M349">
        <f ca="1"/>
        <v>5.4402864037204068E-2</v>
      </c>
      <c r="N349">
        <f ca="1"/>
        <v>0.16720510097551516</v>
      </c>
      <c r="O349">
        <f ca="1"/>
        <v>0</v>
      </c>
      <c r="P349">
        <f ca="1"/>
        <v>70.313789264041532</v>
      </c>
      <c r="Q349">
        <f ca="1"/>
        <v>65.063084221596867</v>
      </c>
      <c r="R349">
        <f ca="1"/>
        <v>0</v>
      </c>
      <c r="S349">
        <f ca="1"/>
        <v>0.49789679436160905</v>
      </c>
      <c r="T349">
        <f ca="1"/>
        <v>0</v>
      </c>
      <c r="U349">
        <f ca="1"/>
        <v>0</v>
      </c>
      <c r="V349">
        <f ca="1"/>
        <v>0.99635496829431924</v>
      </c>
      <c r="X349" s="2">
        <f t="shared" ca="1" si="36"/>
        <v>45389</v>
      </c>
      <c r="Y349">
        <f t="shared" ca="1" si="37"/>
        <v>0</v>
      </c>
      <c r="AA349" s="63">
        <f t="shared" ca="1" si="39"/>
        <v>-32.730035263994118</v>
      </c>
      <c r="AB349" s="63">
        <f t="shared" ca="1" si="40"/>
        <v>-32.730035263994111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45390</v>
      </c>
      <c r="K350">
        <f ca="1"/>
        <v>-36.783431916863059</v>
      </c>
      <c r="L350">
        <f ca="1"/>
        <v>2.1377646824405616</v>
      </c>
      <c r="M350">
        <f ca="1"/>
        <v>5.2840852979377573E-2</v>
      </c>
      <c r="N350">
        <f ca="1"/>
        <v>0.17390452758806688</v>
      </c>
      <c r="O350">
        <f ca="1"/>
        <v>0</v>
      </c>
      <c r="P350">
        <f ca="1"/>
        <v>72.451553946482093</v>
      </c>
      <c r="Q350">
        <f ca="1"/>
        <v>67.041210632296739</v>
      </c>
      <c r="R350">
        <f ca="1"/>
        <v>0</v>
      </c>
      <c r="S350">
        <f ca="1"/>
        <v>0.5453154965914454</v>
      </c>
      <c r="T350">
        <f ca="1"/>
        <v>0</v>
      </c>
      <c r="U350">
        <f ca="1"/>
        <v>0</v>
      </c>
      <c r="V350">
        <f ca="1"/>
        <v>0.99673612442940607</v>
      </c>
      <c r="X350" s="2">
        <f t="shared" ca="1" si="36"/>
        <v>45390</v>
      </c>
      <c r="Y350">
        <f t="shared" ca="1" si="37"/>
        <v>0</v>
      </c>
      <c r="AA350" s="63">
        <f t="shared" ca="1" si="39"/>
        <v>-34.645667234422497</v>
      </c>
      <c r="AB350" s="63">
        <f t="shared" ca="1" si="40"/>
        <v>-34.645667234422497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45391</v>
      </c>
      <c r="K351">
        <f ca="1"/>
        <v>-38.715346741060138</v>
      </c>
      <c r="L351">
        <f ca="1"/>
        <v>2.1578306228903728</v>
      </c>
      <c r="M351">
        <f ca="1"/>
        <v>5.1820591042108788E-2</v>
      </c>
      <c r="N351">
        <f ca="1"/>
        <v>0.17409520765118358</v>
      </c>
      <c r="O351">
        <f ca="1"/>
        <v>0</v>
      </c>
      <c r="P351">
        <f ca="1"/>
        <v>74.609384569372466</v>
      </c>
      <c r="Q351">
        <f ca="1"/>
        <v>69.037904552828422</v>
      </c>
      <c r="R351">
        <f ca="1"/>
        <v>0</v>
      </c>
      <c r="S351">
        <f ca="1"/>
        <v>0.55163779571738913</v>
      </c>
      <c r="T351">
        <f ca="1"/>
        <v>0</v>
      </c>
      <c r="U351">
        <f ca="1"/>
        <v>0</v>
      </c>
      <c r="V351">
        <f ca="1"/>
        <v>0.99707568855360307</v>
      </c>
      <c r="X351" s="2">
        <f t="shared" ca="1" si="36"/>
        <v>45391</v>
      </c>
      <c r="Y351">
        <f t="shared" ca="1" si="37"/>
        <v>0</v>
      </c>
      <c r="AA351" s="63">
        <f t="shared" ca="1" si="39"/>
        <v>-36.557516118169765</v>
      </c>
      <c r="AB351" s="63">
        <f t="shared" ca="1" si="40"/>
        <v>-36.557516118169765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45392</v>
      </c>
      <c r="K352">
        <f ca="1"/>
        <v>-40.644294225966163</v>
      </c>
      <c r="L352">
        <f ca="1"/>
        <v>2.1505415759433646</v>
      </c>
      <c r="M352">
        <f ca="1"/>
        <v>5.0190634464845729E-2</v>
      </c>
      <c r="N352">
        <f ca="1"/>
        <v>0.17140345657249462</v>
      </c>
      <c r="O352">
        <f ca="1"/>
        <v>0</v>
      </c>
      <c r="P352">
        <f ca="1"/>
        <v>76.759926145315831</v>
      </c>
      <c r="Q352">
        <f ca="1"/>
        <v>71.027853738360434</v>
      </c>
      <c r="R352">
        <f ca="1"/>
        <v>0</v>
      </c>
      <c r="S352">
        <f ca="1"/>
        <v>0.55648953516168342</v>
      </c>
      <c r="T352">
        <f ca="1"/>
        <v>0</v>
      </c>
      <c r="U352">
        <f ca="1"/>
        <v>0</v>
      </c>
      <c r="V352">
        <f ca="1"/>
        <v>0.99737503286352391</v>
      </c>
      <c r="X352" s="2">
        <f t="shared" ca="1" si="36"/>
        <v>45392</v>
      </c>
      <c r="Y352">
        <f t="shared" ca="1" si="37"/>
        <v>0</v>
      </c>
      <c r="AA352" s="63">
        <f t="shared" ca="1" si="39"/>
        <v>-38.493752650022799</v>
      </c>
      <c r="AB352" s="63">
        <f t="shared" ca="1" si="40"/>
        <v>-38.493752650022799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45393</v>
      </c>
      <c r="K353">
        <f ca="1"/>
        <v>-42.601036062695421</v>
      </c>
      <c r="L353">
        <f ca="1"/>
        <v>2.1860244743714361</v>
      </c>
      <c r="M353">
        <f ca="1"/>
        <v>4.9700236409394805E-2</v>
      </c>
      <c r="N353">
        <f ca="1"/>
        <v>0.17958240123278599</v>
      </c>
      <c r="O353">
        <f ca="1"/>
        <v>0</v>
      </c>
      <c r="P353">
        <f ca="1"/>
        <v>78.945950619687267</v>
      </c>
      <c r="Q353">
        <f ca="1"/>
        <v>73.050636125359972</v>
      </c>
      <c r="R353">
        <f ca="1"/>
        <v>0</v>
      </c>
      <c r="S353">
        <f ca="1"/>
        <v>0.58841981339951444</v>
      </c>
      <c r="T353">
        <f ca="1"/>
        <v>0</v>
      </c>
      <c r="U353">
        <f ca="1"/>
        <v>0</v>
      </c>
      <c r="V353">
        <f ca="1"/>
        <v>0.99764463705073358</v>
      </c>
      <c r="X353" s="2">
        <f t="shared" ca="1" si="36"/>
        <v>45393</v>
      </c>
      <c r="Y353">
        <f t="shared" ca="1" si="37"/>
        <v>0</v>
      </c>
      <c r="AA353" s="63">
        <f t="shared" ca="1" si="39"/>
        <v>-40.415011588323985</v>
      </c>
      <c r="AB353" s="63">
        <f t="shared" ca="1" si="40"/>
        <v>-40.415011588323985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45394</v>
      </c>
      <c r="K354">
        <f ca="1"/>
        <v>-44.618703224897892</v>
      </c>
      <c r="L354">
        <f ca="1"/>
        <v>2.2506204403075714</v>
      </c>
      <c r="M354">
        <f ca="1"/>
        <v>4.9922147364966918E-2</v>
      </c>
      <c r="N354">
        <f ca="1"/>
        <v>0.18303113074013147</v>
      </c>
      <c r="O354">
        <f ca="1"/>
        <v>0</v>
      </c>
      <c r="P354">
        <f ca="1"/>
        <v>81.196571059994838</v>
      </c>
      <c r="Q354">
        <f ca="1"/>
        <v>75.133190753566637</v>
      </c>
      <c r="R354">
        <f ca="1"/>
        <v>0</v>
      </c>
      <c r="S354">
        <f ca="1"/>
        <v>0.58679854834315548</v>
      </c>
      <c r="T354">
        <f ca="1"/>
        <v>0</v>
      </c>
      <c r="U354">
        <f ca="1"/>
        <v>0</v>
      </c>
      <c r="V354">
        <f ca="1"/>
        <v>0.99789047676659282</v>
      </c>
      <c r="X354" s="2">
        <f t="shared" ca="1" si="36"/>
        <v>45394</v>
      </c>
      <c r="Y354">
        <f t="shared" ca="1" si="37"/>
        <v>0</v>
      </c>
      <c r="AA354" s="63">
        <f t="shared" ca="1" si="39"/>
        <v>-42.368082784590321</v>
      </c>
      <c r="AB354" s="63">
        <f t="shared" ca="1" si="40"/>
        <v>-42.368082784590321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45395</v>
      </c>
      <c r="K355">
        <f ca="1"/>
        <v>-46.618377670847181</v>
      </c>
      <c r="L355">
        <f ca="1"/>
        <v>2.2314747268953425</v>
      </c>
      <c r="M355">
        <f ca="1"/>
        <v>4.8197132591019098E-2</v>
      </c>
      <c r="N355">
        <f ca="1"/>
        <v>0.18360314835503599</v>
      </c>
      <c r="O355">
        <f ca="1"/>
        <v>0</v>
      </c>
      <c r="P355">
        <f ca="1"/>
        <v>83.428045786890181</v>
      </c>
      <c r="Q355">
        <f ca="1"/>
        <v>77.198029380726311</v>
      </c>
      <c r="R355">
        <f ca="1"/>
        <v>0</v>
      </c>
      <c r="S355">
        <f ca="1"/>
        <v>0.6080897855607752</v>
      </c>
      <c r="T355">
        <f ca="1"/>
        <v>0</v>
      </c>
      <c r="U355">
        <f ca="1"/>
        <v>0</v>
      </c>
      <c r="V355">
        <f ca="1"/>
        <v>0.99810657445429607</v>
      </c>
      <c r="X355" s="2">
        <f t="shared" ca="1" si="36"/>
        <v>45395</v>
      </c>
      <c r="Y355">
        <f t="shared" ca="1" si="37"/>
        <v>0</v>
      </c>
      <c r="AA355" s="63">
        <f t="shared" ca="1" si="39"/>
        <v>-44.386902943951839</v>
      </c>
      <c r="AB355" s="63">
        <f t="shared" ca="1" si="40"/>
        <v>-44.386902943951839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45396</v>
      </c>
      <c r="K356">
        <f ca="1"/>
        <v>-48.616334229784513</v>
      </c>
      <c r="L356">
        <f ca="1"/>
        <v>2.2283607835734784</v>
      </c>
      <c r="M356">
        <f ca="1"/>
        <v>4.6957834170168411E-2</v>
      </c>
      <c r="N356">
        <f ca="1"/>
        <v>0.18344639046598071</v>
      </c>
      <c r="O356">
        <f ca="1"/>
        <v>0</v>
      </c>
      <c r="P356">
        <f ca="1"/>
        <v>85.656406570463659</v>
      </c>
      <c r="Q356">
        <f ca="1"/>
        <v>79.259986599292674</v>
      </c>
      <c r="R356">
        <f ca="1"/>
        <v>0</v>
      </c>
      <c r="S356">
        <f ca="1"/>
        <v>0.61853771167476279</v>
      </c>
      <c r="T356">
        <f ca="1"/>
        <v>0</v>
      </c>
      <c r="U356">
        <f ca="1"/>
        <v>0</v>
      </c>
      <c r="V356">
        <f ca="1"/>
        <v>0.99829841584898038</v>
      </c>
      <c r="X356" s="2">
        <f t="shared" ca="1" si="36"/>
        <v>45396</v>
      </c>
      <c r="Y356">
        <f t="shared" ca="1" si="37"/>
        <v>0</v>
      </c>
      <c r="AA356" s="63">
        <f t="shared" ca="1" si="39"/>
        <v>-46.387973446211028</v>
      </c>
      <c r="AB356" s="63">
        <f t="shared" ca="1" si="40"/>
        <v>-46.387973446211035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45397</v>
      </c>
      <c r="K357">
        <f ca="1"/>
        <v>-50.693642769464731</v>
      </c>
      <c r="L357">
        <f ca="1"/>
        <v>2.3241108393838914</v>
      </c>
      <c r="M357">
        <f ca="1"/>
        <v>4.7945210255694093E-2</v>
      </c>
      <c r="N357">
        <f ca="1"/>
        <v>0.19885708944798466</v>
      </c>
      <c r="O357">
        <f ca="1"/>
        <v>0</v>
      </c>
      <c r="P357">
        <f ca="1"/>
        <v>87.98051740984755</v>
      </c>
      <c r="Q357">
        <f ca="1"/>
        <v>81.410543707164123</v>
      </c>
      <c r="R357">
        <f ca="1"/>
        <v>0</v>
      </c>
      <c r="S357">
        <f ca="1"/>
        <v>0.64835771481612336</v>
      </c>
      <c r="T357">
        <f ca="1"/>
        <v>0</v>
      </c>
      <c r="U357">
        <f ca="1"/>
        <v>0</v>
      </c>
      <c r="V357">
        <f ca="1"/>
        <v>0.99847622940156455</v>
      </c>
      <c r="X357" s="2">
        <f t="shared" ca="1" si="36"/>
        <v>45397</v>
      </c>
      <c r="Y357">
        <f t="shared" ca="1" si="37"/>
        <v>0</v>
      </c>
      <c r="AA357" s="63">
        <f t="shared" ca="1" si="39"/>
        <v>-48.369531930080839</v>
      </c>
      <c r="AB357" s="63">
        <f t="shared" ca="1" si="40"/>
        <v>-48.369531930080839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45398</v>
      </c>
      <c r="K358">
        <f ca="1"/>
        <v>-52.756246497593558</v>
      </c>
      <c r="L358">
        <f ca="1"/>
        <v>2.3071945059356693</v>
      </c>
      <c r="M358">
        <f ca="1"/>
        <v>4.6462316254384461E-2</v>
      </c>
      <c r="N358">
        <f ca="1"/>
        <v>0.19812846155245442</v>
      </c>
      <c r="O358">
        <f ca="1"/>
        <v>0</v>
      </c>
      <c r="P358">
        <f ca="1"/>
        <v>90.28771191578322</v>
      </c>
      <c r="Q358">
        <f ca="1"/>
        <v>83.545447714279931</v>
      </c>
      <c r="R358">
        <f ca="1"/>
        <v>0</v>
      </c>
      <c r="S358">
        <f ca="1"/>
        <v>0.66087864385195816</v>
      </c>
      <c r="T358">
        <f ca="1"/>
        <v>0</v>
      </c>
      <c r="U358">
        <f ca="1"/>
        <v>0</v>
      </c>
      <c r="V358">
        <f ca="1"/>
        <v>0.99863308005902152</v>
      </c>
      <c r="X358" s="2">
        <f t="shared" ca="1" si="36"/>
        <v>45398</v>
      </c>
      <c r="Y358">
        <f t="shared" ca="1" si="37"/>
        <v>0</v>
      </c>
      <c r="AA358" s="63">
        <f t="shared" ca="1" si="39"/>
        <v>-50.449051991657889</v>
      </c>
      <c r="AB358" s="63">
        <f t="shared" ca="1" si="40"/>
        <v>-50.449051991657889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45399</v>
      </c>
      <c r="K359">
        <f ca="1"/>
        <v>-54.835105744895877</v>
      </c>
      <c r="L359">
        <f ca="1"/>
        <v>2.3267749439728505</v>
      </c>
      <c r="M359">
        <f ca="1"/>
        <v>4.5844146928333274E-2</v>
      </c>
      <c r="N359">
        <f ca="1"/>
        <v>0.20207154974219999</v>
      </c>
      <c r="O359">
        <f ca="1"/>
        <v>0</v>
      </c>
      <c r="P359">
        <f ca="1"/>
        <v>92.61448685975607</v>
      </c>
      <c r="Q359">
        <f ca="1"/>
        <v>85.698469983865181</v>
      </c>
      <c r="R359">
        <f ca="1"/>
        <v>0</v>
      </c>
      <c r="S359">
        <f ca="1"/>
        <v>0.67506410812547479</v>
      </c>
      <c r="T359">
        <f ca="1"/>
        <v>0</v>
      </c>
      <c r="U359">
        <f ca="1"/>
        <v>0</v>
      </c>
      <c r="V359">
        <f ca="1"/>
        <v>0.9987738914374219</v>
      </c>
      <c r="X359" s="2">
        <f t="shared" ca="1" si="36"/>
        <v>45399</v>
      </c>
      <c r="Y359">
        <f t="shared" ca="1" si="37"/>
        <v>0</v>
      </c>
      <c r="AA359" s="63">
        <f t="shared" ca="1" si="39"/>
        <v>-52.508330800923027</v>
      </c>
      <c r="AB359" s="63">
        <f t="shared" ca="1" si="40"/>
        <v>-52.508330800923027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45400</v>
      </c>
      <c r="K360">
        <f ca="1"/>
        <v>-56.899398173073692</v>
      </c>
      <c r="L360">
        <f ca="1"/>
        <v>2.3077946274102743</v>
      </c>
      <c r="M360">
        <f ca="1"/>
        <v>4.4487758814735656E-2</v>
      </c>
      <c r="N360">
        <f ca="1"/>
        <v>0.19901444041772529</v>
      </c>
      <c r="O360">
        <f ca="1"/>
        <v>0</v>
      </c>
      <c r="P360">
        <f ca="1"/>
        <v>94.922281487166345</v>
      </c>
      <c r="Q360">
        <f ca="1"/>
        <v>87.833929298189631</v>
      </c>
      <c r="R360">
        <f ca="1"/>
        <v>0</v>
      </c>
      <c r="S360">
        <f ca="1"/>
        <v>0.67778959276169293</v>
      </c>
      <c r="T360">
        <f ca="1"/>
        <v>0</v>
      </c>
      <c r="U360">
        <f ca="1"/>
        <v>0</v>
      </c>
      <c r="V360">
        <f ca="1"/>
        <v>0.99889842814207541</v>
      </c>
      <c r="X360" s="2">
        <f t="shared" ca="1" si="36"/>
        <v>45400</v>
      </c>
      <c r="Y360">
        <f t="shared" ca="1" si="37"/>
        <v>0</v>
      </c>
      <c r="AA360" s="63">
        <f t="shared" ca="1" si="39"/>
        <v>-54.591603545663418</v>
      </c>
      <c r="AB360" s="63">
        <f t="shared" ca="1" si="40"/>
        <v>-54.591603545663418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45401</v>
      </c>
      <c r="K361">
        <f ca="1"/>
        <v>-59.010627917208083</v>
      </c>
      <c r="L361">
        <f ca="1"/>
        <v>2.3551199767540965</v>
      </c>
      <c r="M361">
        <f ca="1"/>
        <v>4.4534810967849836E-2</v>
      </c>
      <c r="N361">
        <f ca="1"/>
        <v>0.19935542165185732</v>
      </c>
      <c r="O361">
        <f ca="1"/>
        <v>0</v>
      </c>
      <c r="P361">
        <f ca="1"/>
        <v>97.277401463920441</v>
      </c>
      <c r="Q361">
        <f ca="1"/>
        <v>90.013179926030276</v>
      </c>
      <c r="R361">
        <f ca="1"/>
        <v>0</v>
      </c>
      <c r="S361">
        <f ca="1"/>
        <v>0.66551331485872101</v>
      </c>
      <c r="T361">
        <f ca="1"/>
        <v>0</v>
      </c>
      <c r="U361">
        <f ca="1"/>
        <v>0</v>
      </c>
      <c r="V361">
        <f ca="1"/>
        <v>0.99901186241281625</v>
      </c>
      <c r="X361" s="2">
        <f t="shared" ca="1" si="36"/>
        <v>45401</v>
      </c>
      <c r="Y361">
        <f t="shared" ca="1" si="37"/>
        <v>0</v>
      </c>
      <c r="AA361" s="63">
        <f t="shared" ca="1" si="39"/>
        <v>-56.655507940453987</v>
      </c>
      <c r="AB361" s="63">
        <f t="shared" ca="1" si="40"/>
        <v>-56.655507940453987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45402</v>
      </c>
      <c r="K362">
        <f ca="1"/>
        <v>-61.104738096849509</v>
      </c>
      <c r="L362">
        <f ca="1"/>
        <v>2.3439183252861682</v>
      </c>
      <c r="M362">
        <f ca="1"/>
        <v>4.3447103617763716E-2</v>
      </c>
      <c r="N362">
        <f ca="1"/>
        <v>0.20636104202697722</v>
      </c>
      <c r="O362">
        <f ca="1"/>
        <v>0</v>
      </c>
      <c r="P362">
        <f ca="1"/>
        <v>99.621319789206609</v>
      </c>
      <c r="Q362">
        <f ca="1"/>
        <v>92.182065389363274</v>
      </c>
      <c r="R362">
        <f ca="1"/>
        <v>0</v>
      </c>
      <c r="S362">
        <f ca="1"/>
        <v>0.70073605507128944</v>
      </c>
      <c r="T362">
        <f ca="1"/>
        <v>0</v>
      </c>
      <c r="U362">
        <f ca="1"/>
        <v>0</v>
      </c>
      <c r="V362">
        <f ca="1"/>
        <v>0.99911268791300178</v>
      </c>
      <c r="X362" s="2">
        <f t="shared" ca="1" si="36"/>
        <v>45402</v>
      </c>
      <c r="Y362">
        <f t="shared" ca="1" si="37"/>
        <v>0</v>
      </c>
      <c r="AA362" s="63">
        <f t="shared" ca="1" si="39"/>
        <v>-58.760819771563341</v>
      </c>
      <c r="AB362" s="63">
        <f t="shared" ca="1" si="40"/>
        <v>-58.760819771563341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45403</v>
      </c>
      <c r="K363">
        <f ca="1"/>
        <v>-63.103354264518345</v>
      </c>
      <c r="L363">
        <f ca="1"/>
        <v>2.2407036891163159</v>
      </c>
      <c r="M363">
        <f ca="1"/>
        <v>4.07291872283988E-2</v>
      </c>
      <c r="N363">
        <f ca="1"/>
        <v>0.20135833421907723</v>
      </c>
      <c r="O363">
        <f ca="1"/>
        <v>0</v>
      </c>
      <c r="P363">
        <f ca="1"/>
        <v>101.86202347832293</v>
      </c>
      <c r="Q363">
        <f ca="1"/>
        <v>94.255443802993625</v>
      </c>
      <c r="R363">
        <f ca="1"/>
        <v>0</v>
      </c>
      <c r="S363">
        <f ca="1"/>
        <v>0.72803880667723841</v>
      </c>
      <c r="T363">
        <f ca="1"/>
        <v>0</v>
      </c>
      <c r="U363">
        <f ca="1"/>
        <v>0</v>
      </c>
      <c r="V363">
        <f ca="1"/>
        <v>0.99919912048571768</v>
      </c>
      <c r="X363" s="2">
        <f t="shared" ca="1" si="36"/>
        <v>45403</v>
      </c>
      <c r="Y363">
        <f t="shared" ca="1" si="37"/>
        <v>0</v>
      </c>
      <c r="AA363" s="63">
        <f t="shared" ca="1" si="39"/>
        <v>-60.862650575402029</v>
      </c>
      <c r="AB363" s="63">
        <f t="shared" ca="1" si="40"/>
        <v>-60.862650575402029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45404</v>
      </c>
      <c r="K364">
        <f ca="1"/>
        <v>-65.129379738237148</v>
      </c>
      <c r="L364">
        <f ca="1"/>
        <v>2.2707534011859707</v>
      </c>
      <c r="M364">
        <f ca="1"/>
        <v>4.0590644391503616E-2</v>
      </c>
      <c r="N364">
        <f ca="1"/>
        <v>0.20413728307566667</v>
      </c>
      <c r="O364">
        <f ca="1"/>
        <v>0</v>
      </c>
      <c r="P364">
        <f ca="1"/>
        <v>104.1327768795089</v>
      </c>
      <c r="Q364">
        <f ca="1"/>
        <v>96.356627956688442</v>
      </c>
      <c r="R364">
        <f ca="1"/>
        <v>0</v>
      </c>
      <c r="S364">
        <f ca="1"/>
        <v>0.72888134541739624</v>
      </c>
      <c r="T364">
        <f ca="1"/>
        <v>0</v>
      </c>
      <c r="U364">
        <f ca="1"/>
        <v>0</v>
      </c>
      <c r="V364">
        <f ca="1"/>
        <v>0.99927790428532104</v>
      </c>
      <c r="X364" s="2">
        <f t="shared" ca="1" si="36"/>
        <v>45404</v>
      </c>
      <c r="Y364">
        <f t="shared" ca="1" si="37"/>
        <v>0</v>
      </c>
      <c r="AA364" s="63">
        <f t="shared" ca="1" si="39"/>
        <v>-62.858626337051177</v>
      </c>
      <c r="AB364" s="63">
        <f t="shared" ca="1" si="40"/>
        <v>-62.858626337051177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45405</v>
      </c>
      <c r="K365">
        <f ca="1"/>
        <v>-67.123360068188362</v>
      </c>
      <c r="L365">
        <f ca="1"/>
        <v>2.2463079439522318</v>
      </c>
      <c r="M365">
        <f ca="1"/>
        <v>3.9507771722213647E-2</v>
      </c>
      <c r="N365">
        <f ca="1"/>
        <v>0.21281984227880826</v>
      </c>
      <c r="O365">
        <f ca="1"/>
        <v>0</v>
      </c>
      <c r="P365">
        <f ca="1"/>
        <v>106.37908482346113</v>
      </c>
      <c r="Q365">
        <f ca="1"/>
        <v>98.435192125605269</v>
      </c>
      <c r="R365">
        <f ca="1"/>
        <v>0</v>
      </c>
      <c r="S365">
        <f ca="1"/>
        <v>0.77263959377146507</v>
      </c>
      <c r="T365">
        <f ca="1"/>
        <v>0</v>
      </c>
      <c r="U365">
        <f ca="1"/>
        <v>0</v>
      </c>
      <c r="V365">
        <f ca="1"/>
        <v>0.99934806977924784</v>
      </c>
      <c r="X365" s="2">
        <f t="shared" ca="1" si="36"/>
        <v>45405</v>
      </c>
      <c r="Y365">
        <f t="shared" ca="1" si="37"/>
        <v>0</v>
      </c>
      <c r="AA365" s="63">
        <f t="shared" ca="1" si="39"/>
        <v>-64.87705212423613</v>
      </c>
      <c r="AB365" s="63">
        <f t="shared" ca="1" si="40"/>
        <v>-64.87705212423613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45406</v>
      </c>
      <c r="K366">
        <f ca="1"/>
        <v>-69.1307421751265</v>
      </c>
      <c r="L366">
        <f ca="1"/>
        <v>2.292825969014018</v>
      </c>
      <c r="M366">
        <f ca="1"/>
        <v>3.9722164911975E-2</v>
      </c>
      <c r="N366">
        <f ca="1"/>
        <v>0.24572169716390621</v>
      </c>
      <c r="O366">
        <f ca="1"/>
        <v>0</v>
      </c>
      <c r="P366">
        <f ca="1"/>
        <v>108.67191079247515</v>
      </c>
      <c r="Q366">
        <f ca="1"/>
        <v>100.55680057095914</v>
      </c>
      <c r="R366">
        <f ca="1"/>
        <v>0</v>
      </c>
      <c r="S366">
        <f ca="1"/>
        <v>0.86535351973649943</v>
      </c>
      <c r="T366">
        <f ca="1"/>
        <v>0</v>
      </c>
      <c r="U366">
        <f ca="1"/>
        <v>0</v>
      </c>
      <c r="V366">
        <f ca="1"/>
        <v>0.99941258292892665</v>
      </c>
      <c r="X366" s="2">
        <f t="shared" ca="1" si="36"/>
        <v>45406</v>
      </c>
      <c r="Y366">
        <f t="shared" ca="1" si="37"/>
        <v>0</v>
      </c>
      <c r="AA366" s="63">
        <f t="shared" ca="1" si="39"/>
        <v>-66.837916206112482</v>
      </c>
      <c r="AB366" s="63">
        <f t="shared" ca="1" si="40"/>
        <v>-66.837916206112482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45407</v>
      </c>
      <c r="K367">
        <f ca="1"/>
        <v>-71.163028150307028</v>
      </c>
      <c r="L367">
        <f ca="1"/>
        <v>2.329709929448498</v>
      </c>
      <c r="M367">
        <f ca="1"/>
        <v>3.9786353848011657E-2</v>
      </c>
      <c r="N367">
        <f ca="1"/>
        <v>0.25763760041995482</v>
      </c>
      <c r="O367">
        <f ca="1"/>
        <v>0</v>
      </c>
      <c r="P367">
        <f ca="1"/>
        <v>111.00162072192364</v>
      </c>
      <c r="Q367">
        <f ca="1"/>
        <v>102.71253865502676</v>
      </c>
      <c r="R367">
        <f ca="1"/>
        <v>0</v>
      </c>
      <c r="S367">
        <f ca="1"/>
        <v>0.88744001038428877</v>
      </c>
      <c r="T367">
        <f ca="1"/>
        <v>0</v>
      </c>
      <c r="U367">
        <f ca="1"/>
        <v>0</v>
      </c>
      <c r="V367">
        <f ca="1"/>
        <v>0.99947157364851869</v>
      </c>
      <c r="X367" s="2">
        <f t="shared" ca="1" si="36"/>
        <v>45407</v>
      </c>
      <c r="Y367">
        <f t="shared" ca="1" si="37"/>
        <v>0</v>
      </c>
      <c r="AA367" s="63">
        <f t="shared" ca="1" si="39"/>
        <v>-68.83331822085853</v>
      </c>
      <c r="AB367" s="63">
        <f t="shared" ca="1" si="40"/>
        <v>-68.83331822085853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45408</v>
      </c>
      <c r="K368">
        <f ca="1"/>
        <v>-73.242223383190947</v>
      </c>
      <c r="L368">
        <f ca="1"/>
        <v>2.3908910091870013</v>
      </c>
      <c r="M368">
        <f ca="1"/>
        <v>4.0306873889832673E-2</v>
      </c>
      <c r="N368">
        <f ca="1"/>
        <v>0.2713889024132547</v>
      </c>
      <c r="O368">
        <f ca="1"/>
        <v>0</v>
      </c>
      <c r="P368">
        <f ca="1"/>
        <v>113.39251173111064</v>
      </c>
      <c r="Q368">
        <f ca="1"/>
        <v>104.9248891018394</v>
      </c>
      <c r="R368">
        <f ca="1"/>
        <v>0</v>
      </c>
      <c r="S368">
        <f ca="1"/>
        <v>0.90244237802854299</v>
      </c>
      <c r="T368">
        <f ca="1"/>
        <v>0</v>
      </c>
      <c r="U368">
        <f ca="1"/>
        <v>0</v>
      </c>
      <c r="V368">
        <f ca="1"/>
        <v>0.9995259828678168</v>
      </c>
      <c r="X368" s="2">
        <f t="shared" ca="1" si="36"/>
        <v>45408</v>
      </c>
      <c r="Y368">
        <f t="shared" ca="1" si="37"/>
        <v>0</v>
      </c>
      <c r="AA368" s="63">
        <f t="shared" ca="1" si="39"/>
        <v>-70.851332374003945</v>
      </c>
      <c r="AB368" s="63">
        <f t="shared" ca="1" si="40"/>
        <v>-70.851332374003945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45409</v>
      </c>
      <c r="K369">
        <f ca="1"/>
        <v>-75.33733601574086</v>
      </c>
      <c r="L369">
        <f ca="1"/>
        <v>2.4248703145077855</v>
      </c>
      <c r="M369">
        <f ca="1"/>
        <v>4.0367141106752769E-2</v>
      </c>
      <c r="N369">
        <f ca="1"/>
        <v>0.28939054085112287</v>
      </c>
      <c r="O369">
        <f ca="1"/>
        <v>0</v>
      </c>
      <c r="P369">
        <f ca="1"/>
        <v>115.81738204561843</v>
      </c>
      <c r="Q369">
        <f ca="1"/>
        <v>107.16868143831574</v>
      </c>
      <c r="R369">
        <f ca="1"/>
        <v>0</v>
      </c>
      <c r="S369">
        <f ca="1"/>
        <v>0.93786080470798561</v>
      </c>
      <c r="T369">
        <f ca="1"/>
        <v>0</v>
      </c>
      <c r="U369">
        <f ca="1"/>
        <v>0</v>
      </c>
      <c r="V369">
        <f ca="1"/>
        <v>0.99957551173882364</v>
      </c>
      <c r="X369" s="2">
        <f t="shared" ca="1" si="36"/>
        <v>45409</v>
      </c>
      <c r="Y369">
        <f t="shared" ca="1" si="37"/>
        <v>0</v>
      </c>
      <c r="AA369" s="63">
        <f t="shared" ca="1" si="39"/>
        <v>-72.912465701233074</v>
      </c>
      <c r="AB369" s="63">
        <f t="shared" ca="1" si="40"/>
        <v>-72.912465701233074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45410</v>
      </c>
      <c r="K370">
        <f ca="1"/>
        <v>-77.302442870929625</v>
      </c>
      <c r="L370">
        <f ca="1"/>
        <v>2.2786600058989421</v>
      </c>
      <c r="M370">
        <f ca="1"/>
        <v>3.7339748890186542E-2</v>
      </c>
      <c r="N370">
        <f ca="1"/>
        <v>0.27621340181998955</v>
      </c>
      <c r="O370">
        <f ca="1"/>
        <v>0</v>
      </c>
      <c r="P370">
        <f ca="1"/>
        <v>118.09604205151737</v>
      </c>
      <c r="Q370">
        <f ca="1"/>
        <v>109.27718176844952</v>
      </c>
      <c r="R370">
        <f ca="1"/>
        <v>0</v>
      </c>
      <c r="S370">
        <f ca="1"/>
        <v>0.96265352136229809</v>
      </c>
      <c r="T370">
        <f ca="1"/>
        <v>0</v>
      </c>
      <c r="U370">
        <f ca="1"/>
        <v>0</v>
      </c>
      <c r="V370">
        <f ca="1"/>
        <v>0.99961741852185326</v>
      </c>
      <c r="X370" s="2">
        <f t="shared" ca="1" si="36"/>
        <v>45410</v>
      </c>
      <c r="Y370">
        <f t="shared" ca="1" si="37"/>
        <v>0</v>
      </c>
      <c r="AA370" s="63">
        <f t="shared" ca="1" si="39"/>
        <v>-75.023782865030682</v>
      </c>
      <c r="AB370" s="63">
        <f t="shared" ca="1" si="40"/>
        <v>-75.023782865030682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45411</v>
      </c>
      <c r="K371">
        <f ca="1"/>
        <v>-79.209694273111722</v>
      </c>
      <c r="L371">
        <f ca="1"/>
        <v>2.2101244457045937</v>
      </c>
      <c r="M371">
        <f ca="1"/>
        <v>3.5803533877594163E-2</v>
      </c>
      <c r="N371">
        <f ca="1"/>
        <v>0.26706950964490273</v>
      </c>
      <c r="O371">
        <f ca="1"/>
        <v>0</v>
      </c>
      <c r="P371">
        <f ca="1"/>
        <v>120.30616649722197</v>
      </c>
      <c r="Q371">
        <f ca="1"/>
        <v>111.32226445359827</v>
      </c>
      <c r="R371">
        <f ca="1"/>
        <v>0</v>
      </c>
      <c r="S371">
        <f ca="1"/>
        <v>1</v>
      </c>
      <c r="T371">
        <f ca="1"/>
        <v>0.90739136636297957</v>
      </c>
      <c r="U371">
        <f ca="1"/>
        <v>0</v>
      </c>
      <c r="V371">
        <f ca="1"/>
        <v>0.99965421486824568</v>
      </c>
      <c r="X371" s="2">
        <f t="shared" ca="1" si="36"/>
        <v>45411</v>
      </c>
      <c r="Y371">
        <f t="shared" ca="1" si="37"/>
        <v>0</v>
      </c>
      <c r="AA371" s="63">
        <f t="shared" ca="1" si="39"/>
        <v>-76.999569827407129</v>
      </c>
      <c r="AB371" s="63">
        <f t="shared" ca="1" si="40"/>
        <v>-76.999569827407129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45412</v>
      </c>
      <c r="K372">
        <f ca="1"/>
        <v>-81.118070330731101</v>
      </c>
      <c r="L372">
        <f ca="1"/>
        <v>2.2125030755457971</v>
      </c>
      <c r="M372">
        <f ca="1"/>
        <v>3.5470822646324507E-2</v>
      </c>
      <c r="N372">
        <f ca="1"/>
        <v>0.26865619528008111</v>
      </c>
      <c r="O372">
        <f ca="1"/>
        <v>0</v>
      </c>
      <c r="P372">
        <f ca="1"/>
        <v>122.51866957276776</v>
      </c>
      <c r="Q372">
        <f ca="1"/>
        <v>113.3695481436325</v>
      </c>
      <c r="R372">
        <f ca="1"/>
        <v>0</v>
      </c>
      <c r="S372">
        <f ca="1"/>
        <v>1</v>
      </c>
      <c r="T372">
        <f ca="1"/>
        <v>1.240000000000002</v>
      </c>
      <c r="U372">
        <f ca="1"/>
        <v>0</v>
      </c>
      <c r="V372">
        <f ca="1"/>
        <v>0.99968762763193197</v>
      </c>
      <c r="X372" s="2">
        <f t="shared" ca="1" si="36"/>
        <v>45412</v>
      </c>
      <c r="Y372">
        <f t="shared" ca="1" si="37"/>
        <v>0</v>
      </c>
      <c r="AA372" s="63">
        <f t="shared" ca="1" si="39"/>
        <v>-78.905567255185318</v>
      </c>
      <c r="AB372" s="63">
        <f t="shared" ca="1" si="40"/>
        <v>-78.905567255185304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45413</v>
      </c>
      <c r="K373">
        <f ca="1"/>
        <v>-83.003995174548393</v>
      </c>
      <c r="L373">
        <f ca="1"/>
        <v>2.1870439269790865</v>
      </c>
      <c r="M373">
        <f ca="1"/>
        <v>3.4727830891540634E-2</v>
      </c>
      <c r="N373">
        <f ca="1"/>
        <v>0.26639125227025956</v>
      </c>
      <c r="O373">
        <f ca="1"/>
        <v>0</v>
      </c>
      <c r="P373">
        <f ca="1"/>
        <v>124.70571349974685</v>
      </c>
      <c r="Q373">
        <f ca="1"/>
        <v>115.39327385528524</v>
      </c>
      <c r="R373">
        <f ca="1"/>
        <v>0</v>
      </c>
      <c r="S373">
        <f ca="1"/>
        <v>1</v>
      </c>
      <c r="T373">
        <f ca="1"/>
        <v>4.6199999999999974</v>
      </c>
      <c r="U373">
        <f ca="1"/>
        <v>0</v>
      </c>
      <c r="V373">
        <f ca="1"/>
        <v>0.99971761345474575</v>
      </c>
      <c r="X373" s="2">
        <f t="shared" ca="1" si="36"/>
        <v>45413</v>
      </c>
      <c r="Y373">
        <f t="shared" ca="1" si="37"/>
        <v>0</v>
      </c>
      <c r="AA373" s="63">
        <f t="shared" ca="1" si="39"/>
        <v>-80.816951247569307</v>
      </c>
      <c r="AB373" s="63">
        <f t="shared" ca="1" si="40"/>
        <v>-80.816951247569307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45414</v>
      </c>
      <c r="K374">
        <f ca="1"/>
        <v>-84.864699751541309</v>
      </c>
      <c r="L374">
        <f ca="1"/>
        <v>2.1585961307578572</v>
      </c>
      <c r="M374">
        <f ca="1"/>
        <v>3.3978262924360791E-2</v>
      </c>
      <c r="N374">
        <f ca="1"/>
        <v>0.26391329084058007</v>
      </c>
      <c r="O374">
        <f ca="1"/>
        <v>0</v>
      </c>
      <c r="P374">
        <f ca="1"/>
        <v>126.86430963050471</v>
      </c>
      <c r="Q374">
        <f ca="1"/>
        <v>117.39067611913585</v>
      </c>
      <c r="R374">
        <f ca="1"/>
        <v>0</v>
      </c>
      <c r="S374">
        <f ca="1"/>
        <v>1</v>
      </c>
      <c r="T374">
        <f ca="1"/>
        <v>0.72000000000000597</v>
      </c>
      <c r="U374">
        <f ca="1"/>
        <v>0</v>
      </c>
      <c r="V374">
        <f ca="1"/>
        <v>0.99974452330026775</v>
      </c>
      <c r="X374" s="2">
        <f t="shared" ca="1" si="36"/>
        <v>45414</v>
      </c>
      <c r="Y374">
        <f t="shared" ca="1" si="37"/>
        <v>0</v>
      </c>
      <c r="AA374" s="63">
        <f t="shared" ca="1" si="39"/>
        <v>-82.706103620783452</v>
      </c>
      <c r="AB374" s="63">
        <f t="shared" ca="1" si="40"/>
        <v>-82.706103620783452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45415</v>
      </c>
      <c r="K375">
        <f ca="1"/>
        <v>-86.677362317023821</v>
      </c>
      <c r="L375">
        <f ca="1"/>
        <v>2.1031916947864175</v>
      </c>
      <c r="M375">
        <f ca="1"/>
        <v>3.2859755987233896E-2</v>
      </c>
      <c r="N375">
        <f ca="1"/>
        <v>0.25766937331666695</v>
      </c>
      <c r="O375">
        <f ca="1"/>
        <v>0</v>
      </c>
      <c r="P375">
        <f ca="1"/>
        <v>128.96750132529112</v>
      </c>
      <c r="Q375">
        <f ca="1"/>
        <v>119.33681129125965</v>
      </c>
      <c r="R375">
        <f ca="1"/>
        <v>0</v>
      </c>
      <c r="S375">
        <f ca="1"/>
        <v>1</v>
      </c>
      <c r="T375">
        <f ca="1"/>
        <v>0.39000000000000767</v>
      </c>
      <c r="U375">
        <f ca="1"/>
        <v>0</v>
      </c>
      <c r="V375">
        <f ca="1"/>
        <v>0.9997684121774838</v>
      </c>
      <c r="X375" s="2">
        <f t="shared" ca="1" si="36"/>
        <v>45415</v>
      </c>
      <c r="Y375">
        <f t="shared" ca="1" si="37"/>
        <v>0</v>
      </c>
      <c r="AA375" s="63">
        <f t="shared" ca="1" si="39"/>
        <v>-84.574170622237403</v>
      </c>
      <c r="AB375" s="63">
        <f t="shared" ca="1" si="40"/>
        <v>-84.574170622237403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45416</v>
      </c>
      <c r="K376">
        <f ca="1"/>
        <v>-88.487563534873374</v>
      </c>
      <c r="L376">
        <f ca="1"/>
        <v>2.1024724364618805</v>
      </c>
      <c r="M376">
        <f ca="1"/>
        <v>3.2604826199149173E-2</v>
      </c>
      <c r="N376">
        <f ca="1"/>
        <v>0.25966639241318118</v>
      </c>
      <c r="O376">
        <f ca="1"/>
        <v>0</v>
      </c>
      <c r="P376">
        <f ca="1"/>
        <v>131.069973761753</v>
      </c>
      <c r="Q376">
        <f ca="1"/>
        <v>121.2822809159078</v>
      </c>
      <c r="R376">
        <f ca="1"/>
        <v>0</v>
      </c>
      <c r="S376">
        <f ca="1"/>
        <v>1</v>
      </c>
      <c r="T376">
        <f ca="1"/>
        <v>1.269999999999996</v>
      </c>
      <c r="U376">
        <f ca="1"/>
        <v>0</v>
      </c>
      <c r="V376">
        <f ca="1"/>
        <v>0.99979020105374539</v>
      </c>
      <c r="X376" s="2">
        <f t="shared" ca="1" si="36"/>
        <v>45416</v>
      </c>
      <c r="Y376">
        <f t="shared" ca="1" si="37"/>
        <v>0</v>
      </c>
      <c r="AA376" s="63">
        <f t="shared" ca="1" si="39"/>
        <v>-86.385091098411493</v>
      </c>
      <c r="AB376" s="63">
        <f t="shared" ca="1" si="40"/>
        <v>-86.385091098411493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45417</v>
      </c>
      <c r="K377">
        <f ca="1"/>
        <v>-90.302192888577736</v>
      </c>
      <c r="L377">
        <f ca="1"/>
        <v>2.1103727657118441</v>
      </c>
      <c r="M377">
        <f ca="1"/>
        <v>3.2503480220718473E-2</v>
      </c>
      <c r="N377">
        <f ca="1"/>
        <v>0.26323993178674993</v>
      </c>
      <c r="O377">
        <f ca="1"/>
        <v>0</v>
      </c>
      <c r="P377">
        <f ca="1"/>
        <v>133.18034652746485</v>
      </c>
      <c r="Q377">
        <f ca="1"/>
        <v>123.23506091015419</v>
      </c>
      <c r="R377">
        <f ca="1"/>
        <v>0</v>
      </c>
      <c r="S377">
        <f ca="1"/>
        <v>1</v>
      </c>
      <c r="T377">
        <f ca="1"/>
        <v>1.6599999999999966</v>
      </c>
      <c r="U377">
        <f ca="1"/>
        <v>0</v>
      </c>
      <c r="V377">
        <f ca="1"/>
        <v>0.99981015482988256</v>
      </c>
      <c r="X377" s="2">
        <f t="shared" ca="1" si="36"/>
        <v>45417</v>
      </c>
      <c r="Y377">
        <f t="shared" ca="1" si="37"/>
        <v>0</v>
      </c>
      <c r="AA377" s="63">
        <f t="shared" ca="1" si="39"/>
        <v>-88.191820122865892</v>
      </c>
      <c r="AB377" s="63">
        <f t="shared" ca="1" si="40"/>
        <v>-88.191820122865892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45418</v>
      </c>
      <c r="K378">
        <f ca="1"/>
        <v>-92.06031810563951</v>
      </c>
      <c r="L378">
        <f ca="1"/>
        <v>2.0455907578983954</v>
      </c>
      <c r="M378">
        <f ca="1"/>
        <v>3.1342891167049913E-2</v>
      </c>
      <c r="N378">
        <f ca="1"/>
        <v>0.25612264966957848</v>
      </c>
      <c r="O378">
        <f ca="1"/>
        <v>0</v>
      </c>
      <c r="P378">
        <f ca="1"/>
        <v>135.22593728536324</v>
      </c>
      <c r="Q378">
        <f ca="1"/>
        <v>125.12789651405366</v>
      </c>
      <c r="R378">
        <f ca="1"/>
        <v>0</v>
      </c>
      <c r="S378">
        <f ca="1"/>
        <v>0.99916666666666665</v>
      </c>
      <c r="T378">
        <f ca="1"/>
        <v>0</v>
      </c>
      <c r="U378">
        <f ca="1"/>
        <v>0</v>
      </c>
      <c r="V378">
        <f ca="1"/>
        <v>0.99982782270471748</v>
      </c>
      <c r="X378" s="2">
        <f t="shared" ca="1" si="36"/>
        <v>45418</v>
      </c>
      <c r="Y378">
        <f t="shared" ca="1" si="37"/>
        <v>0</v>
      </c>
      <c r="AA378" s="63">
        <f t="shared" ca="1" si="39"/>
        <v>-90.014727347741115</v>
      </c>
      <c r="AB378" s="63">
        <f t="shared" ca="1" si="40"/>
        <v>-90.014727347741115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45419</v>
      </c>
      <c r="K379">
        <f ca="1"/>
        <v>-93.768974235949045</v>
      </c>
      <c r="L379">
        <f ca="1"/>
        <v>1.9894404075066632</v>
      </c>
      <c r="M379">
        <f ca="1"/>
        <v>3.0356764385794932E-2</v>
      </c>
      <c r="N379">
        <f ca="1"/>
        <v>0.25042751281132436</v>
      </c>
      <c r="O379">
        <f ca="1"/>
        <v>0</v>
      </c>
      <c r="P379">
        <f ca="1"/>
        <v>137.21537769286991</v>
      </c>
      <c r="Q379">
        <f ca="1"/>
        <v>126.96877481320753</v>
      </c>
      <c r="R379">
        <f ca="1"/>
        <v>0</v>
      </c>
      <c r="S379">
        <f ca="1"/>
        <v>1</v>
      </c>
      <c r="T379">
        <f ca="1"/>
        <v>1.520000241178721</v>
      </c>
      <c r="U379">
        <f ca="1"/>
        <v>0</v>
      </c>
      <c r="V379">
        <f ca="1"/>
        <v>0.99984355975346972</v>
      </c>
      <c r="X379" s="2">
        <f t="shared" ca="1" si="36"/>
        <v>45419</v>
      </c>
      <c r="Y379">
        <f t="shared" ca="1" si="37"/>
        <v>0</v>
      </c>
      <c r="AA379" s="63">
        <f t="shared" ca="1" si="39"/>
        <v>-91.779533828442382</v>
      </c>
      <c r="AB379" s="63">
        <f t="shared" ca="1" si="40"/>
        <v>-91.779533828442382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45420</v>
      </c>
      <c r="K380">
        <f ca="1"/>
        <v>-95.408505680669506</v>
      </c>
      <c r="L380">
        <f ca="1"/>
        <v>1.9100100935377213</v>
      </c>
      <c r="M380">
        <f ca="1"/>
        <v>2.9085459778871225E-2</v>
      </c>
      <c r="N380">
        <f ca="1"/>
        <v>0.24139318903838619</v>
      </c>
      <c r="O380">
        <f ca="1"/>
        <v>0</v>
      </c>
      <c r="P380">
        <f ca="1"/>
        <v>139.12538778640763</v>
      </c>
      <c r="Q380">
        <f ca="1"/>
        <v>128.73615428287718</v>
      </c>
      <c r="R380">
        <f ca="1"/>
        <v>0</v>
      </c>
      <c r="S380">
        <f ca="1"/>
        <v>1</v>
      </c>
      <c r="T380">
        <f ca="1"/>
        <v>0.60000000000000142</v>
      </c>
      <c r="U380">
        <f ca="1"/>
        <v>0</v>
      </c>
      <c r="V380">
        <f ca="1"/>
        <v>0.99985743663080795</v>
      </c>
      <c r="X380" s="2">
        <f t="shared" ca="1" si="36"/>
        <v>45420</v>
      </c>
      <c r="Y380">
        <f t="shared" ca="1" si="37"/>
        <v>0</v>
      </c>
      <c r="AA380" s="63">
        <f t="shared" ca="1" si="39"/>
        <v>-93.498495587131785</v>
      </c>
      <c r="AB380" s="63">
        <f t="shared" ca="1" si="40"/>
        <v>-93.498495587131785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45421</v>
      </c>
      <c r="K381">
        <f ca="1"/>
        <v>-97.04529065967219</v>
      </c>
      <c r="L381">
        <f ca="1"/>
        <v>1.9099057308147849</v>
      </c>
      <c r="M381">
        <f ca="1"/>
        <v>2.8953034953014267E-2</v>
      </c>
      <c r="N381">
        <f ca="1"/>
        <v>0.24416771685908575</v>
      </c>
      <c r="O381">
        <f ca="1"/>
        <v>0</v>
      </c>
      <c r="P381">
        <f ca="1"/>
        <v>141.03529351722241</v>
      </c>
      <c r="Q381">
        <f ca="1"/>
        <v>130.50343718314411</v>
      </c>
      <c r="R381">
        <f ca="1"/>
        <v>0</v>
      </c>
      <c r="S381">
        <f ca="1"/>
        <v>1</v>
      </c>
      <c r="T381">
        <f ca="1"/>
        <v>1.5</v>
      </c>
      <c r="U381">
        <f ca="1"/>
        <v>0</v>
      </c>
      <c r="V381">
        <f ca="1"/>
        <v>0.99987020189080489</v>
      </c>
      <c r="X381" s="2">
        <f t="shared" ca="1" si="36"/>
        <v>45421</v>
      </c>
      <c r="Y381">
        <f t="shared" ca="1" si="37"/>
        <v>0</v>
      </c>
      <c r="AA381" s="63">
        <f t="shared" ca="1" si="39"/>
        <v>-95.135384928857405</v>
      </c>
      <c r="AB381" s="63">
        <f t="shared" ca="1" si="40"/>
        <v>-95.135384928857405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45422</v>
      </c>
      <c r="K382">
        <f ca="1"/>
        <v>-98.696533664856744</v>
      </c>
      <c r="L382">
        <f ca="1"/>
        <v>1.930806069318237</v>
      </c>
      <c r="M382">
        <f ca="1"/>
        <v>2.9135551322358566E-2</v>
      </c>
      <c r="N382">
        <f ca="1"/>
        <v>0.25042751281132436</v>
      </c>
      <c r="O382">
        <f ca="1"/>
        <v>0</v>
      </c>
      <c r="P382">
        <f ca="1"/>
        <v>142.96609958654065</v>
      </c>
      <c r="Q382">
        <f ca="1"/>
        <v>132.29005968235091</v>
      </c>
      <c r="R382">
        <f ca="1"/>
        <v>0</v>
      </c>
      <c r="S382">
        <f ca="1"/>
        <v>1</v>
      </c>
      <c r="T382">
        <f ca="1"/>
        <v>0.60000000000000142</v>
      </c>
      <c r="U382">
        <f ca="1"/>
        <v>0</v>
      </c>
      <c r="V382">
        <f ca="1"/>
        <v>0.99988206592802065</v>
      </c>
      <c r="X382" s="2">
        <f t="shared" ca="1" si="36"/>
        <v>45422</v>
      </c>
      <c r="Y382">
        <f t="shared" ca="1" si="37"/>
        <v>0</v>
      </c>
      <c r="AA382" s="63">
        <f t="shared" ca="1" si="39"/>
        <v>-96.765727595538507</v>
      </c>
      <c r="AB382" s="63">
        <f t="shared" ca="1" si="40"/>
        <v>-96.765727595538507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45423</v>
      </c>
      <c r="K383">
        <f ca="1"/>
        <v>-100.3631740703031</v>
      </c>
      <c r="L383">
        <f ca="1"/>
        <v>1.953458750665618</v>
      </c>
      <c r="M383">
        <f ca="1"/>
        <v>2.9370281257650177E-2</v>
      </c>
      <c r="N383">
        <f ca="1"/>
        <v>0.25744806396161041</v>
      </c>
      <c r="O383">
        <f ca="1"/>
        <v>0</v>
      </c>
      <c r="P383">
        <f ca="1"/>
        <v>144.91955833720627</v>
      </c>
      <c r="Q383">
        <f ca="1"/>
        <v>134.09764326657074</v>
      </c>
      <c r="R383">
        <f ca="1"/>
        <v>0</v>
      </c>
      <c r="S383">
        <f ca="1"/>
        <v>1</v>
      </c>
      <c r="T383">
        <f ca="1"/>
        <v>1.980000000000004</v>
      </c>
      <c r="U383">
        <f ca="1"/>
        <v>0</v>
      </c>
      <c r="V383">
        <f ca="1"/>
        <v>0.99989308742633654</v>
      </c>
      <c r="X383" s="2">
        <f t="shared" ca="1" si="36"/>
        <v>45423</v>
      </c>
      <c r="Y383">
        <f t="shared" ca="1" si="37"/>
        <v>0</v>
      </c>
      <c r="AA383" s="63">
        <f t="shared" ca="1" si="39"/>
        <v>-98.409715319637485</v>
      </c>
      <c r="AB383" s="63">
        <f t="shared" ca="1" si="40"/>
        <v>-98.409715319637485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45424</v>
      </c>
      <c r="K384">
        <f ca="1"/>
        <v>-101.99694839881859</v>
      </c>
      <c r="L384">
        <f ca="1"/>
        <v>1.9182487501262813</v>
      </c>
      <c r="M384">
        <f ca="1"/>
        <v>2.8792646722404669E-2</v>
      </c>
      <c r="N384">
        <f ca="1"/>
        <v>0.25568177488839233</v>
      </c>
      <c r="O384">
        <f ca="1"/>
        <v>0</v>
      </c>
      <c r="P384">
        <f ca="1"/>
        <v>146.83780708733255</v>
      </c>
      <c r="Q384">
        <f ca="1"/>
        <v>135.87264616847332</v>
      </c>
      <c r="R384">
        <f ca="1"/>
        <v>0</v>
      </c>
      <c r="S384">
        <f ca="1"/>
        <v>1</v>
      </c>
      <c r="T384">
        <f ca="1"/>
        <v>1.6300000000000026</v>
      </c>
      <c r="U384">
        <f ca="1"/>
        <v>0</v>
      </c>
      <c r="V384">
        <f ca="1"/>
        <v>0.99990302426691202</v>
      </c>
      <c r="X384" s="2">
        <f t="shared" ca="1" si="36"/>
        <v>45424</v>
      </c>
      <c r="Y384">
        <f t="shared" ca="1" si="37"/>
        <v>0</v>
      </c>
      <c r="AA384" s="63">
        <f t="shared" ca="1" si="39"/>
        <v>-100.07869964869231</v>
      </c>
      <c r="AB384" s="63">
        <f t="shared" ca="1" si="40"/>
        <v>-100.07869964869231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45425</v>
      </c>
      <c r="K385">
        <f ca="1"/>
        <v>-103.56916944711081</v>
      </c>
      <c r="L385">
        <f ca="1"/>
        <v>1.8484413129490918</v>
      </c>
      <c r="M385">
        <f ca="1"/>
        <v>2.7745871605940664E-2</v>
      </c>
      <c r="N385">
        <f ca="1"/>
        <v>0.24847439305092375</v>
      </c>
      <c r="O385">
        <f ca="1"/>
        <v>0</v>
      </c>
      <c r="P385">
        <f ca="1"/>
        <v>148.68624840028164</v>
      </c>
      <c r="Q385">
        <f ca="1"/>
        <v>137.58305452623466</v>
      </c>
      <c r="R385">
        <f ca="1"/>
        <v>0</v>
      </c>
      <c r="S385">
        <f ca="1"/>
        <v>1</v>
      </c>
      <c r="T385">
        <f ca="1"/>
        <v>1.2100000000000009</v>
      </c>
      <c r="U385">
        <f ca="1"/>
        <v>0</v>
      </c>
      <c r="V385">
        <f ca="1"/>
        <v>0.9999118324854378</v>
      </c>
      <c r="X385" s="2">
        <f t="shared" ca="1" si="36"/>
        <v>45425</v>
      </c>
      <c r="Y385">
        <f t="shared" ca="1" si="37"/>
        <v>0</v>
      </c>
      <c r="AA385" s="63">
        <f t="shared" ca="1" si="39"/>
        <v>-101.72072813416172</v>
      </c>
      <c r="AB385" s="63">
        <f t="shared" ca="1" si="40"/>
        <v>-101.72072813416172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45426</v>
      </c>
      <c r="K386">
        <f ca="1"/>
        <v>-105.10832659785845</v>
      </c>
      <c r="L386">
        <f ca="1"/>
        <v>1.8131122121172609</v>
      </c>
      <c r="M386">
        <f ca="1"/>
        <v>2.7208895532508492E-2</v>
      </c>
      <c r="N386">
        <f ca="1"/>
        <v>0.24674616583710265</v>
      </c>
      <c r="O386">
        <f ca="1"/>
        <v>0</v>
      </c>
      <c r="P386">
        <f ca="1"/>
        <v>150.4993606123989</v>
      </c>
      <c r="Q386">
        <f ca="1"/>
        <v>139.26077199523922</v>
      </c>
      <c r="R386">
        <f ca="1"/>
        <v>0</v>
      </c>
      <c r="S386">
        <f ca="1"/>
        <v>1</v>
      </c>
      <c r="T386">
        <f ca="1"/>
        <v>2.3300000000000054</v>
      </c>
      <c r="U386">
        <f ca="1"/>
        <v>0</v>
      </c>
      <c r="V386">
        <f ca="1"/>
        <v>0.99991979544642251</v>
      </c>
      <c r="X386" s="2">
        <f t="shared" ca="1" si="36"/>
        <v>45426</v>
      </c>
      <c r="Y386">
        <f t="shared" ca="1" si="37"/>
        <v>0</v>
      </c>
      <c r="AA386" s="63">
        <f t="shared" ca="1" si="39"/>
        <v>-103.29521438574119</v>
      </c>
      <c r="AB386" s="63">
        <f t="shared" ca="1" si="40"/>
        <v>-103.29521438574119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45427</v>
      </c>
      <c r="K387">
        <f ca="1"/>
        <v>-106.6238603158897</v>
      </c>
      <c r="L387">
        <f ca="1"/>
        <v>1.7893446805197186</v>
      </c>
      <c r="M387">
        <f ca="1"/>
        <v>2.6849173595691056E-2</v>
      </c>
      <c r="N387">
        <f ca="1"/>
        <v>0.24696178889277556</v>
      </c>
      <c r="O387">
        <f ca="1"/>
        <v>0</v>
      </c>
      <c r="P387">
        <f ca="1"/>
        <v>152.28870529291862</v>
      </c>
      <c r="Q387">
        <f ca="1"/>
        <v>140.91649678078508</v>
      </c>
      <c r="R387">
        <f ca="1"/>
        <v>0</v>
      </c>
      <c r="S387">
        <f ca="1"/>
        <v>1</v>
      </c>
      <c r="T387">
        <f ca="1"/>
        <v>2.3400000000000034</v>
      </c>
      <c r="U387">
        <f ca="1"/>
        <v>0</v>
      </c>
      <c r="V387">
        <f ca="1"/>
        <v>0.99992704442497116</v>
      </c>
      <c r="X387" s="2">
        <f t="shared" ca="1" si="36"/>
        <v>45427</v>
      </c>
      <c r="Y387">
        <f t="shared" ca="1" si="37"/>
        <v>0</v>
      </c>
      <c r="AA387" s="63">
        <f t="shared" ca="1" si="39"/>
        <v>-104.83451563536998</v>
      </c>
      <c r="AB387" s="63">
        <f t="shared" ca="1" si="40"/>
        <v>-104.83451563536998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45428</v>
      </c>
      <c r="K388">
        <f ca="1"/>
        <v>-108.07097223310959</v>
      </c>
      <c r="L388">
        <f ca="1"/>
        <v>1.7112947070813789</v>
      </c>
      <c r="M388">
        <f ca="1"/>
        <v>2.5755725485289815E-2</v>
      </c>
      <c r="N388">
        <f ca="1"/>
        <v>0.23842706437621505</v>
      </c>
      <c r="O388">
        <f ca="1"/>
        <v>0</v>
      </c>
      <c r="P388">
        <f ca="1"/>
        <v>154</v>
      </c>
      <c r="Q388">
        <f ca="1"/>
        <v>142.50000000000003</v>
      </c>
      <c r="R388">
        <f ca="1"/>
        <v>0</v>
      </c>
      <c r="S388">
        <f ca="1"/>
        <v>1</v>
      </c>
      <c r="T388">
        <f ca="1"/>
        <v>2.1799999999999997</v>
      </c>
      <c r="U388">
        <f ca="1"/>
        <v>0</v>
      </c>
      <c r="V388">
        <f ca="1"/>
        <v>0.99993345063478134</v>
      </c>
      <c r="X388" s="2">
        <f t="shared" ca="1" si="36"/>
        <v>45428</v>
      </c>
      <c r="Y388">
        <f t="shared" ca="1" si="37"/>
        <v>0</v>
      </c>
      <c r="AA388" s="63">
        <f t="shared" ca="1" si="39"/>
        <v>-106.35967752602819</v>
      </c>
      <c r="AB388" s="63">
        <f t="shared" ca="1" si="40"/>
        <v>-106.35967752602821</v>
      </c>
      <c r="AC388" s="3">
        <f t="shared" ca="1" si="41"/>
        <v>0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256</v>
      </c>
      <c r="CT1" t="s">
        <v>257</v>
      </c>
      <c r="CU1" t="s">
        <v>258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263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262</v>
      </c>
      <c r="CS2" t="s">
        <v>255</v>
      </c>
      <c r="CT2" t="s">
        <v>255</v>
      </c>
      <c r="CU2" t="s">
        <v>255</v>
      </c>
    </row>
    <row r="3" spans="1:99">
      <c r="AS3" s="12"/>
      <c r="AW3" t="s">
        <v>78</v>
      </c>
      <c r="BA3" t="s">
        <v>259</v>
      </c>
      <c r="BO3" t="s">
        <v>89</v>
      </c>
      <c r="BU3" t="s">
        <v>68</v>
      </c>
      <c r="CQ3" s="13" t="s">
        <v>39</v>
      </c>
      <c r="CR3" t="s">
        <v>261</v>
      </c>
      <c r="CS3" t="s">
        <v>247</v>
      </c>
      <c r="CT3" t="s">
        <v>247</v>
      </c>
      <c r="CU3" t="s">
        <v>247</v>
      </c>
    </row>
    <row r="4" spans="1:99">
      <c r="AS4" s="12"/>
      <c r="BA4" t="s">
        <v>260</v>
      </c>
      <c r="BU4" t="s">
        <v>69</v>
      </c>
      <c r="CQ4" s="13"/>
      <c r="CR4" t="s">
        <v>29</v>
      </c>
      <c r="CS4" t="s">
        <v>248</v>
      </c>
      <c r="CT4" t="s">
        <v>248</v>
      </c>
      <c r="CU4" t="s">
        <v>248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249</v>
      </c>
      <c r="CT5" t="s">
        <v>249</v>
      </c>
      <c r="CU5" t="s">
        <v>249</v>
      </c>
    </row>
    <row r="6" spans="1:99" ht="15" thickBot="1">
      <c r="AI6" t="s">
        <v>217</v>
      </c>
      <c r="AJ6" t="s">
        <v>219</v>
      </c>
      <c r="AM6" s="116" t="s">
        <v>264</v>
      </c>
      <c r="AN6">
        <v>5</v>
      </c>
      <c r="CS6" t="s">
        <v>250</v>
      </c>
      <c r="CT6" t="s">
        <v>250</v>
      </c>
      <c r="CU6" t="s">
        <v>250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245</v>
      </c>
      <c r="AR7" t="s">
        <v>276</v>
      </c>
      <c r="CS7" t="s">
        <v>251</v>
      </c>
      <c r="CT7" t="s">
        <v>251</v>
      </c>
      <c r="CU7" t="s">
        <v>251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256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229</v>
      </c>
      <c r="AR8" t="s">
        <v>277</v>
      </c>
      <c r="CS8" t="s">
        <v>252</v>
      </c>
      <c r="CT8" t="s">
        <v>252</v>
      </c>
      <c r="CU8" t="s">
        <v>252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257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278</v>
      </c>
      <c r="CS9" t="s">
        <v>253</v>
      </c>
      <c r="CT9" t="s">
        <v>253</v>
      </c>
      <c r="CU9" t="s">
        <v>253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258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279</v>
      </c>
      <c r="CS10" t="s">
        <v>254</v>
      </c>
      <c r="CT10" t="s">
        <v>254</v>
      </c>
      <c r="CU10" t="s">
        <v>254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240</v>
      </c>
      <c r="AN11">
        <v>32</v>
      </c>
      <c r="AR11" t="s">
        <v>280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241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242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1" t="s">
        <v>197</v>
      </c>
      <c r="B1" s="141"/>
      <c r="C1" s="141"/>
      <c r="D1" s="141"/>
      <c r="E1" s="141"/>
      <c r="F1" s="141"/>
      <c r="H1" s="141" t="s">
        <v>198</v>
      </c>
      <c r="I1" s="141"/>
      <c r="J1" s="141"/>
      <c r="K1" s="141"/>
      <c r="L1" s="141"/>
      <c r="M1" s="141"/>
      <c r="O1" s="141" t="s">
        <v>199</v>
      </c>
      <c r="P1" s="141"/>
      <c r="Q1" s="141"/>
      <c r="R1" s="141"/>
      <c r="S1" s="141"/>
      <c r="T1" s="141"/>
      <c r="V1" s="141"/>
      <c r="W1" s="141"/>
      <c r="X1" s="141"/>
      <c r="Y1" s="141"/>
      <c r="Z1" s="141"/>
      <c r="AA1" s="141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2024-06-06T23:54:42Z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