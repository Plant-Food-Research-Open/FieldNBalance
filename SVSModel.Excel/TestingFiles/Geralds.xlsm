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FE7B99D2-CB5C-42CD-A741-E13910D21065}" xr6:coauthVersionLast="47" xr6:coauthVersionMax="47" xr10:uidLastSave="{00000000-0000-0000-0000-000000000000}"/>
  <bookViews>
    <workbookView xWindow="-12" yWindow="-12" windowWidth="11520" windowHeight="12384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ListMembers!$B$8:$H$37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Interface'!$J$7:$V$1000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D20" i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J4" i="3" s="1"/>
  <c r="B21" i="1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J3" i="3" s="1"/>
  <c r="B19" i="3"/>
  <c r="J6" i="3" a="1"/>
  <c r="Q6" i="3" l="1"/>
  <c r="T9" i="3"/>
  <c r="S14" i="3"/>
  <c r="R19" i="3"/>
  <c r="Q24" i="3"/>
  <c r="P29" i="3"/>
  <c r="O34" i="3"/>
  <c r="Y34" i="3" s="1"/>
  <c r="N39" i="3"/>
  <c r="M44" i="3"/>
  <c r="R8" i="3"/>
  <c r="Q13" i="3"/>
  <c r="P18" i="3"/>
  <c r="O23" i="3"/>
  <c r="N28" i="3"/>
  <c r="M33" i="3"/>
  <c r="L38" i="3"/>
  <c r="K43" i="3"/>
  <c r="J48" i="3"/>
  <c r="V52" i="3"/>
  <c r="U57" i="3"/>
  <c r="Q10" i="3"/>
  <c r="P15" i="3"/>
  <c r="O20" i="3"/>
  <c r="Y20" i="3" s="1"/>
  <c r="N25" i="3"/>
  <c r="M30" i="3"/>
  <c r="L35" i="3"/>
  <c r="K40" i="3"/>
  <c r="J45" i="3"/>
  <c r="V49" i="3"/>
  <c r="U54" i="3"/>
  <c r="Q7" i="3"/>
  <c r="P12" i="3"/>
  <c r="O17" i="3"/>
  <c r="N22" i="3"/>
  <c r="M27" i="3"/>
  <c r="L32" i="3"/>
  <c r="K37" i="3"/>
  <c r="J42" i="3"/>
  <c r="T10" i="3"/>
  <c r="S15" i="3"/>
  <c r="R20" i="3"/>
  <c r="Q25" i="3"/>
  <c r="P30" i="3"/>
  <c r="O35" i="3"/>
  <c r="N40" i="3"/>
  <c r="M45" i="3"/>
  <c r="L50" i="3"/>
  <c r="K55" i="3"/>
  <c r="S9" i="3"/>
  <c r="J23" i="3"/>
  <c r="K36" i="3"/>
  <c r="M47" i="3"/>
  <c r="L55" i="3"/>
  <c r="M61" i="3"/>
  <c r="L66" i="3"/>
  <c r="K71" i="3"/>
  <c r="J76" i="3"/>
  <c r="V80" i="3"/>
  <c r="U85" i="3"/>
  <c r="J15" i="3"/>
  <c r="K28" i="3"/>
  <c r="K41" i="3"/>
  <c r="N50" i="3"/>
  <c r="M58" i="3"/>
  <c r="L63" i="3"/>
  <c r="K68" i="3"/>
  <c r="J73" i="3"/>
  <c r="V77" i="3"/>
  <c r="U82" i="3"/>
  <c r="J7" i="3"/>
  <c r="K20" i="3"/>
  <c r="K33" i="3"/>
  <c r="N45" i="3"/>
  <c r="N10" i="3"/>
  <c r="R23" i="3"/>
  <c r="S36" i="3"/>
  <c r="R47" i="3"/>
  <c r="P17" i="3"/>
  <c r="Q30" i="3"/>
  <c r="N43" i="3"/>
  <c r="K26" i="3"/>
  <c r="P51" i="3"/>
  <c r="P60" i="3"/>
  <c r="K67" i="3"/>
  <c r="S73" i="3"/>
  <c r="J6" i="3"/>
  <c r="O10" i="3"/>
  <c r="Y10" i="3" s="1"/>
  <c r="N15" i="3"/>
  <c r="M20" i="3"/>
  <c r="L25" i="3"/>
  <c r="K30" i="3"/>
  <c r="J35" i="3"/>
  <c r="V39" i="3"/>
  <c r="U44" i="3"/>
  <c r="M9" i="3"/>
  <c r="L14" i="3"/>
  <c r="K19" i="3"/>
  <c r="J24" i="3"/>
  <c r="V28" i="3"/>
  <c r="U33" i="3"/>
  <c r="T38" i="3"/>
  <c r="S43" i="3"/>
  <c r="R48" i="3"/>
  <c r="Q53" i="3"/>
  <c r="M6" i="3"/>
  <c r="L11" i="3"/>
  <c r="K16" i="3"/>
  <c r="J21" i="3"/>
  <c r="V25" i="3"/>
  <c r="U30" i="3"/>
  <c r="T35" i="3"/>
  <c r="S40" i="3"/>
  <c r="R45" i="3"/>
  <c r="Q50" i="3"/>
  <c r="P55" i="3"/>
  <c r="L8" i="3"/>
  <c r="K13" i="3"/>
  <c r="J18" i="3"/>
  <c r="V22" i="3"/>
  <c r="U27" i="3"/>
  <c r="T32" i="3"/>
  <c r="S37" i="3"/>
  <c r="P6" i="3"/>
  <c r="O11" i="3"/>
  <c r="N16" i="3"/>
  <c r="M21" i="3"/>
  <c r="L26" i="3"/>
  <c r="K31" i="3"/>
  <c r="J36" i="3"/>
  <c r="V40" i="3"/>
  <c r="U45" i="3"/>
  <c r="T50" i="3"/>
  <c r="S55" i="3"/>
  <c r="P11" i="3"/>
  <c r="P24" i="3"/>
  <c r="T37" i="3"/>
  <c r="M48" i="3"/>
  <c r="L56" i="3"/>
  <c r="U61" i="3"/>
  <c r="T66" i="3"/>
  <c r="S71" i="3"/>
  <c r="R76" i="3"/>
  <c r="Q81" i="3"/>
  <c r="P86" i="3"/>
  <c r="P16" i="3"/>
  <c r="T29" i="3"/>
  <c r="S42" i="3"/>
  <c r="N51" i="3"/>
  <c r="U58" i="3"/>
  <c r="T63" i="3"/>
  <c r="S68" i="3"/>
  <c r="R73" i="3"/>
  <c r="Q78" i="3"/>
  <c r="P83" i="3"/>
  <c r="P8" i="3"/>
  <c r="T21" i="3"/>
  <c r="U34" i="3"/>
  <c r="Q46" i="3"/>
  <c r="K12" i="3"/>
  <c r="K25" i="3"/>
  <c r="O38" i="3"/>
  <c r="Q48" i="3"/>
  <c r="V18" i="3"/>
  <c r="M32" i="3"/>
  <c r="T7" i="3"/>
  <c r="R30" i="3"/>
  <c r="S52" i="3"/>
  <c r="O61" i="3"/>
  <c r="Y61" i="3" s="1"/>
  <c r="U67" i="3"/>
  <c r="P74" i="3"/>
  <c r="K6" i="3"/>
  <c r="J11" i="3"/>
  <c r="V15" i="3"/>
  <c r="U20" i="3"/>
  <c r="T25" i="3"/>
  <c r="S30" i="3"/>
  <c r="R35" i="3"/>
  <c r="Q40" i="3"/>
  <c r="P45" i="3"/>
  <c r="U9" i="3"/>
  <c r="T14" i="3"/>
  <c r="S19" i="3"/>
  <c r="R24" i="3"/>
  <c r="Q29" i="3"/>
  <c r="P34" i="3"/>
  <c r="O39" i="3"/>
  <c r="N44" i="3"/>
  <c r="M49" i="3"/>
  <c r="L54" i="3"/>
  <c r="U6" i="3"/>
  <c r="T11" i="3"/>
  <c r="S16" i="3"/>
  <c r="R21" i="3"/>
  <c r="Q26" i="3"/>
  <c r="P31" i="3"/>
  <c r="O36" i="3"/>
  <c r="N41" i="3"/>
  <c r="M46" i="3"/>
  <c r="L51" i="3"/>
  <c r="K56" i="3"/>
  <c r="T8" i="3"/>
  <c r="S13" i="3"/>
  <c r="R18" i="3"/>
  <c r="Q23" i="3"/>
  <c r="P28" i="3"/>
  <c r="O33" i="3"/>
  <c r="N38" i="3"/>
  <c r="K7" i="3"/>
  <c r="J12" i="3"/>
  <c r="V16" i="3"/>
  <c r="U21" i="3"/>
  <c r="T26" i="3"/>
  <c r="S31" i="3"/>
  <c r="R36" i="3"/>
  <c r="Q41" i="3"/>
  <c r="P46" i="3"/>
  <c r="O51" i="3"/>
  <c r="N56" i="3"/>
  <c r="L13" i="3"/>
  <c r="M26" i="3"/>
  <c r="M39" i="3"/>
  <c r="L49" i="3"/>
  <c r="K57" i="3"/>
  <c r="P62" i="3"/>
  <c r="S6" i="3"/>
  <c r="R11" i="3"/>
  <c r="Q16" i="3"/>
  <c r="P21" i="3"/>
  <c r="O26" i="3"/>
  <c r="N31" i="3"/>
  <c r="M36" i="3"/>
  <c r="L41" i="3"/>
  <c r="K46" i="3"/>
  <c r="P10" i="3"/>
  <c r="V7" i="3"/>
  <c r="U12" i="3"/>
  <c r="T17" i="3"/>
  <c r="S22" i="3"/>
  <c r="R27" i="3"/>
  <c r="Q32" i="3"/>
  <c r="P37" i="3"/>
  <c r="O42" i="3"/>
  <c r="T6" i="3"/>
  <c r="S11" i="3"/>
  <c r="R16" i="3"/>
  <c r="Q21" i="3"/>
  <c r="P26" i="3"/>
  <c r="O31" i="3"/>
  <c r="Y31" i="3" s="1"/>
  <c r="N36" i="3"/>
  <c r="M41" i="3"/>
  <c r="L46" i="3"/>
  <c r="K51" i="3"/>
  <c r="J56" i="3"/>
  <c r="S8" i="3"/>
  <c r="R13" i="3"/>
  <c r="Q18" i="3"/>
  <c r="P23" i="3"/>
  <c r="O28" i="3"/>
  <c r="N33" i="3"/>
  <c r="M38" i="3"/>
  <c r="L43" i="3"/>
  <c r="K48" i="3"/>
  <c r="J53" i="3"/>
  <c r="V57" i="3"/>
  <c r="R10" i="3"/>
  <c r="Q15" i="3"/>
  <c r="P20" i="3"/>
  <c r="O25" i="3"/>
  <c r="N30" i="3"/>
  <c r="M35" i="3"/>
  <c r="L40" i="3"/>
  <c r="V8" i="3"/>
  <c r="U13" i="3"/>
  <c r="T18" i="3"/>
  <c r="S23" i="3"/>
  <c r="R28" i="3"/>
  <c r="Q33" i="3"/>
  <c r="P38" i="3"/>
  <c r="O43" i="3"/>
  <c r="Y43" i="3" s="1"/>
  <c r="N48" i="3"/>
  <c r="M53" i="3"/>
  <c r="L58" i="3"/>
  <c r="K18" i="3"/>
  <c r="L31" i="3"/>
  <c r="U43" i="3"/>
  <c r="L52" i="3"/>
  <c r="O59" i="3"/>
  <c r="Y59" i="3" s="1"/>
  <c r="N64" i="3"/>
  <c r="M69" i="3"/>
  <c r="L74" i="3"/>
  <c r="K79" i="3"/>
  <c r="J84" i="3"/>
  <c r="K10" i="3"/>
  <c r="L23" i="3"/>
  <c r="L36" i="3"/>
  <c r="N47" i="3"/>
  <c r="M55" i="3"/>
  <c r="N61" i="3"/>
  <c r="M66" i="3"/>
  <c r="L71" i="3"/>
  <c r="K76" i="3"/>
  <c r="J81" i="3"/>
  <c r="V85" i="3"/>
  <c r="L15" i="3"/>
  <c r="L28" i="3"/>
  <c r="P41" i="3"/>
  <c r="O50" i="3"/>
  <c r="S18" i="3"/>
  <c r="T31" i="3"/>
  <c r="L44" i="3"/>
  <c r="Q12" i="3"/>
  <c r="R25" i="3"/>
  <c r="R38" i="3"/>
  <c r="T12" i="3"/>
  <c r="V45" i="3"/>
  <c r="T57" i="3"/>
  <c r="R64" i="3"/>
  <c r="M71" i="3"/>
  <c r="S77" i="3"/>
  <c r="N7" i="3"/>
  <c r="J19" i="3"/>
  <c r="L33" i="3"/>
  <c r="L6" i="3"/>
  <c r="M17" i="3"/>
  <c r="K27" i="3"/>
  <c r="V36" i="3"/>
  <c r="T46" i="3"/>
  <c r="R56" i="3"/>
  <c r="M14" i="3"/>
  <c r="K24" i="3"/>
  <c r="V33" i="3"/>
  <c r="T43" i="3"/>
  <c r="R53" i="3"/>
  <c r="M11" i="3"/>
  <c r="K21" i="3"/>
  <c r="V30" i="3"/>
  <c r="T40" i="3"/>
  <c r="P14" i="3"/>
  <c r="N24" i="3"/>
  <c r="L34" i="3"/>
  <c r="J44" i="3"/>
  <c r="U53" i="3"/>
  <c r="Q19" i="3"/>
  <c r="K45" i="3"/>
  <c r="J60" i="3"/>
  <c r="R68" i="3"/>
  <c r="M77" i="3"/>
  <c r="R84" i="3"/>
  <c r="V19" i="3"/>
  <c r="R39" i="3"/>
  <c r="N54" i="3"/>
  <c r="O64" i="3"/>
  <c r="Y64" i="3" s="1"/>
  <c r="T71" i="3"/>
  <c r="T79" i="3"/>
  <c r="L87" i="3"/>
  <c r="S26" i="3"/>
  <c r="Q47" i="3"/>
  <c r="L20" i="3"/>
  <c r="R41" i="3"/>
  <c r="T15" i="3"/>
  <c r="L37" i="3"/>
  <c r="N35" i="3"/>
  <c r="V58" i="3"/>
  <c r="Q69" i="3"/>
  <c r="O79" i="3"/>
  <c r="J86" i="3"/>
  <c r="M91" i="3"/>
  <c r="L96" i="3"/>
  <c r="Q22" i="3"/>
  <c r="J50" i="3"/>
  <c r="T59" i="3"/>
  <c r="O66" i="3"/>
  <c r="U72" i="3"/>
  <c r="P79" i="3"/>
  <c r="K86" i="3"/>
  <c r="N91" i="3"/>
  <c r="M96" i="3"/>
  <c r="R22" i="3"/>
  <c r="K50" i="3"/>
  <c r="U59" i="3"/>
  <c r="P66" i="3"/>
  <c r="K73" i="3"/>
  <c r="Q79" i="3"/>
  <c r="L86" i="3"/>
  <c r="O91" i="3"/>
  <c r="N96" i="3"/>
  <c r="M101" i="3"/>
  <c r="L106" i="3"/>
  <c r="T36" i="3"/>
  <c r="Q54" i="3"/>
  <c r="O62" i="3"/>
  <c r="Y62" i="3" s="1"/>
  <c r="J69" i="3"/>
  <c r="R75" i="3"/>
  <c r="K82" i="3"/>
  <c r="O88" i="3"/>
  <c r="N93" i="3"/>
  <c r="M98" i="3"/>
  <c r="L103" i="3"/>
  <c r="K108" i="3"/>
  <c r="Q8" i="3"/>
  <c r="K22" i="3"/>
  <c r="T33" i="3"/>
  <c r="O7" i="3"/>
  <c r="U17" i="3"/>
  <c r="S27" i="3"/>
  <c r="Q37" i="3"/>
  <c r="O47" i="3"/>
  <c r="Y47" i="3" s="1"/>
  <c r="M57" i="3"/>
  <c r="U14" i="3"/>
  <c r="S24" i="3"/>
  <c r="Q34" i="3"/>
  <c r="O44" i="3"/>
  <c r="M54" i="3"/>
  <c r="U11" i="3"/>
  <c r="S21" i="3"/>
  <c r="Q31" i="3"/>
  <c r="O41" i="3"/>
  <c r="K15" i="3"/>
  <c r="V24" i="3"/>
  <c r="T34" i="3"/>
  <c r="R44" i="3"/>
  <c r="P54" i="3"/>
  <c r="N21" i="3"/>
  <c r="N46" i="3"/>
  <c r="R60" i="3"/>
  <c r="U69" i="3"/>
  <c r="U77" i="3"/>
  <c r="M85" i="3"/>
  <c r="O21" i="3"/>
  <c r="V43" i="3"/>
  <c r="M56" i="3"/>
  <c r="J65" i="3"/>
  <c r="O72" i="3"/>
  <c r="O80" i="3"/>
  <c r="M10" i="3"/>
  <c r="V29" i="3"/>
  <c r="P48" i="3"/>
  <c r="V21" i="3"/>
  <c r="V42" i="3"/>
  <c r="S20" i="3"/>
  <c r="O40" i="3"/>
  <c r="L39" i="3"/>
  <c r="S59" i="3"/>
  <c r="N70" i="3"/>
  <c r="L80" i="3"/>
  <c r="T86" i="3"/>
  <c r="U91" i="3"/>
  <c r="T96" i="3"/>
  <c r="V26" i="3"/>
  <c r="Q51" i="3"/>
  <c r="Q60" i="3"/>
  <c r="L67" i="3"/>
  <c r="T73" i="3"/>
  <c r="M80" i="3"/>
  <c r="U86" i="3"/>
  <c r="V91" i="3"/>
  <c r="U96" i="3"/>
  <c r="P27" i="3"/>
  <c r="R51" i="3"/>
  <c r="T60" i="3"/>
  <c r="M67" i="3"/>
  <c r="U73" i="3"/>
  <c r="P80" i="3"/>
  <c r="V86" i="3"/>
  <c r="J92" i="3"/>
  <c r="V96" i="3"/>
  <c r="U101" i="3"/>
  <c r="T106" i="3"/>
  <c r="U40" i="3"/>
  <c r="T55" i="3"/>
  <c r="N63" i="3"/>
  <c r="T69" i="3"/>
  <c r="O76" i="3"/>
  <c r="J83" i="3"/>
  <c r="J89" i="3"/>
  <c r="V93" i="3"/>
  <c r="U98" i="3"/>
  <c r="T103" i="3"/>
  <c r="S108" i="3"/>
  <c r="L9" i="3"/>
  <c r="N23" i="3"/>
  <c r="U36" i="3"/>
  <c r="J8" i="3"/>
  <c r="N20" i="3"/>
  <c r="L30" i="3"/>
  <c r="J40" i="3"/>
  <c r="U49" i="3"/>
  <c r="P7" i="3"/>
  <c r="N17" i="3"/>
  <c r="L27" i="3"/>
  <c r="J37" i="3"/>
  <c r="U46" i="3"/>
  <c r="S56" i="3"/>
  <c r="N14" i="3"/>
  <c r="L24" i="3"/>
  <c r="J34" i="3"/>
  <c r="S7" i="3"/>
  <c r="Q17" i="3"/>
  <c r="O27" i="3"/>
  <c r="M37" i="3"/>
  <c r="K47" i="3"/>
  <c r="V56" i="3"/>
  <c r="V27" i="3"/>
  <c r="M50" i="3"/>
  <c r="K63" i="3"/>
  <c r="P70" i="3"/>
  <c r="P78" i="3"/>
  <c r="K87" i="3"/>
  <c r="U24" i="3"/>
  <c r="L45" i="3"/>
  <c r="L57" i="3"/>
  <c r="R65" i="3"/>
  <c r="M74" i="3"/>
  <c r="R81" i="3"/>
  <c r="V11" i="3"/>
  <c r="R31" i="3"/>
  <c r="P49" i="3"/>
  <c r="U26" i="3"/>
  <c r="O45" i="3"/>
  <c r="Y45" i="3" s="1"/>
  <c r="O22" i="3"/>
  <c r="Y22" i="3" s="1"/>
  <c r="K42" i="3"/>
  <c r="P43" i="3"/>
  <c r="L62" i="3"/>
  <c r="J72" i="3"/>
  <c r="K81" i="3"/>
  <c r="Q87" i="3"/>
  <c r="P92" i="3"/>
  <c r="O97" i="3"/>
  <c r="Y97" i="3" s="1"/>
  <c r="J31" i="3"/>
  <c r="T52" i="3"/>
  <c r="P61" i="3"/>
  <c r="V67" i="3"/>
  <c r="Q74" i="3"/>
  <c r="L81" i="3"/>
  <c r="R87" i="3"/>
  <c r="Q92" i="3"/>
  <c r="P97" i="3"/>
  <c r="U31" i="3"/>
  <c r="U52" i="3"/>
  <c r="Q61" i="3"/>
  <c r="L68" i="3"/>
  <c r="R74" i="3"/>
  <c r="M81" i="3"/>
  <c r="S87" i="3"/>
  <c r="R92" i="3"/>
  <c r="Q97" i="3"/>
  <c r="P102" i="3"/>
  <c r="R9" i="3"/>
  <c r="Q44" i="3"/>
  <c r="J57" i="3"/>
  <c r="K64" i="3"/>
  <c r="S70" i="3"/>
  <c r="L77" i="3"/>
  <c r="T83" i="3"/>
  <c r="R89" i="3"/>
  <c r="Q94" i="3"/>
  <c r="P99" i="3"/>
  <c r="O104" i="3"/>
  <c r="N109" i="3"/>
  <c r="U15" i="3"/>
  <c r="L47" i="3"/>
  <c r="Q58" i="3"/>
  <c r="L65" i="3"/>
  <c r="R71" i="3"/>
  <c r="M12" i="3"/>
  <c r="V23" i="3"/>
  <c r="K38" i="3"/>
  <c r="K11" i="3"/>
  <c r="V20" i="3"/>
  <c r="T30" i="3"/>
  <c r="R40" i="3"/>
  <c r="P50" i="3"/>
  <c r="K8" i="3"/>
  <c r="V17" i="3"/>
  <c r="T27" i="3"/>
  <c r="R37" i="3"/>
  <c r="P47" i="3"/>
  <c r="N57" i="3"/>
  <c r="V14" i="3"/>
  <c r="T24" i="3"/>
  <c r="R34" i="3"/>
  <c r="N8" i="3"/>
  <c r="L18" i="3"/>
  <c r="J28" i="3"/>
  <c r="U37" i="3"/>
  <c r="S47" i="3"/>
  <c r="Q57" i="3"/>
  <c r="O29" i="3"/>
  <c r="M51" i="3"/>
  <c r="S63" i="3"/>
  <c r="N72" i="3"/>
  <c r="S79" i="3"/>
  <c r="R6" i="3"/>
  <c r="N26" i="3"/>
  <c r="O46" i="3"/>
  <c r="P59" i="3"/>
  <c r="U66" i="3"/>
  <c r="U74" i="3"/>
  <c r="M82" i="3"/>
  <c r="O13" i="3"/>
  <c r="Q36" i="3"/>
  <c r="L7" i="3"/>
  <c r="Q28" i="3"/>
  <c r="R46" i="3"/>
  <c r="U23" i="3"/>
  <c r="P9" i="3"/>
  <c r="V47" i="3"/>
  <c r="V62" i="3"/>
  <c r="T72" i="3"/>
  <c r="U81" i="3"/>
  <c r="L88" i="3"/>
  <c r="K93" i="3"/>
  <c r="J98" i="3"/>
  <c r="Q35" i="3"/>
  <c r="J54" i="3"/>
  <c r="M62" i="3"/>
  <c r="U68" i="3"/>
  <c r="N75" i="3"/>
  <c r="V81" i="3"/>
  <c r="M88" i="3"/>
  <c r="L93" i="3"/>
  <c r="K98" i="3"/>
  <c r="V35" i="3"/>
  <c r="O54" i="3"/>
  <c r="Y54" i="3" s="1"/>
  <c r="N62" i="3"/>
  <c r="V68" i="3"/>
  <c r="Q75" i="3"/>
  <c r="J82" i="3"/>
  <c r="N88" i="3"/>
  <c r="M93" i="3"/>
  <c r="L98" i="3"/>
  <c r="P13" i="3"/>
  <c r="S38" i="3"/>
  <c r="L22" i="3"/>
  <c r="U41" i="3"/>
  <c r="N9" i="3"/>
  <c r="J29" i="3"/>
  <c r="S48" i="3"/>
  <c r="L16" i="3"/>
  <c r="U35" i="3"/>
  <c r="O19" i="3"/>
  <c r="K39" i="3"/>
  <c r="O6" i="3"/>
  <c r="L53" i="3"/>
  <c r="V72" i="3"/>
  <c r="O8" i="3"/>
  <c r="O48" i="3"/>
  <c r="Y48" i="3" s="1"/>
  <c r="P67" i="3"/>
  <c r="K84" i="3"/>
  <c r="J38" i="3"/>
  <c r="J30" i="3"/>
  <c r="N27" i="3"/>
  <c r="T49" i="3"/>
  <c r="M75" i="3"/>
  <c r="T88" i="3"/>
  <c r="R98" i="3"/>
  <c r="Q55" i="3"/>
  <c r="R69" i="3"/>
  <c r="S82" i="3"/>
  <c r="T93" i="3"/>
  <c r="P40" i="3"/>
  <c r="M63" i="3"/>
  <c r="N76" i="3"/>
  <c r="V88" i="3"/>
  <c r="T98" i="3"/>
  <c r="Q105" i="3"/>
  <c r="R50" i="3"/>
  <c r="U64" i="3"/>
  <c r="V73" i="3"/>
  <c r="P85" i="3"/>
  <c r="S92" i="3"/>
  <c r="N101" i="3"/>
  <c r="V109" i="3"/>
  <c r="O24" i="3"/>
  <c r="K52" i="3"/>
  <c r="T61" i="3"/>
  <c r="L69" i="3"/>
  <c r="Q76" i="3"/>
  <c r="L83" i="3"/>
  <c r="L89" i="3"/>
  <c r="K94" i="3"/>
  <c r="J99" i="3"/>
  <c r="V103" i="3"/>
  <c r="N37" i="3"/>
  <c r="V66" i="3"/>
  <c r="M84" i="3"/>
  <c r="N98" i="3"/>
  <c r="P106" i="3"/>
  <c r="M112" i="3"/>
  <c r="N117" i="3"/>
  <c r="M122" i="3"/>
  <c r="L127" i="3"/>
  <c r="K132" i="3"/>
  <c r="J137" i="3"/>
  <c r="V141" i="3"/>
  <c r="U55" i="3"/>
  <c r="N74" i="3"/>
  <c r="Q90" i="3"/>
  <c r="T101" i="3"/>
  <c r="J109" i="3"/>
  <c r="P114" i="3"/>
  <c r="O119" i="3"/>
  <c r="N124" i="3"/>
  <c r="M129" i="3"/>
  <c r="L134" i="3"/>
  <c r="K139" i="3"/>
  <c r="L61" i="3"/>
  <c r="V78" i="3"/>
  <c r="L94" i="3"/>
  <c r="J104" i="3"/>
  <c r="P110" i="3"/>
  <c r="T115" i="3"/>
  <c r="S120" i="3"/>
  <c r="R125" i="3"/>
  <c r="Q130" i="3"/>
  <c r="P135" i="3"/>
  <c r="S45" i="3"/>
  <c r="N79" i="3"/>
  <c r="K14" i="3"/>
  <c r="T41" i="3"/>
  <c r="T22" i="3"/>
  <c r="P42" i="3"/>
  <c r="V9" i="3"/>
  <c r="R29" i="3"/>
  <c r="N49" i="3"/>
  <c r="T16" i="3"/>
  <c r="P36" i="3"/>
  <c r="J20" i="3"/>
  <c r="S39" i="3"/>
  <c r="M8" i="3"/>
  <c r="K54" i="3"/>
  <c r="Q73" i="3"/>
  <c r="Q11" i="3"/>
  <c r="O49" i="3"/>
  <c r="N69" i="3"/>
  <c r="S84" i="3"/>
  <c r="T39" i="3"/>
  <c r="P33" i="3"/>
  <c r="T28" i="3"/>
  <c r="V53" i="3"/>
  <c r="L76" i="3"/>
  <c r="O89" i="3"/>
  <c r="U7" i="3"/>
  <c r="T56" i="3"/>
  <c r="O70" i="3"/>
  <c r="R83" i="3"/>
  <c r="O94" i="3"/>
  <c r="P44" i="3"/>
  <c r="J64" i="3"/>
  <c r="K77" i="3"/>
  <c r="Q89" i="3"/>
  <c r="O99" i="3"/>
  <c r="Y99" i="3" s="1"/>
  <c r="Q14" i="3"/>
  <c r="U51" i="3"/>
  <c r="T65" i="3"/>
  <c r="S74" i="3"/>
  <c r="M86" i="3"/>
  <c r="L95" i="3"/>
  <c r="V101" i="3"/>
  <c r="Q110" i="3"/>
  <c r="L29" i="3"/>
  <c r="P53" i="3"/>
  <c r="S62" i="3"/>
  <c r="K70" i="3"/>
  <c r="P77" i="3"/>
  <c r="V83" i="3"/>
  <c r="T89" i="3"/>
  <c r="S94" i="3"/>
  <c r="R99" i="3"/>
  <c r="Q104" i="3"/>
  <c r="T45" i="3"/>
  <c r="K69" i="3"/>
  <c r="R86" i="3"/>
  <c r="Q99" i="3"/>
  <c r="N107" i="3"/>
  <c r="V112" i="3"/>
  <c r="V117" i="3"/>
  <c r="U122" i="3"/>
  <c r="T127" i="3"/>
  <c r="S132" i="3"/>
  <c r="R137" i="3"/>
  <c r="Q142" i="3"/>
  <c r="S58" i="3"/>
  <c r="P76" i="3"/>
  <c r="L17" i="3"/>
  <c r="J43" i="3"/>
  <c r="M25" i="3"/>
  <c r="V44" i="3"/>
  <c r="O12" i="3"/>
  <c r="K32" i="3"/>
  <c r="T51" i="3"/>
  <c r="M19" i="3"/>
  <c r="V38" i="3"/>
  <c r="P22" i="3"/>
  <c r="L42" i="3"/>
  <c r="R14" i="3"/>
  <c r="K58" i="3"/>
  <c r="T74" i="3"/>
  <c r="N13" i="3"/>
  <c r="M52" i="3"/>
  <c r="V69" i="3"/>
  <c r="N85" i="3"/>
  <c r="U42" i="3"/>
  <c r="V34" i="3"/>
  <c r="S33" i="3"/>
  <c r="N55" i="3"/>
  <c r="V76" i="3"/>
  <c r="J90" i="3"/>
  <c r="V13" i="3"/>
  <c r="J58" i="3"/>
  <c r="N71" i="3"/>
  <c r="O84" i="3"/>
  <c r="J95" i="3"/>
  <c r="S46" i="3"/>
  <c r="T64" i="3"/>
  <c r="J78" i="3"/>
  <c r="L90" i="3"/>
  <c r="J100" i="3"/>
  <c r="N19" i="3"/>
  <c r="K53" i="3"/>
  <c r="Q66" i="3"/>
  <c r="K78" i="3"/>
  <c r="J87" i="3"/>
  <c r="T95" i="3"/>
  <c r="Q102" i="3"/>
  <c r="L111" i="3"/>
  <c r="R33" i="3"/>
  <c r="S54" i="3"/>
  <c r="P63" i="3"/>
  <c r="U70" i="3"/>
  <c r="M78" i="3"/>
  <c r="U84" i="3"/>
  <c r="O90" i="3"/>
  <c r="N95" i="3"/>
  <c r="M100" i="3"/>
  <c r="L105" i="3"/>
  <c r="V50" i="3"/>
  <c r="J71" i="3"/>
  <c r="P88" i="3"/>
  <c r="P100" i="3"/>
  <c r="J108" i="3"/>
  <c r="R113" i="3"/>
  <c r="Q118" i="3"/>
  <c r="P123" i="3"/>
  <c r="O128" i="3"/>
  <c r="N133" i="3"/>
  <c r="M138" i="3"/>
  <c r="L143" i="3"/>
  <c r="K61" i="3"/>
  <c r="O78" i="3"/>
  <c r="O18" i="3"/>
  <c r="R43" i="3"/>
  <c r="U25" i="3"/>
  <c r="Q45" i="3"/>
  <c r="J13" i="3"/>
  <c r="S32" i="3"/>
  <c r="O52" i="3"/>
  <c r="U19" i="3"/>
  <c r="Q39" i="3"/>
  <c r="K23" i="3"/>
  <c r="T42" i="3"/>
  <c r="O16" i="3"/>
  <c r="T58" i="3"/>
  <c r="O75" i="3"/>
  <c r="Y75" i="3" s="1"/>
  <c r="M18" i="3"/>
  <c r="N53" i="3"/>
  <c r="Q70" i="3"/>
  <c r="Q86" i="3"/>
  <c r="K44" i="3"/>
  <c r="U39" i="3"/>
  <c r="P35" i="3"/>
  <c r="Q56" i="3"/>
  <c r="R78" i="3"/>
  <c r="R90" i="3"/>
  <c r="S17" i="3"/>
  <c r="J59" i="3"/>
  <c r="K72" i="3"/>
  <c r="L85" i="3"/>
  <c r="R95" i="3"/>
  <c r="T48" i="3"/>
  <c r="S65" i="3"/>
  <c r="T78" i="3"/>
  <c r="T90" i="3"/>
  <c r="R100" i="3"/>
  <c r="T23" i="3"/>
  <c r="O58" i="3"/>
  <c r="N67" i="3"/>
  <c r="U78" i="3"/>
  <c r="T87" i="3"/>
  <c r="O96" i="3"/>
  <c r="J105" i="3"/>
  <c r="T111" i="3"/>
  <c r="O37" i="3"/>
  <c r="V55" i="3"/>
  <c r="M64" i="3"/>
  <c r="Q72" i="3"/>
  <c r="J79" i="3"/>
  <c r="R85" i="3"/>
  <c r="J91" i="3"/>
  <c r="V95" i="3"/>
  <c r="U100" i="3"/>
  <c r="T105" i="3"/>
  <c r="R54" i="3"/>
  <c r="O73" i="3"/>
  <c r="Y73" i="3" s="1"/>
  <c r="V89" i="3"/>
  <c r="Q101" i="3"/>
  <c r="T108" i="3"/>
  <c r="M114" i="3"/>
  <c r="L119" i="3"/>
  <c r="K124" i="3"/>
  <c r="J129" i="3"/>
  <c r="V133" i="3"/>
  <c r="U138" i="3"/>
  <c r="K17" i="3"/>
  <c r="O63" i="3"/>
  <c r="T80" i="3"/>
  <c r="P95" i="3"/>
  <c r="T104" i="3"/>
  <c r="K111" i="3"/>
  <c r="N116" i="3"/>
  <c r="M121" i="3"/>
  <c r="L126" i="3"/>
  <c r="K131" i="3"/>
  <c r="J136" i="3"/>
  <c r="N42" i="3"/>
  <c r="T67" i="3"/>
  <c r="Q85" i="3"/>
  <c r="K99" i="3"/>
  <c r="V106" i="3"/>
  <c r="R112" i="3"/>
  <c r="R117" i="3"/>
  <c r="Q122" i="3"/>
  <c r="P127" i="3"/>
  <c r="O132" i="3"/>
  <c r="N137" i="3"/>
  <c r="M28" i="3"/>
  <c r="V12" i="3"/>
  <c r="R32" i="3"/>
  <c r="N52" i="3"/>
  <c r="T19" i="3"/>
  <c r="P39" i="3"/>
  <c r="V6" i="3"/>
  <c r="R26" i="3"/>
  <c r="L10" i="3"/>
  <c r="U29" i="3"/>
  <c r="Q49" i="3"/>
  <c r="N34" i="3"/>
  <c r="Q65" i="3"/>
  <c r="L82" i="3"/>
  <c r="J33" i="3"/>
  <c r="S60" i="3"/>
  <c r="S76" i="3"/>
  <c r="N18" i="3"/>
  <c r="T13" i="3"/>
  <c r="K9" i="3"/>
  <c r="M7" i="3"/>
  <c r="O65" i="3"/>
  <c r="Q83" i="3"/>
  <c r="N94" i="3"/>
  <c r="Q43" i="3"/>
  <c r="V63" i="3"/>
  <c r="J77" i="3"/>
  <c r="P89" i="3"/>
  <c r="J9" i="3"/>
  <c r="U56" i="3"/>
  <c r="R70" i="3"/>
  <c r="S83" i="3"/>
  <c r="P94" i="3"/>
  <c r="S103" i="3"/>
  <c r="O32" i="3"/>
  <c r="V59" i="3"/>
  <c r="P71" i="3"/>
  <c r="Q80" i="3"/>
  <c r="U90" i="3"/>
  <c r="R97" i="3"/>
  <c r="M106" i="3"/>
  <c r="J113" i="3"/>
  <c r="T44" i="3"/>
  <c r="N59" i="3"/>
  <c r="S66" i="3"/>
  <c r="K74" i="3"/>
  <c r="S80" i="3"/>
  <c r="N87" i="3"/>
  <c r="M92" i="3"/>
  <c r="L97" i="3"/>
  <c r="K102" i="3"/>
  <c r="J107" i="3"/>
  <c r="N60" i="3"/>
  <c r="R77" i="3"/>
  <c r="O93" i="3"/>
  <c r="P103" i="3"/>
  <c r="L110" i="3"/>
  <c r="P115" i="3"/>
  <c r="O120" i="3"/>
  <c r="N125" i="3"/>
  <c r="M130" i="3"/>
  <c r="L135" i="3"/>
  <c r="K140" i="3"/>
  <c r="S41" i="3"/>
  <c r="S67" i="3"/>
  <c r="J27" i="3"/>
  <c r="S35" i="3"/>
  <c r="V41" i="3"/>
  <c r="Q9" i="3"/>
  <c r="R52" i="3"/>
  <c r="T82" i="3"/>
  <c r="P75" i="3"/>
  <c r="J17" i="3"/>
  <c r="N66" i="3"/>
  <c r="M40" i="3"/>
  <c r="S78" i="3"/>
  <c r="N58" i="3"/>
  <c r="U93" i="3"/>
  <c r="U48" i="3"/>
  <c r="N81" i="3"/>
  <c r="R105" i="3"/>
  <c r="U50" i="3"/>
  <c r="J75" i="3"/>
  <c r="R91" i="3"/>
  <c r="N103" i="3"/>
  <c r="J80" i="3"/>
  <c r="P109" i="3"/>
  <c r="R121" i="3"/>
  <c r="T135" i="3"/>
  <c r="N65" i="3"/>
  <c r="J94" i="3"/>
  <c r="S106" i="3"/>
  <c r="U113" i="3"/>
  <c r="R120" i="3"/>
  <c r="O127" i="3"/>
  <c r="Q133" i="3"/>
  <c r="O30" i="3"/>
  <c r="Y30" i="3" s="1"/>
  <c r="P72" i="3"/>
  <c r="O92" i="3"/>
  <c r="V105" i="3"/>
  <c r="V113" i="3"/>
  <c r="K120" i="3"/>
  <c r="U126" i="3"/>
  <c r="R133" i="3"/>
  <c r="S28" i="3"/>
  <c r="Q82" i="3"/>
  <c r="R102" i="3"/>
  <c r="U112" i="3"/>
  <c r="U120" i="3"/>
  <c r="T128" i="3"/>
  <c r="Q136" i="3"/>
  <c r="V142" i="3"/>
  <c r="V147" i="3"/>
  <c r="U152" i="3"/>
  <c r="T157" i="3"/>
  <c r="S162" i="3"/>
  <c r="R167" i="3"/>
  <c r="Q172" i="3"/>
  <c r="P177" i="3"/>
  <c r="O182" i="3"/>
  <c r="Y182" i="3" s="1"/>
  <c r="N187" i="3"/>
  <c r="M192" i="3"/>
  <c r="L197" i="3"/>
  <c r="K202" i="3"/>
  <c r="J207" i="3"/>
  <c r="S53" i="3"/>
  <c r="N83" i="3"/>
  <c r="T102" i="3"/>
  <c r="K113" i="3"/>
  <c r="V120" i="3"/>
  <c r="U128" i="3"/>
  <c r="T136" i="3"/>
  <c r="J143" i="3"/>
  <c r="J148" i="3"/>
  <c r="V152" i="3"/>
  <c r="U157" i="3"/>
  <c r="T162" i="3"/>
  <c r="S167" i="3"/>
  <c r="R172" i="3"/>
  <c r="Q177" i="3"/>
  <c r="P182" i="3"/>
  <c r="O187" i="3"/>
  <c r="N192" i="3"/>
  <c r="M197" i="3"/>
  <c r="L202" i="3"/>
  <c r="K207" i="3"/>
  <c r="K34" i="3"/>
  <c r="U76" i="3"/>
  <c r="T99" i="3"/>
  <c r="V110" i="3"/>
  <c r="K119" i="3"/>
  <c r="J127" i="3"/>
  <c r="V134" i="3"/>
  <c r="S141" i="3"/>
  <c r="U146" i="3"/>
  <c r="T151" i="3"/>
  <c r="S156" i="3"/>
  <c r="R161" i="3"/>
  <c r="Q166" i="3"/>
  <c r="P171" i="3"/>
  <c r="O176" i="3"/>
  <c r="Y176" i="3" s="1"/>
  <c r="N181" i="3"/>
  <c r="M186" i="3"/>
  <c r="L191" i="3"/>
  <c r="K196" i="3"/>
  <c r="J201" i="3"/>
  <c r="M70" i="3"/>
  <c r="O95" i="3"/>
  <c r="Y95" i="3" s="1"/>
  <c r="U108" i="3"/>
  <c r="M117" i="3"/>
  <c r="L125" i="3"/>
  <c r="K133" i="3"/>
  <c r="O140" i="3"/>
  <c r="S145" i="3"/>
  <c r="R150" i="3"/>
  <c r="P56" i="3"/>
  <c r="V84" i="3"/>
  <c r="Q103" i="3"/>
  <c r="Q113" i="3"/>
  <c r="P121" i="3"/>
  <c r="O129" i="3"/>
  <c r="L137" i="3"/>
  <c r="O143" i="3"/>
  <c r="N148" i="3"/>
  <c r="M153" i="3"/>
  <c r="L158" i="3"/>
  <c r="K163" i="3"/>
  <c r="O57" i="3"/>
  <c r="S85" i="3"/>
  <c r="R103" i="3"/>
  <c r="S113" i="3"/>
  <c r="Q121" i="3"/>
  <c r="P129" i="3"/>
  <c r="O137" i="3"/>
  <c r="P143" i="3"/>
  <c r="O148" i="3"/>
  <c r="N153" i="3"/>
  <c r="M158" i="3"/>
  <c r="L163" i="3"/>
  <c r="K168" i="3"/>
  <c r="K110" i="3"/>
  <c r="L141" i="3"/>
  <c r="R158" i="3"/>
  <c r="V169" i="3"/>
  <c r="S25" i="3"/>
  <c r="S118" i="3"/>
  <c r="R146" i="3"/>
  <c r="J162" i="3"/>
  <c r="L172" i="3"/>
  <c r="U179" i="3"/>
  <c r="T187" i="3"/>
  <c r="S195" i="3"/>
  <c r="L203" i="3"/>
  <c r="T209" i="3"/>
  <c r="U214" i="3"/>
  <c r="T219" i="3"/>
  <c r="S224" i="3"/>
  <c r="R229" i="3"/>
  <c r="U28" i="3"/>
  <c r="S51" i="3"/>
  <c r="Q42" i="3"/>
  <c r="R12" i="3"/>
  <c r="U32" i="3"/>
  <c r="O83" i="3"/>
  <c r="Y83" i="3" s="1"/>
  <c r="N77" i="3"/>
  <c r="R7" i="3"/>
  <c r="T68" i="3"/>
  <c r="J46" i="3"/>
  <c r="U88" i="3"/>
  <c r="K59" i="3"/>
  <c r="K95" i="3"/>
  <c r="L59" i="3"/>
  <c r="Q84" i="3"/>
  <c r="U106" i="3"/>
  <c r="P57" i="3"/>
  <c r="T75" i="3"/>
  <c r="U92" i="3"/>
  <c r="O106" i="3"/>
  <c r="N82" i="3"/>
  <c r="U110" i="3"/>
  <c r="S124" i="3"/>
  <c r="O136" i="3"/>
  <c r="J70" i="3"/>
  <c r="M97" i="3"/>
  <c r="R107" i="3"/>
  <c r="K115" i="3"/>
  <c r="U121" i="3"/>
  <c r="J128" i="3"/>
  <c r="T134" i="3"/>
  <c r="J49" i="3"/>
  <c r="O74" i="3"/>
  <c r="U95" i="3"/>
  <c r="S107" i="3"/>
  <c r="Q114" i="3"/>
  <c r="N121" i="3"/>
  <c r="K128" i="3"/>
  <c r="M134" i="3"/>
  <c r="V31" i="3"/>
  <c r="N12" i="3"/>
  <c r="O55" i="3"/>
  <c r="O9" i="3"/>
  <c r="M29" i="3"/>
  <c r="R42" i="3"/>
  <c r="S34" i="3"/>
  <c r="U16" i="3"/>
  <c r="J14" i="3"/>
  <c r="N84" i="3"/>
  <c r="J63" i="3"/>
  <c r="S90" i="3"/>
  <c r="O71" i="3"/>
  <c r="K103" i="3"/>
  <c r="R61" i="3"/>
  <c r="P91" i="3"/>
  <c r="O112" i="3"/>
  <c r="J61" i="3"/>
  <c r="P81" i="3"/>
  <c r="Q96" i="3"/>
  <c r="P25" i="3"/>
  <c r="U94" i="3"/>
  <c r="U114" i="3"/>
  <c r="Q126" i="3"/>
  <c r="S140" i="3"/>
  <c r="K83" i="3"/>
  <c r="U99" i="3"/>
  <c r="S109" i="3"/>
  <c r="V116" i="3"/>
  <c r="K123" i="3"/>
  <c r="U129" i="3"/>
  <c r="R136" i="3"/>
  <c r="O56" i="3"/>
  <c r="U80" i="3"/>
  <c r="V99" i="3"/>
  <c r="K109" i="3"/>
  <c r="O116" i="3"/>
  <c r="L123" i="3"/>
  <c r="N129" i="3"/>
  <c r="K136" i="3"/>
  <c r="J62" i="3"/>
  <c r="T91" i="3"/>
  <c r="M107" i="3"/>
  <c r="V115" i="3"/>
  <c r="U123" i="3"/>
  <c r="R131" i="3"/>
  <c r="O139" i="3"/>
  <c r="Y139" i="3" s="1"/>
  <c r="U144" i="3"/>
  <c r="T149" i="3"/>
  <c r="S154" i="3"/>
  <c r="R159" i="3"/>
  <c r="Q164" i="3"/>
  <c r="P169" i="3"/>
  <c r="O174" i="3"/>
  <c r="N179" i="3"/>
  <c r="M184" i="3"/>
  <c r="L189" i="3"/>
  <c r="K194" i="3"/>
  <c r="J199" i="3"/>
  <c r="V203" i="3"/>
  <c r="U208" i="3"/>
  <c r="J66" i="3"/>
  <c r="L92" i="3"/>
  <c r="O107" i="3"/>
  <c r="Y107" i="3" s="1"/>
  <c r="J116" i="3"/>
  <c r="V123" i="3"/>
  <c r="U131" i="3"/>
  <c r="Q139" i="3"/>
  <c r="V144" i="3"/>
  <c r="U149" i="3"/>
  <c r="T154" i="3"/>
  <c r="S159" i="3"/>
  <c r="R164" i="3"/>
  <c r="Q169" i="3"/>
  <c r="P174" i="3"/>
  <c r="O179" i="3"/>
  <c r="N184" i="3"/>
  <c r="M189" i="3"/>
  <c r="L194" i="3"/>
  <c r="K199" i="3"/>
  <c r="J204" i="3"/>
  <c r="V208" i="3"/>
  <c r="Q59" i="3"/>
  <c r="M87" i="3"/>
  <c r="R104" i="3"/>
  <c r="L114" i="3"/>
  <c r="K122" i="3"/>
  <c r="J130" i="3"/>
  <c r="T137" i="3"/>
  <c r="T143" i="3"/>
  <c r="S148" i="3"/>
  <c r="R153" i="3"/>
  <c r="Q158" i="3"/>
  <c r="P163" i="3"/>
  <c r="O168" i="3"/>
  <c r="Y168" i="3" s="1"/>
  <c r="N173" i="3"/>
  <c r="M178" i="3"/>
  <c r="L183" i="3"/>
  <c r="K188" i="3"/>
  <c r="J193" i="3"/>
  <c r="V197" i="3"/>
  <c r="R49" i="3"/>
  <c r="R80" i="3"/>
  <c r="R101" i="3"/>
  <c r="L112" i="3"/>
  <c r="M120" i="3"/>
  <c r="L128" i="3"/>
  <c r="V135" i="3"/>
  <c r="P142" i="3"/>
  <c r="Q147" i="3"/>
  <c r="P152" i="3"/>
  <c r="Q67" i="3"/>
  <c r="Q93" i="3"/>
  <c r="V107" i="3"/>
  <c r="Q116" i="3"/>
  <c r="P124" i="3"/>
  <c r="M132" i="3"/>
  <c r="U139" i="3"/>
  <c r="M145" i="3"/>
  <c r="L150" i="3"/>
  <c r="K155" i="3"/>
  <c r="J160" i="3"/>
  <c r="V164" i="3"/>
  <c r="N68" i="3"/>
  <c r="R93" i="3"/>
  <c r="L108" i="3"/>
  <c r="R116" i="3"/>
  <c r="Q124" i="3"/>
  <c r="P132" i="3"/>
  <c r="V139" i="3"/>
  <c r="N145" i="3"/>
  <c r="M150" i="3"/>
  <c r="L155" i="3"/>
  <c r="K160" i="3"/>
  <c r="J165" i="3"/>
  <c r="L60" i="3"/>
  <c r="N122" i="3"/>
  <c r="U148" i="3"/>
  <c r="Q163" i="3"/>
  <c r="V172" i="3"/>
  <c r="S88" i="3"/>
  <c r="R130" i="3"/>
  <c r="T153" i="3"/>
  <c r="S166" i="3"/>
  <c r="V174" i="3"/>
  <c r="U182" i="3"/>
  <c r="T190" i="3"/>
  <c r="S198" i="3"/>
  <c r="R205" i="3"/>
  <c r="T211" i="3"/>
  <c r="S216" i="3"/>
  <c r="R221" i="3"/>
  <c r="Q226" i="3"/>
  <c r="P231" i="3"/>
  <c r="O15" i="3"/>
  <c r="L19" i="3"/>
  <c r="J10" i="3"/>
  <c r="N32" i="3"/>
  <c r="V64" i="3"/>
  <c r="V37" i="3"/>
  <c r="M23" i="3"/>
  <c r="V10" i="3"/>
  <c r="K85" i="3"/>
  <c r="S64" i="3"/>
  <c r="S98" i="3"/>
  <c r="L72" i="3"/>
  <c r="N104" i="3"/>
  <c r="M68" i="3"/>
  <c r="K92" i="3"/>
  <c r="N11" i="3"/>
  <c r="V65" i="3"/>
  <c r="O82" i="3"/>
  <c r="T97" i="3"/>
  <c r="S57" i="3"/>
  <c r="R96" i="3"/>
  <c r="K116" i="3"/>
  <c r="R129" i="3"/>
  <c r="N141" i="3"/>
  <c r="J85" i="3"/>
  <c r="V100" i="3"/>
  <c r="O110" i="3"/>
  <c r="Q117" i="3"/>
  <c r="S123" i="3"/>
  <c r="P130" i="3"/>
  <c r="M137" i="3"/>
  <c r="M59" i="3"/>
  <c r="M83" i="3"/>
  <c r="J101" i="3"/>
  <c r="T109" i="3"/>
  <c r="J117" i="3"/>
  <c r="T123" i="3"/>
  <c r="V129" i="3"/>
  <c r="S136" i="3"/>
  <c r="M65" i="3"/>
  <c r="R94" i="3"/>
  <c r="P108" i="3"/>
  <c r="U116" i="3"/>
  <c r="T124" i="3"/>
  <c r="R132" i="3"/>
  <c r="L140" i="3"/>
  <c r="P145" i="3"/>
  <c r="O150" i="3"/>
  <c r="N155" i="3"/>
  <c r="M160" i="3"/>
  <c r="L165" i="3"/>
  <c r="K170" i="3"/>
  <c r="J175" i="3"/>
  <c r="V179" i="3"/>
  <c r="U184" i="3"/>
  <c r="T189" i="3"/>
  <c r="S194" i="3"/>
  <c r="R199" i="3"/>
  <c r="Q204" i="3"/>
  <c r="P209" i="3"/>
  <c r="O69" i="3"/>
  <c r="Y69" i="3" s="1"/>
  <c r="T94" i="3"/>
  <c r="Q108" i="3"/>
  <c r="K117" i="3"/>
  <c r="U124" i="3"/>
  <c r="T132" i="3"/>
  <c r="M140" i="3"/>
  <c r="Q145" i="3"/>
  <c r="P150" i="3"/>
  <c r="O155" i="3"/>
  <c r="Y155" i="3" s="1"/>
  <c r="N160" i="3"/>
  <c r="M165" i="3"/>
  <c r="L170" i="3"/>
  <c r="K175" i="3"/>
  <c r="J180" i="3"/>
  <c r="V184" i="3"/>
  <c r="U189" i="3"/>
  <c r="T194" i="3"/>
  <c r="S199" i="3"/>
  <c r="R204" i="3"/>
  <c r="Q209" i="3"/>
  <c r="T62" i="3"/>
  <c r="U89" i="3"/>
  <c r="K106" i="3"/>
  <c r="M115" i="3"/>
  <c r="J16" i="3"/>
  <c r="J26" i="3"/>
  <c r="O67" i="3"/>
  <c r="J25" i="3"/>
  <c r="S93" i="3"/>
  <c r="O14" i="3"/>
  <c r="V104" i="3"/>
  <c r="J97" i="3"/>
  <c r="R67" i="3"/>
  <c r="O98" i="3"/>
  <c r="O102" i="3"/>
  <c r="U130" i="3"/>
  <c r="O87" i="3"/>
  <c r="U111" i="3"/>
  <c r="V124" i="3"/>
  <c r="U137" i="3"/>
  <c r="P87" i="3"/>
  <c r="M111" i="3"/>
  <c r="O124" i="3"/>
  <c r="V137" i="3"/>
  <c r="N86" i="3"/>
  <c r="S110" i="3"/>
  <c r="T122" i="3"/>
  <c r="R135" i="3"/>
  <c r="K146" i="3"/>
  <c r="P153" i="3"/>
  <c r="P161" i="3"/>
  <c r="U168" i="3"/>
  <c r="U176" i="3"/>
  <c r="P185" i="3"/>
  <c r="U192" i="3"/>
  <c r="U200" i="3"/>
  <c r="M208" i="3"/>
  <c r="U79" i="3"/>
  <c r="R109" i="3"/>
  <c r="J122" i="3"/>
  <c r="S134" i="3"/>
  <c r="N144" i="3"/>
  <c r="N152" i="3"/>
  <c r="V160" i="3"/>
  <c r="N168" i="3"/>
  <c r="N176" i="3"/>
  <c r="S183" i="3"/>
  <c r="S191" i="3"/>
  <c r="N200" i="3"/>
  <c r="S207" i="3"/>
  <c r="P69" i="3"/>
  <c r="J103" i="3"/>
  <c r="K118" i="3"/>
  <c r="V128" i="3"/>
  <c r="R139" i="3"/>
  <c r="M146" i="3"/>
  <c r="J153" i="3"/>
  <c r="T159" i="3"/>
  <c r="V165" i="3"/>
  <c r="S172" i="3"/>
  <c r="P179" i="3"/>
  <c r="R185" i="3"/>
  <c r="O192" i="3"/>
  <c r="L199" i="3"/>
  <c r="R66" i="3"/>
  <c r="L100" i="3"/>
  <c r="N114" i="3"/>
  <c r="L124" i="3"/>
  <c r="J135" i="3"/>
  <c r="U143" i="3"/>
  <c r="J150" i="3"/>
  <c r="L64" i="3"/>
  <c r="Q98" i="3"/>
  <c r="P112" i="3"/>
  <c r="O123" i="3"/>
  <c r="N134" i="3"/>
  <c r="S142" i="3"/>
  <c r="Q149" i="3"/>
  <c r="N156" i="3"/>
  <c r="P162" i="3"/>
  <c r="P64" i="3"/>
  <c r="L99" i="3"/>
  <c r="S112" i="3"/>
  <c r="Q123" i="3"/>
  <c r="O134" i="3"/>
  <c r="Y134" i="3" s="1"/>
  <c r="T142" i="3"/>
  <c r="R149" i="3"/>
  <c r="O156" i="3"/>
  <c r="Q162" i="3"/>
  <c r="T20" i="3"/>
  <c r="L130" i="3"/>
  <c r="U156" i="3"/>
  <c r="U171" i="3"/>
  <c r="P105" i="3"/>
  <c r="L144" i="3"/>
  <c r="O165" i="3"/>
  <c r="K177" i="3"/>
  <c r="V186" i="3"/>
  <c r="R197" i="3"/>
  <c r="N207" i="3"/>
  <c r="M214" i="3"/>
  <c r="J221" i="3"/>
  <c r="T227" i="3"/>
  <c r="V233" i="3"/>
  <c r="U238" i="3"/>
  <c r="T243" i="3"/>
  <c r="S248" i="3"/>
  <c r="R253" i="3"/>
  <c r="Q258" i="3"/>
  <c r="P263" i="3"/>
  <c r="O268" i="3"/>
  <c r="N100" i="3"/>
  <c r="K135" i="3"/>
  <c r="R155" i="3"/>
  <c r="J168" i="3"/>
  <c r="K176" i="3"/>
  <c r="J184" i="3"/>
  <c r="V191" i="3"/>
  <c r="U199" i="3"/>
  <c r="R206" i="3"/>
  <c r="P212" i="3"/>
  <c r="O217" i="3"/>
  <c r="N222" i="3"/>
  <c r="M227" i="3"/>
  <c r="L232" i="3"/>
  <c r="K237" i="3"/>
  <c r="L107" i="3"/>
  <c r="N139" i="3"/>
  <c r="P157" i="3"/>
  <c r="N169" i="3"/>
  <c r="M177" i="3"/>
  <c r="L185" i="3"/>
  <c r="K193" i="3"/>
  <c r="T200" i="3"/>
  <c r="P207" i="3"/>
  <c r="L213" i="3"/>
  <c r="K218" i="3"/>
  <c r="J223" i="3"/>
  <c r="V227" i="3"/>
  <c r="U232" i="3"/>
  <c r="T237" i="3"/>
  <c r="S242" i="3"/>
  <c r="R247" i="3"/>
  <c r="Q252" i="3"/>
  <c r="P257" i="3"/>
  <c r="O262" i="3"/>
  <c r="N267" i="3"/>
  <c r="J93" i="3"/>
  <c r="L132" i="3"/>
  <c r="O154" i="3"/>
  <c r="M167" i="3"/>
  <c r="O175" i="3"/>
  <c r="N183" i="3"/>
  <c r="M191" i="3"/>
  <c r="V198" i="3"/>
  <c r="J206" i="3"/>
  <c r="J212" i="3"/>
  <c r="V216" i="3"/>
  <c r="M94" i="3"/>
  <c r="Q132" i="3"/>
  <c r="R154" i="3"/>
  <c r="N167" i="3"/>
  <c r="P175" i="3"/>
  <c r="O183" i="3"/>
  <c r="Y183" i="3" s="1"/>
  <c r="N191" i="3"/>
  <c r="M199" i="3"/>
  <c r="K206" i="3"/>
  <c r="K212" i="3"/>
  <c r="J217" i="3"/>
  <c r="V221" i="3"/>
  <c r="U226" i="3"/>
  <c r="J55" i="3"/>
  <c r="T172" i="3"/>
  <c r="M195" i="3"/>
  <c r="J32" i="3"/>
  <c r="K29" i="3"/>
  <c r="J68" i="3"/>
  <c r="U8" i="3"/>
  <c r="V94" i="3"/>
  <c r="U18" i="3"/>
  <c r="Q27" i="3"/>
  <c r="K100" i="3"/>
  <c r="O68" i="3"/>
  <c r="P101" i="3"/>
  <c r="P104" i="3"/>
  <c r="P131" i="3"/>
  <c r="K89" i="3"/>
  <c r="Q112" i="3"/>
  <c r="Q125" i="3"/>
  <c r="P138" i="3"/>
  <c r="M89" i="3"/>
  <c r="V111" i="3"/>
  <c r="J125" i="3"/>
  <c r="Q138" i="3"/>
  <c r="N89" i="3"/>
  <c r="S111" i="3"/>
  <c r="T125" i="3"/>
  <c r="Q137" i="3"/>
  <c r="S146" i="3"/>
  <c r="K154" i="3"/>
  <c r="K162" i="3"/>
  <c r="S170" i="3"/>
  <c r="K178" i="3"/>
  <c r="K186" i="3"/>
  <c r="P193" i="3"/>
  <c r="P201" i="3"/>
  <c r="L12" i="3"/>
  <c r="S86" i="3"/>
  <c r="T110" i="3"/>
  <c r="V122" i="3"/>
  <c r="S135" i="3"/>
  <c r="L146" i="3"/>
  <c r="Q153" i="3"/>
  <c r="Q161" i="3"/>
  <c r="V168" i="3"/>
  <c r="V176" i="3"/>
  <c r="Q185" i="3"/>
  <c r="V192" i="3"/>
  <c r="V200" i="3"/>
  <c r="N208" i="3"/>
  <c r="M73" i="3"/>
  <c r="Q107" i="3"/>
  <c r="L120" i="3"/>
  <c r="V130" i="3"/>
  <c r="N140" i="3"/>
  <c r="P147" i="3"/>
  <c r="M154" i="3"/>
  <c r="O160" i="3"/>
  <c r="Y160" i="3" s="1"/>
  <c r="L167" i="3"/>
  <c r="V173" i="3"/>
  <c r="K180" i="3"/>
  <c r="U186" i="3"/>
  <c r="R193" i="3"/>
  <c r="T199" i="3"/>
  <c r="P73" i="3"/>
  <c r="M103" i="3"/>
  <c r="N115" i="3"/>
  <c r="K126" i="3"/>
  <c r="V136" i="3"/>
  <c r="P144" i="3"/>
  <c r="M151" i="3"/>
  <c r="V70" i="3"/>
  <c r="O100" i="3"/>
  <c r="R114" i="3"/>
  <c r="O125" i="3"/>
  <c r="Y125" i="3" s="1"/>
  <c r="M135" i="3"/>
  <c r="J144" i="3"/>
  <c r="T150" i="3"/>
  <c r="V156" i="3"/>
  <c r="S163" i="3"/>
  <c r="Q71" i="3"/>
  <c r="Q100" i="3"/>
  <c r="S114" i="3"/>
  <c r="P125" i="3"/>
  <c r="N135" i="3"/>
  <c r="K144" i="3"/>
  <c r="U150" i="3"/>
  <c r="J157" i="3"/>
  <c r="T163" i="3"/>
  <c r="J74" i="3"/>
  <c r="K134" i="3"/>
  <c r="L160" i="3"/>
  <c r="J174" i="3"/>
  <c r="R110" i="3"/>
  <c r="K149" i="3"/>
  <c r="V167" i="3"/>
  <c r="V177" i="3"/>
  <c r="U188" i="3"/>
  <c r="Q199" i="3"/>
  <c r="K208" i="3"/>
  <c r="P215" i="3"/>
  <c r="M222" i="3"/>
  <c r="O228" i="3"/>
  <c r="Q234" i="3"/>
  <c r="P239" i="3"/>
  <c r="O244" i="3"/>
  <c r="Y244" i="3" s="1"/>
  <c r="N249" i="3"/>
  <c r="M254" i="3"/>
  <c r="L259" i="3"/>
  <c r="K264" i="3"/>
  <c r="J269" i="3"/>
  <c r="Q106" i="3"/>
  <c r="J139" i="3"/>
  <c r="O157" i="3"/>
  <c r="Y157" i="3" s="1"/>
  <c r="M169" i="3"/>
  <c r="L177" i="3"/>
  <c r="K185" i="3"/>
  <c r="T192" i="3"/>
  <c r="S200" i="3"/>
  <c r="O207" i="3"/>
  <c r="K213" i="3"/>
  <c r="J218" i="3"/>
  <c r="V222" i="3"/>
  <c r="U227" i="3"/>
  <c r="T232" i="3"/>
  <c r="S237" i="3"/>
  <c r="R111" i="3"/>
  <c r="L142" i="3"/>
  <c r="M159" i="3"/>
  <c r="O170" i="3"/>
  <c r="Y170" i="3" s="1"/>
  <c r="N178" i="3"/>
  <c r="J186" i="3"/>
  <c r="V193" i="3"/>
  <c r="T201" i="3"/>
  <c r="O208" i="3"/>
  <c r="T213" i="3"/>
  <c r="S218" i="3"/>
  <c r="R223" i="3"/>
  <c r="Q228" i="3"/>
  <c r="P233" i="3"/>
  <c r="O238" i="3"/>
  <c r="N243" i="3"/>
  <c r="M248" i="3"/>
  <c r="L253" i="3"/>
  <c r="K258" i="3"/>
  <c r="J263" i="3"/>
  <c r="V267" i="3"/>
  <c r="S101" i="3"/>
  <c r="L136" i="3"/>
  <c r="L156" i="3"/>
  <c r="P168" i="3"/>
  <c r="P176" i="3"/>
  <c r="L184" i="3"/>
  <c r="K192" i="3"/>
  <c r="J200" i="3"/>
  <c r="T206" i="3"/>
  <c r="R212" i="3"/>
  <c r="Q217" i="3"/>
  <c r="N102" i="3"/>
  <c r="P136" i="3"/>
  <c r="M156" i="3"/>
  <c r="Q168" i="3"/>
  <c r="Q176" i="3"/>
  <c r="P184" i="3"/>
  <c r="L192" i="3"/>
  <c r="K200" i="3"/>
  <c r="U206" i="3"/>
  <c r="S212" i="3"/>
  <c r="R217" i="3"/>
  <c r="Q222" i="3"/>
  <c r="P227" i="3"/>
  <c r="O103" i="3"/>
  <c r="R176" i="3"/>
  <c r="Q197" i="3"/>
  <c r="K35" i="3"/>
  <c r="S29" i="3"/>
  <c r="N80" i="3"/>
  <c r="M15" i="3"/>
  <c r="Q95" i="3"/>
  <c r="R55" i="3"/>
  <c r="V46" i="3"/>
  <c r="S100" i="3"/>
  <c r="N73" i="3"/>
  <c r="S102" i="3"/>
  <c r="O105" i="3"/>
  <c r="Q134" i="3"/>
  <c r="N92" i="3"/>
  <c r="M113" i="3"/>
  <c r="T126" i="3"/>
  <c r="P19" i="3"/>
  <c r="V90" i="3"/>
  <c r="N113" i="3"/>
  <c r="M126" i="3"/>
  <c r="S10" i="3"/>
  <c r="K97" i="3"/>
  <c r="J114" i="3"/>
  <c r="S126" i="3"/>
  <c r="R138" i="3"/>
  <c r="N147" i="3"/>
  <c r="V155" i="3"/>
  <c r="N163" i="3"/>
  <c r="N171" i="3"/>
  <c r="S178" i="3"/>
  <c r="S186" i="3"/>
  <c r="N195" i="3"/>
  <c r="S202" i="3"/>
  <c r="P32" i="3"/>
  <c r="S89" i="3"/>
  <c r="J112" i="3"/>
  <c r="U125" i="3"/>
  <c r="S137" i="3"/>
  <c r="T146" i="3"/>
  <c r="L154" i="3"/>
  <c r="L162" i="3"/>
  <c r="T170" i="3"/>
  <c r="L178" i="3"/>
  <c r="L186" i="3"/>
  <c r="Q193" i="3"/>
  <c r="Q201" i="3"/>
  <c r="L210" i="3"/>
  <c r="K80" i="3"/>
  <c r="R108" i="3"/>
  <c r="K121" i="3"/>
  <c r="V131" i="3"/>
  <c r="J141" i="3"/>
  <c r="K148" i="3"/>
  <c r="U154" i="3"/>
  <c r="J161" i="3"/>
  <c r="T167" i="3"/>
  <c r="Q174" i="3"/>
  <c r="S180" i="3"/>
  <c r="P187" i="3"/>
  <c r="M194" i="3"/>
  <c r="O200" i="3"/>
  <c r="Y200" i="3" s="1"/>
  <c r="O77" i="3"/>
  <c r="Y77" i="3" s="1"/>
  <c r="S104" i="3"/>
  <c r="M116" i="3"/>
  <c r="K127" i="3"/>
  <c r="J138" i="3"/>
  <c r="K145" i="3"/>
  <c r="U151" i="3"/>
  <c r="V74" i="3"/>
  <c r="L102" i="3"/>
  <c r="Q115" i="3"/>
  <c r="O126" i="3"/>
  <c r="M136" i="3"/>
  <c r="R144" i="3"/>
  <c r="O151" i="3"/>
  <c r="Q157" i="3"/>
  <c r="N164" i="3"/>
  <c r="K75" i="3"/>
  <c r="M102" i="3"/>
  <c r="R115" i="3"/>
  <c r="P126" i="3"/>
  <c r="N136" i="3"/>
  <c r="S144" i="3"/>
  <c r="P151" i="3"/>
  <c r="R157" i="3"/>
  <c r="O164" i="3"/>
  <c r="Y164" i="3" s="1"/>
  <c r="J88" i="3"/>
  <c r="K138" i="3"/>
  <c r="T161" i="3"/>
  <c r="U174" i="3"/>
  <c r="T114" i="3"/>
  <c r="Q151" i="3"/>
  <c r="L169" i="3"/>
  <c r="J179" i="3"/>
  <c r="S189" i="3"/>
  <c r="R200" i="3"/>
  <c r="J209" i="3"/>
  <c r="K216" i="3"/>
  <c r="U222" i="3"/>
  <c r="J229" i="3"/>
  <c r="L235" i="3"/>
  <c r="K240" i="3"/>
  <c r="J245" i="3"/>
  <c r="V249" i="3"/>
  <c r="U254" i="3"/>
  <c r="T259" i="3"/>
  <c r="S264" i="3"/>
  <c r="R269" i="3"/>
  <c r="N111" i="3"/>
  <c r="U141" i="3"/>
  <c r="V158" i="3"/>
  <c r="N170" i="3"/>
  <c r="J178" i="3"/>
  <c r="V185" i="3"/>
  <c r="U193" i="3"/>
  <c r="S201" i="3"/>
  <c r="L208" i="3"/>
  <c r="S213" i="3"/>
  <c r="T54" i="3"/>
  <c r="M13" i="3"/>
  <c r="M31" i="3"/>
  <c r="U10" i="3"/>
  <c r="L48" i="3"/>
  <c r="S69" i="3"/>
  <c r="U60" i="3"/>
  <c r="P107" i="3"/>
  <c r="V79" i="3"/>
  <c r="S12" i="3"/>
  <c r="Q111" i="3"/>
  <c r="P139" i="3"/>
  <c r="V98" i="3"/>
  <c r="S115" i="3"/>
  <c r="R128" i="3"/>
  <c r="Q52" i="3"/>
  <c r="N97" i="3"/>
  <c r="L115" i="3"/>
  <c r="S128" i="3"/>
  <c r="O53" i="3"/>
  <c r="N99" i="3"/>
  <c r="V114" i="3"/>
  <c r="S127" i="3"/>
  <c r="U140" i="3"/>
  <c r="Q148" i="3"/>
  <c r="Q156" i="3"/>
  <c r="V163" i="3"/>
  <c r="V171" i="3"/>
  <c r="Q180" i="3"/>
  <c r="V187" i="3"/>
  <c r="V195" i="3"/>
  <c r="N203" i="3"/>
  <c r="J47" i="3"/>
  <c r="S97" i="3"/>
  <c r="K114" i="3"/>
  <c r="V126" i="3"/>
  <c r="S138" i="3"/>
  <c r="O147" i="3"/>
  <c r="J156" i="3"/>
  <c r="O163" i="3"/>
  <c r="Y163" i="3" s="1"/>
  <c r="O171" i="3"/>
  <c r="T178" i="3"/>
  <c r="T186" i="3"/>
  <c r="O195" i="3"/>
  <c r="T202" i="3"/>
  <c r="T210" i="3"/>
  <c r="U83" i="3"/>
  <c r="U109" i="3"/>
  <c r="J123" i="3"/>
  <c r="U132" i="3"/>
  <c r="O142" i="3"/>
  <c r="N149" i="3"/>
  <c r="P155" i="3"/>
  <c r="M162" i="3"/>
  <c r="J169" i="3"/>
  <c r="L175" i="3"/>
  <c r="V181" i="3"/>
  <c r="S188" i="3"/>
  <c r="U194" i="3"/>
  <c r="M16" i="3"/>
  <c r="L84" i="3"/>
  <c r="N106" i="3"/>
  <c r="N118" i="3"/>
  <c r="K129" i="3"/>
  <c r="V138" i="3"/>
  <c r="N146" i="3"/>
  <c r="K153" i="3"/>
  <c r="L78" i="3"/>
  <c r="M105" i="3"/>
  <c r="P117" i="3"/>
  <c r="N127" i="3"/>
  <c r="L138" i="3"/>
  <c r="U145" i="3"/>
  <c r="J152" i="3"/>
  <c r="T158" i="3"/>
  <c r="Q165" i="3"/>
  <c r="N78" i="3"/>
  <c r="N105" i="3"/>
  <c r="S117" i="3"/>
  <c r="Q127" i="3"/>
  <c r="N138" i="3"/>
  <c r="V145" i="3"/>
  <c r="K152" i="3"/>
  <c r="U158" i="3"/>
  <c r="R165" i="3"/>
  <c r="P98" i="3"/>
  <c r="V143" i="3"/>
  <c r="K165" i="3"/>
  <c r="V175" i="3"/>
  <c r="S122" i="3"/>
  <c r="Q155" i="3"/>
  <c r="J170" i="3"/>
  <c r="V180" i="3"/>
  <c r="U191" i="3"/>
  <c r="R201" i="3"/>
  <c r="P210" i="3"/>
  <c r="N217" i="3"/>
  <c r="P223" i="3"/>
  <c r="M230" i="3"/>
  <c r="T235" i="3"/>
  <c r="S240" i="3"/>
  <c r="R245" i="3"/>
  <c r="Q250" i="3"/>
  <c r="P255" i="3"/>
  <c r="O260" i="3"/>
  <c r="N265" i="3"/>
  <c r="M270" i="3"/>
  <c r="O115" i="3"/>
  <c r="Q144" i="3"/>
  <c r="Q160" i="3"/>
  <c r="L171" i="3"/>
  <c r="K179" i="3"/>
  <c r="J187" i="3"/>
  <c r="V194" i="3"/>
  <c r="P202" i="3"/>
  <c r="K209" i="3"/>
  <c r="N214" i="3"/>
  <c r="M219" i="3"/>
  <c r="L224" i="3"/>
  <c r="K229" i="3"/>
  <c r="J234" i="3"/>
  <c r="S44" i="3"/>
  <c r="S119" i="3"/>
  <c r="M147" i="3"/>
  <c r="O162" i="3"/>
  <c r="N172" i="3"/>
  <c r="M180" i="3"/>
  <c r="L188" i="3"/>
  <c r="U195" i="3"/>
  <c r="P203" i="3"/>
  <c r="V209" i="3"/>
  <c r="J215" i="3"/>
  <c r="V219" i="3"/>
  <c r="U224" i="3"/>
  <c r="T229" i="3"/>
  <c r="S234" i="3"/>
  <c r="R239" i="3"/>
  <c r="Q244" i="3"/>
  <c r="P249" i="3"/>
  <c r="O254" i="3"/>
  <c r="N259" i="3"/>
  <c r="M264" i="3"/>
  <c r="L269" i="3"/>
  <c r="N112" i="3"/>
  <c r="R142" i="3"/>
  <c r="N159" i="3"/>
  <c r="P170" i="3"/>
  <c r="O178" i="3"/>
  <c r="N186" i="3"/>
  <c r="J194" i="3"/>
  <c r="U201" i="3"/>
  <c r="P208" i="3"/>
  <c r="U213" i="3"/>
  <c r="T218" i="3"/>
  <c r="T112" i="3"/>
  <c r="U142" i="3"/>
  <c r="Q159" i="3"/>
  <c r="Q170" i="3"/>
  <c r="P178" i="3"/>
  <c r="O186" i="3"/>
  <c r="Y186" i="3" s="1"/>
  <c r="N194" i="3"/>
  <c r="V201" i="3"/>
  <c r="Q208" i="3"/>
  <c r="V213" i="3"/>
  <c r="U218" i="3"/>
  <c r="T223" i="3"/>
  <c r="S228" i="3"/>
  <c r="K137" i="3"/>
  <c r="S181" i="3"/>
  <c r="V202" i="3"/>
  <c r="M22" i="3"/>
  <c r="V32" i="3"/>
  <c r="K60" i="3"/>
  <c r="R17" i="3"/>
  <c r="P65" i="3"/>
  <c r="V82" i="3"/>
  <c r="M72" i="3"/>
  <c r="Q20" i="3"/>
  <c r="O86" i="3"/>
  <c r="R62" i="3"/>
  <c r="S116" i="3"/>
  <c r="N29" i="3"/>
  <c r="U102" i="3"/>
  <c r="L118" i="3"/>
  <c r="S131" i="3"/>
  <c r="Q63" i="3"/>
  <c r="J102" i="3"/>
  <c r="M118" i="3"/>
  <c r="L131" i="3"/>
  <c r="P58" i="3"/>
  <c r="K101" i="3"/>
  <c r="U117" i="3"/>
  <c r="S129" i="3"/>
  <c r="Q141" i="3"/>
  <c r="L149" i="3"/>
  <c r="L157" i="3"/>
  <c r="T165" i="3"/>
  <c r="L173" i="3"/>
  <c r="L181" i="3"/>
  <c r="Q188" i="3"/>
  <c r="Q196" i="3"/>
  <c r="L205" i="3"/>
  <c r="R58" i="3"/>
  <c r="S99" i="3"/>
  <c r="J115" i="3"/>
  <c r="U127" i="3"/>
  <c r="V140" i="3"/>
  <c r="R148" i="3"/>
  <c r="R156" i="3"/>
  <c r="J164" i="3"/>
  <c r="J172" i="3"/>
  <c r="R180" i="3"/>
  <c r="J188" i="3"/>
  <c r="J196" i="3"/>
  <c r="O203" i="3"/>
  <c r="Y203" i="3" s="1"/>
  <c r="R15" i="3"/>
  <c r="T92" i="3"/>
  <c r="K112" i="3"/>
  <c r="J124" i="3"/>
  <c r="U133" i="3"/>
  <c r="K143" i="3"/>
  <c r="V149" i="3"/>
  <c r="K156" i="3"/>
  <c r="U162" i="3"/>
  <c r="R169" i="3"/>
  <c r="T175" i="3"/>
  <c r="Q182" i="3"/>
  <c r="N189" i="3"/>
  <c r="P195" i="3"/>
  <c r="M34" i="3"/>
  <c r="U87" i="3"/>
  <c r="T107" i="3"/>
  <c r="M119" i="3"/>
  <c r="K130" i="3"/>
  <c r="S139" i="3"/>
  <c r="V146" i="3"/>
  <c r="L21" i="3"/>
  <c r="S81" i="3"/>
  <c r="R106" i="3"/>
  <c r="P118" i="3"/>
  <c r="N128" i="3"/>
  <c r="L139" i="3"/>
  <c r="P146" i="3"/>
  <c r="R152" i="3"/>
  <c r="O159" i="3"/>
  <c r="M24" i="3"/>
  <c r="T81" i="3"/>
  <c r="K107" i="3"/>
  <c r="R118" i="3"/>
  <c r="P128" i="3"/>
  <c r="M139" i="3"/>
  <c r="Q146" i="3"/>
  <c r="S152" i="3"/>
  <c r="P159" i="3"/>
  <c r="M166" i="3"/>
  <c r="K105" i="3"/>
  <c r="O146" i="3"/>
  <c r="R166" i="3"/>
  <c r="T176" i="3"/>
  <c r="R126" i="3"/>
  <c r="K157" i="3"/>
  <c r="K171" i="3"/>
  <c r="J182" i="3"/>
  <c r="S192" i="3"/>
  <c r="O202" i="3"/>
  <c r="L211" i="3"/>
  <c r="V217" i="3"/>
  <c r="K224" i="3"/>
  <c r="U230" i="3"/>
  <c r="O236" i="3"/>
  <c r="N241" i="3"/>
  <c r="M246" i="3"/>
  <c r="L251" i="3"/>
  <c r="K256" i="3"/>
  <c r="J261" i="3"/>
  <c r="V265" i="3"/>
  <c r="Q38" i="3"/>
  <c r="N119" i="3"/>
  <c r="J147" i="3"/>
  <c r="N162" i="3"/>
  <c r="M172" i="3"/>
  <c r="L180" i="3"/>
  <c r="U187" i="3"/>
  <c r="T195" i="3"/>
  <c r="M203" i="3"/>
  <c r="U209" i="3"/>
  <c r="V214" i="3"/>
  <c r="U219" i="3"/>
  <c r="T224" i="3"/>
  <c r="S229" i="3"/>
  <c r="R234" i="3"/>
  <c r="K65" i="3"/>
  <c r="R123" i="3"/>
  <c r="S149" i="3"/>
  <c r="L164" i="3"/>
  <c r="O173" i="3"/>
  <c r="Y173" i="3" s="1"/>
  <c r="K181" i="3"/>
  <c r="J189" i="3"/>
  <c r="V196" i="3"/>
  <c r="M204" i="3"/>
  <c r="R210" i="3"/>
  <c r="R215" i="3"/>
  <c r="Q220" i="3"/>
  <c r="P225" i="3"/>
  <c r="O230" i="3"/>
  <c r="N235" i="3"/>
  <c r="M240" i="3"/>
  <c r="L245" i="3"/>
  <c r="K250" i="3"/>
  <c r="J255" i="3"/>
  <c r="V259" i="3"/>
  <c r="U264" i="3"/>
  <c r="T269" i="3"/>
  <c r="P116" i="3"/>
  <c r="L145" i="3"/>
  <c r="K161" i="3"/>
  <c r="Q171" i="3"/>
  <c r="M179" i="3"/>
  <c r="L187" i="3"/>
  <c r="K195" i="3"/>
  <c r="R202" i="3"/>
  <c r="M209" i="3"/>
  <c r="P214" i="3"/>
  <c r="O219" i="3"/>
  <c r="T116" i="3"/>
  <c r="O145" i="3"/>
  <c r="L161" i="3"/>
  <c r="R171" i="3"/>
  <c r="Q179" i="3"/>
  <c r="M187" i="3"/>
  <c r="L195" i="3"/>
  <c r="U202" i="3"/>
  <c r="N209" i="3"/>
  <c r="Q214" i="3"/>
  <c r="P219" i="3"/>
  <c r="O224" i="3"/>
  <c r="Y224" i="3" s="1"/>
  <c r="N229" i="3"/>
  <c r="M148" i="3"/>
  <c r="R184" i="3"/>
  <c r="T204" i="3"/>
  <c r="U22" i="3"/>
  <c r="V48" i="3"/>
  <c r="V61" i="3"/>
  <c r="J22" i="3"/>
  <c r="M76" i="3"/>
  <c r="P84" i="3"/>
  <c r="L73" i="3"/>
  <c r="M42" i="3"/>
  <c r="V87" i="3"/>
  <c r="Q64" i="3"/>
  <c r="T119" i="3"/>
  <c r="U47" i="3"/>
  <c r="U103" i="3"/>
  <c r="T118" i="3"/>
  <c r="N132" i="3"/>
  <c r="U65" i="3"/>
  <c r="V102" i="3"/>
  <c r="U118" i="3"/>
  <c r="T131" i="3"/>
  <c r="Q68" i="3"/>
  <c r="L104" i="3"/>
  <c r="V118" i="3"/>
  <c r="S130" i="3"/>
  <c r="M142" i="3"/>
  <c r="J151" i="3"/>
  <c r="U38" i="3"/>
  <c r="T77" i="3"/>
  <c r="Q88" i="3"/>
  <c r="U105" i="3"/>
  <c r="U104" i="3"/>
  <c r="S105" i="3"/>
  <c r="R151" i="3"/>
  <c r="T173" i="3"/>
  <c r="R191" i="3"/>
  <c r="S72" i="3"/>
  <c r="T129" i="3"/>
  <c r="S151" i="3"/>
  <c r="U173" i="3"/>
  <c r="R196" i="3"/>
  <c r="K66" i="3"/>
  <c r="J126" i="3"/>
  <c r="Q150" i="3"/>
  <c r="N165" i="3"/>
  <c r="O184" i="3"/>
  <c r="Y184" i="3" s="1"/>
  <c r="V54" i="3"/>
  <c r="O113" i="3"/>
  <c r="T141" i="3"/>
  <c r="K88" i="3"/>
  <c r="O122" i="3"/>
  <c r="S147" i="3"/>
  <c r="M43" i="3"/>
  <c r="P111" i="3"/>
  <c r="O141" i="3"/>
  <c r="S160" i="3"/>
  <c r="N126" i="3"/>
  <c r="L75" i="3"/>
  <c r="J173" i="3"/>
  <c r="T196" i="3"/>
  <c r="L219" i="3"/>
  <c r="J237" i="3"/>
  <c r="K248" i="3"/>
  <c r="M262" i="3"/>
  <c r="N123" i="3"/>
  <c r="T166" i="3"/>
  <c r="J190" i="3"/>
  <c r="Q210" i="3"/>
  <c r="K221" i="3"/>
  <c r="V230" i="3"/>
  <c r="Q91" i="3"/>
  <c r="N154" i="3"/>
  <c r="N175" i="3"/>
  <c r="V190" i="3"/>
  <c r="V205" i="3"/>
  <c r="U216" i="3"/>
  <c r="S226" i="3"/>
  <c r="Q236" i="3"/>
  <c r="N6" i="3"/>
  <c r="K90" i="3"/>
  <c r="P93" i="3"/>
  <c r="N108" i="3"/>
  <c r="O108" i="3"/>
  <c r="Q109" i="3"/>
  <c r="M152" i="3"/>
  <c r="R175" i="3"/>
  <c r="T197" i="3"/>
  <c r="V75" i="3"/>
  <c r="T130" i="3"/>
  <c r="M157" i="3"/>
  <c r="S175" i="3"/>
  <c r="U197" i="3"/>
  <c r="M95" i="3"/>
  <c r="V127" i="3"/>
  <c r="L151" i="3"/>
  <c r="M170" i="3"/>
  <c r="J185" i="3"/>
  <c r="R59" i="3"/>
  <c r="L121" i="3"/>
  <c r="M143" i="3"/>
  <c r="K91" i="3"/>
  <c r="N130" i="3"/>
  <c r="V148" i="3"/>
  <c r="J51" i="3"/>
  <c r="R119" i="3"/>
  <c r="K142" i="3"/>
  <c r="N161" i="3"/>
  <c r="N151" i="3"/>
  <c r="M99" i="3"/>
  <c r="K174" i="3"/>
  <c r="K204" i="3"/>
  <c r="O220" i="3"/>
  <c r="R237" i="3"/>
  <c r="T251" i="3"/>
  <c r="U262" i="3"/>
  <c r="M127" i="3"/>
  <c r="K173" i="3"/>
  <c r="U190" i="3"/>
  <c r="M211" i="3"/>
  <c r="J52" i="3"/>
  <c r="O85" i="3"/>
  <c r="S75" i="3"/>
  <c r="J120" i="3"/>
  <c r="P119" i="3"/>
  <c r="U119" i="3"/>
  <c r="O158" i="3"/>
  <c r="Y158" i="3" s="1"/>
  <c r="M176" i="3"/>
  <c r="O198" i="3"/>
  <c r="L101" i="3"/>
  <c r="T133" i="3"/>
  <c r="P158" i="3"/>
  <c r="M181" i="3"/>
  <c r="P198" i="3"/>
  <c r="U97" i="3"/>
  <c r="U135" i="3"/>
  <c r="O152" i="3"/>
  <c r="U170" i="3"/>
  <c r="V189" i="3"/>
  <c r="U62" i="3"/>
  <c r="L122" i="3"/>
  <c r="L148" i="3"/>
  <c r="K96" i="3"/>
  <c r="N131" i="3"/>
  <c r="U153" i="3"/>
  <c r="V60" i="3"/>
  <c r="Q120" i="3"/>
  <c r="L147" i="3"/>
  <c r="V161" i="3"/>
  <c r="S153" i="3"/>
  <c r="P134" i="3"/>
  <c r="J176" i="3"/>
  <c r="U204" i="3"/>
  <c r="N225" i="3"/>
  <c r="M238" i="3"/>
  <c r="O252" i="3"/>
  <c r="Q266" i="3"/>
  <c r="M131" i="3"/>
  <c r="L174" i="3"/>
  <c r="U196" i="3"/>
  <c r="U211" i="3"/>
  <c r="Q223" i="3"/>
  <c r="O233" i="3"/>
  <c r="U115" i="3"/>
  <c r="T160" i="3"/>
  <c r="L179" i="3"/>
  <c r="J195" i="3"/>
  <c r="L209" i="3"/>
  <c r="N219" i="3"/>
  <c r="L229" i="3"/>
  <c r="J239" i="3"/>
  <c r="U248" i="3"/>
  <c r="S258" i="3"/>
  <c r="Q268" i="3"/>
  <c r="T139" i="3"/>
  <c r="O169" i="3"/>
  <c r="M185" i="3"/>
  <c r="K201" i="3"/>
  <c r="M213" i="3"/>
  <c r="M108" i="3"/>
  <c r="J158" i="3"/>
  <c r="O177" i="3"/>
  <c r="Y177" i="3" s="1"/>
  <c r="M193" i="3"/>
  <c r="T207" i="3"/>
  <c r="M218" i="3"/>
  <c r="K228" i="3"/>
  <c r="R179" i="3"/>
  <c r="U212" i="3"/>
  <c r="P224" i="3"/>
  <c r="S233" i="3"/>
  <c r="K241" i="3"/>
  <c r="S247" i="3"/>
  <c r="L254" i="3"/>
  <c r="T260" i="3"/>
  <c r="O267" i="3"/>
  <c r="J273" i="3"/>
  <c r="V277" i="3"/>
  <c r="U282" i="3"/>
  <c r="T287" i="3"/>
  <c r="S292" i="3"/>
  <c r="R297" i="3"/>
  <c r="Q302" i="3"/>
  <c r="P307" i="3"/>
  <c r="O312" i="3"/>
  <c r="N317" i="3"/>
  <c r="M322" i="3"/>
  <c r="M163" i="3"/>
  <c r="N190" i="3"/>
  <c r="R209" i="3"/>
  <c r="K222" i="3"/>
  <c r="U231" i="3"/>
  <c r="Q239" i="3"/>
  <c r="K246" i="3"/>
  <c r="S252" i="3"/>
  <c r="M259" i="3"/>
  <c r="T265" i="3"/>
  <c r="U271" i="3"/>
  <c r="T276" i="3"/>
  <c r="S281" i="3"/>
  <c r="R286" i="3"/>
  <c r="Q291" i="3"/>
  <c r="P296" i="3"/>
  <c r="O301" i="3"/>
  <c r="Y301" i="3" s="1"/>
  <c r="N306" i="3"/>
  <c r="M311" i="3"/>
  <c r="L316" i="3"/>
  <c r="K321" i="3"/>
  <c r="V108" i="3"/>
  <c r="S177" i="3"/>
  <c r="N198" i="3"/>
  <c r="T214" i="3"/>
  <c r="U225" i="3"/>
  <c r="V234" i="3"/>
  <c r="L242" i="3"/>
  <c r="R248" i="3"/>
  <c r="M255" i="3"/>
  <c r="U261" i="3"/>
  <c r="N268" i="3"/>
  <c r="T273" i="3"/>
  <c r="S278" i="3"/>
  <c r="R283" i="3"/>
  <c r="Q288" i="3"/>
  <c r="P293" i="3"/>
  <c r="O298" i="3"/>
  <c r="N303" i="3"/>
  <c r="M308" i="3"/>
  <c r="L313" i="3"/>
  <c r="K318" i="3"/>
  <c r="J323" i="3"/>
  <c r="U169" i="3"/>
  <c r="O193" i="3"/>
  <c r="S211" i="3"/>
  <c r="S223" i="3"/>
  <c r="K233" i="3"/>
  <c r="Q240" i="3"/>
  <c r="L247" i="3"/>
  <c r="S253" i="3"/>
  <c r="M260" i="3"/>
  <c r="U266" i="3"/>
  <c r="R272" i="3"/>
  <c r="Q277" i="3"/>
  <c r="P282" i="3"/>
  <c r="O287" i="3"/>
  <c r="Y287" i="3" s="1"/>
  <c r="V170" i="3"/>
  <c r="O194" i="3"/>
  <c r="M212" i="3"/>
  <c r="V223" i="3"/>
  <c r="M233" i="3"/>
  <c r="T240" i="3"/>
  <c r="N247" i="3"/>
  <c r="V253" i="3"/>
  <c r="P260" i="3"/>
  <c r="J267" i="3"/>
  <c r="T272" i="3"/>
  <c r="S277" i="3"/>
  <c r="R282" i="3"/>
  <c r="O117" i="3"/>
  <c r="R178" i="3"/>
  <c r="P199" i="3"/>
  <c r="U215" i="3"/>
  <c r="P226" i="3"/>
  <c r="P235" i="3"/>
  <c r="P242" i="3"/>
  <c r="K249" i="3"/>
  <c r="S255" i="3"/>
  <c r="L262" i="3"/>
  <c r="T268" i="3"/>
  <c r="K274" i="3"/>
  <c r="J279" i="3"/>
  <c r="T84" i="3"/>
  <c r="J41" i="3"/>
  <c r="S95" i="3"/>
  <c r="S91" i="3"/>
  <c r="P122" i="3"/>
  <c r="V121" i="3"/>
  <c r="T121" i="3"/>
  <c r="J159" i="3"/>
  <c r="T181" i="3"/>
  <c r="M200" i="3"/>
  <c r="M104" i="3"/>
  <c r="R141" i="3"/>
  <c r="K159" i="3"/>
  <c r="U181" i="3"/>
  <c r="M205" i="3"/>
  <c r="O101" i="3"/>
  <c r="U136" i="3"/>
  <c r="N157" i="3"/>
  <c r="K172" i="3"/>
  <c r="Q190" i="3"/>
  <c r="N90" i="3"/>
  <c r="M123" i="3"/>
  <c r="T148" i="3"/>
  <c r="L109" i="3"/>
  <c r="M133" i="3"/>
  <c r="P154" i="3"/>
  <c r="R88" i="3"/>
  <c r="R122" i="3"/>
  <c r="T147" i="3"/>
  <c r="U166" i="3"/>
  <c r="M155" i="3"/>
  <c r="O138" i="3"/>
  <c r="V183" i="3"/>
  <c r="Q206" i="3"/>
  <c r="V225" i="3"/>
  <c r="V241" i="3"/>
  <c r="J253" i="3"/>
  <c r="L267" i="3"/>
  <c r="P149" i="3"/>
  <c r="M175" i="3"/>
  <c r="S197" i="3"/>
  <c r="Q215" i="3"/>
  <c r="O225" i="3"/>
  <c r="M235" i="3"/>
  <c r="R127" i="3"/>
  <c r="S165" i="3"/>
  <c r="L182" i="3"/>
  <c r="J198" i="3"/>
  <c r="N211" i="3"/>
  <c r="L221" i="3"/>
  <c r="J231" i="3"/>
  <c r="U240" i="3"/>
  <c r="S250" i="3"/>
  <c r="Q260" i="3"/>
  <c r="S49" i="3"/>
  <c r="R147" i="3"/>
  <c r="O172" i="3"/>
  <c r="M188" i="3"/>
  <c r="Q203" i="3"/>
  <c r="K215" i="3"/>
  <c r="T120" i="3"/>
  <c r="V162" i="3"/>
  <c r="O180" i="3"/>
  <c r="M196" i="3"/>
  <c r="K210" i="3"/>
  <c r="K220" i="3"/>
  <c r="V229" i="3"/>
  <c r="Q187" i="3"/>
  <c r="R214" i="3"/>
  <c r="S225" i="3"/>
  <c r="T234" i="3"/>
  <c r="U241" i="3"/>
  <c r="P248" i="3"/>
  <c r="K255" i="3"/>
  <c r="Q261" i="3"/>
  <c r="L268" i="3"/>
  <c r="R273" i="3"/>
  <c r="Q278" i="3"/>
  <c r="P283" i="3"/>
  <c r="O288" i="3"/>
  <c r="N293" i="3"/>
  <c r="M298" i="3"/>
  <c r="L303" i="3"/>
  <c r="K308" i="3"/>
  <c r="J313" i="3"/>
  <c r="V317" i="3"/>
  <c r="U322" i="3"/>
  <c r="T168" i="3"/>
  <c r="R192" i="3"/>
  <c r="Q211" i="3"/>
  <c r="N223" i="3"/>
  <c r="V232" i="3"/>
  <c r="O240" i="3"/>
  <c r="Y240" i="3" s="1"/>
  <c r="V246" i="3"/>
  <c r="P253" i="3"/>
  <c r="K260" i="3"/>
  <c r="R266" i="3"/>
  <c r="P272" i="3"/>
  <c r="O277" i="3"/>
  <c r="N282" i="3"/>
  <c r="M287" i="3"/>
  <c r="L292" i="3"/>
  <c r="K297" i="3"/>
  <c r="J302" i="3"/>
  <c r="V306" i="3"/>
  <c r="U311" i="3"/>
  <c r="T316" i="3"/>
  <c r="S321" i="3"/>
  <c r="M125" i="3"/>
  <c r="T179" i="3"/>
  <c r="M201" i="3"/>
  <c r="Q216" i="3"/>
  <c r="K227" i="3"/>
  <c r="J236" i="3"/>
  <c r="V242" i="3"/>
  <c r="Q249" i="3"/>
  <c r="J256" i="3"/>
  <c r="R262" i="3"/>
  <c r="M269" i="3"/>
  <c r="O274" i="3"/>
  <c r="N279" i="3"/>
  <c r="M284" i="3"/>
  <c r="L289" i="3"/>
  <c r="K294" i="3"/>
  <c r="J299" i="3"/>
  <c r="V303" i="3"/>
  <c r="U308" i="3"/>
  <c r="T313" i="3"/>
  <c r="S318" i="3"/>
  <c r="U71" i="3"/>
  <c r="S173" i="3"/>
  <c r="N196" i="3"/>
  <c r="P213" i="3"/>
  <c r="V224" i="3"/>
  <c r="L234" i="3"/>
  <c r="O241" i="3"/>
  <c r="V247" i="3"/>
  <c r="Q254" i="3"/>
  <c r="K261" i="3"/>
  <c r="R267" i="3"/>
  <c r="M273" i="3"/>
  <c r="L278" i="3"/>
  <c r="K283" i="3"/>
  <c r="T85" i="3"/>
  <c r="T174" i="3"/>
  <c r="P196" i="3"/>
  <c r="J214" i="3"/>
  <c r="L225" i="3"/>
  <c r="N234" i="3"/>
  <c r="R241" i="3"/>
  <c r="L248" i="3"/>
  <c r="S254" i="3"/>
  <c r="N261" i="3"/>
  <c r="U267" i="3"/>
  <c r="O273" i="3"/>
  <c r="N278" i="3"/>
  <c r="M283" i="3"/>
  <c r="L133" i="3"/>
  <c r="Q181" i="3"/>
  <c r="M202" i="3"/>
  <c r="M217" i="3"/>
  <c r="S227" i="3"/>
  <c r="N236" i="3"/>
  <c r="O243" i="3"/>
  <c r="U249" i="3"/>
  <c r="P256" i="3"/>
  <c r="K263" i="3"/>
  <c r="Q269" i="3"/>
  <c r="S274" i="3"/>
  <c r="R279" i="3"/>
  <c r="L153" i="3"/>
  <c r="J230" i="3"/>
  <c r="U257" i="3"/>
  <c r="S280" i="3"/>
  <c r="Q62" i="3"/>
  <c r="R79" i="3"/>
  <c r="J121" i="3"/>
  <c r="V132" i="3"/>
  <c r="J133" i="3"/>
  <c r="S133" i="3"/>
  <c r="U160" i="3"/>
  <c r="J183" i="3"/>
  <c r="T205" i="3"/>
  <c r="J106" i="3"/>
  <c r="N142" i="3"/>
  <c r="U165" i="3"/>
  <c r="K183" i="3"/>
  <c r="U205" i="3"/>
  <c r="L113" i="3"/>
  <c r="T138" i="3"/>
  <c r="V157" i="3"/>
  <c r="J177" i="3"/>
  <c r="T191" i="3"/>
  <c r="V92" i="3"/>
  <c r="J131" i="3"/>
  <c r="O149" i="3"/>
  <c r="M110" i="3"/>
  <c r="Q140" i="3"/>
  <c r="S155" i="3"/>
  <c r="L91" i="3"/>
  <c r="L79" i="3"/>
  <c r="M90" i="3"/>
  <c r="V125" i="3"/>
  <c r="O135" i="3"/>
  <c r="U134" i="3"/>
  <c r="R134" i="3"/>
  <c r="O166" i="3"/>
  <c r="R183" i="3"/>
  <c r="O206" i="3"/>
  <c r="J118" i="3"/>
  <c r="S143" i="3"/>
  <c r="P166" i="3"/>
  <c r="R188" i="3"/>
  <c r="P206" i="3"/>
  <c r="L116" i="3"/>
  <c r="O144" i="3"/>
  <c r="L159" i="3"/>
  <c r="R177" i="3"/>
  <c r="S196" i="3"/>
  <c r="V97" i="3"/>
  <c r="J132" i="3"/>
  <c r="J39" i="3"/>
  <c r="O111" i="3"/>
  <c r="M141" i="3"/>
  <c r="R160" i="3"/>
  <c r="P96" i="3"/>
  <c r="O131" i="3"/>
  <c r="V153" i="3"/>
  <c r="S168" i="3"/>
  <c r="K169" i="3"/>
  <c r="S158" i="3"/>
  <c r="U185" i="3"/>
  <c r="J213" i="3"/>
  <c r="K232" i="3"/>
  <c r="L243" i="3"/>
  <c r="N257" i="3"/>
  <c r="R63" i="3"/>
  <c r="J154" i="3"/>
  <c r="K182" i="3"/>
  <c r="L204" i="3"/>
  <c r="T216" i="3"/>
  <c r="R226" i="3"/>
  <c r="P236" i="3"/>
  <c r="Q135" i="3"/>
  <c r="L168" i="3"/>
  <c r="K184" i="3"/>
  <c r="V199" i="3"/>
  <c r="Q212" i="3"/>
  <c r="O222" i="3"/>
  <c r="M232" i="3"/>
  <c r="K242" i="3"/>
  <c r="V251" i="3"/>
  <c r="T261" i="3"/>
  <c r="O81" i="3"/>
  <c r="Y81" i="3" s="1"/>
  <c r="Q152" i="3"/>
  <c r="N174" i="3"/>
  <c r="L190" i="3"/>
  <c r="K205" i="3"/>
  <c r="N216" i="3"/>
  <c r="Q128" i="3"/>
  <c r="K166" i="3"/>
  <c r="N182" i="3"/>
  <c r="L198" i="3"/>
  <c r="P211" i="3"/>
  <c r="N221" i="3"/>
  <c r="L231" i="3"/>
  <c r="Q192" i="3"/>
  <c r="T217" i="3"/>
  <c r="L228" i="3"/>
  <c r="S236" i="3"/>
  <c r="Q243" i="3"/>
  <c r="L250" i="3"/>
  <c r="R256" i="3"/>
  <c r="M263" i="3"/>
  <c r="U269" i="3"/>
  <c r="U274" i="3"/>
  <c r="T279" i="3"/>
  <c r="S284" i="3"/>
  <c r="R289" i="3"/>
  <c r="Q294" i="3"/>
  <c r="P299" i="3"/>
  <c r="O304" i="3"/>
  <c r="N309" i="3"/>
  <c r="M314" i="3"/>
  <c r="L319" i="3"/>
  <c r="K104" i="3"/>
  <c r="S176" i="3"/>
  <c r="M198" i="3"/>
  <c r="S214" i="3"/>
  <c r="T225" i="3"/>
  <c r="U234" i="3"/>
  <c r="J242" i="3"/>
  <c r="Q248" i="3"/>
  <c r="L255" i="3"/>
  <c r="S261" i="3"/>
  <c r="M268" i="3"/>
  <c r="S273" i="3"/>
  <c r="R278" i="3"/>
  <c r="Q283" i="3"/>
  <c r="P288" i="3"/>
  <c r="O293" i="3"/>
  <c r="Y293" i="3" s="1"/>
  <c r="N298" i="3"/>
  <c r="M303" i="3"/>
  <c r="L308" i="3"/>
  <c r="K313" i="3"/>
  <c r="J318" i="3"/>
  <c r="V322" i="3"/>
  <c r="S150" i="3"/>
  <c r="O185" i="3"/>
  <c r="Y185" i="3" s="1"/>
  <c r="P205" i="3"/>
  <c r="S219" i="3"/>
  <c r="Q229" i="3"/>
  <c r="V237" i="3"/>
  <c r="R244" i="3"/>
  <c r="K251" i="3"/>
  <c r="S257" i="3"/>
  <c r="N264" i="3"/>
  <c r="S270" i="3"/>
  <c r="R275" i="3"/>
  <c r="Q280" i="3"/>
  <c r="P285" i="3"/>
  <c r="O290" i="3"/>
  <c r="N295" i="3"/>
  <c r="M300" i="3"/>
  <c r="L305" i="3"/>
  <c r="K310" i="3"/>
  <c r="J315" i="3"/>
  <c r="V319" i="3"/>
  <c r="S125" i="3"/>
  <c r="P180" i="3"/>
  <c r="N201" i="3"/>
  <c r="R216" i="3"/>
  <c r="O227" i="3"/>
  <c r="Y227" i="3" s="1"/>
  <c r="U63" i="3"/>
  <c r="R72" i="3"/>
  <c r="R207" i="3"/>
  <c r="P190" i="3"/>
  <c r="K164" i="3"/>
  <c r="J134" i="3"/>
  <c r="M161" i="3"/>
  <c r="Q154" i="3"/>
  <c r="P141" i="3"/>
  <c r="Q218" i="3"/>
  <c r="V257" i="3"/>
  <c r="J181" i="3"/>
  <c r="P220" i="3"/>
  <c r="M79" i="3"/>
  <c r="M174" i="3"/>
  <c r="J205" i="3"/>
  <c r="K226" i="3"/>
  <c r="T245" i="3"/>
  <c r="L261" i="3"/>
  <c r="M124" i="3"/>
  <c r="N177" i="3"/>
  <c r="K198" i="3"/>
  <c r="V51" i="3"/>
  <c r="P164" i="3"/>
  <c r="O189" i="3"/>
  <c r="Y189" i="3" s="1"/>
  <c r="N213" i="3"/>
  <c r="M226" i="3"/>
  <c r="L207" i="3"/>
  <c r="V226" i="3"/>
  <c r="O239" i="3"/>
  <c r="V250" i="3"/>
  <c r="J260" i="3"/>
  <c r="L271" i="3"/>
  <c r="L279" i="3"/>
  <c r="Q286" i="3"/>
  <c r="L295" i="3"/>
  <c r="V301" i="3"/>
  <c r="Q310" i="3"/>
  <c r="Q318" i="3"/>
  <c r="P148" i="3"/>
  <c r="Q200" i="3"/>
  <c r="U220" i="3"/>
  <c r="T236" i="3"/>
  <c r="T247" i="3"/>
  <c r="R257" i="3"/>
  <c r="K269" i="3"/>
  <c r="L276" i="3"/>
  <c r="T284" i="3"/>
  <c r="T292" i="3"/>
  <c r="L300" i="3"/>
  <c r="T308" i="3"/>
  <c r="Q315" i="3"/>
  <c r="L324" i="3"/>
  <c r="S182" i="3"/>
  <c r="R211" i="3"/>
  <c r="T230" i="3"/>
  <c r="M241" i="3"/>
  <c r="T252" i="3"/>
  <c r="O263" i="3"/>
  <c r="Q272" i="3"/>
  <c r="L281" i="3"/>
  <c r="V287" i="3"/>
  <c r="Q296" i="3"/>
  <c r="Q304" i="3"/>
  <c r="V311" i="3"/>
  <c r="Q320" i="3"/>
  <c r="U164" i="3"/>
  <c r="Q205" i="3"/>
  <c r="L226" i="3"/>
  <c r="J238" i="3"/>
  <c r="N246" i="3"/>
  <c r="L256" i="3"/>
  <c r="O264" i="3"/>
  <c r="Y264" i="3" s="1"/>
  <c r="J272" i="3"/>
  <c r="O279" i="3"/>
  <c r="Q285" i="3"/>
  <c r="N166" i="3"/>
  <c r="J202" i="3"/>
  <c r="M220" i="3"/>
  <c r="O232" i="3"/>
  <c r="Y232" i="3" s="1"/>
  <c r="M243" i="3"/>
  <c r="P251" i="3"/>
  <c r="R259" i="3"/>
  <c r="P269" i="3"/>
  <c r="U275" i="3"/>
  <c r="J282" i="3"/>
  <c r="V154" i="3"/>
  <c r="Q191" i="3"/>
  <c r="K214" i="3"/>
  <c r="L230" i="3"/>
  <c r="J240" i="3"/>
  <c r="N248" i="3"/>
  <c r="L258" i="3"/>
  <c r="N266" i="3"/>
  <c r="P273" i="3"/>
  <c r="U280" i="3"/>
  <c r="L206" i="3"/>
  <c r="J248" i="3"/>
  <c r="T275" i="3"/>
  <c r="S290" i="3"/>
  <c r="R298" i="3"/>
  <c r="Q306" i="3"/>
  <c r="L214" i="3"/>
  <c r="O248" i="3"/>
  <c r="Y248" i="3" s="1"/>
  <c r="Q273" i="3"/>
  <c r="U288" i="3"/>
  <c r="T296" i="3"/>
  <c r="S304" i="3"/>
  <c r="R312" i="3"/>
  <c r="N320" i="3"/>
  <c r="R326" i="3"/>
  <c r="Q331" i="3"/>
  <c r="P336" i="3"/>
  <c r="O341" i="3"/>
  <c r="N346" i="3"/>
  <c r="M351" i="3"/>
  <c r="L356" i="3"/>
  <c r="K361" i="3"/>
  <c r="J366" i="3"/>
  <c r="V370" i="3"/>
  <c r="U375" i="3"/>
  <c r="T380" i="3"/>
  <c r="S385" i="3"/>
  <c r="U159" i="3"/>
  <c r="M231" i="3"/>
  <c r="T258" i="3"/>
  <c r="N281" i="3"/>
  <c r="V291" i="3"/>
  <c r="U299" i="3"/>
  <c r="T307" i="3"/>
  <c r="U221" i="3"/>
  <c r="P252" i="3"/>
  <c r="R276" i="3"/>
  <c r="K290" i="3"/>
  <c r="J298" i="3"/>
  <c r="V305" i="3"/>
  <c r="U313" i="3"/>
  <c r="Q321" i="3"/>
  <c r="O327" i="3"/>
  <c r="N332" i="3"/>
  <c r="M337" i="3"/>
  <c r="L342" i="3"/>
  <c r="K347" i="3"/>
  <c r="J352" i="3"/>
  <c r="V356" i="3"/>
  <c r="U361" i="3"/>
  <c r="T366" i="3"/>
  <c r="S371" i="3"/>
  <c r="R376" i="3"/>
  <c r="Q381" i="3"/>
  <c r="P386" i="3"/>
  <c r="P192" i="3"/>
  <c r="L240" i="3"/>
  <c r="O266" i="3"/>
  <c r="U285" i="3"/>
  <c r="N294" i="3"/>
  <c r="M302" i="3"/>
  <c r="L310" i="3"/>
  <c r="U317" i="3"/>
  <c r="K325" i="3"/>
  <c r="J330" i="3"/>
  <c r="V334" i="3"/>
  <c r="U339" i="3"/>
  <c r="T344" i="3"/>
  <c r="S349" i="3"/>
  <c r="R354" i="3"/>
  <c r="Q359" i="3"/>
  <c r="P364" i="3"/>
  <c r="O369" i="3"/>
  <c r="Y369" i="3" s="1"/>
  <c r="N374" i="3"/>
  <c r="M379" i="3"/>
  <c r="L384" i="3"/>
  <c r="R170" i="3"/>
  <c r="L233" i="3"/>
  <c r="N260" i="3"/>
  <c r="Q282" i="3"/>
  <c r="P292" i="3"/>
  <c r="O300" i="3"/>
  <c r="N308" i="3"/>
  <c r="J316" i="3"/>
  <c r="T323" i="3"/>
  <c r="U328" i="3"/>
  <c r="T333" i="3"/>
  <c r="S338" i="3"/>
  <c r="R343" i="3"/>
  <c r="Q348" i="3"/>
  <c r="P353" i="3"/>
  <c r="O358" i="3"/>
  <c r="N363" i="3"/>
  <c r="M368" i="3"/>
  <c r="L373" i="3"/>
  <c r="K378" i="3"/>
  <c r="J383" i="3"/>
  <c r="M229" i="3"/>
  <c r="O299" i="3"/>
  <c r="Q319" i="3"/>
  <c r="J331" i="3"/>
  <c r="U340" i="3"/>
  <c r="S350" i="3"/>
  <c r="Q360" i="3"/>
  <c r="O370" i="3"/>
  <c r="Y370" i="3" s="1"/>
  <c r="M380" i="3"/>
  <c r="L389" i="3"/>
  <c r="L394" i="3"/>
  <c r="K399" i="3"/>
  <c r="J404" i="3"/>
  <c r="V408" i="3"/>
  <c r="U413" i="3"/>
  <c r="T418" i="3"/>
  <c r="S423" i="3"/>
  <c r="R428" i="3"/>
  <c r="Q433" i="3"/>
  <c r="P438" i="3"/>
  <c r="O443" i="3"/>
  <c r="N448" i="3"/>
  <c r="M453" i="3"/>
  <c r="L458" i="3"/>
  <c r="K463" i="3"/>
  <c r="J468" i="3"/>
  <c r="V472" i="3"/>
  <c r="U477" i="3"/>
  <c r="T482" i="3"/>
  <c r="S487" i="3"/>
  <c r="R492" i="3"/>
  <c r="Q497" i="3"/>
  <c r="M288" i="3"/>
  <c r="V313" i="3"/>
  <c r="P327" i="3"/>
  <c r="N337" i="3"/>
  <c r="L347" i="3"/>
  <c r="J357" i="3"/>
  <c r="U366" i="3"/>
  <c r="S376" i="3"/>
  <c r="Q386" i="3"/>
  <c r="O392" i="3"/>
  <c r="N397" i="3"/>
  <c r="M402" i="3"/>
  <c r="L407" i="3"/>
  <c r="K412" i="3"/>
  <c r="J417" i="3"/>
  <c r="V421" i="3"/>
  <c r="U426" i="3"/>
  <c r="T431" i="3"/>
  <c r="S436" i="3"/>
  <c r="R441" i="3"/>
  <c r="Q247" i="3"/>
  <c r="N304" i="3"/>
  <c r="K322" i="3"/>
  <c r="R332" i="3"/>
  <c r="P342" i="3"/>
  <c r="N352" i="3"/>
  <c r="L362" i="3"/>
  <c r="J372" i="3"/>
  <c r="U381" i="3"/>
  <c r="J390" i="3"/>
  <c r="V394" i="3"/>
  <c r="U399" i="3"/>
  <c r="T404" i="3"/>
  <c r="S409" i="3"/>
  <c r="R414" i="3"/>
  <c r="Q419" i="3"/>
  <c r="P424" i="3"/>
  <c r="O429" i="3"/>
  <c r="N434" i="3"/>
  <c r="M439" i="3"/>
  <c r="L444" i="3"/>
  <c r="K449" i="3"/>
  <c r="J454" i="3"/>
  <c r="S249" i="3"/>
  <c r="V304" i="3"/>
  <c r="L322" i="3"/>
  <c r="S332" i="3"/>
  <c r="Q342" i="3"/>
  <c r="O352" i="3"/>
  <c r="M362" i="3"/>
  <c r="K372" i="3"/>
  <c r="V381" i="3"/>
  <c r="K390" i="3"/>
  <c r="J395" i="3"/>
  <c r="V399" i="3"/>
  <c r="U404" i="3"/>
  <c r="T409" i="3"/>
  <c r="S414" i="3"/>
  <c r="R419" i="3"/>
  <c r="Q424" i="3"/>
  <c r="P429" i="3"/>
  <c r="O434" i="3"/>
  <c r="N439" i="3"/>
  <c r="M444" i="3"/>
  <c r="K219" i="3"/>
  <c r="P297" i="3"/>
  <c r="P318" i="3"/>
  <c r="O330" i="3"/>
  <c r="M340" i="3"/>
  <c r="K350" i="3"/>
  <c r="V359" i="3"/>
  <c r="T369" i="3"/>
  <c r="R379" i="3"/>
  <c r="S388" i="3"/>
  <c r="U393" i="3"/>
  <c r="T398" i="3"/>
  <c r="S403" i="3"/>
  <c r="R408" i="3"/>
  <c r="Q413" i="3"/>
  <c r="P418" i="3"/>
  <c r="O423" i="3"/>
  <c r="N428" i="3"/>
  <c r="M433" i="3"/>
  <c r="L438" i="3"/>
  <c r="K443" i="3"/>
  <c r="O191" i="3"/>
  <c r="P294" i="3"/>
  <c r="T335" i="3"/>
  <c r="Q362" i="3"/>
  <c r="K388" i="3"/>
  <c r="P401" i="3"/>
  <c r="U414" i="3"/>
  <c r="U427" i="3"/>
  <c r="U440" i="3"/>
  <c r="K450" i="3"/>
  <c r="S456" i="3"/>
  <c r="N462" i="3"/>
  <c r="V467" i="3"/>
  <c r="R473" i="3"/>
  <c r="M479" i="3"/>
  <c r="U484" i="3"/>
  <c r="P490" i="3"/>
  <c r="K496" i="3"/>
  <c r="M501" i="3"/>
  <c r="L506" i="3"/>
  <c r="K511" i="3"/>
  <c r="J516" i="3"/>
  <c r="T285" i="3"/>
  <c r="M333" i="3"/>
  <c r="L359" i="3"/>
  <c r="V385" i="3"/>
  <c r="L400" i="3"/>
  <c r="L413" i="3"/>
  <c r="Q426" i="3"/>
  <c r="Q439" i="3"/>
  <c r="O449" i="3"/>
  <c r="R82" i="3"/>
  <c r="U75" i="3"/>
  <c r="K62" i="3"/>
  <c r="K191" i="3"/>
  <c r="S164" i="3"/>
  <c r="K141" i="3"/>
  <c r="U161" i="3"/>
  <c r="T155" i="3"/>
  <c r="P160" i="3"/>
  <c r="L227" i="3"/>
  <c r="R261" i="3"/>
  <c r="V182" i="3"/>
  <c r="S221" i="3"/>
  <c r="T100" i="3"/>
  <c r="L176" i="3"/>
  <c r="S206" i="3"/>
  <c r="N227" i="3"/>
  <c r="O246" i="3"/>
  <c r="R263" i="3"/>
  <c r="M128" i="3"/>
  <c r="N180" i="3"/>
  <c r="N204" i="3"/>
  <c r="P68" i="3"/>
  <c r="S169" i="3"/>
  <c r="M190" i="3"/>
  <c r="L215" i="3"/>
  <c r="Q230" i="3"/>
  <c r="O209" i="3"/>
  <c r="Y209" i="3" s="1"/>
  <c r="O229" i="3"/>
  <c r="N240" i="3"/>
  <c r="S251" i="3"/>
  <c r="P262" i="3"/>
  <c r="T271" i="3"/>
  <c r="O280" i="3"/>
  <c r="L287" i="3"/>
  <c r="T295" i="3"/>
  <c r="T303" i="3"/>
  <c r="L311" i="3"/>
  <c r="T319" i="3"/>
  <c r="T156" i="3"/>
  <c r="J203" i="3"/>
  <c r="Q224" i="3"/>
  <c r="U237" i="3"/>
  <c r="O249" i="3"/>
  <c r="Y249" i="3" s="1"/>
  <c r="O258" i="3"/>
  <c r="V269" i="3"/>
  <c r="J278" i="3"/>
  <c r="O285" i="3"/>
  <c r="J294" i="3"/>
  <c r="T300" i="3"/>
  <c r="O309" i="3"/>
  <c r="Y309" i="3" s="1"/>
  <c r="O317" i="3"/>
  <c r="Y317" i="3" s="1"/>
  <c r="T324" i="3"/>
  <c r="S187" i="3"/>
  <c r="O213" i="3"/>
  <c r="V231" i="3"/>
  <c r="S243" i="3"/>
  <c r="Q253" i="3"/>
  <c r="K265" i="3"/>
  <c r="L273" i="3"/>
  <c r="T281" i="3"/>
  <c r="T289" i="3"/>
  <c r="L297" i="3"/>
  <c r="T305" i="3"/>
  <c r="Q312" i="3"/>
  <c r="L321" i="3"/>
  <c r="T177" i="3"/>
  <c r="V207" i="3"/>
  <c r="R228" i="3"/>
  <c r="V238" i="3"/>
  <c r="T248" i="3"/>
  <c r="J257" i="3"/>
  <c r="L265" i="3"/>
  <c r="U273" i="3"/>
  <c r="J280" i="3"/>
  <c r="L286" i="3"/>
  <c r="Q178" i="3"/>
  <c r="U203" i="3"/>
  <c r="P221" i="3"/>
  <c r="O235" i="3"/>
  <c r="K244" i="3"/>
  <c r="M252" i="3"/>
  <c r="K262" i="3"/>
  <c r="N270" i="3"/>
  <c r="P276" i="3"/>
  <c r="U283" i="3"/>
  <c r="O161" i="3"/>
  <c r="P194" i="3"/>
  <c r="J219" i="3"/>
  <c r="O231" i="3"/>
  <c r="V240" i="3"/>
  <c r="T250" i="3"/>
  <c r="V258" i="3"/>
  <c r="K267" i="3"/>
  <c r="N275" i="3"/>
  <c r="P281" i="3"/>
  <c r="Q213" i="3"/>
  <c r="O251" i="3"/>
  <c r="M278" i="3"/>
  <c r="T291" i="3"/>
  <c r="S299" i="3"/>
  <c r="O307" i="3"/>
  <c r="R220" i="3"/>
  <c r="R251" i="3"/>
  <c r="J276" i="3"/>
  <c r="V289" i="3"/>
  <c r="U297" i="3"/>
  <c r="Q305" i="3"/>
  <c r="P313" i="3"/>
  <c r="O321" i="3"/>
  <c r="M327" i="3"/>
  <c r="L332" i="3"/>
  <c r="K337" i="3"/>
  <c r="J342" i="3"/>
  <c r="V346" i="3"/>
  <c r="U351" i="3"/>
  <c r="T356" i="3"/>
  <c r="S361" i="3"/>
  <c r="R366" i="3"/>
  <c r="Q371" i="3"/>
  <c r="P376" i="3"/>
  <c r="O381" i="3"/>
  <c r="N386" i="3"/>
  <c r="U177" i="3"/>
  <c r="K235" i="3"/>
  <c r="J262" i="3"/>
  <c r="T283" i="3"/>
  <c r="J293" i="3"/>
  <c r="V300" i="3"/>
  <c r="T117" i="3"/>
  <c r="T226" i="3"/>
  <c r="T255" i="3"/>
  <c r="K279" i="3"/>
  <c r="L291" i="3"/>
  <c r="K299" i="3"/>
  <c r="T306" i="3"/>
  <c r="S314" i="3"/>
  <c r="R322" i="3"/>
  <c r="J328" i="3"/>
  <c r="V332" i="3"/>
  <c r="U337" i="3"/>
  <c r="T342" i="3"/>
  <c r="S347" i="3"/>
  <c r="R352" i="3"/>
  <c r="Q357" i="3"/>
  <c r="P362" i="3"/>
  <c r="O367" i="3"/>
  <c r="Y367" i="3" s="1"/>
  <c r="N372" i="3"/>
  <c r="M377" i="3"/>
  <c r="L382" i="3"/>
  <c r="K387" i="3"/>
  <c r="N202" i="3"/>
  <c r="P243" i="3"/>
  <c r="S269" i="3"/>
  <c r="P287" i="3"/>
  <c r="O295" i="3"/>
  <c r="Y295" i="3" s="1"/>
  <c r="K303" i="3"/>
  <c r="J311" i="3"/>
  <c r="V318" i="3"/>
  <c r="S325" i="3"/>
  <c r="R330" i="3"/>
  <c r="Q335" i="3"/>
  <c r="P340" i="3"/>
  <c r="O345" i="3"/>
  <c r="Y345" i="3" s="1"/>
  <c r="N350" i="3"/>
  <c r="M355" i="3"/>
  <c r="L360" i="3"/>
  <c r="K365" i="3"/>
  <c r="J370" i="3"/>
  <c r="V374" i="3"/>
  <c r="U379" i="3"/>
  <c r="T384" i="3"/>
  <c r="P183" i="3"/>
  <c r="M237" i="3"/>
  <c r="S263" i="3"/>
  <c r="Q284" i="3"/>
  <c r="Q293" i="3"/>
  <c r="M301" i="3"/>
  <c r="L309" i="3"/>
  <c r="K317" i="3"/>
  <c r="P324" i="3"/>
  <c r="P329" i="3"/>
  <c r="O334" i="3"/>
  <c r="N339" i="3"/>
  <c r="M344" i="3"/>
  <c r="L349" i="3"/>
  <c r="K354" i="3"/>
  <c r="J359" i="3"/>
  <c r="V363" i="3"/>
  <c r="U368" i="3"/>
  <c r="T373" i="3"/>
  <c r="S378" i="3"/>
  <c r="R383" i="3"/>
  <c r="M244" i="3"/>
  <c r="P303" i="3"/>
  <c r="P321" i="3"/>
  <c r="M332" i="3"/>
  <c r="K342" i="3"/>
  <c r="V351" i="3"/>
  <c r="T361" i="3"/>
  <c r="R371" i="3"/>
  <c r="P381" i="3"/>
  <c r="U389" i="3"/>
  <c r="T394" i="3"/>
  <c r="S399" i="3"/>
  <c r="R404" i="3"/>
  <c r="K49" i="3"/>
  <c r="R143" i="3"/>
  <c r="J119" i="3"/>
  <c r="T47" i="3"/>
  <c r="U178" i="3"/>
  <c r="S50" i="3"/>
  <c r="M109" i="3"/>
  <c r="P167" i="3"/>
  <c r="R163" i="3"/>
  <c r="S232" i="3"/>
  <c r="T267" i="3"/>
  <c r="V188" i="3"/>
  <c r="J226" i="3"/>
  <c r="Q131" i="3"/>
  <c r="M183" i="3"/>
  <c r="V211" i="3"/>
  <c r="R231" i="3"/>
  <c r="J247" i="3"/>
  <c r="P265" i="3"/>
  <c r="K150" i="3"/>
  <c r="O181" i="3"/>
  <c r="Y181" i="3" s="1"/>
  <c r="Q207" i="3"/>
  <c r="P82" i="3"/>
  <c r="P172" i="3"/>
  <c r="K197" i="3"/>
  <c r="T215" i="3"/>
  <c r="O121" i="3"/>
  <c r="Y121" i="3" s="1"/>
  <c r="K211" i="3"/>
  <c r="R230" i="3"/>
  <c r="T242" i="3"/>
  <c r="R252" i="3"/>
  <c r="J264" i="3"/>
  <c r="O272" i="3"/>
  <c r="J281" i="3"/>
  <c r="J289" i="3"/>
  <c r="O296" i="3"/>
  <c r="J305" i="3"/>
  <c r="T311" i="3"/>
  <c r="O320" i="3"/>
  <c r="U172" i="3"/>
  <c r="O205" i="3"/>
  <c r="Y205" i="3" s="1"/>
  <c r="J227" i="3"/>
  <c r="S238" i="3"/>
  <c r="M250" i="3"/>
  <c r="U260" i="3"/>
  <c r="R270" i="3"/>
  <c r="M279" i="3"/>
  <c r="J286" i="3"/>
  <c r="R294" i="3"/>
  <c r="R302" i="3"/>
  <c r="J310" i="3"/>
  <c r="R318" i="3"/>
  <c r="T70" i="3"/>
  <c r="R190" i="3"/>
  <c r="N218" i="3"/>
  <c r="J233" i="3"/>
  <c r="O245" i="3"/>
  <c r="P254" i="3"/>
  <c r="U265" i="3"/>
  <c r="J275" i="3"/>
  <c r="O282" i="3"/>
  <c r="Y282" i="3" s="1"/>
  <c r="J291" i="3"/>
  <c r="T297" i="3"/>
  <c r="O306" i="3"/>
  <c r="O314" i="3"/>
  <c r="T321" i="3"/>
  <c r="T182" i="3"/>
  <c r="M210" i="3"/>
  <c r="U229" i="3"/>
  <c r="T239" i="3"/>
  <c r="R249" i="3"/>
  <c r="T257" i="3"/>
  <c r="J266" i="3"/>
  <c r="P274" i="3"/>
  <c r="R280" i="3"/>
  <c r="T286" i="3"/>
  <c r="U180" i="3"/>
  <c r="M206" i="3"/>
  <c r="S222" i="3"/>
  <c r="M236" i="3"/>
  <c r="U244" i="3"/>
  <c r="K253" i="3"/>
  <c r="V262" i="3"/>
  <c r="V270" i="3"/>
  <c r="K277" i="3"/>
  <c r="P284" i="3"/>
  <c r="O167" i="3"/>
  <c r="O197" i="3"/>
  <c r="N220" i="3"/>
  <c r="P232" i="3"/>
  <c r="S241" i="3"/>
  <c r="Q251" i="3"/>
  <c r="S259" i="3"/>
  <c r="J268" i="3"/>
  <c r="V275" i="3"/>
  <c r="K282" i="3"/>
  <c r="L220" i="3"/>
  <c r="R254" i="3"/>
  <c r="L283" i="3"/>
  <c r="R292" i="3"/>
  <c r="Q300" i="3"/>
  <c r="S96" i="3"/>
  <c r="Q225" i="3"/>
  <c r="V254" i="3"/>
  <c r="P278" i="3"/>
  <c r="T290" i="3"/>
  <c r="S298" i="3"/>
  <c r="R306" i="3"/>
  <c r="Q314" i="3"/>
  <c r="P322" i="3"/>
  <c r="U327" i="3"/>
  <c r="T332" i="3"/>
  <c r="S337" i="3"/>
  <c r="R342" i="3"/>
  <c r="Q347" i="3"/>
  <c r="P352" i="3"/>
  <c r="O357" i="3"/>
  <c r="Y357" i="3" s="1"/>
  <c r="N362" i="3"/>
  <c r="M367" i="3"/>
  <c r="L372" i="3"/>
  <c r="K377" i="3"/>
  <c r="J382" i="3"/>
  <c r="V386" i="3"/>
  <c r="P188" i="3"/>
  <c r="K239" i="3"/>
  <c r="M265" i="3"/>
  <c r="M285" i="3"/>
  <c r="U293" i="3"/>
  <c r="T301" i="3"/>
  <c r="S161" i="3"/>
  <c r="S231" i="3"/>
  <c r="J259" i="3"/>
  <c r="Q281" i="3"/>
  <c r="J292" i="3"/>
  <c r="V299" i="3"/>
  <c r="U307" i="3"/>
  <c r="T315" i="3"/>
  <c r="P323" i="3"/>
  <c r="R328" i="3"/>
  <c r="Q333" i="3"/>
  <c r="P338" i="3"/>
  <c r="O343" i="3"/>
  <c r="Y343" i="3" s="1"/>
  <c r="N348" i="3"/>
  <c r="M353" i="3"/>
  <c r="L358" i="3"/>
  <c r="K363" i="3"/>
  <c r="J368" i="3"/>
  <c r="V372" i="3"/>
  <c r="U377" i="3"/>
  <c r="T382" i="3"/>
  <c r="S387" i="3"/>
  <c r="J211" i="3"/>
  <c r="S246" i="3"/>
  <c r="N272" i="3"/>
  <c r="N288" i="3"/>
  <c r="M296" i="3"/>
  <c r="L304" i="3"/>
  <c r="K312" i="3"/>
  <c r="J320" i="3"/>
  <c r="N326" i="3"/>
  <c r="M331" i="3"/>
  <c r="L336" i="3"/>
  <c r="K341" i="3"/>
  <c r="J346" i="3"/>
  <c r="V350" i="3"/>
  <c r="U355" i="3"/>
  <c r="T360" i="3"/>
  <c r="S365" i="3"/>
  <c r="R370" i="3"/>
  <c r="Q375" i="3"/>
  <c r="P380" i="3"/>
  <c r="O385" i="3"/>
  <c r="S193" i="3"/>
  <c r="R240" i="3"/>
  <c r="V266" i="3"/>
  <c r="M286" i="3"/>
  <c r="O294" i="3"/>
  <c r="N302" i="3"/>
  <c r="M310" i="3"/>
  <c r="L318" i="3"/>
  <c r="L325" i="3"/>
  <c r="K330" i="3"/>
  <c r="J335" i="3"/>
  <c r="V339" i="3"/>
  <c r="U344" i="3"/>
  <c r="T349" i="3"/>
  <c r="S354" i="3"/>
  <c r="R359" i="3"/>
  <c r="Q364" i="3"/>
  <c r="P369" i="3"/>
  <c r="O374" i="3"/>
  <c r="N379" i="3"/>
  <c r="M384" i="3"/>
  <c r="O257" i="3"/>
  <c r="N307" i="3"/>
  <c r="O323" i="3"/>
  <c r="P333" i="3"/>
  <c r="N343" i="3"/>
  <c r="L353" i="3"/>
  <c r="J363" i="3"/>
  <c r="U372" i="3"/>
  <c r="S382" i="3"/>
  <c r="P390" i="3"/>
  <c r="O395" i="3"/>
  <c r="N400" i="3"/>
  <c r="M405" i="3"/>
  <c r="L410" i="3"/>
  <c r="K415" i="3"/>
  <c r="J420" i="3"/>
  <c r="V424" i="3"/>
  <c r="U429" i="3"/>
  <c r="T434" i="3"/>
  <c r="S439" i="3"/>
  <c r="R444" i="3"/>
  <c r="Q449" i="3"/>
  <c r="P454" i="3"/>
  <c r="O459" i="3"/>
  <c r="N464" i="3"/>
  <c r="M469" i="3"/>
  <c r="L474" i="3"/>
  <c r="K479" i="3"/>
  <c r="J484" i="3"/>
  <c r="V488" i="3"/>
  <c r="U493" i="3"/>
  <c r="N210" i="3"/>
  <c r="L296" i="3"/>
  <c r="T317" i="3"/>
  <c r="V329" i="3"/>
  <c r="T339" i="3"/>
  <c r="R349" i="3"/>
  <c r="P359" i="3"/>
  <c r="N369" i="3"/>
  <c r="L379" i="3"/>
  <c r="P388" i="3"/>
  <c r="R393" i="3"/>
  <c r="Q398" i="3"/>
  <c r="P403" i="3"/>
  <c r="O408" i="3"/>
  <c r="Y408" i="3" s="1"/>
  <c r="N413" i="3"/>
  <c r="M418" i="3"/>
  <c r="L423" i="3"/>
  <c r="K428" i="3"/>
  <c r="J433" i="3"/>
  <c r="V437" i="3"/>
  <c r="U442" i="3"/>
  <c r="V272" i="3"/>
  <c r="N310" i="3"/>
  <c r="M325" i="3"/>
  <c r="K335" i="3"/>
  <c r="V344" i="3"/>
  <c r="T354" i="3"/>
  <c r="R364" i="3"/>
  <c r="P374" i="3"/>
  <c r="N384" i="3"/>
  <c r="M391" i="3"/>
  <c r="L396" i="3"/>
  <c r="K401" i="3"/>
  <c r="J406" i="3"/>
  <c r="V410" i="3"/>
  <c r="U415" i="3"/>
  <c r="T420" i="3"/>
  <c r="S425" i="3"/>
  <c r="R430" i="3"/>
  <c r="Q435" i="3"/>
  <c r="P440" i="3"/>
  <c r="O445" i="3"/>
  <c r="N450" i="3"/>
  <c r="M455" i="3"/>
  <c r="Q274" i="3"/>
  <c r="O310" i="3"/>
  <c r="Y310" i="3" s="1"/>
  <c r="N325" i="3"/>
  <c r="L335" i="3"/>
  <c r="J345" i="3"/>
  <c r="U354" i="3"/>
  <c r="S364" i="3"/>
  <c r="Q374" i="3"/>
  <c r="O384" i="3"/>
  <c r="Y384" i="3" s="1"/>
  <c r="N391" i="3"/>
  <c r="M396" i="3"/>
  <c r="L401" i="3"/>
  <c r="K406" i="3"/>
  <c r="J411" i="3"/>
  <c r="V415" i="3"/>
  <c r="U420" i="3"/>
  <c r="T425" i="3"/>
  <c r="S430" i="3"/>
  <c r="R435" i="3"/>
  <c r="Q440" i="3"/>
  <c r="P445" i="3"/>
  <c r="U250" i="3"/>
  <c r="O305" i="3"/>
  <c r="Q322" i="3"/>
  <c r="U332" i="3"/>
  <c r="S342" i="3"/>
  <c r="Q352" i="3"/>
  <c r="O362" i="3"/>
  <c r="M372" i="3"/>
  <c r="K382" i="3"/>
  <c r="L390" i="3"/>
  <c r="K395" i="3"/>
  <c r="J400" i="3"/>
  <c r="V404" i="3"/>
  <c r="U409" i="3"/>
  <c r="T414" i="3"/>
  <c r="S419" i="3"/>
  <c r="R424" i="3"/>
  <c r="Q429" i="3"/>
  <c r="P434" i="3"/>
  <c r="O439" i="3"/>
  <c r="Y439" i="3" s="1"/>
  <c r="N444" i="3"/>
  <c r="U277" i="3"/>
  <c r="P311" i="3"/>
  <c r="U342" i="3"/>
  <c r="V368" i="3"/>
  <c r="R391" i="3"/>
  <c r="J405" i="3"/>
  <c r="J418" i="3"/>
  <c r="J431" i="3"/>
  <c r="O444" i="3"/>
  <c r="T451" i="3"/>
  <c r="K458" i="3"/>
  <c r="T463" i="3"/>
  <c r="O469" i="3"/>
  <c r="Y469" i="3" s="1"/>
  <c r="J475" i="3"/>
  <c r="R480" i="3"/>
  <c r="M486" i="3"/>
  <c r="U491" i="3"/>
  <c r="P497" i="3"/>
  <c r="P502" i="3"/>
  <c r="O507" i="3"/>
  <c r="N512" i="3"/>
  <c r="M517" i="3"/>
  <c r="P306" i="3"/>
  <c r="P339" i="3"/>
  <c r="M366" i="3"/>
  <c r="N390" i="3"/>
  <c r="N403" i="3"/>
  <c r="S416" i="3"/>
  <c r="S429" i="3"/>
  <c r="S442" i="3"/>
  <c r="K451" i="3"/>
  <c r="M60" i="3"/>
  <c r="M144" i="3"/>
  <c r="V119" i="3"/>
  <c r="T53" i="3"/>
  <c r="T183" i="3"/>
  <c r="O60" i="3"/>
  <c r="N110" i="3"/>
  <c r="O114" i="3"/>
  <c r="Y114" i="3" s="1"/>
  <c r="T184" i="3"/>
  <c r="N233" i="3"/>
  <c r="Q77" i="3"/>
  <c r="T198" i="3"/>
  <c r="P228" i="3"/>
  <c r="T144" i="3"/>
  <c r="K187" i="3"/>
  <c r="O214" i="3"/>
  <c r="Y214" i="3" s="1"/>
  <c r="K234" i="3"/>
  <c r="N251" i="3"/>
  <c r="K266" i="3"/>
  <c r="S157" i="3"/>
  <c r="M182" i="3"/>
  <c r="J210" i="3"/>
  <c r="R124" i="3"/>
  <c r="Q173" i="3"/>
  <c r="L201" i="3"/>
  <c r="O216" i="3"/>
  <c r="P156" i="3"/>
  <c r="J216" i="3"/>
  <c r="T231" i="3"/>
  <c r="N244" i="3"/>
  <c r="O253" i="3"/>
  <c r="V264" i="3"/>
  <c r="M274" i="3"/>
  <c r="R281" i="3"/>
  <c r="M290" i="3"/>
  <c r="J297" i="3"/>
  <c r="R305" i="3"/>
  <c r="R313" i="3"/>
  <c r="J321" i="3"/>
  <c r="S179" i="3"/>
  <c r="M207" i="3"/>
  <c r="M228" i="3"/>
  <c r="L241" i="3"/>
  <c r="J251" i="3"/>
  <c r="Q262" i="3"/>
  <c r="M271" i="3"/>
  <c r="U279" i="3"/>
  <c r="U287" i="3"/>
  <c r="M295" i="3"/>
  <c r="U303" i="3"/>
  <c r="R310" i="3"/>
  <c r="M319" i="3"/>
  <c r="P140" i="3"/>
  <c r="N193" i="3"/>
  <c r="V220" i="3"/>
  <c r="U233" i="3"/>
  <c r="L246" i="3"/>
  <c r="V256" i="3"/>
  <c r="T266" i="3"/>
  <c r="M276" i="3"/>
  <c r="J283" i="3"/>
  <c r="R291" i="3"/>
  <c r="R299" i="3"/>
  <c r="J307" i="3"/>
  <c r="R315" i="3"/>
  <c r="O322" i="3"/>
  <c r="S185" i="3"/>
  <c r="M215" i="3"/>
  <c r="K231" i="3"/>
  <c r="M242" i="3"/>
  <c r="O250" i="3"/>
  <c r="R258" i="3"/>
  <c r="P268" i="3"/>
  <c r="K275" i="3"/>
  <c r="M281" i="3"/>
  <c r="T113" i="3"/>
  <c r="Q183" i="3"/>
  <c r="R208" i="3"/>
  <c r="O226" i="3"/>
  <c r="N237" i="3"/>
  <c r="S245" i="3"/>
  <c r="Q255" i="3"/>
  <c r="T263" i="3"/>
  <c r="Q271" i="3"/>
  <c r="V278" i="3"/>
  <c r="K285" i="3"/>
  <c r="S171" i="3"/>
  <c r="P204" i="3"/>
  <c r="Q221" i="3"/>
  <c r="Q233" i="3"/>
  <c r="L244" i="3"/>
  <c r="N252" i="3"/>
  <c r="R260" i="3"/>
  <c r="O270" i="3"/>
  <c r="Y270" i="3" s="1"/>
  <c r="Q276" i="3"/>
  <c r="S282" i="3"/>
  <c r="K225" i="3"/>
  <c r="M261" i="3"/>
  <c r="J285" i="3"/>
  <c r="S293" i="3"/>
  <c r="R301" i="3"/>
  <c r="J155" i="3"/>
  <c r="P230" i="3"/>
  <c r="M258" i="3"/>
  <c r="V280" i="3"/>
  <c r="U291" i="3"/>
  <c r="T299" i="3"/>
  <c r="S307" i="3"/>
  <c r="O315" i="3"/>
  <c r="N323" i="3"/>
  <c r="P328" i="3"/>
  <c r="O333" i="3"/>
  <c r="Y333" i="3" s="1"/>
  <c r="N338" i="3"/>
  <c r="M343" i="3"/>
  <c r="L348" i="3"/>
  <c r="K353" i="3"/>
  <c r="J358" i="3"/>
  <c r="V362" i="3"/>
  <c r="U367" i="3"/>
  <c r="T372" i="3"/>
  <c r="S377" i="3"/>
  <c r="R382" i="3"/>
  <c r="Q387" i="3"/>
  <c r="N199" i="3"/>
  <c r="N242" i="3"/>
  <c r="R268" i="3"/>
  <c r="V286" i="3"/>
  <c r="V294" i="3"/>
  <c r="U302" i="3"/>
  <c r="V178" i="3"/>
  <c r="Q235" i="3"/>
  <c r="N262" i="3"/>
  <c r="V283" i="3"/>
  <c r="K293" i="3"/>
  <c r="J301" i="3"/>
  <c r="V308" i="3"/>
  <c r="R316" i="3"/>
  <c r="M324" i="3"/>
  <c r="M329" i="3"/>
  <c r="L334" i="3"/>
  <c r="K339" i="3"/>
  <c r="J344" i="3"/>
  <c r="V348" i="3"/>
  <c r="U353" i="3"/>
  <c r="T358" i="3"/>
  <c r="S363" i="3"/>
  <c r="R368" i="3"/>
  <c r="Q373" i="3"/>
  <c r="P378" i="3"/>
  <c r="O383" i="3"/>
  <c r="N388" i="3"/>
  <c r="S217" i="3"/>
  <c r="J250" i="3"/>
  <c r="T274" i="3"/>
  <c r="O289" i="3"/>
  <c r="N297" i="3"/>
  <c r="M305" i="3"/>
  <c r="V312" i="3"/>
  <c r="U320" i="3"/>
  <c r="V326" i="3"/>
  <c r="U331" i="3"/>
  <c r="T336" i="3"/>
  <c r="S341" i="3"/>
  <c r="R346" i="3"/>
  <c r="Q351" i="3"/>
  <c r="P356" i="3"/>
  <c r="O361" i="3"/>
  <c r="N366" i="3"/>
  <c r="M371" i="3"/>
  <c r="L376" i="3"/>
  <c r="K381" i="3"/>
  <c r="J386" i="3"/>
  <c r="T203" i="3"/>
  <c r="J244" i="3"/>
  <c r="L270" i="3"/>
  <c r="Q287" i="3"/>
  <c r="P295" i="3"/>
  <c r="O303" i="3"/>
  <c r="K311" i="3"/>
  <c r="J319" i="3"/>
  <c r="T325" i="3"/>
  <c r="S330" i="3"/>
  <c r="R335" i="3"/>
  <c r="Q340" i="3"/>
  <c r="P345" i="3"/>
  <c r="O350" i="3"/>
  <c r="N355" i="3"/>
  <c r="M360" i="3"/>
  <c r="L365" i="3"/>
  <c r="K370" i="3"/>
  <c r="J375" i="3"/>
  <c r="V379" i="3"/>
  <c r="U384" i="3"/>
  <c r="P270" i="3"/>
  <c r="S309" i="3"/>
  <c r="U324" i="3"/>
  <c r="S334" i="3"/>
  <c r="Q344" i="3"/>
  <c r="O354" i="3"/>
  <c r="M364" i="3"/>
  <c r="K374" i="3"/>
  <c r="V383" i="3"/>
  <c r="K391" i="3"/>
  <c r="J396" i="3"/>
  <c r="V400" i="3"/>
  <c r="U405" i="3"/>
  <c r="T410" i="3"/>
  <c r="S415" i="3"/>
  <c r="R420" i="3"/>
  <c r="Q425" i="3"/>
  <c r="P430" i="3"/>
  <c r="O435" i="3"/>
  <c r="N440" i="3"/>
  <c r="M445" i="3"/>
  <c r="L450" i="3"/>
  <c r="K455" i="3"/>
  <c r="J460" i="3"/>
  <c r="V464" i="3"/>
  <c r="U469" i="3"/>
  <c r="T474" i="3"/>
  <c r="S479" i="3"/>
  <c r="R484" i="3"/>
  <c r="Q489" i="3"/>
  <c r="P494" i="3"/>
  <c r="N232" i="3"/>
  <c r="J300" i="3"/>
  <c r="S319" i="3"/>
  <c r="L331" i="3"/>
  <c r="J341" i="3"/>
  <c r="U350" i="3"/>
  <c r="S360" i="3"/>
  <c r="Q370" i="3"/>
  <c r="O380" i="3"/>
  <c r="Y380" i="3" s="1"/>
  <c r="M389" i="3"/>
  <c r="M394" i="3"/>
  <c r="L399" i="3"/>
  <c r="K404" i="3"/>
  <c r="J409" i="3"/>
  <c r="V413" i="3"/>
  <c r="U418" i="3"/>
  <c r="T423" i="3"/>
  <c r="S428" i="3"/>
  <c r="R433" i="3"/>
  <c r="Q438" i="3"/>
  <c r="P443" i="3"/>
  <c r="T282" i="3"/>
  <c r="M312" i="3"/>
  <c r="P326" i="3"/>
  <c r="N336" i="3"/>
  <c r="L346" i="3"/>
  <c r="J356" i="3"/>
  <c r="U365" i="3"/>
  <c r="S375" i="3"/>
  <c r="Q385" i="3"/>
  <c r="U391" i="3"/>
  <c r="T396" i="3"/>
  <c r="S401" i="3"/>
  <c r="R406" i="3"/>
  <c r="Q411" i="3"/>
  <c r="P416" i="3"/>
  <c r="O421" i="3"/>
  <c r="N426" i="3"/>
  <c r="M431" i="3"/>
  <c r="L436" i="3"/>
  <c r="K441" i="3"/>
  <c r="J446" i="3"/>
  <c r="V450" i="3"/>
  <c r="U455" i="3"/>
  <c r="J284" i="3"/>
  <c r="N312" i="3"/>
  <c r="Q326" i="3"/>
  <c r="O336" i="3"/>
  <c r="Y336" i="3" s="1"/>
  <c r="M346" i="3"/>
  <c r="K356" i="3"/>
  <c r="V365" i="3"/>
  <c r="T375" i="3"/>
  <c r="R385" i="3"/>
  <c r="V391" i="3"/>
  <c r="U396" i="3"/>
  <c r="T401" i="3"/>
  <c r="S406" i="3"/>
  <c r="R411" i="3"/>
  <c r="Q416" i="3"/>
  <c r="P421" i="3"/>
  <c r="O426" i="3"/>
  <c r="N431" i="3"/>
  <c r="M436" i="3"/>
  <c r="L441" i="3"/>
  <c r="K446" i="3"/>
  <c r="V263" i="3"/>
  <c r="R308" i="3"/>
  <c r="K324" i="3"/>
  <c r="K334" i="3"/>
  <c r="V343" i="3"/>
  <c r="T353" i="3"/>
  <c r="R363" i="3"/>
  <c r="P373" i="3"/>
  <c r="N383" i="3"/>
  <c r="T390" i="3"/>
  <c r="S395" i="3"/>
  <c r="R400" i="3"/>
  <c r="Q405" i="3"/>
  <c r="P410" i="3"/>
  <c r="O415" i="3"/>
  <c r="Y415" i="3" s="1"/>
  <c r="N420" i="3"/>
  <c r="M425" i="3"/>
  <c r="L430" i="3"/>
  <c r="K435" i="3"/>
  <c r="J440" i="3"/>
  <c r="V444" i="3"/>
  <c r="M294" i="3"/>
  <c r="L317" i="3"/>
  <c r="R345" i="3"/>
  <c r="O372" i="3"/>
  <c r="O393" i="3"/>
  <c r="O406" i="3"/>
  <c r="T419" i="3"/>
  <c r="T432" i="3"/>
  <c r="R445" i="3"/>
  <c r="Q452" i="3"/>
  <c r="U458" i="3"/>
  <c r="P464" i="3"/>
  <c r="K470" i="3"/>
  <c r="S475" i="3"/>
  <c r="N481" i="3"/>
  <c r="V486" i="3"/>
  <c r="Q492" i="3"/>
  <c r="L498" i="3"/>
  <c r="K503" i="3"/>
  <c r="J508" i="3"/>
  <c r="V512" i="3"/>
  <c r="U517" i="3"/>
  <c r="U312" i="3"/>
  <c r="K343" i="3"/>
  <c r="J369" i="3"/>
  <c r="K392" i="3"/>
  <c r="K405" i="3"/>
  <c r="K418" i="3"/>
  <c r="P431" i="3"/>
  <c r="P444" i="3"/>
  <c r="P52" i="3"/>
  <c r="J167" i="3"/>
  <c r="M149" i="3"/>
  <c r="L117" i="3"/>
  <c r="N197" i="3"/>
  <c r="Q119" i="3"/>
  <c r="O130" i="3"/>
  <c r="O118" i="3"/>
  <c r="T193" i="3"/>
  <c r="Q242" i="3"/>
  <c r="P90" i="3"/>
  <c r="V204" i="3"/>
  <c r="N230" i="3"/>
  <c r="L152" i="3"/>
  <c r="K190" i="3"/>
  <c r="M216" i="3"/>
  <c r="V235" i="3"/>
  <c r="T253" i="3"/>
  <c r="S266" i="3"/>
  <c r="R162" i="3"/>
  <c r="K189" i="3"/>
  <c r="S210" i="3"/>
  <c r="J140" i="3"/>
  <c r="R174" i="3"/>
  <c r="R203" i="3"/>
  <c r="S220" i="3"/>
  <c r="J163" i="3"/>
  <c r="Q219" i="3"/>
  <c r="R232" i="3"/>
  <c r="M245" i="3"/>
  <c r="U255" i="3"/>
  <c r="S265" i="3"/>
  <c r="P275" i="3"/>
  <c r="M282" i="3"/>
  <c r="U290" i="3"/>
  <c r="U298" i="3"/>
  <c r="M306" i="3"/>
  <c r="U314" i="3"/>
  <c r="R321" i="3"/>
  <c r="R182" i="3"/>
  <c r="V212" i="3"/>
  <c r="P229" i="3"/>
  <c r="U242" i="3"/>
  <c r="U251" i="3"/>
  <c r="N263" i="3"/>
  <c r="K273" i="3"/>
  <c r="P280" i="3"/>
  <c r="K289" i="3"/>
  <c r="U295" i="3"/>
  <c r="P304" i="3"/>
  <c r="P312" i="3"/>
  <c r="U319" i="3"/>
  <c r="K158" i="3"/>
  <c r="R195" i="3"/>
  <c r="L222" i="3"/>
  <c r="U236" i="3"/>
  <c r="K247" i="3"/>
  <c r="P258" i="3"/>
  <c r="Q267" i="3"/>
  <c r="U276" i="3"/>
  <c r="U284" i="3"/>
  <c r="M292" i="3"/>
  <c r="U300" i="3"/>
  <c r="R307" i="3"/>
  <c r="M316" i="3"/>
  <c r="O109" i="3"/>
  <c r="O188" i="3"/>
  <c r="O218" i="3"/>
  <c r="Y218" i="3" s="1"/>
  <c r="J232" i="3"/>
  <c r="J243" i="3"/>
  <c r="M251" i="3"/>
  <c r="P259" i="3"/>
  <c r="N269" i="3"/>
  <c r="S275" i="3"/>
  <c r="U281" i="3"/>
  <c r="Q129" i="3"/>
  <c r="P186" i="3"/>
  <c r="O210" i="3"/>
  <c r="R227" i="3"/>
  <c r="L238" i="3"/>
  <c r="Q246" i="3"/>
  <c r="O256" i="3"/>
  <c r="Q264" i="3"/>
  <c r="L272" i="3"/>
  <c r="Q279" i="3"/>
  <c r="S285" i="3"/>
  <c r="Q175" i="3"/>
  <c r="N206" i="3"/>
  <c r="T222" i="3"/>
  <c r="O234" i="3"/>
  <c r="V244" i="3"/>
  <c r="M253" i="3"/>
  <c r="O261" i="3"/>
  <c r="Y261" i="3" s="1"/>
  <c r="J271" i="3"/>
  <c r="L277" i="3"/>
  <c r="N283" i="3"/>
  <c r="M234" i="3"/>
  <c r="P264" i="3"/>
  <c r="P286" i="3"/>
  <c r="T294" i="3"/>
  <c r="P302" i="3"/>
  <c r="U175" i="3"/>
  <c r="P234" i="3"/>
  <c r="P261" i="3"/>
  <c r="O283" i="3"/>
  <c r="V292" i="3"/>
  <c r="R300" i="3"/>
  <c r="Q308" i="3"/>
  <c r="P316" i="3"/>
  <c r="J324" i="3"/>
  <c r="K329" i="3"/>
  <c r="J334" i="3"/>
  <c r="V338" i="3"/>
  <c r="U343" i="3"/>
  <c r="T348" i="3"/>
  <c r="S353" i="3"/>
  <c r="R358" i="3"/>
  <c r="Q363" i="3"/>
  <c r="P368" i="3"/>
  <c r="V71" i="3"/>
  <c r="M168" i="3"/>
  <c r="K151" i="3"/>
  <c r="K125" i="3"/>
  <c r="Q198" i="3"/>
  <c r="P120" i="3"/>
  <c r="O133" i="3"/>
  <c r="U167" i="3"/>
  <c r="R194" i="3"/>
  <c r="L70" i="3"/>
  <c r="O190" i="3"/>
  <c r="K167" i="3"/>
  <c r="J145" i="3"/>
  <c r="J110" i="3"/>
  <c r="J142" i="3"/>
  <c r="R140" i="3"/>
  <c r="J171" i="3"/>
  <c r="O212" i="3"/>
  <c r="P247" i="3"/>
  <c r="U163" i="3"/>
  <c r="L216" i="3"/>
  <c r="U235" i="3"/>
  <c r="V166" i="3"/>
  <c r="U198" i="3"/>
  <c r="T221" i="3"/>
  <c r="P241" i="3"/>
  <c r="M256" i="3"/>
  <c r="U107" i="3"/>
  <c r="J166" i="3"/>
  <c r="L196" i="3"/>
  <c r="S215" i="3"/>
  <c r="N150" i="3"/>
  <c r="N185" i="3"/>
  <c r="N205" i="3"/>
  <c r="J225" i="3"/>
  <c r="R189" i="3"/>
  <c r="J222" i="3"/>
  <c r="Q237" i="3"/>
  <c r="T246" i="3"/>
  <c r="N258" i="3"/>
  <c r="V268" i="3"/>
  <c r="S276" i="3"/>
  <c r="N285" i="3"/>
  <c r="T76" i="3"/>
  <c r="R213" i="3"/>
  <c r="N238" i="3"/>
  <c r="V243" i="3"/>
  <c r="J197" i="3"/>
  <c r="U210" i="3"/>
  <c r="R238" i="3"/>
  <c r="N277" i="3"/>
  <c r="N301" i="3"/>
  <c r="S121" i="3"/>
  <c r="S230" i="3"/>
  <c r="T256" i="3"/>
  <c r="V282" i="3"/>
  <c r="K305" i="3"/>
  <c r="Q323" i="3"/>
  <c r="R224" i="3"/>
  <c r="O259" i="3"/>
  <c r="V279" i="3"/>
  <c r="K302" i="3"/>
  <c r="T140" i="3"/>
  <c r="P222" i="3"/>
  <c r="U252" i="3"/>
  <c r="N276" i="3"/>
  <c r="V159" i="3"/>
  <c r="K230" i="3"/>
  <c r="L257" i="3"/>
  <c r="M275" i="3"/>
  <c r="Q186" i="3"/>
  <c r="O237" i="3"/>
  <c r="M257" i="3"/>
  <c r="O278" i="3"/>
  <c r="S267" i="3"/>
  <c r="Q297" i="3"/>
  <c r="T241" i="3"/>
  <c r="T293" i="3"/>
  <c r="Q311" i="3"/>
  <c r="N330" i="3"/>
  <c r="P344" i="3"/>
  <c r="Q355" i="3"/>
  <c r="S369" i="3"/>
  <c r="Q379" i="3"/>
  <c r="O389" i="3"/>
  <c r="Y389" i="3" s="1"/>
  <c r="L252" i="3"/>
  <c r="J290" i="3"/>
  <c r="U305" i="3"/>
  <c r="V245" i="3"/>
  <c r="L288" i="3"/>
  <c r="J304" i="3"/>
  <c r="R319" i="3"/>
  <c r="K331" i="3"/>
  <c r="V340" i="3"/>
  <c r="T350" i="3"/>
  <c r="R360" i="3"/>
  <c r="P370" i="3"/>
  <c r="N380" i="3"/>
  <c r="Q167" i="3"/>
  <c r="U259" i="3"/>
  <c r="O292" i="3"/>
  <c r="Y292" i="3" s="1"/>
  <c r="J308" i="3"/>
  <c r="S323" i="3"/>
  <c r="S333" i="3"/>
  <c r="Q343" i="3"/>
  <c r="O353" i="3"/>
  <c r="M363" i="3"/>
  <c r="K373" i="3"/>
  <c r="V382" i="3"/>
  <c r="U223" i="3"/>
  <c r="R277" i="3"/>
  <c r="P298" i="3"/>
  <c r="K314" i="3"/>
  <c r="R327" i="3"/>
  <c r="P337" i="3"/>
  <c r="N347" i="3"/>
  <c r="L357" i="3"/>
  <c r="J367" i="3"/>
  <c r="U376" i="3"/>
  <c r="J146" i="3"/>
  <c r="S315" i="3"/>
  <c r="O338" i="3"/>
  <c r="K358" i="3"/>
  <c r="T377" i="3"/>
  <c r="V392" i="3"/>
  <c r="T402" i="3"/>
  <c r="J412" i="3"/>
  <c r="O419" i="3"/>
  <c r="O427" i="3"/>
  <c r="J436" i="3"/>
  <c r="T442" i="3"/>
  <c r="O451" i="3"/>
  <c r="T458" i="3"/>
  <c r="T466" i="3"/>
  <c r="O475" i="3"/>
  <c r="L482" i="3"/>
  <c r="T490" i="3"/>
  <c r="L166" i="3"/>
  <c r="U309" i="3"/>
  <c r="O332" i="3"/>
  <c r="V345" i="3"/>
  <c r="L363" i="3"/>
  <c r="V377" i="3"/>
  <c r="L391" i="3"/>
  <c r="T399" i="3"/>
  <c r="Q406" i="3"/>
  <c r="L415" i="3"/>
  <c r="Q422" i="3"/>
  <c r="Q430" i="3"/>
  <c r="L439" i="3"/>
  <c r="R233" i="3"/>
  <c r="N316" i="3"/>
  <c r="U333" i="3"/>
  <c r="U349" i="3"/>
  <c r="K367" i="3"/>
  <c r="R380" i="3"/>
  <c r="K393" i="3"/>
  <c r="P400" i="3"/>
  <c r="P408" i="3"/>
  <c r="K417" i="3"/>
  <c r="U423" i="3"/>
  <c r="P432" i="3"/>
  <c r="U439" i="3"/>
  <c r="U447" i="3"/>
  <c r="P456" i="3"/>
  <c r="K301" i="3"/>
  <c r="J329" i="3"/>
  <c r="T343" i="3"/>
  <c r="T359" i="3"/>
  <c r="J377" i="3"/>
  <c r="P389" i="3"/>
  <c r="K398" i="3"/>
  <c r="P405" i="3"/>
  <c r="P413" i="3"/>
  <c r="K422" i="3"/>
  <c r="U428" i="3"/>
  <c r="P437" i="3"/>
  <c r="U444" i="3"/>
  <c r="Q289" i="3"/>
  <c r="P325" i="3"/>
  <c r="J339" i="3"/>
  <c r="M356" i="3"/>
  <c r="J371" i="3"/>
  <c r="U386" i="3"/>
  <c r="N396" i="3"/>
  <c r="K403" i="3"/>
  <c r="S411" i="3"/>
  <c r="K419" i="3"/>
  <c r="K427" i="3"/>
  <c r="S435" i="3"/>
  <c r="P442" i="3"/>
  <c r="Q194" i="3"/>
  <c r="O339" i="3"/>
  <c r="M382" i="3"/>
  <c r="L408" i="3"/>
  <c r="K426" i="3"/>
  <c r="Q447" i="3"/>
  <c r="O457" i="3"/>
  <c r="Y457" i="3" s="1"/>
  <c r="Q466" i="3"/>
  <c r="O476" i="3"/>
  <c r="L484" i="3"/>
  <c r="J494" i="3"/>
  <c r="U501" i="3"/>
  <c r="U509" i="3"/>
  <c r="P518" i="3"/>
  <c r="R329" i="3"/>
  <c r="K376" i="3"/>
  <c r="V401" i="3"/>
  <c r="J423" i="3"/>
  <c r="S445" i="3"/>
  <c r="N454" i="3"/>
  <c r="N460" i="3"/>
  <c r="V465" i="3"/>
  <c r="Q471" i="3"/>
  <c r="L477" i="3"/>
  <c r="U482" i="3"/>
  <c r="P488" i="3"/>
  <c r="K494" i="3"/>
  <c r="P499" i="3"/>
  <c r="O504" i="3"/>
  <c r="N509" i="3"/>
  <c r="J191" i="3"/>
  <c r="U246" i="3"/>
  <c r="U155" i="3"/>
  <c r="R255" i="3"/>
  <c r="O211" i="3"/>
  <c r="L223" i="3"/>
  <c r="J246" i="3"/>
  <c r="K284" i="3"/>
  <c r="U306" i="3"/>
  <c r="P137" i="3"/>
  <c r="T233" i="3"/>
  <c r="L264" i="3"/>
  <c r="L284" i="3"/>
  <c r="S305" i="3"/>
  <c r="T164" i="3"/>
  <c r="N228" i="3"/>
  <c r="L260" i="3"/>
  <c r="K286" i="3"/>
  <c r="S302" i="3"/>
  <c r="V150" i="3"/>
  <c r="J235" i="3"/>
  <c r="N255" i="3"/>
  <c r="V276" i="3"/>
  <c r="T188" i="3"/>
  <c r="N231" i="3"/>
  <c r="J258" i="3"/>
  <c r="L280" i="3"/>
  <c r="P189" i="3"/>
  <c r="P238" i="3"/>
  <c r="U263" i="3"/>
  <c r="M280" i="3"/>
  <c r="U270" i="3"/>
  <c r="Q303" i="3"/>
  <c r="K245" i="3"/>
  <c r="U294" i="3"/>
  <c r="Q317" i="3"/>
  <c r="V330" i="3"/>
  <c r="K345" i="3"/>
  <c r="M359" i="3"/>
  <c r="N370" i="3"/>
  <c r="L380" i="3"/>
  <c r="P113" i="3"/>
  <c r="O255" i="3"/>
  <c r="K291" i="3"/>
  <c r="S306" i="3"/>
  <c r="L249" i="3"/>
  <c r="M289" i="3"/>
  <c r="U304" i="3"/>
  <c r="S320" i="3"/>
  <c r="S331" i="3"/>
  <c r="Q341" i="3"/>
  <c r="O351" i="3"/>
  <c r="M361" i="3"/>
  <c r="K371" i="3"/>
  <c r="V380" i="3"/>
  <c r="R181" i="3"/>
  <c r="L263" i="3"/>
  <c r="M293" i="3"/>
  <c r="K309" i="3"/>
  <c r="O324" i="3"/>
  <c r="N334" i="3"/>
  <c r="L344" i="3"/>
  <c r="J354" i="3"/>
  <c r="U363" i="3"/>
  <c r="S373" i="3"/>
  <c r="Q383" i="3"/>
  <c r="T228" i="3"/>
  <c r="K280" i="3"/>
  <c r="N299" i="3"/>
  <c r="L315" i="3"/>
  <c r="M328" i="3"/>
  <c r="K338" i="3"/>
  <c r="V347" i="3"/>
  <c r="T357" i="3"/>
  <c r="R367" i="3"/>
  <c r="P377" i="3"/>
  <c r="S204" i="3"/>
  <c r="R317" i="3"/>
  <c r="R339" i="3"/>
  <c r="N359" i="3"/>
  <c r="J379" i="3"/>
  <c r="Q393" i="3"/>
  <c r="O403" i="3"/>
  <c r="R412" i="3"/>
  <c r="M421" i="3"/>
  <c r="J428" i="3"/>
  <c r="R436" i="3"/>
  <c r="J444" i="3"/>
  <c r="J452" i="3"/>
  <c r="R460" i="3"/>
  <c r="O467" i="3"/>
  <c r="J476" i="3"/>
  <c r="O483" i="3"/>
  <c r="O491" i="3"/>
  <c r="P246" i="3"/>
  <c r="J312" i="3"/>
  <c r="R333" i="3"/>
  <c r="O348" i="3"/>
  <c r="O364" i="3"/>
  <c r="R381" i="3"/>
  <c r="T391" i="3"/>
  <c r="O400" i="3"/>
  <c r="T407" i="3"/>
  <c r="T415" i="3"/>
  <c r="O424" i="3"/>
  <c r="Y424" i="3" s="1"/>
  <c r="L431" i="3"/>
  <c r="T439" i="3"/>
  <c r="S260" i="3"/>
  <c r="M318" i="3"/>
  <c r="Q337" i="3"/>
  <c r="K351" i="3"/>
  <c r="N368" i="3"/>
  <c r="K383" i="3"/>
  <c r="S393" i="3"/>
  <c r="N402" i="3"/>
  <c r="K409" i="3"/>
  <c r="S417" i="3"/>
  <c r="K425" i="3"/>
  <c r="K433" i="3"/>
  <c r="S441" i="3"/>
  <c r="P448" i="3"/>
  <c r="T180" i="3"/>
  <c r="P308" i="3"/>
  <c r="M330" i="3"/>
  <c r="P347" i="3"/>
  <c r="J361" i="3"/>
  <c r="M378" i="3"/>
  <c r="S390" i="3"/>
  <c r="S398" i="3"/>
  <c r="N407" i="3"/>
  <c r="K414" i="3"/>
  <c r="S422" i="3"/>
  <c r="K430" i="3"/>
  <c r="K438" i="3"/>
  <c r="S446" i="3"/>
  <c r="R293" i="3"/>
  <c r="S326" i="3"/>
  <c r="P341" i="3"/>
  <c r="P357" i="3"/>
  <c r="S374" i="3"/>
  <c r="V387" i="3"/>
  <c r="V396" i="3"/>
  <c r="N404" i="3"/>
  <c r="N412" i="3"/>
  <c r="V420" i="3"/>
  <c r="S427" i="3"/>
  <c r="N436" i="3"/>
  <c r="S443" i="3"/>
  <c r="V252" i="3"/>
  <c r="M349" i="3"/>
  <c r="J385" i="3"/>
  <c r="V409" i="3"/>
  <c r="R429" i="3"/>
  <c r="Q448" i="3"/>
  <c r="Q459" i="3"/>
  <c r="M467" i="3"/>
  <c r="K477" i="3"/>
  <c r="Q485" i="3"/>
  <c r="S494" i="3"/>
  <c r="S503" i="3"/>
  <c r="P510" i="3"/>
  <c r="K519" i="3"/>
  <c r="S336" i="3"/>
  <c r="U378" i="3"/>
  <c r="U406" i="3"/>
  <c r="T424" i="3"/>
  <c r="T446" i="3"/>
  <c r="L455" i="3"/>
  <c r="J461" i="3"/>
  <c r="R466" i="3"/>
  <c r="M472" i="3"/>
  <c r="V477" i="3"/>
  <c r="Q483" i="3"/>
  <c r="L489" i="3"/>
  <c r="T494" i="3"/>
  <c r="K500" i="3"/>
  <c r="J505" i="3"/>
  <c r="V509" i="3"/>
  <c r="M173" i="3"/>
  <c r="S256" i="3"/>
  <c r="M171" i="3"/>
  <c r="U256" i="3"/>
  <c r="L218" i="3"/>
  <c r="R225" i="3"/>
  <c r="M249" i="3"/>
  <c r="V285" i="3"/>
  <c r="S308" i="3"/>
  <c r="S184" i="3"/>
  <c r="S235" i="3"/>
  <c r="J265" i="3"/>
  <c r="S289" i="3"/>
  <c r="Q307" i="3"/>
  <c r="T169" i="3"/>
  <c r="T238" i="3"/>
  <c r="V260" i="3"/>
  <c r="S286" i="3"/>
  <c r="P309" i="3"/>
  <c r="N158" i="3"/>
  <c r="K236" i="3"/>
  <c r="V261" i="3"/>
  <c r="T278" i="3"/>
  <c r="P191" i="3"/>
  <c r="L239" i="3"/>
  <c r="U258" i="3"/>
  <c r="T280" i="3"/>
  <c r="S208" i="3"/>
  <c r="M239" i="3"/>
  <c r="R264" i="3"/>
  <c r="S174" i="3"/>
  <c r="N273" i="3"/>
  <c r="R304" i="3"/>
  <c r="T264" i="3"/>
  <c r="S295" i="3"/>
  <c r="O318" i="3"/>
  <c r="R334" i="3"/>
  <c r="S345" i="3"/>
  <c r="U359" i="3"/>
  <c r="O373" i="3"/>
  <c r="M383" i="3"/>
  <c r="J208" i="3"/>
  <c r="P271" i="3"/>
  <c r="J296" i="3"/>
  <c r="Q189" i="3"/>
  <c r="R265" i="3"/>
  <c r="L294" i="3"/>
  <c r="T309" i="3"/>
  <c r="V324" i="3"/>
  <c r="T334" i="3"/>
  <c r="R344" i="3"/>
  <c r="P354" i="3"/>
  <c r="N364" i="3"/>
  <c r="L374" i="3"/>
  <c r="J384" i="3"/>
  <c r="K223" i="3"/>
  <c r="M277" i="3"/>
  <c r="L298" i="3"/>
  <c r="J314" i="3"/>
  <c r="Q327" i="3"/>
  <c r="O337" i="3"/>
  <c r="M347" i="3"/>
  <c r="K357" i="3"/>
  <c r="V366" i="3"/>
  <c r="T376" i="3"/>
  <c r="R386" i="3"/>
  <c r="M247" i="3"/>
  <c r="R288" i="3"/>
  <c r="M304" i="3"/>
  <c r="K320" i="3"/>
  <c r="N331" i="3"/>
  <c r="L341" i="3"/>
  <c r="J351" i="3"/>
  <c r="U360" i="3"/>
  <c r="S370" i="3"/>
  <c r="Q380" i="3"/>
  <c r="N280" i="3"/>
  <c r="K326" i="3"/>
  <c r="T345" i="3"/>
  <c r="P365" i="3"/>
  <c r="L385" i="3"/>
  <c r="R396" i="3"/>
  <c r="P406" i="3"/>
  <c r="M413" i="3"/>
  <c r="U421" i="3"/>
  <c r="M429" i="3"/>
  <c r="M437" i="3"/>
  <c r="U445" i="3"/>
  <c r="R452" i="3"/>
  <c r="M461" i="3"/>
  <c r="R468" i="3"/>
  <c r="R476" i="3"/>
  <c r="M485" i="3"/>
  <c r="J492" i="3"/>
  <c r="Q259" i="3"/>
  <c r="U315" i="3"/>
  <c r="U334" i="3"/>
  <c r="K352" i="3"/>
  <c r="R365" i="3"/>
  <c r="U382" i="3"/>
  <c r="J393" i="3"/>
  <c r="J401" i="3"/>
  <c r="R409" i="3"/>
  <c r="O416" i="3"/>
  <c r="J425" i="3"/>
  <c r="O432" i="3"/>
  <c r="Y432" i="3" s="1"/>
  <c r="O440" i="3"/>
  <c r="S288" i="3"/>
  <c r="L320" i="3"/>
  <c r="T338" i="3"/>
  <c r="Q353" i="3"/>
  <c r="Q369" i="3"/>
  <c r="S386" i="3"/>
  <c r="N394" i="3"/>
  <c r="V402" i="3"/>
  <c r="N410" i="3"/>
  <c r="N418" i="3"/>
  <c r="V426" i="3"/>
  <c r="S433" i="3"/>
  <c r="N442" i="3"/>
  <c r="S449" i="3"/>
  <c r="K217" i="3"/>
  <c r="P314" i="3"/>
  <c r="P331" i="3"/>
  <c r="S348" i="3"/>
  <c r="P363" i="3"/>
  <c r="P379" i="3"/>
  <c r="Q392" i="3"/>
  <c r="N399" i="3"/>
  <c r="V407" i="3"/>
  <c r="N415" i="3"/>
  <c r="N423" i="3"/>
  <c r="V431" i="3"/>
  <c r="S438" i="3"/>
  <c r="N447" i="3"/>
  <c r="Q301" i="3"/>
  <c r="V327" i="3"/>
  <c r="L345" i="3"/>
  <c r="S358" i="3"/>
  <c r="V375" i="3"/>
  <c r="Q389" i="3"/>
  <c r="Q397" i="3"/>
  <c r="L406" i="3"/>
  <c r="V412" i="3"/>
  <c r="Q421" i="3"/>
  <c r="V428" i="3"/>
  <c r="V436" i="3"/>
  <c r="Q445" i="3"/>
  <c r="P279" i="3"/>
  <c r="S352" i="3"/>
  <c r="M390" i="3"/>
  <c r="N411" i="3"/>
  <c r="Q434" i="3"/>
  <c r="N449" i="3"/>
  <c r="M460" i="3"/>
  <c r="S468" i="3"/>
  <c r="T477" i="3"/>
  <c r="R487" i="3"/>
  <c r="O495" i="3"/>
  <c r="Y495" i="3" s="1"/>
  <c r="N504" i="3"/>
  <c r="S511" i="3"/>
  <c r="O201" i="3"/>
  <c r="Y201" i="3" s="1"/>
  <c r="Q346" i="3"/>
  <c r="P382" i="3"/>
  <c r="M408" i="3"/>
  <c r="V427" i="3"/>
  <c r="R447" i="3"/>
  <c r="J456" i="3"/>
  <c r="S461" i="3"/>
  <c r="N467" i="3"/>
  <c r="J473" i="3"/>
  <c r="R478" i="3"/>
  <c r="M484" i="3"/>
  <c r="U489" i="3"/>
  <c r="P495" i="3"/>
  <c r="S500" i="3"/>
  <c r="R505" i="3"/>
  <c r="Q510" i="3"/>
  <c r="R145" i="3"/>
  <c r="V151" i="3"/>
  <c r="J192" i="3"/>
  <c r="J67" i="3"/>
  <c r="K147" i="3"/>
  <c r="S205" i="3"/>
  <c r="P217" i="3"/>
  <c r="M164" i="3"/>
  <c r="P181" i="3"/>
  <c r="T220" i="3"/>
  <c r="P266" i="3"/>
  <c r="V293" i="3"/>
  <c r="K316" i="3"/>
  <c r="P216" i="3"/>
  <c r="N245" i="3"/>
  <c r="V274" i="3"/>
  <c r="S297" i="3"/>
  <c r="V314" i="3"/>
  <c r="U207" i="3"/>
  <c r="U247" i="3"/>
  <c r="V271" i="3"/>
  <c r="S294" i="3"/>
  <c r="U316" i="3"/>
  <c r="S203" i="3"/>
  <c r="S244" i="3"/>
  <c r="K270" i="3"/>
  <c r="V284" i="3"/>
  <c r="L217" i="3"/>
  <c r="J249" i="3"/>
  <c r="S268" i="3"/>
  <c r="J96" i="3"/>
  <c r="J224" i="3"/>
  <c r="O247" i="3"/>
  <c r="M272" i="3"/>
  <c r="K238" i="3"/>
  <c r="U289" i="3"/>
  <c r="P197" i="3"/>
  <c r="L285" i="3"/>
  <c r="R303" i="3"/>
  <c r="O325" i="3"/>
  <c r="Q339" i="3"/>
  <c r="R350" i="3"/>
  <c r="T364" i="3"/>
  <c r="M375" i="3"/>
  <c r="K385" i="3"/>
  <c r="N226" i="3"/>
  <c r="U278" i="3"/>
  <c r="T298" i="3"/>
  <c r="V215" i="3"/>
  <c r="L274" i="3"/>
  <c r="V296" i="3"/>
  <c r="T312" i="3"/>
  <c r="T326" i="3"/>
  <c r="R336" i="3"/>
  <c r="P346" i="3"/>
  <c r="N356" i="3"/>
  <c r="L366" i="3"/>
  <c r="J376" i="3"/>
  <c r="U385" i="3"/>
  <c r="R236" i="3"/>
  <c r="O284" i="3"/>
  <c r="Y284" i="3" s="1"/>
  <c r="L301" i="3"/>
  <c r="J317" i="3"/>
  <c r="O329" i="3"/>
  <c r="Y329" i="3" s="1"/>
  <c r="M339" i="3"/>
  <c r="K349" i="3"/>
  <c r="V358" i="3"/>
  <c r="T368" i="3"/>
  <c r="R378" i="3"/>
  <c r="N143" i="3"/>
  <c r="K257" i="3"/>
  <c r="O291" i="3"/>
  <c r="Y291" i="3" s="1"/>
  <c r="M307" i="3"/>
  <c r="K323" i="3"/>
  <c r="L333" i="3"/>
  <c r="J343" i="3"/>
  <c r="U352" i="3"/>
  <c r="S362" i="3"/>
  <c r="Q372" i="3"/>
  <c r="O382" i="3"/>
  <c r="Q295" i="3"/>
  <c r="T329" i="3"/>
  <c r="P349" i="3"/>
  <c r="L369" i="3"/>
  <c r="O388" i="3"/>
  <c r="Y388" i="3" s="1"/>
  <c r="P398" i="3"/>
  <c r="N408" i="3"/>
  <c r="V416" i="3"/>
  <c r="N424" i="3"/>
  <c r="N432" i="3"/>
  <c r="V440" i="3"/>
  <c r="S447" i="3"/>
  <c r="N456" i="3"/>
  <c r="S463" i="3"/>
  <c r="S471" i="3"/>
  <c r="N480" i="3"/>
  <c r="K487" i="3"/>
  <c r="S495" i="3"/>
  <c r="N292" i="3"/>
  <c r="J325" i="3"/>
  <c r="M342" i="3"/>
  <c r="T355" i="3"/>
  <c r="J373" i="3"/>
  <c r="P387" i="3"/>
  <c r="K396" i="3"/>
  <c r="S404" i="3"/>
  <c r="P411" i="3"/>
  <c r="K420" i="3"/>
  <c r="P427" i="3"/>
  <c r="P435" i="3"/>
  <c r="K444" i="3"/>
  <c r="P300" i="3"/>
  <c r="V328" i="3"/>
  <c r="S343" i="3"/>
  <c r="S359" i="3"/>
  <c r="V376" i="3"/>
  <c r="N389" i="3"/>
  <c r="J398" i="3"/>
  <c r="O405" i="3"/>
  <c r="O413" i="3"/>
  <c r="Y413" i="3" s="1"/>
  <c r="J422" i="3"/>
  <c r="T428" i="3"/>
  <c r="O437" i="3"/>
  <c r="T444" i="3"/>
  <c r="T452" i="3"/>
  <c r="N289" i="3"/>
  <c r="M320" i="3"/>
  <c r="U338" i="3"/>
  <c r="R353" i="3"/>
  <c r="R369" i="3"/>
  <c r="T386" i="3"/>
  <c r="O394" i="3"/>
  <c r="Y394" i="3" s="1"/>
  <c r="J403" i="3"/>
  <c r="O410" i="3"/>
  <c r="O418" i="3"/>
  <c r="J427" i="3"/>
  <c r="T433" i="3"/>
  <c r="O442" i="3"/>
  <c r="P237" i="3"/>
  <c r="R314" i="3"/>
  <c r="N335" i="3"/>
  <c r="U348" i="3"/>
  <c r="K366" i="3"/>
  <c r="U380" i="3"/>
  <c r="R392" i="3"/>
  <c r="M401" i="3"/>
  <c r="J408" i="3"/>
  <c r="R416" i="3"/>
  <c r="J424" i="3"/>
  <c r="J432" i="3"/>
  <c r="R440" i="3"/>
  <c r="J277" i="3"/>
  <c r="V325" i="3"/>
  <c r="N365" i="3"/>
  <c r="N398" i="3"/>
  <c r="L421" i="3"/>
  <c r="P439" i="3"/>
  <c r="M454" i="3"/>
  <c r="J463" i="3"/>
  <c r="L472" i="3"/>
  <c r="J482" i="3"/>
  <c r="T489" i="3"/>
  <c r="O499" i="3"/>
  <c r="T506" i="3"/>
  <c r="T514" i="3"/>
  <c r="M317" i="3"/>
  <c r="O356" i="3"/>
  <c r="Y356" i="3" s="1"/>
  <c r="M395" i="3"/>
  <c r="V414" i="3"/>
  <c r="O436" i="3"/>
  <c r="U451" i="3"/>
  <c r="M458" i="3"/>
  <c r="U463" i="3"/>
  <c r="P469" i="3"/>
  <c r="J149" i="3"/>
  <c r="R218" i="3"/>
  <c r="M224" i="3"/>
  <c r="P173" i="3"/>
  <c r="N188" i="3"/>
  <c r="M223" i="3"/>
  <c r="Q270" i="3"/>
  <c r="K300" i="3"/>
  <c r="S316" i="3"/>
  <c r="U217" i="3"/>
  <c r="N254" i="3"/>
  <c r="Q275" i="3"/>
  <c r="V298" i="3"/>
  <c r="P320" i="3"/>
  <c r="S209" i="3"/>
  <c r="N250" i="3"/>
  <c r="P277" i="3"/>
  <c r="V295" i="3"/>
  <c r="P317" i="3"/>
  <c r="J220" i="3"/>
  <c r="P245" i="3"/>
  <c r="T270" i="3"/>
  <c r="Q143" i="3"/>
  <c r="V218" i="3"/>
  <c r="T249" i="3"/>
  <c r="J274" i="3"/>
  <c r="T145" i="3"/>
  <c r="M225" i="3"/>
  <c r="J254" i="3"/>
  <c r="U272" i="3"/>
  <c r="Q241" i="3"/>
  <c r="R295" i="3"/>
  <c r="V206" i="3"/>
  <c r="U286" i="3"/>
  <c r="R309" i="3"/>
  <c r="J326" i="3"/>
  <c r="L340" i="3"/>
  <c r="N354" i="3"/>
  <c r="O365" i="3"/>
  <c r="Y365" i="3" s="1"/>
  <c r="N378" i="3"/>
  <c r="L388" i="3"/>
  <c r="Q245" i="3"/>
  <c r="K288" i="3"/>
  <c r="S303" i="3"/>
  <c r="N239" i="3"/>
  <c r="R285" i="3"/>
  <c r="U301" i="3"/>
  <c r="S317" i="3"/>
  <c r="U329" i="3"/>
  <c r="S339" i="3"/>
  <c r="Q349" i="3"/>
  <c r="O359" i="3"/>
  <c r="M369" i="3"/>
  <c r="K379" i="3"/>
  <c r="V388" i="3"/>
  <c r="N253" i="3"/>
  <c r="P290" i="3"/>
  <c r="K306" i="3"/>
  <c r="V321" i="3"/>
  <c r="P332" i="3"/>
  <c r="N342" i="3"/>
  <c r="L352" i="3"/>
  <c r="J362" i="3"/>
  <c r="U371" i="3"/>
  <c r="S381" i="3"/>
  <c r="L212" i="3"/>
  <c r="S272" i="3"/>
  <c r="N296" i="3"/>
  <c r="L312" i="3"/>
  <c r="O326" i="3"/>
  <c r="Y326" i="3" s="1"/>
  <c r="M336" i="3"/>
  <c r="K346" i="3"/>
  <c r="V355" i="3"/>
  <c r="T365" i="3"/>
  <c r="R375" i="3"/>
  <c r="J111" i="3"/>
  <c r="U147" i="3"/>
  <c r="K276" i="3"/>
  <c r="Q195" i="3"/>
  <c r="N290" i="3"/>
  <c r="O223" i="3"/>
  <c r="U292" i="3"/>
  <c r="V236" i="3"/>
  <c r="O153" i="3"/>
  <c r="M266" i="3"/>
  <c r="U245" i="3"/>
  <c r="T244" i="3"/>
  <c r="K271" i="3"/>
  <c r="M335" i="3"/>
  <c r="K369" i="3"/>
  <c r="O221" i="3"/>
  <c r="L200" i="3"/>
  <c r="V302" i="3"/>
  <c r="J336" i="3"/>
  <c r="V364" i="3"/>
  <c r="P133" i="3"/>
  <c r="N300" i="3"/>
  <c r="J338" i="3"/>
  <c r="R362" i="3"/>
  <c r="U387" i="3"/>
  <c r="N305" i="3"/>
  <c r="U336" i="3"/>
  <c r="K362" i="3"/>
  <c r="K386" i="3"/>
  <c r="L337" i="3"/>
  <c r="Q376" i="3"/>
  <c r="L402" i="3"/>
  <c r="L418" i="3"/>
  <c r="L434" i="3"/>
  <c r="T450" i="3"/>
  <c r="L466" i="3"/>
  <c r="Q481" i="3"/>
  <c r="V496" i="3"/>
  <c r="S328" i="3"/>
  <c r="V361" i="3"/>
  <c r="Q390" i="3"/>
  <c r="V405" i="3"/>
  <c r="N421" i="3"/>
  <c r="N437" i="3"/>
  <c r="L314" i="3"/>
  <c r="R348" i="3"/>
  <c r="O379" i="3"/>
  <c r="Y379" i="3" s="1"/>
  <c r="M399" i="3"/>
  <c r="M415" i="3"/>
  <c r="U431" i="3"/>
  <c r="M447" i="3"/>
  <c r="M297" i="3"/>
  <c r="N341" i="3"/>
  <c r="N373" i="3"/>
  <c r="P397" i="3"/>
  <c r="U412" i="3"/>
  <c r="M428" i="3"/>
  <c r="R443" i="3"/>
  <c r="R320" i="3"/>
  <c r="J355" i="3"/>
  <c r="T385" i="3"/>
  <c r="P402" i="3"/>
  <c r="U417" i="3"/>
  <c r="U433" i="3"/>
  <c r="J303" i="3"/>
  <c r="T378" i="3"/>
  <c r="S424" i="3"/>
  <c r="V455" i="3"/>
  <c r="N474" i="3"/>
  <c r="N493" i="3"/>
  <c r="M509" i="3"/>
  <c r="U326" i="3"/>
  <c r="O398" i="3"/>
  <c r="N441" i="3"/>
  <c r="R459" i="3"/>
  <c r="U470" i="3"/>
  <c r="S480" i="3"/>
  <c r="Q490" i="3"/>
  <c r="M498" i="3"/>
  <c r="U506" i="3"/>
  <c r="R513" i="3"/>
  <c r="Q518" i="3"/>
  <c r="M323" i="3"/>
  <c r="M350" i="3"/>
  <c r="N376" i="3"/>
  <c r="S61" i="3"/>
  <c r="T152" i="3"/>
  <c r="P291" i="3"/>
  <c r="R219" i="3"/>
  <c r="V290" i="3"/>
  <c r="S239" i="3"/>
  <c r="P301" i="3"/>
  <c r="U243" i="3"/>
  <c r="O199" i="3"/>
  <c r="Y199" i="3" s="1"/>
  <c r="R274" i="3"/>
  <c r="R246" i="3"/>
  <c r="S287" i="3"/>
  <c r="J288" i="3"/>
  <c r="U335" i="3"/>
  <c r="J374" i="3"/>
  <c r="V248" i="3"/>
  <c r="T208" i="3"/>
  <c r="U310" i="3"/>
  <c r="N340" i="3"/>
  <c r="Q365" i="3"/>
  <c r="J228" i="3"/>
  <c r="L307" i="3"/>
  <c r="R338" i="3"/>
  <c r="Q367" i="3"/>
  <c r="P218" i="3"/>
  <c r="L306" i="3"/>
  <c r="T341" i="3"/>
  <c r="O366" i="3"/>
  <c r="R287" i="3"/>
  <c r="J347" i="3"/>
  <c r="O386" i="3"/>
  <c r="Y386" i="3" s="1"/>
  <c r="K407" i="3"/>
  <c r="P422" i="3"/>
  <c r="U437" i="3"/>
  <c r="U453" i="3"/>
  <c r="P470" i="3"/>
  <c r="U485" i="3"/>
  <c r="K272" i="3"/>
  <c r="K336" i="3"/>
  <c r="K368" i="3"/>
  <c r="U394" i="3"/>
  <c r="M410" i="3"/>
  <c r="R425" i="3"/>
  <c r="J441" i="3"/>
  <c r="U323" i="3"/>
  <c r="M357" i="3"/>
  <c r="R387" i="3"/>
  <c r="Q403" i="3"/>
  <c r="V418" i="3"/>
  <c r="V434" i="3"/>
  <c r="Q451" i="3"/>
  <c r="O316" i="3"/>
  <c r="V349" i="3"/>
  <c r="S380" i="3"/>
  <c r="Q400" i="3"/>
  <c r="L417" i="3"/>
  <c r="Q432" i="3"/>
  <c r="V447" i="3"/>
  <c r="L329" i="3"/>
  <c r="L361" i="3"/>
  <c r="O391" i="3"/>
  <c r="T406" i="3"/>
  <c r="L422" i="3"/>
  <c r="Q437" i="3"/>
  <c r="J306" i="3"/>
  <c r="L395" i="3"/>
  <c r="V435" i="3"/>
  <c r="V460" i="3"/>
  <c r="Q478" i="3"/>
  <c r="T496" i="3"/>
  <c r="Q513" i="3"/>
  <c r="N349" i="3"/>
  <c r="J410" i="3"/>
  <c r="R448" i="3"/>
  <c r="O462" i="3"/>
  <c r="S473" i="3"/>
  <c r="O481" i="3"/>
  <c r="M491" i="3"/>
  <c r="U498" i="3"/>
  <c r="P507" i="3"/>
  <c r="M514" i="3"/>
  <c r="R222" i="3"/>
  <c r="K327" i="3"/>
  <c r="J353" i="3"/>
  <c r="T379" i="3"/>
  <c r="K397" i="3"/>
  <c r="K410" i="3"/>
  <c r="P423" i="3"/>
  <c r="P436" i="3"/>
  <c r="T447" i="3"/>
  <c r="O454" i="3"/>
  <c r="O460" i="3"/>
  <c r="Y460" i="3" s="1"/>
  <c r="J466" i="3"/>
  <c r="R471" i="3"/>
  <c r="N477" i="3"/>
  <c r="V482" i="3"/>
  <c r="Q488" i="3"/>
  <c r="L494" i="3"/>
  <c r="Q499" i="3"/>
  <c r="P504" i="3"/>
  <c r="O509" i="3"/>
  <c r="N514" i="3"/>
  <c r="M519" i="3"/>
  <c r="O313" i="3"/>
  <c r="K344" i="3"/>
  <c r="L370" i="3"/>
  <c r="M392" i="3"/>
  <c r="R405" i="3"/>
  <c r="R418" i="3"/>
  <c r="R431" i="3"/>
  <c r="S444" i="3"/>
  <c r="K452" i="3"/>
  <c r="O458" i="3"/>
  <c r="J464" i="3"/>
  <c r="R469" i="3"/>
  <c r="M475" i="3"/>
  <c r="U480" i="3"/>
  <c r="Q486" i="3"/>
  <c r="L492" i="3"/>
  <c r="T497" i="3"/>
  <c r="S502" i="3"/>
  <c r="R507" i="3"/>
  <c r="Q512" i="3"/>
  <c r="P517" i="3"/>
  <c r="L290" i="3"/>
  <c r="P334" i="3"/>
  <c r="O360" i="3"/>
  <c r="Y360" i="3" s="1"/>
  <c r="J387" i="3"/>
  <c r="T400" i="3"/>
  <c r="T413" i="3"/>
  <c r="L427" i="3"/>
  <c r="L440" i="3"/>
  <c r="T449" i="3"/>
  <c r="M456" i="3"/>
  <c r="J462" i="3"/>
  <c r="R467" i="3"/>
  <c r="M473" i="3"/>
  <c r="U478" i="3"/>
  <c r="P484" i="3"/>
  <c r="K490" i="3"/>
  <c r="T495" i="3"/>
  <c r="V500" i="3"/>
  <c r="U505" i="3"/>
  <c r="T510" i="3"/>
  <c r="S515" i="3"/>
  <c r="U239" i="3"/>
  <c r="R377" i="3"/>
  <c r="V417" i="3"/>
  <c r="U449" i="3"/>
  <c r="S465" i="3"/>
  <c r="Q480" i="3"/>
  <c r="U495" i="3"/>
  <c r="K509" i="3"/>
  <c r="U520" i="3"/>
  <c r="T525" i="3"/>
  <c r="S530" i="3"/>
  <c r="R535" i="3"/>
  <c r="Q540" i="3"/>
  <c r="P545" i="3"/>
  <c r="O550" i="3"/>
  <c r="N555" i="3"/>
  <c r="M560" i="3"/>
  <c r="L565" i="3"/>
  <c r="K570" i="3"/>
  <c r="J575" i="3"/>
  <c r="V579" i="3"/>
  <c r="U584" i="3"/>
  <c r="T589" i="3"/>
  <c r="S594" i="3"/>
  <c r="R599" i="3"/>
  <c r="Q604" i="3"/>
  <c r="P609" i="3"/>
  <c r="O614" i="3"/>
  <c r="N619" i="3"/>
  <c r="M624" i="3"/>
  <c r="L629" i="3"/>
  <c r="K634" i="3"/>
  <c r="J639" i="3"/>
  <c r="V643" i="3"/>
  <c r="U648" i="3"/>
  <c r="T653" i="3"/>
  <c r="S658" i="3"/>
  <c r="R663" i="3"/>
  <c r="Q668" i="3"/>
  <c r="P673" i="3"/>
  <c r="O678" i="3"/>
  <c r="Y678" i="3" s="1"/>
  <c r="O269" i="3"/>
  <c r="Q378" i="3"/>
  <c r="L419" i="3"/>
  <c r="V449" i="3"/>
  <c r="T465" i="3"/>
  <c r="K481" i="3"/>
  <c r="V495" i="3"/>
  <c r="L509" i="3"/>
  <c r="V520" i="3"/>
  <c r="U525" i="3"/>
  <c r="T530" i="3"/>
  <c r="S535" i="3"/>
  <c r="R540" i="3"/>
  <c r="Q545" i="3"/>
  <c r="P550" i="3"/>
  <c r="O555" i="3"/>
  <c r="Y555" i="3" s="1"/>
  <c r="N560" i="3"/>
  <c r="M565" i="3"/>
  <c r="L570" i="3"/>
  <c r="K575" i="3"/>
  <c r="J580" i="3"/>
  <c r="V584" i="3"/>
  <c r="U589" i="3"/>
  <c r="T594" i="3"/>
  <c r="S599" i="3"/>
  <c r="R604" i="3"/>
  <c r="Q609" i="3"/>
  <c r="P614" i="3"/>
  <c r="O619" i="3"/>
  <c r="Y619" i="3" s="1"/>
  <c r="N624" i="3"/>
  <c r="M629" i="3"/>
  <c r="L634" i="3"/>
  <c r="K639" i="3"/>
  <c r="J644" i="3"/>
  <c r="V648" i="3"/>
  <c r="U653" i="3"/>
  <c r="T658" i="3"/>
  <c r="S663" i="3"/>
  <c r="R668" i="3"/>
  <c r="Q673" i="3"/>
  <c r="P678" i="3"/>
  <c r="O683" i="3"/>
  <c r="N688" i="3"/>
  <c r="S335" i="3"/>
  <c r="S397" i="3"/>
  <c r="M432" i="3"/>
  <c r="R456" i="3"/>
  <c r="V471" i="3"/>
  <c r="T486" i="3"/>
  <c r="L501" i="3"/>
  <c r="Q514" i="3"/>
  <c r="U522" i="3"/>
  <c r="T527" i="3"/>
  <c r="S532" i="3"/>
  <c r="R537" i="3"/>
  <c r="Q542" i="3"/>
  <c r="P547" i="3"/>
  <c r="O552" i="3"/>
  <c r="N557" i="3"/>
  <c r="M562" i="3"/>
  <c r="L567" i="3"/>
  <c r="K572" i="3"/>
  <c r="J577" i="3"/>
  <c r="V581" i="3"/>
  <c r="U586" i="3"/>
  <c r="T591" i="3"/>
  <c r="S596" i="3"/>
  <c r="R601" i="3"/>
  <c r="Q606" i="3"/>
  <c r="P611" i="3"/>
  <c r="O616" i="3"/>
  <c r="Y616" i="3" s="1"/>
  <c r="N621" i="3"/>
  <c r="M626" i="3"/>
  <c r="L631" i="3"/>
  <c r="K636" i="3"/>
  <c r="J641" i="3"/>
  <c r="V645" i="3"/>
  <c r="U650" i="3"/>
  <c r="T655" i="3"/>
  <c r="S660" i="3"/>
  <c r="R665" i="3"/>
  <c r="Q670" i="3"/>
  <c r="P675" i="3"/>
  <c r="O680" i="3"/>
  <c r="Y680" i="3" s="1"/>
  <c r="N685" i="3"/>
  <c r="M690" i="3"/>
  <c r="K364" i="3"/>
  <c r="L411" i="3"/>
  <c r="N445" i="3"/>
  <c r="T462" i="3"/>
  <c r="R477" i="3"/>
  <c r="P492" i="3"/>
  <c r="Q506" i="3"/>
  <c r="P519" i="3"/>
  <c r="T524" i="3"/>
  <c r="S529" i="3"/>
  <c r="R534" i="3"/>
  <c r="Q539" i="3"/>
  <c r="P544" i="3"/>
  <c r="O549" i="3"/>
  <c r="Y549" i="3" s="1"/>
  <c r="N554" i="3"/>
  <c r="M559" i="3"/>
  <c r="P165" i="3"/>
  <c r="O204" i="3"/>
  <c r="Y204" i="3" s="1"/>
  <c r="K292" i="3"/>
  <c r="R243" i="3"/>
  <c r="Q299" i="3"/>
  <c r="P240" i="3"/>
  <c r="S310" i="3"/>
  <c r="K252" i="3"/>
  <c r="O215" i="3"/>
  <c r="O281" i="3"/>
  <c r="Y281" i="3" s="1"/>
  <c r="T254" i="3"/>
  <c r="T288" i="3"/>
  <c r="S301" i="3"/>
  <c r="T340" i="3"/>
  <c r="R374" i="3"/>
  <c r="V273" i="3"/>
  <c r="R242" i="3"/>
  <c r="S311" i="3"/>
  <c r="M345" i="3"/>
  <c r="U369" i="3"/>
  <c r="Q232" i="3"/>
  <c r="K315" i="3"/>
  <c r="V342" i="3"/>
  <c r="L368" i="3"/>
  <c r="P250" i="3"/>
  <c r="M313" i="3"/>
  <c r="O342" i="3"/>
  <c r="N371" i="3"/>
  <c r="S291" i="3"/>
  <c r="M348" i="3"/>
  <c r="O387" i="3"/>
  <c r="Y387" i="3" s="1"/>
  <c r="S407" i="3"/>
  <c r="K423" i="3"/>
  <c r="K439" i="3"/>
  <c r="S455" i="3"/>
  <c r="K471" i="3"/>
  <c r="P486" i="3"/>
  <c r="V281" i="3"/>
  <c r="Q338" i="3"/>
  <c r="T371" i="3"/>
  <c r="P395" i="3"/>
  <c r="U410" i="3"/>
  <c r="M426" i="3"/>
  <c r="M442" i="3"/>
  <c r="S327" i="3"/>
  <c r="P358" i="3"/>
  <c r="Q388" i="3"/>
  <c r="L404" i="3"/>
  <c r="L420" i="3"/>
  <c r="T436" i="3"/>
  <c r="L452" i="3"/>
  <c r="N318" i="3"/>
  <c r="L351" i="3"/>
  <c r="L383" i="3"/>
  <c r="O402" i="3"/>
  <c r="Y402" i="3" s="1"/>
  <c r="T417" i="3"/>
  <c r="L433" i="3"/>
  <c r="Q184" i="3"/>
  <c r="R331" i="3"/>
  <c r="U364" i="3"/>
  <c r="J392" i="3"/>
  <c r="O407" i="3"/>
  <c r="Y407" i="3" s="1"/>
  <c r="T422" i="3"/>
  <c r="T438" i="3"/>
  <c r="S322" i="3"/>
  <c r="Q396" i="3"/>
  <c r="S437" i="3"/>
  <c r="R461" i="3"/>
  <c r="V479" i="3"/>
  <c r="T498" i="3"/>
  <c r="L514" i="3"/>
  <c r="V352" i="3"/>
  <c r="T411" i="3"/>
  <c r="M450" i="3"/>
  <c r="L463" i="3"/>
  <c r="O474" i="3"/>
  <c r="K482" i="3"/>
  <c r="V491" i="3"/>
  <c r="N501" i="3"/>
  <c r="K508" i="3"/>
  <c r="U514" i="3"/>
  <c r="N256" i="3"/>
  <c r="Q330" i="3"/>
  <c r="R356" i="3"/>
  <c r="Q382" i="3"/>
  <c r="U398" i="3"/>
  <c r="U411" i="3"/>
  <c r="U424" i="3"/>
  <c r="M438" i="3"/>
  <c r="S448" i="3"/>
  <c r="N455" i="3"/>
  <c r="K461" i="3"/>
  <c r="S466" i="3"/>
  <c r="O472" i="3"/>
  <c r="Y472" i="3" s="1"/>
  <c r="J478" i="3"/>
  <c r="R483" i="3"/>
  <c r="M489" i="3"/>
  <c r="U494" i="3"/>
  <c r="L500" i="3"/>
  <c r="K505" i="3"/>
  <c r="J510" i="3"/>
  <c r="V514" i="3"/>
  <c r="U519" i="3"/>
  <c r="K319" i="3"/>
  <c r="U346" i="3"/>
  <c r="R373" i="3"/>
  <c r="J394" i="3"/>
  <c r="J407" i="3"/>
  <c r="O420" i="3"/>
  <c r="O433" i="3"/>
  <c r="Y433" i="3" s="1"/>
  <c r="V445" i="3"/>
  <c r="V452" i="3"/>
  <c r="K459" i="3"/>
  <c r="S464" i="3"/>
  <c r="N470" i="3"/>
  <c r="V475" i="3"/>
  <c r="R481" i="3"/>
  <c r="M487" i="3"/>
  <c r="U492" i="3"/>
  <c r="O498" i="3"/>
  <c r="N503" i="3"/>
  <c r="M508" i="3"/>
  <c r="L513" i="3"/>
  <c r="K518" i="3"/>
  <c r="L299" i="3"/>
  <c r="V337" i="3"/>
  <c r="J364" i="3"/>
  <c r="K389" i="3"/>
  <c r="Q402" i="3"/>
  <c r="Q415" i="3"/>
  <c r="Q428" i="3"/>
  <c r="V441" i="3"/>
  <c r="Q450" i="3"/>
  <c r="K457" i="3"/>
  <c r="S462" i="3"/>
  <c r="N468" i="3"/>
  <c r="V473" i="3"/>
  <c r="Q479" i="3"/>
  <c r="L485" i="3"/>
  <c r="U490" i="3"/>
  <c r="P496" i="3"/>
  <c r="Q501" i="3"/>
  <c r="P506" i="3"/>
  <c r="O511" i="3"/>
  <c r="N516" i="3"/>
  <c r="O311" i="3"/>
  <c r="L387" i="3"/>
  <c r="O422" i="3"/>
  <c r="S451" i="3"/>
  <c r="S467" i="3"/>
  <c r="Q482" i="3"/>
  <c r="O497" i="3"/>
  <c r="U510" i="3"/>
  <c r="P521" i="3"/>
  <c r="O526" i="3"/>
  <c r="N531" i="3"/>
  <c r="M536" i="3"/>
  <c r="L541" i="3"/>
  <c r="K546" i="3"/>
  <c r="J551" i="3"/>
  <c r="V555" i="3"/>
  <c r="U560" i="3"/>
  <c r="T565" i="3"/>
  <c r="S570" i="3"/>
  <c r="R575" i="3"/>
  <c r="Q580" i="3"/>
  <c r="P585" i="3"/>
  <c r="O590" i="3"/>
  <c r="N595" i="3"/>
  <c r="M600" i="3"/>
  <c r="L605" i="3"/>
  <c r="K610" i="3"/>
  <c r="J615" i="3"/>
  <c r="V619" i="3"/>
  <c r="U624" i="3"/>
  <c r="T629" i="3"/>
  <c r="S634" i="3"/>
  <c r="R639" i="3"/>
  <c r="Q644" i="3"/>
  <c r="P649" i="3"/>
  <c r="O654" i="3"/>
  <c r="N659" i="3"/>
  <c r="M664" i="3"/>
  <c r="L669" i="3"/>
  <c r="K674" i="3"/>
  <c r="J679" i="3"/>
  <c r="M315" i="3"/>
  <c r="N387" i="3"/>
  <c r="U422" i="3"/>
  <c r="N452" i="3"/>
  <c r="T467" i="3"/>
  <c r="R482" i="3"/>
  <c r="V497" i="3"/>
  <c r="V510" i="3"/>
  <c r="Q521" i="3"/>
  <c r="P526" i="3"/>
  <c r="O531" i="3"/>
  <c r="N536" i="3"/>
  <c r="M541" i="3"/>
  <c r="L546" i="3"/>
  <c r="K551" i="3"/>
  <c r="J556" i="3"/>
  <c r="V560" i="3"/>
  <c r="U565" i="3"/>
  <c r="T570" i="3"/>
  <c r="S575" i="3"/>
  <c r="R580" i="3"/>
  <c r="Q585" i="3"/>
  <c r="P590" i="3"/>
  <c r="O595" i="3"/>
  <c r="Y595" i="3" s="1"/>
  <c r="N600" i="3"/>
  <c r="M605" i="3"/>
  <c r="L610" i="3"/>
  <c r="K615" i="3"/>
  <c r="J620" i="3"/>
  <c r="V624" i="3"/>
  <c r="U629" i="3"/>
  <c r="T634" i="3"/>
  <c r="S639" i="3"/>
  <c r="R644" i="3"/>
  <c r="Q649" i="3"/>
  <c r="P654" i="3"/>
  <c r="O659" i="3"/>
  <c r="Y659" i="3" s="1"/>
  <c r="N664" i="3"/>
  <c r="M669" i="3"/>
  <c r="L674" i="3"/>
  <c r="K679" i="3"/>
  <c r="J684" i="3"/>
  <c r="V688" i="3"/>
  <c r="N345" i="3"/>
  <c r="O401" i="3"/>
  <c r="Y401" i="3" s="1"/>
  <c r="K437" i="3"/>
  <c r="R458" i="3"/>
  <c r="P473" i="3"/>
  <c r="T488" i="3"/>
  <c r="V502" i="3"/>
  <c r="V515" i="3"/>
  <c r="P523" i="3"/>
  <c r="O528" i="3"/>
  <c r="Y528" i="3" s="1"/>
  <c r="N533" i="3"/>
  <c r="M538" i="3"/>
  <c r="L543" i="3"/>
  <c r="K548" i="3"/>
  <c r="J553" i="3"/>
  <c r="V557" i="3"/>
  <c r="U562" i="3"/>
  <c r="T567" i="3"/>
  <c r="S572" i="3"/>
  <c r="R577" i="3"/>
  <c r="Q582" i="3"/>
  <c r="P587" i="3"/>
  <c r="O592" i="3"/>
  <c r="N597" i="3"/>
  <c r="M602" i="3"/>
  <c r="L607" i="3"/>
  <c r="K612" i="3"/>
  <c r="J617" i="3"/>
  <c r="V621" i="3"/>
  <c r="U626" i="3"/>
  <c r="T631" i="3"/>
  <c r="S636" i="3"/>
  <c r="R641" i="3"/>
  <c r="Q646" i="3"/>
  <c r="P651" i="3"/>
  <c r="O656" i="3"/>
  <c r="Y656" i="3" s="1"/>
  <c r="N661" i="3"/>
  <c r="M666" i="3"/>
  <c r="L671" i="3"/>
  <c r="K676" i="3"/>
  <c r="J681" i="3"/>
  <c r="V685" i="3"/>
  <c r="U690" i="3"/>
  <c r="P371" i="3"/>
  <c r="R415" i="3"/>
  <c r="M448" i="3"/>
  <c r="O464" i="3"/>
  <c r="Y464" i="3" s="1"/>
  <c r="R479" i="3"/>
  <c r="Q494" i="3"/>
  <c r="V507" i="3"/>
  <c r="N520" i="3"/>
  <c r="O525" i="3"/>
  <c r="N530" i="3"/>
  <c r="M535" i="3"/>
  <c r="L540" i="3"/>
  <c r="K545" i="3"/>
  <c r="J550" i="3"/>
  <c r="V554" i="3"/>
  <c r="U559" i="3"/>
  <c r="L237" i="3"/>
  <c r="R235" i="3"/>
  <c r="P315" i="3"/>
  <c r="P267" i="3"/>
  <c r="N322" i="3"/>
  <c r="N271" i="3"/>
  <c r="S190" i="3"/>
  <c r="O271" i="3"/>
  <c r="O242" i="3"/>
  <c r="Y242" i="3" s="1"/>
  <c r="V210" i="3"/>
  <c r="T277" i="3"/>
  <c r="R186" i="3"/>
  <c r="P319" i="3"/>
  <c r="V354" i="3"/>
  <c r="P384" i="3"/>
  <c r="U296" i="3"/>
  <c r="J287" i="3"/>
  <c r="L326" i="3"/>
  <c r="K355" i="3"/>
  <c r="S379" i="3"/>
  <c r="L282" i="3"/>
  <c r="L328" i="3"/>
  <c r="T352" i="3"/>
  <c r="J378" i="3"/>
  <c r="P289" i="3"/>
  <c r="J327" i="3"/>
  <c r="M352" i="3"/>
  <c r="L381" i="3"/>
  <c r="N327" i="3"/>
  <c r="S366" i="3"/>
  <c r="M397" i="3"/>
  <c r="P414" i="3"/>
  <c r="K431" i="3"/>
  <c r="P446" i="3"/>
  <c r="U461" i="3"/>
  <c r="M477" i="3"/>
  <c r="M493" i="3"/>
  <c r="U321" i="3"/>
  <c r="N353" i="3"/>
  <c r="K384" i="3"/>
  <c r="R401" i="3"/>
  <c r="R417" i="3"/>
  <c r="M434" i="3"/>
  <c r="Q292" i="3"/>
  <c r="J340" i="3"/>
  <c r="T370" i="3"/>
  <c r="Q395" i="3"/>
  <c r="L412" i="3"/>
  <c r="Q427" i="3"/>
  <c r="V442" i="3"/>
  <c r="L236" i="3"/>
  <c r="V333" i="3"/>
  <c r="L367" i="3"/>
  <c r="L393" i="3"/>
  <c r="Q408" i="3"/>
  <c r="V423" i="3"/>
  <c r="V439" i="3"/>
  <c r="T310" i="3"/>
  <c r="O346" i="3"/>
  <c r="L377" i="3"/>
  <c r="L398" i="3"/>
  <c r="L414" i="3"/>
  <c r="T430" i="3"/>
  <c r="L129" i="3"/>
  <c r="P355" i="3"/>
  <c r="K413" i="3"/>
  <c r="J451" i="3"/>
  <c r="T470" i="3"/>
  <c r="O488" i="3"/>
  <c r="V504" i="3"/>
  <c r="K254" i="3"/>
  <c r="M388" i="3"/>
  <c r="U432" i="3"/>
  <c r="T456" i="3"/>
  <c r="K468" i="3"/>
  <c r="P476" i="3"/>
  <c r="N486" i="3"/>
  <c r="L496" i="3"/>
  <c r="L503" i="3"/>
  <c r="T511" i="3"/>
  <c r="S516" i="3"/>
  <c r="K307" i="3"/>
  <c r="O340" i="3"/>
  <c r="P366" i="3"/>
  <c r="O390" i="3"/>
  <c r="T403" i="3"/>
  <c r="T416" i="3"/>
  <c r="T429" i="3"/>
  <c r="L443" i="3"/>
  <c r="L451" i="3"/>
  <c r="R457" i="3"/>
  <c r="M463" i="3"/>
  <c r="U468" i="3"/>
  <c r="P474" i="3"/>
  <c r="K480" i="3"/>
  <c r="S485" i="3"/>
  <c r="N491" i="3"/>
  <c r="J497" i="3"/>
  <c r="J502" i="3"/>
  <c r="V506" i="3"/>
  <c r="U511" i="3"/>
  <c r="T516" i="3"/>
  <c r="L266" i="3"/>
  <c r="T330" i="3"/>
  <c r="S356" i="3"/>
  <c r="P383" i="3"/>
  <c r="V398" i="3"/>
  <c r="V411" i="3"/>
  <c r="N425" i="3"/>
  <c r="N438" i="3"/>
  <c r="T448" i="3"/>
  <c r="O455" i="3"/>
  <c r="L461" i="3"/>
  <c r="U466" i="3"/>
  <c r="P472" i="3"/>
  <c r="K478" i="3"/>
  <c r="S483" i="3"/>
  <c r="N489" i="3"/>
  <c r="V494" i="3"/>
  <c r="M500" i="3"/>
  <c r="L505" i="3"/>
  <c r="K510" i="3"/>
  <c r="J515" i="3"/>
  <c r="V519" i="3"/>
  <c r="O319" i="3"/>
  <c r="T347" i="3"/>
  <c r="U373" i="3"/>
  <c r="K394" i="3"/>
  <c r="P407" i="3"/>
  <c r="P420" i="3"/>
  <c r="P433" i="3"/>
  <c r="L446" i="3"/>
  <c r="J453" i="3"/>
  <c r="L459" i="3"/>
  <c r="T464" i="3"/>
  <c r="O470" i="3"/>
  <c r="K476" i="3"/>
  <c r="S481" i="3"/>
  <c r="N487" i="3"/>
  <c r="V492" i="3"/>
  <c r="P498" i="3"/>
  <c r="O503" i="3"/>
  <c r="Y503" i="3" s="1"/>
  <c r="N508" i="3"/>
  <c r="M513" i="3"/>
  <c r="L518" i="3"/>
  <c r="V341" i="3"/>
  <c r="U400" i="3"/>
  <c r="T435" i="3"/>
  <c r="J458" i="3"/>
  <c r="N473" i="3"/>
  <c r="L488" i="3"/>
  <c r="O502" i="3"/>
  <c r="T515" i="3"/>
  <c r="N523" i="3"/>
  <c r="M528" i="3"/>
  <c r="L533" i="3"/>
  <c r="K538" i="3"/>
  <c r="J543" i="3"/>
  <c r="V547" i="3"/>
  <c r="U552" i="3"/>
  <c r="T557" i="3"/>
  <c r="S562" i="3"/>
  <c r="N120" i="3"/>
  <c r="Q257" i="3"/>
  <c r="R57" i="3"/>
  <c r="N274" i="3"/>
  <c r="R173" i="3"/>
  <c r="K278" i="3"/>
  <c r="R198" i="3"/>
  <c r="S283" i="3"/>
  <c r="R250" i="3"/>
  <c r="N212" i="3"/>
  <c r="T185" i="3"/>
  <c r="Q238" i="3"/>
  <c r="S324" i="3"/>
  <c r="P360" i="3"/>
  <c r="T388" i="3"/>
  <c r="V297" i="3"/>
  <c r="J295" i="3"/>
  <c r="P330" i="3"/>
  <c r="S355" i="3"/>
  <c r="R384" i="3"/>
  <c r="N291" i="3"/>
  <c r="T328" i="3"/>
  <c r="S357" i="3"/>
  <c r="N382" i="3"/>
  <c r="Q290" i="3"/>
  <c r="V331" i="3"/>
  <c r="Q356" i="3"/>
  <c r="T381" i="3"/>
  <c r="Q328" i="3"/>
  <c r="V367" i="3"/>
  <c r="U397" i="3"/>
  <c r="N416" i="3"/>
  <c r="S431" i="3"/>
  <c r="K447" i="3"/>
  <c r="P462" i="3"/>
  <c r="P478" i="3"/>
  <c r="K495" i="3"/>
  <c r="R323" i="3"/>
  <c r="Q354" i="3"/>
  <c r="N385" i="3"/>
  <c r="U402" i="3"/>
  <c r="P419" i="3"/>
  <c r="U434" i="3"/>
  <c r="R296" i="3"/>
  <c r="M341" i="3"/>
  <c r="M373" i="3"/>
  <c r="O397" i="3"/>
  <c r="Y397" i="3" s="1"/>
  <c r="T412" i="3"/>
  <c r="L428" i="3"/>
  <c r="Q443" i="3"/>
  <c r="T262" i="3"/>
  <c r="R337" i="3"/>
  <c r="O368" i="3"/>
  <c r="Y368" i="3" s="1"/>
  <c r="T393" i="3"/>
  <c r="L409" i="3"/>
  <c r="L425" i="3"/>
  <c r="T441" i="3"/>
  <c r="S312" i="3"/>
  <c r="R347" i="3"/>
  <c r="O378" i="3"/>
  <c r="Y378" i="3" s="1"/>
  <c r="O399" i="3"/>
  <c r="Y399" i="3" s="1"/>
  <c r="J416" i="3"/>
  <c r="O431" i="3"/>
  <c r="J241" i="3"/>
  <c r="K359" i="3"/>
  <c r="M416" i="3"/>
  <c r="P453" i="3"/>
  <c r="P471" i="3"/>
  <c r="K489" i="3"/>
  <c r="Q505" i="3"/>
  <c r="K295" i="3"/>
  <c r="P393" i="3"/>
  <c r="R434" i="3"/>
  <c r="P457" i="3"/>
  <c r="T468" i="3"/>
  <c r="N479" i="3"/>
  <c r="J487" i="3"/>
  <c r="U496" i="3"/>
  <c r="T503" i="3"/>
  <c r="O512" i="3"/>
  <c r="N517" i="3"/>
  <c r="N313" i="3"/>
  <c r="L343" i="3"/>
  <c r="V369" i="3"/>
  <c r="L392" i="3"/>
  <c r="Q231" i="3"/>
  <c r="R187" i="3"/>
  <c r="J270" i="3"/>
  <c r="U228" i="3"/>
  <c r="O196" i="3"/>
  <c r="J350" i="3"/>
  <c r="U268" i="3"/>
  <c r="J360" i="3"/>
  <c r="T322" i="3"/>
  <c r="U253" i="3"/>
  <c r="P361" i="3"/>
  <c r="U356" i="3"/>
  <c r="L426" i="3"/>
  <c r="Q465" i="3"/>
  <c r="V307" i="3"/>
  <c r="S396" i="3"/>
  <c r="K436" i="3"/>
  <c r="O363" i="3"/>
  <c r="Y363" i="3" s="1"/>
  <c r="R422" i="3"/>
  <c r="L293" i="3"/>
  <c r="R388" i="3"/>
  <c r="J435" i="3"/>
  <c r="N351" i="3"/>
  <c r="K411" i="3"/>
  <c r="Q329" i="3"/>
  <c r="J455" i="3"/>
  <c r="R500" i="3"/>
  <c r="U419" i="3"/>
  <c r="L470" i="3"/>
  <c r="O493" i="3"/>
  <c r="P515" i="3"/>
  <c r="T346" i="3"/>
  <c r="M400" i="3"/>
  <c r="V419" i="3"/>
  <c r="O441" i="3"/>
  <c r="Y441" i="3" s="1"/>
  <c r="R453" i="3"/>
  <c r="V463" i="3"/>
  <c r="K473" i="3"/>
  <c r="P481" i="3"/>
  <c r="R490" i="3"/>
  <c r="V498" i="3"/>
  <c r="Q507" i="3"/>
  <c r="Q515" i="3"/>
  <c r="Q298" i="3"/>
  <c r="V353" i="3"/>
  <c r="U390" i="3"/>
  <c r="S413" i="3"/>
  <c r="L435" i="3"/>
  <c r="P450" i="3"/>
  <c r="P460" i="3"/>
  <c r="V468" i="3"/>
  <c r="T478" i="3"/>
  <c r="V487" i="3"/>
  <c r="O496" i="3"/>
  <c r="Q504" i="3"/>
  <c r="V511" i="3"/>
  <c r="Q520" i="3"/>
  <c r="S340" i="3"/>
  <c r="K380" i="3"/>
  <c r="S405" i="3"/>
  <c r="O425" i="3"/>
  <c r="Y425" i="3" s="1"/>
  <c r="J447" i="3"/>
  <c r="T457" i="3"/>
  <c r="M466" i="3"/>
  <c r="N475" i="3"/>
  <c r="T483" i="3"/>
  <c r="R493" i="3"/>
  <c r="L502" i="3"/>
  <c r="Q509" i="3"/>
  <c r="Q517" i="3"/>
  <c r="S368" i="3"/>
  <c r="M440" i="3"/>
  <c r="N469" i="3"/>
  <c r="T491" i="3"/>
  <c r="J514" i="3"/>
  <c r="L525" i="3"/>
  <c r="T533" i="3"/>
  <c r="T541" i="3"/>
  <c r="L549" i="3"/>
  <c r="L557" i="3"/>
  <c r="Q564" i="3"/>
  <c r="V571" i="3"/>
  <c r="K578" i="3"/>
  <c r="M584" i="3"/>
  <c r="R591" i="3"/>
  <c r="T597" i="3"/>
  <c r="V603" i="3"/>
  <c r="N611" i="3"/>
  <c r="P617" i="3"/>
  <c r="R623" i="3"/>
  <c r="J631" i="3"/>
  <c r="L637" i="3"/>
  <c r="N643" i="3"/>
  <c r="S650" i="3"/>
  <c r="U656" i="3"/>
  <c r="J663" i="3"/>
  <c r="O670" i="3"/>
  <c r="Q676" i="3"/>
  <c r="S682" i="3"/>
  <c r="P396" i="3"/>
  <c r="S440" i="3"/>
  <c r="L464" i="3"/>
  <c r="S486" i="3"/>
  <c r="M504" i="3"/>
  <c r="L520" i="3"/>
  <c r="S527" i="3"/>
  <c r="U533" i="3"/>
  <c r="J540" i="3"/>
  <c r="O547" i="3"/>
  <c r="Y547" i="3" s="1"/>
  <c r="Q553" i="3"/>
  <c r="S559" i="3"/>
  <c r="K567" i="3"/>
  <c r="M573" i="3"/>
  <c r="O579" i="3"/>
  <c r="Y579" i="3" s="1"/>
  <c r="T586" i="3"/>
  <c r="V592" i="3"/>
  <c r="K599" i="3"/>
  <c r="P606" i="3"/>
  <c r="R612" i="3"/>
  <c r="T618" i="3"/>
  <c r="L626" i="3"/>
  <c r="N632" i="3"/>
  <c r="P638" i="3"/>
  <c r="U645" i="3"/>
  <c r="J652" i="3"/>
  <c r="L658" i="3"/>
  <c r="Q665" i="3"/>
  <c r="S671" i="3"/>
  <c r="U677" i="3"/>
  <c r="M685" i="3"/>
  <c r="R290" i="3"/>
  <c r="U392" i="3"/>
  <c r="L445" i="3"/>
  <c r="N466" i="3"/>
  <c r="T484" i="3"/>
  <c r="K506" i="3"/>
  <c r="J521" i="3"/>
  <c r="L527" i="3"/>
  <c r="Q534" i="3"/>
  <c r="S540" i="3"/>
  <c r="U546" i="3"/>
  <c r="M554" i="3"/>
  <c r="O560" i="3"/>
  <c r="Y560" i="3" s="1"/>
  <c r="Q566" i="3"/>
  <c r="V573" i="3"/>
  <c r="K580" i="3"/>
  <c r="M586" i="3"/>
  <c r="R593" i="3"/>
  <c r="T599" i="3"/>
  <c r="V605" i="3"/>
  <c r="N613" i="3"/>
  <c r="P619" i="3"/>
  <c r="R625" i="3"/>
  <c r="J633" i="3"/>
  <c r="L639" i="3"/>
  <c r="N645" i="3"/>
  <c r="S652" i="3"/>
  <c r="U658" i="3"/>
  <c r="J665" i="3"/>
  <c r="O672" i="3"/>
  <c r="Y672" i="3" s="1"/>
  <c r="Q678" i="3"/>
  <c r="S684" i="3"/>
  <c r="V316" i="3"/>
  <c r="T397" i="3"/>
  <c r="J442" i="3"/>
  <c r="O468" i="3"/>
  <c r="U486" i="3"/>
  <c r="T504" i="3"/>
  <c r="S521" i="3"/>
  <c r="U527" i="3"/>
  <c r="J534" i="3"/>
  <c r="O541" i="3"/>
  <c r="Q547" i="3"/>
  <c r="S553" i="3"/>
  <c r="K561" i="3"/>
  <c r="J566" i="3"/>
  <c r="V570" i="3"/>
  <c r="U575" i="3"/>
  <c r="T580" i="3"/>
  <c r="S585" i="3"/>
  <c r="R590" i="3"/>
  <c r="Q595" i="3"/>
  <c r="P600" i="3"/>
  <c r="O605" i="3"/>
  <c r="Y605" i="3" s="1"/>
  <c r="N610" i="3"/>
  <c r="M615" i="3"/>
  <c r="L620" i="3"/>
  <c r="K625" i="3"/>
  <c r="J630" i="3"/>
  <c r="V634" i="3"/>
  <c r="U639" i="3"/>
  <c r="T644" i="3"/>
  <c r="S649" i="3"/>
  <c r="R654" i="3"/>
  <c r="Q659" i="3"/>
  <c r="P664" i="3"/>
  <c r="O669" i="3"/>
  <c r="N674" i="3"/>
  <c r="M679" i="3"/>
  <c r="L684" i="3"/>
  <c r="K689" i="3"/>
  <c r="O355" i="3"/>
  <c r="Q407" i="3"/>
  <c r="K442" i="3"/>
  <c r="U460" i="3"/>
  <c r="L476" i="3"/>
  <c r="J491" i="3"/>
  <c r="U504" i="3"/>
  <c r="M518" i="3"/>
  <c r="M524" i="3"/>
  <c r="L529" i="3"/>
  <c r="K534" i="3"/>
  <c r="J539" i="3"/>
  <c r="V543" i="3"/>
  <c r="U548" i="3"/>
  <c r="T553" i="3"/>
  <c r="S558" i="3"/>
  <c r="R563" i="3"/>
  <c r="Q568" i="3"/>
  <c r="P573" i="3"/>
  <c r="O578" i="3"/>
  <c r="N583" i="3"/>
  <c r="M588" i="3"/>
  <c r="L593" i="3"/>
  <c r="K598" i="3"/>
  <c r="J603" i="3"/>
  <c r="V607" i="3"/>
  <c r="U612" i="3"/>
  <c r="T617" i="3"/>
  <c r="S622" i="3"/>
  <c r="R627" i="3"/>
  <c r="Q632" i="3"/>
  <c r="P637" i="3"/>
  <c r="O642" i="3"/>
  <c r="Y642" i="3" s="1"/>
  <c r="N647" i="3"/>
  <c r="M652" i="3"/>
  <c r="L657" i="3"/>
  <c r="K662" i="3"/>
  <c r="J667" i="3"/>
  <c r="V671" i="3"/>
  <c r="U676" i="3"/>
  <c r="T681" i="3"/>
  <c r="S686" i="3"/>
  <c r="M321" i="3"/>
  <c r="T389" i="3"/>
  <c r="P425" i="3"/>
  <c r="L453" i="3"/>
  <c r="Q468" i="3"/>
  <c r="U483" i="3"/>
  <c r="R498" i="3"/>
  <c r="R511" i="3"/>
  <c r="U521" i="3"/>
  <c r="T526" i="3"/>
  <c r="S531" i="3"/>
  <c r="R536" i="3"/>
  <c r="Q541" i="3"/>
  <c r="P546" i="3"/>
  <c r="O551" i="3"/>
  <c r="Y551" i="3" s="1"/>
  <c r="N556" i="3"/>
  <c r="M561" i="3"/>
  <c r="L566" i="3"/>
  <c r="K571" i="3"/>
  <c r="J576" i="3"/>
  <c r="V580" i="3"/>
  <c r="U585" i="3"/>
  <c r="T590" i="3"/>
  <c r="S595" i="3"/>
  <c r="R600" i="3"/>
  <c r="Q605" i="3"/>
  <c r="P610" i="3"/>
  <c r="O615" i="3"/>
  <c r="Y615" i="3" s="1"/>
  <c r="N620" i="3"/>
  <c r="M625" i="3"/>
  <c r="L630" i="3"/>
  <c r="K635" i="3"/>
  <c r="J640" i="3"/>
  <c r="V644" i="3"/>
  <c r="U649" i="3"/>
  <c r="T654" i="3"/>
  <c r="S659" i="3"/>
  <c r="R664" i="3"/>
  <c r="Q669" i="3"/>
  <c r="P674" i="3"/>
  <c r="O679" i="3"/>
  <c r="N684" i="3"/>
  <c r="M689" i="3"/>
  <c r="J349" i="3"/>
  <c r="O404" i="3"/>
  <c r="Y404" i="3" s="1"/>
  <c r="V438" i="3"/>
  <c r="P459" i="3"/>
  <c r="S474" i="3"/>
  <c r="R489" i="3"/>
  <c r="R503" i="3"/>
  <c r="J517" i="3"/>
  <c r="T523" i="3"/>
  <c r="S528" i="3"/>
  <c r="R533" i="3"/>
  <c r="Q538" i="3"/>
  <c r="P543" i="3"/>
  <c r="L469" i="3"/>
  <c r="S541" i="3"/>
  <c r="M563" i="3"/>
  <c r="V582" i="3"/>
  <c r="R602" i="3"/>
  <c r="N622" i="3"/>
  <c r="J642" i="3"/>
  <c r="Q202" i="3"/>
  <c r="P244" i="3"/>
  <c r="N287" i="3"/>
  <c r="V239" i="3"/>
  <c r="S296" i="3"/>
  <c r="L364" i="3"/>
  <c r="S271" i="3"/>
  <c r="T374" i="3"/>
  <c r="K333" i="3"/>
  <c r="L275" i="3"/>
  <c r="V371" i="3"/>
  <c r="N375" i="3"/>
  <c r="T426" i="3"/>
  <c r="N472" i="3"/>
  <c r="M326" i="3"/>
  <c r="V397" i="3"/>
  <c r="T171" i="3"/>
  <c r="L378" i="3"/>
  <c r="M423" i="3"/>
  <c r="V323" i="3"/>
  <c r="R395" i="3"/>
  <c r="U436" i="3"/>
  <c r="N367" i="3"/>
  <c r="M417" i="3"/>
  <c r="J333" i="3"/>
  <c r="L465" i="3"/>
  <c r="R508" i="3"/>
  <c r="R421" i="3"/>
  <c r="K475" i="3"/>
  <c r="R497" i="3"/>
  <c r="K516" i="3"/>
  <c r="K360" i="3"/>
  <c r="J402" i="3"/>
  <c r="S421" i="3"/>
  <c r="Q444" i="3"/>
  <c r="K456" i="3"/>
  <c r="R464" i="3"/>
  <c r="T473" i="3"/>
  <c r="M482" i="3"/>
  <c r="K492" i="3"/>
  <c r="T500" i="3"/>
  <c r="L508" i="3"/>
  <c r="L516" i="3"/>
  <c r="J309" i="3"/>
  <c r="N360" i="3"/>
  <c r="T395" i="3"/>
  <c r="P415" i="3"/>
  <c r="Q436" i="3"/>
  <c r="M451" i="3"/>
  <c r="V461" i="3"/>
  <c r="J471" i="3"/>
  <c r="P479" i="3"/>
  <c r="R488" i="3"/>
  <c r="K497" i="3"/>
  <c r="T505" i="3"/>
  <c r="T513" i="3"/>
  <c r="Q227" i="3"/>
  <c r="N344" i="3"/>
  <c r="S383" i="3"/>
  <c r="U408" i="3"/>
  <c r="N430" i="3"/>
  <c r="K448" i="3"/>
  <c r="P458" i="3"/>
  <c r="V466" i="3"/>
  <c r="T476" i="3"/>
  <c r="V485" i="3"/>
  <c r="N494" i="3"/>
  <c r="T502" i="3"/>
  <c r="L510" i="3"/>
  <c r="T518" i="3"/>
  <c r="Q391" i="3"/>
  <c r="V443" i="3"/>
  <c r="N471" i="3"/>
  <c r="T493" i="3"/>
  <c r="L517" i="3"/>
  <c r="J527" i="3"/>
  <c r="O534" i="3"/>
  <c r="Y534" i="3" s="1"/>
  <c r="O542" i="3"/>
  <c r="Y542" i="3" s="1"/>
  <c r="T549" i="3"/>
  <c r="O558" i="3"/>
  <c r="Y558" i="3" s="1"/>
  <c r="O566" i="3"/>
  <c r="Q572" i="3"/>
  <c r="S578" i="3"/>
  <c r="K586" i="3"/>
  <c r="M592" i="3"/>
  <c r="O598" i="3"/>
  <c r="Y598" i="3" s="1"/>
  <c r="T605" i="3"/>
  <c r="V611" i="3"/>
  <c r="K618" i="3"/>
  <c r="P625" i="3"/>
  <c r="R631" i="3"/>
  <c r="T637" i="3"/>
  <c r="L645" i="3"/>
  <c r="N651" i="3"/>
  <c r="P657" i="3"/>
  <c r="U664" i="3"/>
  <c r="J671" i="3"/>
  <c r="L677" i="3"/>
  <c r="U325" i="3"/>
  <c r="N401" i="3"/>
  <c r="K445" i="3"/>
  <c r="T469" i="3"/>
  <c r="M488" i="3"/>
  <c r="J506" i="3"/>
  <c r="L522" i="3"/>
  <c r="N528" i="3"/>
  <c r="P534" i="3"/>
  <c r="U541" i="3"/>
  <c r="J548" i="3"/>
  <c r="L554" i="3"/>
  <c r="Q561" i="3"/>
  <c r="S567" i="3"/>
  <c r="U573" i="3"/>
  <c r="M581" i="3"/>
  <c r="O587" i="3"/>
  <c r="Y587" i="3" s="1"/>
  <c r="Q593" i="3"/>
  <c r="V600" i="3"/>
  <c r="K607" i="3"/>
  <c r="M613" i="3"/>
  <c r="R620" i="3"/>
  <c r="T626" i="3"/>
  <c r="V632" i="3"/>
  <c r="N640" i="3"/>
  <c r="P646" i="3"/>
  <c r="R652" i="3"/>
  <c r="J660" i="3"/>
  <c r="L666" i="3"/>
  <c r="N672" i="3"/>
  <c r="S679" i="3"/>
  <c r="U685" i="3"/>
  <c r="N315" i="3"/>
  <c r="M406" i="3"/>
  <c r="L448" i="3"/>
  <c r="U467" i="3"/>
  <c r="O490" i="3"/>
  <c r="U507" i="3"/>
  <c r="R521" i="3"/>
  <c r="J529" i="3"/>
  <c r="L535" i="3"/>
  <c r="N541" i="3"/>
  <c r="S548" i="3"/>
  <c r="U554" i="3"/>
  <c r="J561" i="3"/>
  <c r="O568" i="3"/>
  <c r="Q574" i="3"/>
  <c r="S580" i="3"/>
  <c r="K588" i="3"/>
  <c r="M594" i="3"/>
  <c r="O600" i="3"/>
  <c r="Y600" i="3" s="1"/>
  <c r="T607" i="3"/>
  <c r="V613" i="3"/>
  <c r="K620" i="3"/>
  <c r="P627" i="3"/>
  <c r="R633" i="3"/>
  <c r="T639" i="3"/>
  <c r="L647" i="3"/>
  <c r="N653" i="3"/>
  <c r="P659" i="3"/>
  <c r="U666" i="3"/>
  <c r="J673" i="3"/>
  <c r="L679" i="3"/>
  <c r="Q686" i="3"/>
  <c r="O328" i="3"/>
  <c r="R402" i="3"/>
  <c r="R450" i="3"/>
  <c r="J470" i="3"/>
  <c r="U488" i="3"/>
  <c r="S509" i="3"/>
  <c r="N522" i="3"/>
  <c r="P528" i="3"/>
  <c r="U535" i="3"/>
  <c r="J542" i="3"/>
  <c r="L548" i="3"/>
  <c r="Q555" i="3"/>
  <c r="S561" i="3"/>
  <c r="R566" i="3"/>
  <c r="Q571" i="3"/>
  <c r="P576" i="3"/>
  <c r="O581" i="3"/>
  <c r="N586" i="3"/>
  <c r="M591" i="3"/>
  <c r="L596" i="3"/>
  <c r="K601" i="3"/>
  <c r="J606" i="3"/>
  <c r="V610" i="3"/>
  <c r="U615" i="3"/>
  <c r="T620" i="3"/>
  <c r="S625" i="3"/>
  <c r="R630" i="3"/>
  <c r="Q635" i="3"/>
  <c r="P640" i="3"/>
  <c r="O645" i="3"/>
  <c r="N650" i="3"/>
  <c r="M655" i="3"/>
  <c r="L660" i="3"/>
  <c r="K665" i="3"/>
  <c r="J670" i="3"/>
  <c r="V674" i="3"/>
  <c r="U679" i="3"/>
  <c r="T684" i="3"/>
  <c r="S689" i="3"/>
  <c r="J365" i="3"/>
  <c r="M411" i="3"/>
  <c r="M446" i="3"/>
  <c r="U462" i="3"/>
  <c r="S477" i="3"/>
  <c r="J493" i="3"/>
  <c r="R506" i="3"/>
  <c r="Q519" i="3"/>
  <c r="U524" i="3"/>
  <c r="T529" i="3"/>
  <c r="S534" i="3"/>
  <c r="R539" i="3"/>
  <c r="Q544" i="3"/>
  <c r="P549" i="3"/>
  <c r="O554" i="3"/>
  <c r="N559" i="3"/>
  <c r="M564" i="3"/>
  <c r="L569" i="3"/>
  <c r="K574" i="3"/>
  <c r="J579" i="3"/>
  <c r="V583" i="3"/>
  <c r="U588" i="3"/>
  <c r="T593" i="3"/>
  <c r="S598" i="3"/>
  <c r="R603" i="3"/>
  <c r="Q608" i="3"/>
  <c r="P613" i="3"/>
  <c r="O618" i="3"/>
  <c r="Y618" i="3" s="1"/>
  <c r="N623" i="3"/>
  <c r="M628" i="3"/>
  <c r="L633" i="3"/>
  <c r="K638" i="3"/>
  <c r="J643" i="3"/>
  <c r="V647" i="3"/>
  <c r="U652" i="3"/>
  <c r="T657" i="3"/>
  <c r="S662" i="3"/>
  <c r="R667" i="3"/>
  <c r="Q672" i="3"/>
  <c r="P677" i="3"/>
  <c r="O682" i="3"/>
  <c r="N687" i="3"/>
  <c r="T331" i="3"/>
  <c r="R394" i="3"/>
  <c r="L429" i="3"/>
  <c r="Q455" i="3"/>
  <c r="R470" i="3"/>
  <c r="P485" i="3"/>
  <c r="O500" i="3"/>
  <c r="O513" i="3"/>
  <c r="P522" i="3"/>
  <c r="O527" i="3"/>
  <c r="Y527" i="3" s="1"/>
  <c r="N532" i="3"/>
  <c r="M537" i="3"/>
  <c r="L542" i="3"/>
  <c r="K547" i="3"/>
  <c r="J552" i="3"/>
  <c r="V556" i="3"/>
  <c r="U561" i="3"/>
  <c r="T566" i="3"/>
  <c r="S571" i="3"/>
  <c r="R576" i="3"/>
  <c r="Q581" i="3"/>
  <c r="P586" i="3"/>
  <c r="O591" i="3"/>
  <c r="N596" i="3"/>
  <c r="M601" i="3"/>
  <c r="L606" i="3"/>
  <c r="K611" i="3"/>
  <c r="J616" i="3"/>
  <c r="V620" i="3"/>
  <c r="U625" i="3"/>
  <c r="T630" i="3"/>
  <c r="S635" i="3"/>
  <c r="R640" i="3"/>
  <c r="Q645" i="3"/>
  <c r="P650" i="3"/>
  <c r="O655" i="3"/>
  <c r="N660" i="3"/>
  <c r="M665" i="3"/>
  <c r="L670" i="3"/>
  <c r="K675" i="3"/>
  <c r="J680" i="3"/>
  <c r="V684" i="3"/>
  <c r="U689" i="3"/>
  <c r="V357" i="3"/>
  <c r="K408" i="3"/>
  <c r="T443" i="3"/>
  <c r="P461" i="3"/>
  <c r="N476" i="3"/>
  <c r="R491" i="3"/>
  <c r="O505" i="3"/>
  <c r="Y505" i="3" s="1"/>
  <c r="O518" i="3"/>
  <c r="Y518" i="3" s="1"/>
  <c r="O524" i="3"/>
  <c r="N529" i="3"/>
  <c r="M534" i="3"/>
  <c r="L539" i="3"/>
  <c r="K544" i="3"/>
  <c r="K484" i="3"/>
  <c r="J546" i="3"/>
  <c r="S565" i="3"/>
  <c r="O585" i="3"/>
  <c r="K605" i="3"/>
  <c r="T624" i="3"/>
  <c r="P644" i="3"/>
  <c r="L664" i="3"/>
  <c r="T683" i="3"/>
  <c r="L693" i="3"/>
  <c r="K698" i="3"/>
  <c r="J703" i="3"/>
  <c r="V707" i="3"/>
  <c r="U712" i="3"/>
  <c r="T717" i="3"/>
  <c r="S722" i="3"/>
  <c r="R727" i="3"/>
  <c r="Q732" i="3"/>
  <c r="P737" i="3"/>
  <c r="O742" i="3"/>
  <c r="N747" i="3"/>
  <c r="M752" i="3"/>
  <c r="L757" i="3"/>
  <c r="K762" i="3"/>
  <c r="J767" i="3"/>
  <c r="V771" i="3"/>
  <c r="U776" i="3"/>
  <c r="T781" i="3"/>
  <c r="S786" i="3"/>
  <c r="R791" i="3"/>
  <c r="Q796" i="3"/>
  <c r="P801" i="3"/>
  <c r="O806" i="3"/>
  <c r="N811" i="3"/>
  <c r="M816" i="3"/>
  <c r="L821" i="3"/>
  <c r="K826" i="3"/>
  <c r="J831" i="3"/>
  <c r="V835" i="3"/>
  <c r="U840" i="3"/>
  <c r="T845" i="3"/>
  <c r="S850" i="3"/>
  <c r="L193" i="3"/>
  <c r="V255" i="3"/>
  <c r="N311" i="3"/>
  <c r="O265" i="3"/>
  <c r="Y265" i="3" s="1"/>
  <c r="P305" i="3"/>
  <c r="V378" i="3"/>
  <c r="K296" i="3"/>
  <c r="O375" i="3"/>
  <c r="Y375" i="3" s="1"/>
  <c r="U347" i="3"/>
  <c r="O297" i="3"/>
  <c r="M376" i="3"/>
  <c r="S391" i="3"/>
  <c r="V432" i="3"/>
  <c r="Q473" i="3"/>
  <c r="P343" i="3"/>
  <c r="N405" i="3"/>
  <c r="T212" i="3"/>
  <c r="R390" i="3"/>
  <c r="J430" i="3"/>
  <c r="T327" i="3"/>
  <c r="R403" i="3"/>
  <c r="J443" i="3"/>
  <c r="Q368" i="3"/>
  <c r="U425" i="3"/>
  <c r="L375" i="3"/>
  <c r="U465" i="3"/>
  <c r="O515" i="3"/>
  <c r="Y515" i="3" s="1"/>
  <c r="T437" i="3"/>
  <c r="T475" i="3"/>
  <c r="V501" i="3"/>
  <c r="V517" i="3"/>
  <c r="U362" i="3"/>
  <c r="L405" i="3"/>
  <c r="R426" i="3"/>
  <c r="T445" i="3"/>
  <c r="U456" i="3"/>
  <c r="N465" i="3"/>
  <c r="L475" i="3"/>
  <c r="N484" i="3"/>
  <c r="T492" i="3"/>
  <c r="O501" i="3"/>
  <c r="Y501" i="3" s="1"/>
  <c r="T508" i="3"/>
  <c r="O517" i="3"/>
  <c r="Y517" i="3" s="1"/>
  <c r="N324" i="3"/>
  <c r="T363" i="3"/>
  <c r="L397" i="3"/>
  <c r="U416" i="3"/>
  <c r="K440" i="3"/>
  <c r="S453" i="3"/>
  <c r="R462" i="3"/>
  <c r="T471" i="3"/>
  <c r="L480" i="3"/>
  <c r="J490" i="3"/>
  <c r="J499" i="3"/>
  <c r="O506" i="3"/>
  <c r="O514" i="3"/>
  <c r="Y514" i="3" s="1"/>
  <c r="M267" i="3"/>
  <c r="Q350" i="3"/>
  <c r="V390" i="3"/>
  <c r="R410" i="3"/>
  <c r="K432" i="3"/>
  <c r="U448" i="3"/>
  <c r="U459" i="3"/>
  <c r="J469" i="3"/>
  <c r="P477" i="3"/>
  <c r="R486" i="3"/>
  <c r="J495" i="3"/>
  <c r="J504" i="3"/>
  <c r="J512" i="3"/>
  <c r="O519" i="3"/>
  <c r="O396" i="3"/>
  <c r="O447" i="3"/>
  <c r="Y447" i="3" s="1"/>
  <c r="V474" i="3"/>
  <c r="M499" i="3"/>
  <c r="V518" i="3"/>
  <c r="R527" i="3"/>
  <c r="J535" i="3"/>
  <c r="R543" i="3"/>
  <c r="R551" i="3"/>
  <c r="J559" i="3"/>
  <c r="J567" i="3"/>
  <c r="L573" i="3"/>
  <c r="N579" i="3"/>
  <c r="S586" i="3"/>
  <c r="U592" i="3"/>
  <c r="J599" i="3"/>
  <c r="O606" i="3"/>
  <c r="Q612" i="3"/>
  <c r="S618" i="3"/>
  <c r="K626" i="3"/>
  <c r="M632" i="3"/>
  <c r="O638" i="3"/>
  <c r="Y638" i="3" s="1"/>
  <c r="T645" i="3"/>
  <c r="V651" i="3"/>
  <c r="K658" i="3"/>
  <c r="P665" i="3"/>
  <c r="R671" i="3"/>
  <c r="T677" i="3"/>
  <c r="P335" i="3"/>
  <c r="T405" i="3"/>
  <c r="P447" i="3"/>
  <c r="O471" i="3"/>
  <c r="Y471" i="3" s="1"/>
  <c r="N490" i="3"/>
  <c r="T507" i="3"/>
  <c r="T522" i="3"/>
  <c r="V528" i="3"/>
  <c r="K535" i="3"/>
  <c r="P542" i="3"/>
  <c r="R548" i="3"/>
  <c r="T554" i="3"/>
  <c r="L562" i="3"/>
  <c r="N568" i="3"/>
  <c r="P574" i="3"/>
  <c r="U581" i="3"/>
  <c r="J588" i="3"/>
  <c r="L594" i="3"/>
  <c r="Q601" i="3"/>
  <c r="S607" i="3"/>
  <c r="U613" i="3"/>
  <c r="M621" i="3"/>
  <c r="O627" i="3"/>
  <c r="Y627" i="3" s="1"/>
  <c r="Q633" i="3"/>
  <c r="V640" i="3"/>
  <c r="K647" i="3"/>
  <c r="M653" i="3"/>
  <c r="R660" i="3"/>
  <c r="T666" i="3"/>
  <c r="V672" i="3"/>
  <c r="N680" i="3"/>
  <c r="P686" i="3"/>
  <c r="N328" i="3"/>
  <c r="S410" i="3"/>
  <c r="J450" i="3"/>
  <c r="V469" i="3"/>
  <c r="O492" i="3"/>
  <c r="R509" i="3"/>
  <c r="M522" i="3"/>
  <c r="R529" i="3"/>
  <c r="T535" i="3"/>
  <c r="V541" i="3"/>
  <c r="N549" i="3"/>
  <c r="P555" i="3"/>
  <c r="R561" i="3"/>
  <c r="J569" i="3"/>
  <c r="L575" i="3"/>
  <c r="N581" i="3"/>
  <c r="S588" i="3"/>
  <c r="U594" i="3"/>
  <c r="J601" i="3"/>
  <c r="O608" i="3"/>
  <c r="Y608" i="3" s="1"/>
  <c r="Q614" i="3"/>
  <c r="S620" i="3"/>
  <c r="K628" i="3"/>
  <c r="M634" i="3"/>
  <c r="O640" i="3"/>
  <c r="Y640" i="3" s="1"/>
  <c r="T647" i="3"/>
  <c r="V653" i="3"/>
  <c r="K660" i="3"/>
  <c r="P667" i="3"/>
  <c r="R673" i="3"/>
  <c r="T679" i="3"/>
  <c r="L687" i="3"/>
  <c r="L338" i="3"/>
  <c r="N406" i="3"/>
  <c r="P452" i="3"/>
  <c r="J472" i="3"/>
  <c r="V490" i="3"/>
  <c r="P511" i="3"/>
  <c r="V522" i="3"/>
  <c r="K529" i="3"/>
  <c r="P536" i="3"/>
  <c r="R542" i="3"/>
  <c r="T548" i="3"/>
  <c r="L556" i="3"/>
  <c r="N562" i="3"/>
  <c r="M567" i="3"/>
  <c r="L572" i="3"/>
  <c r="K577" i="3"/>
  <c r="J582" i="3"/>
  <c r="V586" i="3"/>
  <c r="U591" i="3"/>
  <c r="T596" i="3"/>
  <c r="S601" i="3"/>
  <c r="R606" i="3"/>
  <c r="Q611" i="3"/>
  <c r="P616" i="3"/>
  <c r="O621" i="3"/>
  <c r="Y621" i="3" s="1"/>
  <c r="N626" i="3"/>
  <c r="M631" i="3"/>
  <c r="L636" i="3"/>
  <c r="K641" i="3"/>
  <c r="J646" i="3"/>
  <c r="V650" i="3"/>
  <c r="U655" i="3"/>
  <c r="T660" i="3"/>
  <c r="S665" i="3"/>
  <c r="R670" i="3"/>
  <c r="Q675" i="3"/>
  <c r="P680" i="3"/>
  <c r="O685" i="3"/>
  <c r="Y685" i="3" s="1"/>
  <c r="N690" i="3"/>
  <c r="V373" i="3"/>
  <c r="K416" i="3"/>
  <c r="O448" i="3"/>
  <c r="U464" i="3"/>
  <c r="T479" i="3"/>
  <c r="R494" i="3"/>
  <c r="O508" i="3"/>
  <c r="Y508" i="3" s="1"/>
  <c r="O520" i="3"/>
  <c r="Y520" i="3" s="1"/>
  <c r="P525" i="3"/>
  <c r="O530" i="3"/>
  <c r="Y530" i="3" s="1"/>
  <c r="N535" i="3"/>
  <c r="M540" i="3"/>
  <c r="L545" i="3"/>
  <c r="K550" i="3"/>
  <c r="J555" i="3"/>
  <c r="V559" i="3"/>
  <c r="U564" i="3"/>
  <c r="T569" i="3"/>
  <c r="S574" i="3"/>
  <c r="R579" i="3"/>
  <c r="Q584" i="3"/>
  <c r="P589" i="3"/>
  <c r="O594" i="3"/>
  <c r="Y594" i="3" s="1"/>
  <c r="N599" i="3"/>
  <c r="M604" i="3"/>
  <c r="L609" i="3"/>
  <c r="K614" i="3"/>
  <c r="J619" i="3"/>
  <c r="V623" i="3"/>
  <c r="U628" i="3"/>
  <c r="T633" i="3"/>
  <c r="S638" i="3"/>
  <c r="R643" i="3"/>
  <c r="Q648" i="3"/>
  <c r="P653" i="3"/>
  <c r="O658" i="3"/>
  <c r="N663" i="3"/>
  <c r="M668" i="3"/>
  <c r="L673" i="3"/>
  <c r="K678" i="3"/>
  <c r="J683" i="3"/>
  <c r="V687" i="3"/>
  <c r="L339" i="3"/>
  <c r="P399" i="3"/>
  <c r="J434" i="3"/>
  <c r="N457" i="3"/>
  <c r="R472" i="3"/>
  <c r="P487" i="3"/>
  <c r="T501" i="3"/>
  <c r="L515" i="3"/>
  <c r="K523" i="3"/>
  <c r="J528" i="3"/>
  <c r="V532" i="3"/>
  <c r="U537" i="3"/>
  <c r="T542" i="3"/>
  <c r="S547" i="3"/>
  <c r="R552" i="3"/>
  <c r="Q557" i="3"/>
  <c r="P562" i="3"/>
  <c r="O567" i="3"/>
  <c r="N572" i="3"/>
  <c r="M577" i="3"/>
  <c r="L582" i="3"/>
  <c r="K587" i="3"/>
  <c r="J592" i="3"/>
  <c r="V596" i="3"/>
  <c r="U601" i="3"/>
  <c r="T606" i="3"/>
  <c r="S611" i="3"/>
  <c r="R616" i="3"/>
  <c r="Q621" i="3"/>
  <c r="P626" i="3"/>
  <c r="O631" i="3"/>
  <c r="N636" i="3"/>
  <c r="M641" i="3"/>
  <c r="L646" i="3"/>
  <c r="K651" i="3"/>
  <c r="R168" i="3"/>
  <c r="K281" i="3"/>
  <c r="N319" i="3"/>
  <c r="N286" i="3"/>
  <c r="K268" i="3"/>
  <c r="U383" i="3"/>
  <c r="T318" i="3"/>
  <c r="M385" i="3"/>
  <c r="P348" i="3"/>
  <c r="V320" i="3"/>
  <c r="P385" i="3"/>
  <c r="N392" i="3"/>
  <c r="Q441" i="3"/>
  <c r="V480" i="3"/>
  <c r="S344" i="3"/>
  <c r="S412" i="3"/>
  <c r="O308" i="3"/>
  <c r="P392" i="3"/>
  <c r="J438" i="3"/>
  <c r="K340" i="3"/>
  <c r="M404" i="3"/>
  <c r="O275" i="3"/>
  <c r="Q384" i="3"/>
  <c r="P426" i="3"/>
  <c r="K400" i="3"/>
  <c r="U472" i="3"/>
  <c r="R516" i="3"/>
  <c r="S452" i="3"/>
  <c r="J480" i="3"/>
  <c r="Q502" i="3"/>
  <c r="O286" i="3"/>
  <c r="S372" i="3"/>
  <c r="V406" i="3"/>
  <c r="O428" i="3"/>
  <c r="Y428" i="3" s="1"/>
  <c r="U446" i="3"/>
  <c r="N458" i="3"/>
  <c r="P467" i="3"/>
  <c r="U475" i="3"/>
  <c r="J485" i="3"/>
  <c r="P493" i="3"/>
  <c r="R502" i="3"/>
  <c r="R510" i="3"/>
  <c r="J518" i="3"/>
  <c r="L327" i="3"/>
  <c r="Q366" i="3"/>
  <c r="S400" i="3"/>
  <c r="T421" i="3"/>
  <c r="P441" i="3"/>
  <c r="Q454" i="3"/>
  <c r="N463" i="3"/>
  <c r="L473" i="3"/>
  <c r="N482" i="3"/>
  <c r="S490" i="3"/>
  <c r="R499" i="3"/>
  <c r="J507" i="3"/>
  <c r="R515" i="3"/>
  <c r="M309" i="3"/>
  <c r="L354" i="3"/>
  <c r="S392" i="3"/>
  <c r="O412" i="3"/>
  <c r="M435" i="3"/>
  <c r="N451" i="3"/>
  <c r="Q460" i="3"/>
  <c r="S469" i="3"/>
  <c r="L478" i="3"/>
  <c r="J488" i="3"/>
  <c r="L497" i="3"/>
  <c r="R504" i="3"/>
  <c r="R512" i="3"/>
  <c r="J520" i="3"/>
  <c r="Q404" i="3"/>
  <c r="K454" i="3"/>
  <c r="V476" i="3"/>
  <c r="J501" i="3"/>
  <c r="K520" i="3"/>
  <c r="U528" i="3"/>
  <c r="U536" i="3"/>
  <c r="M544" i="3"/>
  <c r="M552" i="3"/>
  <c r="R559" i="3"/>
  <c r="R567" i="3"/>
  <c r="T573" i="3"/>
  <c r="L581" i="3"/>
  <c r="N587" i="3"/>
  <c r="P593" i="3"/>
  <c r="U600" i="3"/>
  <c r="J607" i="3"/>
  <c r="L613" i="3"/>
  <c r="Q620" i="3"/>
  <c r="S626" i="3"/>
  <c r="U632" i="3"/>
  <c r="M640" i="3"/>
  <c r="O646" i="3"/>
  <c r="Y646" i="3" s="1"/>
  <c r="Q652" i="3"/>
  <c r="V659" i="3"/>
  <c r="K666" i="3"/>
  <c r="M672" i="3"/>
  <c r="R679" i="3"/>
  <c r="O344" i="3"/>
  <c r="Y344" i="3" s="1"/>
  <c r="P409" i="3"/>
  <c r="L454" i="3"/>
  <c r="O473" i="3"/>
  <c r="Y473" i="3" s="1"/>
  <c r="N492" i="3"/>
  <c r="S512" i="3"/>
  <c r="O523" i="3"/>
  <c r="Q529" i="3"/>
  <c r="V536" i="3"/>
  <c r="K543" i="3"/>
  <c r="M549" i="3"/>
  <c r="R556" i="3"/>
  <c r="T562" i="3"/>
  <c r="V568" i="3"/>
  <c r="N576" i="3"/>
  <c r="P582" i="3"/>
  <c r="R588" i="3"/>
  <c r="J596" i="3"/>
  <c r="L602" i="3"/>
  <c r="N608" i="3"/>
  <c r="S615" i="3"/>
  <c r="U621" i="3"/>
  <c r="J628" i="3"/>
  <c r="O635" i="3"/>
  <c r="Y635" i="3" s="1"/>
  <c r="Q641" i="3"/>
  <c r="S647" i="3"/>
  <c r="K655" i="3"/>
  <c r="M661" i="3"/>
  <c r="O667" i="3"/>
  <c r="T674" i="3"/>
  <c r="V680" i="3"/>
  <c r="K687" i="3"/>
  <c r="M354" i="3"/>
  <c r="O414" i="3"/>
  <c r="O452" i="3"/>
  <c r="Y452" i="3" s="1"/>
  <c r="Q475" i="3"/>
  <c r="O494" i="3"/>
  <c r="J511" i="3"/>
  <c r="K524" i="3"/>
  <c r="M530" i="3"/>
  <c r="O536" i="3"/>
  <c r="Y536" i="3" s="1"/>
  <c r="T543" i="3"/>
  <c r="V549" i="3"/>
  <c r="K556" i="3"/>
  <c r="P563" i="3"/>
  <c r="R569" i="3"/>
  <c r="T575" i="3"/>
  <c r="L583" i="3"/>
  <c r="N589" i="3"/>
  <c r="P595" i="3"/>
  <c r="U602" i="3"/>
  <c r="J609" i="3"/>
  <c r="L615" i="3"/>
  <c r="Q622" i="3"/>
  <c r="S628" i="3"/>
  <c r="U634" i="3"/>
  <c r="M642" i="3"/>
  <c r="O648" i="3"/>
  <c r="Q654" i="3"/>
  <c r="V661" i="3"/>
  <c r="K668" i="3"/>
  <c r="M674" i="3"/>
  <c r="R681" i="3"/>
  <c r="T687" i="3"/>
  <c r="Q345" i="3"/>
  <c r="N419" i="3"/>
  <c r="U454" i="3"/>
  <c r="J474" i="3"/>
  <c r="Q496" i="3"/>
  <c r="U512" i="3"/>
  <c r="Q523" i="3"/>
  <c r="V530" i="3"/>
  <c r="K537" i="3"/>
  <c r="M543" i="3"/>
  <c r="R550" i="3"/>
  <c r="T556" i="3"/>
  <c r="V562" i="3"/>
  <c r="U567" i="3"/>
  <c r="T572" i="3"/>
  <c r="S577" i="3"/>
  <c r="R582" i="3"/>
  <c r="Q587" i="3"/>
  <c r="P592" i="3"/>
  <c r="O597" i="3"/>
  <c r="Y597" i="3" s="1"/>
  <c r="N602" i="3"/>
  <c r="M607" i="3"/>
  <c r="L612" i="3"/>
  <c r="K617" i="3"/>
  <c r="J622" i="3"/>
  <c r="V626" i="3"/>
  <c r="U631" i="3"/>
  <c r="T636" i="3"/>
  <c r="S641" i="3"/>
  <c r="R646" i="3"/>
  <c r="Q651" i="3"/>
  <c r="P656" i="3"/>
  <c r="O661" i="3"/>
  <c r="Y661" i="3" s="1"/>
  <c r="N666" i="3"/>
  <c r="M671" i="3"/>
  <c r="L676" i="3"/>
  <c r="K681" i="3"/>
  <c r="J686" i="3"/>
  <c r="L302" i="3"/>
  <c r="N381" i="3"/>
  <c r="Q420" i="3"/>
  <c r="S450" i="3"/>
  <c r="P466" i="3"/>
  <c r="T481" i="3"/>
  <c r="R496" i="3"/>
  <c r="T509" i="3"/>
  <c r="L521" i="3"/>
  <c r="K526" i="3"/>
  <c r="J531" i="3"/>
  <c r="V535" i="3"/>
  <c r="U540" i="3"/>
  <c r="T545" i="3"/>
  <c r="S550" i="3"/>
  <c r="R555" i="3"/>
  <c r="Q560" i="3"/>
  <c r="P565" i="3"/>
  <c r="O570" i="3"/>
  <c r="Y570" i="3" s="1"/>
  <c r="N575" i="3"/>
  <c r="M580" i="3"/>
  <c r="L585" i="3"/>
  <c r="K590" i="3"/>
  <c r="J595" i="3"/>
  <c r="V599" i="3"/>
  <c r="U604" i="3"/>
  <c r="T609" i="3"/>
  <c r="S614" i="3"/>
  <c r="R619" i="3"/>
  <c r="Q624" i="3"/>
  <c r="P629" i="3"/>
  <c r="O634" i="3"/>
  <c r="N639" i="3"/>
  <c r="M644" i="3"/>
  <c r="L649" i="3"/>
  <c r="K654" i="3"/>
  <c r="J659" i="3"/>
  <c r="V663" i="3"/>
  <c r="U668" i="3"/>
  <c r="T673" i="3"/>
  <c r="S678" i="3"/>
  <c r="R683" i="3"/>
  <c r="Q688" i="3"/>
  <c r="K348" i="3"/>
  <c r="L403" i="3"/>
  <c r="U438" i="3"/>
  <c r="N459" i="3"/>
  <c r="M474" i="3"/>
  <c r="P489" i="3"/>
  <c r="Q503" i="3"/>
  <c r="Q516" i="3"/>
  <c r="S523" i="3"/>
  <c r="R528" i="3"/>
  <c r="Q533" i="3"/>
  <c r="P538" i="3"/>
  <c r="O543" i="3"/>
  <c r="N548" i="3"/>
  <c r="M553" i="3"/>
  <c r="L558" i="3"/>
  <c r="K563" i="3"/>
  <c r="J568" i="3"/>
  <c r="V572" i="3"/>
  <c r="U577" i="3"/>
  <c r="T582" i="3"/>
  <c r="S587" i="3"/>
  <c r="R592" i="3"/>
  <c r="Q597" i="3"/>
  <c r="P602" i="3"/>
  <c r="O607" i="3"/>
  <c r="N612" i="3"/>
  <c r="M617" i="3"/>
  <c r="L622" i="3"/>
  <c r="K627" i="3"/>
  <c r="J632" i="3"/>
  <c r="V636" i="3"/>
  <c r="U641" i="3"/>
  <c r="T646" i="3"/>
  <c r="S651" i="3"/>
  <c r="R656" i="3"/>
  <c r="Q661" i="3"/>
  <c r="P666" i="3"/>
  <c r="O671" i="3"/>
  <c r="Y671" i="3" s="1"/>
  <c r="N676" i="3"/>
  <c r="M681" i="3"/>
  <c r="L686" i="3"/>
  <c r="K691" i="3"/>
  <c r="K375" i="3"/>
  <c r="O417" i="3"/>
  <c r="L449" i="3"/>
  <c r="K465" i="3"/>
  <c r="O480" i="3"/>
  <c r="Y480" i="3" s="1"/>
  <c r="M495" i="3"/>
  <c r="Q508" i="3"/>
  <c r="S520" i="3"/>
  <c r="R525" i="3"/>
  <c r="Q530" i="3"/>
  <c r="P535" i="3"/>
  <c r="O540" i="3"/>
  <c r="Y540" i="3" s="1"/>
  <c r="N545" i="3"/>
  <c r="L512" i="3"/>
  <c r="V550" i="3"/>
  <c r="R570" i="3"/>
  <c r="N590" i="3"/>
  <c r="J610" i="3"/>
  <c r="S629" i="3"/>
  <c r="O649" i="3"/>
  <c r="Y649" i="3" s="1"/>
  <c r="K669" i="3"/>
  <c r="V686" i="3"/>
  <c r="O694" i="3"/>
  <c r="Y694" i="3" s="1"/>
  <c r="N699" i="3"/>
  <c r="M704" i="3"/>
  <c r="L709" i="3"/>
  <c r="K714" i="3"/>
  <c r="J719" i="3"/>
  <c r="V723" i="3"/>
  <c r="U728" i="3"/>
  <c r="T733" i="3"/>
  <c r="S738" i="3"/>
  <c r="R743" i="3"/>
  <c r="Q748" i="3"/>
  <c r="P753" i="3"/>
  <c r="O758" i="3"/>
  <c r="Y758" i="3" s="1"/>
  <c r="N763" i="3"/>
  <c r="M768" i="3"/>
  <c r="L773" i="3"/>
  <c r="K778" i="3"/>
  <c r="J783" i="3"/>
  <c r="V787" i="3"/>
  <c r="U792" i="3"/>
  <c r="T797" i="3"/>
  <c r="S802" i="3"/>
  <c r="R807" i="3"/>
  <c r="Q812" i="3"/>
  <c r="P817" i="3"/>
  <c r="O822" i="3"/>
  <c r="N827" i="3"/>
  <c r="M832" i="3"/>
  <c r="L837" i="3"/>
  <c r="K842" i="3"/>
  <c r="J847" i="3"/>
  <c r="V851" i="3"/>
  <c r="P200" i="3"/>
  <c r="S313" i="3"/>
  <c r="M221" i="3"/>
  <c r="U183" i="3"/>
  <c r="T302" i="3"/>
  <c r="N215" i="3"/>
  <c r="Q325" i="3"/>
  <c r="Q256" i="3"/>
  <c r="N358" i="3"/>
  <c r="J322" i="3"/>
  <c r="R311" i="3"/>
  <c r="Q401" i="3"/>
  <c r="L442" i="3"/>
  <c r="N488" i="3"/>
  <c r="M358" i="3"/>
  <c r="Q414" i="3"/>
  <c r="L330" i="3"/>
  <c r="R398" i="3"/>
  <c r="R438" i="3"/>
  <c r="N357" i="3"/>
  <c r="M412" i="3"/>
  <c r="R284" i="3"/>
  <c r="M393" i="3"/>
  <c r="R432" i="3"/>
  <c r="M403" i="3"/>
  <c r="S482" i="3"/>
  <c r="L323" i="3"/>
  <c r="Q453" i="3"/>
  <c r="V484" i="3"/>
  <c r="M506" i="3"/>
  <c r="K298" i="3"/>
  <c r="L386" i="3"/>
  <c r="S408" i="3"/>
  <c r="Q431" i="3"/>
  <c r="P449" i="3"/>
  <c r="J459" i="3"/>
  <c r="L468" i="3"/>
  <c r="Q476" i="3"/>
  <c r="O486" i="3"/>
  <c r="Q495" i="3"/>
  <c r="M503" i="3"/>
  <c r="M511" i="3"/>
  <c r="R518" i="3"/>
  <c r="M334" i="3"/>
  <c r="O376" i="3"/>
  <c r="Y376" i="3" s="1"/>
  <c r="K402" i="3"/>
  <c r="Q423" i="3"/>
  <c r="M443" i="3"/>
  <c r="L456" i="3"/>
  <c r="O465" i="3"/>
  <c r="U473" i="3"/>
  <c r="J483" i="3"/>
  <c r="P491" i="3"/>
  <c r="U500" i="3"/>
  <c r="U508" i="3"/>
  <c r="M516" i="3"/>
  <c r="T314" i="3"/>
  <c r="R357" i="3"/>
  <c r="U395" i="3"/>
  <c r="N417" i="3"/>
  <c r="J437" i="3"/>
  <c r="M452" i="3"/>
  <c r="N461" i="3"/>
  <c r="L471" i="3"/>
  <c r="M480" i="3"/>
  <c r="S488" i="3"/>
  <c r="U497" i="3"/>
  <c r="M505" i="3"/>
  <c r="U513" i="3"/>
  <c r="R325" i="3"/>
  <c r="O409" i="3"/>
  <c r="O456" i="3"/>
  <c r="Y456" i="3" s="1"/>
  <c r="V478" i="3"/>
  <c r="L504" i="3"/>
  <c r="K522" i="3"/>
  <c r="P529" i="3"/>
  <c r="P537" i="3"/>
  <c r="U544" i="3"/>
  <c r="P553" i="3"/>
  <c r="P561" i="3"/>
  <c r="M568" i="3"/>
  <c r="O574" i="3"/>
  <c r="T581" i="3"/>
  <c r="V587" i="3"/>
  <c r="K594" i="3"/>
  <c r="P601" i="3"/>
  <c r="R607" i="3"/>
  <c r="T613" i="3"/>
  <c r="L621" i="3"/>
  <c r="N627" i="3"/>
  <c r="P633" i="3"/>
  <c r="U640" i="3"/>
  <c r="J647" i="3"/>
  <c r="L653" i="3"/>
  <c r="Q660" i="3"/>
  <c r="S666" i="3"/>
  <c r="U672" i="3"/>
  <c r="M680" i="3"/>
  <c r="T351" i="3"/>
  <c r="N414" i="3"/>
  <c r="Q456" i="3"/>
  <c r="P475" i="3"/>
  <c r="V493" i="3"/>
  <c r="K514" i="3"/>
  <c r="J524" i="3"/>
  <c r="L530" i="3"/>
  <c r="Q537" i="3"/>
  <c r="S543" i="3"/>
  <c r="U549" i="3"/>
  <c r="M557" i="3"/>
  <c r="O563" i="3"/>
  <c r="Q569" i="3"/>
  <c r="V576" i="3"/>
  <c r="K583" i="3"/>
  <c r="M589" i="3"/>
  <c r="R596" i="3"/>
  <c r="T602" i="3"/>
  <c r="V608" i="3"/>
  <c r="N616" i="3"/>
  <c r="P622" i="3"/>
  <c r="R628" i="3"/>
  <c r="J636" i="3"/>
  <c r="L642" i="3"/>
  <c r="N648" i="3"/>
  <c r="S655" i="3"/>
  <c r="U661" i="3"/>
  <c r="J668" i="3"/>
  <c r="K259" i="3"/>
  <c r="N314" i="3"/>
  <c r="S262" i="3"/>
  <c r="V228" i="3"/>
  <c r="P310" i="3"/>
  <c r="O276" i="3"/>
  <c r="Y276" i="3" s="1"/>
  <c r="O335" i="3"/>
  <c r="Y335" i="3" s="1"/>
  <c r="S279" i="3"/>
  <c r="P372" i="3"/>
  <c r="Q332" i="3"/>
  <c r="Q313" i="3"/>
  <c r="Q409" i="3"/>
  <c r="V448" i="3"/>
  <c r="L490" i="3"/>
  <c r="M374" i="3"/>
  <c r="S420" i="3"/>
  <c r="O331" i="3"/>
  <c r="M407" i="3"/>
  <c r="R446" i="3"/>
  <c r="Q358" i="3"/>
  <c r="J419" i="3"/>
  <c r="Q316" i="3"/>
  <c r="P394" i="3"/>
  <c r="M441" i="3"/>
  <c r="V422" i="3"/>
  <c r="P483" i="3"/>
  <c r="T362" i="3"/>
  <c r="V458" i="3"/>
  <c r="R485" i="3"/>
  <c r="S508" i="3"/>
  <c r="U318" i="3"/>
  <c r="U388" i="3"/>
  <c r="R413" i="3"/>
  <c r="N433" i="3"/>
  <c r="O450" i="3"/>
  <c r="S459" i="3"/>
  <c r="Q469" i="3"/>
  <c r="S478" i="3"/>
  <c r="L487" i="3"/>
  <c r="M496" i="3"/>
  <c r="U503" i="3"/>
  <c r="P512" i="3"/>
  <c r="P520" i="3"/>
  <c r="J337" i="3"/>
  <c r="J380" i="3"/>
  <c r="U403" i="3"/>
  <c r="S426" i="3"/>
  <c r="V446" i="3"/>
  <c r="J457" i="3"/>
  <c r="K466" i="3"/>
  <c r="Q474" i="3"/>
  <c r="O484" i="3"/>
  <c r="Q493" i="3"/>
  <c r="P501" i="3"/>
  <c r="P509" i="3"/>
  <c r="U516" i="3"/>
  <c r="Q324" i="3"/>
  <c r="P367" i="3"/>
  <c r="R397" i="3"/>
  <c r="S418" i="3"/>
  <c r="O438" i="3"/>
  <c r="T453" i="3"/>
  <c r="O463" i="3"/>
  <c r="Y463" i="3" s="1"/>
  <c r="U471" i="3"/>
  <c r="J481" i="3"/>
  <c r="O489" i="3"/>
  <c r="Y489" i="3" s="1"/>
  <c r="K499" i="3"/>
  <c r="K507" i="3"/>
  <c r="P514" i="3"/>
  <c r="Q334" i="3"/>
  <c r="M414" i="3"/>
  <c r="K460" i="3"/>
  <c r="Q484" i="3"/>
  <c r="V505" i="3"/>
  <c r="S522" i="3"/>
  <c r="K530" i="3"/>
  <c r="S538" i="3"/>
  <c r="S546" i="3"/>
  <c r="K554" i="3"/>
  <c r="K562" i="3"/>
  <c r="U568" i="3"/>
  <c r="M576" i="3"/>
  <c r="O582" i="3"/>
  <c r="Q588" i="3"/>
  <c r="V595" i="3"/>
  <c r="K602" i="3"/>
  <c r="M608" i="3"/>
  <c r="R615" i="3"/>
  <c r="T621" i="3"/>
  <c r="V627" i="3"/>
  <c r="N635" i="3"/>
  <c r="P641" i="3"/>
  <c r="R647" i="3"/>
  <c r="J655" i="3"/>
  <c r="L661" i="3"/>
  <c r="N667" i="3"/>
  <c r="S674" i="3"/>
  <c r="U680" i="3"/>
  <c r="Q361" i="3"/>
  <c r="N427" i="3"/>
  <c r="Q458" i="3"/>
  <c r="J477" i="3"/>
  <c r="N499" i="3"/>
  <c r="U515" i="3"/>
  <c r="R524" i="3"/>
  <c r="J532" i="3"/>
  <c r="L538" i="3"/>
  <c r="N544" i="3"/>
  <c r="S551" i="3"/>
  <c r="U557" i="3"/>
  <c r="J564" i="3"/>
  <c r="O571" i="3"/>
  <c r="Q577" i="3"/>
  <c r="S583" i="3"/>
  <c r="K591" i="3"/>
  <c r="M597" i="3"/>
  <c r="O603" i="3"/>
  <c r="T610" i="3"/>
  <c r="V616" i="3"/>
  <c r="S300" i="3"/>
  <c r="S329" i="3"/>
  <c r="O377" i="3"/>
  <c r="V456" i="3"/>
  <c r="O347" i="3"/>
  <c r="M420" i="3"/>
  <c r="R442" i="3"/>
  <c r="T487" i="3"/>
  <c r="J415" i="3"/>
  <c r="M470" i="3"/>
  <c r="S505" i="3"/>
  <c r="M386" i="3"/>
  <c r="S457" i="3"/>
  <c r="M494" i="3"/>
  <c r="K328" i="3"/>
  <c r="N443" i="3"/>
  <c r="O482" i="3"/>
  <c r="Y482" i="3" s="1"/>
  <c r="K515" i="3"/>
  <c r="L486" i="3"/>
  <c r="N539" i="3"/>
  <c r="P569" i="3"/>
  <c r="Q596" i="3"/>
  <c r="O622" i="3"/>
  <c r="Y622" i="3" s="1"/>
  <c r="M648" i="3"/>
  <c r="N675" i="3"/>
  <c r="L460" i="3"/>
  <c r="M525" i="3"/>
  <c r="N552" i="3"/>
  <c r="L578" i="3"/>
  <c r="J604" i="3"/>
  <c r="Q625" i="3"/>
  <c r="O643" i="3"/>
  <c r="Y643" i="3" s="1"/>
  <c r="P662" i="3"/>
  <c r="R676" i="3"/>
  <c r="L690" i="3"/>
  <c r="T427" i="3"/>
  <c r="L481" i="3"/>
  <c r="L519" i="3"/>
  <c r="K532" i="3"/>
  <c r="R545" i="3"/>
  <c r="L559" i="3"/>
  <c r="P571" i="3"/>
  <c r="J585" i="3"/>
  <c r="Q598" i="3"/>
  <c r="U610" i="3"/>
  <c r="O624" i="3"/>
  <c r="V637" i="3"/>
  <c r="M650" i="3"/>
  <c r="T663" i="3"/>
  <c r="N677" i="3"/>
  <c r="R689" i="3"/>
  <c r="S432" i="3"/>
  <c r="M483" i="3"/>
  <c r="T517" i="3"/>
  <c r="T532" i="3"/>
  <c r="N546" i="3"/>
  <c r="R558" i="3"/>
  <c r="S569" i="3"/>
  <c r="Q579" i="3"/>
  <c r="O589" i="3"/>
  <c r="M599" i="3"/>
  <c r="K609" i="3"/>
  <c r="V618" i="3"/>
  <c r="T628" i="3"/>
  <c r="R638" i="3"/>
  <c r="P648" i="3"/>
  <c r="N658" i="3"/>
  <c r="L668" i="3"/>
  <c r="J678" i="3"/>
  <c r="U687" i="3"/>
  <c r="M398" i="3"/>
  <c r="M457" i="3"/>
  <c r="O487" i="3"/>
  <c r="S514" i="3"/>
  <c r="V527" i="3"/>
  <c r="T537" i="3"/>
  <c r="R547" i="3"/>
  <c r="P557" i="3"/>
  <c r="N567" i="3"/>
  <c r="L577" i="3"/>
  <c r="J587" i="3"/>
  <c r="U596" i="3"/>
  <c r="S606" i="3"/>
  <c r="Q616" i="3"/>
  <c r="O626" i="3"/>
  <c r="M636" i="3"/>
  <c r="K646" i="3"/>
  <c r="V655" i="3"/>
  <c r="T665" i="3"/>
  <c r="R675" i="3"/>
  <c r="P685" i="3"/>
  <c r="U374" i="3"/>
  <c r="J449" i="3"/>
  <c r="U479" i="3"/>
  <c r="P508" i="3"/>
  <c r="Q525" i="3"/>
  <c r="O535" i="3"/>
  <c r="M545" i="3"/>
  <c r="K555" i="3"/>
  <c r="V564" i="3"/>
  <c r="T574" i="3"/>
  <c r="R584" i="3"/>
  <c r="P594" i="3"/>
  <c r="N604" i="3"/>
  <c r="L614" i="3"/>
  <c r="J624" i="3"/>
  <c r="U633" i="3"/>
  <c r="S643" i="3"/>
  <c r="Q653" i="3"/>
  <c r="L662" i="3"/>
  <c r="V668" i="3"/>
  <c r="Q677" i="3"/>
  <c r="Q685" i="3"/>
  <c r="J332" i="3"/>
  <c r="K421" i="3"/>
  <c r="U457" i="3"/>
  <c r="V483" i="3"/>
  <c r="L507" i="3"/>
  <c r="Q522" i="3"/>
  <c r="L531" i="3"/>
  <c r="V537" i="3"/>
  <c r="P391" i="3"/>
  <c r="P548" i="3"/>
  <c r="J578" i="3"/>
  <c r="P612" i="3"/>
  <c r="Q639" i="3"/>
  <c r="Q671" i="3"/>
  <c r="N691" i="3"/>
  <c r="P697" i="3"/>
  <c r="U704" i="3"/>
  <c r="J711" i="3"/>
  <c r="L717" i="3"/>
  <c r="Q724" i="3"/>
  <c r="S730" i="3"/>
  <c r="U736" i="3"/>
  <c r="M744" i="3"/>
  <c r="O750" i="3"/>
  <c r="Q756" i="3"/>
  <c r="V763" i="3"/>
  <c r="K770" i="3"/>
  <c r="M776" i="3"/>
  <c r="R783" i="3"/>
  <c r="T789" i="3"/>
  <c r="V795" i="3"/>
  <c r="N803" i="3"/>
  <c r="P809" i="3"/>
  <c r="R815" i="3"/>
  <c r="J823" i="3"/>
  <c r="L829" i="3"/>
  <c r="N835" i="3"/>
  <c r="S842" i="3"/>
  <c r="U848" i="3"/>
  <c r="J855" i="3"/>
  <c r="V859" i="3"/>
  <c r="U864" i="3"/>
  <c r="T869" i="3"/>
  <c r="K332" i="3"/>
  <c r="R522" i="3"/>
  <c r="V553" i="3"/>
  <c r="R573" i="3"/>
  <c r="N593" i="3"/>
  <c r="J613" i="3"/>
  <c r="S632" i="3"/>
  <c r="O652" i="3"/>
  <c r="K672" i="3"/>
  <c r="T688" i="3"/>
  <c r="K695" i="3"/>
  <c r="J700" i="3"/>
  <c r="V704" i="3"/>
  <c r="U709" i="3"/>
  <c r="T714" i="3"/>
  <c r="S719" i="3"/>
  <c r="R724" i="3"/>
  <c r="Q729" i="3"/>
  <c r="P734" i="3"/>
  <c r="O739" i="3"/>
  <c r="Y739" i="3" s="1"/>
  <c r="N744" i="3"/>
  <c r="M749" i="3"/>
  <c r="L754" i="3"/>
  <c r="K759" i="3"/>
  <c r="J764" i="3"/>
  <c r="V768" i="3"/>
  <c r="U773" i="3"/>
  <c r="T778" i="3"/>
  <c r="S783" i="3"/>
  <c r="R788" i="3"/>
  <c r="Q793" i="3"/>
  <c r="P798" i="3"/>
  <c r="O803" i="3"/>
  <c r="N808" i="3"/>
  <c r="M813" i="3"/>
  <c r="L818" i="3"/>
  <c r="K823" i="3"/>
  <c r="J828" i="3"/>
  <c r="V832" i="3"/>
  <c r="U837" i="3"/>
  <c r="T842" i="3"/>
  <c r="S847" i="3"/>
  <c r="R852" i="3"/>
  <c r="Q857" i="3"/>
  <c r="K517" i="3"/>
  <c r="K552" i="3"/>
  <c r="T571" i="3"/>
  <c r="P591" i="3"/>
  <c r="L611" i="3"/>
  <c r="U630" i="3"/>
  <c r="Q650" i="3"/>
  <c r="M670" i="3"/>
  <c r="Q687" i="3"/>
  <c r="R694" i="3"/>
  <c r="Q699" i="3"/>
  <c r="P704" i="3"/>
  <c r="O709" i="3"/>
  <c r="N714" i="3"/>
  <c r="M719" i="3"/>
  <c r="L724" i="3"/>
  <c r="K729" i="3"/>
  <c r="J734" i="3"/>
  <c r="V738" i="3"/>
  <c r="U743" i="3"/>
  <c r="T748" i="3"/>
  <c r="S753" i="3"/>
  <c r="R758" i="3"/>
  <c r="Q763" i="3"/>
  <c r="P768" i="3"/>
  <c r="O773" i="3"/>
  <c r="Y773" i="3" s="1"/>
  <c r="N778" i="3"/>
  <c r="M783" i="3"/>
  <c r="L788" i="3"/>
  <c r="K793" i="3"/>
  <c r="J798" i="3"/>
  <c r="V802" i="3"/>
  <c r="U807" i="3"/>
  <c r="T812" i="3"/>
  <c r="S817" i="3"/>
  <c r="R822" i="3"/>
  <c r="Q827" i="3"/>
  <c r="P832" i="3"/>
  <c r="O837" i="3"/>
  <c r="Y837" i="3" s="1"/>
  <c r="N842" i="3"/>
  <c r="M847" i="3"/>
  <c r="L852" i="3"/>
  <c r="U443" i="3"/>
  <c r="N534" i="3"/>
  <c r="Q559" i="3"/>
  <c r="M579" i="3"/>
  <c r="V598" i="3"/>
  <c r="R618" i="3"/>
  <c r="N638" i="3"/>
  <c r="J658" i="3"/>
  <c r="S677" i="3"/>
  <c r="R691" i="3"/>
  <c r="Q696" i="3"/>
  <c r="P701" i="3"/>
  <c r="O706" i="3"/>
  <c r="Y706" i="3" s="1"/>
  <c r="N711" i="3"/>
  <c r="M716" i="3"/>
  <c r="L721" i="3"/>
  <c r="K726" i="3"/>
  <c r="J731" i="3"/>
  <c r="V735" i="3"/>
  <c r="U740" i="3"/>
  <c r="T745" i="3"/>
  <c r="S750" i="3"/>
  <c r="R755" i="3"/>
  <c r="Q760" i="3"/>
  <c r="P765" i="3"/>
  <c r="O770" i="3"/>
  <c r="N775" i="3"/>
  <c r="M780" i="3"/>
  <c r="L785" i="3"/>
  <c r="K790" i="3"/>
  <c r="J795" i="3"/>
  <c r="V799" i="3"/>
  <c r="U804" i="3"/>
  <c r="T809" i="3"/>
  <c r="S814" i="3"/>
  <c r="R819" i="3"/>
  <c r="Q824" i="3"/>
  <c r="P829" i="3"/>
  <c r="O834" i="3"/>
  <c r="Y834" i="3" s="1"/>
  <c r="N839" i="3"/>
  <c r="M844" i="3"/>
  <c r="L849" i="3"/>
  <c r="K854" i="3"/>
  <c r="J859" i="3"/>
  <c r="T519" i="3"/>
  <c r="S552" i="3"/>
  <c r="O572" i="3"/>
  <c r="K592" i="3"/>
  <c r="T611" i="3"/>
  <c r="P631" i="3"/>
  <c r="L651" i="3"/>
  <c r="U670" i="3"/>
  <c r="K688" i="3"/>
  <c r="T694" i="3"/>
  <c r="S699" i="3"/>
  <c r="R704" i="3"/>
  <c r="Q709" i="3"/>
  <c r="P714" i="3"/>
  <c r="O719" i="3"/>
  <c r="N724" i="3"/>
  <c r="M729" i="3"/>
  <c r="L734" i="3"/>
  <c r="K739" i="3"/>
  <c r="J744" i="3"/>
  <c r="V748" i="3"/>
  <c r="U753" i="3"/>
  <c r="T758" i="3"/>
  <c r="S763" i="3"/>
  <c r="R768" i="3"/>
  <c r="Q773" i="3"/>
  <c r="P778" i="3"/>
  <c r="O783" i="3"/>
  <c r="Y783" i="3" s="1"/>
  <c r="N788" i="3"/>
  <c r="M793" i="3"/>
  <c r="L798" i="3"/>
  <c r="K803" i="3"/>
  <c r="J808" i="3"/>
  <c r="V812" i="3"/>
  <c r="U817" i="3"/>
  <c r="T822" i="3"/>
  <c r="S827" i="3"/>
  <c r="R832" i="3"/>
  <c r="Q837" i="3"/>
  <c r="M449" i="3"/>
  <c r="J573" i="3"/>
  <c r="O625" i="3"/>
  <c r="Y625" i="3" s="1"/>
  <c r="N678" i="3"/>
  <c r="U699" i="3"/>
  <c r="J713" i="3"/>
  <c r="M726" i="3"/>
  <c r="M739" i="3"/>
  <c r="O752" i="3"/>
  <c r="R765" i="3"/>
  <c r="R778" i="3"/>
  <c r="T791" i="3"/>
  <c r="J805" i="3"/>
  <c r="J818" i="3"/>
  <c r="L831" i="3"/>
  <c r="S843" i="3"/>
  <c r="Q853" i="3"/>
  <c r="U860" i="3"/>
  <c r="P866" i="3"/>
  <c r="K872" i="3"/>
  <c r="N877" i="3"/>
  <c r="M882" i="3"/>
  <c r="L887" i="3"/>
  <c r="K892" i="3"/>
  <c r="J897" i="3"/>
  <c r="V901" i="3"/>
  <c r="U906" i="3"/>
  <c r="T911" i="3"/>
  <c r="S916" i="3"/>
  <c r="R921" i="3"/>
  <c r="Q926" i="3"/>
  <c r="P931" i="3"/>
  <c r="O936" i="3"/>
  <c r="Y936" i="3" s="1"/>
  <c r="N941" i="3"/>
  <c r="M946" i="3"/>
  <c r="L951" i="3"/>
  <c r="K956" i="3"/>
  <c r="J961" i="3"/>
  <c r="V965" i="3"/>
  <c r="U970" i="3"/>
  <c r="T975" i="3"/>
  <c r="S980" i="3"/>
  <c r="U547" i="3"/>
  <c r="K600" i="3"/>
  <c r="P652" i="3"/>
  <c r="R693" i="3"/>
  <c r="R706" i="3"/>
  <c r="T719" i="3"/>
  <c r="J733" i="3"/>
  <c r="J746" i="3"/>
  <c r="L759" i="3"/>
  <c r="O772" i="3"/>
  <c r="O785" i="3"/>
  <c r="Y785" i="3" s="1"/>
  <c r="Q798" i="3"/>
  <c r="T811" i="3"/>
  <c r="T824" i="3"/>
  <c r="V837" i="3"/>
  <c r="S848" i="3"/>
  <c r="V857" i="3"/>
  <c r="T863" i="3"/>
  <c r="O869" i="3"/>
  <c r="Y869" i="3" s="1"/>
  <c r="V874" i="3"/>
  <c r="U879" i="3"/>
  <c r="T884" i="3"/>
  <c r="S889" i="3"/>
  <c r="R894" i="3"/>
  <c r="Q899" i="3"/>
  <c r="P904" i="3"/>
  <c r="O909" i="3"/>
  <c r="Y909" i="3" s="1"/>
  <c r="N914" i="3"/>
  <c r="M919" i="3"/>
  <c r="L924" i="3"/>
  <c r="K929" i="3"/>
  <c r="J934" i="3"/>
  <c r="V938" i="3"/>
  <c r="U943" i="3"/>
  <c r="T948" i="3"/>
  <c r="S953" i="3"/>
  <c r="R958" i="3"/>
  <c r="Q963" i="3"/>
  <c r="P968" i="3"/>
  <c r="O973" i="3"/>
  <c r="Y973" i="3" s="1"/>
  <c r="N978" i="3"/>
  <c r="M983" i="3"/>
  <c r="L988" i="3"/>
  <c r="O548" i="3"/>
  <c r="Y548" i="3" s="1"/>
  <c r="T600" i="3"/>
  <c r="S653" i="3"/>
  <c r="S693" i="3"/>
  <c r="U706" i="3"/>
  <c r="K720" i="3"/>
  <c r="K733" i="3"/>
  <c r="M746" i="3"/>
  <c r="P759" i="3"/>
  <c r="P772" i="3"/>
  <c r="R785" i="3"/>
  <c r="U798" i="3"/>
  <c r="U811" i="3"/>
  <c r="J825" i="3"/>
  <c r="M838" i="3"/>
  <c r="T848" i="3"/>
  <c r="J858" i="3"/>
  <c r="U863" i="3"/>
  <c r="P869" i="3"/>
  <c r="J875" i="3"/>
  <c r="V879" i="3"/>
  <c r="U884" i="3"/>
  <c r="T889" i="3"/>
  <c r="S894" i="3"/>
  <c r="R899" i="3"/>
  <c r="Q904" i="3"/>
  <c r="P909" i="3"/>
  <c r="O914" i="3"/>
  <c r="N919" i="3"/>
  <c r="M924" i="3"/>
  <c r="L929" i="3"/>
  <c r="K934" i="3"/>
  <c r="J939" i="3"/>
  <c r="V943" i="3"/>
  <c r="U948" i="3"/>
  <c r="T953" i="3"/>
  <c r="S958" i="3"/>
  <c r="R963" i="3"/>
  <c r="Q968" i="3"/>
  <c r="P973" i="3"/>
  <c r="O978" i="3"/>
  <c r="Y978" i="3" s="1"/>
  <c r="N983" i="3"/>
  <c r="M988" i="3"/>
  <c r="L993" i="3"/>
  <c r="K998" i="3"/>
  <c r="N526" i="3"/>
  <c r="P588" i="3"/>
  <c r="O641" i="3"/>
  <c r="Y641" i="3" s="1"/>
  <c r="J690" i="3"/>
  <c r="T703" i="3"/>
  <c r="J717" i="3"/>
  <c r="J730" i="3"/>
  <c r="L743" i="3"/>
  <c r="O756" i="3"/>
  <c r="Y756" i="3" s="1"/>
  <c r="O769" i="3"/>
  <c r="Q782" i="3"/>
  <c r="T795" i="3"/>
  <c r="T808" i="3"/>
  <c r="V821" i="3"/>
  <c r="L835" i="3"/>
  <c r="Q846" i="3"/>
  <c r="L856" i="3"/>
  <c r="Q862" i="3"/>
  <c r="L868" i="3"/>
  <c r="T873" i="3"/>
  <c r="T878" i="3"/>
  <c r="S883" i="3"/>
  <c r="R888" i="3"/>
  <c r="Q893" i="3"/>
  <c r="P898" i="3"/>
  <c r="O903" i="3"/>
  <c r="N908" i="3"/>
  <c r="M913" i="3"/>
  <c r="L918" i="3"/>
  <c r="K923" i="3"/>
  <c r="J928" i="3"/>
  <c r="V932" i="3"/>
  <c r="U937" i="3"/>
  <c r="T942" i="3"/>
  <c r="S947" i="3"/>
  <c r="R952" i="3"/>
  <c r="Q957" i="3"/>
  <c r="P962" i="3"/>
  <c r="O967" i="3"/>
  <c r="N972" i="3"/>
  <c r="M977" i="3"/>
  <c r="L982" i="3"/>
  <c r="K541" i="3"/>
  <c r="U595" i="3"/>
  <c r="T648" i="3"/>
  <c r="P692" i="3"/>
  <c r="R705" i="3"/>
  <c r="S557" i="3"/>
  <c r="V609" i="3"/>
  <c r="N662" i="3"/>
  <c r="K696" i="3"/>
  <c r="K709" i="3"/>
  <c r="M722" i="3"/>
  <c r="P735" i="3"/>
  <c r="P748" i="3"/>
  <c r="R761" i="3"/>
  <c r="U774" i="3"/>
  <c r="U787" i="3"/>
  <c r="J801" i="3"/>
  <c r="M814" i="3"/>
  <c r="M827" i="3"/>
  <c r="O840" i="3"/>
  <c r="Q850" i="3"/>
  <c r="L859" i="3"/>
  <c r="T864" i="3"/>
  <c r="P870" i="3"/>
  <c r="U875" i="3"/>
  <c r="T880" i="3"/>
  <c r="S885" i="3"/>
  <c r="R890" i="3"/>
  <c r="Q895" i="3"/>
  <c r="P900" i="3"/>
  <c r="O905" i="3"/>
  <c r="Y905" i="3" s="1"/>
  <c r="N910" i="3"/>
  <c r="M915" i="3"/>
  <c r="L920" i="3"/>
  <c r="K925" i="3"/>
  <c r="J930" i="3"/>
  <c r="V934" i="3"/>
  <c r="U939" i="3"/>
  <c r="T944" i="3"/>
  <c r="S949" i="3"/>
  <c r="R954" i="3"/>
  <c r="Q959" i="3"/>
  <c r="P964" i="3"/>
  <c r="O969" i="3"/>
  <c r="N974" i="3"/>
  <c r="M979" i="3"/>
  <c r="L984" i="3"/>
  <c r="P480" i="3"/>
  <c r="V577" i="3"/>
  <c r="N630" i="3"/>
  <c r="M683" i="3"/>
  <c r="K701" i="3"/>
  <c r="M714" i="3"/>
  <c r="P727" i="3"/>
  <c r="P740" i="3"/>
  <c r="R753" i="3"/>
  <c r="U766" i="3"/>
  <c r="U779" i="3"/>
  <c r="J793" i="3"/>
  <c r="M806" i="3"/>
  <c r="M819" i="3"/>
  <c r="O832" i="3"/>
  <c r="Y832" i="3" s="1"/>
  <c r="P844" i="3"/>
  <c r="N854" i="3"/>
  <c r="O861" i="3"/>
  <c r="Y861" i="3" s="1"/>
  <c r="J867" i="3"/>
  <c r="R872" i="3"/>
  <c r="T877" i="3"/>
  <c r="S882" i="3"/>
  <c r="R887" i="3"/>
  <c r="Q892" i="3"/>
  <c r="P897" i="3"/>
  <c r="O902" i="3"/>
  <c r="Y902" i="3" s="1"/>
  <c r="N907" i="3"/>
  <c r="M912" i="3"/>
  <c r="L917" i="3"/>
  <c r="K922" i="3"/>
  <c r="J927" i="3"/>
  <c r="V931" i="3"/>
  <c r="U936" i="3"/>
  <c r="T941" i="3"/>
  <c r="S946" i="3"/>
  <c r="R951" i="3"/>
  <c r="Q956" i="3"/>
  <c r="P961" i="3"/>
  <c r="O966" i="3"/>
  <c r="Y966" i="3" s="1"/>
  <c r="N971" i="3"/>
  <c r="M976" i="3"/>
  <c r="L981" i="3"/>
  <c r="K986" i="3"/>
  <c r="T699" i="3"/>
  <c r="P756" i="3"/>
  <c r="J809" i="3"/>
  <c r="O856" i="3"/>
  <c r="Y856" i="3" s="1"/>
  <c r="U878" i="3"/>
  <c r="Q898" i="3"/>
  <c r="M918" i="3"/>
  <c r="V937" i="3"/>
  <c r="R957" i="3"/>
  <c r="N977" i="3"/>
  <c r="Q989" i="3"/>
  <c r="L995" i="3"/>
  <c r="T1000" i="3"/>
  <c r="P482" i="3"/>
  <c r="U730" i="3"/>
  <c r="P783" i="3"/>
  <c r="U835" i="3"/>
  <c r="P868" i="3"/>
  <c r="V888" i="3"/>
  <c r="R908" i="3"/>
  <c r="N928" i="3"/>
  <c r="J948" i="3"/>
  <c r="S967" i="3"/>
  <c r="N985" i="3"/>
  <c r="O992" i="3"/>
  <c r="J998" i="3"/>
  <c r="S637" i="3"/>
  <c r="J745" i="3"/>
  <c r="R797" i="3"/>
  <c r="J848" i="3"/>
  <c r="Q874" i="3"/>
  <c r="M894" i="3"/>
  <c r="V913" i="3"/>
  <c r="R933" i="3"/>
  <c r="N953" i="3"/>
  <c r="J973" i="3"/>
  <c r="J988" i="3"/>
  <c r="V993" i="3"/>
  <c r="Q999" i="3"/>
  <c r="O761" i="3"/>
  <c r="Y761" i="3" s="1"/>
  <c r="K888" i="3"/>
  <c r="N969" i="3"/>
  <c r="N729" i="3"/>
  <c r="L898" i="3"/>
  <c r="M986" i="3"/>
  <c r="P691" i="3"/>
  <c r="L752" i="3"/>
  <c r="S804" i="3"/>
  <c r="N853" i="3"/>
  <c r="M877" i="3"/>
  <c r="V896" i="3"/>
  <c r="R916" i="3"/>
  <c r="N936" i="3"/>
  <c r="J956" i="3"/>
  <c r="S975" i="3"/>
  <c r="J989" i="3"/>
  <c r="S994" i="3"/>
  <c r="N1000" i="3"/>
  <c r="J893" i="3"/>
  <c r="M974" i="3"/>
  <c r="J698" i="3"/>
  <c r="J865" i="3"/>
  <c r="P942" i="3"/>
  <c r="L997" i="3"/>
  <c r="O720" i="3"/>
  <c r="J773" i="3"/>
  <c r="O825" i="3"/>
  <c r="J864" i="3"/>
  <c r="J885" i="3"/>
  <c r="S904" i="3"/>
  <c r="O924" i="3"/>
  <c r="Y924" i="3" s="1"/>
  <c r="K944" i="3"/>
  <c r="T963" i="3"/>
  <c r="K983" i="3"/>
  <c r="M991" i="3"/>
  <c r="V996" i="3"/>
  <c r="L827" i="3"/>
  <c r="J925" i="3"/>
  <c r="P991" i="3"/>
  <c r="K808" i="3"/>
  <c r="O915" i="3"/>
  <c r="N989" i="3"/>
  <c r="U694" i="3"/>
  <c r="V753" i="3"/>
  <c r="N806" i="3"/>
  <c r="Q854" i="3"/>
  <c r="U877" i="3"/>
  <c r="Q897" i="3"/>
  <c r="M917" i="3"/>
  <c r="V936" i="3"/>
  <c r="R956" i="3"/>
  <c r="N976" i="3"/>
  <c r="L989" i="3"/>
  <c r="U994" i="3"/>
  <c r="P1000" i="3"/>
  <c r="V309" i="3"/>
  <c r="O349" i="3"/>
  <c r="M387" i="3"/>
  <c r="Q457" i="3"/>
  <c r="V360" i="3"/>
  <c r="R427" i="3"/>
  <c r="Q446" i="3"/>
  <c r="S492" i="3"/>
  <c r="Q418" i="3"/>
  <c r="V470" i="3"/>
  <c r="N506" i="3"/>
  <c r="J389" i="3"/>
  <c r="T459" i="3"/>
  <c r="R495" i="3"/>
  <c r="U330" i="3"/>
  <c r="J445" i="3"/>
  <c r="K483" i="3"/>
  <c r="V516" i="3"/>
  <c r="M490" i="3"/>
  <c r="V539" i="3"/>
  <c r="N571" i="3"/>
  <c r="L597" i="3"/>
  <c r="J623" i="3"/>
  <c r="K650" i="3"/>
  <c r="V675" i="3"/>
  <c r="L462" i="3"/>
  <c r="K527" i="3"/>
  <c r="V552" i="3"/>
  <c r="T578" i="3"/>
  <c r="U605" i="3"/>
  <c r="P630" i="3"/>
  <c r="M645" i="3"/>
  <c r="K663" i="3"/>
  <c r="M677" i="3"/>
  <c r="T690" i="3"/>
  <c r="T440" i="3"/>
  <c r="L483" i="3"/>
  <c r="M520" i="3"/>
  <c r="V533" i="3"/>
  <c r="M546" i="3"/>
  <c r="T559" i="3"/>
  <c r="N573" i="3"/>
  <c r="R585" i="3"/>
  <c r="L599" i="3"/>
  <c r="S612" i="3"/>
  <c r="J625" i="3"/>
  <c r="Q638" i="3"/>
  <c r="K652" i="3"/>
  <c r="O664" i="3"/>
  <c r="Y664" i="3" s="1"/>
  <c r="V677" i="3"/>
  <c r="M291" i="3"/>
  <c r="L437" i="3"/>
  <c r="N485" i="3"/>
  <c r="K521" i="3"/>
  <c r="O533" i="3"/>
  <c r="V546" i="3"/>
  <c r="P560" i="3"/>
  <c r="N570" i="3"/>
  <c r="L580" i="3"/>
  <c r="J590" i="3"/>
  <c r="U599" i="3"/>
  <c r="S609" i="3"/>
  <c r="Q619" i="3"/>
  <c r="O629" i="3"/>
  <c r="M639" i="3"/>
  <c r="K649" i="3"/>
  <c r="V658" i="3"/>
  <c r="T668" i="3"/>
  <c r="R678" i="3"/>
  <c r="P688" i="3"/>
  <c r="S402" i="3"/>
  <c r="M459" i="3"/>
  <c r="J489" i="3"/>
  <c r="P516" i="3"/>
  <c r="Q528" i="3"/>
  <c r="O538" i="3"/>
  <c r="Y538" i="3" s="1"/>
  <c r="M548" i="3"/>
  <c r="K558" i="3"/>
  <c r="V567" i="3"/>
  <c r="T577" i="3"/>
  <c r="R587" i="3"/>
  <c r="P597" i="3"/>
  <c r="N607" i="3"/>
  <c r="L617" i="3"/>
  <c r="J627" i="3"/>
  <c r="U636" i="3"/>
  <c r="S646" i="3"/>
  <c r="Q656" i="3"/>
  <c r="O666" i="3"/>
  <c r="Y666" i="3" s="1"/>
  <c r="M676" i="3"/>
  <c r="K686" i="3"/>
  <c r="T383" i="3"/>
  <c r="U450" i="3"/>
  <c r="U481" i="3"/>
  <c r="M510" i="3"/>
  <c r="L526" i="3"/>
  <c r="J536" i="3"/>
  <c r="U545" i="3"/>
  <c r="S555" i="3"/>
  <c r="Q565" i="3"/>
  <c r="O575" i="3"/>
  <c r="Y575" i="3" s="1"/>
  <c r="M585" i="3"/>
  <c r="K595" i="3"/>
  <c r="V604" i="3"/>
  <c r="T614" i="3"/>
  <c r="R624" i="3"/>
  <c r="P634" i="3"/>
  <c r="N644" i="3"/>
  <c r="L654" i="3"/>
  <c r="T662" i="3"/>
  <c r="T670" i="3"/>
  <c r="L678" i="3"/>
  <c r="T686" i="3"/>
  <c r="R341" i="3"/>
  <c r="V425" i="3"/>
  <c r="P463" i="3"/>
  <c r="J486" i="3"/>
  <c r="N510" i="3"/>
  <c r="L523" i="3"/>
  <c r="T531" i="3"/>
  <c r="T539" i="3"/>
  <c r="J426" i="3"/>
  <c r="O553" i="3"/>
  <c r="Y553" i="3" s="1"/>
  <c r="P580" i="3"/>
  <c r="V614" i="3"/>
  <c r="V646" i="3"/>
  <c r="J674" i="3"/>
  <c r="V691" i="3"/>
  <c r="S698" i="3"/>
  <c r="P705" i="3"/>
  <c r="R711" i="3"/>
  <c r="O718" i="3"/>
  <c r="Y718" i="3" s="1"/>
  <c r="L725" i="3"/>
  <c r="N731" i="3"/>
  <c r="K738" i="3"/>
  <c r="U744" i="3"/>
  <c r="J751" i="3"/>
  <c r="T757" i="3"/>
  <c r="Q764" i="3"/>
  <c r="S770" i="3"/>
  <c r="P777" i="3"/>
  <c r="M784" i="3"/>
  <c r="O790" i="3"/>
  <c r="L797" i="3"/>
  <c r="V803" i="3"/>
  <c r="K810" i="3"/>
  <c r="U816" i="3"/>
  <c r="R823" i="3"/>
  <c r="T829" i="3"/>
  <c r="Q836" i="3"/>
  <c r="N843" i="3"/>
  <c r="P849" i="3"/>
  <c r="R855" i="3"/>
  <c r="Q860" i="3"/>
  <c r="P865" i="3"/>
  <c r="O870" i="3"/>
  <c r="V395" i="3"/>
  <c r="Q527" i="3"/>
  <c r="O556" i="3"/>
  <c r="K576" i="3"/>
  <c r="T595" i="3"/>
  <c r="P615" i="3"/>
  <c r="L635" i="3"/>
  <c r="U654" i="3"/>
  <c r="Q674" i="3"/>
  <c r="Q690" i="3"/>
  <c r="S695" i="3"/>
  <c r="R700" i="3"/>
  <c r="Q705" i="3"/>
  <c r="P710" i="3"/>
  <c r="O715" i="3"/>
  <c r="Y715" i="3" s="1"/>
  <c r="N720" i="3"/>
  <c r="M725" i="3"/>
  <c r="L730" i="3"/>
  <c r="K735" i="3"/>
  <c r="J740" i="3"/>
  <c r="V744" i="3"/>
  <c r="U749" i="3"/>
  <c r="T754" i="3"/>
  <c r="S759" i="3"/>
  <c r="R764" i="3"/>
  <c r="Q769" i="3"/>
  <c r="P774" i="3"/>
  <c r="O779" i="3"/>
  <c r="Y779" i="3" s="1"/>
  <c r="N784" i="3"/>
  <c r="M789" i="3"/>
  <c r="L794" i="3"/>
  <c r="K799" i="3"/>
  <c r="J804" i="3"/>
  <c r="V808" i="3"/>
  <c r="U813" i="3"/>
  <c r="T818" i="3"/>
  <c r="S823" i="3"/>
  <c r="R828" i="3"/>
  <c r="Q833" i="3"/>
  <c r="P838" i="3"/>
  <c r="O843" i="3"/>
  <c r="Y843" i="3" s="1"/>
  <c r="N848" i="3"/>
  <c r="M853" i="3"/>
  <c r="P351" i="3"/>
  <c r="U523" i="3"/>
  <c r="Q554" i="3"/>
  <c r="M574" i="3"/>
  <c r="V593" i="3"/>
  <c r="R613" i="3"/>
  <c r="N633" i="3"/>
  <c r="J653" i="3"/>
  <c r="S672" i="3"/>
  <c r="N689" i="3"/>
  <c r="M695" i="3"/>
  <c r="L700" i="3"/>
  <c r="K705" i="3"/>
  <c r="J710" i="3"/>
  <c r="V714" i="3"/>
  <c r="U719" i="3"/>
  <c r="T724" i="3"/>
  <c r="S729" i="3"/>
  <c r="R734" i="3"/>
  <c r="Q739" i="3"/>
  <c r="P744" i="3"/>
  <c r="O749" i="3"/>
  <c r="Y749" i="3" s="1"/>
  <c r="N754" i="3"/>
  <c r="M759" i="3"/>
  <c r="L764" i="3"/>
  <c r="K769" i="3"/>
  <c r="J774" i="3"/>
  <c r="V778" i="3"/>
  <c r="U783" i="3"/>
  <c r="T788" i="3"/>
  <c r="S793" i="3"/>
  <c r="R798" i="3"/>
  <c r="Q803" i="3"/>
  <c r="P808" i="3"/>
  <c r="O813" i="3"/>
  <c r="N818" i="3"/>
  <c r="M823" i="3"/>
  <c r="L828" i="3"/>
  <c r="K833" i="3"/>
  <c r="J838" i="3"/>
  <c r="V842" i="3"/>
  <c r="U847" i="3"/>
  <c r="T852" i="3"/>
  <c r="Q461" i="3"/>
  <c r="M539" i="3"/>
  <c r="J562" i="3"/>
  <c r="S581" i="3"/>
  <c r="O601" i="3"/>
  <c r="K621" i="3"/>
  <c r="T640" i="3"/>
  <c r="P660" i="3"/>
  <c r="L680" i="3"/>
  <c r="M692" i="3"/>
  <c r="L697" i="3"/>
  <c r="K702" i="3"/>
  <c r="J707" i="3"/>
  <c r="V711" i="3"/>
  <c r="U716" i="3"/>
  <c r="T721" i="3"/>
  <c r="S726" i="3"/>
  <c r="R731" i="3"/>
  <c r="Q736" i="3"/>
  <c r="P741" i="3"/>
  <c r="O746" i="3"/>
  <c r="N751" i="3"/>
  <c r="M756" i="3"/>
  <c r="L761" i="3"/>
  <c r="K766" i="3"/>
  <c r="J771" i="3"/>
  <c r="V775" i="3"/>
  <c r="U780" i="3"/>
  <c r="T785" i="3"/>
  <c r="S790" i="3"/>
  <c r="R795" i="3"/>
  <c r="Q800" i="3"/>
  <c r="P805" i="3"/>
  <c r="O810" i="3"/>
  <c r="N815" i="3"/>
  <c r="M820" i="3"/>
  <c r="L825" i="3"/>
  <c r="K830" i="3"/>
  <c r="J835" i="3"/>
  <c r="V839" i="3"/>
  <c r="U844" i="3"/>
  <c r="T849" i="3"/>
  <c r="S854" i="3"/>
  <c r="T367" i="3"/>
  <c r="K525" i="3"/>
  <c r="L555" i="3"/>
  <c r="U574" i="3"/>
  <c r="Q594" i="3"/>
  <c r="M614" i="3"/>
  <c r="V633" i="3"/>
  <c r="R653" i="3"/>
  <c r="N673" i="3"/>
  <c r="P689" i="3"/>
  <c r="O695" i="3"/>
  <c r="Y695" i="3" s="1"/>
  <c r="N700" i="3"/>
  <c r="M705" i="3"/>
  <c r="L710" i="3"/>
  <c r="K715" i="3"/>
  <c r="J720" i="3"/>
  <c r="V724" i="3"/>
  <c r="U729" i="3"/>
  <c r="T734" i="3"/>
  <c r="S739" i="3"/>
  <c r="R744" i="3"/>
  <c r="Q749" i="3"/>
  <c r="P754" i="3"/>
  <c r="O759" i="3"/>
  <c r="Y759" i="3" s="1"/>
  <c r="N764" i="3"/>
  <c r="M769" i="3"/>
  <c r="L774" i="3"/>
  <c r="K779" i="3"/>
  <c r="J784" i="3"/>
  <c r="V788" i="3"/>
  <c r="U793" i="3"/>
  <c r="T798" i="3"/>
  <c r="S803" i="3"/>
  <c r="R808" i="3"/>
  <c r="Q813" i="3"/>
  <c r="P818" i="3"/>
  <c r="O823" i="3"/>
  <c r="N828" i="3"/>
  <c r="M833" i="3"/>
  <c r="L838" i="3"/>
  <c r="K488" i="3"/>
  <c r="U579" i="3"/>
  <c r="K632" i="3"/>
  <c r="V683" i="3"/>
  <c r="R701" i="3"/>
  <c r="R714" i="3"/>
  <c r="T727" i="3"/>
  <c r="J741" i="3"/>
  <c r="J754" i="3"/>
  <c r="L767" i="3"/>
  <c r="O780" i="3"/>
  <c r="Y780" i="3" s="1"/>
  <c r="O793" i="3"/>
  <c r="Y793" i="3" s="1"/>
  <c r="Q806" i="3"/>
  <c r="T819" i="3"/>
  <c r="T832" i="3"/>
  <c r="V844" i="3"/>
  <c r="T854" i="3"/>
  <c r="Q861" i="3"/>
  <c r="L867" i="3"/>
  <c r="T872" i="3"/>
  <c r="V877" i="3"/>
  <c r="U882" i="3"/>
  <c r="T887" i="3"/>
  <c r="S892" i="3"/>
  <c r="R897" i="3"/>
  <c r="Q902" i="3"/>
  <c r="P907" i="3"/>
  <c r="O912" i="3"/>
  <c r="N917" i="3"/>
  <c r="M922" i="3"/>
  <c r="L927" i="3"/>
  <c r="K932" i="3"/>
  <c r="J937" i="3"/>
  <c r="V941" i="3"/>
  <c r="U946" i="3"/>
  <c r="T951" i="3"/>
  <c r="S956" i="3"/>
  <c r="R961" i="3"/>
  <c r="Q966" i="3"/>
  <c r="P971" i="3"/>
  <c r="O976" i="3"/>
  <c r="Y976" i="3" s="1"/>
  <c r="N981" i="3"/>
  <c r="J554" i="3"/>
  <c r="V606" i="3"/>
  <c r="L659" i="3"/>
  <c r="L695" i="3"/>
  <c r="O708" i="3"/>
  <c r="O721" i="3"/>
  <c r="Y721" i="3" s="1"/>
  <c r="Q734" i="3"/>
  <c r="T747" i="3"/>
  <c r="T760" i="3"/>
  <c r="V773" i="3"/>
  <c r="L787" i="3"/>
  <c r="L800" i="3"/>
  <c r="N813" i="3"/>
  <c r="Q826" i="3"/>
  <c r="Q839" i="3"/>
  <c r="V849" i="3"/>
  <c r="T858" i="3"/>
  <c r="P864" i="3"/>
  <c r="K870" i="3"/>
  <c r="Q875" i="3"/>
  <c r="P880" i="3"/>
  <c r="O885" i="3"/>
  <c r="Y885" i="3" s="1"/>
  <c r="N890" i="3"/>
  <c r="M895" i="3"/>
  <c r="L900" i="3"/>
  <c r="K905" i="3"/>
  <c r="J910" i="3"/>
  <c r="V914" i="3"/>
  <c r="U919" i="3"/>
  <c r="T924" i="3"/>
  <c r="S929" i="3"/>
  <c r="R934" i="3"/>
  <c r="Q939" i="3"/>
  <c r="P944" i="3"/>
  <c r="O949" i="3"/>
  <c r="N954" i="3"/>
  <c r="M959" i="3"/>
  <c r="L964" i="3"/>
  <c r="K969" i="3"/>
  <c r="J974" i="3"/>
  <c r="V978" i="3"/>
  <c r="U983" i="3"/>
  <c r="T988" i="3"/>
  <c r="M555" i="3"/>
  <c r="P607" i="3"/>
  <c r="U659" i="3"/>
  <c r="P695" i="3"/>
  <c r="P708" i="3"/>
  <c r="R721" i="3"/>
  <c r="U734" i="3"/>
  <c r="U747" i="3"/>
  <c r="J761" i="3"/>
  <c r="M774" i="3"/>
  <c r="M787" i="3"/>
  <c r="O800" i="3"/>
  <c r="Y800" i="3" s="1"/>
  <c r="R813" i="3"/>
  <c r="R826" i="3"/>
  <c r="T839" i="3"/>
  <c r="J850" i="3"/>
  <c r="K203" i="3"/>
  <c r="V288" i="3"/>
  <c r="S346" i="3"/>
  <c r="N496" i="3"/>
  <c r="U407" i="3"/>
  <c r="Q336" i="3"/>
  <c r="L491" i="3"/>
  <c r="L511" i="3"/>
  <c r="S434" i="3"/>
  <c r="O479" i="3"/>
  <c r="K513" i="3"/>
  <c r="T408" i="3"/>
  <c r="Q467" i="3"/>
  <c r="K502" i="3"/>
  <c r="M370" i="3"/>
  <c r="S454" i="3"/>
  <c r="Q491" i="3"/>
  <c r="S351" i="3"/>
  <c r="N507" i="3"/>
  <c r="N547" i="3"/>
  <c r="U576" i="3"/>
  <c r="S602" i="3"/>
  <c r="Q628" i="3"/>
  <c r="R655" i="3"/>
  <c r="P681" i="3"/>
  <c r="J479" i="3"/>
  <c r="R532" i="3"/>
  <c r="P558" i="3"/>
  <c r="N584" i="3"/>
  <c r="O611" i="3"/>
  <c r="Y611" i="3" s="1"/>
  <c r="K631" i="3"/>
  <c r="L650" i="3"/>
  <c r="V664" i="3"/>
  <c r="Q681" i="3"/>
  <c r="R361" i="3"/>
  <c r="T454" i="3"/>
  <c r="J496" i="3"/>
  <c r="S524" i="3"/>
  <c r="J537" i="3"/>
  <c r="Q550" i="3"/>
  <c r="K564" i="3"/>
  <c r="O576" i="3"/>
  <c r="Y576" i="3" s="1"/>
  <c r="V589" i="3"/>
  <c r="P603" i="3"/>
  <c r="T615" i="3"/>
  <c r="N629" i="3"/>
  <c r="U642" i="3"/>
  <c r="L655" i="3"/>
  <c r="S668" i="3"/>
  <c r="M682" i="3"/>
  <c r="L355" i="3"/>
  <c r="L457" i="3"/>
  <c r="K498" i="3"/>
  <c r="L524" i="3"/>
  <c r="S537" i="3"/>
  <c r="M551" i="3"/>
  <c r="Q563" i="3"/>
  <c r="O573" i="3"/>
  <c r="M583" i="3"/>
  <c r="K593" i="3"/>
  <c r="V602" i="3"/>
  <c r="T612" i="3"/>
  <c r="R622" i="3"/>
  <c r="P632" i="3"/>
  <c r="N642" i="3"/>
  <c r="L652" i="3"/>
  <c r="J662" i="3"/>
  <c r="U671" i="3"/>
  <c r="S681" i="3"/>
  <c r="T320" i="3"/>
  <c r="M424" i="3"/>
  <c r="P468" i="3"/>
  <c r="Q498" i="3"/>
  <c r="T521" i="3"/>
  <c r="R531" i="3"/>
  <c r="P541" i="3"/>
  <c r="N551" i="3"/>
  <c r="L561" i="3"/>
  <c r="J571" i="3"/>
  <c r="U580" i="3"/>
  <c r="S590" i="3"/>
  <c r="Q600" i="3"/>
  <c r="O610" i="3"/>
  <c r="Y610" i="3" s="1"/>
  <c r="M620" i="3"/>
  <c r="K630" i="3"/>
  <c r="V639" i="3"/>
  <c r="T649" i="3"/>
  <c r="R659" i="3"/>
  <c r="P669" i="3"/>
  <c r="N679" i="3"/>
  <c r="L689" i="3"/>
  <c r="R407" i="3"/>
  <c r="O461" i="3"/>
  <c r="K491" i="3"/>
  <c r="N518" i="3"/>
  <c r="M529" i="3"/>
  <c r="K539" i="3"/>
  <c r="V548" i="3"/>
  <c r="T558" i="3"/>
  <c r="R568" i="3"/>
  <c r="P578" i="3"/>
  <c r="N588" i="3"/>
  <c r="L598" i="3"/>
  <c r="J608" i="3"/>
  <c r="U617" i="3"/>
  <c r="S627" i="3"/>
  <c r="Q637" i="3"/>
  <c r="O647" i="3"/>
  <c r="Y647" i="3" s="1"/>
  <c r="J656" i="3"/>
  <c r="O663" i="3"/>
  <c r="Y663" i="3" s="1"/>
  <c r="J672" i="3"/>
  <c r="T678" i="3"/>
  <c r="O687" i="3"/>
  <c r="Y687" i="3" s="1"/>
  <c r="S367" i="3"/>
  <c r="O430" i="3"/>
  <c r="Y430" i="3" s="1"/>
  <c r="K467" i="3"/>
  <c r="Q487" i="3"/>
  <c r="K512" i="3"/>
  <c r="J525" i="3"/>
  <c r="O532" i="3"/>
  <c r="J541" i="3"/>
  <c r="V453" i="3"/>
  <c r="U555" i="3"/>
  <c r="U587" i="3"/>
  <c r="O617" i="3"/>
  <c r="Y617" i="3" s="1"/>
  <c r="U651" i="3"/>
  <c r="P676" i="3"/>
  <c r="Q692" i="3"/>
  <c r="V699" i="3"/>
  <c r="K706" i="3"/>
  <c r="M712" i="3"/>
  <c r="R719" i="3"/>
  <c r="T725" i="3"/>
  <c r="V731" i="3"/>
  <c r="N739" i="3"/>
  <c r="P745" i="3"/>
  <c r="R751" i="3"/>
  <c r="J759" i="3"/>
  <c r="L765" i="3"/>
  <c r="N771" i="3"/>
  <c r="S778" i="3"/>
  <c r="U784" i="3"/>
  <c r="J791" i="3"/>
  <c r="O798" i="3"/>
  <c r="Q804" i="3"/>
  <c r="S810" i="3"/>
  <c r="K818" i="3"/>
  <c r="M824" i="3"/>
  <c r="O830" i="3"/>
  <c r="Y830" i="3" s="1"/>
  <c r="T837" i="3"/>
  <c r="V843" i="3"/>
  <c r="K850" i="3"/>
  <c r="M856" i="3"/>
  <c r="L861" i="3"/>
  <c r="K866" i="3"/>
  <c r="J871" i="3"/>
  <c r="U430" i="3"/>
  <c r="P532" i="3"/>
  <c r="U558" i="3"/>
  <c r="Q578" i="3"/>
  <c r="M598" i="3"/>
  <c r="V617" i="3"/>
  <c r="R637" i="3"/>
  <c r="N657" i="3"/>
  <c r="J677" i="3"/>
  <c r="O691" i="3"/>
  <c r="Y691" i="3" s="1"/>
  <c r="N696" i="3"/>
  <c r="M701" i="3"/>
  <c r="L706" i="3"/>
  <c r="K711" i="3"/>
  <c r="J716" i="3"/>
  <c r="V720" i="3"/>
  <c r="U725" i="3"/>
  <c r="T730" i="3"/>
  <c r="S735" i="3"/>
  <c r="R740" i="3"/>
  <c r="Q745" i="3"/>
  <c r="P750" i="3"/>
  <c r="O755" i="3"/>
  <c r="Y755" i="3" s="1"/>
  <c r="N760" i="3"/>
  <c r="M765" i="3"/>
  <c r="L770" i="3"/>
  <c r="K775" i="3"/>
  <c r="J780" i="3"/>
  <c r="V784" i="3"/>
  <c r="U789" i="3"/>
  <c r="T794" i="3"/>
  <c r="S799" i="3"/>
  <c r="R804" i="3"/>
  <c r="Q809" i="3"/>
  <c r="P814" i="3"/>
  <c r="O819" i="3"/>
  <c r="N824" i="3"/>
  <c r="M829" i="3"/>
  <c r="L834" i="3"/>
  <c r="K839" i="3"/>
  <c r="J844" i="3"/>
  <c r="V848" i="3"/>
  <c r="U853" i="3"/>
  <c r="P404" i="3"/>
  <c r="T528" i="3"/>
  <c r="J557" i="3"/>
  <c r="S576" i="3"/>
  <c r="O596" i="3"/>
  <c r="Y596" i="3" s="1"/>
  <c r="K616" i="3"/>
  <c r="T635" i="3"/>
  <c r="P655" i="3"/>
  <c r="L675" i="3"/>
  <c r="S690" i="3"/>
  <c r="U695" i="3"/>
  <c r="T700" i="3"/>
  <c r="S705" i="3"/>
  <c r="R710" i="3"/>
  <c r="Q715" i="3"/>
  <c r="P720" i="3"/>
  <c r="O725" i="3"/>
  <c r="N730" i="3"/>
  <c r="M735" i="3"/>
  <c r="L740" i="3"/>
  <c r="K745" i="3"/>
  <c r="J750" i="3"/>
  <c r="V754" i="3"/>
  <c r="U759" i="3"/>
  <c r="T764" i="3"/>
  <c r="S769" i="3"/>
  <c r="R774" i="3"/>
  <c r="Q779" i="3"/>
  <c r="P784" i="3"/>
  <c r="O789" i="3"/>
  <c r="N794" i="3"/>
  <c r="M799" i="3"/>
  <c r="L804" i="3"/>
  <c r="K809" i="3"/>
  <c r="J814" i="3"/>
  <c r="V818" i="3"/>
  <c r="U823" i="3"/>
  <c r="T828" i="3"/>
  <c r="S833" i="3"/>
  <c r="R838" i="3"/>
  <c r="Q843" i="3"/>
  <c r="P848" i="3"/>
  <c r="O853" i="3"/>
  <c r="U476" i="3"/>
  <c r="L544" i="3"/>
  <c r="P564" i="3"/>
  <c r="L584" i="3"/>
  <c r="U603" i="3"/>
  <c r="Q623" i="3"/>
  <c r="M643" i="3"/>
  <c r="V662" i="3"/>
  <c r="R682" i="3"/>
  <c r="U692" i="3"/>
  <c r="T697" i="3"/>
  <c r="S702" i="3"/>
  <c r="R707" i="3"/>
  <c r="Q712" i="3"/>
  <c r="P717" i="3"/>
  <c r="O722" i="3"/>
  <c r="N727" i="3"/>
  <c r="M732" i="3"/>
  <c r="L737" i="3"/>
  <c r="K742" i="3"/>
  <c r="J747" i="3"/>
  <c r="V751" i="3"/>
  <c r="U756" i="3"/>
  <c r="T761" i="3"/>
  <c r="S766" i="3"/>
  <c r="R771" i="3"/>
  <c r="Q776" i="3"/>
  <c r="P781" i="3"/>
  <c r="O786" i="3"/>
  <c r="Y786" i="3" s="1"/>
  <c r="N791" i="3"/>
  <c r="M796" i="3"/>
  <c r="L801" i="3"/>
  <c r="K806" i="3"/>
  <c r="J811" i="3"/>
  <c r="V815" i="3"/>
  <c r="U820" i="3"/>
  <c r="T825" i="3"/>
  <c r="S830" i="3"/>
  <c r="R835" i="3"/>
  <c r="Q840" i="3"/>
  <c r="P845" i="3"/>
  <c r="O850" i="3"/>
  <c r="Y850" i="3" s="1"/>
  <c r="N855" i="3"/>
  <c r="J413" i="3"/>
  <c r="J530" i="3"/>
  <c r="R557" i="3"/>
  <c r="N577" i="3"/>
  <c r="J597" i="3"/>
  <c r="S616" i="3"/>
  <c r="O636" i="3"/>
  <c r="Y636" i="3" s="1"/>
  <c r="K656" i="3"/>
  <c r="T675" i="3"/>
  <c r="J691" i="3"/>
  <c r="J696" i="3"/>
  <c r="V700" i="3"/>
  <c r="U705" i="3"/>
  <c r="T710" i="3"/>
  <c r="S715" i="3"/>
  <c r="R720" i="3"/>
  <c r="Q725" i="3"/>
  <c r="P730" i="3"/>
  <c r="O735" i="3"/>
  <c r="N740" i="3"/>
  <c r="M745" i="3"/>
  <c r="L750" i="3"/>
  <c r="K755" i="3"/>
  <c r="J760" i="3"/>
  <c r="V764" i="3"/>
  <c r="U769" i="3"/>
  <c r="T774" i="3"/>
  <c r="S779" i="3"/>
  <c r="R784" i="3"/>
  <c r="Q789" i="3"/>
  <c r="P794" i="3"/>
  <c r="O799" i="3"/>
  <c r="N804" i="3"/>
  <c r="M809" i="3"/>
  <c r="L814" i="3"/>
  <c r="K819" i="3"/>
  <c r="J824" i="3"/>
  <c r="V828" i="3"/>
  <c r="U833" i="3"/>
  <c r="T838" i="3"/>
  <c r="O521" i="3"/>
  <c r="Y521" i="3" s="1"/>
  <c r="J586" i="3"/>
  <c r="V638" i="3"/>
  <c r="M688" i="3"/>
  <c r="L703" i="3"/>
  <c r="O716" i="3"/>
  <c r="Y716" i="3" s="1"/>
  <c r="O729" i="3"/>
  <c r="Y729" i="3" s="1"/>
  <c r="Q742" i="3"/>
  <c r="T755" i="3"/>
  <c r="T768" i="3"/>
  <c r="V781" i="3"/>
  <c r="L795" i="3"/>
  <c r="L808" i="3"/>
  <c r="N821" i="3"/>
  <c r="Q834" i="3"/>
  <c r="L846" i="3"/>
  <c r="U855" i="3"/>
  <c r="M862" i="3"/>
  <c r="U867" i="3"/>
  <c r="Q873" i="3"/>
  <c r="Q878" i="3"/>
  <c r="P883" i="3"/>
  <c r="O888" i="3"/>
  <c r="Y888" i="3" s="1"/>
  <c r="N893" i="3"/>
  <c r="M898" i="3"/>
  <c r="L903" i="3"/>
  <c r="K908" i="3"/>
  <c r="J913" i="3"/>
  <c r="V917" i="3"/>
  <c r="U922" i="3"/>
  <c r="T927" i="3"/>
  <c r="S932" i="3"/>
  <c r="R937" i="3"/>
  <c r="Q942" i="3"/>
  <c r="P947" i="3"/>
  <c r="O952" i="3"/>
  <c r="Y952" i="3" s="1"/>
  <c r="N957" i="3"/>
  <c r="M962" i="3"/>
  <c r="L967" i="3"/>
  <c r="K972" i="3"/>
  <c r="J977" i="3"/>
  <c r="V981" i="3"/>
  <c r="S560" i="3"/>
  <c r="K613" i="3"/>
  <c r="J666" i="3"/>
  <c r="T696" i="3"/>
  <c r="V709" i="3"/>
  <c r="L723" i="3"/>
  <c r="L736" i="3"/>
  <c r="N749" i="3"/>
  <c r="Q762" i="3"/>
  <c r="Q775" i="3"/>
  <c r="S788" i="3"/>
  <c r="V801" i="3"/>
  <c r="V814" i="3"/>
  <c r="K828" i="3"/>
  <c r="N841" i="3"/>
  <c r="L851" i="3"/>
  <c r="Q859" i="3"/>
  <c r="L865" i="3"/>
  <c r="T870" i="3"/>
  <c r="L876" i="3"/>
  <c r="K881" i="3"/>
  <c r="J886" i="3"/>
  <c r="V890" i="3"/>
  <c r="U895" i="3"/>
  <c r="T900" i="3"/>
  <c r="S905" i="3"/>
  <c r="R910" i="3"/>
  <c r="Q915" i="3"/>
  <c r="P920" i="3"/>
  <c r="O925" i="3"/>
  <c r="N930" i="3"/>
  <c r="M935" i="3"/>
  <c r="L940" i="3"/>
  <c r="K945" i="3"/>
  <c r="J950" i="3"/>
  <c r="V954" i="3"/>
  <c r="U959" i="3"/>
  <c r="T964" i="3"/>
  <c r="S969" i="3"/>
  <c r="R974" i="3"/>
  <c r="Q979" i="3"/>
  <c r="P984" i="3"/>
  <c r="O989" i="3"/>
  <c r="O561" i="3"/>
  <c r="Y561" i="3" s="1"/>
  <c r="N614" i="3"/>
  <c r="Q666" i="3"/>
  <c r="J697" i="3"/>
  <c r="M710" i="3"/>
  <c r="M723" i="3"/>
  <c r="O736" i="3"/>
  <c r="Y736" i="3" s="1"/>
  <c r="R749" i="3"/>
  <c r="R762" i="3"/>
  <c r="T775" i="3"/>
  <c r="J789" i="3"/>
  <c r="J802" i="3"/>
  <c r="L815" i="3"/>
  <c r="O828" i="3"/>
  <c r="O841" i="3"/>
  <c r="Y841" i="3" s="1"/>
  <c r="M851" i="3"/>
  <c r="R859" i="3"/>
  <c r="M865" i="3"/>
  <c r="U870" i="3"/>
  <c r="M876" i="3"/>
  <c r="L881" i="3"/>
  <c r="K886" i="3"/>
  <c r="J891" i="3"/>
  <c r="V895" i="3"/>
  <c r="U900" i="3"/>
  <c r="T905" i="3"/>
  <c r="S910" i="3"/>
  <c r="R915" i="3"/>
  <c r="Q920" i="3"/>
  <c r="P925" i="3"/>
  <c r="O930" i="3"/>
  <c r="Y930" i="3" s="1"/>
  <c r="N935" i="3"/>
  <c r="M940" i="3"/>
  <c r="L945" i="3"/>
  <c r="K950" i="3"/>
  <c r="J955" i="3"/>
  <c r="V959" i="3"/>
  <c r="U964" i="3"/>
  <c r="T969" i="3"/>
  <c r="S974" i="3"/>
  <c r="R979" i="3"/>
  <c r="Q984" i="3"/>
  <c r="P989" i="3"/>
  <c r="O994" i="3"/>
  <c r="Y994" i="3" s="1"/>
  <c r="N999" i="3"/>
  <c r="K549" i="3"/>
  <c r="J602" i="3"/>
  <c r="M654" i="3"/>
  <c r="V693" i="3"/>
  <c r="L707" i="3"/>
  <c r="L720" i="3"/>
  <c r="N733" i="3"/>
  <c r="Q746" i="3"/>
  <c r="Q759" i="3"/>
  <c r="S772" i="3"/>
  <c r="V785" i="3"/>
  <c r="V798" i="3"/>
  <c r="K812" i="3"/>
  <c r="N825" i="3"/>
  <c r="N838" i="3"/>
  <c r="J849" i="3"/>
  <c r="L858" i="3"/>
  <c r="V863" i="3"/>
  <c r="Q869" i="3"/>
  <c r="K875" i="3"/>
  <c r="J880" i="3"/>
  <c r="V884" i="3"/>
  <c r="U889" i="3"/>
  <c r="T894" i="3"/>
  <c r="S899" i="3"/>
  <c r="R904" i="3"/>
  <c r="Q909" i="3"/>
  <c r="P914" i="3"/>
  <c r="O919" i="3"/>
  <c r="Y919" i="3" s="1"/>
  <c r="N924" i="3"/>
  <c r="M929" i="3"/>
  <c r="L934" i="3"/>
  <c r="K939" i="3"/>
  <c r="J944" i="3"/>
  <c r="V948" i="3"/>
  <c r="U953" i="3"/>
  <c r="T958" i="3"/>
  <c r="S963" i="3"/>
  <c r="R968" i="3"/>
  <c r="Q973" i="3"/>
  <c r="P978" i="3"/>
  <c r="O983" i="3"/>
  <c r="Y983" i="3" s="1"/>
  <c r="P556" i="3"/>
  <c r="O609" i="3"/>
  <c r="Y609" i="3" s="1"/>
  <c r="R661" i="3"/>
  <c r="T695" i="3"/>
  <c r="P417" i="3"/>
  <c r="Q570" i="3"/>
  <c r="V622" i="3"/>
  <c r="U675" i="3"/>
  <c r="M699" i="3"/>
  <c r="O712" i="3"/>
  <c r="Y712" i="3" s="1"/>
  <c r="R725" i="3"/>
  <c r="R738" i="3"/>
  <c r="T751" i="3"/>
  <c r="J765" i="3"/>
  <c r="J778" i="3"/>
  <c r="L791" i="3"/>
  <c r="O804" i="3"/>
  <c r="O817" i="3"/>
  <c r="Y817" i="3" s="1"/>
  <c r="Q830" i="3"/>
  <c r="L843" i="3"/>
  <c r="J853" i="3"/>
  <c r="R860" i="3"/>
  <c r="M866" i="3"/>
  <c r="U871" i="3"/>
  <c r="K877" i="3"/>
  <c r="J882" i="3"/>
  <c r="V886" i="3"/>
  <c r="U891" i="3"/>
  <c r="T896" i="3"/>
  <c r="S901" i="3"/>
  <c r="R906" i="3"/>
  <c r="Q911" i="3"/>
  <c r="P916" i="3"/>
  <c r="O921" i="3"/>
  <c r="Y921" i="3" s="1"/>
  <c r="N926" i="3"/>
  <c r="M931" i="3"/>
  <c r="L936" i="3"/>
  <c r="K941" i="3"/>
  <c r="J946" i="3"/>
  <c r="V950" i="3"/>
  <c r="U955" i="3"/>
  <c r="T960" i="3"/>
  <c r="S965" i="3"/>
  <c r="R970" i="3"/>
  <c r="Q975" i="3"/>
  <c r="P980" i="3"/>
  <c r="O985" i="3"/>
  <c r="M531" i="3"/>
  <c r="V590" i="3"/>
  <c r="U643" i="3"/>
  <c r="M691" i="3"/>
  <c r="O704" i="3"/>
  <c r="Y704" i="3" s="1"/>
  <c r="R717" i="3"/>
  <c r="R730" i="3"/>
  <c r="T743" i="3"/>
  <c r="J757" i="3"/>
  <c r="J770" i="3"/>
  <c r="L783" i="3"/>
  <c r="O796" i="3"/>
  <c r="Y796" i="3" s="1"/>
  <c r="O809" i="3"/>
  <c r="Y809" i="3" s="1"/>
  <c r="Q822" i="3"/>
  <c r="T835" i="3"/>
  <c r="V846" i="3"/>
  <c r="R856" i="3"/>
  <c r="T862" i="3"/>
  <c r="O868" i="3"/>
  <c r="Y868" i="3" s="1"/>
  <c r="J874" i="3"/>
  <c r="J879" i="3"/>
  <c r="V883" i="3"/>
  <c r="U888" i="3"/>
  <c r="T893" i="3"/>
  <c r="S898" i="3"/>
  <c r="R903" i="3"/>
  <c r="Q908" i="3"/>
  <c r="P913" i="3"/>
  <c r="O918" i="3"/>
  <c r="N923" i="3"/>
  <c r="M928" i="3"/>
  <c r="L933" i="3"/>
  <c r="K938" i="3"/>
  <c r="J943" i="3"/>
  <c r="V947" i="3"/>
  <c r="U952" i="3"/>
  <c r="T957" i="3"/>
  <c r="S962" i="3"/>
  <c r="R967" i="3"/>
  <c r="Q972" i="3"/>
  <c r="P977" i="3"/>
  <c r="O982" i="3"/>
  <c r="Y982" i="3" s="1"/>
  <c r="N987" i="3"/>
  <c r="K717" i="3"/>
  <c r="R769" i="3"/>
  <c r="M822" i="3"/>
  <c r="R862" i="3"/>
  <c r="T883" i="3"/>
  <c r="P903" i="3"/>
  <c r="L923" i="3"/>
  <c r="U942" i="3"/>
  <c r="Q962" i="3"/>
  <c r="M982" i="3"/>
  <c r="V990" i="3"/>
  <c r="Q996" i="3"/>
  <c r="U966" i="3"/>
  <c r="Q631" i="3"/>
  <c r="K744" i="3"/>
  <c r="P796" i="3"/>
  <c r="L847" i="3"/>
  <c r="L874" i="3"/>
  <c r="U893" i="3"/>
  <c r="Q913" i="3"/>
  <c r="M933" i="3"/>
  <c r="V952" i="3"/>
  <c r="R972" i="3"/>
  <c r="T987" i="3"/>
  <c r="U993" i="3"/>
  <c r="P999" i="3"/>
  <c r="V702" i="3"/>
  <c r="M758" i="3"/>
  <c r="R810" i="3"/>
  <c r="N857" i="3"/>
  <c r="P879" i="3"/>
  <c r="L899" i="3"/>
  <c r="U918" i="3"/>
  <c r="Q938" i="3"/>
  <c r="M958" i="3"/>
  <c r="V977" i="3"/>
  <c r="S989" i="3"/>
  <c r="N995" i="3"/>
  <c r="V1000" i="3"/>
  <c r="T800" i="3"/>
  <c r="T907" i="3"/>
  <c r="L986" i="3"/>
  <c r="O788" i="3"/>
  <c r="Y788" i="3" s="1"/>
  <c r="U917" i="3"/>
  <c r="R993" i="3"/>
  <c r="T712" i="3"/>
  <c r="N765" i="3"/>
  <c r="V817" i="3"/>
  <c r="T860" i="3"/>
  <c r="L882" i="3"/>
  <c r="U901" i="3"/>
  <c r="Q921" i="3"/>
  <c r="M941" i="3"/>
  <c r="V960" i="3"/>
  <c r="R980" i="3"/>
  <c r="P990" i="3"/>
  <c r="K996" i="3"/>
  <c r="Q774" i="3"/>
  <c r="L915" i="3"/>
  <c r="O987" i="3"/>
  <c r="Y987" i="3" s="1"/>
  <c r="N742" i="3"/>
  <c r="V880" i="3"/>
  <c r="L962" i="3"/>
  <c r="V545" i="3"/>
  <c r="R733" i="3"/>
  <c r="J786" i="3"/>
  <c r="Q838" i="3"/>
  <c r="R869" i="3"/>
  <c r="V889" i="3"/>
  <c r="R909" i="3"/>
  <c r="N929" i="3"/>
  <c r="J949" i="3"/>
  <c r="S968" i="3"/>
  <c r="U985" i="3"/>
  <c r="S992" i="3"/>
  <c r="N998" i="3"/>
  <c r="V861" i="3"/>
  <c r="S944" i="3"/>
  <c r="S995" i="3"/>
  <c r="U850" i="3"/>
  <c r="L930" i="3"/>
  <c r="N994" i="3"/>
  <c r="Q714" i="3"/>
  <c r="V766" i="3"/>
  <c r="P819" i="3"/>
  <c r="P861" i="3"/>
  <c r="T882" i="3"/>
  <c r="P902" i="3"/>
  <c r="L922" i="3"/>
  <c r="U941" i="3"/>
  <c r="Q961" i="3"/>
  <c r="M981" i="3"/>
  <c r="R990" i="3"/>
  <c r="N996" i="3"/>
  <c r="J722" i="3"/>
  <c r="J252" i="3"/>
  <c r="T304" i="3"/>
  <c r="R351" i="3"/>
  <c r="K304" i="3"/>
  <c r="J414" i="3"/>
  <c r="T337" i="3"/>
  <c r="J500" i="3"/>
  <c r="J513" i="3"/>
  <c r="R439" i="3"/>
  <c r="T480" i="3"/>
  <c r="S513" i="3"/>
  <c r="Q410" i="3"/>
  <c r="M468" i="3"/>
  <c r="V503" i="3"/>
  <c r="N377" i="3"/>
  <c r="P455" i="3"/>
  <c r="M492" i="3"/>
  <c r="N361" i="3"/>
  <c r="M512" i="3"/>
  <c r="Q548" i="3"/>
  <c r="P577" i="3"/>
  <c r="N603" i="3"/>
  <c r="O630" i="3"/>
  <c r="Y630" i="3" s="1"/>
  <c r="M656" i="3"/>
  <c r="K682" i="3"/>
  <c r="S484" i="3"/>
  <c r="M533" i="3"/>
  <c r="K559" i="3"/>
  <c r="L586" i="3"/>
  <c r="J612" i="3"/>
  <c r="S631" i="3"/>
  <c r="T650" i="3"/>
  <c r="U669" i="3"/>
  <c r="L682" i="3"/>
  <c r="O371" i="3"/>
  <c r="Y371" i="3" s="1"/>
  <c r="S460" i="3"/>
  <c r="J498" i="3"/>
  <c r="N525" i="3"/>
  <c r="U538" i="3"/>
  <c r="L551" i="3"/>
  <c r="S564" i="3"/>
  <c r="M578" i="3"/>
  <c r="Q590" i="3"/>
  <c r="K604" i="3"/>
  <c r="R617" i="3"/>
  <c r="V629" i="3"/>
  <c r="P643" i="3"/>
  <c r="J657" i="3"/>
  <c r="N669" i="3"/>
  <c r="U682" i="3"/>
  <c r="M381" i="3"/>
  <c r="S458" i="3"/>
  <c r="U499" i="3"/>
  <c r="J526" i="3"/>
  <c r="N538" i="3"/>
  <c r="U551" i="3"/>
  <c r="L564" i="3"/>
  <c r="J574" i="3"/>
  <c r="U583" i="3"/>
  <c r="S593" i="3"/>
  <c r="Q603" i="3"/>
  <c r="O613" i="3"/>
  <c r="M623" i="3"/>
  <c r="K633" i="3"/>
  <c r="V642" i="3"/>
  <c r="T652" i="3"/>
  <c r="R662" i="3"/>
  <c r="P672" i="3"/>
  <c r="N682" i="3"/>
  <c r="N329" i="3"/>
  <c r="K429" i="3"/>
  <c r="Q470" i="3"/>
  <c r="V499" i="3"/>
  <c r="O522" i="3"/>
  <c r="Y522" i="3" s="1"/>
  <c r="M532" i="3"/>
  <c r="K542" i="3"/>
  <c r="V551" i="3"/>
  <c r="T561" i="3"/>
  <c r="R571" i="3"/>
  <c r="P581" i="3"/>
  <c r="N591" i="3"/>
  <c r="L601" i="3"/>
  <c r="J611" i="3"/>
  <c r="U620" i="3"/>
  <c r="S630" i="3"/>
  <c r="Q640" i="3"/>
  <c r="O650" i="3"/>
  <c r="Y650" i="3" s="1"/>
  <c r="M660" i="3"/>
  <c r="K670" i="3"/>
  <c r="V679" i="3"/>
  <c r="T689" i="3"/>
  <c r="P412" i="3"/>
  <c r="V462" i="3"/>
  <c r="K493" i="3"/>
  <c r="R519" i="3"/>
  <c r="U529" i="3"/>
  <c r="S539" i="3"/>
  <c r="Q549" i="3"/>
  <c r="O559" i="3"/>
  <c r="Y559" i="3" s="1"/>
  <c r="M569" i="3"/>
  <c r="K579" i="3"/>
  <c r="V588" i="3"/>
  <c r="T598" i="3"/>
  <c r="R608" i="3"/>
  <c r="P618" i="3"/>
  <c r="N628" i="3"/>
  <c r="L638" i="3"/>
  <c r="J648" i="3"/>
  <c r="M657" i="3"/>
  <c r="J664" i="3"/>
  <c r="R672" i="3"/>
  <c r="R680" i="3"/>
  <c r="J688" i="3"/>
  <c r="S384" i="3"/>
  <c r="K434" i="3"/>
  <c r="K469" i="3"/>
  <c r="L493" i="3"/>
  <c r="P513" i="3"/>
  <c r="M526" i="3"/>
  <c r="J533" i="3"/>
  <c r="R541" i="3"/>
  <c r="L499" i="3"/>
  <c r="N558" i="3"/>
  <c r="T592" i="3"/>
  <c r="U619" i="3"/>
  <c r="N654" i="3"/>
  <c r="V678" i="3"/>
  <c r="T693" i="3"/>
  <c r="Q700" i="3"/>
  <c r="S706" i="3"/>
  <c r="P713" i="3"/>
  <c r="M720" i="3"/>
  <c r="O726" i="3"/>
  <c r="Y726" i="3" s="1"/>
  <c r="L733" i="3"/>
  <c r="V739" i="3"/>
  <c r="K746" i="3"/>
  <c r="U752" i="3"/>
  <c r="R759" i="3"/>
  <c r="T765" i="3"/>
  <c r="Q772" i="3"/>
  <c r="N779" i="3"/>
  <c r="P785" i="3"/>
  <c r="M792" i="3"/>
  <c r="J799" i="3"/>
  <c r="L805" i="3"/>
  <c r="V811" i="3"/>
  <c r="S818" i="3"/>
  <c r="U824" i="3"/>
  <c r="R831" i="3"/>
  <c r="O838" i="3"/>
  <c r="Q844" i="3"/>
  <c r="N851" i="3"/>
  <c r="U856" i="3"/>
  <c r="T861" i="3"/>
  <c r="S866" i="3"/>
  <c r="R871" i="3"/>
  <c r="T455" i="3"/>
  <c r="O537" i="3"/>
  <c r="N561" i="3"/>
  <c r="J581" i="3"/>
  <c r="S600" i="3"/>
  <c r="O620" i="3"/>
  <c r="Y620" i="3" s="1"/>
  <c r="K640" i="3"/>
  <c r="T659" i="3"/>
  <c r="P679" i="3"/>
  <c r="J692" i="3"/>
  <c r="V696" i="3"/>
  <c r="U701" i="3"/>
  <c r="T706" i="3"/>
  <c r="S711" i="3"/>
  <c r="R716" i="3"/>
  <c r="Q721" i="3"/>
  <c r="P726" i="3"/>
  <c r="O731" i="3"/>
  <c r="N736" i="3"/>
  <c r="M741" i="3"/>
  <c r="L746" i="3"/>
  <c r="K751" i="3"/>
  <c r="J756" i="3"/>
  <c r="V760" i="3"/>
  <c r="U765" i="3"/>
  <c r="T770" i="3"/>
  <c r="S775" i="3"/>
  <c r="R780" i="3"/>
  <c r="Q785" i="3"/>
  <c r="P790" i="3"/>
  <c r="O795" i="3"/>
  <c r="Y795" i="3" s="1"/>
  <c r="N800" i="3"/>
  <c r="M805" i="3"/>
  <c r="L810" i="3"/>
  <c r="K815" i="3"/>
  <c r="J820" i="3"/>
  <c r="V824" i="3"/>
  <c r="U829" i="3"/>
  <c r="T834" i="3"/>
  <c r="S839" i="3"/>
  <c r="R844" i="3"/>
  <c r="Q849" i="3"/>
  <c r="P854" i="3"/>
  <c r="J439" i="3"/>
  <c r="S533" i="3"/>
  <c r="P559" i="3"/>
  <c r="L579" i="3"/>
  <c r="U598" i="3"/>
  <c r="Q618" i="3"/>
  <c r="M638" i="3"/>
  <c r="V657" i="3"/>
  <c r="R677" i="3"/>
  <c r="Q691" i="3"/>
  <c r="P696" i="3"/>
  <c r="O701" i="3"/>
  <c r="N706" i="3"/>
  <c r="M711" i="3"/>
  <c r="L716" i="3"/>
  <c r="K721" i="3"/>
  <c r="J726" i="3"/>
  <c r="V730" i="3"/>
  <c r="U735" i="3"/>
  <c r="T740" i="3"/>
  <c r="S745" i="3"/>
  <c r="R750" i="3"/>
  <c r="Q755" i="3"/>
  <c r="P760" i="3"/>
  <c r="O765" i="3"/>
  <c r="Y765" i="3" s="1"/>
  <c r="N770" i="3"/>
  <c r="M775" i="3"/>
  <c r="L780" i="3"/>
  <c r="K785" i="3"/>
  <c r="J790" i="3"/>
  <c r="V794" i="3"/>
  <c r="U799" i="3"/>
  <c r="T804" i="3"/>
  <c r="S809" i="3"/>
  <c r="R814" i="3"/>
  <c r="Q819" i="3"/>
  <c r="P824" i="3"/>
  <c r="O829" i="3"/>
  <c r="Y829" i="3" s="1"/>
  <c r="N834" i="3"/>
  <c r="M839" i="3"/>
  <c r="L844" i="3"/>
  <c r="K849" i="3"/>
  <c r="J854" i="3"/>
  <c r="S491" i="3"/>
  <c r="M547" i="3"/>
  <c r="V566" i="3"/>
  <c r="R586" i="3"/>
  <c r="N606" i="3"/>
  <c r="J626" i="3"/>
  <c r="S645" i="3"/>
  <c r="O665" i="3"/>
  <c r="Y665" i="3" s="1"/>
  <c r="P684" i="3"/>
  <c r="P693" i="3"/>
  <c r="O698" i="3"/>
  <c r="Y698" i="3" s="1"/>
  <c r="N703" i="3"/>
  <c r="M708" i="3"/>
  <c r="L713" i="3"/>
  <c r="K718" i="3"/>
  <c r="J723" i="3"/>
  <c r="V727" i="3"/>
  <c r="U732" i="3"/>
  <c r="T737" i="3"/>
  <c r="S742" i="3"/>
  <c r="R747" i="3"/>
  <c r="Q752" i="3"/>
  <c r="P757" i="3"/>
  <c r="O762" i="3"/>
  <c r="Y762" i="3" s="1"/>
  <c r="N767" i="3"/>
  <c r="M772" i="3"/>
  <c r="L777" i="3"/>
  <c r="K782" i="3"/>
  <c r="J787" i="3"/>
  <c r="V791" i="3"/>
  <c r="U796" i="3"/>
  <c r="T801" i="3"/>
  <c r="S806" i="3"/>
  <c r="R811" i="3"/>
  <c r="Q816" i="3"/>
  <c r="P821" i="3"/>
  <c r="O826" i="3"/>
  <c r="Y826" i="3" s="1"/>
  <c r="N831" i="3"/>
  <c r="M836" i="3"/>
  <c r="L841" i="3"/>
  <c r="K846" i="3"/>
  <c r="J851" i="3"/>
  <c r="V855" i="3"/>
  <c r="L447" i="3"/>
  <c r="V534" i="3"/>
  <c r="K560" i="3"/>
  <c r="T579" i="3"/>
  <c r="P599" i="3"/>
  <c r="L619" i="3"/>
  <c r="U638" i="3"/>
  <c r="Q658" i="3"/>
  <c r="M678" i="3"/>
  <c r="S691" i="3"/>
  <c r="R696" i="3"/>
  <c r="Q701" i="3"/>
  <c r="P706" i="3"/>
  <c r="O711" i="3"/>
  <c r="N716" i="3"/>
  <c r="M721" i="3"/>
  <c r="L726" i="3"/>
  <c r="K731" i="3"/>
  <c r="J736" i="3"/>
  <c r="V740" i="3"/>
  <c r="U745" i="3"/>
  <c r="T750" i="3"/>
  <c r="S755" i="3"/>
  <c r="R760" i="3"/>
  <c r="Q765" i="3"/>
  <c r="P770" i="3"/>
  <c r="O775" i="3"/>
  <c r="N780" i="3"/>
  <c r="M785" i="3"/>
  <c r="L790" i="3"/>
  <c r="K795" i="3"/>
  <c r="J800" i="3"/>
  <c r="V804" i="3"/>
  <c r="U809" i="3"/>
  <c r="T814" i="3"/>
  <c r="S819" i="3"/>
  <c r="R824" i="3"/>
  <c r="Q829" i="3"/>
  <c r="P834" i="3"/>
  <c r="O839" i="3"/>
  <c r="Y839" i="3" s="1"/>
  <c r="Q535" i="3"/>
  <c r="S592" i="3"/>
  <c r="K645" i="3"/>
  <c r="T691" i="3"/>
  <c r="T704" i="3"/>
  <c r="V717" i="3"/>
  <c r="L731" i="3"/>
  <c r="L744" i="3"/>
  <c r="N757" i="3"/>
  <c r="Q770" i="3"/>
  <c r="Q783" i="3"/>
  <c r="S796" i="3"/>
  <c r="V809" i="3"/>
  <c r="V822" i="3"/>
  <c r="K836" i="3"/>
  <c r="O847" i="3"/>
  <c r="Y847" i="3" s="1"/>
  <c r="T856" i="3"/>
  <c r="V862" i="3"/>
  <c r="R868" i="3"/>
  <c r="M874" i="3"/>
  <c r="L879" i="3"/>
  <c r="K884" i="3"/>
  <c r="J889" i="3"/>
  <c r="V893" i="3"/>
  <c r="U898" i="3"/>
  <c r="T903" i="3"/>
  <c r="S908" i="3"/>
  <c r="R913" i="3"/>
  <c r="Q918" i="3"/>
  <c r="P923" i="3"/>
  <c r="O928" i="3"/>
  <c r="N933" i="3"/>
  <c r="M938" i="3"/>
  <c r="L943" i="3"/>
  <c r="K948" i="3"/>
  <c r="J953" i="3"/>
  <c r="V957" i="3"/>
  <c r="U962" i="3"/>
  <c r="T967" i="3"/>
  <c r="S972" i="3"/>
  <c r="R977" i="3"/>
  <c r="U341" i="3"/>
  <c r="Q567" i="3"/>
  <c r="T619" i="3"/>
  <c r="L672" i="3"/>
  <c r="Q698" i="3"/>
  <c r="Q711" i="3"/>
  <c r="S724" i="3"/>
  <c r="V737" i="3"/>
  <c r="V750" i="3"/>
  <c r="K764" i="3"/>
  <c r="N777" i="3"/>
  <c r="N790" i="3"/>
  <c r="P803" i="3"/>
  <c r="S816" i="3"/>
  <c r="S829" i="3"/>
  <c r="Q842" i="3"/>
  <c r="O852" i="3"/>
  <c r="Y852" i="3" s="1"/>
  <c r="M860" i="3"/>
  <c r="U865" i="3"/>
  <c r="P871" i="3"/>
  <c r="T876" i="3"/>
  <c r="S881" i="3"/>
  <c r="R886" i="3"/>
  <c r="Q891" i="3"/>
  <c r="P896" i="3"/>
  <c r="O901" i="3"/>
  <c r="N906" i="3"/>
  <c r="M911" i="3"/>
  <c r="L916" i="3"/>
  <c r="K921" i="3"/>
  <c r="J926" i="3"/>
  <c r="V930" i="3"/>
  <c r="U935" i="3"/>
  <c r="T940" i="3"/>
  <c r="S945" i="3"/>
  <c r="R950" i="3"/>
  <c r="Q955" i="3"/>
  <c r="P960" i="3"/>
  <c r="O965" i="3"/>
  <c r="Y965" i="3" s="1"/>
  <c r="N970" i="3"/>
  <c r="M975" i="3"/>
  <c r="L980" i="3"/>
  <c r="K985" i="3"/>
  <c r="Q377" i="3"/>
  <c r="K568" i="3"/>
  <c r="P620" i="3"/>
  <c r="O673" i="3"/>
  <c r="Y673" i="3" s="1"/>
  <c r="R698" i="3"/>
  <c r="T711" i="3"/>
  <c r="J725" i="3"/>
  <c r="J738" i="3"/>
  <c r="L751" i="3"/>
  <c r="O764" i="3"/>
  <c r="O777" i="3"/>
  <c r="Y777" i="3" s="1"/>
  <c r="Q790" i="3"/>
  <c r="T803" i="3"/>
  <c r="T816" i="3"/>
  <c r="V829" i="3"/>
  <c r="R842" i="3"/>
  <c r="P852" i="3"/>
  <c r="N860" i="3"/>
  <c r="V865" i="3"/>
  <c r="Q871" i="3"/>
  <c r="U876" i="3"/>
  <c r="T881" i="3"/>
  <c r="S886" i="3"/>
  <c r="R891" i="3"/>
  <c r="Q896" i="3"/>
  <c r="P901" i="3"/>
  <c r="O906" i="3"/>
  <c r="N911" i="3"/>
  <c r="M916" i="3"/>
  <c r="L921" i="3"/>
  <c r="K926" i="3"/>
  <c r="J931" i="3"/>
  <c r="V935" i="3"/>
  <c r="U940" i="3"/>
  <c r="T945" i="3"/>
  <c r="S950" i="3"/>
  <c r="R955" i="3"/>
  <c r="Q960" i="3"/>
  <c r="P965" i="3"/>
  <c r="O970" i="3"/>
  <c r="Y970" i="3" s="1"/>
  <c r="N975" i="3"/>
  <c r="M980" i="3"/>
  <c r="L985" i="3"/>
  <c r="K990" i="3"/>
  <c r="J995" i="3"/>
  <c r="V999" i="3"/>
  <c r="T555" i="3"/>
  <c r="L608" i="3"/>
  <c r="K661" i="3"/>
  <c r="Q695" i="3"/>
  <c r="S708" i="3"/>
  <c r="V721" i="3"/>
  <c r="V734" i="3"/>
  <c r="K748" i="3"/>
  <c r="N761" i="3"/>
  <c r="N774" i="3"/>
  <c r="P787" i="3"/>
  <c r="S800" i="3"/>
  <c r="S813" i="3"/>
  <c r="U826" i="3"/>
  <c r="K840" i="3"/>
  <c r="M850" i="3"/>
  <c r="V858" i="3"/>
  <c r="R864" i="3"/>
  <c r="M870" i="3"/>
  <c r="S875" i="3"/>
  <c r="R880" i="3"/>
  <c r="Q885" i="3"/>
  <c r="P890" i="3"/>
  <c r="O895" i="3"/>
  <c r="Y895" i="3" s="1"/>
  <c r="N900" i="3"/>
  <c r="M905" i="3"/>
  <c r="L910" i="3"/>
  <c r="K915" i="3"/>
  <c r="J920" i="3"/>
  <c r="V924" i="3"/>
  <c r="U929" i="3"/>
  <c r="T934" i="3"/>
  <c r="S939" i="3"/>
  <c r="R944" i="3"/>
  <c r="Q949" i="3"/>
  <c r="P954" i="3"/>
  <c r="O959" i="3"/>
  <c r="N964" i="3"/>
  <c r="M969" i="3"/>
  <c r="L974" i="3"/>
  <c r="K979" i="3"/>
  <c r="J984" i="3"/>
  <c r="L563" i="3"/>
  <c r="Q615" i="3"/>
  <c r="P668" i="3"/>
  <c r="O697" i="3"/>
  <c r="Y697" i="3" s="1"/>
  <c r="T472" i="3"/>
  <c r="O577" i="3"/>
  <c r="Y577" i="3" s="1"/>
  <c r="R629" i="3"/>
  <c r="J682" i="3"/>
  <c r="J701" i="3"/>
  <c r="J714" i="3"/>
  <c r="L727" i="3"/>
  <c r="O740" i="3"/>
  <c r="Y740" i="3" s="1"/>
  <c r="O753" i="3"/>
  <c r="Q766" i="3"/>
  <c r="T779" i="3"/>
  <c r="T792" i="3"/>
  <c r="V805" i="3"/>
  <c r="L819" i="3"/>
  <c r="L832" i="3"/>
  <c r="O844" i="3"/>
  <c r="Y844" i="3" s="1"/>
  <c r="M854" i="3"/>
  <c r="N861" i="3"/>
  <c r="V866" i="3"/>
  <c r="Q872" i="3"/>
  <c r="S877" i="3"/>
  <c r="R882" i="3"/>
  <c r="Q887" i="3"/>
  <c r="P892" i="3"/>
  <c r="O897" i="3"/>
  <c r="N902" i="3"/>
  <c r="M907" i="3"/>
  <c r="L912" i="3"/>
  <c r="K917" i="3"/>
  <c r="J922" i="3"/>
  <c r="V926" i="3"/>
  <c r="U931" i="3"/>
  <c r="T936" i="3"/>
  <c r="S941" i="3"/>
  <c r="R946" i="3"/>
  <c r="Q951" i="3"/>
  <c r="P956" i="3"/>
  <c r="O961" i="3"/>
  <c r="Y961" i="3" s="1"/>
  <c r="N966" i="3"/>
  <c r="M971" i="3"/>
  <c r="L976" i="3"/>
  <c r="K981" i="3"/>
  <c r="J986" i="3"/>
  <c r="O545" i="3"/>
  <c r="Y545" i="3" s="1"/>
  <c r="R597" i="3"/>
  <c r="J650" i="3"/>
  <c r="J693" i="3"/>
  <c r="J706" i="3"/>
  <c r="L719" i="3"/>
  <c r="O732" i="3"/>
  <c r="Y732" i="3" s="1"/>
  <c r="O745" i="3"/>
  <c r="Y745" i="3" s="1"/>
  <c r="Q758" i="3"/>
  <c r="T771" i="3"/>
  <c r="T784" i="3"/>
  <c r="V797" i="3"/>
  <c r="L811" i="3"/>
  <c r="L824" i="3"/>
  <c r="N837" i="3"/>
  <c r="L848" i="3"/>
  <c r="R857" i="3"/>
  <c r="P863" i="3"/>
  <c r="K869" i="3"/>
  <c r="S874" i="3"/>
  <c r="R879" i="3"/>
  <c r="Q884" i="3"/>
  <c r="P889" i="3"/>
  <c r="O894" i="3"/>
  <c r="N899" i="3"/>
  <c r="M904" i="3"/>
  <c r="L909" i="3"/>
  <c r="K914" i="3"/>
  <c r="J919" i="3"/>
  <c r="V923" i="3"/>
  <c r="U928" i="3"/>
  <c r="T933" i="3"/>
  <c r="S938" i="3"/>
  <c r="R943" i="3"/>
  <c r="Q948" i="3"/>
  <c r="P953" i="3"/>
  <c r="O958" i="3"/>
  <c r="Y958" i="3" s="1"/>
  <c r="N963" i="3"/>
  <c r="M968" i="3"/>
  <c r="L973" i="3"/>
  <c r="K978" i="3"/>
  <c r="J983" i="3"/>
  <c r="V987" i="3"/>
  <c r="T723" i="3"/>
  <c r="L776" i="3"/>
  <c r="S828" i="3"/>
  <c r="O865" i="3"/>
  <c r="Y865" i="3" s="1"/>
  <c r="M886" i="3"/>
  <c r="V905" i="3"/>
  <c r="R925" i="3"/>
  <c r="N945" i="3"/>
  <c r="J965" i="3"/>
  <c r="T983" i="3"/>
  <c r="R991" i="3"/>
  <c r="M997" i="3"/>
  <c r="R709" i="3"/>
  <c r="N683" i="3"/>
  <c r="Q750" i="3"/>
  <c r="L803" i="3"/>
  <c r="K852" i="3"/>
  <c r="R876" i="3"/>
  <c r="N896" i="3"/>
  <c r="J916" i="3"/>
  <c r="S935" i="3"/>
  <c r="O955" i="3"/>
  <c r="Y955" i="3" s="1"/>
  <c r="K975" i="3"/>
  <c r="S988" i="3"/>
  <c r="Q994" i="3"/>
  <c r="L1000" i="3"/>
  <c r="L712" i="3"/>
  <c r="S764" i="3"/>
  <c r="N817" i="3"/>
  <c r="P860" i="3"/>
  <c r="V881" i="3"/>
  <c r="R901" i="3"/>
  <c r="N921" i="3"/>
  <c r="J941" i="3"/>
  <c r="S960" i="3"/>
  <c r="O980" i="3"/>
  <c r="Y980" i="3" s="1"/>
  <c r="O990" i="3"/>
  <c r="J996" i="3"/>
  <c r="O696" i="3"/>
  <c r="Y696" i="3" s="1"/>
  <c r="P820" i="3"/>
  <c r="R917" i="3"/>
  <c r="Q263" i="3"/>
  <c r="U345" i="3"/>
  <c r="V335" i="3"/>
  <c r="P375" i="3"/>
  <c r="O453" i="3"/>
  <c r="Y453" i="3" s="1"/>
  <c r="U401" i="3"/>
  <c r="R372" i="3"/>
  <c r="N333" i="3"/>
  <c r="V451" i="3"/>
  <c r="U487" i="3"/>
  <c r="N224" i="3"/>
  <c r="P428" i="3"/>
  <c r="S476" i="3"/>
  <c r="S510" i="3"/>
  <c r="J399" i="3"/>
  <c r="K464" i="3"/>
  <c r="S499" i="3"/>
  <c r="M427" i="3"/>
  <c r="V523" i="3"/>
  <c r="S554" i="3"/>
  <c r="J583" i="3"/>
  <c r="U608" i="3"/>
  <c r="V635" i="3"/>
  <c r="T661" i="3"/>
  <c r="L371" i="3"/>
  <c r="K501" i="3"/>
  <c r="T538" i="3"/>
  <c r="R564" i="3"/>
  <c r="S591" i="3"/>
  <c r="Q617" i="3"/>
  <c r="R636" i="3"/>
  <c r="O651" i="3"/>
  <c r="P670" i="3"/>
  <c r="T682" i="3"/>
  <c r="J381" i="3"/>
  <c r="M462" i="3"/>
  <c r="T499" i="3"/>
  <c r="V525" i="3"/>
  <c r="P539" i="3"/>
  <c r="T551" i="3"/>
  <c r="N565" i="3"/>
  <c r="U578" i="3"/>
  <c r="L591" i="3"/>
  <c r="S604" i="3"/>
  <c r="M618" i="3"/>
  <c r="Q630" i="3"/>
  <c r="K644" i="3"/>
  <c r="R657" i="3"/>
  <c r="V669" i="3"/>
  <c r="P683" i="3"/>
  <c r="R389" i="3"/>
  <c r="T460" i="3"/>
  <c r="R501" i="3"/>
  <c r="R526" i="3"/>
  <c r="V538" i="3"/>
  <c r="P552" i="3"/>
  <c r="T564" i="3"/>
  <c r="R574" i="3"/>
  <c r="P584" i="3"/>
  <c r="N594" i="3"/>
  <c r="L604" i="3"/>
  <c r="J614" i="3"/>
  <c r="U623" i="3"/>
  <c r="S633" i="3"/>
  <c r="Q643" i="3"/>
  <c r="O653" i="3"/>
  <c r="M663" i="3"/>
  <c r="K673" i="3"/>
  <c r="V682" i="3"/>
  <c r="M338" i="3"/>
  <c r="V433" i="3"/>
  <c r="K472" i="3"/>
  <c r="S501" i="3"/>
  <c r="J523" i="3"/>
  <c r="U532" i="3"/>
  <c r="S542" i="3"/>
  <c r="Q552" i="3"/>
  <c r="O562" i="3"/>
  <c r="Y562" i="3" s="1"/>
  <c r="M572" i="3"/>
  <c r="K582" i="3"/>
  <c r="V591" i="3"/>
  <c r="T601" i="3"/>
  <c r="R611" i="3"/>
  <c r="P621" i="3"/>
  <c r="N631" i="3"/>
  <c r="L641" i="3"/>
  <c r="J651" i="3"/>
  <c r="U660" i="3"/>
  <c r="S670" i="3"/>
  <c r="Q680" i="3"/>
  <c r="O690" i="3"/>
  <c r="Y690" i="3" s="1"/>
  <c r="L416" i="3"/>
  <c r="J465" i="3"/>
  <c r="L495" i="3"/>
  <c r="R520" i="3"/>
  <c r="P530" i="3"/>
  <c r="N540" i="3"/>
  <c r="L550" i="3"/>
  <c r="J560" i="3"/>
  <c r="U569" i="3"/>
  <c r="S579" i="3"/>
  <c r="Q589" i="3"/>
  <c r="O599" i="3"/>
  <c r="Y599" i="3" s="1"/>
  <c r="M609" i="3"/>
  <c r="K619" i="3"/>
  <c r="V628" i="3"/>
  <c r="T638" i="3"/>
  <c r="R648" i="3"/>
  <c r="U657" i="3"/>
  <c r="U665" i="3"/>
  <c r="M673" i="3"/>
  <c r="U681" i="3"/>
  <c r="R688" i="3"/>
  <c r="J391" i="3"/>
  <c r="O446" i="3"/>
  <c r="Y446" i="3" s="1"/>
  <c r="S470" i="3"/>
  <c r="M497" i="3"/>
  <c r="M515" i="3"/>
  <c r="U526" i="3"/>
  <c r="U534" i="3"/>
  <c r="M542" i="3"/>
  <c r="J522" i="3"/>
  <c r="T560" i="3"/>
  <c r="M595" i="3"/>
  <c r="M627" i="3"/>
  <c r="T656" i="3"/>
  <c r="O681" i="3"/>
  <c r="J695" i="3"/>
  <c r="L701" i="3"/>
  <c r="N707" i="3"/>
  <c r="S714" i="3"/>
  <c r="U720" i="3"/>
  <c r="J727" i="3"/>
  <c r="O734" i="3"/>
  <c r="Y734" i="3" s="1"/>
  <c r="Q740" i="3"/>
  <c r="S746" i="3"/>
  <c r="K754" i="3"/>
  <c r="M760" i="3"/>
  <c r="O766" i="3"/>
  <c r="Y766" i="3" s="1"/>
  <c r="T773" i="3"/>
  <c r="V779" i="3"/>
  <c r="K786" i="3"/>
  <c r="P793" i="3"/>
  <c r="R799" i="3"/>
  <c r="T805" i="3"/>
  <c r="L813" i="3"/>
  <c r="N819" i="3"/>
  <c r="P825" i="3"/>
  <c r="U832" i="3"/>
  <c r="J839" i="3"/>
  <c r="L845" i="3"/>
  <c r="Q852" i="3"/>
  <c r="P857" i="3"/>
  <c r="O862" i="3"/>
  <c r="N867" i="3"/>
  <c r="M872" i="3"/>
  <c r="M471" i="3"/>
  <c r="N542" i="3"/>
  <c r="T563" i="3"/>
  <c r="P583" i="3"/>
  <c r="L603" i="3"/>
  <c r="U622" i="3"/>
  <c r="Q642" i="3"/>
  <c r="M662" i="3"/>
  <c r="V681" i="3"/>
  <c r="R692" i="3"/>
  <c r="Q697" i="3"/>
  <c r="P702" i="3"/>
  <c r="O707" i="3"/>
  <c r="Y707" i="3" s="1"/>
  <c r="N712" i="3"/>
  <c r="M717" i="3"/>
  <c r="L722" i="3"/>
  <c r="K727" i="3"/>
  <c r="J732" i="3"/>
  <c r="V736" i="3"/>
  <c r="U741" i="3"/>
  <c r="T746" i="3"/>
  <c r="S751" i="3"/>
  <c r="R756" i="3"/>
  <c r="Q761" i="3"/>
  <c r="P766" i="3"/>
  <c r="O771" i="3"/>
  <c r="Y771" i="3" s="1"/>
  <c r="N776" i="3"/>
  <c r="M781" i="3"/>
  <c r="L786" i="3"/>
  <c r="K791" i="3"/>
  <c r="J796" i="3"/>
  <c r="V800" i="3"/>
  <c r="U805" i="3"/>
  <c r="T810" i="3"/>
  <c r="S815" i="3"/>
  <c r="R820" i="3"/>
  <c r="Q825" i="3"/>
  <c r="P830" i="3"/>
  <c r="O835" i="3"/>
  <c r="Y835" i="3" s="1"/>
  <c r="N840" i="3"/>
  <c r="M845" i="3"/>
  <c r="L850" i="3"/>
  <c r="K855" i="3"/>
  <c r="V459" i="3"/>
  <c r="R538" i="3"/>
  <c r="V561" i="3"/>
  <c r="R581" i="3"/>
  <c r="N601" i="3"/>
  <c r="J621" i="3"/>
  <c r="S640" i="3"/>
  <c r="O660" i="3"/>
  <c r="K680" i="3"/>
  <c r="L692" i="3"/>
  <c r="K697" i="3"/>
  <c r="J702" i="3"/>
  <c r="V706" i="3"/>
  <c r="U711" i="3"/>
  <c r="T716" i="3"/>
  <c r="S721" i="3"/>
  <c r="R726" i="3"/>
  <c r="Q731" i="3"/>
  <c r="P736" i="3"/>
  <c r="O741" i="3"/>
  <c r="Y741" i="3" s="1"/>
  <c r="N746" i="3"/>
  <c r="M751" i="3"/>
  <c r="L756" i="3"/>
  <c r="K761" i="3"/>
  <c r="J766" i="3"/>
  <c r="V770" i="3"/>
  <c r="U775" i="3"/>
  <c r="T780" i="3"/>
  <c r="S785" i="3"/>
  <c r="R790" i="3"/>
  <c r="Q795" i="3"/>
  <c r="P800" i="3"/>
  <c r="O805" i="3"/>
  <c r="Y805" i="3" s="1"/>
  <c r="N810" i="3"/>
  <c r="M815" i="3"/>
  <c r="L820" i="3"/>
  <c r="K825" i="3"/>
  <c r="J830" i="3"/>
  <c r="V834" i="3"/>
  <c r="U839" i="3"/>
  <c r="T844" i="3"/>
  <c r="S849" i="3"/>
  <c r="R854" i="3"/>
  <c r="P505" i="3"/>
  <c r="S549" i="3"/>
  <c r="O569" i="3"/>
  <c r="Y569" i="3" s="1"/>
  <c r="K589" i="3"/>
  <c r="T608" i="3"/>
  <c r="P628" i="3"/>
  <c r="L648" i="3"/>
  <c r="U667" i="3"/>
  <c r="M686" i="3"/>
  <c r="K694" i="3"/>
  <c r="J699" i="3"/>
  <c r="V703" i="3"/>
  <c r="U708" i="3"/>
  <c r="T713" i="3"/>
  <c r="S718" i="3"/>
  <c r="R723" i="3"/>
  <c r="Q728" i="3"/>
  <c r="P733" i="3"/>
  <c r="O738" i="3"/>
  <c r="Y738" i="3" s="1"/>
  <c r="N743" i="3"/>
  <c r="M748" i="3"/>
  <c r="L753" i="3"/>
  <c r="K758" i="3"/>
  <c r="J763" i="3"/>
  <c r="V767" i="3"/>
  <c r="U772" i="3"/>
  <c r="T777" i="3"/>
  <c r="S782" i="3"/>
  <c r="R787" i="3"/>
  <c r="Q792" i="3"/>
  <c r="P797" i="3"/>
  <c r="O802" i="3"/>
  <c r="N807" i="3"/>
  <c r="M812" i="3"/>
  <c r="L817" i="3"/>
  <c r="K822" i="3"/>
  <c r="J827" i="3"/>
  <c r="V831" i="3"/>
  <c r="U836" i="3"/>
  <c r="T841" i="3"/>
  <c r="S846" i="3"/>
  <c r="R851" i="3"/>
  <c r="Q856" i="3"/>
  <c r="Q463" i="3"/>
  <c r="U539" i="3"/>
  <c r="Q562" i="3"/>
  <c r="M582" i="3"/>
  <c r="V601" i="3"/>
  <c r="R621" i="3"/>
  <c r="N641" i="3"/>
  <c r="J661" i="3"/>
  <c r="S680" i="3"/>
  <c r="N692" i="3"/>
  <c r="M697" i="3"/>
  <c r="L702" i="3"/>
  <c r="K707" i="3"/>
  <c r="J712" i="3"/>
  <c r="V716" i="3"/>
  <c r="U721" i="3"/>
  <c r="T726" i="3"/>
  <c r="S731" i="3"/>
  <c r="R736" i="3"/>
  <c r="Q741" i="3"/>
  <c r="P746" i="3"/>
  <c r="O751" i="3"/>
  <c r="Y751" i="3" s="1"/>
  <c r="N284" i="3"/>
  <c r="L350" i="3"/>
  <c r="R355" i="3"/>
  <c r="V389" i="3"/>
  <c r="R454" i="3"/>
  <c r="M409" i="3"/>
  <c r="J397" i="3"/>
  <c r="V336" i="3"/>
  <c r="U452" i="3"/>
  <c r="V489" i="3"/>
  <c r="K287" i="3"/>
  <c r="M430" i="3"/>
  <c r="O477" i="3"/>
  <c r="Y477" i="3" s="1"/>
  <c r="N511" i="3"/>
  <c r="V403" i="3"/>
  <c r="P465" i="3"/>
  <c r="N500" i="3"/>
  <c r="V430" i="3"/>
  <c r="Q524" i="3"/>
  <c r="Q556" i="3"/>
  <c r="R583" i="3"/>
  <c r="S610" i="3"/>
  <c r="Q636" i="3"/>
  <c r="O662" i="3"/>
  <c r="Y662" i="3" s="1"/>
  <c r="T392" i="3"/>
  <c r="U502" i="3"/>
  <c r="O539" i="3"/>
  <c r="Y539" i="3" s="1"/>
  <c r="P566" i="3"/>
  <c r="N592" i="3"/>
  <c r="L618" i="3"/>
  <c r="M637" i="3"/>
  <c r="N656" i="3"/>
  <c r="K671" i="3"/>
  <c r="R684" i="3"/>
  <c r="J388" i="3"/>
  <c r="M464" i="3"/>
  <c r="S504" i="3"/>
  <c r="Q526" i="3"/>
  <c r="K540" i="3"/>
  <c r="R553" i="3"/>
  <c r="V565" i="3"/>
  <c r="P579" i="3"/>
  <c r="J593" i="3"/>
  <c r="N605" i="3"/>
  <c r="U618" i="3"/>
  <c r="O632" i="3"/>
  <c r="S644" i="3"/>
  <c r="M658" i="3"/>
  <c r="T671" i="3"/>
  <c r="K684" i="3"/>
  <c r="N393" i="3"/>
  <c r="O466" i="3"/>
  <c r="Y466" i="3" s="1"/>
  <c r="J503" i="3"/>
  <c r="M527" i="3"/>
  <c r="T540" i="3"/>
  <c r="K553" i="3"/>
  <c r="O565" i="3"/>
  <c r="Y565" i="3" s="1"/>
  <c r="M575" i="3"/>
  <c r="K585" i="3"/>
  <c r="V594" i="3"/>
  <c r="T604" i="3"/>
  <c r="R614" i="3"/>
  <c r="P624" i="3"/>
  <c r="N634" i="3"/>
  <c r="L644" i="3"/>
  <c r="J654" i="3"/>
  <c r="U663" i="3"/>
  <c r="S673" i="3"/>
  <c r="Q683" i="3"/>
  <c r="J348" i="3"/>
  <c r="R437" i="3"/>
  <c r="K474" i="3"/>
  <c r="P503" i="3"/>
  <c r="R523" i="3"/>
  <c r="P533" i="3"/>
  <c r="N543" i="3"/>
  <c r="L553" i="3"/>
  <c r="J563" i="3"/>
  <c r="U572" i="3"/>
  <c r="S582" i="3"/>
  <c r="Q592" i="3"/>
  <c r="O602" i="3"/>
  <c r="Y602" i="3" s="1"/>
  <c r="M612" i="3"/>
  <c r="K622" i="3"/>
  <c r="V631" i="3"/>
  <c r="T641" i="3"/>
  <c r="R651" i="3"/>
  <c r="P661" i="3"/>
  <c r="N671" i="3"/>
  <c r="L681" i="3"/>
  <c r="O302" i="3"/>
  <c r="Y302" i="3" s="1"/>
  <c r="J421" i="3"/>
  <c r="J467" i="3"/>
  <c r="S496" i="3"/>
  <c r="M521" i="3"/>
  <c r="K531" i="3"/>
  <c r="V540" i="3"/>
  <c r="T550" i="3"/>
  <c r="R560" i="3"/>
  <c r="P570" i="3"/>
  <c r="N580" i="3"/>
  <c r="L590" i="3"/>
  <c r="J600" i="3"/>
  <c r="U609" i="3"/>
  <c r="S619" i="3"/>
  <c r="Q629" i="3"/>
  <c r="O639" i="3"/>
  <c r="Y639" i="3" s="1"/>
  <c r="M649" i="3"/>
  <c r="P658" i="3"/>
  <c r="K667" i="3"/>
  <c r="U673" i="3"/>
  <c r="P682" i="3"/>
  <c r="P690" i="3"/>
  <c r="S394" i="3"/>
  <c r="P451" i="3"/>
  <c r="S472" i="3"/>
  <c r="S498" i="3"/>
  <c r="S519" i="3"/>
  <c r="P527" i="3"/>
  <c r="K536" i="3"/>
  <c r="U542" i="3"/>
  <c r="V526" i="3"/>
  <c r="L568" i="3"/>
  <c r="S597" i="3"/>
  <c r="L632" i="3"/>
  <c r="M659" i="3"/>
  <c r="L685" i="3"/>
  <c r="R695" i="3"/>
  <c r="T701" i="3"/>
  <c r="Q708" i="3"/>
  <c r="N715" i="3"/>
  <c r="P721" i="3"/>
  <c r="M728" i="3"/>
  <c r="J735" i="3"/>
  <c r="L741" i="3"/>
  <c r="V747" i="3"/>
  <c r="S754" i="3"/>
  <c r="U760" i="3"/>
  <c r="R767" i="3"/>
  <c r="O774" i="3"/>
  <c r="Q780" i="3"/>
  <c r="N787" i="3"/>
  <c r="K794" i="3"/>
  <c r="M800" i="3"/>
  <c r="J807" i="3"/>
  <c r="T813" i="3"/>
  <c r="V819" i="3"/>
  <c r="S826" i="3"/>
  <c r="P833" i="3"/>
  <c r="R839" i="3"/>
  <c r="O846" i="3"/>
  <c r="L853" i="3"/>
  <c r="K858" i="3"/>
  <c r="J863" i="3"/>
  <c r="V867" i="3"/>
  <c r="U872" i="3"/>
  <c r="K486" i="3"/>
  <c r="Q546" i="3"/>
  <c r="M566" i="3"/>
  <c r="V585" i="3"/>
  <c r="R605" i="3"/>
  <c r="N625" i="3"/>
  <c r="J645" i="3"/>
  <c r="S664" i="3"/>
  <c r="U683" i="3"/>
  <c r="M693" i="3"/>
  <c r="L698" i="3"/>
  <c r="K703" i="3"/>
  <c r="J708" i="3"/>
  <c r="V712" i="3"/>
  <c r="U717" i="3"/>
  <c r="T722" i="3"/>
  <c r="S727" i="3"/>
  <c r="R732" i="3"/>
  <c r="Q737" i="3"/>
  <c r="P742" i="3"/>
  <c r="O747" i="3"/>
  <c r="N752" i="3"/>
  <c r="M757" i="3"/>
  <c r="L762" i="3"/>
  <c r="K767" i="3"/>
  <c r="J772" i="3"/>
  <c r="V776" i="3"/>
  <c r="U781" i="3"/>
  <c r="T786" i="3"/>
  <c r="S791" i="3"/>
  <c r="R796" i="3"/>
  <c r="Q801" i="3"/>
  <c r="P806" i="3"/>
  <c r="O811" i="3"/>
  <c r="Y811" i="3" s="1"/>
  <c r="N816" i="3"/>
  <c r="M821" i="3"/>
  <c r="L826" i="3"/>
  <c r="K831" i="3"/>
  <c r="J836" i="3"/>
  <c r="V840" i="3"/>
  <c r="U845" i="3"/>
  <c r="T850" i="3"/>
  <c r="S855" i="3"/>
  <c r="U474" i="3"/>
  <c r="Q543" i="3"/>
  <c r="O564" i="3"/>
  <c r="Y564" i="3" s="1"/>
  <c r="K584" i="3"/>
  <c r="T603" i="3"/>
  <c r="P623" i="3"/>
  <c r="L643" i="3"/>
  <c r="U662" i="3"/>
  <c r="Q682" i="3"/>
  <c r="T692" i="3"/>
  <c r="S697" i="3"/>
  <c r="R702" i="3"/>
  <c r="Q707" i="3"/>
  <c r="P712" i="3"/>
  <c r="O717" i="3"/>
  <c r="Y717" i="3" s="1"/>
  <c r="N722" i="3"/>
  <c r="M727" i="3"/>
  <c r="L732" i="3"/>
  <c r="K737" i="3"/>
  <c r="J742" i="3"/>
  <c r="V746" i="3"/>
  <c r="U751" i="3"/>
  <c r="T756" i="3"/>
  <c r="S761" i="3"/>
  <c r="R766" i="3"/>
  <c r="Q771" i="3"/>
  <c r="P776" i="3"/>
  <c r="O781" i="3"/>
  <c r="Y781" i="3" s="1"/>
  <c r="N786" i="3"/>
  <c r="M791" i="3"/>
  <c r="L796" i="3"/>
  <c r="K801" i="3"/>
  <c r="J806" i="3"/>
  <c r="V810" i="3"/>
  <c r="U815" i="3"/>
  <c r="T820" i="3"/>
  <c r="S825" i="3"/>
  <c r="R830" i="3"/>
  <c r="Q835" i="3"/>
  <c r="P840" i="3"/>
  <c r="O845" i="3"/>
  <c r="Y845" i="3" s="1"/>
  <c r="N850" i="3"/>
  <c r="M855" i="3"/>
  <c r="U518" i="3"/>
  <c r="L552" i="3"/>
  <c r="U571" i="3"/>
  <c r="Q591" i="3"/>
  <c r="M611" i="3"/>
  <c r="V630" i="3"/>
  <c r="R650" i="3"/>
  <c r="N670" i="3"/>
  <c r="R687" i="3"/>
  <c r="S694" i="3"/>
  <c r="R699" i="3"/>
  <c r="Q704" i="3"/>
  <c r="P709" i="3"/>
  <c r="O714" i="3"/>
  <c r="Y714" i="3" s="1"/>
  <c r="N719" i="3"/>
  <c r="M724" i="3"/>
  <c r="L729" i="3"/>
  <c r="K734" i="3"/>
  <c r="J739" i="3"/>
  <c r="V743" i="3"/>
  <c r="U748" i="3"/>
  <c r="T753" i="3"/>
  <c r="S758" i="3"/>
  <c r="R763" i="3"/>
  <c r="Q768" i="3"/>
  <c r="P773" i="3"/>
  <c r="O778" i="3"/>
  <c r="Y778" i="3" s="1"/>
  <c r="N783" i="3"/>
  <c r="M788" i="3"/>
  <c r="L793" i="3"/>
  <c r="K798" i="3"/>
  <c r="J803" i="3"/>
  <c r="V807" i="3"/>
  <c r="U812" i="3"/>
  <c r="T817" i="3"/>
  <c r="S822" i="3"/>
  <c r="R827" i="3"/>
  <c r="Q832" i="3"/>
  <c r="P837" i="3"/>
  <c r="O842" i="3"/>
  <c r="Y842" i="3" s="1"/>
  <c r="N847" i="3"/>
  <c r="M852" i="3"/>
  <c r="L857" i="3"/>
  <c r="O478" i="3"/>
  <c r="Y478" i="3" s="1"/>
  <c r="T544" i="3"/>
  <c r="J565" i="3"/>
  <c r="S584" i="3"/>
  <c r="O604" i="3"/>
  <c r="Y604" i="3" s="1"/>
  <c r="K624" i="3"/>
  <c r="T643" i="3"/>
  <c r="P663" i="3"/>
  <c r="L683" i="3"/>
  <c r="V692" i="3"/>
  <c r="U697" i="3"/>
  <c r="T702" i="3"/>
  <c r="S707" i="3"/>
  <c r="R712" i="3"/>
  <c r="Q717" i="3"/>
  <c r="P722" i="3"/>
  <c r="O727" i="3"/>
  <c r="Y727" i="3" s="1"/>
  <c r="N732" i="3"/>
  <c r="M737" i="3"/>
  <c r="L742" i="3"/>
  <c r="Q265" i="3"/>
  <c r="U370" i="3"/>
  <c r="T461" i="3"/>
  <c r="K485" i="3"/>
  <c r="S507" i="3"/>
  <c r="L589" i="3"/>
  <c r="L432" i="3"/>
  <c r="U597" i="3"/>
  <c r="O675" i="3"/>
  <c r="Y675" i="3" s="1"/>
  <c r="T512" i="3"/>
  <c r="M570" i="3"/>
  <c r="L623" i="3"/>
  <c r="U674" i="3"/>
  <c r="R514" i="3"/>
  <c r="P568" i="3"/>
  <c r="U607" i="3"/>
  <c r="M647" i="3"/>
  <c r="R686" i="3"/>
  <c r="Q511" i="3"/>
  <c r="M556" i="3"/>
  <c r="R595" i="3"/>
  <c r="J635" i="3"/>
  <c r="O674" i="3"/>
  <c r="Y674" i="3" s="1"/>
  <c r="M476" i="3"/>
  <c r="J544" i="3"/>
  <c r="O583" i="3"/>
  <c r="Y583" i="3" s="1"/>
  <c r="T622" i="3"/>
  <c r="K659" i="3"/>
  <c r="Q309" i="3"/>
  <c r="P500" i="3"/>
  <c r="S544" i="3"/>
  <c r="R634" i="3"/>
  <c r="O702" i="3"/>
  <c r="Y702" i="3" s="1"/>
  <c r="P729" i="3"/>
  <c r="N755" i="3"/>
  <c r="L781" i="3"/>
  <c r="M808" i="3"/>
  <c r="K834" i="3"/>
  <c r="S858" i="3"/>
  <c r="Q500" i="3"/>
  <c r="K608" i="3"/>
  <c r="R685" i="3"/>
  <c r="R708" i="3"/>
  <c r="N728" i="3"/>
  <c r="J748" i="3"/>
  <c r="S767" i="3"/>
  <c r="O787" i="3"/>
  <c r="Y787" i="3" s="1"/>
  <c r="K807" i="3"/>
  <c r="T826" i="3"/>
  <c r="P846" i="3"/>
  <c r="L547" i="3"/>
  <c r="V625" i="3"/>
  <c r="O693" i="3"/>
  <c r="Y693" i="3" s="1"/>
  <c r="K713" i="3"/>
  <c r="T732" i="3"/>
  <c r="P752" i="3"/>
  <c r="L772" i="3"/>
  <c r="U791" i="3"/>
  <c r="Q811" i="3"/>
  <c r="M831" i="3"/>
  <c r="V850" i="3"/>
  <c r="N574" i="3"/>
  <c r="K653" i="3"/>
  <c r="M700" i="3"/>
  <c r="V719" i="3"/>
  <c r="R739" i="3"/>
  <c r="N759" i="3"/>
  <c r="J779" i="3"/>
  <c r="S798" i="3"/>
  <c r="O818" i="3"/>
  <c r="Y818" i="3" s="1"/>
  <c r="K838" i="3"/>
  <c r="T857" i="3"/>
  <c r="L587" i="3"/>
  <c r="V665" i="3"/>
  <c r="O703" i="3"/>
  <c r="Y703" i="3" s="1"/>
  <c r="K723" i="3"/>
  <c r="T742" i="3"/>
  <c r="N756" i="3"/>
  <c r="L766" i="3"/>
  <c r="J776" i="3"/>
  <c r="U785" i="3"/>
  <c r="S795" i="3"/>
  <c r="Q805" i="3"/>
  <c r="O815" i="3"/>
  <c r="M825" i="3"/>
  <c r="K835" i="3"/>
  <c r="R546" i="3"/>
  <c r="T651" i="3"/>
  <c r="Q706" i="3"/>
  <c r="S732" i="3"/>
  <c r="V758" i="3"/>
  <c r="N785" i="3"/>
  <c r="P811" i="3"/>
  <c r="S837" i="3"/>
  <c r="U857" i="3"/>
  <c r="N869" i="3"/>
  <c r="T879" i="3"/>
  <c r="R889" i="3"/>
  <c r="P899" i="3"/>
  <c r="N909" i="3"/>
  <c r="L919" i="3"/>
  <c r="J929" i="3"/>
  <c r="U938" i="3"/>
  <c r="S948" i="3"/>
  <c r="Q958" i="3"/>
  <c r="O968" i="3"/>
  <c r="Y968" i="3" s="1"/>
  <c r="M978" i="3"/>
  <c r="S573" i="3"/>
  <c r="U678" i="3"/>
  <c r="N713" i="3"/>
  <c r="P739" i="3"/>
  <c r="S765" i="3"/>
  <c r="K792" i="3"/>
  <c r="M818" i="3"/>
  <c r="T843" i="3"/>
  <c r="V860" i="3"/>
  <c r="L872" i="3"/>
  <c r="N882" i="3"/>
  <c r="L892" i="3"/>
  <c r="J902" i="3"/>
  <c r="U911" i="3"/>
  <c r="S921" i="3"/>
  <c r="Q931" i="3"/>
  <c r="O941" i="3"/>
  <c r="Y941" i="3" s="1"/>
  <c r="M951" i="3"/>
  <c r="K961" i="3"/>
  <c r="V970" i="3"/>
  <c r="T980" i="3"/>
  <c r="V457" i="3"/>
  <c r="L627" i="3"/>
  <c r="O700" i="3"/>
  <c r="Q726" i="3"/>
  <c r="T752" i="3"/>
  <c r="L779" i="3"/>
  <c r="N805" i="3"/>
  <c r="Q831" i="3"/>
  <c r="S853" i="3"/>
  <c r="L863" i="3"/>
  <c r="J873" i="3"/>
  <c r="Q880" i="3"/>
  <c r="Q888" i="3"/>
  <c r="L897" i="3"/>
  <c r="V903" i="3"/>
  <c r="Q912" i="3"/>
  <c r="V919" i="3"/>
  <c r="V927" i="3"/>
  <c r="Q936" i="3"/>
  <c r="N943" i="3"/>
  <c r="V951" i="3"/>
  <c r="N959" i="3"/>
  <c r="N967" i="3"/>
  <c r="V975" i="3"/>
  <c r="S982" i="3"/>
  <c r="N991" i="3"/>
  <c r="S998" i="3"/>
  <c r="P575" i="3"/>
  <c r="M667" i="3"/>
  <c r="M702" i="3"/>
  <c r="K725" i="3"/>
  <c r="T744" i="3"/>
  <c r="M766" i="3"/>
  <c r="K789" i="3"/>
  <c r="L807" i="3"/>
  <c r="M830" i="3"/>
  <c r="T847" i="3"/>
  <c r="K861" i="3"/>
  <c r="V870" i="3"/>
  <c r="L878" i="3"/>
  <c r="T886" i="3"/>
  <c r="L894" i="3"/>
  <c r="L902" i="3"/>
  <c r="T910" i="3"/>
  <c r="Q917" i="3"/>
  <c r="L926" i="3"/>
  <c r="Q933" i="3"/>
  <c r="Q941" i="3"/>
  <c r="L950" i="3"/>
  <c r="V956" i="3"/>
  <c r="Q965" i="3"/>
  <c r="V972" i="3"/>
  <c r="V980" i="3"/>
  <c r="J570" i="3"/>
  <c r="V641" i="3"/>
  <c r="S700" i="3"/>
  <c r="U563" i="3"/>
  <c r="N649" i="3"/>
  <c r="Q702" i="3"/>
  <c r="S720" i="3"/>
  <c r="Q743" i="3"/>
  <c r="M763" i="3"/>
  <c r="S784" i="3"/>
  <c r="Q807" i="3"/>
  <c r="R825" i="3"/>
  <c r="U846" i="3"/>
  <c r="U859" i="3"/>
  <c r="J869" i="3"/>
  <c r="N878" i="3"/>
  <c r="K885" i="3"/>
  <c r="S893" i="3"/>
  <c r="K901" i="3"/>
  <c r="K909" i="3"/>
  <c r="S917" i="3"/>
  <c r="P924" i="3"/>
  <c r="K933" i="3"/>
  <c r="P940" i="3"/>
  <c r="P948" i="3"/>
  <c r="K957" i="3"/>
  <c r="U963" i="3"/>
  <c r="P972" i="3"/>
  <c r="U979" i="3"/>
  <c r="U987" i="3"/>
  <c r="P604" i="3"/>
  <c r="O676" i="3"/>
  <c r="Y676" i="3" s="1"/>
  <c r="N709" i="3"/>
  <c r="J729" i="3"/>
  <c r="N750" i="3"/>
  <c r="N773" i="3"/>
  <c r="P791" i="3"/>
  <c r="N814" i="3"/>
  <c r="J834" i="3"/>
  <c r="U851" i="3"/>
  <c r="L864" i="3"/>
  <c r="V871" i="3"/>
  <c r="U880" i="3"/>
  <c r="M888" i="3"/>
  <c r="M896" i="3"/>
  <c r="U904" i="3"/>
  <c r="R911" i="3"/>
  <c r="M920" i="3"/>
  <c r="R927" i="3"/>
  <c r="R935" i="3"/>
  <c r="M944" i="3"/>
  <c r="J951" i="3"/>
  <c r="R959" i="3"/>
  <c r="J967" i="3"/>
  <c r="J975" i="3"/>
  <c r="R983" i="3"/>
  <c r="K677" i="3"/>
  <c r="N789" i="3"/>
  <c r="T859" i="3"/>
  <c r="R893" i="3"/>
  <c r="K928" i="3"/>
  <c r="L955" i="3"/>
  <c r="P986" i="3"/>
  <c r="U995" i="3"/>
  <c r="U981" i="3"/>
  <c r="K757" i="3"/>
  <c r="N829" i="3"/>
  <c r="Q881" i="3"/>
  <c r="K911" i="3"/>
  <c r="K943" i="3"/>
  <c r="Q977" i="3"/>
  <c r="S991" i="3"/>
  <c r="P974" i="3"/>
  <c r="Q751" i="3"/>
  <c r="J837" i="3"/>
  <c r="O884" i="3"/>
  <c r="Y884" i="3" s="1"/>
  <c r="P911" i="3"/>
  <c r="V945" i="3"/>
  <c r="P975" i="3"/>
  <c r="P992" i="3"/>
  <c r="P715" i="3"/>
  <c r="S880" i="3"/>
  <c r="M994" i="3"/>
  <c r="J876" i="3"/>
  <c r="L990" i="3"/>
  <c r="V725" i="3"/>
  <c r="Q791" i="3"/>
  <c r="S857" i="3"/>
  <c r="K887" i="3"/>
  <c r="S911" i="3"/>
  <c r="T938" i="3"/>
  <c r="U965" i="3"/>
  <c r="U986" i="3"/>
  <c r="O995" i="3"/>
  <c r="Y995" i="3" s="1"/>
  <c r="Q845" i="3"/>
  <c r="K952" i="3"/>
  <c r="R271" i="3"/>
  <c r="T387" i="3"/>
  <c r="Q462" i="3"/>
  <c r="T485" i="3"/>
  <c r="V508" i="3"/>
  <c r="J591" i="3"/>
  <c r="U435" i="3"/>
  <c r="P598" i="3"/>
  <c r="J676" i="3"/>
  <c r="S517" i="3"/>
  <c r="U570" i="3"/>
  <c r="T623" i="3"/>
  <c r="S676" i="3"/>
  <c r="O516" i="3"/>
  <c r="Y516" i="3" s="1"/>
  <c r="K569" i="3"/>
  <c r="P608" i="3"/>
  <c r="U647" i="3"/>
  <c r="M687" i="3"/>
  <c r="N513" i="3"/>
  <c r="U556" i="3"/>
  <c r="M596" i="3"/>
  <c r="R635" i="3"/>
  <c r="J675" i="3"/>
  <c r="M478" i="3"/>
  <c r="R544" i="3"/>
  <c r="J584" i="3"/>
  <c r="O623" i="3"/>
  <c r="V660" i="3"/>
  <c r="N321" i="3"/>
  <c r="M502" i="3"/>
  <c r="R324" i="3"/>
  <c r="K637" i="3"/>
  <c r="R703" i="3"/>
  <c r="K730" i="3"/>
  <c r="V755" i="3"/>
  <c r="O782" i="3"/>
  <c r="Y782" i="3" s="1"/>
  <c r="U808" i="3"/>
  <c r="S834" i="3"/>
  <c r="N859" i="3"/>
  <c r="V513" i="3"/>
  <c r="Q610" i="3"/>
  <c r="J687" i="3"/>
  <c r="M709" i="3"/>
  <c r="V728" i="3"/>
  <c r="R748" i="3"/>
  <c r="N768" i="3"/>
  <c r="J788" i="3"/>
  <c r="S807" i="3"/>
  <c r="O827" i="3"/>
  <c r="Y827" i="3" s="1"/>
  <c r="K847" i="3"/>
  <c r="R549" i="3"/>
  <c r="O628" i="3"/>
  <c r="Y628" i="3" s="1"/>
  <c r="J694" i="3"/>
  <c r="S713" i="3"/>
  <c r="O733" i="3"/>
  <c r="Y733" i="3" s="1"/>
  <c r="K753" i="3"/>
  <c r="T772" i="3"/>
  <c r="P792" i="3"/>
  <c r="L812" i="3"/>
  <c r="U831" i="3"/>
  <c r="Q851" i="3"/>
  <c r="T576" i="3"/>
  <c r="Q655" i="3"/>
  <c r="U700" i="3"/>
  <c r="Q720" i="3"/>
  <c r="M740" i="3"/>
  <c r="V759" i="3"/>
  <c r="R779" i="3"/>
  <c r="N799" i="3"/>
  <c r="J819" i="3"/>
  <c r="S838" i="3"/>
  <c r="O858" i="3"/>
  <c r="Y858" i="3" s="1"/>
  <c r="R589" i="3"/>
  <c r="O668" i="3"/>
  <c r="Y668" i="3" s="1"/>
  <c r="J704" i="3"/>
  <c r="S723" i="3"/>
  <c r="O743" i="3"/>
  <c r="Y743" i="3" s="1"/>
  <c r="V756" i="3"/>
  <c r="T766" i="3"/>
  <c r="R776" i="3"/>
  <c r="P786" i="3"/>
  <c r="N796" i="3"/>
  <c r="L806" i="3"/>
  <c r="J816" i="3"/>
  <c r="U825" i="3"/>
  <c r="S835" i="3"/>
  <c r="N553" i="3"/>
  <c r="R658" i="3"/>
  <c r="K708" i="3"/>
  <c r="N734" i="3"/>
  <c r="S760" i="3"/>
  <c r="U786" i="3"/>
  <c r="K813" i="3"/>
  <c r="P839" i="3"/>
  <c r="R858" i="3"/>
  <c r="J870" i="3"/>
  <c r="O880" i="3"/>
  <c r="M890" i="3"/>
  <c r="K900" i="3"/>
  <c r="V909" i="3"/>
  <c r="T919" i="3"/>
  <c r="R929" i="3"/>
  <c r="P939" i="3"/>
  <c r="N949" i="3"/>
  <c r="L959" i="3"/>
  <c r="J969" i="3"/>
  <c r="U978" i="3"/>
  <c r="O580" i="3"/>
  <c r="Y580" i="3" s="1"/>
  <c r="J685" i="3"/>
  <c r="U714" i="3"/>
  <c r="K741" i="3"/>
  <c r="P767" i="3"/>
  <c r="R793" i="3"/>
  <c r="U819" i="3"/>
  <c r="J845" i="3"/>
  <c r="R861" i="3"/>
  <c r="V872" i="3"/>
  <c r="V882" i="3"/>
  <c r="T892" i="3"/>
  <c r="R902" i="3"/>
  <c r="P912" i="3"/>
  <c r="N922" i="3"/>
  <c r="L932" i="3"/>
  <c r="J942" i="3"/>
  <c r="U951" i="3"/>
  <c r="S961" i="3"/>
  <c r="Q971" i="3"/>
  <c r="O981" i="3"/>
  <c r="Y981" i="3" s="1"/>
  <c r="N497" i="3"/>
  <c r="J634" i="3"/>
  <c r="V701" i="3"/>
  <c r="L728" i="3"/>
  <c r="Q754" i="3"/>
  <c r="S780" i="3"/>
  <c r="V806" i="3"/>
  <c r="N833" i="3"/>
  <c r="V854" i="3"/>
  <c r="Q864" i="3"/>
  <c r="S873" i="3"/>
  <c r="O882" i="3"/>
  <c r="Y882" i="3" s="1"/>
  <c r="L889" i="3"/>
  <c r="T897" i="3"/>
  <c r="L905" i="3"/>
  <c r="L913" i="3"/>
  <c r="T921" i="3"/>
  <c r="Q928" i="3"/>
  <c r="L937" i="3"/>
  <c r="Q944" i="3"/>
  <c r="Q952" i="3"/>
  <c r="L961" i="3"/>
  <c r="V967" i="3"/>
  <c r="Q976" i="3"/>
  <c r="V983" i="3"/>
  <c r="V991" i="3"/>
  <c r="Q1000" i="3"/>
  <c r="N582" i="3"/>
  <c r="V673" i="3"/>
  <c r="O705" i="3"/>
  <c r="U726" i="3"/>
  <c r="S749" i="3"/>
  <c r="T767" i="3"/>
  <c r="U790" i="3"/>
  <c r="Q810" i="3"/>
  <c r="T831" i="3"/>
  <c r="P851" i="3"/>
  <c r="U861" i="3"/>
  <c r="S871" i="3"/>
  <c r="O879" i="3"/>
  <c r="Y879" i="3" s="1"/>
  <c r="O887" i="3"/>
  <c r="Y887" i="3" s="1"/>
  <c r="J896" i="3"/>
  <c r="T902" i="3"/>
  <c r="O911" i="3"/>
  <c r="Y911" i="3" s="1"/>
  <c r="T918" i="3"/>
  <c r="T926" i="3"/>
  <c r="O935" i="3"/>
  <c r="Y935" i="3" s="1"/>
  <c r="L942" i="3"/>
  <c r="T950" i="3"/>
  <c r="L958" i="3"/>
  <c r="L966" i="3"/>
  <c r="T974" i="3"/>
  <c r="Q981" i="3"/>
  <c r="L576" i="3"/>
  <c r="V654" i="3"/>
  <c r="N702" i="3"/>
  <c r="Q583" i="3"/>
  <c r="L656" i="3"/>
  <c r="L704" i="3"/>
  <c r="U723" i="3"/>
  <c r="N745" i="3"/>
  <c r="L768" i="3"/>
  <c r="M786" i="3"/>
  <c r="N809" i="3"/>
  <c r="J829" i="3"/>
  <c r="K848" i="3"/>
  <c r="J862" i="3"/>
  <c r="S869" i="3"/>
  <c r="V878" i="3"/>
  <c r="N886" i="3"/>
  <c r="N894" i="3"/>
  <c r="V902" i="3"/>
  <c r="S909" i="3"/>
  <c r="N918" i="3"/>
  <c r="S925" i="3"/>
  <c r="S933" i="3"/>
  <c r="N942" i="3"/>
  <c r="K949" i="3"/>
  <c r="S957" i="3"/>
  <c r="K965" i="3"/>
  <c r="K973" i="3"/>
  <c r="S981" i="3"/>
  <c r="N422" i="3"/>
  <c r="R610" i="3"/>
  <c r="M299" i="3"/>
  <c r="U441" i="3"/>
  <c r="S497" i="3"/>
  <c r="S518" i="3"/>
  <c r="K462" i="3"/>
  <c r="M616" i="3"/>
  <c r="R517" i="3"/>
  <c r="K623" i="3"/>
  <c r="S687" i="3"/>
  <c r="U530" i="3"/>
  <c r="T583" i="3"/>
  <c r="P635" i="3"/>
  <c r="O688" i="3"/>
  <c r="Y688" i="3" s="1"/>
  <c r="Q531" i="3"/>
  <c r="N578" i="3"/>
  <c r="S617" i="3"/>
  <c r="K657" i="3"/>
  <c r="S389" i="3"/>
  <c r="S526" i="3"/>
  <c r="K566" i="3"/>
  <c r="P605" i="3"/>
  <c r="U644" i="3"/>
  <c r="M684" i="3"/>
  <c r="N505" i="3"/>
  <c r="U553" i="3"/>
  <c r="M593" i="3"/>
  <c r="R632" i="3"/>
  <c r="S667" i="3"/>
  <c r="Q399" i="3"/>
  <c r="N521" i="3"/>
  <c r="U531" i="3"/>
  <c r="S661" i="3"/>
  <c r="T709" i="3"/>
  <c r="R735" i="3"/>
  <c r="P761" i="3"/>
  <c r="Q788" i="3"/>
  <c r="O814" i="3"/>
  <c r="M840" i="3"/>
  <c r="R863" i="3"/>
  <c r="J549" i="3"/>
  <c r="T627" i="3"/>
  <c r="U693" i="3"/>
  <c r="Q713" i="3"/>
  <c r="M733" i="3"/>
  <c r="V752" i="3"/>
  <c r="R772" i="3"/>
  <c r="N792" i="3"/>
  <c r="J812" i="3"/>
  <c r="S831" i="3"/>
  <c r="O851" i="3"/>
  <c r="U566" i="3"/>
  <c r="R645" i="3"/>
  <c r="N698" i="3"/>
  <c r="J718" i="3"/>
  <c r="S737" i="3"/>
  <c r="O757" i="3"/>
  <c r="Y757" i="3" s="1"/>
  <c r="K777" i="3"/>
  <c r="T796" i="3"/>
  <c r="P816" i="3"/>
  <c r="L836" i="3"/>
  <c r="U358" i="3"/>
  <c r="J594" i="3"/>
  <c r="T672" i="3"/>
  <c r="L705" i="3"/>
  <c r="U724" i="3"/>
  <c r="Q744" i="3"/>
  <c r="M764" i="3"/>
  <c r="V783" i="3"/>
  <c r="R803" i="3"/>
  <c r="N823" i="3"/>
  <c r="J843" i="3"/>
  <c r="S493" i="3"/>
  <c r="U606" i="3"/>
  <c r="Q684" i="3"/>
  <c r="N708" i="3"/>
  <c r="J728" i="3"/>
  <c r="K747" i="3"/>
  <c r="Q757" i="3"/>
  <c r="O767" i="3"/>
  <c r="M777" i="3"/>
  <c r="K787" i="3"/>
  <c r="V796" i="3"/>
  <c r="T806" i="3"/>
  <c r="R816" i="3"/>
  <c r="P826" i="3"/>
  <c r="N836" i="3"/>
  <c r="L560" i="3"/>
  <c r="T664" i="3"/>
  <c r="S709" i="3"/>
  <c r="K736" i="3"/>
  <c r="M762" i="3"/>
  <c r="P788" i="3"/>
  <c r="U814" i="3"/>
  <c r="J841" i="3"/>
  <c r="P859" i="3"/>
  <c r="S870" i="3"/>
  <c r="J881" i="3"/>
  <c r="U890" i="3"/>
  <c r="S900" i="3"/>
  <c r="Q910" i="3"/>
  <c r="O920" i="3"/>
  <c r="M930" i="3"/>
  <c r="K940" i="3"/>
  <c r="V949" i="3"/>
  <c r="T959" i="3"/>
  <c r="R969" i="3"/>
  <c r="P979" i="3"/>
  <c r="M587" i="3"/>
  <c r="U688" i="3"/>
  <c r="P716" i="3"/>
  <c r="U742" i="3"/>
  <c r="J769" i="3"/>
  <c r="M795" i="3"/>
  <c r="R821" i="3"/>
  <c r="V315" i="3"/>
  <c r="K243" i="3"/>
  <c r="N498" i="3"/>
  <c r="N519" i="3"/>
  <c r="R463" i="3"/>
  <c r="U616" i="3"/>
  <c r="J519" i="3"/>
  <c r="S623" i="3"/>
  <c r="Q689" i="3"/>
  <c r="P531" i="3"/>
  <c r="O584" i="3"/>
  <c r="N637" i="3"/>
  <c r="J689" i="3"/>
  <c r="L532" i="3"/>
  <c r="V578" i="3"/>
  <c r="N618" i="3"/>
  <c r="S657" i="3"/>
  <c r="Q394" i="3"/>
  <c r="N527" i="3"/>
  <c r="S566" i="3"/>
  <c r="K606" i="3"/>
  <c r="P645" i="3"/>
  <c r="U684" i="3"/>
  <c r="S506" i="3"/>
  <c r="P554" i="3"/>
  <c r="U593" i="3"/>
  <c r="M633" i="3"/>
  <c r="N668" i="3"/>
  <c r="Q412" i="3"/>
  <c r="V521" i="3"/>
  <c r="T536" i="3"/>
  <c r="R666" i="3"/>
  <c r="O710" i="3"/>
  <c r="Y710" i="3" s="1"/>
  <c r="M736" i="3"/>
  <c r="S762" i="3"/>
  <c r="L789" i="3"/>
  <c r="J815" i="3"/>
  <c r="P841" i="3"/>
  <c r="M864" i="3"/>
  <c r="P551" i="3"/>
  <c r="M630" i="3"/>
  <c r="P694" i="3"/>
  <c r="L714" i="3"/>
  <c r="U733" i="3"/>
  <c r="Q753" i="3"/>
  <c r="M773" i="3"/>
  <c r="V792" i="3"/>
  <c r="R812" i="3"/>
  <c r="N832" i="3"/>
  <c r="J852" i="3"/>
  <c r="N569" i="3"/>
  <c r="K648" i="3"/>
  <c r="V698" i="3"/>
  <c r="R718" i="3"/>
  <c r="N738" i="3"/>
  <c r="J758" i="3"/>
  <c r="S777" i="3"/>
  <c r="O797" i="3"/>
  <c r="Y797" i="3" s="1"/>
  <c r="K817" i="3"/>
  <c r="T836" i="3"/>
  <c r="N409" i="3"/>
  <c r="P596" i="3"/>
  <c r="M675" i="3"/>
  <c r="T705" i="3"/>
  <c r="P725" i="3"/>
  <c r="L745" i="3"/>
  <c r="U764" i="3"/>
  <c r="Q784" i="3"/>
  <c r="M804" i="3"/>
  <c r="V823" i="3"/>
  <c r="R843" i="3"/>
  <c r="M507" i="3"/>
  <c r="N609" i="3"/>
  <c r="N686" i="3"/>
  <c r="V708" i="3"/>
  <c r="R728" i="3"/>
  <c r="S747" i="3"/>
  <c r="L758" i="3"/>
  <c r="J768" i="3"/>
  <c r="U777" i="3"/>
  <c r="S787" i="3"/>
  <c r="Q797" i="3"/>
  <c r="O807" i="3"/>
  <c r="M817" i="3"/>
  <c r="K827" i="3"/>
  <c r="V836" i="3"/>
  <c r="N566" i="3"/>
  <c r="P671" i="3"/>
  <c r="P711" i="3"/>
  <c r="R737" i="3"/>
  <c r="U763" i="3"/>
  <c r="M790" i="3"/>
  <c r="O816" i="3"/>
  <c r="P842" i="3"/>
  <c r="L860" i="3"/>
  <c r="O871" i="3"/>
  <c r="R881" i="3"/>
  <c r="P891" i="3"/>
  <c r="N901" i="3"/>
  <c r="L911" i="3"/>
  <c r="J921" i="3"/>
  <c r="U930" i="3"/>
  <c r="S940" i="3"/>
  <c r="Q950" i="3"/>
  <c r="O960" i="3"/>
  <c r="Y960" i="3" s="1"/>
  <c r="M970" i="3"/>
  <c r="K980" i="3"/>
  <c r="O593" i="3"/>
  <c r="Y593" i="3" s="1"/>
  <c r="U691" i="3"/>
  <c r="M718" i="3"/>
  <c r="O744" i="3"/>
  <c r="Y744" i="3" s="1"/>
  <c r="R770" i="3"/>
  <c r="J797" i="3"/>
  <c r="L823" i="3"/>
  <c r="P847" i="3"/>
  <c r="K863" i="3"/>
  <c r="N874" i="3"/>
  <c r="L884" i="3"/>
  <c r="J894" i="3"/>
  <c r="U903" i="3"/>
  <c r="S913" i="3"/>
  <c r="Q923" i="3"/>
  <c r="O933" i="3"/>
  <c r="M943" i="3"/>
  <c r="K953" i="3"/>
  <c r="V962" i="3"/>
  <c r="T972" i="3"/>
  <c r="R982" i="3"/>
  <c r="J538" i="3"/>
  <c r="U646" i="3"/>
  <c r="N705" i="3"/>
  <c r="P731" i="3"/>
  <c r="S757" i="3"/>
  <c r="K784" i="3"/>
  <c r="M810" i="3"/>
  <c r="P836" i="3"/>
  <c r="K857" i="3"/>
  <c r="O867" i="3"/>
  <c r="Y867" i="3" s="1"/>
  <c r="R875" i="3"/>
  <c r="R883" i="3"/>
  <c r="M892" i="3"/>
  <c r="J899" i="3"/>
  <c r="R907" i="3"/>
  <c r="J915" i="3"/>
  <c r="J923" i="3"/>
  <c r="R931" i="3"/>
  <c r="O938" i="3"/>
  <c r="J947" i="3"/>
  <c r="O954" i="3"/>
  <c r="O962" i="3"/>
  <c r="Y962" i="3" s="1"/>
  <c r="J971" i="3"/>
  <c r="T977" i="3"/>
  <c r="O986" i="3"/>
  <c r="Y986" i="3" s="1"/>
  <c r="T993" i="3"/>
  <c r="R465" i="3"/>
  <c r="U614" i="3"/>
  <c r="S685" i="3"/>
  <c r="K712" i="3"/>
  <c r="T731" i="3"/>
  <c r="J753" i="3"/>
  <c r="K776" i="3"/>
  <c r="J794" i="3"/>
  <c r="J817" i="3"/>
  <c r="S836" i="3"/>
  <c r="V853" i="3"/>
  <c r="N865" i="3"/>
  <c r="K873" i="3"/>
  <c r="U881" i="3"/>
  <c r="M889" i="3"/>
  <c r="M897" i="3"/>
  <c r="U905" i="3"/>
  <c r="R912" i="3"/>
  <c r="M921" i="3"/>
  <c r="R928" i="3"/>
  <c r="R936" i="3"/>
  <c r="M945" i="3"/>
  <c r="J952" i="3"/>
  <c r="R960" i="3"/>
  <c r="J968" i="3"/>
  <c r="J976" i="3"/>
  <c r="R399" i="3"/>
  <c r="S589" i="3"/>
  <c r="N681" i="3"/>
  <c r="M707" i="3"/>
  <c r="K597" i="3"/>
  <c r="U686" i="3"/>
  <c r="P707" i="3"/>
  <c r="Q730" i="3"/>
  <c r="M750" i="3"/>
  <c r="P771" i="3"/>
  <c r="Q794" i="3"/>
  <c r="P812" i="3"/>
  <c r="P835" i="3"/>
  <c r="T851" i="3"/>
  <c r="O863" i="3"/>
  <c r="Y863" i="3" s="1"/>
  <c r="M873" i="3"/>
  <c r="L880" i="3"/>
  <c r="T888" i="3"/>
  <c r="L896" i="3"/>
  <c r="L904" i="3"/>
  <c r="T912" i="3"/>
  <c r="Q919" i="3"/>
  <c r="L928" i="3"/>
  <c r="Q935" i="3"/>
  <c r="Q943" i="3"/>
  <c r="L952" i="3"/>
  <c r="V958" i="3"/>
  <c r="Q967" i="3"/>
  <c r="V974" i="3"/>
  <c r="V982" i="3"/>
  <c r="Q551" i="3"/>
  <c r="L624" i="3"/>
  <c r="L696" i="3"/>
  <c r="U715" i="3"/>
  <c r="N737" i="3"/>
  <c r="L760" i="3"/>
  <c r="M778" i="3"/>
  <c r="N801" i="3"/>
  <c r="J821" i="3"/>
  <c r="J842" i="3"/>
  <c r="P858" i="3"/>
  <c r="N866" i="3"/>
  <c r="V875" i="3"/>
  <c r="N883" i="3"/>
  <c r="N891" i="3"/>
  <c r="V899" i="3"/>
  <c r="S906" i="3"/>
  <c r="N915" i="3"/>
  <c r="S922" i="3"/>
  <c r="S930" i="3"/>
  <c r="N939" i="3"/>
  <c r="K946" i="3"/>
  <c r="S954" i="3"/>
  <c r="K962" i="3"/>
  <c r="K970" i="3"/>
  <c r="S978" i="3"/>
  <c r="P985" i="3"/>
  <c r="T736" i="3"/>
  <c r="Q815" i="3"/>
  <c r="U873" i="3"/>
  <c r="O908" i="3"/>
  <c r="Y908" i="3" s="1"/>
  <c r="P935" i="3"/>
  <c r="V969" i="3"/>
  <c r="M990" i="3"/>
  <c r="O999" i="3"/>
  <c r="Y999" i="3" s="1"/>
  <c r="N701" i="3"/>
  <c r="T776" i="3"/>
  <c r="K860" i="3"/>
  <c r="O891" i="3"/>
  <c r="Y891" i="3" s="1"/>
  <c r="O923" i="3"/>
  <c r="Y923" i="3" s="1"/>
  <c r="U957" i="3"/>
  <c r="K984" i="3"/>
  <c r="V995" i="3"/>
  <c r="L688" i="3"/>
  <c r="O784" i="3"/>
  <c r="Y784" i="3" s="1"/>
  <c r="N863" i="3"/>
  <c r="T891" i="3"/>
  <c r="M926" i="3"/>
  <c r="T955" i="3"/>
  <c r="Q985" i="3"/>
  <c r="S996" i="3"/>
  <c r="O748" i="3"/>
  <c r="Y748" i="3" s="1"/>
  <c r="N937" i="3"/>
  <c r="J618" i="3"/>
  <c r="S927" i="3"/>
  <c r="K533" i="3"/>
  <c r="R745" i="3"/>
  <c r="O824" i="3"/>
  <c r="Y824" i="3" s="1"/>
  <c r="M869" i="3"/>
  <c r="P894" i="3"/>
  <c r="J924" i="3"/>
  <c r="R948" i="3"/>
  <c r="M973" i="3"/>
  <c r="L991" i="3"/>
  <c r="M998" i="3"/>
  <c r="L883" i="3"/>
  <c r="J990" i="3"/>
  <c r="O801" i="3"/>
  <c r="Y801" i="3" s="1"/>
  <c r="R932" i="3"/>
  <c r="N598" i="3"/>
  <c r="N753" i="3"/>
  <c r="U818" i="3"/>
  <c r="P872" i="3"/>
  <c r="N897" i="3"/>
  <c r="V921" i="3"/>
  <c r="P951" i="3"/>
  <c r="K976" i="3"/>
  <c r="Q990" i="3"/>
  <c r="J999" i="3"/>
  <c r="P895" i="3"/>
  <c r="M989" i="3"/>
  <c r="T867" i="3"/>
  <c r="S959" i="3"/>
  <c r="O657" i="3"/>
  <c r="Y657" i="3" s="1"/>
  <c r="R773" i="3"/>
  <c r="L839" i="3"/>
  <c r="O875" i="3"/>
  <c r="Y875" i="3" s="1"/>
  <c r="V904" i="3"/>
  <c r="Q929" i="3"/>
  <c r="L954" i="3"/>
  <c r="L983" i="3"/>
  <c r="T992" i="3"/>
  <c r="T999" i="3"/>
  <c r="K859" i="3"/>
  <c r="T939" i="3"/>
  <c r="P998" i="3"/>
  <c r="P878" i="3"/>
  <c r="K967" i="3"/>
  <c r="O411" i="3"/>
  <c r="Q464" i="3"/>
  <c r="R340" i="3"/>
  <c r="M422" i="3"/>
  <c r="V531" i="3"/>
  <c r="K642" i="3"/>
  <c r="V544" i="3"/>
  <c r="U637" i="3"/>
  <c r="M419" i="3"/>
  <c r="O544" i="3"/>
  <c r="Y544" i="3" s="1"/>
  <c r="K596" i="3"/>
  <c r="J649" i="3"/>
  <c r="L424" i="3"/>
  <c r="U543" i="3"/>
  <c r="L588" i="3"/>
  <c r="Q627" i="3"/>
  <c r="V666" i="3"/>
  <c r="K453" i="3"/>
  <c r="Q536" i="3"/>
  <c r="V575" i="3"/>
  <c r="N615" i="3"/>
  <c r="S654" i="3"/>
  <c r="U357" i="3"/>
  <c r="N524" i="3"/>
  <c r="S563" i="3"/>
  <c r="K603" i="3"/>
  <c r="P642" i="3"/>
  <c r="S675" i="3"/>
  <c r="N453" i="3"/>
  <c r="K528" i="3"/>
  <c r="K573" i="3"/>
  <c r="S688" i="3"/>
  <c r="V715" i="3"/>
  <c r="T741" i="3"/>
  <c r="U768" i="3"/>
  <c r="S794" i="3"/>
  <c r="Q820" i="3"/>
  <c r="R847" i="3"/>
  <c r="Q868" i="3"/>
  <c r="S568" i="3"/>
  <c r="P647" i="3"/>
  <c r="T698" i="3"/>
  <c r="P718" i="3"/>
  <c r="L738" i="3"/>
  <c r="U757" i="3"/>
  <c r="Q777" i="3"/>
  <c r="M797" i="3"/>
  <c r="V816" i="3"/>
  <c r="R836" i="3"/>
  <c r="N856" i="3"/>
  <c r="Q586" i="3"/>
  <c r="N665" i="3"/>
  <c r="M703" i="3"/>
  <c r="V722" i="3"/>
  <c r="R742" i="3"/>
  <c r="N762" i="3"/>
  <c r="J782" i="3"/>
  <c r="S801" i="3"/>
  <c r="O821" i="3"/>
  <c r="Y821" i="3" s="1"/>
  <c r="K841" i="3"/>
  <c r="P524" i="3"/>
  <c r="S613" i="3"/>
  <c r="O689" i="3"/>
  <c r="Y689" i="3" s="1"/>
  <c r="K710" i="3"/>
  <c r="T729" i="3"/>
  <c r="P749" i="3"/>
  <c r="L769" i="3"/>
  <c r="U788" i="3"/>
  <c r="Q808" i="3"/>
  <c r="M828" i="3"/>
  <c r="V847" i="3"/>
  <c r="T547" i="3"/>
  <c r="Q626" i="3"/>
  <c r="Q693" i="3"/>
  <c r="M713" i="3"/>
  <c r="V732" i="3"/>
  <c r="N748" i="3"/>
  <c r="M761" i="3"/>
  <c r="K771" i="3"/>
  <c r="V780" i="3"/>
  <c r="T790" i="3"/>
  <c r="R800" i="3"/>
  <c r="P810" i="3"/>
  <c r="N820" i="3"/>
  <c r="L830" i="3"/>
  <c r="J840" i="3"/>
  <c r="Q599" i="3"/>
  <c r="N693" i="3"/>
  <c r="Q719" i="3"/>
  <c r="V745" i="3"/>
  <c r="K772" i="3"/>
  <c r="N798" i="3"/>
  <c r="S824" i="3"/>
  <c r="R848" i="3"/>
  <c r="S863" i="3"/>
  <c r="U874" i="3"/>
  <c r="S884" i="3"/>
  <c r="Q894" i="3"/>
  <c r="O904" i="3"/>
  <c r="Y904" i="3" s="1"/>
  <c r="M914" i="3"/>
  <c r="K924" i="3"/>
  <c r="V933" i="3"/>
  <c r="T943" i="3"/>
  <c r="R953" i="3"/>
  <c r="P963" i="3"/>
  <c r="N973" i="3"/>
  <c r="R451" i="3"/>
  <c r="R626" i="3"/>
  <c r="K700" i="3"/>
  <c r="N726" i="3"/>
  <c r="S752" i="3"/>
  <c r="U778" i="3"/>
  <c r="K805" i="3"/>
  <c r="P831" i="3"/>
  <c r="R853" i="3"/>
  <c r="Q866" i="3"/>
  <c r="O877" i="3"/>
  <c r="Y877" i="3" s="1"/>
  <c r="M887" i="3"/>
  <c r="K897" i="3"/>
  <c r="V906" i="3"/>
  <c r="T916" i="3"/>
  <c r="R926" i="3"/>
  <c r="P936" i="3"/>
  <c r="N946" i="3"/>
  <c r="L956" i="3"/>
  <c r="J966" i="3"/>
  <c r="U975" i="3"/>
  <c r="S985" i="3"/>
  <c r="V574" i="3"/>
  <c r="Q679" i="3"/>
  <c r="O713" i="3"/>
  <c r="Y713" i="3" s="1"/>
  <c r="T739" i="3"/>
  <c r="V765" i="3"/>
  <c r="L792" i="3"/>
  <c r="Q818" i="3"/>
  <c r="U843" i="3"/>
  <c r="U858" i="3"/>
  <c r="K868" i="3"/>
  <c r="P877" i="3"/>
  <c r="M884" i="3"/>
  <c r="U892" i="3"/>
  <c r="M900" i="3"/>
  <c r="M908" i="3"/>
  <c r="U916" i="3"/>
  <c r="R923" i="3"/>
  <c r="M932" i="3"/>
  <c r="R939" i="3"/>
  <c r="R947" i="3"/>
  <c r="M956" i="3"/>
  <c r="J963" i="3"/>
  <c r="R971" i="3"/>
  <c r="J979" i="3"/>
  <c r="J987" i="3"/>
  <c r="R995" i="3"/>
  <c r="N502" i="3"/>
  <c r="S621" i="3"/>
  <c r="O692" i="3"/>
  <c r="Y692" i="3" s="1"/>
  <c r="R713" i="3"/>
  <c r="S736" i="3"/>
  <c r="R754" i="3"/>
  <c r="R777" i="3"/>
  <c r="N797" i="3"/>
  <c r="R818" i="3"/>
  <c r="R841" i="3"/>
  <c r="L855" i="3"/>
  <c r="J866" i="3"/>
  <c r="P874" i="3"/>
  <c r="P882" i="3"/>
  <c r="K891" i="3"/>
  <c r="U897" i="3"/>
  <c r="P906" i="3"/>
  <c r="U913" i="3"/>
  <c r="U921" i="3"/>
  <c r="P930" i="3"/>
  <c r="M937" i="3"/>
  <c r="U945" i="3"/>
  <c r="M953" i="3"/>
  <c r="M961" i="3"/>
  <c r="U969" i="3"/>
  <c r="R976" i="3"/>
  <c r="L467" i="3"/>
  <c r="Q602" i="3"/>
  <c r="O686" i="3"/>
  <c r="Y686" i="3" s="1"/>
  <c r="O510" i="3"/>
  <c r="Y510" i="3" s="1"/>
  <c r="M603" i="3"/>
  <c r="L691" i="3"/>
  <c r="U710" i="3"/>
  <c r="K732" i="3"/>
  <c r="L755" i="3"/>
  <c r="K773" i="3"/>
  <c r="K796" i="3"/>
  <c r="T815" i="3"/>
  <c r="K837" i="3"/>
  <c r="P855" i="3"/>
  <c r="K864" i="3"/>
  <c r="V873" i="3"/>
  <c r="O881" i="3"/>
  <c r="Y881" i="3" s="1"/>
  <c r="O889" i="3"/>
  <c r="Y889" i="3" s="1"/>
  <c r="J898" i="3"/>
  <c r="T904" i="3"/>
  <c r="O913" i="3"/>
  <c r="T920" i="3"/>
  <c r="T928" i="3"/>
  <c r="O937" i="3"/>
  <c r="Y937" i="3" s="1"/>
  <c r="L944" i="3"/>
  <c r="T952" i="3"/>
  <c r="L960" i="3"/>
  <c r="L968" i="3"/>
  <c r="T976" i="3"/>
  <c r="Q983" i="3"/>
  <c r="M558" i="3"/>
  <c r="J637" i="3"/>
  <c r="V697" i="3"/>
  <c r="T720" i="3"/>
  <c r="U738" i="3"/>
  <c r="V761" i="3"/>
  <c r="R781" i="3"/>
  <c r="U802" i="3"/>
  <c r="V825" i="3"/>
  <c r="M843" i="3"/>
  <c r="M859" i="3"/>
  <c r="S867" i="3"/>
  <c r="Q876" i="3"/>
  <c r="L885" i="3"/>
  <c r="V891" i="3"/>
  <c r="Q900" i="3"/>
  <c r="V907" i="3"/>
  <c r="V915" i="3"/>
  <c r="Q924" i="3"/>
  <c r="N931" i="3"/>
  <c r="V939" i="3"/>
  <c r="N947" i="3"/>
  <c r="N955" i="3"/>
  <c r="V963" i="3"/>
  <c r="S970" i="3"/>
  <c r="N979" i="3"/>
  <c r="S986" i="3"/>
  <c r="P743" i="3"/>
  <c r="M835" i="3"/>
  <c r="O876" i="3"/>
  <c r="Y876" i="3" s="1"/>
  <c r="U910" i="3"/>
  <c r="O940" i="3"/>
  <c r="Y940" i="3" s="1"/>
  <c r="O972" i="3"/>
  <c r="Y972" i="3" s="1"/>
  <c r="N992" i="3"/>
  <c r="K1000" i="3"/>
  <c r="L711" i="3"/>
  <c r="V789" i="3"/>
  <c r="U862" i="3"/>
  <c r="T898" i="3"/>
  <c r="U925" i="3"/>
  <c r="N960" i="3"/>
  <c r="Q986" i="3"/>
  <c r="R996" i="3"/>
  <c r="U718" i="3"/>
  <c r="V790" i="3"/>
  <c r="L866" i="3"/>
  <c r="S896" i="3"/>
  <c r="S928" i="3"/>
  <c r="L963" i="3"/>
  <c r="T986" i="3"/>
  <c r="O997" i="3"/>
  <c r="Y997" i="3" s="1"/>
  <c r="K781" i="3"/>
  <c r="L947" i="3"/>
  <c r="J762" i="3"/>
  <c r="J940" i="3"/>
  <c r="L592" i="3"/>
  <c r="U758" i="3"/>
  <c r="V830" i="3"/>
  <c r="J872" i="3"/>
  <c r="O899" i="3"/>
  <c r="Y899" i="3" s="1"/>
  <c r="P926" i="3"/>
  <c r="K951" i="3"/>
  <c r="L978" i="3"/>
  <c r="U991" i="3"/>
  <c r="V998" i="3"/>
  <c r="U902" i="3"/>
  <c r="U992" i="3"/>
  <c r="T827" i="3"/>
  <c r="T954" i="3"/>
  <c r="M651" i="3"/>
  <c r="T759" i="3"/>
  <c r="K832" i="3"/>
  <c r="L875" i="3"/>
  <c r="T899" i="3"/>
  <c r="U926" i="3"/>
  <c r="V953" i="3"/>
  <c r="Q978" i="3"/>
  <c r="J992" i="3"/>
  <c r="S999" i="3"/>
  <c r="N905" i="3"/>
  <c r="Q993" i="3"/>
  <c r="O873" i="3"/>
  <c r="Y873" i="3" s="1"/>
  <c r="Q969" i="3"/>
  <c r="U707" i="3"/>
  <c r="K780" i="3"/>
  <c r="S844" i="3"/>
  <c r="N880" i="3"/>
  <c r="O907" i="3"/>
  <c r="Y907" i="3" s="1"/>
  <c r="J932" i="3"/>
  <c r="K959" i="3"/>
  <c r="S984" i="3"/>
  <c r="P993" i="3"/>
  <c r="V558" i="3"/>
  <c r="Q867" i="3"/>
  <c r="R949" i="3"/>
  <c r="R565" i="3"/>
  <c r="N888" i="3"/>
  <c r="O979" i="3"/>
  <c r="Y979" i="3" s="1"/>
  <c r="Q417" i="3"/>
  <c r="M465" i="3"/>
  <c r="P350" i="3"/>
  <c r="R423" i="3"/>
  <c r="Q532" i="3"/>
  <c r="S642" i="3"/>
  <c r="T546" i="3"/>
  <c r="T642" i="3"/>
  <c r="K424" i="3"/>
  <c r="J545" i="3"/>
  <c r="V597" i="3"/>
  <c r="R649" i="3"/>
  <c r="J429" i="3"/>
  <c r="S545" i="3"/>
  <c r="T588" i="3"/>
  <c r="L628" i="3"/>
  <c r="Q667" i="3"/>
  <c r="V454" i="3"/>
  <c r="L537" i="3"/>
  <c r="Q576" i="3"/>
  <c r="V615" i="3"/>
  <c r="N655" i="3"/>
  <c r="M365" i="3"/>
  <c r="V524" i="3"/>
  <c r="N564" i="3"/>
  <c r="S603" i="3"/>
  <c r="K643" i="3"/>
  <c r="V676" i="3"/>
  <c r="R455" i="3"/>
  <c r="V529" i="3"/>
  <c r="Q575" i="3"/>
  <c r="K690" i="3"/>
  <c r="Q716" i="3"/>
  <c r="J743" i="3"/>
  <c r="P769" i="3"/>
  <c r="N795" i="3"/>
  <c r="T821" i="3"/>
  <c r="M848" i="3"/>
  <c r="L869" i="3"/>
  <c r="L571" i="3"/>
  <c r="V649" i="3"/>
  <c r="O699" i="3"/>
  <c r="Y699" i="3" s="1"/>
  <c r="K719" i="3"/>
  <c r="T738" i="3"/>
  <c r="P758" i="3"/>
  <c r="L778" i="3"/>
  <c r="U797" i="3"/>
  <c r="Q817" i="3"/>
  <c r="M837" i="3"/>
  <c r="V856" i="3"/>
  <c r="J589" i="3"/>
  <c r="T667" i="3"/>
  <c r="U703" i="3"/>
  <c r="Q723" i="3"/>
  <c r="M743" i="3"/>
  <c r="V762" i="3"/>
  <c r="R782" i="3"/>
  <c r="N802" i="3"/>
  <c r="J822" i="3"/>
  <c r="S841" i="3"/>
  <c r="O529" i="3"/>
  <c r="Y529" i="3" s="1"/>
  <c r="L616" i="3"/>
  <c r="V690" i="3"/>
  <c r="S710" i="3"/>
  <c r="O730" i="3"/>
  <c r="Y730" i="3" s="1"/>
  <c r="K750" i="3"/>
  <c r="T769" i="3"/>
  <c r="P789" i="3"/>
  <c r="L809" i="3"/>
  <c r="U828" i="3"/>
  <c r="Q848" i="3"/>
  <c r="M550" i="3"/>
  <c r="J629" i="3"/>
  <c r="L694" i="3"/>
  <c r="U713" i="3"/>
  <c r="Q733" i="3"/>
  <c r="J752" i="3"/>
  <c r="U761" i="3"/>
  <c r="S771" i="3"/>
  <c r="Q781" i="3"/>
  <c r="O791" i="3"/>
  <c r="Y791" i="3" s="1"/>
  <c r="M801" i="3"/>
  <c r="K811" i="3"/>
  <c r="V820" i="3"/>
  <c r="T830" i="3"/>
  <c r="R840" i="3"/>
  <c r="S605" i="3"/>
  <c r="V694" i="3"/>
  <c r="N721" i="3"/>
  <c r="P747" i="3"/>
  <c r="S773" i="3"/>
  <c r="K800" i="3"/>
  <c r="M826" i="3"/>
  <c r="U849" i="3"/>
  <c r="O864" i="3"/>
  <c r="Y864" i="3" s="1"/>
  <c r="P875" i="3"/>
  <c r="N885" i="3"/>
  <c r="L895" i="3"/>
  <c r="J905" i="3"/>
  <c r="U914" i="3"/>
  <c r="S924" i="3"/>
  <c r="Q934" i="3"/>
  <c r="O944" i="3"/>
  <c r="Y944" i="3" s="1"/>
  <c r="M954" i="3"/>
  <c r="K964" i="3"/>
  <c r="V973" i="3"/>
  <c r="N495" i="3"/>
  <c r="T632" i="3"/>
  <c r="S701" i="3"/>
  <c r="K728" i="3"/>
  <c r="M754" i="3"/>
  <c r="P780" i="3"/>
  <c r="U806" i="3"/>
  <c r="J833" i="3"/>
  <c r="U854" i="3"/>
  <c r="M867" i="3"/>
  <c r="J878" i="3"/>
  <c r="U887" i="3"/>
  <c r="S897" i="3"/>
  <c r="Q907" i="3"/>
  <c r="O917" i="3"/>
  <c r="Y917" i="3" s="1"/>
  <c r="M927" i="3"/>
  <c r="K937" i="3"/>
  <c r="V946" i="3"/>
  <c r="T956" i="3"/>
  <c r="R966" i="3"/>
  <c r="P976" i="3"/>
  <c r="N986" i="3"/>
  <c r="K581" i="3"/>
  <c r="K685" i="3"/>
  <c r="L715" i="3"/>
  <c r="N741" i="3"/>
  <c r="Q767" i="3"/>
  <c r="V793" i="3"/>
  <c r="K820" i="3"/>
  <c r="K845" i="3"/>
  <c r="J861" i="3"/>
  <c r="T868" i="3"/>
  <c r="K878" i="3"/>
  <c r="P885" i="3"/>
  <c r="P893" i="3"/>
  <c r="K902" i="3"/>
  <c r="U908" i="3"/>
  <c r="P917" i="3"/>
  <c r="U924" i="3"/>
  <c r="U932" i="3"/>
  <c r="P941" i="3"/>
  <c r="M948" i="3"/>
  <c r="U956" i="3"/>
  <c r="M964" i="3"/>
  <c r="M972" i="3"/>
  <c r="U980" i="3"/>
  <c r="R987" i="3"/>
  <c r="M996" i="3"/>
  <c r="P540" i="3"/>
  <c r="U627" i="3"/>
  <c r="N697" i="3"/>
  <c r="M715" i="3"/>
  <c r="M738" i="3"/>
  <c r="V757" i="3"/>
  <c r="M779" i="3"/>
  <c r="M802" i="3"/>
  <c r="O820" i="3"/>
  <c r="U842" i="3"/>
  <c r="M857" i="3"/>
  <c r="T866" i="3"/>
  <c r="N876" i="3"/>
  <c r="K883" i="3"/>
  <c r="S891" i="3"/>
  <c r="K899" i="3"/>
  <c r="K907" i="3"/>
  <c r="S915" i="3"/>
  <c r="P922" i="3"/>
  <c r="K931" i="3"/>
  <c r="P938" i="3"/>
  <c r="P946" i="3"/>
  <c r="K955" i="3"/>
  <c r="U961" i="3"/>
  <c r="P970" i="3"/>
  <c r="U977" i="3"/>
  <c r="J509" i="3"/>
  <c r="M622" i="3"/>
  <c r="R690" i="3"/>
  <c r="R530" i="3"/>
  <c r="T616" i="3"/>
  <c r="S692" i="3"/>
  <c r="T715" i="3"/>
  <c r="S733" i="3"/>
  <c r="S756" i="3"/>
  <c r="O776" i="3"/>
  <c r="Y776" i="3" s="1"/>
  <c r="S797" i="3"/>
  <c r="S820" i="3"/>
  <c r="U838" i="3"/>
  <c r="P856" i="3"/>
  <c r="Q865" i="3"/>
  <c r="R874" i="3"/>
  <c r="M883" i="3"/>
  <c r="J890" i="3"/>
  <c r="R898" i="3"/>
  <c r="J906" i="3"/>
  <c r="J914" i="3"/>
  <c r="R922" i="3"/>
  <c r="O929" i="3"/>
  <c r="Y929" i="3" s="1"/>
  <c r="J938" i="3"/>
  <c r="O945" i="3"/>
  <c r="Y945" i="3" s="1"/>
  <c r="O953" i="3"/>
  <c r="Y953" i="3" s="1"/>
  <c r="J962" i="3"/>
  <c r="T968" i="3"/>
  <c r="O977" i="3"/>
  <c r="Y977" i="3" s="1"/>
  <c r="T984" i="3"/>
  <c r="K565" i="3"/>
  <c r="S656" i="3"/>
  <c r="P699" i="3"/>
  <c r="Q722" i="3"/>
  <c r="M742" i="3"/>
  <c r="P763" i="3"/>
  <c r="Q786" i="3"/>
  <c r="P804" i="3"/>
  <c r="P827" i="3"/>
  <c r="S845" i="3"/>
  <c r="J860" i="3"/>
  <c r="U869" i="3"/>
  <c r="L877" i="3"/>
  <c r="T885" i="3"/>
  <c r="L893" i="3"/>
  <c r="L901" i="3"/>
  <c r="T909" i="3"/>
  <c r="Q916" i="3"/>
  <c r="L925" i="3"/>
  <c r="Q932" i="3"/>
  <c r="Q940" i="3"/>
  <c r="L949" i="3"/>
  <c r="V955" i="3"/>
  <c r="Q964" i="3"/>
  <c r="V971" i="3"/>
  <c r="V979" i="3"/>
  <c r="N435" i="3"/>
  <c r="V749" i="3"/>
  <c r="U841" i="3"/>
  <c r="N881" i="3"/>
  <c r="N913" i="3"/>
  <c r="T947" i="3"/>
  <c r="U974" i="3"/>
  <c r="J993" i="3"/>
  <c r="J709" i="3"/>
  <c r="S717" i="3"/>
  <c r="R809" i="3"/>
  <c r="S865" i="3"/>
  <c r="M901" i="3"/>
  <c r="T930" i="3"/>
  <c r="T962" i="3"/>
  <c r="R989" i="3"/>
  <c r="N997" i="3"/>
  <c r="N725" i="3"/>
  <c r="K804" i="3"/>
  <c r="V868" i="3"/>
  <c r="K904" i="3"/>
  <c r="L931" i="3"/>
  <c r="R965" i="3"/>
  <c r="V988" i="3"/>
  <c r="L998" i="3"/>
  <c r="L840" i="3"/>
  <c r="P959" i="3"/>
  <c r="Q814" i="3"/>
  <c r="N952" i="3"/>
  <c r="O644" i="3"/>
  <c r="Y644" i="3" s="1"/>
  <c r="U771" i="3"/>
  <c r="R837" i="3"/>
  <c r="T874" i="3"/>
  <c r="N904" i="3"/>
  <c r="V928" i="3"/>
  <c r="Q953" i="3"/>
  <c r="U982" i="3"/>
  <c r="R992" i="3"/>
  <c r="R999" i="3"/>
  <c r="Q922" i="3"/>
  <c r="O996" i="3"/>
  <c r="T855" i="3"/>
  <c r="J972" i="3"/>
  <c r="K693" i="3"/>
  <c r="N766" i="3"/>
  <c r="N844" i="3"/>
  <c r="R877" i="3"/>
  <c r="M902" i="3"/>
  <c r="T931" i="3"/>
  <c r="O956" i="3"/>
  <c r="Y956" i="3" s="1"/>
  <c r="J981" i="3"/>
  <c r="O993" i="3"/>
  <c r="Y993" i="3" s="1"/>
  <c r="O1000" i="3"/>
  <c r="Y1000" i="3" s="1"/>
  <c r="S912" i="3"/>
  <c r="L999" i="3"/>
  <c r="O883" i="3"/>
  <c r="Y883" i="3" s="1"/>
  <c r="S983" i="3"/>
  <c r="J721" i="3"/>
  <c r="R786" i="3"/>
  <c r="R849" i="3"/>
  <c r="M885" i="3"/>
  <c r="U909" i="3"/>
  <c r="P934" i="3"/>
  <c r="J964" i="3"/>
  <c r="V985" i="3"/>
  <c r="L994" i="3"/>
  <c r="S741" i="3"/>
  <c r="M878" i="3"/>
  <c r="J957" i="3"/>
  <c r="R722" i="3"/>
  <c r="R900" i="3"/>
  <c r="P987" i="3"/>
  <c r="N429" i="3"/>
  <c r="Q472" i="3"/>
  <c r="N563" i="3"/>
  <c r="V667" i="3"/>
  <c r="J572" i="3"/>
  <c r="V656" i="3"/>
  <c r="Q477" i="3"/>
  <c r="S556" i="3"/>
  <c r="R609" i="3"/>
  <c r="Q662" i="3"/>
  <c r="R475" i="3"/>
  <c r="O557" i="3"/>
  <c r="Y557" i="3" s="1"/>
  <c r="J598" i="3"/>
  <c r="O637" i="3"/>
  <c r="Y637" i="3" s="1"/>
  <c r="T676" i="3"/>
  <c r="N483" i="3"/>
  <c r="O546" i="3"/>
  <c r="T585" i="3"/>
  <c r="L625" i="3"/>
  <c r="Q664" i="3"/>
  <c r="Q442" i="3"/>
  <c r="L534" i="3"/>
  <c r="Q573" i="3"/>
  <c r="V612" i="3"/>
  <c r="N652" i="3"/>
  <c r="K683" i="3"/>
  <c r="N478" i="3"/>
  <c r="S536" i="3"/>
  <c r="L600" i="3"/>
  <c r="M696" i="3"/>
  <c r="K722" i="3"/>
  <c r="L749" i="3"/>
  <c r="J775" i="3"/>
  <c r="V429" i="3"/>
  <c r="R572" i="3"/>
  <c r="R598" i="3"/>
  <c r="N446" i="3"/>
  <c r="Q607" i="3"/>
  <c r="Q828" i="3"/>
  <c r="R669" i="3"/>
  <c r="O763" i="3"/>
  <c r="L842" i="3"/>
  <c r="T708" i="3"/>
  <c r="Q787" i="3"/>
  <c r="K557" i="3"/>
  <c r="N735" i="3"/>
  <c r="K814" i="3"/>
  <c r="S648" i="3"/>
  <c r="M753" i="3"/>
  <c r="R792" i="3"/>
  <c r="J832" i="3"/>
  <c r="P724" i="3"/>
  <c r="R829" i="3"/>
  <c r="Q886" i="3"/>
  <c r="V925" i="3"/>
  <c r="N965" i="3"/>
  <c r="J705" i="3"/>
  <c r="J810" i="3"/>
  <c r="S868" i="3"/>
  <c r="N898" i="3"/>
  <c r="V922" i="3"/>
  <c r="L948" i="3"/>
  <c r="K977" i="3"/>
  <c r="L640" i="3"/>
  <c r="S744" i="3"/>
  <c r="S821" i="3"/>
  <c r="R866" i="3"/>
  <c r="V887" i="3"/>
  <c r="K910" i="3"/>
  <c r="T929" i="3"/>
  <c r="N951" i="3"/>
  <c r="U972" i="3"/>
  <c r="Q992" i="3"/>
  <c r="Q647" i="3"/>
  <c r="U739" i="3"/>
  <c r="O792" i="3"/>
  <c r="Y792" i="3" s="1"/>
  <c r="N845" i="3"/>
  <c r="V876" i="3"/>
  <c r="R896" i="3"/>
  <c r="V916" i="3"/>
  <c r="N940" i="3"/>
  <c r="J960" i="3"/>
  <c r="N980" i="3"/>
  <c r="M694" i="3"/>
  <c r="J669" i="3"/>
  <c r="V741" i="3"/>
  <c r="P799" i="3"/>
  <c r="N849" i="3"/>
  <c r="P876" i="3"/>
  <c r="M899" i="3"/>
  <c r="V918" i="3"/>
  <c r="M939" i="3"/>
  <c r="R962" i="3"/>
  <c r="N982" i="3"/>
  <c r="S669" i="3"/>
  <c r="S725" i="3"/>
  <c r="O768" i="3"/>
  <c r="S812" i="3"/>
  <c r="R850" i="3"/>
  <c r="M871" i="3"/>
  <c r="J887" i="3"/>
  <c r="J903" i="3"/>
  <c r="R919" i="3"/>
  <c r="J935" i="3"/>
  <c r="O950" i="3"/>
  <c r="Y950" i="3" s="1"/>
  <c r="T965" i="3"/>
  <c r="T981" i="3"/>
  <c r="U782" i="3"/>
  <c r="L891" i="3"/>
  <c r="S952" i="3"/>
  <c r="P994" i="3"/>
  <c r="O737" i="3"/>
  <c r="Y737" i="3" s="1"/>
  <c r="K879" i="3"/>
  <c r="R940" i="3"/>
  <c r="J991" i="3"/>
  <c r="Q738" i="3"/>
  <c r="J877" i="3"/>
  <c r="P943" i="3"/>
  <c r="T991" i="3"/>
  <c r="N870" i="3"/>
  <c r="O859" i="3"/>
  <c r="Y859" i="3" s="1"/>
  <c r="P719" i="3"/>
  <c r="O848" i="3"/>
  <c r="Y848" i="3" s="1"/>
  <c r="M909" i="3"/>
  <c r="O963" i="3"/>
  <c r="Y963" i="3" s="1"/>
  <c r="J994" i="3"/>
  <c r="M942" i="3"/>
  <c r="R870" i="3"/>
  <c r="K995" i="3"/>
  <c r="S792" i="3"/>
  <c r="U866" i="3"/>
  <c r="Q914" i="3"/>
  <c r="U958" i="3"/>
  <c r="K989" i="3"/>
  <c r="T787" i="3"/>
  <c r="V984" i="3"/>
  <c r="M925" i="3"/>
  <c r="Q727" i="3"/>
  <c r="J826" i="3"/>
  <c r="L890" i="3"/>
  <c r="K927" i="3"/>
  <c r="O971" i="3"/>
  <c r="Y971" i="3" s="1"/>
  <c r="Q995" i="3"/>
  <c r="P807" i="3"/>
  <c r="L979" i="3"/>
  <c r="L862" i="3"/>
  <c r="Q998" i="3"/>
  <c r="M734" i="3"/>
  <c r="U973" i="3"/>
  <c r="R833" i="3"/>
  <c r="P910" i="3"/>
  <c r="M995" i="3"/>
  <c r="V777" i="3"/>
  <c r="N889" i="3"/>
  <c r="U950" i="3"/>
  <c r="R994" i="3"/>
  <c r="P927" i="3"/>
  <c r="J908" i="3"/>
  <c r="L739" i="3"/>
  <c r="O866" i="3"/>
  <c r="K919" i="3"/>
  <c r="T970" i="3"/>
  <c r="Q997" i="3"/>
  <c r="P983" i="3"/>
  <c r="Q905" i="3"/>
  <c r="M706" i="3"/>
  <c r="S805" i="3"/>
  <c r="Q882" i="3"/>
  <c r="P919" i="3"/>
  <c r="M966" i="3"/>
  <c r="K994" i="3"/>
  <c r="T875" i="3"/>
  <c r="T735" i="3"/>
  <c r="U949" i="3"/>
  <c r="Q858" i="3"/>
  <c r="K895" i="3"/>
  <c r="N944" i="3"/>
  <c r="T978" i="3"/>
  <c r="S997" i="3"/>
  <c r="Q890" i="3"/>
  <c r="L992" i="3"/>
  <c r="N920" i="3"/>
  <c r="N912" i="3"/>
  <c r="M910" i="3"/>
  <c r="O947" i="3"/>
  <c r="J558" i="3"/>
  <c r="L972" i="3"/>
  <c r="N927" i="3"/>
  <c r="S990" i="3"/>
  <c r="O728" i="3"/>
  <c r="Y728" i="3" s="1"/>
  <c r="O872" i="3"/>
  <c r="Y872" i="3" s="1"/>
  <c r="N916" i="3"/>
  <c r="S979" i="3"/>
  <c r="R642" i="3"/>
  <c r="R845" i="3"/>
  <c r="M875" i="3"/>
  <c r="R938" i="3"/>
  <c r="R978" i="3"/>
  <c r="K765" i="3"/>
  <c r="Q870" i="3"/>
  <c r="O934" i="3"/>
  <c r="Y934" i="3" s="1"/>
  <c r="Q980" i="3"/>
  <c r="M950" i="3"/>
  <c r="O724" i="3"/>
  <c r="Y724" i="3" s="1"/>
  <c r="N871" i="3"/>
  <c r="N990" i="3"/>
  <c r="T871" i="3"/>
  <c r="K991" i="3"/>
  <c r="O855" i="3"/>
  <c r="Y855" i="3" s="1"/>
  <c r="V845" i="3"/>
  <c r="P843" i="3"/>
  <c r="T906" i="3"/>
  <c r="N993" i="3"/>
  <c r="U990" i="3"/>
  <c r="K912" i="3"/>
  <c r="N988" i="3"/>
  <c r="K903" i="3"/>
  <c r="J605" i="3"/>
  <c r="R924" i="3"/>
  <c r="M794" i="3"/>
  <c r="T995" i="3"/>
  <c r="V393" i="3"/>
  <c r="Q657" i="3"/>
  <c r="J638" i="3"/>
  <c r="T534" i="3"/>
  <c r="U696" i="3"/>
  <c r="T853" i="3"/>
  <c r="S703" i="3"/>
  <c r="P782" i="3"/>
  <c r="S489" i="3"/>
  <c r="U727" i="3"/>
  <c r="R806" i="3"/>
  <c r="O633" i="3"/>
  <c r="O754" i="3"/>
  <c r="Y754" i="3" s="1"/>
  <c r="L833" i="3"/>
  <c r="P698" i="3"/>
  <c r="P762" i="3"/>
  <c r="U801" i="3"/>
  <c r="M841" i="3"/>
  <c r="K749" i="3"/>
  <c r="K851" i="3"/>
  <c r="T895" i="3"/>
  <c r="L935" i="3"/>
  <c r="Q974" i="3"/>
  <c r="R729" i="3"/>
  <c r="R834" i="3"/>
  <c r="R873" i="3"/>
  <c r="V898" i="3"/>
  <c r="U927" i="3"/>
  <c r="P952" i="3"/>
  <c r="S977" i="3"/>
  <c r="V689" i="3"/>
  <c r="K756" i="3"/>
  <c r="P823" i="3"/>
  <c r="L870" i="3"/>
  <c r="O890" i="3"/>
  <c r="Y890" i="3" s="1"/>
  <c r="V911" i="3"/>
  <c r="P933" i="3"/>
  <c r="L953" i="3"/>
  <c r="K974" i="3"/>
  <c r="U996" i="3"/>
  <c r="T680" i="3"/>
  <c r="R741" i="3"/>
  <c r="U803" i="3"/>
  <c r="S852" i="3"/>
  <c r="Q877" i="3"/>
  <c r="V900" i="3"/>
  <c r="R920" i="3"/>
  <c r="V940" i="3"/>
  <c r="K963" i="3"/>
  <c r="T982" i="3"/>
  <c r="L699" i="3"/>
  <c r="N694" i="3"/>
  <c r="U746" i="3"/>
  <c r="R802" i="3"/>
  <c r="O857" i="3"/>
  <c r="Y857" i="3" s="1"/>
  <c r="Q879" i="3"/>
  <c r="U899" i="3"/>
  <c r="M923" i="3"/>
  <c r="V942" i="3"/>
  <c r="M963" i="3"/>
  <c r="R986" i="3"/>
  <c r="P687" i="3"/>
  <c r="V733" i="3"/>
  <c r="V774" i="3"/>
  <c r="K816" i="3"/>
  <c r="K853" i="3"/>
  <c r="N873" i="3"/>
  <c r="K890" i="3"/>
  <c r="P905" i="3"/>
  <c r="U920" i="3"/>
  <c r="M936" i="3"/>
  <c r="M952" i="3"/>
  <c r="U968" i="3"/>
  <c r="M984" i="3"/>
  <c r="U795" i="3"/>
  <c r="K896" i="3"/>
  <c r="K960" i="3"/>
  <c r="V997" i="3"/>
  <c r="T763" i="3"/>
  <c r="J884" i="3"/>
  <c r="Q945" i="3"/>
  <c r="K993" i="3"/>
  <c r="M771" i="3"/>
  <c r="U886" i="3"/>
  <c r="O948" i="3"/>
  <c r="Y948" i="3" s="1"/>
  <c r="M993" i="3"/>
  <c r="O900" i="3"/>
  <c r="Y900" i="3" s="1"/>
  <c r="U885" i="3"/>
  <c r="P732" i="3"/>
  <c r="Q863" i="3"/>
  <c r="L914" i="3"/>
  <c r="N968" i="3"/>
  <c r="T996" i="3"/>
  <c r="V961" i="3"/>
  <c r="M893" i="3"/>
  <c r="J1000" i="3"/>
  <c r="L799" i="3"/>
  <c r="K880" i="3"/>
  <c r="J917" i="3"/>
  <c r="N961" i="3"/>
  <c r="U989" i="3"/>
  <c r="P850" i="3"/>
  <c r="V670" i="3"/>
  <c r="Q937" i="3"/>
  <c r="S832" i="3"/>
  <c r="R892" i="3"/>
  <c r="O939" i="3"/>
  <c r="Y939" i="3" s="1"/>
  <c r="J997" i="3"/>
  <c r="P988" i="3"/>
  <c r="Q841" i="3"/>
  <c r="T917" i="3"/>
  <c r="P779" i="3"/>
  <c r="V968" i="3"/>
  <c r="N395" i="3"/>
  <c r="L479" i="3"/>
  <c r="O677" i="3"/>
  <c r="L574" i="3"/>
  <c r="N723" i="3"/>
  <c r="O854" i="3"/>
  <c r="Y854" i="3" s="1"/>
  <c r="N704" i="3"/>
  <c r="K783" i="3"/>
  <c r="K504" i="3"/>
  <c r="P728" i="3"/>
  <c r="M807" i="3"/>
  <c r="U635" i="3"/>
  <c r="J755" i="3"/>
  <c r="T833" i="3"/>
  <c r="K699" i="3"/>
  <c r="K763" i="3"/>
  <c r="P802" i="3"/>
  <c r="V310" i="3"/>
  <c r="U750" i="3"/>
  <c r="N852" i="3"/>
  <c r="O896" i="3"/>
  <c r="Y896" i="3" s="1"/>
  <c r="T935" i="3"/>
  <c r="L975" i="3"/>
  <c r="M731" i="3"/>
  <c r="O836" i="3"/>
  <c r="Y836" i="3" s="1"/>
  <c r="R878" i="3"/>
  <c r="M903" i="3"/>
  <c r="P928" i="3"/>
  <c r="O957" i="3"/>
  <c r="Y957" i="3" s="1"/>
  <c r="J982" i="3"/>
  <c r="K692" i="3"/>
  <c r="N769" i="3"/>
  <c r="U834" i="3"/>
  <c r="N872" i="3"/>
  <c r="K894" i="3"/>
  <c r="T913" i="3"/>
  <c r="S934" i="3"/>
  <c r="P957" i="3"/>
  <c r="L977" i="3"/>
  <c r="P997" i="3"/>
  <c r="U698" i="3"/>
  <c r="P751" i="3"/>
  <c r="R805" i="3"/>
  <c r="S859" i="3"/>
  <c r="M881" i="3"/>
  <c r="Q901" i="3"/>
  <c r="S923" i="3"/>
  <c r="O943" i="3"/>
  <c r="Y943" i="3" s="1"/>
  <c r="V964" i="3"/>
  <c r="L528" i="3"/>
  <c r="K704" i="3"/>
  <c r="R697" i="3"/>
  <c r="N758" i="3"/>
  <c r="U810" i="3"/>
  <c r="N858" i="3"/>
  <c r="U883" i="3"/>
  <c r="Q903" i="3"/>
  <c r="U923" i="3"/>
  <c r="M947" i="3"/>
  <c r="V966" i="3"/>
  <c r="M987" i="3"/>
  <c r="Q694" i="3"/>
  <c r="Q735" i="3"/>
  <c r="S776" i="3"/>
  <c r="R817" i="3"/>
  <c r="Q855" i="3"/>
  <c r="N875" i="3"/>
  <c r="S890" i="3"/>
  <c r="K906" i="3"/>
  <c r="P921" i="3"/>
  <c r="P937" i="3"/>
  <c r="K954" i="3"/>
  <c r="P969" i="3"/>
  <c r="U984" i="3"/>
  <c r="Q802" i="3"/>
  <c r="J901" i="3"/>
  <c r="P967" i="3"/>
  <c r="R998" i="3"/>
  <c r="M770" i="3"/>
  <c r="P886" i="3"/>
  <c r="P950" i="3"/>
  <c r="S740" i="3"/>
  <c r="U997" i="3"/>
  <c r="M949" i="3"/>
  <c r="J448" i="3"/>
  <c r="Q558" i="3"/>
  <c r="O485" i="3"/>
  <c r="Y485" i="3" s="1"/>
  <c r="Q613" i="3"/>
  <c r="T749" i="3"/>
  <c r="P873" i="3"/>
  <c r="O723" i="3"/>
  <c r="Y723" i="3" s="1"/>
  <c r="L802" i="3"/>
  <c r="M606" i="3"/>
  <c r="Q747" i="3"/>
  <c r="N826" i="3"/>
  <c r="N695" i="3"/>
  <c r="K774" i="3"/>
  <c r="U852" i="3"/>
  <c r="L718" i="3"/>
  <c r="N772" i="3"/>
  <c r="S811" i="3"/>
  <c r="O612" i="3"/>
  <c r="P775" i="3"/>
  <c r="K865" i="3"/>
  <c r="R905" i="3"/>
  <c r="J945" i="3"/>
  <c r="M523" i="3"/>
  <c r="U755" i="3"/>
  <c r="M846" i="3"/>
  <c r="M879" i="3"/>
  <c r="L908" i="3"/>
  <c r="T932" i="3"/>
  <c r="J958" i="3"/>
  <c r="V986" i="3"/>
  <c r="Q703" i="3"/>
  <c r="U770" i="3"/>
  <c r="N846" i="3"/>
  <c r="O874" i="3"/>
  <c r="Y874" i="3" s="1"/>
  <c r="N895" i="3"/>
  <c r="K918" i="3"/>
  <c r="T937" i="3"/>
  <c r="K958" i="3"/>
  <c r="P981" i="3"/>
  <c r="V384" i="3"/>
  <c r="P700" i="3"/>
  <c r="U762" i="3"/>
  <c r="P815" i="3"/>
  <c r="O860" i="3"/>
  <c r="Y860" i="3" s="1"/>
  <c r="N884" i="3"/>
  <c r="J904" i="3"/>
  <c r="Q925" i="3"/>
  <c r="K947" i="3"/>
  <c r="T966" i="3"/>
  <c r="N550" i="3"/>
  <c r="V542" i="3"/>
  <c r="V705" i="3"/>
  <c r="K760" i="3"/>
  <c r="N822" i="3"/>
  <c r="S862" i="3"/>
  <c r="P884" i="3"/>
  <c r="U907" i="3"/>
  <c r="Q927" i="3"/>
  <c r="U947" i="3"/>
  <c r="J970" i="3"/>
  <c r="N515" i="3"/>
  <c r="U702" i="3"/>
  <c r="L747" i="3"/>
  <c r="K788" i="3"/>
  <c r="K829" i="3"/>
  <c r="S860" i="3"/>
  <c r="O878" i="3"/>
  <c r="Y878" i="3" s="1"/>
  <c r="J895" i="3"/>
  <c r="O910" i="3"/>
  <c r="Y910" i="3" s="1"/>
  <c r="T925" i="3"/>
  <c r="L941" i="3"/>
  <c r="L957" i="3"/>
  <c r="T973" i="3"/>
  <c r="P572" i="3"/>
  <c r="T846" i="3"/>
  <c r="T915" i="3"/>
  <c r="T979" i="3"/>
  <c r="S895" i="3"/>
  <c r="L816" i="3"/>
  <c r="S903" i="3"/>
  <c r="M965" i="3"/>
  <c r="T998" i="3"/>
  <c r="T823" i="3"/>
  <c r="Q906" i="3"/>
  <c r="K968" i="3"/>
  <c r="U998" i="3"/>
  <c r="R981" i="3"/>
  <c r="R964" i="3"/>
  <c r="Q778" i="3"/>
  <c r="S879" i="3"/>
  <c r="O931" i="3"/>
  <c r="Y931" i="3" s="1"/>
  <c r="O984" i="3"/>
  <c r="Y984" i="3" s="1"/>
  <c r="K664" i="3"/>
  <c r="T997" i="3"/>
  <c r="V912" i="3"/>
  <c r="V713" i="3"/>
  <c r="O812" i="3"/>
  <c r="Y812" i="3" s="1"/>
  <c r="P887" i="3"/>
  <c r="M934" i="3"/>
  <c r="L971" i="3"/>
  <c r="T994" i="3"/>
  <c r="R885" i="3"/>
  <c r="J749" i="3"/>
  <c r="Q991" i="3"/>
  <c r="M747" i="3"/>
  <c r="N864" i="3"/>
  <c r="J900" i="3"/>
  <c r="T946" i="3"/>
  <c r="L987" i="3"/>
  <c r="O998" i="3"/>
  <c r="Y998" i="3" s="1"/>
  <c r="V897" i="3"/>
  <c r="V994" i="3"/>
  <c r="K935" i="3"/>
  <c r="R449" i="3"/>
  <c r="M610" i="3"/>
  <c r="J547" i="3"/>
  <c r="V652" i="3"/>
  <c r="R775" i="3"/>
  <c r="K874" i="3"/>
  <c r="J724" i="3"/>
  <c r="T802" i="3"/>
  <c r="S608" i="3"/>
  <c r="L748" i="3"/>
  <c r="V826" i="3"/>
  <c r="V695" i="3"/>
  <c r="S774" i="3"/>
  <c r="P853" i="3"/>
  <c r="T718" i="3"/>
  <c r="V772" i="3"/>
  <c r="N812" i="3"/>
  <c r="M619" i="3"/>
  <c r="J777" i="3"/>
  <c r="T865" i="3"/>
  <c r="M906" i="3"/>
  <c r="R945" i="3"/>
  <c r="L536" i="3"/>
  <c r="R757" i="3"/>
  <c r="J856" i="3"/>
  <c r="Q883" i="3"/>
  <c r="T908" i="3"/>
  <c r="S937" i="3"/>
  <c r="N962" i="3"/>
  <c r="Q987" i="3"/>
  <c r="S716" i="3"/>
  <c r="N782" i="3"/>
  <c r="Q847" i="3"/>
  <c r="S878" i="3"/>
  <c r="O898" i="3"/>
  <c r="Y898" i="3" s="1"/>
  <c r="S918" i="3"/>
  <c r="K942" i="3"/>
  <c r="T961" i="3"/>
  <c r="K982" i="3"/>
  <c r="R562" i="3"/>
  <c r="N710" i="3"/>
  <c r="P764" i="3"/>
  <c r="Q823" i="3"/>
  <c r="M863" i="3"/>
  <c r="L886" i="3"/>
  <c r="S907" i="3"/>
  <c r="O927" i="3"/>
  <c r="Y927" i="3" s="1"/>
  <c r="N948" i="3"/>
  <c r="K971" i="3"/>
  <c r="U582" i="3"/>
  <c r="U550" i="3"/>
  <c r="N717" i="3"/>
  <c r="V769" i="3"/>
  <c r="K824" i="3"/>
  <c r="R867" i="3"/>
  <c r="L888" i="3"/>
  <c r="P908" i="3"/>
  <c r="R930" i="3"/>
  <c r="N950" i="3"/>
  <c r="U971" i="3"/>
  <c r="M571" i="3"/>
  <c r="T707" i="3"/>
  <c r="S748" i="3"/>
  <c r="S789" i="3"/>
  <c r="U830" i="3"/>
  <c r="K862" i="3"/>
  <c r="M880" i="3"/>
  <c r="R895" i="3"/>
  <c r="J911" i="3"/>
  <c r="O926" i="3"/>
  <c r="Y926" i="3" s="1"/>
  <c r="O942" i="3"/>
  <c r="Y942" i="3" s="1"/>
  <c r="J959" i="3"/>
  <c r="O974" i="3"/>
  <c r="S624" i="3"/>
  <c r="S851" i="3"/>
  <c r="S920" i="3"/>
  <c r="M985" i="3"/>
  <c r="V944" i="3"/>
  <c r="U822" i="3"/>
  <c r="L906" i="3"/>
  <c r="L970" i="3"/>
  <c r="U1000" i="3"/>
  <c r="N830" i="3"/>
  <c r="J909" i="3"/>
  <c r="Q970" i="3"/>
  <c r="M1000" i="3"/>
  <c r="T990" i="3"/>
  <c r="V976" i="3"/>
  <c r="J785" i="3"/>
  <c r="R884" i="3"/>
  <c r="U933" i="3"/>
  <c r="R985" i="3"/>
  <c r="V813" i="3"/>
  <c r="U999" i="3"/>
  <c r="T922" i="3"/>
  <c r="V726" i="3"/>
  <c r="M849" i="3"/>
  <c r="O892" i="3"/>
  <c r="Y892" i="3" s="1"/>
  <c r="S936" i="3"/>
  <c r="R973" i="3"/>
  <c r="P995" i="3"/>
  <c r="U934" i="3"/>
  <c r="L775" i="3"/>
  <c r="O760" i="3"/>
  <c r="Y760" i="3" s="1"/>
  <c r="K867" i="3"/>
  <c r="O988" i="3"/>
  <c r="Y988" i="3" s="1"/>
  <c r="K999" i="3"/>
  <c r="S768" i="3"/>
  <c r="L665" i="3"/>
  <c r="S808" i="3"/>
  <c r="K844" i="3"/>
  <c r="J737" i="3"/>
  <c r="U915" i="3"/>
  <c r="Q663" i="3"/>
  <c r="T807" i="3"/>
  <c r="O886" i="3"/>
  <c r="Y886" i="3" s="1"/>
  <c r="T949" i="3"/>
  <c r="L763" i="3"/>
  <c r="S993" i="3"/>
  <c r="L938" i="3"/>
  <c r="K936" i="3"/>
  <c r="S704" i="3"/>
  <c r="P958" i="3"/>
  <c r="S781" i="3"/>
  <c r="M861" i="3"/>
  <c r="Q946" i="3"/>
  <c r="S976" i="3"/>
  <c r="S887" i="3"/>
  <c r="T971" i="3"/>
  <c r="R474" i="3"/>
  <c r="L663" i="3"/>
  <c r="O586" i="3"/>
  <c r="S683" i="3"/>
  <c r="U800" i="3"/>
  <c r="O588" i="3"/>
  <c r="Y588" i="3" s="1"/>
  <c r="K743" i="3"/>
  <c r="U821" i="3"/>
  <c r="O684" i="3"/>
  <c r="Y684" i="3" s="1"/>
  <c r="M767" i="3"/>
  <c r="J846" i="3"/>
  <c r="J715" i="3"/>
  <c r="T793" i="3"/>
  <c r="P567" i="3"/>
  <c r="U737" i="3"/>
  <c r="L782" i="3"/>
  <c r="Q821" i="3"/>
  <c r="S696" i="3"/>
  <c r="R801" i="3"/>
  <c r="K876" i="3"/>
  <c r="P915" i="3"/>
  <c r="U954" i="3"/>
  <c r="P639" i="3"/>
  <c r="M782" i="3"/>
  <c r="J857" i="3"/>
  <c r="P888" i="3"/>
  <c r="K913" i="3"/>
  <c r="N938" i="3"/>
  <c r="M967" i="3"/>
  <c r="S525" i="3"/>
  <c r="N718" i="3"/>
  <c r="P795" i="3"/>
  <c r="K856" i="3"/>
  <c r="N879" i="3"/>
  <c r="S902" i="3"/>
  <c r="O922" i="3"/>
  <c r="Y922" i="3" s="1"/>
  <c r="S942" i="3"/>
  <c r="K966" i="3"/>
  <c r="T985" i="3"/>
  <c r="T568" i="3"/>
  <c r="Q718" i="3"/>
  <c r="L771" i="3"/>
  <c r="P828" i="3"/>
  <c r="P867" i="3"/>
  <c r="J888" i="3"/>
  <c r="V908" i="3"/>
  <c r="S931" i="3"/>
  <c r="O951" i="3"/>
  <c r="Y951" i="3" s="1"/>
  <c r="S971" i="3"/>
  <c r="K629" i="3"/>
  <c r="M590" i="3"/>
  <c r="V718" i="3"/>
  <c r="N781" i="3"/>
  <c r="V833" i="3"/>
  <c r="N868" i="3"/>
  <c r="M891" i="3"/>
  <c r="V910" i="3"/>
  <c r="P932" i="3"/>
  <c r="J954" i="3"/>
  <c r="S973" i="3"/>
  <c r="T584" i="3"/>
  <c r="V710" i="3"/>
  <c r="K752" i="3"/>
  <c r="R794" i="3"/>
  <c r="V838" i="3"/>
  <c r="V864" i="3"/>
  <c r="P881" i="3"/>
  <c r="U896" i="3"/>
  <c r="U912" i="3"/>
  <c r="P929" i="3"/>
  <c r="U944" i="3"/>
  <c r="M960" i="3"/>
  <c r="R975" i="3"/>
  <c r="Q710" i="3"/>
  <c r="M868" i="3"/>
  <c r="Q930" i="3"/>
  <c r="S987" i="3"/>
  <c r="V992" i="3"/>
  <c r="M842" i="3"/>
  <c r="P918" i="3"/>
  <c r="J980" i="3"/>
  <c r="T520" i="3"/>
  <c r="K843" i="3"/>
  <c r="O916" i="3"/>
  <c r="Y916" i="3" s="1"/>
  <c r="Q982" i="3"/>
  <c r="S728" i="3"/>
  <c r="K997" i="3"/>
  <c r="P996" i="3"/>
  <c r="M798" i="3"/>
  <c r="Q889" i="3"/>
  <c r="S943" i="3"/>
  <c r="K988" i="3"/>
  <c r="S864" i="3"/>
  <c r="K716" i="3"/>
  <c r="J985" i="3"/>
  <c r="K740" i="3"/>
  <c r="L854" i="3"/>
  <c r="U894" i="3"/>
  <c r="L939" i="3"/>
  <c r="R984" i="3"/>
  <c r="L996" i="3"/>
  <c r="Q954" i="3"/>
  <c r="M834" i="3"/>
  <c r="S1000" i="3"/>
  <c r="N793" i="3"/>
  <c r="V869" i="3"/>
  <c r="T914" i="3"/>
  <c r="S951" i="3"/>
  <c r="V989" i="3"/>
  <c r="U754" i="3"/>
  <c r="K920" i="3"/>
  <c r="U794" i="3"/>
  <c r="M957" i="3"/>
  <c r="V563" i="3"/>
  <c r="M481" i="3"/>
  <c r="T625" i="3"/>
  <c r="V481" i="3"/>
  <c r="K802" i="3"/>
  <c r="U590" i="3"/>
  <c r="S743" i="3"/>
  <c r="P822" i="3"/>
  <c r="T685" i="3"/>
  <c r="U767" i="3"/>
  <c r="R846" i="3"/>
  <c r="R715" i="3"/>
  <c r="O794" i="3"/>
  <c r="Y794" i="3" s="1"/>
  <c r="V569" i="3"/>
  <c r="P738" i="3"/>
  <c r="T782" i="3"/>
  <c r="L822" i="3"/>
  <c r="M698" i="3"/>
  <c r="M803" i="3"/>
  <c r="S876" i="3"/>
  <c r="K916" i="3"/>
  <c r="P955" i="3"/>
  <c r="N646" i="3"/>
  <c r="T783" i="3"/>
  <c r="N862" i="3"/>
  <c r="K889" i="3"/>
  <c r="J918" i="3"/>
  <c r="R942" i="3"/>
  <c r="U967" i="3"/>
  <c r="T587" i="3"/>
  <c r="V729" i="3"/>
  <c r="K797" i="3"/>
  <c r="S861" i="3"/>
  <c r="J883" i="3"/>
  <c r="N903" i="3"/>
  <c r="S926" i="3"/>
  <c r="O946" i="3"/>
  <c r="Y946" i="3" s="1"/>
  <c r="S966" i="3"/>
  <c r="U988" i="3"/>
  <c r="L595" i="3"/>
  <c r="P723" i="3"/>
  <c r="J781" i="3"/>
  <c r="O833" i="3"/>
  <c r="Y833" i="3" s="1"/>
  <c r="U868" i="3"/>
  <c r="N892" i="3"/>
  <c r="J912" i="3"/>
  <c r="N932" i="3"/>
  <c r="S955" i="3"/>
  <c r="O975" i="3"/>
  <c r="Y975" i="3" s="1"/>
  <c r="M635" i="3"/>
  <c r="P636" i="3"/>
  <c r="T728" i="3"/>
  <c r="V782" i="3"/>
  <c r="V841" i="3"/>
  <c r="L871" i="3"/>
  <c r="K893" i="3"/>
  <c r="R914" i="3"/>
  <c r="N934" i="3"/>
  <c r="M955" i="3"/>
  <c r="N617" i="3"/>
  <c r="S712" i="3"/>
  <c r="M755" i="3"/>
  <c r="Q799" i="3"/>
  <c r="S840" i="3"/>
  <c r="R865" i="3"/>
  <c r="K882" i="3"/>
  <c r="K898" i="3"/>
  <c r="S914" i="3"/>
  <c r="K930" i="3"/>
  <c r="P945" i="3"/>
  <c r="U960" i="3"/>
  <c r="U976" i="3"/>
  <c r="M730" i="3"/>
  <c r="K871" i="3"/>
  <c r="J933" i="3"/>
  <c r="R988" i="3"/>
  <c r="R578" i="3"/>
  <c r="S856" i="3"/>
  <c r="V920" i="3"/>
  <c r="P982" i="3"/>
  <c r="N585" i="3"/>
  <c r="V852" i="3"/>
  <c r="T923" i="3"/>
  <c r="N984" i="3"/>
  <c r="L735" i="3"/>
  <c r="R1000" i="3"/>
  <c r="M999" i="3"/>
  <c r="M811" i="3"/>
  <c r="J892" i="3"/>
  <c r="L946" i="3"/>
  <c r="T989" i="3"/>
  <c r="L873" i="3"/>
  <c r="P755" i="3"/>
  <c r="Q988" i="3"/>
  <c r="R746" i="3"/>
  <c r="M858" i="3"/>
  <c r="L907" i="3"/>
  <c r="R941" i="3"/>
  <c r="K987" i="3"/>
  <c r="R997" i="3"/>
  <c r="O964" i="3"/>
  <c r="Y964" i="3" s="1"/>
  <c r="T890" i="3"/>
  <c r="T552" i="3"/>
  <c r="T799" i="3"/>
  <c r="S872" i="3"/>
  <c r="S919" i="3"/>
  <c r="P966" i="3"/>
  <c r="O991" i="3"/>
  <c r="Y991" i="3" s="1"/>
  <c r="K768" i="3"/>
  <c r="V929" i="3"/>
  <c r="K821" i="3"/>
  <c r="M992" i="3"/>
  <c r="T669" i="3"/>
  <c r="N537" i="3"/>
  <c r="V827" i="3"/>
  <c r="L667" i="3"/>
  <c r="T762" i="3"/>
  <c r="L708" i="3"/>
  <c r="V786" i="3"/>
  <c r="R554" i="3"/>
  <c r="S734" i="3"/>
  <c r="P813" i="3"/>
  <c r="M646" i="3"/>
  <c r="R752" i="3"/>
  <c r="J792" i="3"/>
  <c r="O831" i="3"/>
  <c r="Y831" i="3" s="1"/>
  <c r="U722" i="3"/>
  <c r="U827" i="3"/>
  <c r="V885" i="3"/>
  <c r="N925" i="3"/>
  <c r="S964" i="3"/>
  <c r="P703" i="3"/>
  <c r="O808" i="3"/>
  <c r="Y808" i="3" s="1"/>
  <c r="J868" i="3"/>
  <c r="O893" i="3"/>
  <c r="Y893" i="3" s="1"/>
  <c r="R918" i="3"/>
  <c r="Q947" i="3"/>
  <c r="R594" i="3"/>
  <c r="V742" i="3"/>
  <c r="P862" i="3"/>
  <c r="N887" i="3"/>
  <c r="J907" i="3"/>
  <c r="P949" i="3"/>
  <c r="L969" i="3"/>
  <c r="Q634" i="3"/>
  <c r="L784" i="3"/>
  <c r="V892" i="3"/>
  <c r="N956" i="3"/>
  <c r="R674" i="3"/>
  <c r="R789" i="3"/>
  <c r="V894" i="3"/>
  <c r="N958" i="3"/>
  <c r="K724" i="3"/>
  <c r="O849" i="3"/>
  <c r="Y849" i="3" s="1"/>
  <c r="T901" i="3"/>
  <c r="L965" i="3"/>
  <c r="S888" i="3"/>
  <c r="J978" i="3"/>
  <c r="J936" i="3"/>
  <c r="U731" i="3"/>
  <c r="O932" i="3"/>
  <c r="Y932" i="3" s="1"/>
  <c r="U611" i="3"/>
  <c r="J813" i="3"/>
  <c r="K992" i="3"/>
  <c r="T840" i="3"/>
  <c r="Y13" i="3"/>
  <c r="Y37" i="3"/>
  <c r="Y53" i="3"/>
  <c r="Y50" i="3"/>
  <c r="Y7" i="3"/>
  <c r="Y55" i="3"/>
  <c r="Y12" i="3"/>
  <c r="Y58" i="3"/>
  <c r="Y74" i="3"/>
  <c r="Y17" i="3"/>
  <c r="Y19" i="3"/>
  <c r="Y11" i="3"/>
  <c r="Y33" i="3"/>
  <c r="Y85" i="3"/>
  <c r="Y101" i="3"/>
  <c r="Y56" i="3"/>
  <c r="Y79" i="3"/>
  <c r="Y119" i="3"/>
  <c r="Y9" i="3"/>
  <c r="Y63" i="3"/>
  <c r="Y84" i="3"/>
  <c r="Y108" i="3"/>
  <c r="Y57" i="3"/>
  <c r="Y80" i="3"/>
  <c r="Y88" i="3"/>
  <c r="Y52" i="3"/>
  <c r="Y123" i="3"/>
  <c r="Y136" i="3"/>
  <c r="Y120" i="3"/>
  <c r="Y71" i="3"/>
  <c r="Y82" i="3"/>
  <c r="Y51" i="3"/>
  <c r="Y144" i="3"/>
  <c r="Y153" i="3"/>
  <c r="Y169" i="3"/>
  <c r="Y150" i="3"/>
  <c r="Y166" i="3"/>
  <c r="Y174" i="3"/>
  <c r="Y137" i="3"/>
  <c r="Y142" i="3"/>
  <c r="Y152" i="3"/>
  <c r="Y192" i="3"/>
  <c r="Y104" i="3"/>
  <c r="Y149" i="3"/>
  <c r="Y94" i="3"/>
  <c r="Y122" i="3"/>
  <c r="Y135" i="3"/>
  <c r="Y148" i="3"/>
  <c r="Y172" i="3"/>
  <c r="Y223" i="3"/>
  <c r="Y239" i="3"/>
  <c r="Y247" i="3"/>
  <c r="Y98" i="3"/>
  <c r="Y196" i="3"/>
  <c r="Y212" i="3"/>
  <c r="Y236" i="3"/>
  <c r="Y252" i="3"/>
  <c r="Y260" i="3"/>
  <c r="Y187" i="3"/>
  <c r="Y217" i="3"/>
  <c r="Y233" i="3"/>
  <c r="Y257" i="3"/>
  <c r="Y151" i="3"/>
  <c r="Y230" i="3"/>
  <c r="Y238" i="3"/>
  <c r="Y190" i="3"/>
  <c r="Y211" i="3"/>
  <c r="Y159" i="3"/>
  <c r="Y175" i="3"/>
  <c r="Y195" i="3"/>
  <c r="Y216" i="3"/>
  <c r="Y202" i="3"/>
  <c r="Y235" i="3"/>
  <c r="Y267" i="3"/>
  <c r="Y307" i="3"/>
  <c r="Y315" i="3"/>
  <c r="Y331" i="3"/>
  <c r="Y280" i="3"/>
  <c r="Y296" i="3"/>
  <c r="Y304" i="3"/>
  <c r="Y320" i="3"/>
  <c r="Y229" i="3"/>
  <c r="Y262" i="3"/>
  <c r="Y269" i="3"/>
  <c r="Y277" i="3"/>
  <c r="Y274" i="3"/>
  <c r="Y298" i="3"/>
  <c r="Y314" i="3"/>
  <c r="Y243" i="3"/>
  <c r="Y251" i="3"/>
  <c r="Y279" i="3"/>
  <c r="Y210" i="3"/>
  <c r="Y256" i="3"/>
  <c r="Y268" i="3"/>
  <c r="Y258" i="3"/>
  <c r="Y263" i="3"/>
  <c r="Y286" i="3"/>
  <c r="Y305" i="3"/>
  <c r="Y322" i="3"/>
  <c r="Y373" i="3"/>
  <c r="Y381" i="3"/>
  <c r="Y294" i="3"/>
  <c r="Y332" i="3"/>
  <c r="Y359" i="3"/>
  <c r="Y383" i="3"/>
  <c r="Y297" i="3"/>
  <c r="Y348" i="3"/>
  <c r="Y372" i="3"/>
  <c r="Y396" i="3"/>
  <c r="Y191" i="3"/>
  <c r="Y313" i="3"/>
  <c r="Y334" i="3"/>
  <c r="Y337" i="3"/>
  <c r="Y353" i="3"/>
  <c r="Y393" i="3"/>
  <c r="Y318" i="3"/>
  <c r="Y350" i="3"/>
  <c r="Y358" i="3"/>
  <c r="Y374" i="3"/>
  <c r="Y398" i="3"/>
  <c r="Y423" i="3"/>
  <c r="Y346" i="3"/>
  <c r="Y412" i="3"/>
  <c r="Y436" i="3"/>
  <c r="Y289" i="3"/>
  <c r="Y324" i="3"/>
  <c r="Y395" i="3"/>
  <c r="Y406" i="3"/>
  <c r="Y410" i="3"/>
  <c r="Y417" i="3"/>
  <c r="Y465" i="3"/>
  <c r="Y400" i="3"/>
  <c r="Y414" i="3"/>
  <c r="Y454" i="3"/>
  <c r="Y470" i="3"/>
  <c r="Y278" i="3"/>
  <c r="Y316" i="3"/>
  <c r="Y419" i="3"/>
  <c r="Y443" i="3"/>
  <c r="Y440" i="3"/>
  <c r="Y448" i="3"/>
  <c r="Y403" i="3"/>
  <c r="Y411" i="3"/>
  <c r="Y451" i="3"/>
  <c r="Y494" i="3"/>
  <c r="Y526" i="3"/>
  <c r="Y566" i="3"/>
  <c r="Y418" i="3"/>
  <c r="Y434" i="3"/>
  <c r="Y461" i="3"/>
  <c r="Y491" i="3"/>
  <c r="Y499" i="3"/>
  <c r="Y507" i="3"/>
  <c r="Y531" i="3"/>
  <c r="Y362" i="3"/>
  <c r="Y437" i="3"/>
  <c r="Y496" i="3"/>
  <c r="Y409" i="3"/>
  <c r="Y493" i="3"/>
  <c r="Y509" i="3"/>
  <c r="Y533" i="3"/>
  <c r="Y445" i="3"/>
  <c r="Y474" i="3"/>
  <c r="Y490" i="3"/>
  <c r="Y498" i="3"/>
  <c r="Y506" i="3"/>
  <c r="Y459" i="3"/>
  <c r="Y481" i="3"/>
  <c r="Y513" i="3"/>
  <c r="Y537" i="3"/>
  <c r="Y519" i="3"/>
  <c r="Y586" i="3"/>
  <c r="Y626" i="3"/>
  <c r="Y572" i="3"/>
  <c r="Y500" i="3"/>
  <c r="Y532" i="3"/>
  <c r="Y585" i="3"/>
  <c r="Y601" i="3"/>
  <c r="Y450" i="3"/>
  <c r="Y535" i="3"/>
  <c r="Y546" i="3"/>
  <c r="Y567" i="3"/>
  <c r="Y574" i="3"/>
  <c r="Y582" i="3"/>
  <c r="Y590" i="3"/>
  <c r="Y614" i="3"/>
  <c r="Y421" i="3"/>
  <c r="Y476" i="3"/>
  <c r="Y543" i="3"/>
  <c r="Y563" i="3"/>
  <c r="Y571" i="3"/>
  <c r="Y603" i="3"/>
  <c r="Y592" i="3"/>
  <c r="Y623" i="3"/>
  <c r="Y632" i="3"/>
  <c r="Y653" i="3"/>
  <c r="Y669" i="3"/>
  <c r="Y677" i="3"/>
  <c r="Y484" i="3"/>
  <c r="Y658" i="3"/>
  <c r="Y479" i="3"/>
  <c r="Y524" i="3"/>
  <c r="Y589" i="3"/>
  <c r="Y655" i="3"/>
  <c r="Y492" i="3"/>
  <c r="Y556" i="3"/>
  <c r="Y581" i="3"/>
  <c r="Y700" i="3"/>
  <c r="Y624" i="3"/>
  <c r="Y629" i="3"/>
  <c r="Y654" i="3"/>
  <c r="Y670" i="3"/>
  <c r="Y719" i="3"/>
  <c r="Y735" i="3"/>
  <c r="Y767" i="3"/>
  <c r="Y613" i="3"/>
  <c r="Y683" i="3"/>
  <c r="Y705" i="3"/>
  <c r="Y753" i="3"/>
  <c r="Y769" i="3"/>
  <c r="Y742" i="3"/>
  <c r="Y750" i="3"/>
  <c r="Y648" i="3"/>
  <c r="Y731" i="3"/>
  <c r="Y747" i="3"/>
  <c r="Y763" i="3"/>
  <c r="Y722" i="3"/>
  <c r="Y746" i="3"/>
  <c r="Y768" i="3"/>
  <c r="Y816" i="3"/>
  <c r="Y840" i="3"/>
  <c r="Y880" i="3"/>
  <c r="Y709" i="3"/>
  <c r="Y789" i="3"/>
  <c r="Y813" i="3"/>
  <c r="Y853" i="3"/>
  <c r="Y901" i="3"/>
  <c r="Y752" i="3"/>
  <c r="Y802" i="3"/>
  <c r="Y810" i="3"/>
  <c r="Y866" i="3"/>
  <c r="Y906" i="3"/>
  <c r="Y799" i="3"/>
  <c r="Y807" i="3"/>
  <c r="Y815" i="3"/>
  <c r="Y823" i="3"/>
  <c r="Y903" i="3"/>
  <c r="Y708" i="3"/>
  <c r="Y772" i="3"/>
  <c r="Y804" i="3"/>
  <c r="Y828" i="3"/>
  <c r="Y764" i="3"/>
  <c r="Y825" i="3"/>
  <c r="Y720" i="3"/>
  <c r="Y790" i="3"/>
  <c r="Y798" i="3"/>
  <c r="Y806" i="3"/>
  <c r="Y814" i="3"/>
  <c r="Y822" i="3"/>
  <c r="Y838" i="3"/>
  <c r="Y846" i="3"/>
  <c r="Y851" i="3"/>
  <c r="Y894" i="3"/>
  <c r="Y920" i="3"/>
  <c r="Y928" i="3"/>
  <c r="Y992" i="3"/>
  <c r="Y947" i="3"/>
  <c r="Y925" i="3"/>
  <c r="Y933" i="3"/>
  <c r="Y949" i="3"/>
  <c r="Y989" i="3"/>
  <c r="Y990" i="3"/>
  <c r="Y725" i="3"/>
  <c r="Y803" i="3"/>
  <c r="Y862" i="3"/>
  <c r="Y938" i="3"/>
  <c r="Y954" i="3"/>
  <c r="Y996" i="3"/>
  <c r="Y897" i="3"/>
  <c r="Y959" i="3"/>
  <c r="Y967" i="3"/>
  <c r="Y819" i="3"/>
  <c r="Y870" i="3"/>
  <c r="Y913" i="3"/>
  <c r="Y969" i="3"/>
  <c r="Y985" i="3"/>
  <c r="Y974" i="3"/>
  <c r="Y40" i="3"/>
  <c r="Y36" i="3"/>
  <c r="Y15" i="3"/>
  <c r="Y116" i="3"/>
  <c r="Y219" i="3"/>
  <c r="Y208" i="3"/>
  <c r="Y197" i="3"/>
  <c r="Y254" i="3"/>
  <c r="Y275" i="3"/>
  <c r="Y328" i="3"/>
  <c r="Y420" i="3"/>
  <c r="Y245" i="3"/>
  <c r="Y711" i="3"/>
  <c r="Y775" i="3"/>
  <c r="Y18" i="3"/>
  <c r="Y42" i="3"/>
  <c r="Y23" i="3"/>
  <c r="Y14" i="3"/>
  <c r="Y38" i="3"/>
  <c r="Y46" i="3"/>
  <c r="Y27" i="3"/>
  <c r="Y35" i="3"/>
  <c r="Y8" i="3"/>
  <c r="Y24" i="3"/>
  <c r="Y70" i="3"/>
  <c r="Y78" i="3"/>
  <c r="Y28" i="3"/>
  <c r="Y44" i="3"/>
  <c r="Y72" i="3"/>
  <c r="Y96" i="3"/>
  <c r="Y49" i="3"/>
  <c r="Y93" i="3"/>
  <c r="Y32" i="3"/>
  <c r="I45" i="3" a="1"/>
  <c r="I45" i="3" s="1"/>
  <c r="Y60" i="3"/>
  <c r="Y68" i="3"/>
  <c r="Y25" i="3"/>
  <c r="Y41" i="3"/>
  <c r="Y65" i="3"/>
  <c r="Y92" i="3"/>
  <c r="Y128" i="3"/>
  <c r="Y109" i="3"/>
  <c r="Y117" i="3"/>
  <c r="Y133" i="3"/>
  <c r="Y141" i="3"/>
  <c r="Y29" i="3"/>
  <c r="Y90" i="3"/>
  <c r="Y124" i="3"/>
  <c r="Y105" i="3"/>
  <c r="Y113" i="3"/>
  <c r="Y129" i="3"/>
  <c r="Y102" i="3"/>
  <c r="Y106" i="3"/>
  <c r="Y89" i="3"/>
  <c r="Y111" i="3"/>
  <c r="Y165" i="3"/>
  <c r="Y132" i="3"/>
  <c r="Y146" i="3"/>
  <c r="Y156" i="3"/>
  <c r="Y180" i="3"/>
  <c r="Y188" i="3"/>
  <c r="Y103" i="3"/>
  <c r="Y193" i="3"/>
  <c r="R17" i="1"/>
  <c r="Y100" i="3"/>
  <c r="Y118" i="3"/>
  <c r="Y138" i="3"/>
  <c r="Y126" i="3"/>
  <c r="Y130" i="3"/>
  <c r="Y140" i="3"/>
  <c r="Y162" i="3"/>
  <c r="Y178" i="3"/>
  <c r="Y194" i="3"/>
  <c r="Y272" i="3"/>
  <c r="Y288" i="3"/>
  <c r="Y352" i="3"/>
  <c r="Y91" i="3"/>
  <c r="Y145" i="3"/>
  <c r="Y167" i="3"/>
  <c r="Y213" i="3"/>
  <c r="Y221" i="3"/>
  <c r="Y237" i="3"/>
  <c r="Y253" i="3"/>
  <c r="Y285" i="3"/>
  <c r="Y341" i="3"/>
  <c r="Y349" i="3"/>
  <c r="Y86" i="3"/>
  <c r="Y110" i="3"/>
  <c r="Y127" i="3"/>
  <c r="Y154" i="3"/>
  <c r="Y220" i="3"/>
  <c r="Y228" i="3"/>
  <c r="Y300" i="3"/>
  <c r="Y308" i="3"/>
  <c r="Y340" i="3"/>
  <c r="Y364" i="3"/>
  <c r="Y21" i="3"/>
  <c r="Y115" i="3"/>
  <c r="Y131" i="3"/>
  <c r="Y207" i="3"/>
  <c r="Y225" i="3"/>
  <c r="Y241" i="3"/>
  <c r="Y273" i="3"/>
  <c r="Y321" i="3"/>
  <c r="Y361" i="3"/>
  <c r="Y206" i="3"/>
  <c r="Y222" i="3"/>
  <c r="Y143" i="3"/>
  <c r="Y179" i="3"/>
  <c r="Y259" i="3"/>
  <c r="Y226" i="3"/>
  <c r="Y290" i="3"/>
  <c r="Y306" i="3"/>
  <c r="Y338" i="3"/>
  <c r="Y354" i="3"/>
  <c r="Y392" i="3"/>
  <c r="Y416" i="3"/>
  <c r="Y147" i="3"/>
  <c r="Y215" i="3"/>
  <c r="Y231" i="3"/>
  <c r="Y311" i="3"/>
  <c r="Y327" i="3"/>
  <c r="Y405" i="3"/>
  <c r="Y246" i="3"/>
  <c r="Y198" i="3"/>
  <c r="Y234" i="3"/>
  <c r="Y250" i="3"/>
  <c r="Y266" i="3"/>
  <c r="Y330" i="3"/>
  <c r="Y444" i="3"/>
  <c r="Y87" i="3"/>
  <c r="Y171" i="3"/>
  <c r="Y255" i="3"/>
  <c r="Y271" i="3"/>
  <c r="Y303" i="3"/>
  <c r="Y319" i="3"/>
  <c r="Y351" i="3"/>
  <c r="Y377" i="3"/>
  <c r="Y385" i="3"/>
  <c r="Y449" i="3"/>
  <c r="Y390" i="3"/>
  <c r="Y422" i="3"/>
  <c r="Y438" i="3"/>
  <c r="Y487" i="3"/>
  <c r="Y323" i="3"/>
  <c r="Y355" i="3"/>
  <c r="Y427" i="3"/>
  <c r="Y426" i="3"/>
  <c r="Y442" i="3"/>
  <c r="Y458" i="3"/>
  <c r="Y462" i="3"/>
  <c r="Y497" i="3"/>
  <c r="Y633" i="3"/>
  <c r="Y299" i="3"/>
  <c r="Y431" i="3"/>
  <c r="Y467" i="3"/>
  <c r="Y486" i="3"/>
  <c r="Y502" i="3"/>
  <c r="Y550" i="3"/>
  <c r="Y606" i="3"/>
  <c r="Y366" i="3"/>
  <c r="Y382" i="3"/>
  <c r="Y468" i="3"/>
  <c r="Y475" i="3"/>
  <c r="Y483" i="3"/>
  <c r="Y339" i="3"/>
  <c r="Y435" i="3"/>
  <c r="Y488" i="3"/>
  <c r="Y342" i="3"/>
  <c r="Y525" i="3"/>
  <c r="Y541" i="3"/>
  <c r="Y573" i="3"/>
  <c r="Y645" i="3"/>
  <c r="Y283" i="3"/>
  <c r="Y347" i="3"/>
  <c r="Y391" i="3"/>
  <c r="Y455" i="3"/>
  <c r="Y554" i="3"/>
  <c r="Y578" i="3"/>
  <c r="Y634" i="3"/>
  <c r="Y652" i="3"/>
  <c r="Y523" i="3"/>
  <c r="Y512" i="3"/>
  <c r="Y667" i="3"/>
  <c r="Y511" i="3"/>
  <c r="Y591" i="3"/>
  <c r="Y607" i="3"/>
  <c r="Y701" i="3"/>
  <c r="Y612" i="3"/>
  <c r="Y660" i="3"/>
  <c r="Y682" i="3"/>
  <c r="Y504" i="3"/>
  <c r="Y552" i="3"/>
  <c r="Y568" i="3"/>
  <c r="Y584" i="3"/>
  <c r="Y820" i="3"/>
  <c r="Y631" i="3"/>
  <c r="Y681" i="3"/>
  <c r="Y918" i="3"/>
  <c r="Y770" i="3"/>
  <c r="Y651" i="3"/>
  <c r="Y774" i="3"/>
  <c r="Y679" i="3"/>
  <c r="Y914" i="3"/>
  <c r="Y912" i="3"/>
  <c r="Y871" i="3"/>
  <c r="Y915" i="3"/>
  <c r="Y16" i="3"/>
  <c r="Y26" i="3"/>
  <c r="Y39" i="3"/>
  <c r="Y66" i="3"/>
  <c r="Y76" i="3"/>
  <c r="Y112" i="3"/>
  <c r="Y161" i="3"/>
  <c r="Y325" i="3"/>
  <c r="Y429" i="3"/>
  <c r="Y67" i="3"/>
  <c r="Y312" i="3"/>
  <c r="Q3" i="3" l="1"/>
  <c r="P3" i="3" s="1"/>
  <c r="Q4" i="3"/>
  <c r="P4" i="3" s="1"/>
  <c r="D14" i="1" s="1"/>
  <c r="AA8" i="3"/>
  <c r="AB879" i="3"/>
  <c r="AA880" i="3"/>
  <c r="X992" i="3"/>
  <c r="H992" i="3"/>
  <c r="I992" i="3"/>
  <c r="X983" i="3"/>
  <c r="I983" i="3"/>
  <c r="H983" i="3"/>
  <c r="X970" i="3"/>
  <c r="H970" i="3"/>
  <c r="I970" i="3"/>
  <c r="AA896" i="3"/>
  <c r="AB895" i="3"/>
  <c r="AA939" i="3"/>
  <c r="AB938" i="3"/>
  <c r="X930" i="3"/>
  <c r="I930" i="3"/>
  <c r="H930" i="3"/>
  <c r="AB987" i="3"/>
  <c r="AA988" i="3"/>
  <c r="X940" i="3"/>
  <c r="I940" i="3"/>
  <c r="H940" i="3"/>
  <c r="AB959" i="3"/>
  <c r="AA960" i="3"/>
  <c r="AA944" i="3"/>
  <c r="AB943" i="3"/>
  <c r="AA940" i="3"/>
  <c r="AB939" i="3"/>
  <c r="AB951" i="3"/>
  <c r="AA952" i="3"/>
  <c r="X996" i="3"/>
  <c r="H996" i="3"/>
  <c r="I996" i="3"/>
  <c r="X932" i="3"/>
  <c r="I932" i="3"/>
  <c r="H932" i="3"/>
  <c r="AA932" i="3"/>
  <c r="AB931" i="3"/>
  <c r="X991" i="3"/>
  <c r="H991" i="3"/>
  <c r="I991" i="3"/>
  <c r="AB986" i="3"/>
  <c r="AA987" i="3"/>
  <c r="X927" i="3"/>
  <c r="I927" i="3"/>
  <c r="H927" i="3"/>
  <c r="AB922" i="3"/>
  <c r="AA923" i="3"/>
  <c r="AB839" i="3"/>
  <c r="AA840" i="3"/>
  <c r="X780" i="3"/>
  <c r="I780" i="3"/>
  <c r="H780" i="3"/>
  <c r="X978" i="3"/>
  <c r="I978" i="3"/>
  <c r="H978" i="3"/>
  <c r="AA974" i="3"/>
  <c r="AB973" i="3"/>
  <c r="X914" i="3"/>
  <c r="H914" i="3"/>
  <c r="I914" i="3"/>
  <c r="AB909" i="3"/>
  <c r="AA910" i="3"/>
  <c r="AB787" i="3"/>
  <c r="AA788" i="3"/>
  <c r="X728" i="3"/>
  <c r="I728" i="3"/>
  <c r="H728" i="3"/>
  <c r="AB903" i="3"/>
  <c r="AA904" i="3"/>
  <c r="X981" i="3"/>
  <c r="H981" i="3"/>
  <c r="I981" i="3"/>
  <c r="AA977" i="3"/>
  <c r="AB976" i="3"/>
  <c r="X917" i="3"/>
  <c r="H917" i="3"/>
  <c r="I917" i="3"/>
  <c r="AA913" i="3"/>
  <c r="AB912" i="3"/>
  <c r="AA800" i="3"/>
  <c r="AB799" i="3"/>
  <c r="X740" i="3"/>
  <c r="I740" i="3"/>
  <c r="H740" i="3"/>
  <c r="X848" i="3"/>
  <c r="I848" i="3"/>
  <c r="H848" i="3"/>
  <c r="X979" i="3"/>
  <c r="I979" i="3"/>
  <c r="H979" i="3"/>
  <c r="AB974" i="3"/>
  <c r="AA975" i="3"/>
  <c r="X915" i="3"/>
  <c r="H915" i="3"/>
  <c r="I915" i="3"/>
  <c r="AA911" i="3"/>
  <c r="AB910" i="3"/>
  <c r="AA792" i="3"/>
  <c r="AB791" i="3"/>
  <c r="X732" i="3"/>
  <c r="H732" i="3"/>
  <c r="I732" i="3"/>
  <c r="X966" i="3"/>
  <c r="H966" i="3"/>
  <c r="I966" i="3"/>
  <c r="AA962" i="3"/>
  <c r="AB961" i="3"/>
  <c r="X902" i="3"/>
  <c r="H902" i="3"/>
  <c r="I902" i="3"/>
  <c r="AB897" i="3"/>
  <c r="AA898" i="3"/>
  <c r="AA740" i="3"/>
  <c r="AB739" i="3"/>
  <c r="H674" i="3"/>
  <c r="X674" i="3"/>
  <c r="I674" i="3"/>
  <c r="X953" i="3"/>
  <c r="H953" i="3"/>
  <c r="I953" i="3"/>
  <c r="AB948" i="3"/>
  <c r="AA949" i="3"/>
  <c r="X889" i="3"/>
  <c r="I889" i="3"/>
  <c r="H889" i="3"/>
  <c r="AB884" i="3"/>
  <c r="AA885" i="3"/>
  <c r="X864" i="3"/>
  <c r="I864" i="3"/>
  <c r="H864" i="3"/>
  <c r="AB687" i="3"/>
  <c r="AA688" i="3"/>
  <c r="X800" i="3"/>
  <c r="H800" i="3"/>
  <c r="I800" i="3"/>
  <c r="X736" i="3"/>
  <c r="H736" i="3"/>
  <c r="I736" i="3"/>
  <c r="X855" i="3"/>
  <c r="I855" i="3"/>
  <c r="H855" i="3"/>
  <c r="AB850" i="3"/>
  <c r="AA851" i="3"/>
  <c r="X791" i="3"/>
  <c r="H791" i="3"/>
  <c r="I791" i="3"/>
  <c r="AB786" i="3"/>
  <c r="AA787" i="3"/>
  <c r="X727" i="3"/>
  <c r="I727" i="3"/>
  <c r="H727" i="3"/>
  <c r="AA723" i="3"/>
  <c r="AB722" i="3"/>
  <c r="X682" i="3"/>
  <c r="I682" i="3"/>
  <c r="H682" i="3"/>
  <c r="AB665" i="3"/>
  <c r="AA666" i="3"/>
  <c r="X606" i="3"/>
  <c r="I606" i="3"/>
  <c r="H606" i="3"/>
  <c r="AA545" i="3"/>
  <c r="AB544" i="3"/>
  <c r="X858" i="3"/>
  <c r="H858" i="3"/>
  <c r="I858" i="3"/>
  <c r="AA854" i="3"/>
  <c r="AB853" i="3"/>
  <c r="X794" i="3"/>
  <c r="H794" i="3"/>
  <c r="I794" i="3"/>
  <c r="AA790" i="3"/>
  <c r="AB789" i="3"/>
  <c r="X730" i="3"/>
  <c r="I730" i="3"/>
  <c r="H730" i="3"/>
  <c r="AA726" i="3"/>
  <c r="AB725" i="3"/>
  <c r="AB677" i="3"/>
  <c r="AA678" i="3"/>
  <c r="X618" i="3"/>
  <c r="I618" i="3"/>
  <c r="H618" i="3"/>
  <c r="AA593" i="3"/>
  <c r="AB592" i="3"/>
  <c r="X489" i="3"/>
  <c r="H489" i="3"/>
  <c r="I489" i="3"/>
  <c r="X805" i="3"/>
  <c r="H805" i="3"/>
  <c r="I805" i="3"/>
  <c r="AA801" i="3"/>
  <c r="AB800" i="3"/>
  <c r="X741" i="3"/>
  <c r="I741" i="3"/>
  <c r="H741" i="3"/>
  <c r="AA737" i="3"/>
  <c r="AB736" i="3"/>
  <c r="X662" i="3"/>
  <c r="I662" i="3"/>
  <c r="H662" i="3"/>
  <c r="X827" i="3"/>
  <c r="I827" i="3"/>
  <c r="H827" i="3"/>
  <c r="AA823" i="3"/>
  <c r="AB822" i="3"/>
  <c r="X763" i="3"/>
  <c r="H763" i="3"/>
  <c r="I763" i="3"/>
  <c r="AB758" i="3"/>
  <c r="AA759" i="3"/>
  <c r="X699" i="3"/>
  <c r="H699" i="3"/>
  <c r="I699" i="3"/>
  <c r="AB694" i="3"/>
  <c r="AA695" i="3"/>
  <c r="X830" i="3"/>
  <c r="I830" i="3"/>
  <c r="H830" i="3"/>
  <c r="AB825" i="3"/>
  <c r="AA826" i="3"/>
  <c r="X766" i="3"/>
  <c r="H766" i="3"/>
  <c r="I766" i="3"/>
  <c r="AB761" i="3"/>
  <c r="AA762" i="3"/>
  <c r="X702" i="3"/>
  <c r="I702" i="3"/>
  <c r="H702" i="3"/>
  <c r="AA698" i="3"/>
  <c r="AB697" i="3"/>
  <c r="X833" i="3"/>
  <c r="I833" i="3"/>
  <c r="H833" i="3"/>
  <c r="AA829" i="3"/>
  <c r="AB828" i="3"/>
  <c r="X769" i="3"/>
  <c r="H769" i="3"/>
  <c r="I769" i="3"/>
  <c r="AB764" i="3"/>
  <c r="AA765" i="3"/>
  <c r="X705" i="3"/>
  <c r="I705" i="3"/>
  <c r="H705" i="3"/>
  <c r="AB700" i="3"/>
  <c r="AA701" i="3"/>
  <c r="X621" i="3"/>
  <c r="I621" i="3"/>
  <c r="H621" i="3"/>
  <c r="AB616" i="3"/>
  <c r="AA617" i="3"/>
  <c r="X545" i="3"/>
  <c r="H545" i="3"/>
  <c r="I545" i="3"/>
  <c r="X656" i="3"/>
  <c r="H656" i="3"/>
  <c r="I656" i="3"/>
  <c r="AA652" i="3"/>
  <c r="AB651" i="3"/>
  <c r="X643" i="3"/>
  <c r="I643" i="3"/>
  <c r="H643" i="3"/>
  <c r="AB638" i="3"/>
  <c r="AA639" i="3"/>
  <c r="X673" i="3"/>
  <c r="I673" i="3"/>
  <c r="H673" i="3"/>
  <c r="AB668" i="3"/>
  <c r="AA669" i="3"/>
  <c r="X609" i="3"/>
  <c r="I609" i="3"/>
  <c r="H609" i="3"/>
  <c r="AB604" i="3"/>
  <c r="AA605" i="3"/>
  <c r="AB556" i="3"/>
  <c r="AA557" i="3"/>
  <c r="AA324" i="3"/>
  <c r="AB323" i="3"/>
  <c r="AB679" i="3"/>
  <c r="AA680" i="3"/>
  <c r="X620" i="3"/>
  <c r="H620" i="3"/>
  <c r="I620" i="3"/>
  <c r="AB615" i="3"/>
  <c r="AA616" i="3"/>
  <c r="X600" i="3"/>
  <c r="H600" i="3"/>
  <c r="I600" i="3"/>
  <c r="X541" i="3"/>
  <c r="H541" i="3"/>
  <c r="I541" i="3"/>
  <c r="X655" i="3"/>
  <c r="I655" i="3"/>
  <c r="H655" i="3"/>
  <c r="AA651" i="3"/>
  <c r="AB650" i="3"/>
  <c r="X592" i="3"/>
  <c r="H592" i="3"/>
  <c r="I592" i="3"/>
  <c r="AA588" i="3"/>
  <c r="AB587" i="3"/>
  <c r="X528" i="3"/>
  <c r="I528" i="3"/>
  <c r="H528" i="3"/>
  <c r="I469" i="3"/>
  <c r="X469" i="3"/>
  <c r="H469" i="3"/>
  <c r="X563" i="3"/>
  <c r="H563" i="3"/>
  <c r="I563" i="3"/>
  <c r="AB558" i="3"/>
  <c r="AA559" i="3"/>
  <c r="X598" i="3"/>
  <c r="I598" i="3"/>
  <c r="H598" i="3"/>
  <c r="AB593" i="3"/>
  <c r="AA594" i="3"/>
  <c r="X534" i="3"/>
  <c r="I534" i="3"/>
  <c r="H534" i="3"/>
  <c r="AA530" i="3"/>
  <c r="AB529" i="3"/>
  <c r="X493" i="3"/>
  <c r="H493" i="3"/>
  <c r="I493" i="3"/>
  <c r="AB599" i="3"/>
  <c r="AA600" i="3"/>
  <c r="X540" i="3"/>
  <c r="I540" i="3"/>
  <c r="H540" i="3"/>
  <c r="AB535" i="3"/>
  <c r="AA536" i="3"/>
  <c r="X516" i="3"/>
  <c r="I516" i="3"/>
  <c r="H516" i="3"/>
  <c r="X591" i="3"/>
  <c r="I591" i="3"/>
  <c r="H591" i="3"/>
  <c r="AB586" i="3"/>
  <c r="AA587" i="3"/>
  <c r="X527" i="3"/>
  <c r="I527" i="3"/>
  <c r="H527" i="3"/>
  <c r="I465" i="3"/>
  <c r="X465" i="3"/>
  <c r="H465" i="3"/>
  <c r="AA598" i="3"/>
  <c r="AB597" i="3"/>
  <c r="X538" i="3"/>
  <c r="H538" i="3"/>
  <c r="I538" i="3"/>
  <c r="AB533" i="3"/>
  <c r="AA534" i="3"/>
  <c r="X509" i="3"/>
  <c r="H509" i="3"/>
  <c r="I509" i="3"/>
  <c r="X508" i="3"/>
  <c r="H508" i="3"/>
  <c r="I508" i="3"/>
  <c r="AB503" i="3"/>
  <c r="AA504" i="3"/>
  <c r="X519" i="3"/>
  <c r="I519" i="3"/>
  <c r="H519" i="3"/>
  <c r="AA515" i="3"/>
  <c r="AB514" i="3"/>
  <c r="X455" i="3"/>
  <c r="I455" i="3"/>
  <c r="H455" i="3"/>
  <c r="AA451" i="3"/>
  <c r="AB450" i="3"/>
  <c r="H466" i="3"/>
  <c r="I466" i="3"/>
  <c r="X466" i="3"/>
  <c r="AB461" i="3"/>
  <c r="AA462" i="3"/>
  <c r="AB407" i="3"/>
  <c r="AA408" i="3"/>
  <c r="H472" i="3"/>
  <c r="X472" i="3"/>
  <c r="I472" i="3"/>
  <c r="AB467" i="3"/>
  <c r="AA468" i="3"/>
  <c r="AB431" i="3"/>
  <c r="AA432" i="3"/>
  <c r="X372" i="3"/>
  <c r="H372" i="3"/>
  <c r="I372" i="3"/>
  <c r="AA308" i="3"/>
  <c r="AB307" i="3"/>
  <c r="H483" i="3"/>
  <c r="I483" i="3"/>
  <c r="X483" i="3"/>
  <c r="AB478" i="3"/>
  <c r="AA479" i="3"/>
  <c r="I416" i="3"/>
  <c r="H416" i="3"/>
  <c r="X416" i="3"/>
  <c r="I494" i="3"/>
  <c r="X494" i="3"/>
  <c r="H494" i="3"/>
  <c r="AB489" i="3"/>
  <c r="AA490" i="3"/>
  <c r="H344" i="3"/>
  <c r="X344" i="3"/>
  <c r="I344" i="3"/>
  <c r="X427" i="3"/>
  <c r="H427" i="3"/>
  <c r="I427" i="3"/>
  <c r="AA423" i="3"/>
  <c r="AB422" i="3"/>
  <c r="X289" i="3"/>
  <c r="H289" i="3"/>
  <c r="I289" i="3"/>
  <c r="I438" i="3"/>
  <c r="H438" i="3"/>
  <c r="X438" i="3"/>
  <c r="AB433" i="3"/>
  <c r="AA434" i="3"/>
  <c r="H374" i="3"/>
  <c r="X374" i="3"/>
  <c r="I374" i="3"/>
  <c r="AB369" i="3"/>
  <c r="AA370" i="3"/>
  <c r="AB315" i="3"/>
  <c r="AA316" i="3"/>
  <c r="AB444" i="3"/>
  <c r="AA445" i="3"/>
  <c r="X385" i="3"/>
  <c r="H385" i="3"/>
  <c r="I385" i="3"/>
  <c r="AA381" i="3"/>
  <c r="AB380" i="3"/>
  <c r="AA360" i="3"/>
  <c r="AB359" i="3"/>
  <c r="X300" i="3"/>
  <c r="H300" i="3"/>
  <c r="I300" i="3"/>
  <c r="H391" i="3"/>
  <c r="I391" i="3"/>
  <c r="X391" i="3"/>
  <c r="AB386" i="3"/>
  <c r="AA387" i="3"/>
  <c r="H324" i="3"/>
  <c r="I324" i="3"/>
  <c r="X324" i="3"/>
  <c r="H402" i="3"/>
  <c r="I402" i="3"/>
  <c r="X402" i="3"/>
  <c r="AB397" i="3"/>
  <c r="AA398" i="3"/>
  <c r="AB211" i="3"/>
  <c r="AA212" i="3"/>
  <c r="X389" i="3"/>
  <c r="H389" i="3"/>
  <c r="I389" i="3"/>
  <c r="AB384" i="3"/>
  <c r="AA385" i="3"/>
  <c r="H316" i="3"/>
  <c r="X316" i="3"/>
  <c r="I316" i="3"/>
  <c r="H339" i="3"/>
  <c r="X339" i="3"/>
  <c r="I339" i="3"/>
  <c r="AB334" i="3"/>
  <c r="AA335" i="3"/>
  <c r="AA288" i="3"/>
  <c r="AB287" i="3"/>
  <c r="X350" i="3"/>
  <c r="I350" i="3"/>
  <c r="H350" i="3"/>
  <c r="AA346" i="3"/>
  <c r="AB345" i="3"/>
  <c r="I337" i="3"/>
  <c r="X337" i="3"/>
  <c r="H337" i="3"/>
  <c r="AB332" i="3"/>
  <c r="AA333" i="3"/>
  <c r="H283" i="3"/>
  <c r="I283" i="3"/>
  <c r="X283" i="3"/>
  <c r="X343" i="3"/>
  <c r="I343" i="3"/>
  <c r="H343" i="3"/>
  <c r="AA339" i="3"/>
  <c r="AB338" i="3"/>
  <c r="I354" i="3"/>
  <c r="H354" i="3"/>
  <c r="X354" i="3"/>
  <c r="AA350" i="3"/>
  <c r="AB349" i="3"/>
  <c r="H341" i="3"/>
  <c r="X341" i="3"/>
  <c r="I341" i="3"/>
  <c r="AB336" i="3"/>
  <c r="AA337" i="3"/>
  <c r="H251" i="3"/>
  <c r="X251" i="3"/>
  <c r="I251" i="3"/>
  <c r="AA247" i="3"/>
  <c r="AB246" i="3"/>
  <c r="AA196" i="3"/>
  <c r="AB195" i="3"/>
  <c r="AA152" i="3"/>
  <c r="AB151" i="3"/>
  <c r="X278" i="3"/>
  <c r="H278" i="3"/>
  <c r="I278" i="3"/>
  <c r="AB273" i="3"/>
  <c r="AA274" i="3"/>
  <c r="H214" i="3"/>
  <c r="I214" i="3"/>
  <c r="X214" i="3"/>
  <c r="AA210" i="3"/>
  <c r="AB209" i="3"/>
  <c r="I233" i="3"/>
  <c r="X233" i="3"/>
  <c r="H233" i="3"/>
  <c r="AB228" i="3"/>
  <c r="AA229" i="3"/>
  <c r="I199" i="3"/>
  <c r="X199" i="3"/>
  <c r="H199" i="3"/>
  <c r="H239" i="3"/>
  <c r="X239" i="3"/>
  <c r="I239" i="3"/>
  <c r="AA235" i="3"/>
  <c r="AB234" i="3"/>
  <c r="X250" i="3"/>
  <c r="H250" i="3"/>
  <c r="I250" i="3"/>
  <c r="AA246" i="3"/>
  <c r="AB245" i="3"/>
  <c r="AA192" i="3"/>
  <c r="AB191" i="3"/>
  <c r="H261" i="3"/>
  <c r="I261" i="3"/>
  <c r="X261" i="3"/>
  <c r="AB256" i="3"/>
  <c r="AA257" i="3"/>
  <c r="X176" i="3"/>
  <c r="I176" i="3"/>
  <c r="H176" i="3"/>
  <c r="X175" i="3"/>
  <c r="I175" i="3"/>
  <c r="H175" i="3"/>
  <c r="AA171" i="3"/>
  <c r="AB170" i="3"/>
  <c r="I194" i="3"/>
  <c r="X194" i="3"/>
  <c r="H194" i="3"/>
  <c r="AA190" i="3"/>
  <c r="AB189" i="3"/>
  <c r="AA87" i="3"/>
  <c r="AB86" i="3"/>
  <c r="AB192" i="3"/>
  <c r="AA193" i="3"/>
  <c r="AB155" i="3"/>
  <c r="AA156" i="3"/>
  <c r="I163" i="3"/>
  <c r="X163" i="3"/>
  <c r="H163" i="3"/>
  <c r="H198" i="3"/>
  <c r="I198" i="3"/>
  <c r="X198" i="3"/>
  <c r="AB193" i="3"/>
  <c r="AA194" i="3"/>
  <c r="X124" i="3"/>
  <c r="I124" i="3"/>
  <c r="H124" i="3"/>
  <c r="X169" i="3"/>
  <c r="H169" i="3"/>
  <c r="I169" i="3"/>
  <c r="AA165" i="3"/>
  <c r="AB164" i="3"/>
  <c r="X127" i="3"/>
  <c r="H127" i="3"/>
  <c r="I127" i="3"/>
  <c r="AA123" i="3"/>
  <c r="AB122" i="3"/>
  <c r="AB114" i="3"/>
  <c r="AA115" i="3"/>
  <c r="I103" i="3"/>
  <c r="H103" i="3"/>
  <c r="X103" i="3"/>
  <c r="X130" i="3"/>
  <c r="I130" i="3"/>
  <c r="H130" i="3"/>
  <c r="AB125" i="3"/>
  <c r="AA126" i="3"/>
  <c r="AA111" i="3"/>
  <c r="AB110" i="3"/>
  <c r="I131" i="3"/>
  <c r="X131" i="3"/>
  <c r="H131" i="3"/>
  <c r="AB126" i="3"/>
  <c r="AA127" i="3"/>
  <c r="AB121" i="3"/>
  <c r="AA122" i="3"/>
  <c r="I75" i="3"/>
  <c r="H75" i="3"/>
  <c r="X75" i="3"/>
  <c r="H150" i="3"/>
  <c r="I150" i="3"/>
  <c r="X150" i="3"/>
  <c r="AB145" i="3"/>
  <c r="AA146" i="3"/>
  <c r="AB64" i="3"/>
  <c r="AA65" i="3"/>
  <c r="H129" i="3"/>
  <c r="X129" i="3"/>
  <c r="I129" i="3"/>
  <c r="AA125" i="3"/>
  <c r="AB124" i="3"/>
  <c r="X102" i="3"/>
  <c r="H102" i="3"/>
  <c r="I102" i="3"/>
  <c r="AB97" i="3"/>
  <c r="AA98" i="3"/>
  <c r="AB116" i="3"/>
  <c r="AA117" i="3"/>
  <c r="X109" i="3"/>
  <c r="H109" i="3"/>
  <c r="I109" i="3"/>
  <c r="AA105" i="3"/>
  <c r="AB104" i="3"/>
  <c r="X112" i="3"/>
  <c r="H112" i="3"/>
  <c r="I112" i="3"/>
  <c r="AB107" i="3"/>
  <c r="AA108" i="3"/>
  <c r="I67" i="3"/>
  <c r="X67" i="3"/>
  <c r="H67" i="3"/>
  <c r="X64" i="3"/>
  <c r="H64" i="3"/>
  <c r="I64" i="3"/>
  <c r="AB59" i="3"/>
  <c r="AA60" i="3"/>
  <c r="X62" i="3"/>
  <c r="H62" i="3"/>
  <c r="I62" i="3"/>
  <c r="X56" i="3"/>
  <c r="H56" i="3"/>
  <c r="I56" i="3"/>
  <c r="I65" i="3"/>
  <c r="X65" i="3"/>
  <c r="H65" i="3"/>
  <c r="AB60" i="3"/>
  <c r="AA61" i="3"/>
  <c r="I68" i="3"/>
  <c r="X68" i="3"/>
  <c r="H68" i="3"/>
  <c r="AB63" i="3"/>
  <c r="AA64" i="3"/>
  <c r="H71" i="3"/>
  <c r="I71" i="3"/>
  <c r="X71" i="3"/>
  <c r="AA67" i="3"/>
  <c r="AB66" i="3"/>
  <c r="I74" i="3"/>
  <c r="H74" i="3"/>
  <c r="X74" i="3"/>
  <c r="AA70" i="3"/>
  <c r="AB69" i="3"/>
  <c r="AB11" i="3"/>
  <c r="AA12" i="3"/>
  <c r="H7" i="3"/>
  <c r="I7" i="3"/>
  <c r="K4" i="3"/>
  <c r="X7" i="3"/>
  <c r="X10" i="3"/>
  <c r="I10" i="3"/>
  <c r="H10" i="3"/>
  <c r="X868" i="3"/>
  <c r="H868" i="3"/>
  <c r="I868" i="3"/>
  <c r="X760" i="3"/>
  <c r="H760" i="3"/>
  <c r="I760" i="3"/>
  <c r="AA768" i="3"/>
  <c r="AB767" i="3"/>
  <c r="X928" i="3"/>
  <c r="H928" i="3"/>
  <c r="I928" i="3"/>
  <c r="AB999" i="3"/>
  <c r="AA1000" i="3"/>
  <c r="X984" i="3"/>
  <c r="H984" i="3"/>
  <c r="I984" i="3"/>
  <c r="AB923" i="3"/>
  <c r="AA924" i="3"/>
  <c r="AB935" i="3"/>
  <c r="AA936" i="3"/>
  <c r="AA980" i="3"/>
  <c r="AB979" i="3"/>
  <c r="X976" i="3"/>
  <c r="H976" i="3"/>
  <c r="I976" i="3"/>
  <c r="X988" i="3"/>
  <c r="H988" i="3"/>
  <c r="I988" i="3"/>
  <c r="X968" i="3"/>
  <c r="H968" i="3"/>
  <c r="I968" i="3"/>
  <c r="X892" i="3"/>
  <c r="I892" i="3"/>
  <c r="H892" i="3"/>
  <c r="AA872" i="3"/>
  <c r="AB871" i="3"/>
  <c r="X951" i="3"/>
  <c r="I951" i="3"/>
  <c r="H951" i="3"/>
  <c r="AB946" i="3"/>
  <c r="AA947" i="3"/>
  <c r="X887" i="3"/>
  <c r="I887" i="3"/>
  <c r="H887" i="3"/>
  <c r="AA883" i="3"/>
  <c r="AB882" i="3"/>
  <c r="AB997" i="3"/>
  <c r="AA998" i="3"/>
  <c r="X938" i="3"/>
  <c r="I938" i="3"/>
  <c r="H938" i="3"/>
  <c r="AA934" i="3"/>
  <c r="AB933" i="3"/>
  <c r="X874" i="3"/>
  <c r="H874" i="3"/>
  <c r="I874" i="3"/>
  <c r="AA870" i="3"/>
  <c r="AB869" i="3"/>
  <c r="X824" i="3"/>
  <c r="H824" i="3"/>
  <c r="I824" i="3"/>
  <c r="AB1000" i="3"/>
  <c r="X941" i="3"/>
  <c r="I941" i="3"/>
  <c r="H941" i="3"/>
  <c r="AB936" i="3"/>
  <c r="AA937" i="3"/>
  <c r="X877" i="3"/>
  <c r="H877" i="3"/>
  <c r="I877" i="3"/>
  <c r="AB872" i="3"/>
  <c r="AA873" i="3"/>
  <c r="X836" i="3"/>
  <c r="H836" i="3"/>
  <c r="I836" i="3"/>
  <c r="X720" i="3"/>
  <c r="I720" i="3"/>
  <c r="H720" i="3"/>
  <c r="AA900" i="3"/>
  <c r="AB899" i="3"/>
  <c r="AB998" i="3"/>
  <c r="AA999" i="3"/>
  <c r="X939" i="3"/>
  <c r="I939" i="3"/>
  <c r="H939" i="3"/>
  <c r="AB934" i="3"/>
  <c r="AA935" i="3"/>
  <c r="X875" i="3"/>
  <c r="H875" i="3"/>
  <c r="I875" i="3"/>
  <c r="AA871" i="3"/>
  <c r="AB870" i="3"/>
  <c r="X828" i="3"/>
  <c r="H828" i="3"/>
  <c r="I828" i="3"/>
  <c r="AB891" i="3"/>
  <c r="AA892" i="3"/>
  <c r="X880" i="3"/>
  <c r="H880" i="3"/>
  <c r="I880" i="3"/>
  <c r="X990" i="3"/>
  <c r="H990" i="3"/>
  <c r="I990" i="3"/>
  <c r="AB985" i="3"/>
  <c r="AA986" i="3"/>
  <c r="X926" i="3"/>
  <c r="H926" i="3"/>
  <c r="I926" i="3"/>
  <c r="AB921" i="3"/>
  <c r="AA922" i="3"/>
  <c r="AA836" i="3"/>
  <c r="AB835" i="3"/>
  <c r="X776" i="3"/>
  <c r="H776" i="3"/>
  <c r="I776" i="3"/>
  <c r="X977" i="3"/>
  <c r="H977" i="3"/>
  <c r="I977" i="3"/>
  <c r="AB972" i="3"/>
  <c r="AA973" i="3"/>
  <c r="X913" i="3"/>
  <c r="I913" i="3"/>
  <c r="H913" i="3"/>
  <c r="AB908" i="3"/>
  <c r="AA909" i="3"/>
  <c r="AB783" i="3"/>
  <c r="AA784" i="3"/>
  <c r="X724" i="3"/>
  <c r="H724" i="3"/>
  <c r="I724" i="3"/>
  <c r="X815" i="3"/>
  <c r="H815" i="3"/>
  <c r="I815" i="3"/>
  <c r="AA811" i="3"/>
  <c r="AB810" i="3"/>
  <c r="X751" i="3"/>
  <c r="H751" i="3"/>
  <c r="I751" i="3"/>
  <c r="AB746" i="3"/>
  <c r="AA747" i="3"/>
  <c r="X687" i="3"/>
  <c r="H687" i="3"/>
  <c r="I687" i="3"/>
  <c r="X818" i="3"/>
  <c r="I818" i="3"/>
  <c r="H818" i="3"/>
  <c r="AA814" i="3"/>
  <c r="AB813" i="3"/>
  <c r="X754" i="3"/>
  <c r="I754" i="3"/>
  <c r="H754" i="3"/>
  <c r="AB749" i="3"/>
  <c r="AA750" i="3"/>
  <c r="X690" i="3"/>
  <c r="H690" i="3"/>
  <c r="I690" i="3"/>
  <c r="AB685" i="3"/>
  <c r="AA686" i="3"/>
  <c r="X829" i="3"/>
  <c r="I829" i="3"/>
  <c r="H829" i="3"/>
  <c r="AB824" i="3"/>
  <c r="AA825" i="3"/>
  <c r="X765" i="3"/>
  <c r="H765" i="3"/>
  <c r="I765" i="3"/>
  <c r="AA761" i="3"/>
  <c r="AB760" i="3"/>
  <c r="X701" i="3"/>
  <c r="I701" i="3"/>
  <c r="H701" i="3"/>
  <c r="AA697" i="3"/>
  <c r="AB696" i="3"/>
  <c r="AA638" i="3"/>
  <c r="AB637" i="3"/>
  <c r="X851" i="3"/>
  <c r="I851" i="3"/>
  <c r="H851" i="3"/>
  <c r="AB846" i="3"/>
  <c r="AA847" i="3"/>
  <c r="X787" i="3"/>
  <c r="I787" i="3"/>
  <c r="H787" i="3"/>
  <c r="AA783" i="3"/>
  <c r="AB782" i="3"/>
  <c r="X723" i="3"/>
  <c r="H723" i="3"/>
  <c r="I723" i="3"/>
  <c r="AB718" i="3"/>
  <c r="AA719" i="3"/>
  <c r="AB649" i="3"/>
  <c r="AA650" i="3"/>
  <c r="X854" i="3"/>
  <c r="H854" i="3"/>
  <c r="I854" i="3"/>
  <c r="AA850" i="3"/>
  <c r="AB849" i="3"/>
  <c r="X790" i="3"/>
  <c r="H790" i="3"/>
  <c r="I790" i="3"/>
  <c r="AA786" i="3"/>
  <c r="AB785" i="3"/>
  <c r="X726" i="3"/>
  <c r="H726" i="3"/>
  <c r="I726" i="3"/>
  <c r="AB721" i="3"/>
  <c r="AA722" i="3"/>
  <c r="AA681" i="3"/>
  <c r="AB680" i="3"/>
  <c r="AA662" i="3"/>
  <c r="AB661" i="3"/>
  <c r="X602" i="3"/>
  <c r="I602" i="3"/>
  <c r="H602" i="3"/>
  <c r="AB528" i="3"/>
  <c r="AA529" i="3"/>
  <c r="X857" i="3"/>
  <c r="I857" i="3"/>
  <c r="H857" i="3"/>
  <c r="AA853" i="3"/>
  <c r="AB852" i="3"/>
  <c r="X793" i="3"/>
  <c r="H793" i="3"/>
  <c r="I793" i="3"/>
  <c r="AB788" i="3"/>
  <c r="AA789" i="3"/>
  <c r="X729" i="3"/>
  <c r="H729" i="3"/>
  <c r="I729" i="3"/>
  <c r="AA725" i="3"/>
  <c r="AB724" i="3"/>
  <c r="AB673" i="3"/>
  <c r="AA674" i="3"/>
  <c r="X614" i="3"/>
  <c r="H614" i="3"/>
  <c r="I614" i="3"/>
  <c r="AB576" i="3"/>
  <c r="AA577" i="3"/>
  <c r="X645" i="3"/>
  <c r="I645" i="3"/>
  <c r="H645" i="3"/>
  <c r="AA641" i="3"/>
  <c r="AB640" i="3"/>
  <c r="X521" i="3"/>
  <c r="H521" i="3"/>
  <c r="I521" i="3"/>
  <c r="X680" i="3"/>
  <c r="I680" i="3"/>
  <c r="H680" i="3"/>
  <c r="AB675" i="3"/>
  <c r="AA676" i="3"/>
  <c r="X616" i="3"/>
  <c r="H616" i="3"/>
  <c r="I616" i="3"/>
  <c r="AB611" i="3"/>
  <c r="AA612" i="3"/>
  <c r="AA585" i="3"/>
  <c r="AB584" i="3"/>
  <c r="X525" i="3"/>
  <c r="I525" i="3"/>
  <c r="H525" i="3"/>
  <c r="H457" i="3"/>
  <c r="I457" i="3"/>
  <c r="X457" i="3"/>
  <c r="X667" i="3"/>
  <c r="I667" i="3"/>
  <c r="H667" i="3"/>
  <c r="AA663" i="3"/>
  <c r="AB662" i="3"/>
  <c r="X603" i="3"/>
  <c r="H603" i="3"/>
  <c r="I603" i="3"/>
  <c r="AA533" i="3"/>
  <c r="AB532" i="3"/>
  <c r="X633" i="3"/>
  <c r="I633" i="3"/>
  <c r="H633" i="3"/>
  <c r="AA629" i="3"/>
  <c r="AB628" i="3"/>
  <c r="X593" i="3"/>
  <c r="H593" i="3"/>
  <c r="I593" i="3"/>
  <c r="X644" i="3"/>
  <c r="H644" i="3"/>
  <c r="I644" i="3"/>
  <c r="AB639" i="3"/>
  <c r="AA640" i="3"/>
  <c r="X679" i="3"/>
  <c r="I679" i="3"/>
  <c r="H679" i="3"/>
  <c r="AB674" i="3"/>
  <c r="AA675" i="3"/>
  <c r="X615" i="3"/>
  <c r="I615" i="3"/>
  <c r="H615" i="3"/>
  <c r="AB610" i="3"/>
  <c r="AA611" i="3"/>
  <c r="AB580" i="3"/>
  <c r="AA581" i="3"/>
  <c r="X552" i="3"/>
  <c r="I552" i="3"/>
  <c r="H552" i="3"/>
  <c r="AA548" i="3"/>
  <c r="AB547" i="3"/>
  <c r="X587" i="3"/>
  <c r="I587" i="3"/>
  <c r="H587" i="3"/>
  <c r="AB582" i="3"/>
  <c r="AA583" i="3"/>
  <c r="AA509" i="3"/>
  <c r="AB508" i="3"/>
  <c r="H449" i="3"/>
  <c r="I449" i="3"/>
  <c r="X449" i="3"/>
  <c r="X558" i="3"/>
  <c r="H558" i="3"/>
  <c r="I558" i="3"/>
  <c r="AA554" i="3"/>
  <c r="AB553" i="3"/>
  <c r="AA388" i="3"/>
  <c r="AB387" i="3"/>
  <c r="X564" i="3"/>
  <c r="H564" i="3"/>
  <c r="I564" i="3"/>
  <c r="AB559" i="3"/>
  <c r="AA560" i="3"/>
  <c r="X551" i="3"/>
  <c r="H551" i="3"/>
  <c r="I551" i="3"/>
  <c r="AA547" i="3"/>
  <c r="AB546" i="3"/>
  <c r="X562" i="3"/>
  <c r="H562" i="3"/>
  <c r="I562" i="3"/>
  <c r="AA558" i="3"/>
  <c r="AB557" i="3"/>
  <c r="I468" i="3"/>
  <c r="H468" i="3"/>
  <c r="X468" i="3"/>
  <c r="AA464" i="3"/>
  <c r="AB463" i="3"/>
  <c r="AA416" i="3"/>
  <c r="AB415" i="3"/>
  <c r="I479" i="3"/>
  <c r="X479" i="3"/>
  <c r="H479" i="3"/>
  <c r="AB474" i="3"/>
  <c r="AA475" i="3"/>
  <c r="H400" i="3"/>
  <c r="X400" i="3"/>
  <c r="I400" i="3"/>
  <c r="H490" i="3"/>
  <c r="I490" i="3"/>
  <c r="X490" i="3"/>
  <c r="AA486" i="3"/>
  <c r="AB485" i="3"/>
  <c r="H444" i="3"/>
  <c r="X444" i="3"/>
  <c r="I444" i="3"/>
  <c r="H496" i="3"/>
  <c r="I496" i="3"/>
  <c r="X496" i="3"/>
  <c r="AB491" i="3"/>
  <c r="AA492" i="3"/>
  <c r="X507" i="3"/>
  <c r="I507" i="3"/>
  <c r="H507" i="3"/>
  <c r="AB502" i="3"/>
  <c r="AA503" i="3"/>
  <c r="X518" i="3"/>
  <c r="H518" i="3"/>
  <c r="I518" i="3"/>
  <c r="AB513" i="3"/>
  <c r="AA514" i="3"/>
  <c r="H454" i="3"/>
  <c r="I454" i="3"/>
  <c r="X454" i="3"/>
  <c r="AB449" i="3"/>
  <c r="AA450" i="3"/>
  <c r="AB446" i="3"/>
  <c r="AA447" i="3"/>
  <c r="H387" i="3"/>
  <c r="X387" i="3"/>
  <c r="I387" i="3"/>
  <c r="AB382" i="3"/>
  <c r="AA383" i="3"/>
  <c r="H308" i="3"/>
  <c r="X308" i="3"/>
  <c r="I308" i="3"/>
  <c r="AB284" i="3"/>
  <c r="AA285" i="3"/>
  <c r="X398" i="3"/>
  <c r="H398" i="3"/>
  <c r="I398" i="3"/>
  <c r="AA394" i="3"/>
  <c r="AB393" i="3"/>
  <c r="X352" i="3"/>
  <c r="H352" i="3"/>
  <c r="I352" i="3"/>
  <c r="H409" i="3"/>
  <c r="X409" i="3"/>
  <c r="I409" i="3"/>
  <c r="AB404" i="3"/>
  <c r="AA405" i="3"/>
  <c r="X415" i="3"/>
  <c r="I415" i="3"/>
  <c r="H415" i="3"/>
  <c r="AB410" i="3"/>
  <c r="AA411" i="3"/>
  <c r="H426" i="3"/>
  <c r="X426" i="3"/>
  <c r="I426" i="3"/>
  <c r="AB421" i="3"/>
  <c r="AA422" i="3"/>
  <c r="H280" i="3"/>
  <c r="I280" i="3"/>
  <c r="X280" i="3"/>
  <c r="H413" i="3"/>
  <c r="I413" i="3"/>
  <c r="X413" i="3"/>
  <c r="AB408" i="3"/>
  <c r="AA409" i="3"/>
  <c r="X363" i="3"/>
  <c r="H363" i="3"/>
  <c r="I363" i="3"/>
  <c r="AB358" i="3"/>
  <c r="AA359" i="3"/>
  <c r="I299" i="3"/>
  <c r="H299" i="3"/>
  <c r="X299" i="3"/>
  <c r="AA295" i="3"/>
  <c r="AB294" i="3"/>
  <c r="I310" i="3"/>
  <c r="H310" i="3"/>
  <c r="X310" i="3"/>
  <c r="AA306" i="3"/>
  <c r="AB305" i="3"/>
  <c r="X288" i="3"/>
  <c r="I288" i="3"/>
  <c r="H288" i="3"/>
  <c r="AB235" i="3"/>
  <c r="AA236" i="3"/>
  <c r="I361" i="3"/>
  <c r="X361" i="3"/>
  <c r="H361" i="3"/>
  <c r="AB356" i="3"/>
  <c r="AA357" i="3"/>
  <c r="H297" i="3"/>
  <c r="I297" i="3"/>
  <c r="X297" i="3"/>
  <c r="I367" i="3"/>
  <c r="H367" i="3"/>
  <c r="X367" i="3"/>
  <c r="AA363" i="3"/>
  <c r="AB362" i="3"/>
  <c r="H303" i="3"/>
  <c r="I303" i="3"/>
  <c r="X303" i="3"/>
  <c r="AA299" i="3"/>
  <c r="AB298" i="3"/>
  <c r="X284" i="3"/>
  <c r="H284" i="3"/>
  <c r="I284" i="3"/>
  <c r="H314" i="3"/>
  <c r="X314" i="3"/>
  <c r="I314" i="3"/>
  <c r="AA310" i="3"/>
  <c r="AB309" i="3"/>
  <c r="AB251" i="3"/>
  <c r="AA252" i="3"/>
  <c r="H365" i="3"/>
  <c r="X365" i="3"/>
  <c r="I365" i="3"/>
  <c r="AB360" i="3"/>
  <c r="AA361" i="3"/>
  <c r="H301" i="3"/>
  <c r="I301" i="3"/>
  <c r="X301" i="3"/>
  <c r="AA297" i="3"/>
  <c r="AB296" i="3"/>
  <c r="I275" i="3"/>
  <c r="X275" i="3"/>
  <c r="H275" i="3"/>
  <c r="AA271" i="3"/>
  <c r="AB270" i="3"/>
  <c r="I211" i="3"/>
  <c r="X211" i="3"/>
  <c r="H211" i="3"/>
  <c r="H238" i="3"/>
  <c r="I238" i="3"/>
  <c r="X238" i="3"/>
  <c r="AB233" i="3"/>
  <c r="AA234" i="3"/>
  <c r="AB199" i="3"/>
  <c r="AA200" i="3"/>
  <c r="H257" i="3"/>
  <c r="I257" i="3"/>
  <c r="X257" i="3"/>
  <c r="AB252" i="3"/>
  <c r="AA253" i="3"/>
  <c r="I159" i="3"/>
  <c r="X159" i="3"/>
  <c r="H159" i="3"/>
  <c r="I263" i="3"/>
  <c r="X263" i="3"/>
  <c r="H263" i="3"/>
  <c r="AB258" i="3"/>
  <c r="AA259" i="3"/>
  <c r="H200" i="3"/>
  <c r="X200" i="3"/>
  <c r="I200" i="3"/>
  <c r="I184" i="3"/>
  <c r="H184" i="3"/>
  <c r="X184" i="3"/>
  <c r="I83" i="3"/>
  <c r="X83" i="3"/>
  <c r="H83" i="3"/>
  <c r="H274" i="3"/>
  <c r="X274" i="3"/>
  <c r="I274" i="3"/>
  <c r="AA270" i="3"/>
  <c r="AB269" i="3"/>
  <c r="X210" i="3"/>
  <c r="I210" i="3"/>
  <c r="H210" i="3"/>
  <c r="X285" i="3"/>
  <c r="I285" i="3"/>
  <c r="H285" i="3"/>
  <c r="AB280" i="3"/>
  <c r="AA281" i="3"/>
  <c r="H221" i="3"/>
  <c r="X221" i="3"/>
  <c r="I221" i="3"/>
  <c r="AA217" i="3"/>
  <c r="AB216" i="3"/>
  <c r="AB194" i="3"/>
  <c r="AA195" i="3"/>
  <c r="I128" i="3"/>
  <c r="H128" i="3"/>
  <c r="X128" i="3"/>
  <c r="X187" i="3"/>
  <c r="I187" i="3"/>
  <c r="H187" i="3"/>
  <c r="AB182" i="3"/>
  <c r="AA183" i="3"/>
  <c r="AB139" i="3"/>
  <c r="AA140" i="3"/>
  <c r="X193" i="3"/>
  <c r="I193" i="3"/>
  <c r="H193" i="3"/>
  <c r="AA189" i="3"/>
  <c r="AB188" i="3"/>
  <c r="AB146" i="3"/>
  <c r="AA147" i="3"/>
  <c r="H154" i="3"/>
  <c r="X154" i="3"/>
  <c r="I154" i="3"/>
  <c r="AB149" i="3"/>
  <c r="AA150" i="3"/>
  <c r="I155" i="3"/>
  <c r="X155" i="3"/>
  <c r="H155" i="3"/>
  <c r="AB150" i="3"/>
  <c r="AA151" i="3"/>
  <c r="X111" i="3"/>
  <c r="H111" i="3"/>
  <c r="I111" i="3"/>
  <c r="AB119" i="3"/>
  <c r="AA120" i="3"/>
  <c r="AA95" i="3"/>
  <c r="AB94" i="3"/>
  <c r="X153" i="3"/>
  <c r="H153" i="3"/>
  <c r="I153" i="3"/>
  <c r="AB148" i="3"/>
  <c r="AA149" i="3"/>
  <c r="I61" i="3"/>
  <c r="X61" i="3"/>
  <c r="H61" i="3"/>
  <c r="H92" i="3"/>
  <c r="X92" i="3"/>
  <c r="I92" i="3"/>
  <c r="AA88" i="3"/>
  <c r="AB87" i="3"/>
  <c r="H80" i="3"/>
  <c r="I80" i="3"/>
  <c r="X80" i="3"/>
  <c r="X90" i="3"/>
  <c r="I90" i="3"/>
  <c r="H90" i="3"/>
  <c r="AB85" i="3"/>
  <c r="AA86" i="3"/>
  <c r="AB76" i="3"/>
  <c r="AA77" i="3"/>
  <c r="AB72" i="3"/>
  <c r="AA73" i="3"/>
  <c r="AB39" i="3"/>
  <c r="AA40" i="3"/>
  <c r="AB81" i="3"/>
  <c r="AA82" i="3"/>
  <c r="AB35" i="3"/>
  <c r="AA36" i="3"/>
  <c r="AB41" i="3"/>
  <c r="AA42" i="3"/>
  <c r="AA48" i="3"/>
  <c r="AB47" i="3"/>
  <c r="X53" i="3"/>
  <c r="H53" i="3"/>
  <c r="I53" i="3"/>
  <c r="X31" i="3"/>
  <c r="H31" i="3"/>
  <c r="I31" i="3"/>
  <c r="AB26" i="3"/>
  <c r="AA27" i="3"/>
  <c r="I34" i="3"/>
  <c r="X34" i="3"/>
  <c r="H34" i="3"/>
  <c r="AB29" i="3"/>
  <c r="AA30" i="3"/>
  <c r="I27" i="3"/>
  <c r="H27" i="3"/>
  <c r="X27" i="3"/>
  <c r="AA23" i="3"/>
  <c r="AB22" i="3"/>
  <c r="H25" i="3"/>
  <c r="I25" i="3"/>
  <c r="X25" i="3"/>
  <c r="AA21" i="3"/>
  <c r="AB20" i="3"/>
  <c r="AA972" i="3"/>
  <c r="AB971" i="3"/>
  <c r="X999" i="3"/>
  <c r="I999" i="3"/>
  <c r="H999" i="3"/>
  <c r="X925" i="3"/>
  <c r="I925" i="3"/>
  <c r="H925" i="3"/>
  <c r="X876" i="3"/>
  <c r="I876" i="3"/>
  <c r="H876" i="3"/>
  <c r="AA915" i="3"/>
  <c r="AB914" i="3"/>
  <c r="X980" i="3"/>
  <c r="I980" i="3"/>
  <c r="H980" i="3"/>
  <c r="X960" i="3"/>
  <c r="I960" i="3"/>
  <c r="H960" i="3"/>
  <c r="AB919" i="3"/>
  <c r="AA920" i="3"/>
  <c r="X972" i="3"/>
  <c r="H972" i="3"/>
  <c r="I972" i="3"/>
  <c r="AB927" i="3"/>
  <c r="AA928" i="3"/>
  <c r="X900" i="3"/>
  <c r="I900" i="3"/>
  <c r="H900" i="3"/>
  <c r="X975" i="3"/>
  <c r="H975" i="3"/>
  <c r="I975" i="3"/>
  <c r="AA971" i="3"/>
  <c r="AB970" i="3"/>
  <c r="X911" i="3"/>
  <c r="H911" i="3"/>
  <c r="I911" i="3"/>
  <c r="AA907" i="3"/>
  <c r="AB906" i="3"/>
  <c r="AB775" i="3"/>
  <c r="AA776" i="3"/>
  <c r="X716" i="3"/>
  <c r="H716" i="3"/>
  <c r="I716" i="3"/>
  <c r="X962" i="3"/>
  <c r="H962" i="3"/>
  <c r="I962" i="3"/>
  <c r="AA958" i="3"/>
  <c r="AB957" i="3"/>
  <c r="X898" i="3"/>
  <c r="H898" i="3"/>
  <c r="I898" i="3"/>
  <c r="AA894" i="3"/>
  <c r="AB893" i="3"/>
  <c r="AB723" i="3"/>
  <c r="AA724" i="3"/>
  <c r="AA912" i="3"/>
  <c r="AB911" i="3"/>
  <c r="X965" i="3"/>
  <c r="I965" i="3"/>
  <c r="H965" i="3"/>
  <c r="AA961" i="3"/>
  <c r="AB960" i="3"/>
  <c r="X901" i="3"/>
  <c r="H901" i="3"/>
  <c r="I901" i="3"/>
  <c r="AA897" i="3"/>
  <c r="AB896" i="3"/>
  <c r="AB735" i="3"/>
  <c r="AA736" i="3"/>
  <c r="X658" i="3"/>
  <c r="H658" i="3"/>
  <c r="I658" i="3"/>
  <c r="AB843" i="3"/>
  <c r="AA844" i="3"/>
  <c r="X784" i="3"/>
  <c r="H784" i="3"/>
  <c r="I784" i="3"/>
  <c r="X963" i="3"/>
  <c r="H963" i="3"/>
  <c r="I963" i="3"/>
  <c r="AA959" i="3"/>
  <c r="AB958" i="3"/>
  <c r="X899" i="3"/>
  <c r="H899" i="3"/>
  <c r="I899" i="3"/>
  <c r="AA895" i="3"/>
  <c r="AB894" i="3"/>
  <c r="AB727" i="3"/>
  <c r="AA728" i="3"/>
  <c r="X950" i="3"/>
  <c r="H950" i="3"/>
  <c r="I950" i="3"/>
  <c r="AA946" i="3"/>
  <c r="AB945" i="3"/>
  <c r="X886" i="3"/>
  <c r="H886" i="3"/>
  <c r="I886" i="3"/>
  <c r="AB881" i="3"/>
  <c r="AA882" i="3"/>
  <c r="AB996" i="3"/>
  <c r="AA997" i="3"/>
  <c r="X937" i="3"/>
  <c r="I937" i="3"/>
  <c r="H937" i="3"/>
  <c r="AA933" i="3"/>
  <c r="AB932" i="3"/>
  <c r="X873" i="3"/>
  <c r="I873" i="3"/>
  <c r="H873" i="3"/>
  <c r="AA869" i="3"/>
  <c r="AB868" i="3"/>
  <c r="X820" i="3"/>
  <c r="I820" i="3"/>
  <c r="H820" i="3"/>
  <c r="AA682" i="3"/>
  <c r="AB681" i="3"/>
  <c r="AB859" i="3"/>
  <c r="AA860" i="3"/>
  <c r="AB795" i="3"/>
  <c r="AA796" i="3"/>
  <c r="AB731" i="3"/>
  <c r="AA732" i="3"/>
  <c r="X839" i="3"/>
  <c r="H839" i="3"/>
  <c r="I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AA602" i="3"/>
  <c r="AB601" i="3"/>
  <c r="AB524" i="3"/>
  <c r="AA525" i="3"/>
  <c r="X842" i="3"/>
  <c r="H842" i="3"/>
  <c r="I842" i="3"/>
  <c r="AB837" i="3"/>
  <c r="AA838" i="3"/>
  <c r="X778" i="3"/>
  <c r="I778" i="3"/>
  <c r="H778" i="3"/>
  <c r="AA774" i="3"/>
  <c r="AB773" i="3"/>
  <c r="X714" i="3"/>
  <c r="H714" i="3"/>
  <c r="I714" i="3"/>
  <c r="AB709" i="3"/>
  <c r="AA710" i="3"/>
  <c r="AA614" i="3"/>
  <c r="AB613" i="3"/>
  <c r="X853" i="3"/>
  <c r="I853" i="3"/>
  <c r="H853" i="3"/>
  <c r="AA849" i="3"/>
  <c r="AB848" i="3"/>
  <c r="X789" i="3"/>
  <c r="I789" i="3"/>
  <c r="H789" i="3"/>
  <c r="AA785" i="3"/>
  <c r="AB784" i="3"/>
  <c r="X725" i="3"/>
  <c r="H725" i="3"/>
  <c r="I725" i="3"/>
  <c r="AB720" i="3"/>
  <c r="AA721" i="3"/>
  <c r="AB657" i="3"/>
  <c r="AA658" i="3"/>
  <c r="AB484" i="3"/>
  <c r="AA485" i="3"/>
  <c r="X811" i="3"/>
  <c r="I811" i="3"/>
  <c r="H811" i="3"/>
  <c r="AB806" i="3"/>
  <c r="AA807" i="3"/>
  <c r="X747" i="3"/>
  <c r="H747" i="3"/>
  <c r="I747" i="3"/>
  <c r="AB742" i="3"/>
  <c r="AA743" i="3"/>
  <c r="X549" i="3"/>
  <c r="I549" i="3"/>
  <c r="H549" i="3"/>
  <c r="X814" i="3"/>
  <c r="H814" i="3"/>
  <c r="I814" i="3"/>
  <c r="AB809" i="3"/>
  <c r="AA810" i="3"/>
  <c r="X750" i="3"/>
  <c r="H750" i="3"/>
  <c r="I750" i="3"/>
  <c r="AB745" i="3"/>
  <c r="AA746" i="3"/>
  <c r="X686" i="3"/>
  <c r="I686" i="3"/>
  <c r="H686" i="3"/>
  <c r="X597" i="3"/>
  <c r="H597" i="3"/>
  <c r="I597" i="3"/>
  <c r="X817" i="3"/>
  <c r="I817" i="3"/>
  <c r="H817" i="3"/>
  <c r="AA813" i="3"/>
  <c r="AB812" i="3"/>
  <c r="X753" i="3"/>
  <c r="H753" i="3"/>
  <c r="I753" i="3"/>
  <c r="AB748" i="3"/>
  <c r="AA749" i="3"/>
  <c r="X689" i="3"/>
  <c r="H689" i="3"/>
  <c r="I689" i="3"/>
  <c r="AB684" i="3"/>
  <c r="AA685" i="3"/>
  <c r="X565" i="3"/>
  <c r="I565" i="3"/>
  <c r="H565" i="3"/>
  <c r="X669" i="3"/>
  <c r="H669" i="3"/>
  <c r="I669" i="3"/>
  <c r="AB664" i="3"/>
  <c r="AA665" i="3"/>
  <c r="X605" i="3"/>
  <c r="H605" i="3"/>
  <c r="I605" i="3"/>
  <c r="AB540" i="3"/>
  <c r="AA541" i="3"/>
  <c r="AA517" i="3"/>
  <c r="AB516" i="3"/>
  <c r="X640" i="3"/>
  <c r="I640" i="3"/>
  <c r="H640" i="3"/>
  <c r="AB635" i="3"/>
  <c r="AA636" i="3"/>
  <c r="X627" i="3"/>
  <c r="I627" i="3"/>
  <c r="H627" i="3"/>
  <c r="AA623" i="3"/>
  <c r="AB622" i="3"/>
  <c r="X569" i="3"/>
  <c r="H569" i="3"/>
  <c r="I569" i="3"/>
  <c r="X657" i="3"/>
  <c r="H657" i="3"/>
  <c r="I657" i="3"/>
  <c r="AA653" i="3"/>
  <c r="AB652" i="3"/>
  <c r="X668" i="3"/>
  <c r="I668" i="3"/>
  <c r="H668" i="3"/>
  <c r="AB663" i="3"/>
  <c r="AA664" i="3"/>
  <c r="X604" i="3"/>
  <c r="H604" i="3"/>
  <c r="I604" i="3"/>
  <c r="AA537" i="3"/>
  <c r="AB536" i="3"/>
  <c r="X639" i="3"/>
  <c r="I639" i="3"/>
  <c r="H639" i="3"/>
  <c r="AA635" i="3"/>
  <c r="AB634" i="3"/>
  <c r="X576" i="3"/>
  <c r="I576" i="3"/>
  <c r="H576" i="3"/>
  <c r="AA572" i="3"/>
  <c r="AB571" i="3"/>
  <c r="AB519" i="3"/>
  <c r="AA520" i="3"/>
  <c r="AB464" i="3"/>
  <c r="AA465" i="3"/>
  <c r="X547" i="3"/>
  <c r="H547" i="3"/>
  <c r="I547" i="3"/>
  <c r="AA543" i="3"/>
  <c r="AB542" i="3"/>
  <c r="X582" i="3"/>
  <c r="I582" i="3"/>
  <c r="H582" i="3"/>
  <c r="AA578" i="3"/>
  <c r="AB577" i="3"/>
  <c r="AC577" i="3" s="1"/>
  <c r="AA489" i="3"/>
  <c r="AB488" i="3"/>
  <c r="X588" i="3"/>
  <c r="I588" i="3"/>
  <c r="H588" i="3"/>
  <c r="AB583" i="3"/>
  <c r="AA584" i="3"/>
  <c r="AB512" i="3"/>
  <c r="AA513" i="3"/>
  <c r="X453" i="3"/>
  <c r="I453" i="3"/>
  <c r="H453" i="3"/>
  <c r="X575" i="3"/>
  <c r="I575" i="3"/>
  <c r="H575" i="3"/>
  <c r="AB570" i="3"/>
  <c r="AA571" i="3"/>
  <c r="AB517" i="3"/>
  <c r="AA518" i="3"/>
  <c r="AA461" i="3"/>
  <c r="AB460" i="3"/>
  <c r="X586" i="3"/>
  <c r="H586" i="3"/>
  <c r="I586" i="3"/>
  <c r="AA582" i="3"/>
  <c r="AB581" i="3"/>
  <c r="AB504" i="3"/>
  <c r="AA505" i="3"/>
  <c r="H492" i="3"/>
  <c r="I492" i="3"/>
  <c r="X492" i="3"/>
  <c r="AA488" i="3"/>
  <c r="AB487" i="3"/>
  <c r="X312" i="3"/>
  <c r="H312" i="3"/>
  <c r="I312" i="3"/>
  <c r="X503" i="3"/>
  <c r="H503" i="3"/>
  <c r="I503" i="3"/>
  <c r="AB498" i="3"/>
  <c r="AA499" i="3"/>
  <c r="X514" i="3"/>
  <c r="H514" i="3"/>
  <c r="I514" i="3"/>
  <c r="AB509" i="3"/>
  <c r="AA510" i="3"/>
  <c r="X450" i="3"/>
  <c r="I450" i="3"/>
  <c r="H450" i="3"/>
  <c r="X520" i="3"/>
  <c r="H520" i="3"/>
  <c r="I520" i="3"/>
  <c r="AB515" i="3"/>
  <c r="AA516" i="3"/>
  <c r="H456" i="3"/>
  <c r="X456" i="3"/>
  <c r="I456" i="3"/>
  <c r="AA452" i="3"/>
  <c r="AB451" i="3"/>
  <c r="H467" i="3"/>
  <c r="I467" i="3"/>
  <c r="X467" i="3"/>
  <c r="AB462" i="3"/>
  <c r="AA463" i="3"/>
  <c r="AB411" i="3"/>
  <c r="AA412" i="3"/>
  <c r="I478" i="3"/>
  <c r="X478" i="3"/>
  <c r="H478" i="3"/>
  <c r="AB473" i="3"/>
  <c r="AA474" i="3"/>
  <c r="X396" i="3"/>
  <c r="H396" i="3"/>
  <c r="I396" i="3"/>
  <c r="X411" i="3"/>
  <c r="H411" i="3"/>
  <c r="I411" i="3"/>
  <c r="AA407" i="3"/>
  <c r="AB406" i="3"/>
  <c r="H422" i="3"/>
  <c r="X422" i="3"/>
  <c r="I422" i="3"/>
  <c r="AB417" i="3"/>
  <c r="AA418" i="3"/>
  <c r="AA368" i="3"/>
  <c r="AB367" i="3"/>
  <c r="H216" i="3"/>
  <c r="I216" i="3"/>
  <c r="X216" i="3"/>
  <c r="I433" i="3"/>
  <c r="X433" i="3"/>
  <c r="H433" i="3"/>
  <c r="AA429" i="3"/>
  <c r="AB428" i="3"/>
  <c r="I369" i="3"/>
  <c r="X369" i="3"/>
  <c r="H369" i="3"/>
  <c r="AB295" i="3"/>
  <c r="AA296" i="3"/>
  <c r="H439" i="3"/>
  <c r="X439" i="3"/>
  <c r="I439" i="3"/>
  <c r="AA435" i="3"/>
  <c r="AB434" i="3"/>
  <c r="H375" i="3"/>
  <c r="X375" i="3"/>
  <c r="I375" i="3"/>
  <c r="AA371" i="3"/>
  <c r="AB370" i="3"/>
  <c r="AB319" i="3"/>
  <c r="AA320" i="3"/>
  <c r="AB445" i="3"/>
  <c r="AA446" i="3"/>
  <c r="H386" i="3"/>
  <c r="I386" i="3"/>
  <c r="X386" i="3"/>
  <c r="AA382" i="3"/>
  <c r="AB381" i="3"/>
  <c r="AA364" i="3"/>
  <c r="AB363" i="3"/>
  <c r="AC363" i="3" s="1"/>
  <c r="H304" i="3"/>
  <c r="X304" i="3"/>
  <c r="I304" i="3"/>
  <c r="AA144" i="3"/>
  <c r="AB143" i="3"/>
  <c r="X437" i="3"/>
  <c r="H437" i="3"/>
  <c r="I437" i="3"/>
  <c r="AB432" i="3"/>
  <c r="AA433" i="3"/>
  <c r="I373" i="3"/>
  <c r="X373" i="3"/>
  <c r="H373" i="3"/>
  <c r="AB311" i="3"/>
  <c r="AA312" i="3"/>
  <c r="X323" i="3"/>
  <c r="H323" i="3"/>
  <c r="I323" i="3"/>
  <c r="AB318" i="3"/>
  <c r="AA319" i="3"/>
  <c r="X228" i="3"/>
  <c r="H228" i="3"/>
  <c r="I228" i="3"/>
  <c r="X334" i="3"/>
  <c r="I334" i="3"/>
  <c r="H334" i="3"/>
  <c r="AB329" i="3"/>
  <c r="AA330" i="3"/>
  <c r="H272" i="3"/>
  <c r="I272" i="3"/>
  <c r="X272" i="3"/>
  <c r="I321" i="3"/>
  <c r="H321" i="3"/>
  <c r="X321" i="3"/>
  <c r="AA317" i="3"/>
  <c r="AB316" i="3"/>
  <c r="AB279" i="3"/>
  <c r="AA280" i="3"/>
  <c r="H220" i="3"/>
  <c r="X220" i="3"/>
  <c r="I220" i="3"/>
  <c r="X327" i="3"/>
  <c r="H327" i="3"/>
  <c r="I327" i="3"/>
  <c r="AA323" i="3"/>
  <c r="AB322" i="3"/>
  <c r="AB292" i="3"/>
  <c r="AA293" i="3"/>
  <c r="H244" i="3"/>
  <c r="I244" i="3"/>
  <c r="X244" i="3"/>
  <c r="I338" i="3"/>
  <c r="H338" i="3"/>
  <c r="X338" i="3"/>
  <c r="AB333" i="3"/>
  <c r="AA334" i="3"/>
  <c r="X325" i="3"/>
  <c r="H325" i="3"/>
  <c r="I325" i="3"/>
  <c r="AA321" i="3"/>
  <c r="AB320" i="3"/>
  <c r="I236" i="3"/>
  <c r="H236" i="3"/>
  <c r="X236" i="3"/>
  <c r="I235" i="3"/>
  <c r="H235" i="3"/>
  <c r="X235" i="3"/>
  <c r="AA231" i="3"/>
  <c r="AB230" i="3"/>
  <c r="AA204" i="3"/>
  <c r="AB203" i="3"/>
  <c r="X132" i="3"/>
  <c r="I132" i="3"/>
  <c r="H132" i="3"/>
  <c r="I262" i="3"/>
  <c r="X262" i="3"/>
  <c r="H262" i="3"/>
  <c r="AB257" i="3"/>
  <c r="AA258" i="3"/>
  <c r="H180" i="3"/>
  <c r="X180" i="3"/>
  <c r="I180" i="3"/>
  <c r="I281" i="3"/>
  <c r="H281" i="3"/>
  <c r="X281" i="3"/>
  <c r="AB276" i="3"/>
  <c r="AA277" i="3"/>
  <c r="H217" i="3"/>
  <c r="I217" i="3"/>
  <c r="X217" i="3"/>
  <c r="AA213" i="3"/>
  <c r="AB212" i="3"/>
  <c r="H287" i="3"/>
  <c r="I287" i="3"/>
  <c r="X287" i="3"/>
  <c r="AB282" i="3"/>
  <c r="AA283" i="3"/>
  <c r="I223" i="3"/>
  <c r="X223" i="3"/>
  <c r="H223" i="3"/>
  <c r="AA219" i="3"/>
  <c r="AB218" i="3"/>
  <c r="AB293" i="3"/>
  <c r="AA294" i="3"/>
  <c r="H234" i="3"/>
  <c r="I234" i="3"/>
  <c r="X234" i="3"/>
  <c r="AB229" i="3"/>
  <c r="AA230" i="3"/>
  <c r="X245" i="3"/>
  <c r="H245" i="3"/>
  <c r="I245" i="3"/>
  <c r="AB240" i="3"/>
  <c r="AA241" i="3"/>
  <c r="AB171" i="3"/>
  <c r="AA172" i="3"/>
  <c r="H178" i="3"/>
  <c r="X178" i="3"/>
  <c r="I178" i="3"/>
  <c r="AB173" i="3"/>
  <c r="AA174" i="3"/>
  <c r="I181" i="3"/>
  <c r="H181" i="3"/>
  <c r="X181" i="3"/>
  <c r="AB176" i="3"/>
  <c r="AA177" i="3"/>
  <c r="AA207" i="3"/>
  <c r="AB206" i="3"/>
  <c r="H182" i="3"/>
  <c r="I182" i="3"/>
  <c r="X182" i="3"/>
  <c r="AB177" i="3"/>
  <c r="AA178" i="3"/>
  <c r="AB98" i="3"/>
  <c r="AA99" i="3"/>
  <c r="H141" i="3"/>
  <c r="I141" i="3"/>
  <c r="X141" i="3"/>
  <c r="AA137" i="3"/>
  <c r="AB136" i="3"/>
  <c r="I134" i="3"/>
  <c r="X134" i="3"/>
  <c r="H134" i="3"/>
  <c r="AB129" i="3"/>
  <c r="AA130" i="3"/>
  <c r="I118" i="3"/>
  <c r="X118" i="3"/>
  <c r="H118" i="3"/>
  <c r="X86" i="3"/>
  <c r="I86" i="3"/>
  <c r="H86" i="3"/>
  <c r="X105" i="3"/>
  <c r="I105" i="3"/>
  <c r="H105" i="3"/>
  <c r="AB100" i="3"/>
  <c r="AA101" i="3"/>
  <c r="I29" i="3"/>
  <c r="H29" i="3"/>
  <c r="X29" i="3"/>
  <c r="H114" i="3"/>
  <c r="X114" i="3"/>
  <c r="I114" i="3"/>
  <c r="AB109" i="3"/>
  <c r="AA110" i="3"/>
  <c r="X13" i="3"/>
  <c r="H13" i="3"/>
  <c r="I13" i="3"/>
  <c r="I93" i="3"/>
  <c r="X93" i="3"/>
  <c r="H93" i="3"/>
  <c r="AA89" i="3"/>
  <c r="AB88" i="3"/>
  <c r="X96" i="3"/>
  <c r="H96" i="3"/>
  <c r="I96" i="3"/>
  <c r="AB91" i="3"/>
  <c r="AA92" i="3"/>
  <c r="AB62" i="3"/>
  <c r="AA63" i="3"/>
  <c r="I28" i="3"/>
  <c r="X28" i="3"/>
  <c r="H28" i="3"/>
  <c r="H24" i="3"/>
  <c r="I24" i="3"/>
  <c r="X24" i="3"/>
  <c r="H30" i="3"/>
  <c r="I30" i="3"/>
  <c r="X30" i="3"/>
  <c r="I36" i="3"/>
  <c r="H36" i="3"/>
  <c r="X36" i="3"/>
  <c r="AA33" i="3"/>
  <c r="AB32" i="3"/>
  <c r="X48" i="3"/>
  <c r="H48" i="3"/>
  <c r="I48" i="3"/>
  <c r="I55" i="3"/>
  <c r="X55" i="3"/>
  <c r="H55" i="3"/>
  <c r="AB50" i="3"/>
  <c r="AA51" i="3"/>
  <c r="H58" i="3"/>
  <c r="I58" i="3"/>
  <c r="X58" i="3"/>
  <c r="AA54" i="3"/>
  <c r="AB53" i="3"/>
  <c r="X51" i="3"/>
  <c r="H51" i="3"/>
  <c r="I51" i="3"/>
  <c r="AA47" i="3"/>
  <c r="AB46" i="3"/>
  <c r="H49" i="3"/>
  <c r="I49" i="3"/>
  <c r="X49" i="3"/>
  <c r="AB44" i="3"/>
  <c r="AA45" i="3"/>
  <c r="AB975" i="3"/>
  <c r="AA976" i="3"/>
  <c r="X964" i="3"/>
  <c r="H964" i="3"/>
  <c r="I964" i="3"/>
  <c r="AB963" i="3"/>
  <c r="AA964" i="3"/>
  <c r="AB930" i="3"/>
  <c r="AA931" i="3"/>
  <c r="AB866" i="3"/>
  <c r="AA867" i="3"/>
  <c r="X812" i="3"/>
  <c r="H812" i="3"/>
  <c r="I812" i="3"/>
  <c r="X986" i="3"/>
  <c r="H986" i="3"/>
  <c r="I986" i="3"/>
  <c r="X922" i="3"/>
  <c r="H922" i="3"/>
  <c r="I922" i="3"/>
  <c r="AB819" i="3"/>
  <c r="AA820" i="3"/>
  <c r="X989" i="3"/>
  <c r="H989" i="3"/>
  <c r="I989" i="3"/>
  <c r="AB715" i="3"/>
  <c r="AA716" i="3"/>
  <c r="X987" i="3"/>
  <c r="H987" i="3"/>
  <c r="I987" i="3"/>
  <c r="AB918" i="3"/>
  <c r="AA919" i="3"/>
  <c r="AB823" i="3"/>
  <c r="AA824" i="3"/>
  <c r="X764" i="3"/>
  <c r="I764" i="3"/>
  <c r="H764" i="3"/>
  <c r="X888" i="3"/>
  <c r="H888" i="3"/>
  <c r="I888" i="3"/>
  <c r="AA868" i="3"/>
  <c r="AB867" i="3"/>
  <c r="X974" i="3"/>
  <c r="H974" i="3"/>
  <c r="I974" i="3"/>
  <c r="AB969" i="3"/>
  <c r="AA970" i="3"/>
  <c r="X910" i="3"/>
  <c r="H910" i="3"/>
  <c r="I910" i="3"/>
  <c r="AA906" i="3"/>
  <c r="AB905" i="3"/>
  <c r="AB771" i="3"/>
  <c r="AA772" i="3"/>
  <c r="X712" i="3"/>
  <c r="H712" i="3"/>
  <c r="I712" i="3"/>
  <c r="X961" i="3"/>
  <c r="I961" i="3"/>
  <c r="H961" i="3"/>
  <c r="AA957" i="3"/>
  <c r="AB956" i="3"/>
  <c r="X897" i="3"/>
  <c r="H897" i="3"/>
  <c r="I897" i="3"/>
  <c r="AA893" i="3"/>
  <c r="AB892" i="3"/>
  <c r="AC892" i="3" s="1"/>
  <c r="AB719" i="3"/>
  <c r="AA720" i="3"/>
  <c r="X832" i="3"/>
  <c r="I832" i="3"/>
  <c r="H832" i="3"/>
  <c r="X863" i="3"/>
  <c r="I863" i="3"/>
  <c r="H863" i="3"/>
  <c r="AA859" i="3"/>
  <c r="AB858" i="3"/>
  <c r="X799" i="3"/>
  <c r="H799" i="3"/>
  <c r="I799" i="3"/>
  <c r="AA795" i="3"/>
  <c r="AB794" i="3"/>
  <c r="X735" i="3"/>
  <c r="H735" i="3"/>
  <c r="I735" i="3"/>
  <c r="AA731" i="3"/>
  <c r="AB730" i="3"/>
  <c r="X638" i="3"/>
  <c r="H638" i="3"/>
  <c r="I638" i="3"/>
  <c r="AA862" i="3"/>
  <c r="AB861" i="3"/>
  <c r="X802" i="3"/>
  <c r="I802" i="3"/>
  <c r="H802" i="3"/>
  <c r="AA798" i="3"/>
  <c r="AB797" i="3"/>
  <c r="AB733" i="3"/>
  <c r="AA734" i="3"/>
  <c r="X650" i="3"/>
  <c r="H650" i="3"/>
  <c r="I650" i="3"/>
  <c r="X813" i="3"/>
  <c r="H813" i="3"/>
  <c r="I813" i="3"/>
  <c r="AA809" i="3"/>
  <c r="AB808" i="3"/>
  <c r="X749" i="3"/>
  <c r="I749" i="3"/>
  <c r="H749" i="3"/>
  <c r="AB744" i="3"/>
  <c r="AA745" i="3"/>
  <c r="X685" i="3"/>
  <c r="I685" i="3"/>
  <c r="H685" i="3"/>
  <c r="X581" i="3"/>
  <c r="H581" i="3"/>
  <c r="I581" i="3"/>
  <c r="H440" i="3"/>
  <c r="X440" i="3"/>
  <c r="I440" i="3"/>
  <c r="X835" i="3"/>
  <c r="I835" i="3"/>
  <c r="H835" i="3"/>
  <c r="AB830" i="3"/>
  <c r="AA831" i="3"/>
  <c r="X771" i="3"/>
  <c r="H771" i="3"/>
  <c r="I771" i="3"/>
  <c r="AB766" i="3"/>
  <c r="AA767" i="3"/>
  <c r="X707" i="3"/>
  <c r="H707" i="3"/>
  <c r="I707" i="3"/>
  <c r="AB702" i="3"/>
  <c r="AA703" i="3"/>
  <c r="X838" i="3"/>
  <c r="I838" i="3"/>
  <c r="H838" i="3"/>
  <c r="AA834" i="3"/>
  <c r="AB833" i="3"/>
  <c r="X774" i="3"/>
  <c r="H774" i="3"/>
  <c r="I774" i="3"/>
  <c r="AA770" i="3"/>
  <c r="AB769" i="3"/>
  <c r="X710" i="3"/>
  <c r="H710" i="3"/>
  <c r="I710" i="3"/>
  <c r="AA706" i="3"/>
  <c r="AB705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A709" i="3"/>
  <c r="AB708" i="3"/>
  <c r="AB609" i="3"/>
  <c r="AA610" i="3"/>
  <c r="X629" i="3"/>
  <c r="H629" i="3"/>
  <c r="I629" i="3"/>
  <c r="AB624" i="3"/>
  <c r="AA625" i="3"/>
  <c r="X577" i="3"/>
  <c r="H577" i="3"/>
  <c r="I577" i="3"/>
  <c r="H376" i="3"/>
  <c r="I376" i="3"/>
  <c r="X376" i="3"/>
  <c r="X664" i="3"/>
  <c r="I664" i="3"/>
  <c r="H664" i="3"/>
  <c r="AA660" i="3"/>
  <c r="AB659" i="3"/>
  <c r="X651" i="3"/>
  <c r="I651" i="3"/>
  <c r="H651" i="3"/>
  <c r="AA647" i="3"/>
  <c r="AB646" i="3"/>
  <c r="X681" i="3"/>
  <c r="H681" i="3"/>
  <c r="I681" i="3"/>
  <c r="AB676" i="3"/>
  <c r="AA677" i="3"/>
  <c r="X617" i="3"/>
  <c r="H617" i="3"/>
  <c r="I617" i="3"/>
  <c r="AB612" i="3"/>
  <c r="AA613" i="3"/>
  <c r="AB588" i="3"/>
  <c r="AA589" i="3"/>
  <c r="X529" i="3"/>
  <c r="H529" i="3"/>
  <c r="I529" i="3"/>
  <c r="I473" i="3"/>
  <c r="H473" i="3"/>
  <c r="X473" i="3"/>
  <c r="X628" i="3"/>
  <c r="H628" i="3"/>
  <c r="I628" i="3"/>
  <c r="AA624" i="3"/>
  <c r="AB623" i="3"/>
  <c r="X573" i="3"/>
  <c r="H573" i="3"/>
  <c r="I573" i="3"/>
  <c r="X663" i="3"/>
  <c r="H663" i="3"/>
  <c r="I663" i="3"/>
  <c r="AB658" i="3"/>
  <c r="AA659" i="3"/>
  <c r="AB500" i="3"/>
  <c r="AA501" i="3"/>
  <c r="AB595" i="3"/>
  <c r="AA596" i="3"/>
  <c r="X536" i="3"/>
  <c r="I536" i="3"/>
  <c r="H536" i="3"/>
  <c r="AB531" i="3"/>
  <c r="AA532" i="3"/>
  <c r="X501" i="3"/>
  <c r="H501" i="3"/>
  <c r="I501" i="3"/>
  <c r="X571" i="3"/>
  <c r="I571" i="3"/>
  <c r="H571" i="3"/>
  <c r="AB566" i="3"/>
  <c r="AA567" i="3"/>
  <c r="X542" i="3"/>
  <c r="H542" i="3"/>
  <c r="I542" i="3"/>
  <c r="AA538" i="3"/>
  <c r="AB537" i="3"/>
  <c r="AB520" i="3"/>
  <c r="AA521" i="3"/>
  <c r="AB366" i="3"/>
  <c r="AA367" i="3"/>
  <c r="X548" i="3"/>
  <c r="H548" i="3"/>
  <c r="I548" i="3"/>
  <c r="AA544" i="3"/>
  <c r="AB543" i="3"/>
  <c r="X599" i="3"/>
  <c r="I599" i="3"/>
  <c r="H599" i="3"/>
  <c r="AA595" i="3"/>
  <c r="AB594" i="3"/>
  <c r="X535" i="3"/>
  <c r="H535" i="3"/>
  <c r="I535" i="3"/>
  <c r="AB530" i="3"/>
  <c r="AA531" i="3"/>
  <c r="X497" i="3"/>
  <c r="H497" i="3"/>
  <c r="I497" i="3"/>
  <c r="X546" i="3"/>
  <c r="I546" i="3"/>
  <c r="H546" i="3"/>
  <c r="AB541" i="3"/>
  <c r="AA542" i="3"/>
  <c r="AB511" i="3"/>
  <c r="AA512" i="3"/>
  <c r="X452" i="3"/>
  <c r="H452" i="3"/>
  <c r="I452" i="3"/>
  <c r="AA448" i="3"/>
  <c r="AB447" i="3"/>
  <c r="AB522" i="3"/>
  <c r="AA523" i="3"/>
  <c r="H463" i="3"/>
  <c r="X463" i="3"/>
  <c r="I463" i="3"/>
  <c r="AB458" i="3"/>
  <c r="AA459" i="3"/>
  <c r="AB395" i="3"/>
  <c r="AA396" i="3"/>
  <c r="X474" i="3"/>
  <c r="I474" i="3"/>
  <c r="H474" i="3"/>
  <c r="AA470" i="3"/>
  <c r="AB469" i="3"/>
  <c r="AB439" i="3"/>
  <c r="AA440" i="3"/>
  <c r="I380" i="3"/>
  <c r="H380" i="3"/>
  <c r="X380" i="3"/>
  <c r="AA340" i="3"/>
  <c r="AB339" i="3"/>
  <c r="I480" i="3"/>
  <c r="X480" i="3"/>
  <c r="H480" i="3"/>
  <c r="AB475" i="3"/>
  <c r="AA476" i="3"/>
  <c r="X404" i="3"/>
  <c r="I404" i="3"/>
  <c r="H404" i="3"/>
  <c r="AB243" i="3"/>
  <c r="AA244" i="3"/>
  <c r="I491" i="3"/>
  <c r="H491" i="3"/>
  <c r="X491" i="3"/>
  <c r="AB486" i="3"/>
  <c r="AA487" i="3"/>
  <c r="X296" i="3"/>
  <c r="I296" i="3"/>
  <c r="H296" i="3"/>
  <c r="X502" i="3"/>
  <c r="H502" i="3"/>
  <c r="I502" i="3"/>
  <c r="AA498" i="3"/>
  <c r="AB497" i="3"/>
  <c r="H435" i="3"/>
  <c r="X435" i="3"/>
  <c r="I435" i="3"/>
  <c r="AA431" i="3"/>
  <c r="AB430" i="3"/>
  <c r="H371" i="3"/>
  <c r="X371" i="3"/>
  <c r="I371" i="3"/>
  <c r="AA304" i="3"/>
  <c r="AB303" i="3"/>
  <c r="I446" i="3"/>
  <c r="X446" i="3"/>
  <c r="H446" i="3"/>
  <c r="AA442" i="3"/>
  <c r="AB441" i="3"/>
  <c r="H382" i="3"/>
  <c r="X382" i="3"/>
  <c r="I382" i="3"/>
  <c r="AA378" i="3"/>
  <c r="AB377" i="3"/>
  <c r="AB347" i="3"/>
  <c r="AA348" i="3"/>
  <c r="H393" i="3"/>
  <c r="I393" i="3"/>
  <c r="X393" i="3"/>
  <c r="AB388" i="3"/>
  <c r="AC388" i="3" s="1"/>
  <c r="AA389" i="3"/>
  <c r="H368" i="3"/>
  <c r="I368" i="3"/>
  <c r="X368" i="3"/>
  <c r="X332" i="3"/>
  <c r="H332" i="3"/>
  <c r="I332" i="3"/>
  <c r="I399" i="3"/>
  <c r="H399" i="3"/>
  <c r="X399" i="3"/>
  <c r="AB394" i="3"/>
  <c r="AA395" i="3"/>
  <c r="I356" i="3"/>
  <c r="H356" i="3"/>
  <c r="X356" i="3"/>
  <c r="I410" i="3"/>
  <c r="X410" i="3"/>
  <c r="H410" i="3"/>
  <c r="AB405" i="3"/>
  <c r="AA406" i="3"/>
  <c r="I397" i="3"/>
  <c r="X397" i="3"/>
  <c r="H397" i="3"/>
  <c r="AB392" i="3"/>
  <c r="AA393" i="3"/>
  <c r="H348" i="3"/>
  <c r="X348" i="3"/>
  <c r="I348" i="3"/>
  <c r="H347" i="3"/>
  <c r="I347" i="3"/>
  <c r="X347" i="3"/>
  <c r="AA343" i="3"/>
  <c r="AB342" i="3"/>
  <c r="H358" i="3"/>
  <c r="I358" i="3"/>
  <c r="X358" i="3"/>
  <c r="AB353" i="3"/>
  <c r="AA354" i="3"/>
  <c r="X294" i="3"/>
  <c r="I294" i="3"/>
  <c r="H294" i="3"/>
  <c r="I345" i="3"/>
  <c r="H345" i="3"/>
  <c r="X345" i="3"/>
  <c r="AB340" i="3"/>
  <c r="AA341" i="3"/>
  <c r="I351" i="3"/>
  <c r="H351" i="3"/>
  <c r="X351" i="3"/>
  <c r="AA347" i="3"/>
  <c r="AB346" i="3"/>
  <c r="X291" i="3"/>
  <c r="H291" i="3"/>
  <c r="I291" i="3"/>
  <c r="X362" i="3"/>
  <c r="I362" i="3"/>
  <c r="H362" i="3"/>
  <c r="AB357" i="3"/>
  <c r="AA358" i="3"/>
  <c r="H298" i="3"/>
  <c r="X298" i="3"/>
  <c r="I298" i="3"/>
  <c r="H349" i="3"/>
  <c r="X349" i="3"/>
  <c r="I349" i="3"/>
  <c r="AB344" i="3"/>
  <c r="AA345" i="3"/>
  <c r="H259" i="3"/>
  <c r="I259" i="3"/>
  <c r="X259" i="3"/>
  <c r="AA255" i="3"/>
  <c r="AB254" i="3"/>
  <c r="I168" i="3"/>
  <c r="H168" i="3"/>
  <c r="X168" i="3"/>
  <c r="I286" i="3"/>
  <c r="H286" i="3"/>
  <c r="X286" i="3"/>
  <c r="AA282" i="3"/>
  <c r="AB281" i="3"/>
  <c r="I222" i="3"/>
  <c r="X222" i="3"/>
  <c r="H222" i="3"/>
  <c r="AA218" i="3"/>
  <c r="AB217" i="3"/>
  <c r="X241" i="3"/>
  <c r="H241" i="3"/>
  <c r="I241" i="3"/>
  <c r="AB236" i="3"/>
  <c r="AA237" i="3"/>
  <c r="H247" i="3"/>
  <c r="X247" i="3"/>
  <c r="I247" i="3"/>
  <c r="AA243" i="3"/>
  <c r="AB242" i="3"/>
  <c r="AB179" i="3"/>
  <c r="AA180" i="3"/>
  <c r="H258" i="3"/>
  <c r="I258" i="3"/>
  <c r="X258" i="3"/>
  <c r="AB253" i="3"/>
  <c r="AA254" i="3"/>
  <c r="H164" i="3"/>
  <c r="X164" i="3"/>
  <c r="I164" i="3"/>
  <c r="X269" i="3"/>
  <c r="I269" i="3"/>
  <c r="H269" i="3"/>
  <c r="AB264" i="3"/>
  <c r="AA265" i="3"/>
  <c r="AB202" i="3"/>
  <c r="AA203" i="3"/>
  <c r="H183" i="3"/>
  <c r="X183" i="3"/>
  <c r="I183" i="3"/>
  <c r="AB178" i="3"/>
  <c r="AA179" i="3"/>
  <c r="AB123" i="3"/>
  <c r="AA124" i="3"/>
  <c r="H202" i="3"/>
  <c r="I202" i="3"/>
  <c r="X202" i="3"/>
  <c r="AB197" i="3"/>
  <c r="AA198" i="3"/>
  <c r="X140" i="3"/>
  <c r="I140" i="3"/>
  <c r="H140" i="3"/>
  <c r="H171" i="3"/>
  <c r="X171" i="3"/>
  <c r="I171" i="3"/>
  <c r="AA167" i="3"/>
  <c r="AB166" i="3"/>
  <c r="I206" i="3"/>
  <c r="H206" i="3"/>
  <c r="X206" i="3"/>
  <c r="AA202" i="3"/>
  <c r="AB201" i="3"/>
  <c r="I177" i="3"/>
  <c r="X177" i="3"/>
  <c r="H177" i="3"/>
  <c r="AB172" i="3"/>
  <c r="AA173" i="3"/>
  <c r="X135" i="3"/>
  <c r="H135" i="3"/>
  <c r="I135" i="3"/>
  <c r="AA131" i="3"/>
  <c r="AB130" i="3"/>
  <c r="H138" i="3"/>
  <c r="I138" i="3"/>
  <c r="X138" i="3"/>
  <c r="AA134" i="3"/>
  <c r="AB133" i="3"/>
  <c r="I139" i="3"/>
  <c r="X139" i="3"/>
  <c r="H139" i="3"/>
  <c r="AA135" i="3"/>
  <c r="AB134" i="3"/>
  <c r="AB118" i="3"/>
  <c r="AA119" i="3"/>
  <c r="AA34" i="3"/>
  <c r="AB33" i="3"/>
  <c r="X158" i="3"/>
  <c r="I158" i="3"/>
  <c r="H158" i="3"/>
  <c r="AA154" i="3"/>
  <c r="AB153" i="3"/>
  <c r="X107" i="3"/>
  <c r="H107" i="3"/>
  <c r="I107" i="3"/>
  <c r="H137" i="3"/>
  <c r="X137" i="3"/>
  <c r="I137" i="3"/>
  <c r="AA133" i="3"/>
  <c r="AB132" i="3"/>
  <c r="AB105" i="3"/>
  <c r="AA106" i="3"/>
  <c r="I59" i="3"/>
  <c r="X59" i="3"/>
  <c r="H59" i="3"/>
  <c r="H54" i="3"/>
  <c r="I54" i="3"/>
  <c r="X54" i="3"/>
  <c r="AB24" i="3"/>
  <c r="AA25" i="3"/>
  <c r="AB8" i="3"/>
  <c r="AA9" i="3"/>
  <c r="X117" i="3"/>
  <c r="H117" i="3"/>
  <c r="I117" i="3"/>
  <c r="AA113" i="3"/>
  <c r="AB112" i="3"/>
  <c r="X120" i="3"/>
  <c r="H120" i="3"/>
  <c r="I120" i="3"/>
  <c r="AB115" i="3"/>
  <c r="AA116" i="3"/>
  <c r="I72" i="3"/>
  <c r="X72" i="3"/>
  <c r="H72" i="3"/>
  <c r="AB67" i="3"/>
  <c r="AA68" i="3"/>
  <c r="H70" i="3"/>
  <c r="X70" i="3"/>
  <c r="I70" i="3"/>
  <c r="AB65" i="3"/>
  <c r="AA66" i="3"/>
  <c r="H73" i="3"/>
  <c r="X73" i="3"/>
  <c r="I73" i="3"/>
  <c r="AB68" i="3"/>
  <c r="AA69" i="3"/>
  <c r="AB9" i="3"/>
  <c r="AA10" i="3"/>
  <c r="I76" i="3"/>
  <c r="X76" i="3"/>
  <c r="H76" i="3"/>
  <c r="AB71" i="3"/>
  <c r="AA72" i="3"/>
  <c r="AB15" i="3"/>
  <c r="AA16" i="3"/>
  <c r="H79" i="3"/>
  <c r="X79" i="3"/>
  <c r="I79" i="3"/>
  <c r="AA75" i="3"/>
  <c r="AB74" i="3"/>
  <c r="I21" i="3"/>
  <c r="H21" i="3"/>
  <c r="X21" i="3"/>
  <c r="H82" i="3"/>
  <c r="X82" i="3"/>
  <c r="I82" i="3"/>
  <c r="AB77" i="3"/>
  <c r="AA78" i="3"/>
  <c r="AB27" i="3"/>
  <c r="AA28" i="3"/>
  <c r="I15" i="3"/>
  <c r="H15" i="3"/>
  <c r="X15" i="3"/>
  <c r="AA11" i="3"/>
  <c r="AB10" i="3"/>
  <c r="X18" i="3"/>
  <c r="H18" i="3"/>
  <c r="I18" i="3"/>
  <c r="AB13" i="3"/>
  <c r="AA14" i="3"/>
  <c r="X11" i="3"/>
  <c r="H11" i="3"/>
  <c r="I11" i="3"/>
  <c r="I9" i="3"/>
  <c r="X9" i="3"/>
  <c r="H9" i="3"/>
  <c r="AB955" i="3"/>
  <c r="AA956" i="3"/>
  <c r="AA968" i="3"/>
  <c r="AB967" i="3"/>
  <c r="X952" i="3"/>
  <c r="H952" i="3"/>
  <c r="I952" i="3"/>
  <c r="X1000" i="3"/>
  <c r="I1000" i="3"/>
  <c r="H1000" i="3"/>
  <c r="X959" i="3"/>
  <c r="I959" i="3"/>
  <c r="H959" i="3"/>
  <c r="AB954" i="3"/>
  <c r="AA955" i="3"/>
  <c r="X895" i="3"/>
  <c r="I895" i="3"/>
  <c r="H895" i="3"/>
  <c r="AB890" i="3"/>
  <c r="AA891" i="3"/>
  <c r="AB711" i="3"/>
  <c r="AA712" i="3"/>
  <c r="X946" i="3"/>
  <c r="H946" i="3"/>
  <c r="I946" i="3"/>
  <c r="AB941" i="3"/>
  <c r="AA942" i="3"/>
  <c r="X882" i="3"/>
  <c r="H882" i="3"/>
  <c r="I882" i="3"/>
  <c r="AB877" i="3"/>
  <c r="AA878" i="3"/>
  <c r="X856" i="3"/>
  <c r="H856" i="3"/>
  <c r="I856" i="3"/>
  <c r="AB669" i="3"/>
  <c r="AA670" i="3"/>
  <c r="X949" i="3"/>
  <c r="H949" i="3"/>
  <c r="I949" i="3"/>
  <c r="AA945" i="3"/>
  <c r="AB944" i="3"/>
  <c r="X885" i="3"/>
  <c r="I885" i="3"/>
  <c r="H885" i="3"/>
  <c r="AB880" i="3"/>
  <c r="AA881" i="3"/>
  <c r="AA780" i="3"/>
  <c r="AB779" i="3"/>
  <c r="X752" i="3"/>
  <c r="I752" i="3"/>
  <c r="H752" i="3"/>
  <c r="AB907" i="3"/>
  <c r="AA908" i="3"/>
  <c r="X947" i="3"/>
  <c r="I947" i="3"/>
  <c r="H947" i="3"/>
  <c r="AB942" i="3"/>
  <c r="AA943" i="3"/>
  <c r="X883" i="3"/>
  <c r="I883" i="3"/>
  <c r="H883" i="3"/>
  <c r="AB878" i="3"/>
  <c r="AA879" i="3"/>
  <c r="X860" i="3"/>
  <c r="H860" i="3"/>
  <c r="I860" i="3"/>
  <c r="X998" i="3"/>
  <c r="H998" i="3"/>
  <c r="I998" i="3"/>
  <c r="AB993" i="3"/>
  <c r="AA994" i="3"/>
  <c r="X934" i="3"/>
  <c r="I934" i="3"/>
  <c r="H934" i="3"/>
  <c r="AB929" i="3"/>
  <c r="AA930" i="3"/>
  <c r="X870" i="3"/>
  <c r="I870" i="3"/>
  <c r="H870" i="3"/>
  <c r="AB865" i="3"/>
  <c r="AA866" i="3"/>
  <c r="X808" i="3"/>
  <c r="H808" i="3"/>
  <c r="I808" i="3"/>
  <c r="X985" i="3"/>
  <c r="H985" i="3"/>
  <c r="I985" i="3"/>
  <c r="AB980" i="3"/>
  <c r="AA981" i="3"/>
  <c r="X921" i="3"/>
  <c r="H921" i="3"/>
  <c r="I921" i="3"/>
  <c r="AB916" i="3"/>
  <c r="AA917" i="3"/>
  <c r="AA816" i="3"/>
  <c r="AB815" i="3"/>
  <c r="X756" i="3"/>
  <c r="H756" i="3"/>
  <c r="I756" i="3"/>
  <c r="X768" i="3"/>
  <c r="I768" i="3"/>
  <c r="H768" i="3"/>
  <c r="X823" i="3"/>
  <c r="H823" i="3"/>
  <c r="I823" i="3"/>
  <c r="AB818" i="3"/>
  <c r="AA819" i="3"/>
  <c r="X759" i="3"/>
  <c r="H759" i="3"/>
  <c r="I759" i="3"/>
  <c r="AA755" i="3"/>
  <c r="AB754" i="3"/>
  <c r="X695" i="3"/>
  <c r="H695" i="3"/>
  <c r="I695" i="3"/>
  <c r="AA691" i="3"/>
  <c r="AB690" i="3"/>
  <c r="X826" i="3"/>
  <c r="H826" i="3"/>
  <c r="I826" i="3"/>
  <c r="AB821" i="3"/>
  <c r="AA822" i="3"/>
  <c r="X762" i="3"/>
  <c r="H762" i="3"/>
  <c r="I762" i="3"/>
  <c r="AA758" i="3"/>
  <c r="AB757" i="3"/>
  <c r="X698" i="3"/>
  <c r="H698" i="3"/>
  <c r="I698" i="3"/>
  <c r="AB693" i="3"/>
  <c r="AA694" i="3"/>
  <c r="X837" i="3"/>
  <c r="I837" i="3"/>
  <c r="H837" i="3"/>
  <c r="AA833" i="3"/>
  <c r="AB832" i="3"/>
  <c r="X773" i="3"/>
  <c r="H773" i="3"/>
  <c r="I773" i="3"/>
  <c r="AA769" i="3"/>
  <c r="AB768" i="3"/>
  <c r="X709" i="3"/>
  <c r="H709" i="3"/>
  <c r="I709" i="3"/>
  <c r="AB704" i="3"/>
  <c r="AA705" i="3"/>
  <c r="X610" i="3"/>
  <c r="I610" i="3"/>
  <c r="H610" i="3"/>
  <c r="AA561" i="3"/>
  <c r="AB560" i="3"/>
  <c r="X859" i="3"/>
  <c r="H859" i="3"/>
  <c r="I859" i="3"/>
  <c r="AB854" i="3"/>
  <c r="AA855" i="3"/>
  <c r="X795" i="3"/>
  <c r="H795" i="3"/>
  <c r="I795" i="3"/>
  <c r="AB790" i="3"/>
  <c r="AA791" i="3"/>
  <c r="X731" i="3"/>
  <c r="H731" i="3"/>
  <c r="I731" i="3"/>
  <c r="AB726" i="3"/>
  <c r="AA727" i="3"/>
  <c r="X622" i="3"/>
  <c r="I622" i="3"/>
  <c r="H622" i="3"/>
  <c r="X862" i="3"/>
  <c r="H862" i="3"/>
  <c r="I862" i="3"/>
  <c r="AB857" i="3"/>
  <c r="AA858" i="3"/>
  <c r="X798" i="3"/>
  <c r="I798" i="3"/>
  <c r="H798" i="3"/>
  <c r="AA794" i="3"/>
  <c r="AB793" i="3"/>
  <c r="X734" i="3"/>
  <c r="I734" i="3"/>
  <c r="H734" i="3"/>
  <c r="AB729" i="3"/>
  <c r="AA730" i="3"/>
  <c r="X634" i="3"/>
  <c r="I634" i="3"/>
  <c r="H634" i="3"/>
  <c r="AB860" i="3"/>
  <c r="AA861" i="3"/>
  <c r="X801" i="3"/>
  <c r="H801" i="3"/>
  <c r="I801" i="3"/>
  <c r="AB796" i="3"/>
  <c r="AC796" i="3" s="1"/>
  <c r="AA797" i="3"/>
  <c r="X737" i="3"/>
  <c r="H737" i="3"/>
  <c r="I737" i="3"/>
  <c r="AB732" i="3"/>
  <c r="AA733" i="3"/>
  <c r="X646" i="3"/>
  <c r="I646" i="3"/>
  <c r="H646" i="3"/>
  <c r="X626" i="3"/>
  <c r="H626" i="3"/>
  <c r="I626" i="3"/>
  <c r="X653" i="3"/>
  <c r="H653" i="3"/>
  <c r="I653" i="3"/>
  <c r="AB648" i="3"/>
  <c r="AA649" i="3"/>
  <c r="AC649" i="3" s="1"/>
  <c r="AA684" i="3"/>
  <c r="AB683" i="3"/>
  <c r="X624" i="3"/>
  <c r="I624" i="3"/>
  <c r="H624" i="3"/>
  <c r="AB619" i="3"/>
  <c r="AA620" i="3"/>
  <c r="X557" i="3"/>
  <c r="H557" i="3"/>
  <c r="I557" i="3"/>
  <c r="AB371" i="3"/>
  <c r="AC371" i="3" s="1"/>
  <c r="AA372" i="3"/>
  <c r="X675" i="3"/>
  <c r="H675" i="3"/>
  <c r="I675" i="3"/>
  <c r="AA671" i="3"/>
  <c r="AB670" i="3"/>
  <c r="X611" i="3"/>
  <c r="I611" i="3"/>
  <c r="H611" i="3"/>
  <c r="AA607" i="3"/>
  <c r="AB606" i="3"/>
  <c r="AB564" i="3"/>
  <c r="AA565" i="3"/>
  <c r="X641" i="3"/>
  <c r="H641" i="3"/>
  <c r="I641" i="3"/>
  <c r="AB636" i="3"/>
  <c r="AA637" i="3"/>
  <c r="X652" i="3"/>
  <c r="I652" i="3"/>
  <c r="H652" i="3"/>
  <c r="AB647" i="3"/>
  <c r="AA648" i="3"/>
  <c r="AB682" i="3"/>
  <c r="AA683" i="3"/>
  <c r="X623" i="3"/>
  <c r="I623" i="3"/>
  <c r="H623" i="3"/>
  <c r="AB618" i="3"/>
  <c r="AA619" i="3"/>
  <c r="X553" i="3"/>
  <c r="I553" i="3"/>
  <c r="H553" i="3"/>
  <c r="X560" i="3"/>
  <c r="I560" i="3"/>
  <c r="H560" i="3"/>
  <c r="AA556" i="3"/>
  <c r="AB555" i="3"/>
  <c r="AB419" i="3"/>
  <c r="AA420" i="3"/>
  <c r="X595" i="3"/>
  <c r="I595" i="3"/>
  <c r="H595" i="3"/>
  <c r="AA591" i="3"/>
  <c r="AB590" i="3"/>
  <c r="X531" i="3"/>
  <c r="H531" i="3"/>
  <c r="I531" i="3"/>
  <c r="AB526" i="3"/>
  <c r="AA527" i="3"/>
  <c r="X481" i="3"/>
  <c r="H481" i="3"/>
  <c r="I481" i="3"/>
  <c r="X566" i="3"/>
  <c r="H566" i="3"/>
  <c r="I566" i="3"/>
  <c r="AB561" i="3"/>
  <c r="AC561" i="3" s="1"/>
  <c r="AA562" i="3"/>
  <c r="I328" i="3"/>
  <c r="H328" i="3"/>
  <c r="X328" i="3"/>
  <c r="X572" i="3"/>
  <c r="I572" i="3"/>
  <c r="H572" i="3"/>
  <c r="AB567" i="3"/>
  <c r="AC567" i="3" s="1"/>
  <c r="AA568" i="3"/>
  <c r="AA449" i="3"/>
  <c r="AB448" i="3"/>
  <c r="X559" i="3"/>
  <c r="I559" i="3"/>
  <c r="H559" i="3"/>
  <c r="AA555" i="3"/>
  <c r="AB554" i="3"/>
  <c r="AB403" i="3"/>
  <c r="AA404" i="3"/>
  <c r="X570" i="3"/>
  <c r="I570" i="3"/>
  <c r="H570" i="3"/>
  <c r="AA566" i="3"/>
  <c r="AB565" i="3"/>
  <c r="X517" i="3"/>
  <c r="H517" i="3"/>
  <c r="I517" i="3"/>
  <c r="X476" i="3"/>
  <c r="I476" i="3"/>
  <c r="H476" i="3"/>
  <c r="AB471" i="3"/>
  <c r="AA472" i="3"/>
  <c r="X388" i="3"/>
  <c r="H388" i="3"/>
  <c r="I388" i="3"/>
  <c r="H487" i="3"/>
  <c r="I487" i="3"/>
  <c r="X487" i="3"/>
  <c r="AB482" i="3"/>
  <c r="AA483" i="3"/>
  <c r="X432" i="3"/>
  <c r="I432" i="3"/>
  <c r="H432" i="3"/>
  <c r="X498" i="3"/>
  <c r="I498" i="3"/>
  <c r="H498" i="3"/>
  <c r="AA494" i="3"/>
  <c r="AB493" i="3"/>
  <c r="X504" i="3"/>
  <c r="I504" i="3"/>
  <c r="H504" i="3"/>
  <c r="AA500" i="3"/>
  <c r="AB499" i="3"/>
  <c r="AC499" i="3" s="1"/>
  <c r="X515" i="3"/>
  <c r="I515" i="3"/>
  <c r="H515" i="3"/>
  <c r="AA511" i="3"/>
  <c r="AB510" i="3"/>
  <c r="AC510" i="3" s="1"/>
  <c r="H451" i="3"/>
  <c r="I451" i="3"/>
  <c r="X451" i="3"/>
  <c r="AB521" i="3"/>
  <c r="AA522" i="3"/>
  <c r="I462" i="3"/>
  <c r="H462" i="3"/>
  <c r="X462" i="3"/>
  <c r="AA458" i="3"/>
  <c r="AB457" i="3"/>
  <c r="AB391" i="3"/>
  <c r="AA392" i="3"/>
  <c r="X395" i="3"/>
  <c r="H395" i="3"/>
  <c r="I395" i="3"/>
  <c r="AB390" i="3"/>
  <c r="AA391" i="3"/>
  <c r="H340" i="3"/>
  <c r="X340" i="3"/>
  <c r="I340" i="3"/>
  <c r="X406" i="3"/>
  <c r="H406" i="3"/>
  <c r="I406" i="3"/>
  <c r="AB401" i="3"/>
  <c r="AA402" i="3"/>
  <c r="AA276" i="3"/>
  <c r="AB275" i="3"/>
  <c r="H417" i="3"/>
  <c r="I417" i="3"/>
  <c r="X417" i="3"/>
  <c r="AB412" i="3"/>
  <c r="AA413" i="3"/>
  <c r="H423" i="3"/>
  <c r="I423" i="3"/>
  <c r="X423" i="3"/>
  <c r="AB418" i="3"/>
  <c r="AA419" i="3"/>
  <c r="X232" i="3"/>
  <c r="H232" i="3"/>
  <c r="I232" i="3"/>
  <c r="X434" i="3"/>
  <c r="H434" i="3"/>
  <c r="I434" i="3"/>
  <c r="AB429" i="3"/>
  <c r="AA430" i="3"/>
  <c r="I370" i="3"/>
  <c r="H370" i="3"/>
  <c r="X370" i="3"/>
  <c r="AA300" i="3"/>
  <c r="AB299" i="3"/>
  <c r="H421" i="3"/>
  <c r="X421" i="3"/>
  <c r="I421" i="3"/>
  <c r="AB416" i="3"/>
  <c r="AA417" i="3"/>
  <c r="I188" i="3"/>
  <c r="X188" i="3"/>
  <c r="H188" i="3"/>
  <c r="H307" i="3"/>
  <c r="I307" i="3"/>
  <c r="X307" i="3"/>
  <c r="AA303" i="3"/>
  <c r="AB302" i="3"/>
  <c r="AB223" i="3"/>
  <c r="AA224" i="3"/>
  <c r="H318" i="3"/>
  <c r="X318" i="3"/>
  <c r="I318" i="3"/>
  <c r="AA314" i="3"/>
  <c r="AB313" i="3"/>
  <c r="AB267" i="3"/>
  <c r="AA268" i="3"/>
  <c r="H208" i="3"/>
  <c r="X208" i="3"/>
  <c r="I208" i="3"/>
  <c r="AA365" i="3"/>
  <c r="AB364" i="3"/>
  <c r="H305" i="3"/>
  <c r="X305" i="3"/>
  <c r="I305" i="3"/>
  <c r="AA301" i="3"/>
  <c r="AB300" i="3"/>
  <c r="AA216" i="3"/>
  <c r="AB215" i="3"/>
  <c r="I311" i="3"/>
  <c r="H311" i="3"/>
  <c r="X311" i="3"/>
  <c r="AA307" i="3"/>
  <c r="AB306" i="3"/>
  <c r="AB239" i="3"/>
  <c r="AA240" i="3"/>
  <c r="H322" i="3"/>
  <c r="I322" i="3"/>
  <c r="X322" i="3"/>
  <c r="AB317" i="3"/>
  <c r="AA318" i="3"/>
  <c r="H292" i="3"/>
  <c r="I292" i="3"/>
  <c r="X292" i="3"/>
  <c r="I224" i="3"/>
  <c r="X224" i="3"/>
  <c r="H224" i="3"/>
  <c r="AB368" i="3"/>
  <c r="AC368" i="3" s="1"/>
  <c r="AA369" i="3"/>
  <c r="H309" i="3"/>
  <c r="X309" i="3"/>
  <c r="I309" i="3"/>
  <c r="AB304" i="3"/>
  <c r="AA305" i="3"/>
  <c r="AB286" i="3"/>
  <c r="AA287" i="3"/>
  <c r="AA232" i="3"/>
  <c r="AB231" i="3"/>
  <c r="H148" i="3"/>
  <c r="I148" i="3"/>
  <c r="X148" i="3"/>
  <c r="AB278" i="3"/>
  <c r="AA279" i="3"/>
  <c r="X219" i="3"/>
  <c r="H219" i="3"/>
  <c r="I219" i="3"/>
  <c r="AA215" i="3"/>
  <c r="AB214" i="3"/>
  <c r="I246" i="3"/>
  <c r="X246" i="3"/>
  <c r="H246" i="3"/>
  <c r="AB241" i="3"/>
  <c r="AA242" i="3"/>
  <c r="AA176" i="3"/>
  <c r="AB175" i="3"/>
  <c r="X265" i="3"/>
  <c r="H265" i="3"/>
  <c r="I265" i="3"/>
  <c r="AB260" i="3"/>
  <c r="AA261" i="3"/>
  <c r="I192" i="3"/>
  <c r="H192" i="3"/>
  <c r="X192" i="3"/>
  <c r="H271" i="3"/>
  <c r="I271" i="3"/>
  <c r="X271" i="3"/>
  <c r="AA267" i="3"/>
  <c r="AB266" i="3"/>
  <c r="H282" i="3"/>
  <c r="X282" i="3"/>
  <c r="I282" i="3"/>
  <c r="AA278" i="3"/>
  <c r="AB277" i="3"/>
  <c r="H218" i="3"/>
  <c r="X218" i="3"/>
  <c r="I218" i="3"/>
  <c r="AA214" i="3"/>
  <c r="AB213" i="3"/>
  <c r="H293" i="3"/>
  <c r="X293" i="3"/>
  <c r="I293" i="3"/>
  <c r="AA289" i="3"/>
  <c r="AB288" i="3"/>
  <c r="I229" i="3"/>
  <c r="X229" i="3"/>
  <c r="H229" i="3"/>
  <c r="AA225" i="3"/>
  <c r="AB224" i="3"/>
  <c r="I162" i="3"/>
  <c r="X162" i="3"/>
  <c r="H162" i="3"/>
  <c r="X165" i="3"/>
  <c r="H165" i="3"/>
  <c r="I165" i="3"/>
  <c r="AB159" i="3"/>
  <c r="AA160" i="3"/>
  <c r="X195" i="3"/>
  <c r="H195" i="3"/>
  <c r="I195" i="3"/>
  <c r="AA191" i="3"/>
  <c r="AB190" i="3"/>
  <c r="H160" i="3"/>
  <c r="X160" i="3"/>
  <c r="I160" i="3"/>
  <c r="I151" i="3"/>
  <c r="X151" i="3"/>
  <c r="H151" i="3"/>
  <c r="AB102" i="3"/>
  <c r="AA103" i="3"/>
  <c r="H166" i="3"/>
  <c r="I166" i="3"/>
  <c r="X166" i="3"/>
  <c r="AB152" i="3"/>
  <c r="AA153" i="3"/>
  <c r="X108" i="3"/>
  <c r="H108" i="3"/>
  <c r="I108" i="3"/>
  <c r="H201" i="3"/>
  <c r="X201" i="3"/>
  <c r="I201" i="3"/>
  <c r="AB196" i="3"/>
  <c r="AA197" i="3"/>
  <c r="H136" i="3"/>
  <c r="I136" i="3"/>
  <c r="X136" i="3"/>
  <c r="H115" i="3"/>
  <c r="I115" i="3"/>
  <c r="X115" i="3"/>
  <c r="H125" i="3"/>
  <c r="X125" i="3"/>
  <c r="I125" i="3"/>
  <c r="I110" i="3"/>
  <c r="H110" i="3"/>
  <c r="X110" i="3"/>
  <c r="I95" i="3"/>
  <c r="X95" i="3"/>
  <c r="H95" i="3"/>
  <c r="AB158" i="3"/>
  <c r="AA159" i="3"/>
  <c r="I161" i="3"/>
  <c r="X161" i="3"/>
  <c r="H161" i="3"/>
  <c r="AA157" i="3"/>
  <c r="AB156" i="3"/>
  <c r="AB113" i="3"/>
  <c r="AA114" i="3"/>
  <c r="I89" i="3"/>
  <c r="X89" i="3"/>
  <c r="H89" i="3"/>
  <c r="AB49" i="3"/>
  <c r="AA50" i="3"/>
  <c r="I100" i="3"/>
  <c r="X100" i="3"/>
  <c r="H100" i="3"/>
  <c r="AB95" i="3"/>
  <c r="AC95" i="3" s="1"/>
  <c r="AA96" i="3"/>
  <c r="I98" i="3"/>
  <c r="X98" i="3"/>
  <c r="H98" i="3"/>
  <c r="AB93" i="3"/>
  <c r="AA94" i="3"/>
  <c r="AA71" i="3"/>
  <c r="AB70" i="3"/>
  <c r="AB56" i="3"/>
  <c r="AA57" i="3"/>
  <c r="AB55" i="3"/>
  <c r="AA56" i="3"/>
  <c r="AB51" i="3"/>
  <c r="AC51" i="3" s="1"/>
  <c r="AA52" i="3"/>
  <c r="AB57" i="3"/>
  <c r="AA58" i="3"/>
  <c r="X16" i="3"/>
  <c r="H16" i="3"/>
  <c r="I16" i="3"/>
  <c r="H39" i="3"/>
  <c r="I39" i="3"/>
  <c r="X39" i="3"/>
  <c r="AB34" i="3"/>
  <c r="AA35" i="3"/>
  <c r="H42" i="3"/>
  <c r="X42" i="3"/>
  <c r="I42" i="3"/>
  <c r="AB37" i="3"/>
  <c r="AA38" i="3"/>
  <c r="X35" i="3"/>
  <c r="H35" i="3"/>
  <c r="I35" i="3"/>
  <c r="AB30" i="3"/>
  <c r="AC30" i="3" s="1"/>
  <c r="AA31" i="3"/>
  <c r="X33" i="3"/>
  <c r="H33" i="3"/>
  <c r="I33" i="3"/>
  <c r="AB28" i="3"/>
  <c r="AA29" i="3"/>
  <c r="X924" i="3"/>
  <c r="I924" i="3"/>
  <c r="H924" i="3"/>
  <c r="AB994" i="3"/>
  <c r="AA995" i="3"/>
  <c r="X935" i="3"/>
  <c r="I935" i="3"/>
  <c r="H935" i="3"/>
  <c r="AB981" i="3"/>
  <c r="AA982" i="3"/>
  <c r="AA918" i="3"/>
  <c r="AB917" i="3"/>
  <c r="AB984" i="3"/>
  <c r="AA985" i="3"/>
  <c r="AB920" i="3"/>
  <c r="AA921" i="3"/>
  <c r="AA832" i="3"/>
  <c r="AB831" i="3"/>
  <c r="X772" i="3"/>
  <c r="H772" i="3"/>
  <c r="I772" i="3"/>
  <c r="AB982" i="3"/>
  <c r="AA983" i="3"/>
  <c r="X923" i="3"/>
  <c r="H923" i="3"/>
  <c r="I923" i="3"/>
  <c r="X738" i="3"/>
  <c r="I738" i="3"/>
  <c r="H738" i="3"/>
  <c r="X919" i="3"/>
  <c r="H919" i="3"/>
  <c r="I919" i="3"/>
  <c r="AA808" i="3"/>
  <c r="AB807" i="3"/>
  <c r="AB965" i="3"/>
  <c r="AA966" i="3"/>
  <c r="AA902" i="3"/>
  <c r="AB901" i="3"/>
  <c r="AB755" i="3"/>
  <c r="AA756" i="3"/>
  <c r="X696" i="3"/>
  <c r="I696" i="3"/>
  <c r="H696" i="3"/>
  <c r="X908" i="3"/>
  <c r="I908" i="3"/>
  <c r="H908" i="3"/>
  <c r="X973" i="3"/>
  <c r="I973" i="3"/>
  <c r="H973" i="3"/>
  <c r="AB968" i="3"/>
  <c r="AA969" i="3"/>
  <c r="X909" i="3"/>
  <c r="H909" i="3"/>
  <c r="I909" i="3"/>
  <c r="AB904" i="3"/>
  <c r="AA905" i="3"/>
  <c r="X708" i="3"/>
  <c r="H708" i="3"/>
  <c r="I708" i="3"/>
  <c r="X816" i="3"/>
  <c r="H816" i="3"/>
  <c r="I816" i="3"/>
  <c r="X920" i="3"/>
  <c r="I920" i="3"/>
  <c r="H920" i="3"/>
  <c r="X971" i="3"/>
  <c r="H971" i="3"/>
  <c r="I971" i="3"/>
  <c r="AB966" i="3"/>
  <c r="AA967" i="3"/>
  <c r="X907" i="3"/>
  <c r="I907" i="3"/>
  <c r="H907" i="3"/>
  <c r="AA903" i="3"/>
  <c r="AB902" i="3"/>
  <c r="AB759" i="3"/>
  <c r="AA760" i="3"/>
  <c r="X700" i="3"/>
  <c r="I700" i="3"/>
  <c r="H700" i="3"/>
  <c r="X912" i="3"/>
  <c r="H912" i="3"/>
  <c r="I912" i="3"/>
  <c r="AA876" i="3"/>
  <c r="AB875" i="3"/>
  <c r="X958" i="3"/>
  <c r="I958" i="3"/>
  <c r="H958" i="3"/>
  <c r="AB953" i="3"/>
  <c r="AA954" i="3"/>
  <c r="X894" i="3"/>
  <c r="I894" i="3"/>
  <c r="H894" i="3"/>
  <c r="AA890" i="3"/>
  <c r="AB889" i="3"/>
  <c r="AA865" i="3"/>
  <c r="AB864" i="3"/>
  <c r="AA708" i="3"/>
  <c r="AB707" i="3"/>
  <c r="X945" i="3"/>
  <c r="I945" i="3"/>
  <c r="H945" i="3"/>
  <c r="AA941" i="3"/>
  <c r="AB940" i="3"/>
  <c r="X881" i="3"/>
  <c r="I881" i="3"/>
  <c r="H881" i="3"/>
  <c r="AA877" i="3"/>
  <c r="AB876" i="3"/>
  <c r="X852" i="3"/>
  <c r="H852" i="3"/>
  <c r="I852" i="3"/>
  <c r="AA654" i="3"/>
  <c r="AB653" i="3"/>
  <c r="AC653" i="3" s="1"/>
  <c r="AB827" i="3"/>
  <c r="AA828" i="3"/>
  <c r="X704" i="3"/>
  <c r="I704" i="3"/>
  <c r="H704" i="3"/>
  <c r="X847" i="3"/>
  <c r="I847" i="3"/>
  <c r="H847" i="3"/>
  <c r="AB842" i="3"/>
  <c r="AA843" i="3"/>
  <c r="X783" i="3"/>
  <c r="H783" i="3"/>
  <c r="I783" i="3"/>
  <c r="AA779" i="3"/>
  <c r="AB778" i="3"/>
  <c r="X719" i="3"/>
  <c r="H719" i="3"/>
  <c r="I719" i="3"/>
  <c r="AB714" i="3"/>
  <c r="AA715" i="3"/>
  <c r="AB633" i="3"/>
  <c r="AA634" i="3"/>
  <c r="X850" i="3"/>
  <c r="I850" i="3"/>
  <c r="H850" i="3"/>
  <c r="AB845" i="3"/>
  <c r="AA846" i="3"/>
  <c r="X786" i="3"/>
  <c r="I786" i="3"/>
  <c r="H786" i="3"/>
  <c r="AB781" i="3"/>
  <c r="AA782" i="3"/>
  <c r="X722" i="3"/>
  <c r="I722" i="3"/>
  <c r="H722" i="3"/>
  <c r="AA718" i="3"/>
  <c r="AB717" i="3"/>
  <c r="AA646" i="3"/>
  <c r="AB645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X630" i="3"/>
  <c r="H630" i="3"/>
  <c r="I630" i="3"/>
  <c r="X819" i="3"/>
  <c r="H819" i="3"/>
  <c r="I819" i="3"/>
  <c r="AA815" i="3"/>
  <c r="AB814" i="3"/>
  <c r="X755" i="3"/>
  <c r="I755" i="3"/>
  <c r="H755" i="3"/>
  <c r="AB750" i="3"/>
  <c r="AA751" i="3"/>
  <c r="X691" i="3"/>
  <c r="I691" i="3"/>
  <c r="H691" i="3"/>
  <c r="AA687" i="3"/>
  <c r="AB686" i="3"/>
  <c r="X822" i="3"/>
  <c r="I822" i="3"/>
  <c r="H822" i="3"/>
  <c r="AA818" i="3"/>
  <c r="AB817" i="3"/>
  <c r="X758" i="3"/>
  <c r="H758" i="3"/>
  <c r="I758" i="3"/>
  <c r="AA754" i="3"/>
  <c r="AB753" i="3"/>
  <c r="X694" i="3"/>
  <c r="H694" i="3"/>
  <c r="I694" i="3"/>
  <c r="AA690" i="3"/>
  <c r="AB689" i="3"/>
  <c r="X825" i="3"/>
  <c r="H825" i="3"/>
  <c r="I825" i="3"/>
  <c r="AB820" i="3"/>
  <c r="AA821" i="3"/>
  <c r="X761" i="3"/>
  <c r="H761" i="3"/>
  <c r="I761" i="3"/>
  <c r="AA757" i="3"/>
  <c r="AB756" i="3"/>
  <c r="X697" i="3"/>
  <c r="H697" i="3"/>
  <c r="I697" i="3"/>
  <c r="AA693" i="3"/>
  <c r="AB692" i="3"/>
  <c r="X677" i="3"/>
  <c r="H677" i="3"/>
  <c r="I677" i="3"/>
  <c r="AB672" i="3"/>
  <c r="AA673" i="3"/>
  <c r="X613" i="3"/>
  <c r="H613" i="3"/>
  <c r="I613" i="3"/>
  <c r="AB608" i="3"/>
  <c r="AA609" i="3"/>
  <c r="AA573" i="3"/>
  <c r="AB572" i="3"/>
  <c r="X648" i="3"/>
  <c r="H648" i="3"/>
  <c r="I648" i="3"/>
  <c r="AB643" i="3"/>
  <c r="AA644" i="3"/>
  <c r="X635" i="3"/>
  <c r="I635" i="3"/>
  <c r="H635" i="3"/>
  <c r="AB630" i="3"/>
  <c r="AA631" i="3"/>
  <c r="X665" i="3"/>
  <c r="H665" i="3"/>
  <c r="I665" i="3"/>
  <c r="AB660" i="3"/>
  <c r="AA661" i="3"/>
  <c r="X601" i="3"/>
  <c r="H601" i="3"/>
  <c r="I601" i="3"/>
  <c r="X676" i="3"/>
  <c r="I676" i="3"/>
  <c r="H676" i="3"/>
  <c r="AB671" i="3"/>
  <c r="AA672" i="3"/>
  <c r="X612" i="3"/>
  <c r="I612" i="3"/>
  <c r="H612" i="3"/>
  <c r="AB607" i="3"/>
  <c r="AA608" i="3"/>
  <c r="AB568" i="3"/>
  <c r="AA569" i="3"/>
  <c r="X647" i="3"/>
  <c r="I647" i="3"/>
  <c r="H647" i="3"/>
  <c r="AB642" i="3"/>
  <c r="AA643" i="3"/>
  <c r="X584" i="3"/>
  <c r="I584" i="3"/>
  <c r="H584" i="3"/>
  <c r="AB579" i="3"/>
  <c r="AA580" i="3"/>
  <c r="AA497" i="3"/>
  <c r="AB496" i="3"/>
  <c r="X555" i="3"/>
  <c r="H555" i="3"/>
  <c r="I555" i="3"/>
  <c r="AA551" i="3"/>
  <c r="AB550" i="3"/>
  <c r="X590" i="3"/>
  <c r="H590" i="3"/>
  <c r="I590" i="3"/>
  <c r="AB585" i="3"/>
  <c r="AA586" i="3"/>
  <c r="X526" i="3"/>
  <c r="H526" i="3"/>
  <c r="I526" i="3"/>
  <c r="H461" i="3"/>
  <c r="X461" i="3"/>
  <c r="I461" i="3"/>
  <c r="X596" i="3"/>
  <c r="H596" i="3"/>
  <c r="I596" i="3"/>
  <c r="AB591" i="3"/>
  <c r="AA592" i="3"/>
  <c r="X532" i="3"/>
  <c r="H532" i="3"/>
  <c r="I532" i="3"/>
  <c r="AB527" i="3"/>
  <c r="AA528" i="3"/>
  <c r="X485" i="3"/>
  <c r="I485" i="3"/>
  <c r="H485" i="3"/>
  <c r="X583" i="3"/>
  <c r="H583" i="3"/>
  <c r="I583" i="3"/>
  <c r="AB578" i="3"/>
  <c r="AA579" i="3"/>
  <c r="AB492" i="3"/>
  <c r="AA493" i="3"/>
  <c r="X594" i="3"/>
  <c r="I594" i="3"/>
  <c r="H594" i="3"/>
  <c r="AA590" i="3"/>
  <c r="AB589" i="3"/>
  <c r="X530" i="3"/>
  <c r="I530" i="3"/>
  <c r="H530" i="3"/>
  <c r="AA526" i="3"/>
  <c r="AB525" i="3"/>
  <c r="X477" i="3"/>
  <c r="I477" i="3"/>
  <c r="H477" i="3"/>
  <c r="X500" i="3"/>
  <c r="H500" i="3"/>
  <c r="I500" i="3"/>
  <c r="AA496" i="3"/>
  <c r="AB495" i="3"/>
  <c r="X511" i="3"/>
  <c r="H511" i="3"/>
  <c r="I511" i="3"/>
  <c r="AA507" i="3"/>
  <c r="AB506" i="3"/>
  <c r="I447" i="3"/>
  <c r="H447" i="3"/>
  <c r="X447" i="3"/>
  <c r="H458" i="3"/>
  <c r="I458" i="3"/>
  <c r="X458" i="3"/>
  <c r="AB453" i="3"/>
  <c r="AA454" i="3"/>
  <c r="AB375" i="3"/>
  <c r="AA376" i="3"/>
  <c r="AA524" i="3"/>
  <c r="AB523" i="3"/>
  <c r="I464" i="3"/>
  <c r="X464" i="3"/>
  <c r="H464" i="3"/>
  <c r="AB459" i="3"/>
  <c r="AA460" i="3"/>
  <c r="AA400" i="3"/>
  <c r="AB399" i="3"/>
  <c r="X475" i="3"/>
  <c r="H475" i="3"/>
  <c r="I475" i="3"/>
  <c r="AB470" i="3"/>
  <c r="AA471" i="3"/>
  <c r="AA444" i="3"/>
  <c r="AB443" i="3"/>
  <c r="X384" i="3"/>
  <c r="H384" i="3"/>
  <c r="I384" i="3"/>
  <c r="AB355" i="3"/>
  <c r="AA356" i="3"/>
  <c r="X486" i="3"/>
  <c r="I486" i="3"/>
  <c r="H486" i="3"/>
  <c r="AB481" i="3"/>
  <c r="AA482" i="3"/>
  <c r="I428" i="3"/>
  <c r="H428" i="3"/>
  <c r="X428" i="3"/>
  <c r="H419" i="3"/>
  <c r="I419" i="3"/>
  <c r="X419" i="3"/>
  <c r="AA415" i="3"/>
  <c r="AB414" i="3"/>
  <c r="I430" i="3"/>
  <c r="X430" i="3"/>
  <c r="H430" i="3"/>
  <c r="AA426" i="3"/>
  <c r="AB425" i="3"/>
  <c r="X441" i="3"/>
  <c r="I441" i="3"/>
  <c r="H441" i="3"/>
  <c r="AA437" i="3"/>
  <c r="AB436" i="3"/>
  <c r="H377" i="3"/>
  <c r="I377" i="3"/>
  <c r="X377" i="3"/>
  <c r="AB372" i="3"/>
  <c r="AA373" i="3"/>
  <c r="AB327" i="3"/>
  <c r="AA328" i="3"/>
  <c r="AB442" i="3"/>
  <c r="AA443" i="3"/>
  <c r="H383" i="3"/>
  <c r="X383" i="3"/>
  <c r="I383" i="3"/>
  <c r="AA379" i="3"/>
  <c r="AB378" i="3"/>
  <c r="AA352" i="3"/>
  <c r="AB351" i="3"/>
  <c r="AA292" i="3"/>
  <c r="AB291" i="3"/>
  <c r="H394" i="3"/>
  <c r="I394" i="3"/>
  <c r="X394" i="3"/>
  <c r="AB389" i="3"/>
  <c r="AA390" i="3"/>
  <c r="H336" i="3"/>
  <c r="I336" i="3"/>
  <c r="X336" i="3"/>
  <c r="H445" i="3"/>
  <c r="X445" i="3"/>
  <c r="I445" i="3"/>
  <c r="AA441" i="3"/>
  <c r="AB440" i="3"/>
  <c r="H381" i="3"/>
  <c r="I381" i="3"/>
  <c r="X381" i="3"/>
  <c r="AB376" i="3"/>
  <c r="AA377" i="3"/>
  <c r="AA344" i="3"/>
  <c r="AB343" i="3"/>
  <c r="I331" i="3"/>
  <c r="H331" i="3"/>
  <c r="X331" i="3"/>
  <c r="AB326" i="3"/>
  <c r="AA327" i="3"/>
  <c r="X260" i="3"/>
  <c r="I260" i="3"/>
  <c r="H260" i="3"/>
  <c r="X342" i="3"/>
  <c r="I342" i="3"/>
  <c r="H342" i="3"/>
  <c r="AA338" i="3"/>
  <c r="AB337" i="3"/>
  <c r="AA284" i="3"/>
  <c r="AB283" i="3"/>
  <c r="H329" i="3"/>
  <c r="X329" i="3"/>
  <c r="I329" i="3"/>
  <c r="AA325" i="3"/>
  <c r="AB324" i="3"/>
  <c r="H252" i="3"/>
  <c r="X252" i="3"/>
  <c r="I252" i="3"/>
  <c r="H335" i="3"/>
  <c r="X335" i="3"/>
  <c r="I335" i="3"/>
  <c r="AB330" i="3"/>
  <c r="AA331" i="3"/>
  <c r="I276" i="3"/>
  <c r="X276" i="3"/>
  <c r="H276" i="3"/>
  <c r="H346" i="3"/>
  <c r="I346" i="3"/>
  <c r="X346" i="3"/>
  <c r="AA342" i="3"/>
  <c r="AB341" i="3"/>
  <c r="X333" i="3"/>
  <c r="H333" i="3"/>
  <c r="I333" i="3"/>
  <c r="AB328" i="3"/>
  <c r="AA329" i="3"/>
  <c r="X268" i="3"/>
  <c r="H268" i="3"/>
  <c r="I268" i="3"/>
  <c r="H243" i="3"/>
  <c r="I243" i="3"/>
  <c r="X243" i="3"/>
  <c r="AA239" i="3"/>
  <c r="AB238" i="3"/>
  <c r="AB163" i="3"/>
  <c r="AA164" i="3"/>
  <c r="I270" i="3"/>
  <c r="H270" i="3"/>
  <c r="X270" i="3"/>
  <c r="AA266" i="3"/>
  <c r="AB265" i="3"/>
  <c r="X204" i="3"/>
  <c r="H204" i="3"/>
  <c r="I204" i="3"/>
  <c r="H225" i="3"/>
  <c r="I225" i="3"/>
  <c r="X225" i="3"/>
  <c r="AB220" i="3"/>
  <c r="AA221" i="3"/>
  <c r="AA291" i="3"/>
  <c r="AB290" i="3"/>
  <c r="X231" i="3"/>
  <c r="H231" i="3"/>
  <c r="I231" i="3"/>
  <c r="AB226" i="3"/>
  <c r="AA227" i="3"/>
  <c r="H242" i="3"/>
  <c r="I242" i="3"/>
  <c r="X242" i="3"/>
  <c r="AB237" i="3"/>
  <c r="AA238" i="3"/>
  <c r="AB207" i="3"/>
  <c r="AA208" i="3"/>
  <c r="X253" i="3"/>
  <c r="H253" i="3"/>
  <c r="I253" i="3"/>
  <c r="AA249" i="3"/>
  <c r="AB248" i="3"/>
  <c r="H167" i="3"/>
  <c r="I167" i="3"/>
  <c r="X167" i="3"/>
  <c r="AB162" i="3"/>
  <c r="AA163" i="3"/>
  <c r="AB154" i="3"/>
  <c r="AA155" i="3"/>
  <c r="X116" i="3"/>
  <c r="H116" i="3"/>
  <c r="I116" i="3"/>
  <c r="I186" i="3"/>
  <c r="H186" i="3"/>
  <c r="X186" i="3"/>
  <c r="AB181" i="3"/>
  <c r="AA182" i="3"/>
  <c r="AA136" i="3"/>
  <c r="AB135" i="3"/>
  <c r="I189" i="3"/>
  <c r="X189" i="3"/>
  <c r="H189" i="3"/>
  <c r="AB184" i="3"/>
  <c r="AA185" i="3"/>
  <c r="AA148" i="3"/>
  <c r="AB147" i="3"/>
  <c r="H190" i="3"/>
  <c r="X190" i="3"/>
  <c r="I190" i="3"/>
  <c r="AB185" i="3"/>
  <c r="AA186" i="3"/>
  <c r="H152" i="3"/>
  <c r="I152" i="3"/>
  <c r="X152" i="3"/>
  <c r="I122" i="3"/>
  <c r="X122" i="3"/>
  <c r="H122" i="3"/>
  <c r="I149" i="3"/>
  <c r="H149" i="3"/>
  <c r="X149" i="3"/>
  <c r="AB144" i="3"/>
  <c r="AA145" i="3"/>
  <c r="X38" i="3"/>
  <c r="H38" i="3"/>
  <c r="I38" i="3"/>
  <c r="H123" i="3"/>
  <c r="I123" i="3"/>
  <c r="X123" i="3"/>
  <c r="AA107" i="3"/>
  <c r="AB106" i="3"/>
  <c r="I87" i="3"/>
  <c r="X87" i="3"/>
  <c r="H87" i="3"/>
  <c r="I142" i="3"/>
  <c r="X142" i="3"/>
  <c r="H142" i="3"/>
  <c r="AB137" i="3"/>
  <c r="AA138" i="3"/>
  <c r="H94" i="3"/>
  <c r="X94" i="3"/>
  <c r="I94" i="3"/>
  <c r="AA90" i="3"/>
  <c r="AB89" i="3"/>
  <c r="AA85" i="3"/>
  <c r="AB84" i="3"/>
  <c r="H113" i="3"/>
  <c r="X113" i="3"/>
  <c r="I113" i="3"/>
  <c r="AB108" i="3"/>
  <c r="AA109" i="3"/>
  <c r="AA76" i="3"/>
  <c r="AB75" i="3"/>
  <c r="AB117" i="3"/>
  <c r="AA118" i="3"/>
  <c r="I81" i="3"/>
  <c r="X81" i="3"/>
  <c r="H81" i="3"/>
  <c r="I101" i="3"/>
  <c r="H101" i="3"/>
  <c r="X101" i="3"/>
  <c r="AB96" i="3"/>
  <c r="AA97" i="3"/>
  <c r="X104" i="3"/>
  <c r="I104" i="3"/>
  <c r="H104" i="3"/>
  <c r="AA100" i="3"/>
  <c r="AB99" i="3"/>
  <c r="I44" i="3"/>
  <c r="X44" i="3"/>
  <c r="H44" i="3"/>
  <c r="X40" i="3"/>
  <c r="H40" i="3"/>
  <c r="I40" i="3"/>
  <c r="X46" i="3"/>
  <c r="H46" i="3"/>
  <c r="I46" i="3"/>
  <c r="H60" i="3"/>
  <c r="I60" i="3"/>
  <c r="X60" i="3"/>
  <c r="I52" i="3"/>
  <c r="H52" i="3"/>
  <c r="X52" i="3"/>
  <c r="I63" i="3"/>
  <c r="X63" i="3"/>
  <c r="H63" i="3"/>
  <c r="AA49" i="3"/>
  <c r="AB48" i="3"/>
  <c r="X66" i="3"/>
  <c r="H66" i="3"/>
  <c r="I66" i="3"/>
  <c r="AB61" i="3"/>
  <c r="AA62" i="3"/>
  <c r="AA59" i="3"/>
  <c r="AB58" i="3"/>
  <c r="AA55" i="3"/>
  <c r="AB54" i="3"/>
  <c r="AC54" i="3" s="1"/>
  <c r="X57" i="3"/>
  <c r="I57" i="3"/>
  <c r="H57" i="3"/>
  <c r="AA53" i="3"/>
  <c r="AB52" i="3"/>
  <c r="AC52" i="3" s="1"/>
  <c r="X871" i="3"/>
  <c r="H871" i="3"/>
  <c r="I871" i="3"/>
  <c r="X906" i="3"/>
  <c r="H906" i="3"/>
  <c r="I906" i="3"/>
  <c r="AB947" i="3"/>
  <c r="AA948" i="3"/>
  <c r="X956" i="3"/>
  <c r="I956" i="3"/>
  <c r="H956" i="3"/>
  <c r="X936" i="3"/>
  <c r="I936" i="3"/>
  <c r="H936" i="3"/>
  <c r="X943" i="3"/>
  <c r="I943" i="3"/>
  <c r="H943" i="3"/>
  <c r="X879" i="3"/>
  <c r="H879" i="3"/>
  <c r="I879" i="3"/>
  <c r="AA875" i="3"/>
  <c r="AB874" i="3"/>
  <c r="X844" i="3"/>
  <c r="H844" i="3"/>
  <c r="I844" i="3"/>
  <c r="X994" i="3"/>
  <c r="I994" i="3"/>
  <c r="H994" i="3"/>
  <c r="AA926" i="3"/>
  <c r="AB925" i="3"/>
  <c r="X866" i="3"/>
  <c r="I866" i="3"/>
  <c r="H866" i="3"/>
  <c r="AB851" i="3"/>
  <c r="AA852" i="3"/>
  <c r="X792" i="3"/>
  <c r="I792" i="3"/>
  <c r="H792" i="3"/>
  <c r="X916" i="3"/>
  <c r="H916" i="3"/>
  <c r="I916" i="3"/>
  <c r="X997" i="3"/>
  <c r="I997" i="3"/>
  <c r="H997" i="3"/>
  <c r="AB992" i="3"/>
  <c r="AA993" i="3"/>
  <c r="X933" i="3"/>
  <c r="I933" i="3"/>
  <c r="H933" i="3"/>
  <c r="AB928" i="3"/>
  <c r="AA929" i="3"/>
  <c r="X869" i="3"/>
  <c r="I869" i="3"/>
  <c r="H869" i="3"/>
  <c r="AB863" i="3"/>
  <c r="AA864" i="3"/>
  <c r="X804" i="3"/>
  <c r="I804" i="3"/>
  <c r="H804" i="3"/>
  <c r="AB747" i="3"/>
  <c r="AA748" i="3"/>
  <c r="X688" i="3"/>
  <c r="I688" i="3"/>
  <c r="H688" i="3"/>
  <c r="X904" i="3"/>
  <c r="H904" i="3"/>
  <c r="I904" i="3"/>
  <c r="H995" i="3"/>
  <c r="X995" i="3"/>
  <c r="I995" i="3"/>
  <c r="AB990" i="3"/>
  <c r="AA991" i="3"/>
  <c r="X931" i="3"/>
  <c r="H931" i="3"/>
  <c r="I931" i="3"/>
  <c r="AB926" i="3"/>
  <c r="AA927" i="3"/>
  <c r="X867" i="3"/>
  <c r="I867" i="3"/>
  <c r="H867" i="3"/>
  <c r="AB855" i="3"/>
  <c r="AC855" i="3" s="1"/>
  <c r="AA856" i="3"/>
  <c r="X796" i="3"/>
  <c r="I796" i="3"/>
  <c r="H796" i="3"/>
  <c r="X896" i="3"/>
  <c r="I896" i="3"/>
  <c r="H896" i="3"/>
  <c r="X982" i="3"/>
  <c r="I982" i="3"/>
  <c r="H982" i="3"/>
  <c r="AB977" i="3"/>
  <c r="AA978" i="3"/>
  <c r="X918" i="3"/>
  <c r="H918" i="3"/>
  <c r="I918" i="3"/>
  <c r="AB913" i="3"/>
  <c r="AA914" i="3"/>
  <c r="AA804" i="3"/>
  <c r="AB803" i="3"/>
  <c r="X744" i="3"/>
  <c r="I744" i="3"/>
  <c r="H744" i="3"/>
  <c r="AB915" i="3"/>
  <c r="AA916" i="3"/>
  <c r="X969" i="3"/>
  <c r="H969" i="3"/>
  <c r="I969" i="3"/>
  <c r="AA965" i="3"/>
  <c r="AB964" i="3"/>
  <c r="X905" i="3"/>
  <c r="I905" i="3"/>
  <c r="H905" i="3"/>
  <c r="AB900" i="3"/>
  <c r="AA901" i="3"/>
  <c r="AA752" i="3"/>
  <c r="AB751" i="3"/>
  <c r="X692" i="3"/>
  <c r="H692" i="3"/>
  <c r="I692" i="3"/>
  <c r="AA888" i="3"/>
  <c r="AB887" i="3"/>
  <c r="X807" i="3"/>
  <c r="I807" i="3"/>
  <c r="H807" i="3"/>
  <c r="AA803" i="3"/>
  <c r="AB802" i="3"/>
  <c r="X743" i="3"/>
  <c r="H743" i="3"/>
  <c r="I743" i="3"/>
  <c r="AB738" i="3"/>
  <c r="AA739" i="3"/>
  <c r="X670" i="3"/>
  <c r="H670" i="3"/>
  <c r="I670" i="3"/>
  <c r="X810" i="3"/>
  <c r="H810" i="3"/>
  <c r="I810" i="3"/>
  <c r="AB805" i="3"/>
  <c r="AA806" i="3"/>
  <c r="X746" i="3"/>
  <c r="I746" i="3"/>
  <c r="H746" i="3"/>
  <c r="AA742" i="3"/>
  <c r="AB741" i="3"/>
  <c r="X533" i="3"/>
  <c r="H533" i="3"/>
  <c r="I533" i="3"/>
  <c r="X821" i="3"/>
  <c r="H821" i="3"/>
  <c r="I821" i="3"/>
  <c r="AA817" i="3"/>
  <c r="AB816" i="3"/>
  <c r="X757" i="3"/>
  <c r="H757" i="3"/>
  <c r="I757" i="3"/>
  <c r="AA753" i="3"/>
  <c r="AB752" i="3"/>
  <c r="X693" i="3"/>
  <c r="H693" i="3"/>
  <c r="I693" i="3"/>
  <c r="AA689" i="3"/>
  <c r="AC689" i="3" s="1"/>
  <c r="AB688" i="3"/>
  <c r="X683" i="3"/>
  <c r="H683" i="3"/>
  <c r="I683" i="3"/>
  <c r="AA606" i="3"/>
  <c r="AB605" i="3"/>
  <c r="X843" i="3"/>
  <c r="I843" i="3"/>
  <c r="H843" i="3"/>
  <c r="AB838" i="3"/>
  <c r="AA839" i="3"/>
  <c r="X779" i="3"/>
  <c r="I779" i="3"/>
  <c r="H779" i="3"/>
  <c r="AB774" i="3"/>
  <c r="AA775" i="3"/>
  <c r="X715" i="3"/>
  <c r="H715" i="3"/>
  <c r="I715" i="3"/>
  <c r="AA711" i="3"/>
  <c r="AB710" i="3"/>
  <c r="AB617" i="3"/>
  <c r="AA618" i="3"/>
  <c r="X846" i="3"/>
  <c r="H846" i="3"/>
  <c r="I846" i="3"/>
  <c r="AA842" i="3"/>
  <c r="AB841" i="3"/>
  <c r="X782" i="3"/>
  <c r="H782" i="3"/>
  <c r="I782" i="3"/>
  <c r="AA778" i="3"/>
  <c r="AB777" i="3"/>
  <c r="X718" i="3"/>
  <c r="I718" i="3"/>
  <c r="H718" i="3"/>
  <c r="AA714" i="3"/>
  <c r="AB713" i="3"/>
  <c r="AA630" i="3"/>
  <c r="AB629" i="3"/>
  <c r="X849" i="3"/>
  <c r="I849" i="3"/>
  <c r="H849" i="3"/>
  <c r="AA845" i="3"/>
  <c r="AB844" i="3"/>
  <c r="X785" i="3"/>
  <c r="H785" i="3"/>
  <c r="I785" i="3"/>
  <c r="AA781" i="3"/>
  <c r="AB780" i="3"/>
  <c r="X721" i="3"/>
  <c r="I721" i="3"/>
  <c r="H721" i="3"/>
  <c r="AA717" i="3"/>
  <c r="AB716" i="3"/>
  <c r="AC716" i="3" s="1"/>
  <c r="AA642" i="3"/>
  <c r="AB641" i="3"/>
  <c r="AB621" i="3"/>
  <c r="AA622" i="3"/>
  <c r="X637" i="3"/>
  <c r="H637" i="3"/>
  <c r="I637" i="3"/>
  <c r="AB632" i="3"/>
  <c r="AA633" i="3"/>
  <c r="X672" i="3"/>
  <c r="H672" i="3"/>
  <c r="I672" i="3"/>
  <c r="AB667" i="3"/>
  <c r="AA668" i="3"/>
  <c r="X608" i="3"/>
  <c r="I608" i="3"/>
  <c r="H608" i="3"/>
  <c r="AB603" i="3"/>
  <c r="AA604" i="3"/>
  <c r="AB552" i="3"/>
  <c r="AA553" i="3"/>
  <c r="X659" i="3"/>
  <c r="I659" i="3"/>
  <c r="H659" i="3"/>
  <c r="AB654" i="3"/>
  <c r="AA655" i="3"/>
  <c r="X625" i="3"/>
  <c r="I625" i="3"/>
  <c r="H625" i="3"/>
  <c r="AA621" i="3"/>
  <c r="AB620" i="3"/>
  <c r="AB600" i="3"/>
  <c r="AA601" i="3"/>
  <c r="X561" i="3"/>
  <c r="H561" i="3"/>
  <c r="I561" i="3"/>
  <c r="AB435" i="3"/>
  <c r="AA436" i="3"/>
  <c r="X636" i="3"/>
  <c r="I636" i="3"/>
  <c r="H636" i="3"/>
  <c r="AA632" i="3"/>
  <c r="AB631" i="3"/>
  <c r="X671" i="3"/>
  <c r="I671" i="3"/>
  <c r="H671" i="3"/>
  <c r="AA667" i="3"/>
  <c r="AB666" i="3"/>
  <c r="X607" i="3"/>
  <c r="I607" i="3"/>
  <c r="H607" i="3"/>
  <c r="AB602" i="3"/>
  <c r="AA603" i="3"/>
  <c r="AB548" i="3"/>
  <c r="AC548" i="3" s="1"/>
  <c r="AA549" i="3"/>
  <c r="X544" i="3"/>
  <c r="I544" i="3"/>
  <c r="H544" i="3"/>
  <c r="AA540" i="3"/>
  <c r="AB539" i="3"/>
  <c r="X524" i="3"/>
  <c r="I524" i="3"/>
  <c r="H524" i="3"/>
  <c r="X579" i="3"/>
  <c r="H579" i="3"/>
  <c r="I579" i="3"/>
  <c r="AA575" i="3"/>
  <c r="AB574" i="3"/>
  <c r="AA477" i="3"/>
  <c r="AB476" i="3"/>
  <c r="H408" i="3"/>
  <c r="X408" i="3"/>
  <c r="I408" i="3"/>
  <c r="X550" i="3"/>
  <c r="I550" i="3"/>
  <c r="H550" i="3"/>
  <c r="AA546" i="3"/>
  <c r="AB545" i="3"/>
  <c r="X556" i="3"/>
  <c r="I556" i="3"/>
  <c r="H556" i="3"/>
  <c r="AA552" i="3"/>
  <c r="AB551" i="3"/>
  <c r="X543" i="3"/>
  <c r="H543" i="3"/>
  <c r="I543" i="3"/>
  <c r="AA539" i="3"/>
  <c r="AB538" i="3"/>
  <c r="X522" i="3"/>
  <c r="H522" i="3"/>
  <c r="I522" i="3"/>
  <c r="X554" i="3"/>
  <c r="H554" i="3"/>
  <c r="I554" i="3"/>
  <c r="AA550" i="3"/>
  <c r="AB549" i="3"/>
  <c r="I460" i="3"/>
  <c r="H460" i="3"/>
  <c r="X460" i="3"/>
  <c r="AB455" i="3"/>
  <c r="AA456" i="3"/>
  <c r="AA384" i="3"/>
  <c r="AB383" i="3"/>
  <c r="H471" i="3"/>
  <c r="I471" i="3"/>
  <c r="X471" i="3"/>
  <c r="AB466" i="3"/>
  <c r="AA467" i="3"/>
  <c r="AB427" i="3"/>
  <c r="AA428" i="3"/>
  <c r="I482" i="3"/>
  <c r="X482" i="3"/>
  <c r="H482" i="3"/>
  <c r="AB477" i="3"/>
  <c r="AA478" i="3"/>
  <c r="H412" i="3"/>
  <c r="X412" i="3"/>
  <c r="I412" i="3"/>
  <c r="H488" i="3"/>
  <c r="I488" i="3"/>
  <c r="X488" i="3"/>
  <c r="AB483" i="3"/>
  <c r="AA484" i="3"/>
  <c r="I436" i="3"/>
  <c r="H436" i="3"/>
  <c r="X436" i="3"/>
  <c r="X499" i="3"/>
  <c r="H499" i="3"/>
  <c r="I499" i="3"/>
  <c r="AA495" i="3"/>
  <c r="AB494" i="3"/>
  <c r="AB183" i="3"/>
  <c r="AA184" i="3"/>
  <c r="X510" i="3"/>
  <c r="H510" i="3"/>
  <c r="I510" i="3"/>
  <c r="AB505" i="3"/>
  <c r="AC505" i="3" s="1"/>
  <c r="AA506" i="3"/>
  <c r="H443" i="3"/>
  <c r="I443" i="3"/>
  <c r="X443" i="3"/>
  <c r="AB438" i="3"/>
  <c r="AA439" i="3"/>
  <c r="X379" i="3"/>
  <c r="H379" i="3"/>
  <c r="I379" i="3"/>
  <c r="AA375" i="3"/>
  <c r="AB374" i="3"/>
  <c r="AA336" i="3"/>
  <c r="AB335" i="3"/>
  <c r="H390" i="3"/>
  <c r="X390" i="3"/>
  <c r="I390" i="3"/>
  <c r="AA386" i="3"/>
  <c r="AB385" i="3"/>
  <c r="H320" i="3"/>
  <c r="I320" i="3"/>
  <c r="X320" i="3"/>
  <c r="X401" i="3"/>
  <c r="I401" i="3"/>
  <c r="H401" i="3"/>
  <c r="AB396" i="3"/>
  <c r="AC396" i="3" s="1"/>
  <c r="AA397" i="3"/>
  <c r="H364" i="3"/>
  <c r="I364" i="3"/>
  <c r="X364" i="3"/>
  <c r="H407" i="3"/>
  <c r="I407" i="3"/>
  <c r="X407" i="3"/>
  <c r="AA403" i="3"/>
  <c r="AB402" i="3"/>
  <c r="X418" i="3"/>
  <c r="H418" i="3"/>
  <c r="I418" i="3"/>
  <c r="AA414" i="3"/>
  <c r="AB413" i="3"/>
  <c r="I405" i="3"/>
  <c r="H405" i="3"/>
  <c r="X405" i="3"/>
  <c r="AA401" i="3"/>
  <c r="AB400" i="3"/>
  <c r="AA260" i="3"/>
  <c r="AB259" i="3"/>
  <c r="I355" i="3"/>
  <c r="H355" i="3"/>
  <c r="X355" i="3"/>
  <c r="AA351" i="3"/>
  <c r="AB350" i="3"/>
  <c r="I366" i="3"/>
  <c r="H366" i="3"/>
  <c r="X366" i="3"/>
  <c r="AA362" i="3"/>
  <c r="AB361" i="3"/>
  <c r="I302" i="3"/>
  <c r="X302" i="3"/>
  <c r="H302" i="3"/>
  <c r="AB297" i="3"/>
  <c r="AA298" i="3"/>
  <c r="H353" i="3"/>
  <c r="I353" i="3"/>
  <c r="X353" i="3"/>
  <c r="AB348" i="3"/>
  <c r="AA349" i="3"/>
  <c r="I359" i="3"/>
  <c r="X359" i="3"/>
  <c r="H359" i="3"/>
  <c r="AB354" i="3"/>
  <c r="AA355" i="3"/>
  <c r="I295" i="3"/>
  <c r="H295" i="3"/>
  <c r="X295" i="3"/>
  <c r="AB167" i="3"/>
  <c r="AA168" i="3"/>
  <c r="AB365" i="3"/>
  <c r="AA366" i="3"/>
  <c r="H306" i="3"/>
  <c r="I306" i="3"/>
  <c r="X306" i="3"/>
  <c r="AB301" i="3"/>
  <c r="AA302" i="3"/>
  <c r="AB219" i="3"/>
  <c r="AA220" i="3"/>
  <c r="I357" i="3"/>
  <c r="X357" i="3"/>
  <c r="H357" i="3"/>
  <c r="AB352" i="3"/>
  <c r="AA353" i="3"/>
  <c r="I205" i="3"/>
  <c r="X205" i="3"/>
  <c r="H205" i="3"/>
  <c r="X267" i="3"/>
  <c r="I267" i="3"/>
  <c r="H267" i="3"/>
  <c r="AB262" i="3"/>
  <c r="AA263" i="3"/>
  <c r="AB160" i="3"/>
  <c r="AA161" i="3"/>
  <c r="AA290" i="3"/>
  <c r="AB289" i="3"/>
  <c r="X230" i="3"/>
  <c r="H230" i="3"/>
  <c r="I230" i="3"/>
  <c r="AB225" i="3"/>
  <c r="AA226" i="3"/>
  <c r="I249" i="3"/>
  <c r="H249" i="3"/>
  <c r="X249" i="3"/>
  <c r="AA245" i="3"/>
  <c r="AB244" i="3"/>
  <c r="AA188" i="3"/>
  <c r="AB187" i="3"/>
  <c r="H255" i="3"/>
  <c r="X255" i="3"/>
  <c r="I255" i="3"/>
  <c r="AA251" i="3"/>
  <c r="AB250" i="3"/>
  <c r="X266" i="3"/>
  <c r="I266" i="3"/>
  <c r="H266" i="3"/>
  <c r="AA262" i="3"/>
  <c r="AB261" i="3"/>
  <c r="H196" i="3"/>
  <c r="X196" i="3"/>
  <c r="I196" i="3"/>
  <c r="H277" i="3"/>
  <c r="I277" i="3"/>
  <c r="X277" i="3"/>
  <c r="AA273" i="3"/>
  <c r="AB272" i="3"/>
  <c r="X213" i="3"/>
  <c r="I213" i="3"/>
  <c r="H213" i="3"/>
  <c r="AB208" i="3"/>
  <c r="AA209" i="3"/>
  <c r="I191" i="3"/>
  <c r="H191" i="3"/>
  <c r="X191" i="3"/>
  <c r="AA187" i="3"/>
  <c r="AB186" i="3"/>
  <c r="AB111" i="3"/>
  <c r="AA112" i="3"/>
  <c r="AB205" i="3"/>
  <c r="AA206" i="3"/>
  <c r="X179" i="3"/>
  <c r="H179" i="3"/>
  <c r="I179" i="3"/>
  <c r="AA175" i="3"/>
  <c r="AB174" i="3"/>
  <c r="H91" i="3"/>
  <c r="I91" i="3"/>
  <c r="X91" i="3"/>
  <c r="H185" i="3"/>
  <c r="I185" i="3"/>
  <c r="X185" i="3"/>
  <c r="AB180" i="3"/>
  <c r="AA181" i="3"/>
  <c r="AB131" i="3"/>
  <c r="AC131" i="3" s="1"/>
  <c r="AA132" i="3"/>
  <c r="X143" i="3"/>
  <c r="H143" i="3"/>
  <c r="I143" i="3"/>
  <c r="AB138" i="3"/>
  <c r="AA139" i="3"/>
  <c r="H146" i="3"/>
  <c r="X146" i="3"/>
  <c r="I146" i="3"/>
  <c r="AB141" i="3"/>
  <c r="AA142" i="3"/>
  <c r="AB90" i="3"/>
  <c r="AA91" i="3"/>
  <c r="H147" i="3"/>
  <c r="I147" i="3"/>
  <c r="X147" i="3"/>
  <c r="AB142" i="3"/>
  <c r="AA143" i="3"/>
  <c r="AB161" i="3"/>
  <c r="AA162" i="3"/>
  <c r="X145" i="3"/>
  <c r="H145" i="3"/>
  <c r="I145" i="3"/>
  <c r="AB140" i="3"/>
  <c r="AA141" i="3"/>
  <c r="X45" i="3"/>
  <c r="H45" i="3"/>
  <c r="AB120" i="3"/>
  <c r="AA121" i="3"/>
  <c r="I77" i="3"/>
  <c r="X77" i="3"/>
  <c r="H77" i="3"/>
  <c r="H22" i="3"/>
  <c r="X22" i="3"/>
  <c r="I22" i="3"/>
  <c r="AA84" i="3"/>
  <c r="AB83" i="3"/>
  <c r="AB23" i="3"/>
  <c r="AA24" i="3"/>
  <c r="X78" i="3"/>
  <c r="H78" i="3"/>
  <c r="I78" i="3"/>
  <c r="AA74" i="3"/>
  <c r="AB73" i="3"/>
  <c r="AB19" i="3"/>
  <c r="AA20" i="3"/>
  <c r="AB25" i="3"/>
  <c r="AA26" i="3"/>
  <c r="X84" i="3"/>
  <c r="H84" i="3"/>
  <c r="I84" i="3"/>
  <c r="AB79" i="3"/>
  <c r="AA80" i="3"/>
  <c r="AA32" i="3"/>
  <c r="AB31" i="3"/>
  <c r="AA83" i="3"/>
  <c r="AB82" i="3"/>
  <c r="X37" i="3"/>
  <c r="H37" i="3"/>
  <c r="I37" i="3"/>
  <c r="AA44" i="3"/>
  <c r="AB43" i="3"/>
  <c r="H23" i="3"/>
  <c r="I23" i="3"/>
  <c r="X23" i="3"/>
  <c r="AB18" i="3"/>
  <c r="AA19" i="3"/>
  <c r="H26" i="3"/>
  <c r="X26" i="3"/>
  <c r="I26" i="3"/>
  <c r="AB21" i="3"/>
  <c r="AA22" i="3"/>
  <c r="I19" i="3"/>
  <c r="X19" i="3"/>
  <c r="H19" i="3"/>
  <c r="AA15" i="3"/>
  <c r="AB14" i="3"/>
  <c r="H17" i="3"/>
  <c r="X17" i="3"/>
  <c r="I17" i="3"/>
  <c r="AB12" i="3"/>
  <c r="AA13" i="3"/>
  <c r="AB983" i="3"/>
  <c r="AA984" i="3"/>
  <c r="AB991" i="3"/>
  <c r="AA992" i="3"/>
  <c r="AB978" i="3"/>
  <c r="AA979" i="3"/>
  <c r="X748" i="3"/>
  <c r="I748" i="3"/>
  <c r="H748" i="3"/>
  <c r="X944" i="3"/>
  <c r="I944" i="3"/>
  <c r="H944" i="3"/>
  <c r="AA996" i="3"/>
  <c r="AB995" i="3"/>
  <c r="AA990" i="3"/>
  <c r="AB989" i="3"/>
  <c r="X948" i="3"/>
  <c r="I948" i="3"/>
  <c r="H948" i="3"/>
  <c r="X884" i="3"/>
  <c r="H884" i="3"/>
  <c r="I884" i="3"/>
  <c r="AA764" i="3"/>
  <c r="AB763" i="3"/>
  <c r="X967" i="3"/>
  <c r="I967" i="3"/>
  <c r="H967" i="3"/>
  <c r="AB962" i="3"/>
  <c r="AA963" i="3"/>
  <c r="X903" i="3"/>
  <c r="H903" i="3"/>
  <c r="I903" i="3"/>
  <c r="AA899" i="3"/>
  <c r="AB898" i="3"/>
  <c r="AC898" i="3" s="1"/>
  <c r="AA744" i="3"/>
  <c r="AB743" i="3"/>
  <c r="X684" i="3"/>
  <c r="I684" i="3"/>
  <c r="H684" i="3"/>
  <c r="X954" i="3"/>
  <c r="I954" i="3"/>
  <c r="H954" i="3"/>
  <c r="AA950" i="3"/>
  <c r="AB949" i="3"/>
  <c r="X890" i="3"/>
  <c r="I890" i="3"/>
  <c r="H890" i="3"/>
  <c r="AA886" i="3"/>
  <c r="AB885" i="3"/>
  <c r="AB691" i="3"/>
  <c r="AA692" i="3"/>
  <c r="X957" i="3"/>
  <c r="I957" i="3"/>
  <c r="H957" i="3"/>
  <c r="AB952" i="3"/>
  <c r="AA953" i="3"/>
  <c r="X893" i="3"/>
  <c r="I893" i="3"/>
  <c r="H893" i="3"/>
  <c r="AB888" i="3"/>
  <c r="AA889" i="3"/>
  <c r="AB703" i="3"/>
  <c r="AA704" i="3"/>
  <c r="AB811" i="3"/>
  <c r="AA812" i="3"/>
  <c r="X955" i="3"/>
  <c r="I955" i="3"/>
  <c r="H955" i="3"/>
  <c r="AB950" i="3"/>
  <c r="AA951" i="3"/>
  <c r="X891" i="3"/>
  <c r="I891" i="3"/>
  <c r="H891" i="3"/>
  <c r="AB886" i="3"/>
  <c r="AA887" i="3"/>
  <c r="AB695" i="3"/>
  <c r="AA696" i="3"/>
  <c r="AB883" i="3"/>
  <c r="AA884" i="3"/>
  <c r="X872" i="3"/>
  <c r="H872" i="3"/>
  <c r="I872" i="3"/>
  <c r="X942" i="3"/>
  <c r="H942" i="3"/>
  <c r="I942" i="3"/>
  <c r="AB937" i="3"/>
  <c r="AA938" i="3"/>
  <c r="X878" i="3"/>
  <c r="H878" i="3"/>
  <c r="I878" i="3"/>
  <c r="AB873" i="3"/>
  <c r="AA874" i="3"/>
  <c r="X840" i="3"/>
  <c r="I840" i="3"/>
  <c r="H840" i="3"/>
  <c r="X993" i="3"/>
  <c r="I993" i="3"/>
  <c r="H993" i="3"/>
  <c r="AA989" i="3"/>
  <c r="AB988" i="3"/>
  <c r="X929" i="3"/>
  <c r="I929" i="3"/>
  <c r="H929" i="3"/>
  <c r="AA925" i="3"/>
  <c r="AB924" i="3"/>
  <c r="X865" i="3"/>
  <c r="I865" i="3"/>
  <c r="H865" i="3"/>
  <c r="AB847" i="3"/>
  <c r="AA848" i="3"/>
  <c r="X788" i="3"/>
  <c r="I788" i="3"/>
  <c r="H788" i="3"/>
  <c r="AB699" i="3"/>
  <c r="AA700" i="3"/>
  <c r="X831" i="3"/>
  <c r="H831" i="3"/>
  <c r="I831" i="3"/>
  <c r="AB826" i="3"/>
  <c r="AA827" i="3"/>
  <c r="X767" i="3"/>
  <c r="H767" i="3"/>
  <c r="I767" i="3"/>
  <c r="AB762" i="3"/>
  <c r="AA763" i="3"/>
  <c r="X703" i="3"/>
  <c r="I703" i="3"/>
  <c r="H703" i="3"/>
  <c r="AA699" i="3"/>
  <c r="AB698" i="3"/>
  <c r="X834" i="3"/>
  <c r="H834" i="3"/>
  <c r="I834" i="3"/>
  <c r="AA830" i="3"/>
  <c r="AB829" i="3"/>
  <c r="X770" i="3"/>
  <c r="H770" i="3"/>
  <c r="I770" i="3"/>
  <c r="AA766" i="3"/>
  <c r="AB765" i="3"/>
  <c r="X706" i="3"/>
  <c r="I706" i="3"/>
  <c r="H706" i="3"/>
  <c r="AB701" i="3"/>
  <c r="AA702" i="3"/>
  <c r="X845" i="3"/>
  <c r="H845" i="3"/>
  <c r="I845" i="3"/>
  <c r="AB840" i="3"/>
  <c r="AA841" i="3"/>
  <c r="X781" i="3"/>
  <c r="I781" i="3"/>
  <c r="H781" i="3"/>
  <c r="AB776" i="3"/>
  <c r="AA777" i="3"/>
  <c r="X717" i="3"/>
  <c r="I717" i="3"/>
  <c r="H717" i="3"/>
  <c r="AB712" i="3"/>
  <c r="AA713" i="3"/>
  <c r="AA626" i="3"/>
  <c r="AB625" i="3"/>
  <c r="X642" i="3"/>
  <c r="I642" i="3"/>
  <c r="H642" i="3"/>
  <c r="AB862" i="3"/>
  <c r="AA863" i="3"/>
  <c r="X803" i="3"/>
  <c r="H803" i="3"/>
  <c r="I803" i="3"/>
  <c r="AB798" i="3"/>
  <c r="AA799" i="3"/>
  <c r="X739" i="3"/>
  <c r="H739" i="3"/>
  <c r="I739" i="3"/>
  <c r="AB734" i="3"/>
  <c r="AA735" i="3"/>
  <c r="X654" i="3"/>
  <c r="I654" i="3"/>
  <c r="H654" i="3"/>
  <c r="X806" i="3"/>
  <c r="H806" i="3"/>
  <c r="I806" i="3"/>
  <c r="AA802" i="3"/>
  <c r="AB801" i="3"/>
  <c r="X742" i="3"/>
  <c r="I742" i="3"/>
  <c r="H742" i="3"/>
  <c r="AB737" i="3"/>
  <c r="AA738" i="3"/>
  <c r="X666" i="3"/>
  <c r="I666" i="3"/>
  <c r="H666" i="3"/>
  <c r="X809" i="3"/>
  <c r="I809" i="3"/>
  <c r="H809" i="3"/>
  <c r="AB804" i="3"/>
  <c r="AA805" i="3"/>
  <c r="X745" i="3"/>
  <c r="I745" i="3"/>
  <c r="H745" i="3"/>
  <c r="AA741" i="3"/>
  <c r="AB740" i="3"/>
  <c r="X678" i="3"/>
  <c r="H678" i="3"/>
  <c r="I678" i="3"/>
  <c r="X661" i="3"/>
  <c r="H661" i="3"/>
  <c r="I661" i="3"/>
  <c r="AB656" i="3"/>
  <c r="AA657" i="3"/>
  <c r="AB468" i="3"/>
  <c r="AA469" i="3"/>
  <c r="X632" i="3"/>
  <c r="I632" i="3"/>
  <c r="H632" i="3"/>
  <c r="AA628" i="3"/>
  <c r="AB627" i="3"/>
  <c r="X589" i="3"/>
  <c r="I589" i="3"/>
  <c r="H589" i="3"/>
  <c r="AA679" i="3"/>
  <c r="AB678" i="3"/>
  <c r="X619" i="3"/>
  <c r="H619" i="3"/>
  <c r="I619" i="3"/>
  <c r="AB614" i="3"/>
  <c r="AA615" i="3"/>
  <c r="AB596" i="3"/>
  <c r="AA597" i="3"/>
  <c r="X537" i="3"/>
  <c r="I537" i="3"/>
  <c r="H537" i="3"/>
  <c r="X505" i="3"/>
  <c r="H505" i="3"/>
  <c r="I505" i="3"/>
  <c r="X649" i="3"/>
  <c r="H649" i="3"/>
  <c r="I649" i="3"/>
  <c r="AB644" i="3"/>
  <c r="AA645" i="3"/>
  <c r="X660" i="3"/>
  <c r="H660" i="3"/>
  <c r="I660" i="3"/>
  <c r="AB655" i="3"/>
  <c r="AA656" i="3"/>
  <c r="AB452" i="3"/>
  <c r="AA453" i="3"/>
  <c r="X631" i="3"/>
  <c r="I631" i="3"/>
  <c r="H631" i="3"/>
  <c r="AB626" i="3"/>
  <c r="AA627" i="3"/>
  <c r="X585" i="3"/>
  <c r="I585" i="3"/>
  <c r="H585" i="3"/>
  <c r="X568" i="3"/>
  <c r="I568" i="3"/>
  <c r="H568" i="3"/>
  <c r="AB563" i="3"/>
  <c r="AA564" i="3"/>
  <c r="AB598" i="3"/>
  <c r="AA599" i="3"/>
  <c r="X539" i="3"/>
  <c r="H539" i="3"/>
  <c r="I539" i="3"/>
  <c r="AB534" i="3"/>
  <c r="AA535" i="3"/>
  <c r="X513" i="3"/>
  <c r="H513" i="3"/>
  <c r="I513" i="3"/>
  <c r="X574" i="3"/>
  <c r="H574" i="3"/>
  <c r="I574" i="3"/>
  <c r="AB569" i="3"/>
  <c r="AA570" i="3"/>
  <c r="AA457" i="3"/>
  <c r="AB456" i="3"/>
  <c r="X580" i="3"/>
  <c r="H580" i="3"/>
  <c r="I580" i="3"/>
  <c r="AB575" i="3"/>
  <c r="AA576" i="3"/>
  <c r="AA481" i="3"/>
  <c r="AB480" i="3"/>
  <c r="H424" i="3"/>
  <c r="I424" i="3"/>
  <c r="X424" i="3"/>
  <c r="H248" i="3"/>
  <c r="I248" i="3"/>
  <c r="X248" i="3"/>
  <c r="X567" i="3"/>
  <c r="I567" i="3"/>
  <c r="H567" i="3"/>
  <c r="AA563" i="3"/>
  <c r="AB562" i="3"/>
  <c r="X578" i="3"/>
  <c r="I578" i="3"/>
  <c r="H578" i="3"/>
  <c r="AA574" i="3"/>
  <c r="AB573" i="3"/>
  <c r="AA473" i="3"/>
  <c r="AB472" i="3"/>
  <c r="I392" i="3"/>
  <c r="H392" i="3"/>
  <c r="X392" i="3"/>
  <c r="X484" i="3"/>
  <c r="I484" i="3"/>
  <c r="H484" i="3"/>
  <c r="AB479" i="3"/>
  <c r="AA480" i="3"/>
  <c r="I420" i="3"/>
  <c r="H420" i="3"/>
  <c r="X420" i="3"/>
  <c r="H495" i="3"/>
  <c r="I495" i="3"/>
  <c r="X495" i="3"/>
  <c r="AB490" i="3"/>
  <c r="AA491" i="3"/>
  <c r="X360" i="3"/>
  <c r="I360" i="3"/>
  <c r="H360" i="3"/>
  <c r="I506" i="3"/>
  <c r="X506" i="3"/>
  <c r="H506" i="3"/>
  <c r="AB501" i="3"/>
  <c r="AA502" i="3"/>
  <c r="X512" i="3"/>
  <c r="I512" i="3"/>
  <c r="H512" i="3"/>
  <c r="AB507" i="3"/>
  <c r="AA508" i="3"/>
  <c r="X448" i="3"/>
  <c r="H448" i="3"/>
  <c r="I448" i="3"/>
  <c r="X523" i="3"/>
  <c r="I523" i="3"/>
  <c r="H523" i="3"/>
  <c r="AA519" i="3"/>
  <c r="AB518" i="3"/>
  <c r="I459" i="3"/>
  <c r="H459" i="3"/>
  <c r="X459" i="3"/>
  <c r="AB454" i="3"/>
  <c r="AA455" i="3"/>
  <c r="AA380" i="3"/>
  <c r="AB379" i="3"/>
  <c r="H470" i="3"/>
  <c r="I470" i="3"/>
  <c r="X470" i="3"/>
  <c r="AB465" i="3"/>
  <c r="AA466" i="3"/>
  <c r="AB423" i="3"/>
  <c r="AA424" i="3"/>
  <c r="I403" i="3"/>
  <c r="H403" i="3"/>
  <c r="X403" i="3"/>
  <c r="AA399" i="3"/>
  <c r="AB398" i="3"/>
  <c r="AB227" i="3"/>
  <c r="AA228" i="3"/>
  <c r="I414" i="3"/>
  <c r="H414" i="3"/>
  <c r="X414" i="3"/>
  <c r="AB409" i="3"/>
  <c r="AA410" i="3"/>
  <c r="I425" i="3"/>
  <c r="X425" i="3"/>
  <c r="H425" i="3"/>
  <c r="AA421" i="3"/>
  <c r="AB420" i="3"/>
  <c r="I264" i="3"/>
  <c r="X264" i="3"/>
  <c r="H264" i="3"/>
  <c r="H431" i="3"/>
  <c r="X431" i="3"/>
  <c r="I431" i="3"/>
  <c r="AB426" i="3"/>
  <c r="AA427" i="3"/>
  <c r="I197" i="3"/>
  <c r="H197" i="3"/>
  <c r="X197" i="3"/>
  <c r="X442" i="3"/>
  <c r="I442" i="3"/>
  <c r="H442" i="3"/>
  <c r="AB437" i="3"/>
  <c r="AA438" i="3"/>
  <c r="I378" i="3"/>
  <c r="H378" i="3"/>
  <c r="X378" i="3"/>
  <c r="AB373" i="3"/>
  <c r="AA374" i="3"/>
  <c r="AA332" i="3"/>
  <c r="AB331" i="3"/>
  <c r="X429" i="3"/>
  <c r="H429" i="3"/>
  <c r="I429" i="3"/>
  <c r="AA425" i="3"/>
  <c r="AB424" i="3"/>
  <c r="H315" i="3"/>
  <c r="X315" i="3"/>
  <c r="I315" i="3"/>
  <c r="AB310" i="3"/>
  <c r="AA311" i="3"/>
  <c r="AB255" i="3"/>
  <c r="AA256" i="3"/>
  <c r="H172" i="3"/>
  <c r="I172" i="3"/>
  <c r="X172" i="3"/>
  <c r="I326" i="3"/>
  <c r="H326" i="3"/>
  <c r="X326" i="3"/>
  <c r="AB321" i="3"/>
  <c r="AA322" i="3"/>
  <c r="I240" i="3"/>
  <c r="H240" i="3"/>
  <c r="X240" i="3"/>
  <c r="I313" i="3"/>
  <c r="H313" i="3"/>
  <c r="X313" i="3"/>
  <c r="AB308" i="3"/>
  <c r="AA309" i="3"/>
  <c r="AB247" i="3"/>
  <c r="AA248" i="3"/>
  <c r="H319" i="3"/>
  <c r="I319" i="3"/>
  <c r="X319" i="3"/>
  <c r="AB314" i="3"/>
  <c r="AA315" i="3"/>
  <c r="AB271" i="3"/>
  <c r="AA272" i="3"/>
  <c r="H212" i="3"/>
  <c r="X212" i="3"/>
  <c r="I212" i="3"/>
  <c r="H330" i="3"/>
  <c r="I330" i="3"/>
  <c r="X330" i="3"/>
  <c r="AB325" i="3"/>
  <c r="AA326" i="3"/>
  <c r="H256" i="3"/>
  <c r="X256" i="3"/>
  <c r="I256" i="3"/>
  <c r="X317" i="3"/>
  <c r="I317" i="3"/>
  <c r="H317" i="3"/>
  <c r="AA313" i="3"/>
  <c r="AB312" i="3"/>
  <c r="AA264" i="3"/>
  <c r="AB263" i="3"/>
  <c r="AA201" i="3"/>
  <c r="AB200" i="3"/>
  <c r="H227" i="3"/>
  <c r="I227" i="3"/>
  <c r="X227" i="3"/>
  <c r="AB222" i="3"/>
  <c r="AA223" i="3"/>
  <c r="X156" i="3"/>
  <c r="I156" i="3"/>
  <c r="H156" i="3"/>
  <c r="H254" i="3"/>
  <c r="I254" i="3"/>
  <c r="X254" i="3"/>
  <c r="AA250" i="3"/>
  <c r="AB249" i="3"/>
  <c r="X273" i="3"/>
  <c r="I273" i="3"/>
  <c r="H273" i="3"/>
  <c r="AA269" i="3"/>
  <c r="AB268" i="3"/>
  <c r="H209" i="3"/>
  <c r="I209" i="3"/>
  <c r="X209" i="3"/>
  <c r="H279" i="3"/>
  <c r="I279" i="3"/>
  <c r="X279" i="3"/>
  <c r="AA275" i="3"/>
  <c r="AB274" i="3"/>
  <c r="H215" i="3"/>
  <c r="I215" i="3"/>
  <c r="X215" i="3"/>
  <c r="AA211" i="3"/>
  <c r="AB210" i="3"/>
  <c r="AA128" i="3"/>
  <c r="AB127" i="3"/>
  <c r="H290" i="3"/>
  <c r="X290" i="3"/>
  <c r="I290" i="3"/>
  <c r="AB285" i="3"/>
  <c r="AA286" i="3"/>
  <c r="X226" i="3"/>
  <c r="H226" i="3"/>
  <c r="I226" i="3"/>
  <c r="AB221" i="3"/>
  <c r="AA222" i="3"/>
  <c r="I237" i="3"/>
  <c r="X237" i="3"/>
  <c r="H237" i="3"/>
  <c r="AA233" i="3"/>
  <c r="AB232" i="3"/>
  <c r="X207" i="3"/>
  <c r="I207" i="3"/>
  <c r="H207" i="3"/>
  <c r="AA158" i="3"/>
  <c r="AB157" i="3"/>
  <c r="H170" i="3"/>
  <c r="X170" i="3"/>
  <c r="I170" i="3"/>
  <c r="AA166" i="3"/>
  <c r="AB165" i="3"/>
  <c r="H173" i="3"/>
  <c r="I173" i="3"/>
  <c r="X173" i="3"/>
  <c r="AA169" i="3"/>
  <c r="AB168" i="3"/>
  <c r="H203" i="3"/>
  <c r="I203" i="3"/>
  <c r="X203" i="3"/>
  <c r="AA199" i="3"/>
  <c r="AB198" i="3"/>
  <c r="H157" i="3"/>
  <c r="I157" i="3"/>
  <c r="X157" i="3"/>
  <c r="H144" i="3"/>
  <c r="X144" i="3"/>
  <c r="I144" i="3"/>
  <c r="I174" i="3"/>
  <c r="X174" i="3"/>
  <c r="H174" i="3"/>
  <c r="AB169" i="3"/>
  <c r="AA170" i="3"/>
  <c r="AA79" i="3"/>
  <c r="AB78" i="3"/>
  <c r="AA205" i="3"/>
  <c r="AB204" i="3"/>
  <c r="H69" i="3"/>
  <c r="I69" i="3"/>
  <c r="X69" i="3"/>
  <c r="X133" i="3"/>
  <c r="H133" i="3"/>
  <c r="I133" i="3"/>
  <c r="AB128" i="3"/>
  <c r="AA129" i="3"/>
  <c r="X126" i="3"/>
  <c r="H126" i="3"/>
  <c r="I126" i="3"/>
  <c r="H121" i="3"/>
  <c r="I121" i="3"/>
  <c r="X121" i="3"/>
  <c r="X99" i="3"/>
  <c r="H99" i="3"/>
  <c r="I99" i="3"/>
  <c r="H119" i="3"/>
  <c r="I119" i="3"/>
  <c r="X119" i="3"/>
  <c r="AA41" i="3"/>
  <c r="AB40" i="3"/>
  <c r="X97" i="3"/>
  <c r="I97" i="3"/>
  <c r="H97" i="3"/>
  <c r="AB92" i="3"/>
  <c r="AA93" i="3"/>
  <c r="AB80" i="3"/>
  <c r="AA81" i="3"/>
  <c r="AB103" i="3"/>
  <c r="AA104" i="3"/>
  <c r="H106" i="3"/>
  <c r="X106" i="3"/>
  <c r="I106" i="3"/>
  <c r="AA102" i="3"/>
  <c r="AB101" i="3"/>
  <c r="I85" i="3"/>
  <c r="H85" i="3"/>
  <c r="X85" i="3"/>
  <c r="AB17" i="3"/>
  <c r="AA18" i="3"/>
  <c r="I88" i="3"/>
  <c r="X88" i="3"/>
  <c r="H88" i="3"/>
  <c r="H12" i="3"/>
  <c r="I12" i="3"/>
  <c r="X12" i="3"/>
  <c r="I8" i="3"/>
  <c r="H8" i="3"/>
  <c r="X8" i="3"/>
  <c r="X14" i="3"/>
  <c r="H14" i="3"/>
  <c r="I14" i="3"/>
  <c r="I20" i="3"/>
  <c r="H20" i="3"/>
  <c r="X20" i="3"/>
  <c r="AA17" i="3"/>
  <c r="AB16" i="3"/>
  <c r="X32" i="3"/>
  <c r="I32" i="3"/>
  <c r="H32" i="3"/>
  <c r="I47" i="3"/>
  <c r="X47" i="3"/>
  <c r="H47" i="3"/>
  <c r="AA43" i="3"/>
  <c r="AB42" i="3"/>
  <c r="H50" i="3"/>
  <c r="X50" i="3"/>
  <c r="I50" i="3"/>
  <c r="AA46" i="3"/>
  <c r="AB45" i="3"/>
  <c r="I43" i="3"/>
  <c r="X43" i="3"/>
  <c r="H43" i="3"/>
  <c r="AB38" i="3"/>
  <c r="AA39" i="3"/>
  <c r="X41" i="3"/>
  <c r="H41" i="3"/>
  <c r="I41" i="3"/>
  <c r="AB36" i="3"/>
  <c r="AA37" i="3"/>
  <c r="AC8" i="3" l="1"/>
  <c r="AC321" i="3"/>
  <c r="AC695" i="3"/>
  <c r="AC152" i="3"/>
  <c r="AC911" i="3"/>
  <c r="AC165" i="3"/>
  <c r="AC274" i="3"/>
  <c r="AC198" i="3"/>
  <c r="AC465" i="3"/>
  <c r="AC394" i="3"/>
  <c r="AC937" i="3"/>
  <c r="AC557" i="3"/>
  <c r="AC679" i="3"/>
  <c r="AC462" i="3"/>
  <c r="AC227" i="3"/>
  <c r="AC190" i="3"/>
  <c r="AC381" i="3"/>
  <c r="AC723" i="3"/>
  <c r="AC337" i="3"/>
  <c r="AC879" i="3"/>
  <c r="AC346" i="3"/>
  <c r="AC370" i="3"/>
  <c r="AC944" i="3"/>
  <c r="AC738" i="3"/>
  <c r="AC70" i="3"/>
  <c r="AC801" i="3"/>
  <c r="AC880" i="3"/>
  <c r="AC533" i="3"/>
  <c r="AC788" i="3"/>
  <c r="AC680" i="3"/>
  <c r="AC65" i="3"/>
  <c r="AC61" i="3"/>
  <c r="AC423" i="3"/>
  <c r="O3" i="3"/>
  <c r="R4" i="3"/>
  <c r="X4" i="3" s="1"/>
  <c r="M3" i="3"/>
  <c r="N3" i="3"/>
  <c r="F19" i="1" s="1"/>
  <c r="AC78" i="3"/>
  <c r="AC127" i="3"/>
  <c r="AC518" i="3"/>
  <c r="AC888" i="3"/>
  <c r="AC437" i="3"/>
  <c r="AC873" i="3"/>
  <c r="AC666" i="3"/>
  <c r="AC913" i="3"/>
  <c r="AC698" i="3"/>
  <c r="AC701" i="3"/>
  <c r="AC765" i="3"/>
  <c r="AC504" i="3"/>
  <c r="AC534" i="3"/>
  <c r="AC740" i="3"/>
  <c r="AC604" i="3"/>
  <c r="AC977" i="3"/>
  <c r="AC592" i="3"/>
  <c r="AC854" i="3"/>
  <c r="AC156" i="3"/>
  <c r="AC229" i="3"/>
  <c r="AC726" i="3"/>
  <c r="AC468" i="3"/>
  <c r="AC111" i="3"/>
  <c r="AC600" i="3"/>
  <c r="AC814" i="3"/>
  <c r="AC146" i="3"/>
  <c r="AC235" i="3"/>
  <c r="AC923" i="3"/>
  <c r="AC108" i="3"/>
  <c r="AC960" i="3"/>
  <c r="AC851" i="3"/>
  <c r="AC774" i="3"/>
  <c r="AC210" i="3"/>
  <c r="AC776" i="3"/>
  <c r="AC335" i="3"/>
  <c r="AC545" i="3"/>
  <c r="AC543" i="3"/>
  <c r="AC167" i="3"/>
  <c r="AC525" i="3"/>
  <c r="AC486" i="3"/>
  <c r="AC932" i="3"/>
  <c r="AC818" i="3"/>
  <c r="AC105" i="3"/>
  <c r="AC432" i="3"/>
  <c r="AC69" i="3"/>
  <c r="AC530" i="3"/>
  <c r="AC259" i="3"/>
  <c r="AC73" i="3"/>
  <c r="AC42" i="3"/>
  <c r="AC271" i="3"/>
  <c r="AC268" i="3"/>
  <c r="AC573" i="3"/>
  <c r="AC847" i="3"/>
  <c r="AC21" i="3"/>
  <c r="AC31" i="3"/>
  <c r="AC208" i="3"/>
  <c r="AC135" i="3"/>
  <c r="AC492" i="3"/>
  <c r="AC844" i="3"/>
  <c r="AC985" i="3"/>
  <c r="AC975" i="3"/>
  <c r="AC588" i="3"/>
  <c r="AC790" i="3"/>
  <c r="AC247" i="3"/>
  <c r="AC452" i="3"/>
  <c r="AC678" i="3"/>
  <c r="AC82" i="3"/>
  <c r="AC838" i="3"/>
  <c r="AC688" i="3"/>
  <c r="AC194" i="3"/>
  <c r="AC568" i="3"/>
  <c r="R18" i="1" a="1"/>
  <c r="AC569" i="3"/>
  <c r="AC614" i="3"/>
  <c r="AC96" i="3"/>
  <c r="AC755" i="3"/>
  <c r="AC28" i="3"/>
  <c r="AC429" i="3"/>
  <c r="AC907" i="3"/>
  <c r="AC581" i="3"/>
  <c r="AC625" i="3"/>
  <c r="AC261" i="3"/>
  <c r="AC299" i="3"/>
  <c r="AD18" i="1" a="1"/>
  <c r="AC551" i="3"/>
  <c r="AC780" i="3"/>
  <c r="AC806" i="3"/>
  <c r="AC372" i="3"/>
  <c r="AC178" i="3"/>
  <c r="AC804" i="3"/>
  <c r="AC140" i="3"/>
  <c r="AC361" i="3"/>
  <c r="AC623" i="3"/>
  <c r="AC232" i="3"/>
  <c r="AC420" i="3"/>
  <c r="AC383" i="3"/>
  <c r="AC144" i="3"/>
  <c r="AC442" i="3"/>
  <c r="AC527" i="3"/>
  <c r="AC607" i="3"/>
  <c r="AC920" i="3"/>
  <c r="AC196" i="3"/>
  <c r="AC663" i="3"/>
  <c r="AC103" i="3"/>
  <c r="AC330" i="3"/>
  <c r="AC575" i="3"/>
  <c r="AC476" i="3"/>
  <c r="AC710" i="3"/>
  <c r="AC440" i="3"/>
  <c r="AC413" i="3"/>
  <c r="AC735" i="3"/>
  <c r="AC924" i="3"/>
  <c r="AC400" i="3"/>
  <c r="AC523" i="3"/>
  <c r="AC820" i="3"/>
  <c r="AC147" i="3"/>
  <c r="AC16" i="3"/>
  <c r="AC562" i="3"/>
  <c r="AC827" i="3"/>
  <c r="AC467" i="3"/>
  <c r="AC306" i="3"/>
  <c r="AC253" i="3"/>
  <c r="AC36" i="3"/>
  <c r="AC204" i="3"/>
  <c r="AC348" i="3"/>
  <c r="AC641" i="3"/>
  <c r="AC376" i="3"/>
  <c r="AC807" i="3"/>
  <c r="AC831" i="3"/>
  <c r="AC115" i="3"/>
  <c r="AC405" i="3"/>
  <c r="AC475" i="3"/>
  <c r="AC464" i="3"/>
  <c r="AC49" i="3"/>
  <c r="AC921" i="3"/>
  <c r="AC364" i="3"/>
  <c r="AC658" i="3"/>
  <c r="AC379" i="3"/>
  <c r="AC14" i="3"/>
  <c r="AC578" i="3"/>
  <c r="AC277" i="3"/>
  <c r="AC537" i="3"/>
  <c r="AC958" i="3"/>
  <c r="AC154" i="3"/>
  <c r="AC90" i="3"/>
  <c r="AC435" i="3"/>
  <c r="AC845" i="3"/>
  <c r="AC964" i="3"/>
  <c r="AC99" i="3"/>
  <c r="A29" i="1" a="1"/>
  <c r="A36" i="1" s="1"/>
  <c r="AC312" i="3"/>
  <c r="AC373" i="3"/>
  <c r="AC301" i="3"/>
  <c r="AC402" i="3"/>
  <c r="AC980" i="3"/>
  <c r="AC583" i="3"/>
  <c r="AC883" i="3"/>
  <c r="AC207" i="3"/>
  <c r="AC660" i="3"/>
  <c r="AC775" i="3"/>
  <c r="AC48" i="3"/>
  <c r="AC447" i="3"/>
  <c r="M5" i="3"/>
  <c r="D56" i="1" s="1"/>
  <c r="AC891" i="3"/>
  <c r="AC445" i="3"/>
  <c r="AC536" i="3"/>
  <c r="L5" i="3"/>
  <c r="D67" i="1" s="1"/>
  <c r="AC168" i="3"/>
  <c r="AC120" i="3"/>
  <c r="AC947" i="3"/>
  <c r="AC669" i="3"/>
  <c r="AC339" i="3"/>
  <c r="AC823" i="3"/>
  <c r="AC332" i="3"/>
  <c r="AC308" i="3"/>
  <c r="AC737" i="3"/>
  <c r="AC224" i="3"/>
  <c r="AC978" i="3"/>
  <c r="AC981" i="3"/>
  <c r="AC106" i="3"/>
  <c r="AC691" i="3"/>
  <c r="AC365" i="3"/>
  <c r="AC75" i="3"/>
  <c r="AC876" i="3"/>
  <c r="AC966" i="3"/>
  <c r="AC300" i="3"/>
  <c r="AC25" i="3"/>
  <c r="AC169" i="3"/>
  <c r="AC409" i="3"/>
  <c r="AC629" i="3"/>
  <c r="AC988" i="3"/>
  <c r="AC949" i="3"/>
  <c r="AC962" i="3"/>
  <c r="AC32" i="3"/>
  <c r="AC174" i="3"/>
  <c r="AC538" i="3"/>
  <c r="AC237" i="3"/>
  <c r="AC356" i="3"/>
  <c r="AC470" i="3"/>
  <c r="AC728" i="3"/>
  <c r="AC940" i="3"/>
  <c r="AC153" i="3"/>
  <c r="AC33" i="3"/>
  <c r="AC236" i="3"/>
  <c r="AC520" i="3"/>
  <c r="AC171" i="3"/>
  <c r="AC451" i="3"/>
  <c r="AC664" i="3"/>
  <c r="AC896" i="3"/>
  <c r="AC45" i="3"/>
  <c r="AC798" i="3"/>
  <c r="AC605" i="3"/>
  <c r="AC418" i="3"/>
  <c r="AC521" i="3"/>
  <c r="AC647" i="3"/>
  <c r="AC77" i="3"/>
  <c r="AC281" i="3"/>
  <c r="AC87" i="3"/>
  <c r="AC783" i="3"/>
  <c r="AC126" i="3"/>
  <c r="AC192" i="3"/>
  <c r="AC157" i="3"/>
  <c r="AC811" i="3"/>
  <c r="AC350" i="3"/>
  <c r="AC333" i="3"/>
  <c r="AC408" i="3"/>
  <c r="AC910" i="3"/>
  <c r="AC385" i="3"/>
  <c r="AC560" i="3"/>
  <c r="AC652" i="3"/>
  <c r="AC686" i="3"/>
  <c r="AC554" i="3"/>
  <c r="AC509" i="3"/>
  <c r="AC221" i="3"/>
  <c r="AC596" i="3"/>
  <c r="AC416" i="3"/>
  <c r="AC316" i="3"/>
  <c r="AC360" i="3"/>
  <c r="AC387" i="3"/>
  <c r="AC200" i="3"/>
  <c r="AC180" i="3"/>
  <c r="AC186" i="3"/>
  <c r="AC354" i="3"/>
  <c r="AC620" i="3"/>
  <c r="AC617" i="3"/>
  <c r="AC915" i="3"/>
  <c r="AC137" i="3"/>
  <c r="AC589" i="3"/>
  <c r="AC585" i="3"/>
  <c r="AC904" i="3"/>
  <c r="AC113" i="3"/>
  <c r="AC304" i="3"/>
  <c r="AC67" i="3"/>
  <c r="AC295" i="3"/>
  <c r="AC123" i="3"/>
  <c r="AC594" i="3"/>
  <c r="AC434" i="3"/>
  <c r="AC1000" i="3"/>
  <c r="AC283" i="3"/>
  <c r="AC572" i="3"/>
  <c r="AC750" i="3"/>
  <c r="AC843" i="3"/>
  <c r="AC759" i="3"/>
  <c r="AC942" i="3"/>
  <c r="AC217" i="3"/>
  <c r="AC340" i="3"/>
  <c r="AC512" i="3"/>
  <c r="AC293" i="3"/>
  <c r="AC297" i="3"/>
  <c r="AC751" i="3"/>
  <c r="AC398" i="3"/>
  <c r="AC829" i="3"/>
  <c r="AC826" i="3"/>
  <c r="AC704" i="3"/>
  <c r="AC952" i="3"/>
  <c r="AC12" i="3"/>
  <c r="AC225" i="3"/>
  <c r="AC540" i="3"/>
  <c r="AC926" i="3"/>
  <c r="AC707" i="3"/>
  <c r="AC902" i="3"/>
  <c r="AC98" i="3"/>
  <c r="AC257" i="3"/>
  <c r="AC89" i="3"/>
  <c r="AC92" i="3"/>
  <c r="AC285" i="3"/>
  <c r="AC183" i="3"/>
  <c r="AC490" i="3"/>
  <c r="AC479" i="3"/>
  <c r="AC995" i="3"/>
  <c r="AC142" i="3"/>
  <c r="AC444" i="3"/>
  <c r="AC591" i="3"/>
  <c r="AC56" i="3"/>
  <c r="AC727" i="3"/>
  <c r="AC320" i="3"/>
  <c r="AC515" i="3"/>
  <c r="AC252" i="3"/>
  <c r="AC255" i="3"/>
  <c r="AC244" i="3"/>
  <c r="AC900" i="3"/>
  <c r="AC928" i="3"/>
  <c r="AC341" i="3"/>
  <c r="AC324" i="3"/>
  <c r="AC459" i="3"/>
  <c r="AC288" i="3"/>
  <c r="AC682" i="3"/>
  <c r="AC768" i="3"/>
  <c r="AC27" i="3"/>
  <c r="AC357" i="3"/>
  <c r="AC836" i="3"/>
  <c r="AC88" i="3"/>
  <c r="AC212" i="3"/>
  <c r="AC331" i="3"/>
  <c r="AC38" i="3"/>
  <c r="AC983" i="3"/>
  <c r="AC343" i="3"/>
  <c r="AC389" i="3"/>
  <c r="AC378" i="3"/>
  <c r="AC448" i="3"/>
  <c r="AC784" i="3"/>
  <c r="AC507" i="3"/>
  <c r="AC138" i="3"/>
  <c r="AC249" i="3"/>
  <c r="AC454" i="3"/>
  <c r="AC644" i="3"/>
  <c r="AC734" i="3"/>
  <c r="AC160" i="3"/>
  <c r="AC344" i="3"/>
  <c r="AC917" i="3"/>
  <c r="AC213" i="3"/>
  <c r="AC231" i="3"/>
  <c r="AC866" i="3"/>
  <c r="AC172" i="3"/>
  <c r="AC894" i="3"/>
  <c r="AC662" i="3"/>
  <c r="AC80" i="3"/>
  <c r="AC426" i="3"/>
  <c r="AC472" i="3"/>
  <c r="AC863" i="3"/>
  <c r="AC494" i="3"/>
  <c r="AC9" i="3"/>
  <c r="AC999" i="3"/>
  <c r="AC289" i="3"/>
  <c r="AC325" i="3"/>
  <c r="AC862" i="3"/>
  <c r="AC83" i="3"/>
  <c r="AC352" i="3"/>
  <c r="AC632" i="3"/>
  <c r="AC671" i="3"/>
  <c r="AC241" i="3"/>
  <c r="AC317" i="3"/>
  <c r="AC412" i="3"/>
  <c r="AC683" i="3"/>
  <c r="AC636" i="3"/>
  <c r="AC130" i="3"/>
  <c r="AC542" i="3"/>
  <c r="AC531" i="3"/>
  <c r="AC709" i="3"/>
  <c r="AC150" i="3"/>
  <c r="AC640" i="3"/>
  <c r="AC872" i="3"/>
  <c r="AC935" i="3"/>
  <c r="AC593" i="3"/>
  <c r="AC787" i="3"/>
  <c r="AC772" i="3"/>
  <c r="AC974" i="3"/>
  <c r="AC746" i="3"/>
  <c r="AC972" i="3"/>
  <c r="AC639" i="3"/>
  <c r="AC134" i="3"/>
  <c r="AC60" i="3"/>
  <c r="AC800" i="3"/>
  <c r="AC71" i="3"/>
  <c r="AC280" i="3"/>
  <c r="AC19" i="3"/>
  <c r="AC163" i="3"/>
  <c r="AC355" i="3"/>
  <c r="AC215" i="3"/>
  <c r="AC133" i="3"/>
  <c r="AC179" i="3"/>
  <c r="AC254" i="3"/>
  <c r="AC243" i="3"/>
  <c r="AC769" i="3"/>
  <c r="AC488" i="3"/>
  <c r="AC571" i="3"/>
  <c r="AC547" i="3"/>
  <c r="AC122" i="3"/>
  <c r="AC627" i="3"/>
  <c r="AC181" i="3"/>
  <c r="AC238" i="3"/>
  <c r="AC496" i="3"/>
  <c r="AC214" i="3"/>
  <c r="AC391" i="3"/>
  <c r="AC651" i="3"/>
  <c r="AC648" i="3"/>
  <c r="AC659" i="3"/>
  <c r="AC161" i="3"/>
  <c r="AC803" i="3"/>
  <c r="AC443" i="3"/>
  <c r="AC579" i="3"/>
  <c r="AC319" i="3"/>
  <c r="AC64" i="3"/>
  <c r="AC17" i="3"/>
  <c r="AC456" i="3"/>
  <c r="AC205" i="3"/>
  <c r="AC262" i="3"/>
  <c r="AC477" i="3"/>
  <c r="AC603" i="3"/>
  <c r="AC266" i="3"/>
  <c r="AC267" i="3"/>
  <c r="AC526" i="3"/>
  <c r="AC197" i="3"/>
  <c r="AC347" i="3"/>
  <c r="AC608" i="3"/>
  <c r="AC563" i="3"/>
  <c r="AC626" i="3"/>
  <c r="AC43" i="3"/>
  <c r="AC250" i="3"/>
  <c r="AC549" i="3"/>
  <c r="AC816" i="3"/>
  <c r="AC741" i="3"/>
  <c r="AC58" i="3"/>
  <c r="AC248" i="3"/>
  <c r="AC453" i="3"/>
  <c r="AC643" i="3"/>
  <c r="AC692" i="3"/>
  <c r="AC756" i="3"/>
  <c r="AC34" i="3"/>
  <c r="AC57" i="3"/>
  <c r="AC158" i="3"/>
  <c r="AC278" i="3"/>
  <c r="AC314" i="3"/>
  <c r="AC482" i="3"/>
  <c r="AC471" i="3"/>
  <c r="AC419" i="3"/>
  <c r="AC690" i="3"/>
  <c r="AC916" i="3"/>
  <c r="AC712" i="3"/>
  <c r="AC954" i="3"/>
  <c r="AC68" i="3"/>
  <c r="AC377" i="3"/>
  <c r="AC395" i="3"/>
  <c r="AC541" i="3"/>
  <c r="AC566" i="3"/>
  <c r="AC624" i="3"/>
  <c r="AC861" i="3"/>
  <c r="AC905" i="3"/>
  <c r="AC101" i="3"/>
  <c r="AC136" i="3"/>
  <c r="AC177" i="3"/>
  <c r="AC635" i="3"/>
  <c r="AC516" i="3"/>
  <c r="AC684" i="3"/>
  <c r="AC720" i="3"/>
  <c r="AC524" i="3"/>
  <c r="AC771" i="3"/>
  <c r="AC681" i="3"/>
  <c r="AC996" i="3"/>
  <c r="AC914" i="3"/>
  <c r="AC29" i="3"/>
  <c r="AC139" i="3"/>
  <c r="AC269" i="3"/>
  <c r="AC358" i="3"/>
  <c r="AC449" i="3"/>
  <c r="AC580" i="3"/>
  <c r="AC532" i="3"/>
  <c r="AC584" i="3"/>
  <c r="AC675" i="3"/>
  <c r="AC785" i="3"/>
  <c r="AC824" i="3"/>
  <c r="AC936" i="3"/>
  <c r="AC869" i="3"/>
  <c r="AC63" i="3"/>
  <c r="AC59" i="3"/>
  <c r="AC107" i="3"/>
  <c r="AC124" i="3"/>
  <c r="AC145" i="3"/>
  <c r="AC121" i="3"/>
  <c r="AC193" i="3"/>
  <c r="AC155" i="3"/>
  <c r="AC338" i="3"/>
  <c r="AC307" i="3"/>
  <c r="AC514" i="3"/>
  <c r="AC599" i="3"/>
  <c r="AC323" i="3"/>
  <c r="AC822" i="3"/>
  <c r="AC736" i="3"/>
  <c r="AC850" i="3"/>
  <c r="AC884" i="3"/>
  <c r="AC922" i="3"/>
  <c r="AC959" i="3"/>
  <c r="AC713" i="3"/>
  <c r="AC991" i="3"/>
  <c r="AC84" i="3"/>
  <c r="AC290" i="3"/>
  <c r="AC351" i="3"/>
  <c r="AC436" i="3"/>
  <c r="AC817" i="3"/>
  <c r="AC717" i="3"/>
  <c r="AC633" i="3"/>
  <c r="AC889" i="3"/>
  <c r="AC793" i="3"/>
  <c r="AC670" i="3"/>
  <c r="AC711" i="3"/>
  <c r="AC74" i="3"/>
  <c r="AC201" i="3"/>
  <c r="AC342" i="3"/>
  <c r="AC439" i="3"/>
  <c r="AC808" i="3"/>
  <c r="AC46" i="3"/>
  <c r="AC109" i="3"/>
  <c r="AC100" i="3"/>
  <c r="AC329" i="3"/>
  <c r="AC318" i="3"/>
  <c r="AC417" i="3"/>
  <c r="AC519" i="3"/>
  <c r="AC812" i="3"/>
  <c r="AC743" i="3"/>
  <c r="AC848" i="3"/>
  <c r="AC601" i="3"/>
  <c r="AC770" i="3"/>
  <c r="AC919" i="3"/>
  <c r="AC35" i="3"/>
  <c r="AC76" i="3"/>
  <c r="AC382" i="3"/>
  <c r="AC782" i="3"/>
  <c r="AC117" i="3"/>
  <c r="AC125" i="3"/>
  <c r="AC114" i="3"/>
  <c r="AC245" i="3"/>
  <c r="AC273" i="3"/>
  <c r="AC246" i="3"/>
  <c r="AC587" i="3"/>
  <c r="AC700" i="3"/>
  <c r="AC789" i="3"/>
  <c r="AC665" i="3"/>
  <c r="AC909" i="3"/>
  <c r="AC931" i="3"/>
  <c r="AC938" i="3"/>
  <c r="AC656" i="3"/>
  <c r="AC79" i="3"/>
  <c r="AC438" i="3"/>
  <c r="AC802" i="3"/>
  <c r="AC990" i="3"/>
  <c r="AC642" i="3"/>
  <c r="AC631" i="3"/>
  <c r="AC856" i="3"/>
  <c r="AC901" i="3"/>
  <c r="AC982" i="3"/>
  <c r="AC93" i="3"/>
  <c r="AC275" i="3"/>
  <c r="AC590" i="3"/>
  <c r="AC618" i="3"/>
  <c r="AC693" i="3"/>
  <c r="AC929" i="3"/>
  <c r="AC967" i="3"/>
  <c r="AC392" i="3"/>
  <c r="AC303" i="3"/>
  <c r="AC469" i="3"/>
  <c r="AC458" i="3"/>
  <c r="AC766" i="3"/>
  <c r="AC733" i="3"/>
  <c r="AC794" i="3"/>
  <c r="AC867" i="3"/>
  <c r="AC715" i="3"/>
  <c r="AC62" i="3"/>
  <c r="AC517" i="3"/>
  <c r="AC809" i="3"/>
  <c r="AC742" i="3"/>
  <c r="AC602" i="3"/>
  <c r="AC732" i="3"/>
  <c r="AC881" i="3"/>
  <c r="AC22" i="3"/>
  <c r="AC119" i="3"/>
  <c r="AC188" i="3"/>
  <c r="AC182" i="3"/>
  <c r="AC296" i="3"/>
  <c r="AC294" i="3"/>
  <c r="AC410" i="3"/>
  <c r="AC502" i="3"/>
  <c r="AC610" i="3"/>
  <c r="AC612" i="3"/>
  <c r="AC673" i="3"/>
  <c r="AC760" i="3"/>
  <c r="AC749" i="3"/>
  <c r="AC835" i="3"/>
  <c r="AC899" i="3"/>
  <c r="AC998" i="3"/>
  <c r="AC946" i="3"/>
  <c r="AC767" i="3"/>
  <c r="AC66" i="3"/>
  <c r="AC116" i="3"/>
  <c r="AC170" i="3"/>
  <c r="AC287" i="3"/>
  <c r="AC211" i="3"/>
  <c r="AC597" i="3"/>
  <c r="AC615" i="3"/>
  <c r="AC668" i="3"/>
  <c r="AC828" i="3"/>
  <c r="AC825" i="3"/>
  <c r="AC903" i="3"/>
  <c r="AC951" i="3"/>
  <c r="AC699" i="3"/>
  <c r="AC272" i="3"/>
  <c r="AC427" i="3"/>
  <c r="AC667" i="3"/>
  <c r="AC841" i="3"/>
  <c r="AC752" i="3"/>
  <c r="AC925" i="3"/>
  <c r="AC874" i="3"/>
  <c r="AC184" i="3"/>
  <c r="AC328" i="3"/>
  <c r="AC327" i="3"/>
  <c r="AC414" i="3"/>
  <c r="AC630" i="3"/>
  <c r="AC714" i="3"/>
  <c r="AC875" i="3"/>
  <c r="AC984" i="3"/>
  <c r="AC37" i="3"/>
  <c r="AC159" i="3"/>
  <c r="AC175" i="3"/>
  <c r="AC239" i="3"/>
  <c r="AC457" i="3"/>
  <c r="AC564" i="3"/>
  <c r="AC890" i="3"/>
  <c r="AC968" i="3"/>
  <c r="AC112" i="3"/>
  <c r="AC24" i="3"/>
  <c r="AC202" i="3"/>
  <c r="AC242" i="3"/>
  <c r="AC797" i="3"/>
  <c r="AC240" i="3"/>
  <c r="AC411" i="3"/>
  <c r="AC487" i="3"/>
  <c r="AC837" i="3"/>
  <c r="AC731" i="3"/>
  <c r="AC970" i="3"/>
  <c r="AC971" i="3"/>
  <c r="AC23" i="3"/>
  <c r="AC81" i="3"/>
  <c r="AC85" i="3"/>
  <c r="AC148" i="3"/>
  <c r="AC216" i="3"/>
  <c r="AC362" i="3"/>
  <c r="AC415" i="3"/>
  <c r="AC553" i="3"/>
  <c r="AC508" i="3"/>
  <c r="AC628" i="3"/>
  <c r="AC611" i="3"/>
  <c r="AC724" i="3"/>
  <c r="AC528" i="3"/>
  <c r="AC637" i="3"/>
  <c r="AC810" i="3"/>
  <c r="AC997" i="3"/>
  <c r="AC86" i="3"/>
  <c r="AC256" i="3"/>
  <c r="AC209" i="3"/>
  <c r="AC349" i="3"/>
  <c r="AC359" i="3"/>
  <c r="AC422" i="3"/>
  <c r="AC450" i="3"/>
  <c r="AC598" i="3"/>
  <c r="AC586" i="3"/>
  <c r="AC535" i="3"/>
  <c r="AC556" i="3"/>
  <c r="AC677" i="3"/>
  <c r="AC544" i="3"/>
  <c r="AC786" i="3"/>
  <c r="AC687" i="3"/>
  <c r="AC961" i="3"/>
  <c r="AC791" i="3"/>
  <c r="AC939" i="3"/>
  <c r="AC895" i="3"/>
  <c r="AC886" i="3"/>
  <c r="AC763" i="3"/>
  <c r="AC989" i="3"/>
  <c r="AC18" i="3"/>
  <c r="AC374" i="3"/>
  <c r="AC455" i="3"/>
  <c r="AC574" i="3"/>
  <c r="AC539" i="3"/>
  <c r="AC552" i="3"/>
  <c r="AC992" i="3"/>
  <c r="AC185" i="3"/>
  <c r="AC162" i="3"/>
  <c r="AC220" i="3"/>
  <c r="AC481" i="3"/>
  <c r="AC399" i="3"/>
  <c r="AC495" i="3"/>
  <c r="AC672" i="3"/>
  <c r="AC753" i="3"/>
  <c r="AC994" i="3"/>
  <c r="AC55" i="3"/>
  <c r="AC606" i="3"/>
  <c r="AC619" i="3"/>
  <c r="AC832" i="3"/>
  <c r="AC821" i="3"/>
  <c r="AC941" i="3"/>
  <c r="AC132" i="3"/>
  <c r="AC118" i="3"/>
  <c r="AC265" i="3"/>
  <c r="AC497" i="3"/>
  <c r="AC703" i="3"/>
  <c r="AC930" i="3"/>
  <c r="AC50" i="3"/>
  <c r="AC91" i="3"/>
  <c r="AC129" i="3"/>
  <c r="AC206" i="3"/>
  <c r="AC173" i="3"/>
  <c r="AC282" i="3"/>
  <c r="AC498" i="3"/>
  <c r="AC570" i="3"/>
  <c r="AC484" i="3"/>
  <c r="AC706" i="3"/>
  <c r="AC957" i="3"/>
  <c r="AC927" i="3"/>
  <c r="AC47" i="3"/>
  <c r="AC40" i="3"/>
  <c r="AC149" i="3"/>
  <c r="AC199" i="3"/>
  <c r="AC284" i="3"/>
  <c r="AC721" i="3"/>
  <c r="AC719" i="3"/>
  <c r="AC934" i="3"/>
  <c r="AC882" i="3"/>
  <c r="AC979" i="3"/>
  <c r="AC11" i="3"/>
  <c r="AC104" i="3"/>
  <c r="AC97" i="3"/>
  <c r="AC397" i="3"/>
  <c r="AC386" i="3"/>
  <c r="AC433" i="3"/>
  <c r="AC489" i="3"/>
  <c r="AC478" i="3"/>
  <c r="AC529" i="3"/>
  <c r="AC616" i="3"/>
  <c r="AC762" i="3"/>
  <c r="AC758" i="3"/>
  <c r="AC725" i="3"/>
  <c r="AC739" i="3"/>
  <c r="AC792" i="3"/>
  <c r="AC976" i="3"/>
  <c r="AC222" i="3"/>
  <c r="AC424" i="3"/>
  <c r="AC141" i="3"/>
  <c r="AC187" i="3"/>
  <c r="AC263" i="3"/>
  <c r="AC466" i="3"/>
  <c r="AC621" i="3"/>
  <c r="AC226" i="3"/>
  <c r="AC550" i="3"/>
  <c r="AC842" i="3"/>
  <c r="AC965" i="3"/>
  <c r="AC223" i="3"/>
  <c r="AC401" i="3"/>
  <c r="AC390" i="3"/>
  <c r="AC403" i="3"/>
  <c r="AC729" i="3"/>
  <c r="AC754" i="3"/>
  <c r="AC815" i="3"/>
  <c r="AC865" i="3"/>
  <c r="AC779" i="3"/>
  <c r="AC955" i="3"/>
  <c r="AC13" i="3"/>
  <c r="AC10" i="3"/>
  <c r="AC264" i="3"/>
  <c r="AC353" i="3"/>
  <c r="AC441" i="3"/>
  <c r="AC595" i="3"/>
  <c r="AC609" i="3"/>
  <c r="AC705" i="3"/>
  <c r="AC702" i="3"/>
  <c r="AC744" i="3"/>
  <c r="AC730" i="3"/>
  <c r="AC918" i="3"/>
  <c r="AC44" i="3"/>
  <c r="AC203" i="3"/>
  <c r="AC292" i="3"/>
  <c r="AC406" i="3"/>
  <c r="AC748" i="3"/>
  <c r="AC745" i="3"/>
  <c r="AC773" i="3"/>
  <c r="AC795" i="3"/>
  <c r="AC868" i="3"/>
  <c r="AC20" i="3"/>
  <c r="AC26" i="3"/>
  <c r="AC39" i="3"/>
  <c r="AC270" i="3"/>
  <c r="AC251" i="3"/>
  <c r="AC305" i="3"/>
  <c r="AC421" i="3"/>
  <c r="AC513" i="3"/>
  <c r="AC463" i="3"/>
  <c r="AC576" i="3"/>
  <c r="AC852" i="3"/>
  <c r="AC849" i="3"/>
  <c r="AC718" i="3"/>
  <c r="AC696" i="3"/>
  <c r="AC685" i="3"/>
  <c r="AC933" i="3"/>
  <c r="AC189" i="3"/>
  <c r="AC151" i="3"/>
  <c r="AC345" i="3"/>
  <c r="AC334" i="3"/>
  <c r="AC384" i="3"/>
  <c r="AC380" i="3"/>
  <c r="AC315" i="3"/>
  <c r="AC407" i="3"/>
  <c r="AC761" i="3"/>
  <c r="AC722" i="3"/>
  <c r="AC948" i="3"/>
  <c r="AC799" i="3"/>
  <c r="AC973" i="3"/>
  <c r="AC840" i="3"/>
  <c r="AC986" i="3"/>
  <c r="AC943" i="3"/>
  <c r="AC987" i="3"/>
  <c r="AC777" i="3"/>
  <c r="AC805" i="3"/>
  <c r="AC425" i="3"/>
  <c r="AC375" i="3"/>
  <c r="AC102" i="3"/>
  <c r="AC302" i="3"/>
  <c r="AC757" i="3"/>
  <c r="AC166" i="3"/>
  <c r="AC511" i="3"/>
  <c r="AC501" i="3"/>
  <c r="AC708" i="3"/>
  <c r="AC956" i="3"/>
  <c r="AC969" i="3"/>
  <c r="AC963" i="3"/>
  <c r="AC53" i="3"/>
  <c r="AC218" i="3"/>
  <c r="AC276" i="3"/>
  <c r="AC322" i="3"/>
  <c r="AC311" i="3"/>
  <c r="AC428" i="3"/>
  <c r="AC367" i="3"/>
  <c r="AC473" i="3"/>
  <c r="AC622" i="3"/>
  <c r="AC657" i="3"/>
  <c r="AC613" i="3"/>
  <c r="AC834" i="3"/>
  <c r="AC860" i="3"/>
  <c r="AC945" i="3"/>
  <c r="AC906" i="3"/>
  <c r="AC233" i="3"/>
  <c r="AC309" i="3"/>
  <c r="AC298" i="3"/>
  <c r="AC393" i="3"/>
  <c r="AC446" i="3"/>
  <c r="AC485" i="3"/>
  <c r="AC582" i="3"/>
  <c r="AC813" i="3"/>
  <c r="AC747" i="3"/>
  <c r="AC908" i="3"/>
  <c r="AC870" i="3"/>
  <c r="AC871" i="3"/>
  <c r="AC110" i="3"/>
  <c r="AC234" i="3"/>
  <c r="AC431" i="3"/>
  <c r="AC503" i="3"/>
  <c r="AC559" i="3"/>
  <c r="AC650" i="3"/>
  <c r="AC764" i="3"/>
  <c r="AC853" i="3"/>
  <c r="AC839" i="3"/>
  <c r="AC128" i="3"/>
  <c r="AC480" i="3"/>
  <c r="AC655" i="3"/>
  <c r="AC950" i="3"/>
  <c r="AC887" i="3"/>
  <c r="AC326" i="3"/>
  <c r="AC291" i="3"/>
  <c r="AC506" i="3"/>
  <c r="AC645" i="3"/>
  <c r="AC781" i="3"/>
  <c r="AC778" i="3"/>
  <c r="AC654" i="3"/>
  <c r="AC864" i="3"/>
  <c r="AC953" i="3"/>
  <c r="AC260" i="3"/>
  <c r="AC286" i="3"/>
  <c r="AC313" i="3"/>
  <c r="AC493" i="3"/>
  <c r="AC483" i="3"/>
  <c r="AC565" i="3"/>
  <c r="AC555" i="3"/>
  <c r="AC857" i="3"/>
  <c r="AC993" i="3"/>
  <c r="AC878" i="3"/>
  <c r="AC877" i="3"/>
  <c r="AC15" i="3"/>
  <c r="AC430" i="3"/>
  <c r="AC522" i="3"/>
  <c r="AC366" i="3"/>
  <c r="AC500" i="3"/>
  <c r="AC646" i="3"/>
  <c r="AC833" i="3"/>
  <c r="AC830" i="3"/>
  <c r="AC858" i="3"/>
  <c r="AC819" i="3"/>
  <c r="AC176" i="3"/>
  <c r="AC219" i="3"/>
  <c r="AC230" i="3"/>
  <c r="AC279" i="3"/>
  <c r="AC143" i="3"/>
  <c r="AC460" i="3"/>
  <c r="AC634" i="3"/>
  <c r="AC859" i="3"/>
  <c r="AC893" i="3"/>
  <c r="AC41" i="3"/>
  <c r="AC72" i="3"/>
  <c r="AC94" i="3"/>
  <c r="AC258" i="3"/>
  <c r="AC310" i="3"/>
  <c r="AC404" i="3"/>
  <c r="AC491" i="3"/>
  <c r="AC474" i="3"/>
  <c r="AC546" i="3"/>
  <c r="AC674" i="3"/>
  <c r="AC676" i="3"/>
  <c r="AC661" i="3"/>
  <c r="AC846" i="3"/>
  <c r="AC164" i="3"/>
  <c r="AC191" i="3"/>
  <c r="AC228" i="3"/>
  <c r="AC195" i="3"/>
  <c r="AC336" i="3"/>
  <c r="AC369" i="3"/>
  <c r="AC461" i="3"/>
  <c r="AC558" i="3"/>
  <c r="AC638" i="3"/>
  <c r="AC697" i="3"/>
  <c r="AC694" i="3"/>
  <c r="AC885" i="3"/>
  <c r="AC897" i="3"/>
  <c r="AC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3" i="3"/>
  <c r="W4" i="3" s="1"/>
  <c r="S154" i="1"/>
  <c r="Z154" i="1" s="1"/>
  <c r="S290" i="1"/>
  <c r="Z290" i="1" s="1"/>
  <c r="S106" i="1"/>
  <c r="Z106" i="1" s="1"/>
  <c r="S42" i="1"/>
  <c r="Z42" i="1" s="1"/>
  <c r="S170" i="1"/>
  <c r="Z170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<sst xmlns="http://schemas.openxmlformats.org/spreadsheetml/2006/main" count="486" uniqueCount="280">
  <si>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</si>
  <si>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</si>
  <si>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</si>
  <si>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</si>
  <si>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</si>
  <si>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</si>
  <si>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</si>
  <si>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</si>
  <si>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</si>
  <si>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</si>
  <si>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</si>
  <si>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</si>
  <si>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</si>
  <si>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</si>
  <si>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</si>
  <si>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</si>
  <si>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</si>
  <si>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</si>
  <si>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</si>
  <si>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</si>
  <si>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</si>
  <si>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</si>
  <si>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</si>
  <si>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</si>
  <si>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</si>
  <si>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</si>
  <si>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</si>
  <si>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</si>
  <si>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</si>
  <si>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</si>
  <si>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</si>
  <si>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</si>
  <si>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</si>
  <si>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</si>
  <si>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</si>
  <si>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</si>
  <si>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</si>
  <si>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</si>
  <si>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</si>
  <si>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</si>
  <si>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</si>
  <si>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</si>
  <si>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</si>
  <si>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</si>
  <si>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</si>
  <si>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</si>
  <si>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</si>
  <si>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</si>
  <si>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</si>
  <si>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</si>
  <si>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</si>
  <si>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</si>
  <si>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</si>
  <si>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</si>
  <si>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</si>
  <si>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</si>
  <si>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</si>
  <si>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</si>
  <si>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</si>
  <si>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</si>
  <si>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</si>
  <si>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</si>
  <si>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</si>
  <si>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</si>
  <si>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</si>
  <si>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</si>
  <si>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</si>
  <si>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</si>
  <si>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</si>
  <si>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</si>
  <si>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</si>
  <si>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</si>
  <si>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</si>
  <si>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</si>
  <si>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</si>
  <si>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</si>
  <si>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</si>
  <si>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</si>
  <si>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</si>
  <si>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</si>
  <si>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</si>
  <si>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</si>
  <si>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</si>
  <si>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</si>
  <si>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</si>
  <si>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</si>
  <si>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</si>
  <si>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</si>
  <si>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</si>
  <si>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</si>
  <si>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</si>
  <si>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</si>
  <si>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</si>
  <si>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</si>
  <si>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</si>
  <si>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</si>
  <si>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</si>
  <si>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</si>
  <si>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</si>
  <si>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</si>
  <si>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</si>
  <si>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</si>
  <si>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</si>
  <si>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</si>
  <si>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</si>
  <si>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</si>
  <si>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</si>
  <si>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</si>
  <si>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</si>
  <si>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</si>
  <si>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</si>
  <si>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</si>
  <si>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</si>
  <si>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</si>
  <si>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</si>
  <si>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</si>
  <si>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</si>
  <si>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</si>
  <si>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</si>
  <si>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</si>
  <si>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</si>
  <si>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</si>
  <si>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</si>
  <si>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</si>
  <si>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</si>
  <si>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</si>
  <si>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</si>
  <si>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</si>
  <si>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</si>
  <si>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</si>
  <si>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</si>
  <si>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</si>
  <si>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</si>
  <si>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</si>
  <si>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</si>
  <si>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</si>
  <si>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</si>
  <si>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</si>
  <si>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</si>
  <si>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</si>
  <si>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</si>
  <si>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</si>
  <si>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</si>
  <si>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</si>
  <si>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</si>
  <si>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</si>
  <si>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</si>
  <si>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</si>
  <si>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</si>
  <si>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</si>
  <si>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</si>
  <si>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</si>
  <si>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</si>
  <si>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</si>
  <si>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</si>
  <si>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</si>
  <si>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</si>
  <si>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</si>
  <si>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</si>
  <si>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</si>
  <si>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</si>
  <si>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</si>
  <si>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</si>
  <si>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</si>
  <si>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</si>
  <si>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</si>
  <si>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</si>
  <si>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</si>
  <si>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</si>
  <si>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</si>
  <si>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</si>
  <si>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</si>
  <si>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</si>
  <si>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</si>
  <si>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</si>
  <si>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</si>
  <si>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</si>
  <si>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</si>
  <si>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</si>
  <si>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</si>
  <si>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</si>
  <si>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</si>
  <si>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</si>
  <si>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</si>
  <si>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</si>
  <si>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</si>
  <si>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</si>
  <si>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</si>
  <si>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</si>
  <si>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</si>
  <si>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</si>
  <si>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</si>
  <si>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</si>
  <si>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</si>
  <si>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</si>
  <si>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</si>
  <si>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</si>
  <si>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</si>
  <si>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</si>
  <si>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</si>
  <si>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</si>
  <si>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</si>
  <si>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</si>
  <si>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</si>
  <si>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</si>
  <si>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</si>
  <si>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</si>
  <si>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</si>
  <si>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</si>
  <si>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</si>
  <si>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</si>
  <si>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</si>
  <si>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</si>
  <si>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</si>
  <si>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</si>
  <si>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</si>
  <si>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</si>
  <si>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</si>
  <si>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</si>
  <si>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</si>
  <si>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</si>
  <si>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</si>
  <si>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</si>
  <si>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</si>
  <si>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</si>
  <si>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</si>
  <si>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</si>
  <si>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</si>
  <si>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</si>
  <si>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</si>
  <si>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</si>
  <si>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</si>
  <si>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</si>
  <si>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</si>
  <si>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</si>
  <si>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</si>
  <si>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</si>
  <si>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</si>
  <si>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</si>
  <si>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</si>
  <si>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</si>
  <si>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</si>
  <si>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</si>
  <si>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</si>
  <si>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</si>
  <si>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</si>
  <si>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</si>
  <si>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</si>
  <si>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</si>
  <si>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</si>
  <si>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</si>
  <si>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</si>
  <si>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</si>
  <si>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</si>
  <si>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</si>
  <si>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</si>
  <si>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</si>
  <si>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</si>
  <si>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</si>
  <si>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</si>
  <si>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</si>
  <si>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</si>
  <si>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</si>
  <si>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</si>
  <si>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</si>
  <si>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CoarseSand</t>
  </si>
  <si>
    <t>FineSand</t>
  </si>
  <si>
    <t>LoamySand</t>
  </si>
  <si>
    <t>SandyLoam</t>
  </si>
  <si>
    <t>SandyClayLoam</t>
  </si>
  <si>
    <t>SiltLoam</t>
  </si>
  <si>
    <t>SiltyClayLoam</t>
  </si>
  <si>
    <t>ClayLoam</t>
  </si>
  <si>
    <t>SiltyClay</t>
  </si>
  <si>
    <t>Green manure</t>
  </si>
  <si>
    <t>linocln</t>
  </si>
  <si>
    <t>pukekohe</t>
  </si>
  <si>
    <t>hastings</t>
  </si>
  <si>
    <t>gore</t>
  </si>
  <si>
    <t>levin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</si>
</sst>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Interface'!$K$1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Interface'!$K$3:$K$4</c:f>
              <c:numCache>
                <c:formatCode>0</c:formatCode>
                <c:ptCount val="2"/>
                <c:pt idx="0">
                  <c:v>50</c:v>
                </c:pt>
                <c:pt idx="1">
                  <c:v>29.523855084532467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Interface'!$M$1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Interface'!$M$3:$M$4</c:f>
              <c:numCache>
                <c:formatCode>General</c:formatCode>
                <c:ptCount val="2"/>
                <c:pt idx="0" formatCode="0">
                  <c:v>40.761495209109981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Interface'!$N$1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Interface'!$N$3:$N$4</c:f>
              <c:numCache>
                <c:formatCode>General</c:formatCode>
                <c:ptCount val="2"/>
                <c:pt idx="0" formatCode="0">
                  <c:v>119.91795434538528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Interface'!$O$1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Interface'!$O$3:$O$4</c:f>
              <c:numCache>
                <c:formatCode>General</c:formatCode>
                <c:ptCount val="2"/>
                <c:pt idx="0" formatCode="0">
                  <c:v>364.53097405895176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Interface'!$R$1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Interface'!$R$3:$R$4</c:f>
              <c:numCache>
                <c:formatCode>0</c:formatCode>
                <c:ptCount val="2"/>
                <c:pt idx="1">
                  <c:v>123.65577940693395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Interface'!$Q$1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 formatCode="General">
                  <c:v>2.53772215382789</c:v>
                </c:pt>
                <c:pt idx="1">
                  <c:v>302.39999999999992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Interface'!$P$1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Interface'!$P$3:$P$4</c:f>
              <c:numCache>
                <c:formatCode>0</c:formatCode>
                <c:ptCount val="2"/>
                <c:pt idx="0">
                  <c:v>0</c:v>
                </c:pt>
                <c:pt idx="1">
                  <c:v>33.234782608695639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Interface'!$W$1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Interface'!$W$3:$W$4</c:f>
              <c:numCache>
                <c:formatCode>0</c:formatCode>
                <c:ptCount val="2"/>
                <c:pt idx="0">
                  <c:v>0</c:v>
                </c:pt>
                <c:pt idx="1">
                  <c:v>88.933728667112916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166.4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2.53772215382789</c:v>
                </c:pt>
                <c:pt idx="43">
                  <c:v>2.8903893225774602</c:v>
                </c:pt>
                <c:pt idx="44">
                  <c:v>3.2496460253822277</c:v>
                </c:pt>
                <c:pt idx="45">
                  <c:v>3.6308897482653881</c:v>
                </c:pt>
                <c:pt idx="46">
                  <c:v>4.1007868234890879</c:v>
                </c:pt>
                <c:pt idx="47">
                  <c:v>4.5214279190959328</c:v>
                </c:pt>
                <c:pt idx="48">
                  <c:v>4.9908261653183521</c:v>
                </c:pt>
                <c:pt idx="49">
                  <c:v>5.5404390039039546</c:v>
                </c:pt>
                <c:pt idx="50">
                  <c:v>6.1494524621996201</c:v>
                </c:pt>
                <c:pt idx="51">
                  <c:v>6.8098496178952646</c:v>
                </c:pt>
                <c:pt idx="52">
                  <c:v>7.7055766315823746</c:v>
                </c:pt>
                <c:pt idx="53">
                  <c:v>8.6692676087113423</c:v>
                </c:pt>
                <c:pt idx="54">
                  <c:v>9.7238098411090022</c:v>
                </c:pt>
                <c:pt idx="55">
                  <c:v>10.879983592630319</c:v>
                </c:pt>
                <c:pt idx="56">
                  <c:v>11.953764437125127</c:v>
                </c:pt>
                <c:pt idx="57">
                  <c:v>13.102483848968401</c:v>
                </c:pt>
                <c:pt idx="58">
                  <c:v>14.773697245904973</c:v>
                </c:pt>
                <c:pt idx="59">
                  <c:v>16.647074763305987</c:v>
                </c:pt>
                <c:pt idx="60">
                  <c:v>19.100409166589902</c:v>
                </c:pt>
                <c:pt idx="61">
                  <c:v>21.311346236572895</c:v>
                </c:pt>
                <c:pt idx="62">
                  <c:v>23.590844359255307</c:v>
                </c:pt>
                <c:pt idx="63">
                  <c:v>25.537505091099078</c:v>
                </c:pt>
                <c:pt idx="64">
                  <c:v>28.228459458515058</c:v>
                </c:pt>
                <c:pt idx="65">
                  <c:v>31.234553559451044</c:v>
                </c:pt>
                <c:pt idx="66">
                  <c:v>34.584052167856882</c:v>
                </c:pt>
                <c:pt idx="67">
                  <c:v>38.500138770921893</c:v>
                </c:pt>
                <c:pt idx="68">
                  <c:v>42.757029279683515</c:v>
                </c:pt>
                <c:pt idx="69">
                  <c:v>46.901899849321772</c:v>
                </c:pt>
                <c:pt idx="70">
                  <c:v>50.406601297335108</c:v>
                </c:pt>
                <c:pt idx="71">
                  <c:v>54.172318721494968</c:v>
                </c:pt>
                <c:pt idx="72">
                  <c:v>59.54254727453413</c:v>
                </c:pt>
                <c:pt idx="73">
                  <c:v>64.377570018828635</c:v>
                </c:pt>
                <c:pt idx="74">
                  <c:v>69.062868518947838</c:v>
                </c:pt>
                <c:pt idx="75">
                  <c:v>73.556281283251124</c:v>
                </c:pt>
                <c:pt idx="76">
                  <c:v>78.345473953785415</c:v>
                </c:pt>
                <c:pt idx="77">
                  <c:v>83.174581693086338</c:v>
                </c:pt>
                <c:pt idx="78">
                  <c:v>87.951110907396767</c:v>
                </c:pt>
                <c:pt idx="79">
                  <c:v>93.315267863128753</c:v>
                </c:pt>
                <c:pt idx="80">
                  <c:v>98.004652191625269</c:v>
                </c:pt>
                <c:pt idx="81">
                  <c:v>103.74053176917297</c:v>
                </c:pt>
                <c:pt idx="82">
                  <c:v>109.29706339749656</c:v>
                </c:pt>
                <c:pt idx="83">
                  <c:v>116.29111823242181</c:v>
                </c:pt>
                <c:pt idx="84">
                  <c:v>123.02502366267508</c:v>
                </c:pt>
                <c:pt idx="85">
                  <c:v>130.83216094150643</c:v>
                </c:pt>
                <c:pt idx="86">
                  <c:v>136.86255028392932</c:v>
                </c:pt>
                <c:pt idx="87">
                  <c:v>142.33259040855839</c:v>
                </c:pt>
                <c:pt idx="88">
                  <c:v>147.9992530644366</c:v>
                </c:pt>
                <c:pt idx="89">
                  <c:v>153.34079537017371</c:v>
                </c:pt>
                <c:pt idx="90">
                  <c:v>159.31626621680459</c:v>
                </c:pt>
                <c:pt idx="91">
                  <c:v>164.81481110526889</c:v>
                </c:pt>
                <c:pt idx="92">
                  <c:v>170.01709197926925</c:v>
                </c:pt>
                <c:pt idx="93">
                  <c:v>176.88613183623559</c:v>
                </c:pt>
                <c:pt idx="94">
                  <c:v>183.72504777909282</c:v>
                </c:pt>
                <c:pt idx="95">
                  <c:v>191.7869744228787</c:v>
                </c:pt>
                <c:pt idx="96">
                  <c:v>198.46500202269564</c:v>
                </c:pt>
                <c:pt idx="97">
                  <c:v>205.28151680174156</c:v>
                </c:pt>
                <c:pt idx="98">
                  <c:v>212.81546729293251</c:v>
                </c:pt>
                <c:pt idx="99">
                  <c:v>220.68971434133272</c:v>
                </c:pt>
                <c:pt idx="100">
                  <c:v>228.62415322278679</c:v>
                </c:pt>
                <c:pt idx="101">
                  <c:v>235.36413898249353</c:v>
                </c:pt>
                <c:pt idx="102">
                  <c:v>241.81115887058181</c:v>
                </c:pt>
                <c:pt idx="103">
                  <c:v>247.35030515217724</c:v>
                </c:pt>
                <c:pt idx="104">
                  <c:v>252.44923357016862</c:v>
                </c:pt>
                <c:pt idx="105">
                  <c:v>258.07206513612317</c:v>
                </c:pt>
                <c:pt idx="106">
                  <c:v>263.01370554933857</c:v>
                </c:pt>
                <c:pt idx="107">
                  <c:v>267.78140457409847</c:v>
                </c:pt>
                <c:pt idx="108">
                  <c:v>271.36734702767552</c:v>
                </c:pt>
                <c:pt idx="109">
                  <c:v>275.40838829815164</c:v>
                </c:pt>
                <c:pt idx="110">
                  <c:v>280.81702125011259</c:v>
                </c:pt>
                <c:pt idx="111">
                  <c:v>286.06286029246644</c:v>
                </c:pt>
                <c:pt idx="112">
                  <c:v>290.473648921387</c:v>
                </c:pt>
                <c:pt idx="113">
                  <c:v>294.61064275120992</c:v>
                </c:pt>
                <c:pt idx="114">
                  <c:v>298.12846117815025</c:v>
                </c:pt>
                <c:pt idx="115">
                  <c:v>301.45255566248289</c:v>
                </c:pt>
                <c:pt idx="116">
                  <c:v>304.57982921514298</c:v>
                </c:pt>
                <c:pt idx="117">
                  <c:v>307.15579615022006</c:v>
                </c:pt>
                <c:pt idx="118">
                  <c:v>309.00390679655288</c:v>
                </c:pt>
                <c:pt idx="119">
                  <c:v>310.45086256633022</c:v>
                </c:pt>
                <c:pt idx="120">
                  <c:v>312.26986496143195</c:v>
                </c:pt>
                <c:pt idx="121">
                  <c:v>314.14389574115876</c:v>
                </c:pt>
                <c:pt idx="122">
                  <c:v>315.99662441356935</c:v>
                </c:pt>
                <c:pt idx="123">
                  <c:v>317.80088661278478</c:v>
                </c:pt>
                <c:pt idx="124">
                  <c:v>319.33655238027768</c:v>
                </c:pt>
                <c:pt idx="125">
                  <c:v>320.82596650991661</c:v>
                </c:pt>
                <c:pt idx="126">
                  <c:v>322.16386174083942</c:v>
                </c:pt>
                <c:pt idx="127">
                  <c:v>323.18517031542831</c:v>
                </c:pt>
                <c:pt idx="128">
                  <c:v>324.28627319073075</c:v>
                </c:pt>
                <c:pt idx="129">
                  <c:v>325.24659989260454</c:v>
                </c:pt>
                <c:pt idx="130">
                  <c:v>326.22956298073501</c:v>
                </c:pt>
                <c:pt idx="131">
                  <c:v>327.07826638116978</c:v>
                </c:pt>
                <c:pt idx="132">
                  <c:v>327.8629796171362</c:v>
                </c:pt>
                <c:pt idx="133">
                  <c:v>328.62431373732881</c:v>
                </c:pt>
                <c:pt idx="134">
                  <c:v>329.29079201819212</c:v>
                </c:pt>
                <c:pt idx="135">
                  <c:v>330.01696417200992</c:v>
                </c:pt>
                <c:pt idx="136">
                  <c:v>330.66597858147549</c:v>
                </c:pt>
                <c:pt idx="137">
                  <c:v>331.27361429885923</c:v>
                </c:pt>
                <c:pt idx="138">
                  <c:v>331.7679542673751</c:v>
                </c:pt>
                <c:pt idx="139">
                  <c:v>332.24828501769696</c:v>
                </c:pt>
                <c:pt idx="140">
                  <c:v>332.64194979153319</c:v>
                </c:pt>
                <c:pt idx="141">
                  <c:v>332.95960682261949</c:v>
                </c:pt>
                <c:pt idx="142">
                  <c:v>333.22065022805054</c:v>
                </c:pt>
                <c:pt idx="143">
                  <c:v>333.46181142975468</c:v>
                </c:pt>
                <c:pt idx="144">
                  <c:v>333.69365068621357</c:v>
                </c:pt>
                <c:pt idx="145">
                  <c:v>333.89118578008197</c:v>
                </c:pt>
                <c:pt idx="146">
                  <c:v>334.08929400317396</c:v>
                </c:pt>
                <c:pt idx="147">
                  <c:v>334.28016161803799</c:v>
                </c:pt>
                <c:pt idx="148">
                  <c:v>334.44396285723599</c:v>
                </c:pt>
                <c:pt idx="149">
                  <c:v>334.5654986258134</c:v>
                </c:pt>
                <c:pt idx="150">
                  <c:v>334.68665961264719</c:v>
                </c:pt>
                <c:pt idx="151">
                  <c:v>334.80656154833349</c:v>
                </c:pt>
                <c:pt idx="152">
                  <c:v>334.90962327450853</c:v>
                </c:pt>
                <c:pt idx="153">
                  <c:v>335.01362519854268</c:v>
                </c:pt>
                <c:pt idx="154">
                  <c:v>335.10316825031231</c:v>
                </c:pt>
                <c:pt idx="155">
                  <c:v>335.18513014863521</c:v>
                </c:pt>
                <c:pt idx="156">
                  <c:v>335.255917864786</c:v>
                </c:pt>
                <c:pt idx="157">
                  <c:v>335.3262736337428</c:v>
                </c:pt>
                <c:pt idx="158">
                  <c:v>335.3799397676292</c:v>
                </c:pt>
                <c:pt idx="159">
                  <c:v>335.42093264241043</c:v>
                </c:pt>
                <c:pt idx="160">
                  <c:v>335.4567280870923</c:v>
                </c:pt>
                <c:pt idx="161">
                  <c:v>335.48562285224523</c:v>
                </c:pt>
                <c:pt idx="162">
                  <c:v>335.51327224187861</c:v>
                </c:pt>
                <c:pt idx="163">
                  <c:v>335.54166258576294</c:v>
                </c:pt>
                <c:pt idx="164">
                  <c:v>335.56938078864709</c:v>
                </c:pt>
                <c:pt idx="165">
                  <c:v>335.59499661193689</c:v>
                </c:pt>
                <c:pt idx="166">
                  <c:v>335.61581600132621</c:v>
                </c:pt>
                <c:pt idx="167">
                  <c:v>335.63478260869556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75.011399614991646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81.374280821524877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108.14529362243525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50.850827748374364</c:v>
                </c:pt>
                <c:pt idx="2">
                  <c:v>51.801643777927367</c:v>
                </c:pt>
                <c:pt idx="3">
                  <c:v>52.590048119685456</c:v>
                </c:pt>
                <c:pt idx="4">
                  <c:v>53.153285739145062</c:v>
                </c:pt>
                <c:pt idx="5">
                  <c:v>54.137560445364052</c:v>
                </c:pt>
                <c:pt idx="6">
                  <c:v>55.341017743000542</c:v>
                </c:pt>
                <c:pt idx="7">
                  <c:v>56.743175572154449</c:v>
                </c:pt>
                <c:pt idx="8">
                  <c:v>58.198739771768146</c:v>
                </c:pt>
                <c:pt idx="9">
                  <c:v>59.62160884438245</c:v>
                </c:pt>
                <c:pt idx="10">
                  <c:v>61.12019199490679</c:v>
                </c:pt>
                <c:pt idx="11">
                  <c:v>62.769193065259138</c:v>
                </c:pt>
                <c:pt idx="12">
                  <c:v>62.791709652301442</c:v>
                </c:pt>
                <c:pt idx="13">
                  <c:v>64.388259526254714</c:v>
                </c:pt>
                <c:pt idx="14">
                  <c:v>65.318713437652619</c:v>
                </c:pt>
                <c:pt idx="15">
                  <c:v>65.436265591389727</c:v>
                </c:pt>
                <c:pt idx="16">
                  <c:v>65.924998772428864</c:v>
                </c:pt>
                <c:pt idx="17">
                  <c:v>66.16683504090372</c:v>
                </c:pt>
                <c:pt idx="18">
                  <c:v>67.584101911910153</c:v>
                </c:pt>
                <c:pt idx="19">
                  <c:v>69.003043341987421</c:v>
                </c:pt>
                <c:pt idx="20">
                  <c:v>70.576266700642421</c:v>
                </c:pt>
                <c:pt idx="21">
                  <c:v>72.158369381610171</c:v>
                </c:pt>
                <c:pt idx="22">
                  <c:v>72.418757070282425</c:v>
                </c:pt>
                <c:pt idx="23">
                  <c:v>73.584090197495243</c:v>
                </c:pt>
                <c:pt idx="24">
                  <c:v>73.444811225436524</c:v>
                </c:pt>
                <c:pt idx="25">
                  <c:v>74.609941468333304</c:v>
                </c:pt>
                <c:pt idx="26">
                  <c:v>76.307395309304425</c:v>
                </c:pt>
                <c:pt idx="27">
                  <c:v>77.847670034828496</c:v>
                </c:pt>
                <c:pt idx="28">
                  <c:v>78.265858583008352</c:v>
                </c:pt>
                <c:pt idx="29">
                  <c:v>77.758617133033667</c:v>
                </c:pt>
                <c:pt idx="30">
                  <c:v>77.636441513100038</c:v>
                </c:pt>
                <c:pt idx="31">
                  <c:v>77.584758249500197</c:v>
                </c:pt>
                <c:pt idx="32">
                  <c:v>75.970701523559029</c:v>
                </c:pt>
                <c:pt idx="33">
                  <c:v>75.939358052223241</c:v>
                </c:pt>
                <c:pt idx="34">
                  <c:v>76.329863317163984</c:v>
                </c:pt>
                <c:pt idx="35">
                  <c:v>77.105023566549463</c:v>
                </c:pt>
                <c:pt idx="36">
                  <c:v>78.001557379529103</c:v>
                </c:pt>
                <c:pt idx="37">
                  <c:v>79.324729120106781</c:v>
                </c:pt>
                <c:pt idx="38">
                  <c:v>80.620590489551248</c:v>
                </c:pt>
                <c:pt idx="39">
                  <c:v>80.950197431170523</c:v>
                </c:pt>
                <c:pt idx="40">
                  <c:v>81.312025928408275</c:v>
                </c:pt>
                <c:pt idx="41">
                  <c:v>80.45381491883694</c:v>
                </c:pt>
                <c:pt idx="42">
                  <c:v>80.662326477325195</c:v>
                </c:pt>
                <c:pt idx="43">
                  <c:v>79.284214133109998</c:v>
                </c:pt>
                <c:pt idx="44">
                  <c:v>79.318538480775715</c:v>
                </c:pt>
                <c:pt idx="45">
                  <c:v>79.269165401823514</c:v>
                </c:pt>
                <c:pt idx="46">
                  <c:v>79.015161115506444</c:v>
                </c:pt>
                <c:pt idx="47">
                  <c:v>79.250663115042173</c:v>
                </c:pt>
                <c:pt idx="48">
                  <c:v>78.259585970421881</c:v>
                </c:pt>
                <c:pt idx="49">
                  <c:v>78.18562522010636</c:v>
                </c:pt>
                <c:pt idx="50">
                  <c:v>176.91979331892298</c:v>
                </c:pt>
                <c:pt idx="51">
                  <c:v>176.49681796654102</c:v>
                </c:pt>
                <c:pt idx="52">
                  <c:v>175.27790300295217</c:v>
                </c:pt>
                <c:pt idx="53">
                  <c:v>172.27517363356588</c:v>
                </c:pt>
                <c:pt idx="54">
                  <c:v>168.234335529003</c:v>
                </c:pt>
                <c:pt idx="55">
                  <c:v>166.79206421670625</c:v>
                </c:pt>
                <c:pt idx="56">
                  <c:v>166.08525877133241</c:v>
                </c:pt>
                <c:pt idx="57">
                  <c:v>165.3367365132481</c:v>
                </c:pt>
                <c:pt idx="58">
                  <c:v>161.11912448450641</c:v>
                </c:pt>
                <c:pt idx="59">
                  <c:v>154.86193308630624</c:v>
                </c:pt>
                <c:pt idx="60">
                  <c:v>153.54708490642247</c:v>
                </c:pt>
                <c:pt idx="61">
                  <c:v>148.60947075225567</c:v>
                </c:pt>
                <c:pt idx="62">
                  <c:v>147.20796393675514</c:v>
                </c:pt>
                <c:pt idx="63">
                  <c:v>145.10019495283646</c:v>
                </c:pt>
                <c:pt idx="64">
                  <c:v>53.901626885964319</c:v>
                </c:pt>
                <c:pt idx="65">
                  <c:v>51.397055771381076</c:v>
                </c:pt>
                <c:pt idx="66">
                  <c:v>47.756988093698872</c:v>
                </c:pt>
                <c:pt idx="67">
                  <c:v>42.228188112089555</c:v>
                </c:pt>
                <c:pt idx="68">
                  <c:v>109.10919922273743</c:v>
                </c:pt>
                <c:pt idx="69">
                  <c:v>105.30049891047264</c:v>
                </c:pt>
                <c:pt idx="70">
                  <c:v>102.02633762188589</c:v>
                </c:pt>
                <c:pt idx="71">
                  <c:v>97.905008616718689</c:v>
                </c:pt>
                <c:pt idx="72">
                  <c:v>92.013027431042801</c:v>
                </c:pt>
                <c:pt idx="73">
                  <c:v>87.010643207063879</c:v>
                </c:pt>
                <c:pt idx="74">
                  <c:v>83.030113612872256</c:v>
                </c:pt>
                <c:pt idx="75">
                  <c:v>78.421573690457038</c:v>
                </c:pt>
                <c:pt idx="76">
                  <c:v>74.420856662793952</c:v>
                </c:pt>
                <c:pt idx="77">
                  <c:v>70.053952440616598</c:v>
                </c:pt>
                <c:pt idx="78">
                  <c:v>65.404661061551863</c:v>
                </c:pt>
                <c:pt idx="79">
                  <c:v>60.376375937328405</c:v>
                </c:pt>
                <c:pt idx="80">
                  <c:v>56.415544843135244</c:v>
                </c:pt>
                <c:pt idx="81">
                  <c:v>131.02739482527522</c:v>
                </c:pt>
                <c:pt idx="82">
                  <c:v>126.21830741859343</c:v>
                </c:pt>
                <c:pt idx="83">
                  <c:v>120.02661231799746</c:v>
                </c:pt>
                <c:pt idx="84">
                  <c:v>113.86965828039165</c:v>
                </c:pt>
                <c:pt idx="85">
                  <c:v>104.70843290647132</c:v>
                </c:pt>
                <c:pt idx="86">
                  <c:v>97.954759637505617</c:v>
                </c:pt>
                <c:pt idx="87">
                  <c:v>91.525388247320564</c:v>
                </c:pt>
                <c:pt idx="88">
                  <c:v>85.987103692230448</c:v>
                </c:pt>
                <c:pt idx="89">
                  <c:v>79.739957155826971</c:v>
                </c:pt>
                <c:pt idx="90">
                  <c:v>74.215321714348747</c:v>
                </c:pt>
                <c:pt idx="91">
                  <c:v>67.830132155391723</c:v>
                </c:pt>
                <c:pt idx="92">
                  <c:v>62.142693809062507</c:v>
                </c:pt>
                <c:pt idx="93">
                  <c:v>163.17090786793406</c:v>
                </c:pt>
                <c:pt idx="94">
                  <c:v>152.62049568629169</c:v>
                </c:pt>
                <c:pt idx="95">
                  <c:v>142.46272014065275</c:v>
                </c:pt>
                <c:pt idx="96">
                  <c:v>136.44434558445298</c:v>
                </c:pt>
                <c:pt idx="97">
                  <c:v>130.2182830114067</c:v>
                </c:pt>
                <c:pt idx="98">
                  <c:v>122.23274664944002</c:v>
                </c:pt>
                <c:pt idx="99">
                  <c:v>113.54510585926695</c:v>
                </c:pt>
                <c:pt idx="100">
                  <c:v>104.33503005489801</c:v>
                </c:pt>
                <c:pt idx="101">
                  <c:v>96.019895505289767</c:v>
                </c:pt>
                <c:pt idx="102">
                  <c:v>89.770505497031209</c:v>
                </c:pt>
                <c:pt idx="103">
                  <c:v>84.937420123560287</c:v>
                </c:pt>
                <c:pt idx="104">
                  <c:v>80.53055795738463</c:v>
                </c:pt>
                <c:pt idx="105">
                  <c:v>75.636697533762998</c:v>
                </c:pt>
                <c:pt idx="106">
                  <c:v>71.398065890325256</c:v>
                </c:pt>
                <c:pt idx="107">
                  <c:v>66.779179001327861</c:v>
                </c:pt>
                <c:pt idx="108">
                  <c:v>63.774817049745771</c:v>
                </c:pt>
                <c:pt idx="109">
                  <c:v>59.902681301687508</c:v>
                </c:pt>
                <c:pt idx="110">
                  <c:v>53.996393826960968</c:v>
                </c:pt>
                <c:pt idx="111">
                  <c:v>48.6622359788946</c:v>
                </c:pt>
                <c:pt idx="112">
                  <c:v>44.848465009342355</c:v>
                </c:pt>
                <c:pt idx="113">
                  <c:v>40.381571666053205</c:v>
                </c:pt>
                <c:pt idx="114">
                  <c:v>37.266476203792102</c:v>
                </c:pt>
                <c:pt idx="115">
                  <c:v>34.040611435800891</c:v>
                </c:pt>
                <c:pt idx="116">
                  <c:v>31.473425173892874</c:v>
                </c:pt>
                <c:pt idx="117">
                  <c:v>29.205319527650964</c:v>
                </c:pt>
                <c:pt idx="118">
                  <c:v>27.681353775533857</c:v>
                </c:pt>
                <c:pt idx="119">
                  <c:v>26.823677305646509</c:v>
                </c:pt>
                <c:pt idx="120">
                  <c:v>25.190341186146853</c:v>
                </c:pt>
                <c:pt idx="121">
                  <c:v>23.517752391608141</c:v>
                </c:pt>
                <c:pt idx="122">
                  <c:v>22.136791980822345</c:v>
                </c:pt>
                <c:pt idx="123">
                  <c:v>20.430432342182371</c:v>
                </c:pt>
                <c:pt idx="124">
                  <c:v>19.375521917007994</c:v>
                </c:pt>
                <c:pt idx="125">
                  <c:v>18.570086531951791</c:v>
                </c:pt>
                <c:pt idx="126">
                  <c:v>17.43751518861691</c:v>
                </c:pt>
                <c:pt idx="127">
                  <c:v>16.891854395817536</c:v>
                </c:pt>
                <c:pt idx="128">
                  <c:v>16.434267228603449</c:v>
                </c:pt>
                <c:pt idx="129">
                  <c:v>15.958608164172588</c:v>
                </c:pt>
                <c:pt idx="130">
                  <c:v>15.630047220613463</c:v>
                </c:pt>
                <c:pt idx="131">
                  <c:v>15.2407835487051</c:v>
                </c:pt>
                <c:pt idx="132">
                  <c:v>15.149078194246144</c:v>
                </c:pt>
                <c:pt idx="133">
                  <c:v>15.103976563693545</c:v>
                </c:pt>
                <c:pt idx="134">
                  <c:v>15.140737572114221</c:v>
                </c:pt>
                <c:pt idx="135">
                  <c:v>15.067477343832852</c:v>
                </c:pt>
                <c:pt idx="136">
                  <c:v>15.191509498738643</c:v>
                </c:pt>
                <c:pt idx="137">
                  <c:v>15.37968676559565</c:v>
                </c:pt>
                <c:pt idx="138">
                  <c:v>15.543431532398468</c:v>
                </c:pt>
                <c:pt idx="139">
                  <c:v>15.859133878150111</c:v>
                </c:pt>
                <c:pt idx="140">
                  <c:v>16.227392308621681</c:v>
                </c:pt>
                <c:pt idx="141">
                  <c:v>16.631631939009505</c:v>
                </c:pt>
                <c:pt idx="142">
                  <c:v>17.024555769879097</c:v>
                </c:pt>
                <c:pt idx="143">
                  <c:v>17.477832915247571</c:v>
                </c:pt>
                <c:pt idx="144">
                  <c:v>17.960579995103153</c:v>
                </c:pt>
                <c:pt idx="145">
                  <c:v>18.287514945829379</c:v>
                </c:pt>
                <c:pt idx="146">
                  <c:v>18.369530666038408</c:v>
                </c:pt>
                <c:pt idx="147">
                  <c:v>18.940136265076351</c:v>
                </c:pt>
                <c:pt idx="148">
                  <c:v>19.523236617705983</c:v>
                </c:pt>
                <c:pt idx="149">
                  <c:v>19.975394952947678</c:v>
                </c:pt>
                <c:pt idx="150">
                  <c:v>20.366601776613429</c:v>
                </c:pt>
                <c:pt idx="151">
                  <c:v>20.458770016002717</c:v>
                </c:pt>
                <c:pt idx="152">
                  <c:v>21.078191284206575</c:v>
                </c:pt>
                <c:pt idx="153">
                  <c:v>21.762587013049149</c:v>
                </c:pt>
                <c:pt idx="154">
                  <c:v>22.402512410019032</c:v>
                </c:pt>
                <c:pt idx="155">
                  <c:v>23.118146391764419</c:v>
                </c:pt>
                <c:pt idx="156">
                  <c:v>23.808835990818373</c:v>
                </c:pt>
                <c:pt idx="157">
                  <c:v>24.25581404307524</c:v>
                </c:pt>
                <c:pt idx="158">
                  <c:v>24.734071686326313</c:v>
                </c:pt>
                <c:pt idx="159">
                  <c:v>24.508317879196685</c:v>
                </c:pt>
                <c:pt idx="160">
                  <c:v>24.953996019782192</c:v>
                </c:pt>
                <c:pt idx="161">
                  <c:v>25.610974086724678</c:v>
                </c:pt>
                <c:pt idx="162">
                  <c:v>26.103891165423263</c:v>
                </c:pt>
                <c:pt idx="163">
                  <c:v>26.837036202689852</c:v>
                </c:pt>
                <c:pt idx="164">
                  <c:v>27.097065806668134</c:v>
                </c:pt>
                <c:pt idx="165">
                  <c:v>27.9167619580302</c:v>
                </c:pt>
                <c:pt idx="166">
                  <c:v>28.708763977592596</c:v>
                </c:pt>
                <c:pt idx="167">
                  <c:v>29.523855084532467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  <c:pt idx="0">
                  <c:v>45458</c:v>
                </c:pt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  <c:pt idx="0">
                  <c:v>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-0.30137538054705365</c:v>
                </c:pt>
                <c:pt idx="4">
                  <c:v>-0.88097729634608002</c:v>
                </c:pt>
                <c:pt idx="5">
                  <c:v>-1.1135334255635572</c:v>
                </c:pt>
                <c:pt idx="6">
                  <c:v>-1.1135334255635572</c:v>
                </c:pt>
                <c:pt idx="7">
                  <c:v>-1.1135334255635572</c:v>
                </c:pt>
                <c:pt idx="8">
                  <c:v>-1.1135334255635572</c:v>
                </c:pt>
                <c:pt idx="9">
                  <c:v>-1.1135334255635572</c:v>
                </c:pt>
                <c:pt idx="10">
                  <c:v>-1.1135334255635572</c:v>
                </c:pt>
                <c:pt idx="11">
                  <c:v>-1.1135334255635572</c:v>
                </c:pt>
                <c:pt idx="12">
                  <c:v>-2.7219391936507704</c:v>
                </c:pt>
                <c:pt idx="13">
                  <c:v>-2.7219391936507704</c:v>
                </c:pt>
                <c:pt idx="14">
                  <c:v>-3.5234822619453348</c:v>
                </c:pt>
                <c:pt idx="15">
                  <c:v>-5.0658814265516581</c:v>
                </c:pt>
                <c:pt idx="16">
                  <c:v>-6.2167981442511921</c:v>
                </c:pt>
                <c:pt idx="17">
                  <c:v>-7.6015069819188046</c:v>
                </c:pt>
                <c:pt idx="18">
                  <c:v>-7.6015069819188046</c:v>
                </c:pt>
                <c:pt idx="19">
                  <c:v>-7.6015069819188046</c:v>
                </c:pt>
                <c:pt idx="20">
                  <c:v>-7.6015069819188046</c:v>
                </c:pt>
                <c:pt idx="21">
                  <c:v>-7.6015069819188046</c:v>
                </c:pt>
                <c:pt idx="22">
                  <c:v>-8.9819054910333076</c:v>
                </c:pt>
                <c:pt idx="23">
                  <c:v>-9.4155184051536231</c:v>
                </c:pt>
                <c:pt idx="24">
                  <c:v>-11.077925740978069</c:v>
                </c:pt>
                <c:pt idx="25">
                  <c:v>-11.447731537821115</c:v>
                </c:pt>
                <c:pt idx="26">
                  <c:v>-11.447731537821115</c:v>
                </c:pt>
                <c:pt idx="27">
                  <c:v>-11.551595143759958</c:v>
                </c:pt>
                <c:pt idx="28">
                  <c:v>-12.689512670288567</c:v>
                </c:pt>
                <c:pt idx="29">
                  <c:v>-14.804997830899158</c:v>
                </c:pt>
                <c:pt idx="30">
                  <c:v>-16.442564163916053</c:v>
                </c:pt>
                <c:pt idx="31">
                  <c:v>-18.014948597772594</c:v>
                </c:pt>
                <c:pt idx="32">
                  <c:v>-21.19889170887155</c:v>
                </c:pt>
                <c:pt idx="33">
                  <c:v>-22.717018527672085</c:v>
                </c:pt>
                <c:pt idx="34">
                  <c:v>-23.730103872974386</c:v>
                </c:pt>
                <c:pt idx="35">
                  <c:v>-24.277884779529789</c:v>
                </c:pt>
                <c:pt idx="36">
                  <c:v>-24.728937263507063</c:v>
                </c:pt>
                <c:pt idx="37">
                  <c:v>-24.728937263507063</c:v>
                </c:pt>
                <c:pt idx="38">
                  <c:v>-24.730977077901173</c:v>
                </c:pt>
                <c:pt idx="39">
                  <c:v>-25.542356158240271</c:v>
                </c:pt>
                <c:pt idx="40">
                  <c:v>-26.370796074583325</c:v>
                </c:pt>
                <c:pt idx="41">
                  <c:v>-28.435544124703277</c:v>
                </c:pt>
                <c:pt idx="42">
                  <c:v>-29.403959650120907</c:v>
                </c:pt>
                <c:pt idx="43">
                  <c:v>-31.639544679358284</c:v>
                </c:pt>
                <c:pt idx="44">
                  <c:v>-32.386518393920717</c:v>
                </c:pt>
                <c:pt idx="45">
                  <c:v>-33.159220432315891</c:v>
                </c:pt>
                <c:pt idx="46">
                  <c:v>-34.090454186216327</c:v>
                </c:pt>
                <c:pt idx="47">
                  <c:v>-34.465803703694519</c:v>
                </c:pt>
                <c:pt idx="48">
                  <c:v>-36.017385060325495</c:v>
                </c:pt>
                <c:pt idx="49">
                  <c:v>-36.590066436937697</c:v>
                </c:pt>
                <c:pt idx="50">
                  <c:v>-38.287930308985388</c:v>
                </c:pt>
                <c:pt idx="51">
                  <c:v>-39.075259592610045</c:v>
                </c:pt>
                <c:pt idx="52">
                  <c:v>-40.513554501019783</c:v>
                </c:pt>
                <c:pt idx="53">
                  <c:v>-43.634980907928252</c:v>
                </c:pt>
                <c:pt idx="54">
                  <c:v>-47.683820582992915</c:v>
                </c:pt>
                <c:pt idx="55">
                  <c:v>-49.015739820433573</c:v>
                </c:pt>
                <c:pt idx="56">
                  <c:v>-49.610276906180232</c:v>
                </c:pt>
                <c:pt idx="57">
                  <c:v>-50.156606992050087</c:v>
                </c:pt>
                <c:pt idx="58">
                  <c:v>-53.768010440278175</c:v>
                </c:pt>
                <c:pt idx="59">
                  <c:v>-59.209275231212111</c:v>
                </c:pt>
                <c:pt idx="60">
                  <c:v>-59.209275231212111</c:v>
                </c:pt>
                <c:pt idx="61">
                  <c:v>-62.941322653250957</c:v>
                </c:pt>
                <c:pt idx="62">
                  <c:v>-63.030500811114095</c:v>
                </c:pt>
                <c:pt idx="63">
                  <c:v>-64.061343065692071</c:v>
                </c:pt>
                <c:pt idx="64">
                  <c:v>-64.590161323425008</c:v>
                </c:pt>
                <c:pt idx="65">
                  <c:v>-65.045881884597918</c:v>
                </c:pt>
                <c:pt idx="66">
                  <c:v>-66.295177007918596</c:v>
                </c:pt>
                <c:pt idx="67">
                  <c:v>-68.890558169451197</c:v>
                </c:pt>
                <c:pt idx="68">
                  <c:v>-73.736050353308926</c:v>
                </c:pt>
                <c:pt idx="69">
                  <c:v>-74.315966144410083</c:v>
                </c:pt>
                <c:pt idx="70">
                  <c:v>-74.911563373310017</c:v>
                </c:pt>
                <c:pt idx="71">
                  <c:v>-76.09238291201774</c:v>
                </c:pt>
                <c:pt idx="72">
                  <c:v>-77.541654770163504</c:v>
                </c:pt>
                <c:pt idx="73">
                  <c:v>-78.562327445696795</c:v>
                </c:pt>
                <c:pt idx="74">
                  <c:v>-78.676644268786987</c:v>
                </c:pt>
                <c:pt idx="75">
                  <c:v>-79.579287947409611</c:v>
                </c:pt>
                <c:pt idx="76">
                  <c:v>-79.579287947409611</c:v>
                </c:pt>
                <c:pt idx="77">
                  <c:v>-79.891789755880822</c:v>
                </c:pt>
                <c:pt idx="78">
                  <c:v>-80.522139025532013</c:v>
                </c:pt>
                <c:pt idx="79">
                  <c:v>-80.961049027998158</c:v>
                </c:pt>
                <c:pt idx="80">
                  <c:v>-80.961049027998158</c:v>
                </c:pt>
                <c:pt idx="81">
                  <c:v>-82.755430242586286</c:v>
                </c:pt>
                <c:pt idx="82">
                  <c:v>-82.755430242586286</c:v>
                </c:pt>
                <c:pt idx="83">
                  <c:v>-82.755430242586286</c:v>
                </c:pt>
                <c:pt idx="84">
                  <c:v>-82.956107094178904</c:v>
                </c:pt>
                <c:pt idx="85">
                  <c:v>-85.124330412103049</c:v>
                </c:pt>
                <c:pt idx="86">
                  <c:v>-86.575480488935781</c:v>
                </c:pt>
                <c:pt idx="87">
                  <c:v>-88.233814407585058</c:v>
                </c:pt>
                <c:pt idx="88">
                  <c:v>-88.806812527551543</c:v>
                </c:pt>
                <c:pt idx="89">
                  <c:v>-90.396526803834959</c:v>
                </c:pt>
                <c:pt idx="90">
                  <c:v>-90.649934482036414</c:v>
                </c:pt>
                <c:pt idx="91">
                  <c:v>-92.218874930152438</c:v>
                </c:pt>
                <c:pt idx="92">
                  <c:v>-93.372207302498609</c:v>
                </c:pt>
                <c:pt idx="93">
                  <c:v>-94.349699690540433</c:v>
                </c:pt>
                <c:pt idx="94">
                  <c:v>-98.787638278148776</c:v>
                </c:pt>
                <c:pt idx="95">
                  <c:v>-101.65919119367949</c:v>
                </c:pt>
                <c:pt idx="96">
                  <c:v>-101.719305803908</c:v>
                </c:pt>
                <c:pt idx="97">
                  <c:v>-101.85556319569675</c:v>
                </c:pt>
                <c:pt idx="98">
                  <c:v>-103.0672617276999</c:v>
                </c:pt>
                <c:pt idx="99">
                  <c:v>-104.66182995346264</c:v>
                </c:pt>
                <c:pt idx="100">
                  <c:v>-106.73038533194236</c:v>
                </c:pt>
                <c:pt idx="101">
                  <c:v>-109.05184025486879</c:v>
                </c:pt>
                <c:pt idx="102">
                  <c:v>-109.59566737512617</c:v>
                </c:pt>
                <c:pt idx="103">
                  <c:v>-109.59566737512617</c:v>
                </c:pt>
                <c:pt idx="104">
                  <c:v>-109.59566737512617</c:v>
                </c:pt>
                <c:pt idx="105">
                  <c:v>-109.59566737512617</c:v>
                </c:pt>
                <c:pt idx="106">
                  <c:v>-109.59566737512617</c:v>
                </c:pt>
                <c:pt idx="107">
                  <c:v>-110.15099916565107</c:v>
                </c:pt>
                <c:pt idx="108">
                  <c:v>-110.2142194190743</c:v>
                </c:pt>
                <c:pt idx="109">
                  <c:v>-110.72556259714233</c:v>
                </c:pt>
                <c:pt idx="110">
                  <c:v>-112.01318095080728</c:v>
                </c:pt>
                <c:pt idx="111">
                  <c:v>-112.90828399290022</c:v>
                </c:pt>
                <c:pt idx="112">
                  <c:v>-113.07870815993573</c:v>
                </c:pt>
                <c:pt idx="113">
                  <c:v>-114.17954491796249</c:v>
                </c:pt>
                <c:pt idx="114">
                  <c:v>-114.51613141028427</c:v>
                </c:pt>
                <c:pt idx="115">
                  <c:v>-115.1629030275645</c:v>
                </c:pt>
                <c:pt idx="116">
                  <c:v>-115.35356812499475</c:v>
                </c:pt>
                <c:pt idx="117">
                  <c:v>-115.75727875927697</c:v>
                </c:pt>
                <c:pt idx="118">
                  <c:v>-116.07437067267091</c:v>
                </c:pt>
                <c:pt idx="119">
                  <c:v>-116.0876658866398</c:v>
                </c:pt>
                <c:pt idx="120">
                  <c:v>-116.56350778087203</c:v>
                </c:pt>
                <c:pt idx="121">
                  <c:v>-117.04920049330741</c:v>
                </c:pt>
                <c:pt idx="122">
                  <c:v>-117.28327300677419</c:v>
                </c:pt>
                <c:pt idx="123">
                  <c:v>-117.90885876695627</c:v>
                </c:pt>
                <c:pt idx="124">
                  <c:v>-118.12653854362388</c:v>
                </c:pt>
                <c:pt idx="125">
                  <c:v>-118.15721955615493</c:v>
                </c:pt>
                <c:pt idx="126">
                  <c:v>-118.65947053710939</c:v>
                </c:pt>
                <c:pt idx="127">
                  <c:v>-118.83715326059466</c:v>
                </c:pt>
                <c:pt idx="128">
                  <c:v>-118.88874256902533</c:v>
                </c:pt>
                <c:pt idx="129">
                  <c:v>-119.08297502027564</c:v>
                </c:pt>
                <c:pt idx="130">
                  <c:v>-119.14064762929547</c:v>
                </c:pt>
                <c:pt idx="131">
                  <c:v>-119.37482558173514</c:v>
                </c:pt>
                <c:pt idx="132">
                  <c:v>-119.37816276997503</c:v>
                </c:pt>
                <c:pt idx="133">
                  <c:v>-119.37816276997503</c:v>
                </c:pt>
                <c:pt idx="134">
                  <c:v>-119.37816276997503</c:v>
                </c:pt>
                <c:pt idx="135">
                  <c:v>-119.49754037114452</c:v>
                </c:pt>
                <c:pt idx="136">
                  <c:v>-119.49754037114452</c:v>
                </c:pt>
                <c:pt idx="137">
                  <c:v>-119.49754037114452</c:v>
                </c:pt>
                <c:pt idx="138">
                  <c:v>-119.5975020990785</c:v>
                </c:pt>
                <c:pt idx="139">
                  <c:v>-119.5975020990785</c:v>
                </c:pt>
                <c:pt idx="140">
                  <c:v>-119.5975020990785</c:v>
                </c:pt>
                <c:pt idx="141">
                  <c:v>-119.5975020990785</c:v>
                </c:pt>
                <c:pt idx="142">
                  <c:v>-119.63291593667725</c:v>
                </c:pt>
                <c:pt idx="143">
                  <c:v>-119.63291593667725</c:v>
                </c:pt>
                <c:pt idx="144">
                  <c:v>-119.63291593667725</c:v>
                </c:pt>
                <c:pt idx="145">
                  <c:v>-119.8029214873529</c:v>
                </c:pt>
                <c:pt idx="146">
                  <c:v>-120.25411975652395</c:v>
                </c:pt>
                <c:pt idx="147">
                  <c:v>-120.25411975652395</c:v>
                </c:pt>
                <c:pt idx="148">
                  <c:v>-120.25411975652395</c:v>
                </c:pt>
                <c:pt idx="149">
                  <c:v>-120.35971500756688</c:v>
                </c:pt>
                <c:pt idx="150">
                  <c:v>-120.5582450996676</c:v>
                </c:pt>
                <c:pt idx="151">
                  <c:v>-121.09456137800015</c:v>
                </c:pt>
                <c:pt idx="152">
                  <c:v>-121.10616965725812</c:v>
                </c:pt>
                <c:pt idx="153">
                  <c:v>-121.10616965725812</c:v>
                </c:pt>
                <c:pt idx="154">
                  <c:v>-121.15540747158477</c:v>
                </c:pt>
                <c:pt idx="155">
                  <c:v>-121.15540747158477</c:v>
                </c:pt>
                <c:pt idx="156">
                  <c:v>-121.18473869732242</c:v>
                </c:pt>
                <c:pt idx="157">
                  <c:v>-121.52671052197609</c:v>
                </c:pt>
                <c:pt idx="158">
                  <c:v>-121.78824644519845</c:v>
                </c:pt>
                <c:pt idx="159">
                  <c:v>-122.70471545667532</c:v>
                </c:pt>
                <c:pt idx="160">
                  <c:v>-122.94658839200909</c:v>
                </c:pt>
                <c:pt idx="161">
                  <c:v>-122.94658839200909</c:v>
                </c:pt>
                <c:pt idx="162">
                  <c:v>-123.13223827906297</c:v>
                </c:pt>
                <c:pt idx="163">
                  <c:v>-123.13223827906297</c:v>
                </c:pt>
                <c:pt idx="164">
                  <c:v>-123.65577940693395</c:v>
                </c:pt>
                <c:pt idx="165">
                  <c:v>-123.65577940693395</c:v>
                </c:pt>
                <c:pt idx="166">
                  <c:v>-123.65577940693395</c:v>
                </c:pt>
                <c:pt idx="167">
                  <c:v>-123.65577940693395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0.94804269898302018</c:v>
                </c:pt>
                <c:pt idx="1">
                  <c:v>1.8529964954788567</c:v>
                </c:pt>
                <c:pt idx="2">
                  <c:v>2.7627651660884149</c:v>
                </c:pt>
                <c:pt idx="3">
                  <c:v>3.7219379622813675</c:v>
                </c:pt>
                <c:pt idx="4">
                  <c:v>4.658214801584367</c:v>
                </c:pt>
                <c:pt idx="5">
                  <c:v>5.5977417580505753</c:v>
                </c:pt>
                <c:pt idx="6">
                  <c:v>6.4790387054548848</c:v>
                </c:pt>
                <c:pt idx="7">
                  <c:v>7.4689872101451735</c:v>
                </c:pt>
                <c:pt idx="8">
                  <c:v>8.4580961362345057</c:v>
                </c:pt>
                <c:pt idx="9">
                  <c:v>9.391129763057025</c:v>
                </c:pt>
                <c:pt idx="10">
                  <c:v>10.349479011182172</c:v>
                </c:pt>
                <c:pt idx="11">
                  <c:v>11.384546949228959</c:v>
                </c:pt>
                <c:pt idx="12">
                  <c:v>12.385449475192138</c:v>
                </c:pt>
                <c:pt idx="13">
                  <c:v>13.346270665384157</c:v>
                </c:pt>
                <c:pt idx="14">
                  <c:v>14.37961379543423</c:v>
                </c:pt>
                <c:pt idx="15">
                  <c:v>15.354516242338722</c:v>
                </c:pt>
                <c:pt idx="16">
                  <c:v>16.307112763916802</c:v>
                </c:pt>
                <c:pt idx="17">
                  <c:v>17.244201485098731</c:v>
                </c:pt>
                <c:pt idx="18">
                  <c:v>18.044270080235183</c:v>
                </c:pt>
                <c:pt idx="19">
                  <c:v>18.84213140115553</c:v>
                </c:pt>
                <c:pt idx="20">
                  <c:v>19.73441819742127</c:v>
                </c:pt>
                <c:pt idx="21">
                  <c:v>20.630650323777331</c:v>
                </c:pt>
                <c:pt idx="22">
                  <c:v>21.562874226041931</c:v>
                </c:pt>
                <c:pt idx="23">
                  <c:v>22.46941447387788</c:v>
                </c:pt>
                <c:pt idx="24">
                  <c:v>23.329753863162846</c:v>
                </c:pt>
                <c:pt idx="25">
                  <c:v>24.199369200984474</c:v>
                </c:pt>
                <c:pt idx="26">
                  <c:v>25.173439874010349</c:v>
                </c:pt>
                <c:pt idx="27">
                  <c:v>26.117854957957267</c:v>
                </c:pt>
                <c:pt idx="28">
                  <c:v>27.010929961527914</c:v>
                </c:pt>
                <c:pt idx="29">
                  <c:v>27.941535708674976</c:v>
                </c:pt>
                <c:pt idx="30">
                  <c:v>28.818148447111113</c:v>
                </c:pt>
                <c:pt idx="31">
                  <c:v>29.70336068953117</c:v>
                </c:pt>
                <c:pt idx="32">
                  <c:v>30.62590153070558</c:v>
                </c:pt>
                <c:pt idx="33">
                  <c:v>31.500956293702647</c:v>
                </c:pt>
                <c:pt idx="34">
                  <c:v>32.327809824626634</c:v>
                </c:pt>
                <c:pt idx="35">
                  <c:v>33.107425195352832</c:v>
                </c:pt>
                <c:pt idx="36">
                  <c:v>33.908967423635289</c:v>
                </c:pt>
                <c:pt idx="37">
                  <c:v>34.700229772036884</c:v>
                </c:pt>
                <c:pt idx="38">
                  <c:v>35.480569912311822</c:v>
                </c:pt>
                <c:pt idx="39">
                  <c:v>36.160858534562749</c:v>
                </c:pt>
                <c:pt idx="40">
                  <c:v>36.879715952141417</c:v>
                </c:pt>
                <c:pt idx="41">
                  <c:v>37.615217312928735</c:v>
                </c:pt>
                <c:pt idx="42">
                  <c:v>38.336142076303659</c:v>
                </c:pt>
                <c:pt idx="43">
                  <c:v>39.085697400122797</c:v>
                </c:pt>
                <c:pt idx="44">
                  <c:v>39.792910665571306</c:v>
                </c:pt>
                <c:pt idx="45">
                  <c:v>40.480537495147104</c:v>
                </c:pt>
                <c:pt idx="46">
                  <c:v>41.203533357284073</c:v>
                </c:pt>
                <c:pt idx="47">
                  <c:v>41.850451039766916</c:v>
                </c:pt>
                <c:pt idx="48">
                  <c:v>42.501239245467723</c:v>
                </c:pt>
                <c:pt idx="49">
                  <c:v>43.170285286284049</c:v>
                </c:pt>
                <c:pt idx="50">
                  <c:v>43.839331327100375</c:v>
                </c:pt>
                <c:pt idx="51">
                  <c:v>44.501819717624265</c:v>
                </c:pt>
                <c:pt idx="52">
                  <c:v>45.235227426740416</c:v>
                </c:pt>
                <c:pt idx="53">
                  <c:v>45.950647603322182</c:v>
                </c:pt>
                <c:pt idx="54">
                  <c:v>46.657179663277454</c:v>
                </c:pt>
                <c:pt idx="55">
                  <c:v>47.356922519284645</c:v>
                </c:pt>
                <c:pt idx="56">
                  <c:v>47.999343224412605</c:v>
                </c:pt>
                <c:pt idx="57">
                  <c:v>48.635374438123478</c:v>
                </c:pt>
                <c:pt idx="58">
                  <c:v>49.365301089116905</c:v>
                </c:pt>
                <c:pt idx="59">
                  <c:v>50.095227740110332</c:v>
                </c:pt>
                <c:pt idx="60">
                  <c:v>50.892354149545923</c:v>
                </c:pt>
                <c:pt idx="61">
                  <c:v>51.594129406084981</c:v>
                </c:pt>
                <c:pt idx="62">
                  <c:v>52.271761986908693</c:v>
                </c:pt>
                <c:pt idx="63">
                  <c:v>52.87892629203558</c:v>
                </c:pt>
                <c:pt idx="64">
                  <c:v>53.556558872859291</c:v>
                </c:pt>
                <c:pt idx="65">
                  <c:v>54.240843951488394</c:v>
                </c:pt>
                <c:pt idx="66">
                  <c:v>54.931151630433391</c:v>
                </c:pt>
                <c:pt idx="67">
                  <c:v>55.645199826513959</c:v>
                </c:pt>
                <c:pt idx="68">
                  <c:v>56.355825356659359</c:v>
                </c:pt>
                <c:pt idx="69">
                  <c:v>57.026846722170554</c:v>
                </c:pt>
                <c:pt idx="70">
                  <c:v>57.630309092858191</c:v>
                </c:pt>
                <c:pt idx="71">
                  <c:v>58.236855397248917</c:v>
                </c:pt>
                <c:pt idx="72">
                  <c:v>58.929850551158644</c:v>
                </c:pt>
                <c:pt idx="73">
                  <c:v>59.56715639434784</c:v>
                </c:pt>
                <c:pt idx="74">
                  <c:v>60.180522986060041</c:v>
                </c:pt>
                <c:pt idx="75">
                  <c:v>60.771750619341312</c:v>
                </c:pt>
                <c:pt idx="76">
                  <c:v>61.367242050578191</c:v>
                </c:pt>
                <c:pt idx="77">
                  <c:v>61.954830710448284</c:v>
                </c:pt>
                <c:pt idx="78">
                  <c:v>62.531589283882731</c:v>
                </c:pt>
                <c:pt idx="79">
                  <c:v>63.125860471504495</c:v>
                </c:pt>
                <c:pt idx="80">
                  <c:v>63.684857293535281</c:v>
                </c:pt>
                <c:pt idx="81">
                  <c:v>64.279738401322732</c:v>
                </c:pt>
                <c:pt idx="82">
                  <c:v>64.860693215275532</c:v>
                </c:pt>
                <c:pt idx="83">
                  <c:v>65.491008799103582</c:v>
                </c:pt>
                <c:pt idx="84">
                  <c:v>66.103753338158839</c:v>
                </c:pt>
                <c:pt idx="85">
                  <c:v>66.75067102064169</c:v>
                </c:pt>
                <c:pt idx="86">
                  <c:v>67.327429594076136</c:v>
                </c:pt>
                <c:pt idx="87">
                  <c:v>67.8823336819937</c:v>
                </c:pt>
                <c:pt idx="88">
                  <c:v>68.441916773218935</c:v>
                </c:pt>
                <c:pt idx="89">
                  <c:v>68.989271761167402</c:v>
                </c:pt>
                <c:pt idx="90">
                  <c:v>69.556512643697673</c:v>
                </c:pt>
                <c:pt idx="91">
                  <c:v>70.107343489722581</c:v>
                </c:pt>
                <c:pt idx="92">
                  <c:v>70.648363148479234</c:v>
                </c:pt>
                <c:pt idx="93">
                  <c:v>71.24507643678173</c:v>
                </c:pt>
                <c:pt idx="94">
                  <c:v>71.841789725084226</c:v>
                </c:pt>
                <c:pt idx="95">
                  <c:v>72.484210430212187</c:v>
                </c:pt>
                <c:pt idx="96">
                  <c:v>73.080312588261137</c:v>
                </c:pt>
                <c:pt idx="97">
                  <c:v>73.685007318744368</c:v>
                </c:pt>
                <c:pt idx="98">
                  <c:v>74.32167564300363</c:v>
                </c:pt>
                <c:pt idx="99">
                  <c:v>74.979598151359568</c:v>
                </c:pt>
                <c:pt idx="100">
                  <c:v>75.650619516870762</c:v>
                </c:pt>
                <c:pt idx="101">
                  <c:v>76.28283663919494</c:v>
                </c:pt>
                <c:pt idx="102">
                  <c:v>76.91315222302299</c:v>
                </c:pt>
                <c:pt idx="103">
                  <c:v>77.514154726065058</c:v>
                </c:pt>
                <c:pt idx="104">
                  <c:v>78.104774857221017</c:v>
                </c:pt>
                <c:pt idx="105">
                  <c:v>78.730667782002513</c:v>
                </c:pt>
                <c:pt idx="106">
                  <c:v>79.335362512485744</c:v>
                </c:pt>
                <c:pt idx="107">
                  <c:v>79.943145223194506</c:v>
                </c:pt>
                <c:pt idx="108">
                  <c:v>80.499216673443641</c:v>
                </c:pt>
                <c:pt idx="109">
                  <c:v>81.089229705203238</c:v>
                </c:pt>
                <c:pt idx="110">
                  <c:v>81.780880293166291</c:v>
                </c:pt>
                <c:pt idx="111">
                  <c:v>82.490139669730766</c:v>
                </c:pt>
                <c:pt idx="112">
                  <c:v>83.165784554389802</c:v>
                </c:pt>
                <c:pt idx="113">
                  <c:v>83.846738219569545</c:v>
                </c:pt>
                <c:pt idx="114">
                  <c:v>84.500763134850033</c:v>
                </c:pt>
                <c:pt idx="115">
                  <c:v>85.161944932449856</c:v>
                </c:pt>
                <c:pt idx="116">
                  <c:v>85.830333355665502</c:v>
                </c:pt>
                <c:pt idx="117">
                  <c:v>86.464455687287398</c:v>
                </c:pt>
                <c:pt idx="118">
                  <c:v>87.035253698924677</c:v>
                </c:pt>
                <c:pt idx="119">
                  <c:v>87.571695928535405</c:v>
                </c:pt>
                <c:pt idx="120">
                  <c:v>88.16413977457205</c:v>
                </c:pt>
                <c:pt idx="121">
                  <c:v>88.781872096339711</c:v>
                </c:pt>
                <c:pt idx="122">
                  <c:v>89.418540420598973</c:v>
                </c:pt>
                <c:pt idx="123">
                  <c:v>90.073213908493713</c:v>
                </c:pt>
                <c:pt idx="124">
                  <c:v>90.706065692618566</c:v>
                </c:pt>
                <c:pt idx="125">
                  <c:v>91.355562084788659</c:v>
                </c:pt>
                <c:pt idx="126">
                  <c:v>91.999907610257537</c:v>
                </c:pt>
                <c:pt idx="127">
                  <c:v>92.594788718044995</c:v>
                </c:pt>
                <c:pt idx="128">
                  <c:v>93.23018322951576</c:v>
                </c:pt>
                <c:pt idx="129">
                  <c:v>93.851673444331055</c:v>
                </c:pt>
                <c:pt idx="130">
                  <c:v>94.505698359611543</c:v>
                </c:pt>
                <c:pt idx="131">
                  <c:v>95.143642130185398</c:v>
                </c:pt>
                <c:pt idx="132">
                  <c:v>95.785422046703758</c:v>
                </c:pt>
                <c:pt idx="133">
                  <c:v>96.447256935179411</c:v>
                </c:pt>
                <c:pt idx="134">
                  <c:v>97.098045140880217</c:v>
                </c:pt>
                <c:pt idx="135">
                  <c:v>97.815526412074647</c:v>
                </c:pt>
                <c:pt idx="136">
                  <c:v>98.535072528026731</c:v>
                </c:pt>
                <c:pt idx="137">
                  <c:v>99.277579925726002</c:v>
                </c:pt>
                <c:pt idx="138">
                  <c:v>99.985474812397726</c:v>
                </c:pt>
                <c:pt idx="139">
                  <c:v>100.73079635049118</c:v>
                </c:pt>
                <c:pt idx="140">
                  <c:v>101.44484454657174</c:v>
                </c:pt>
                <c:pt idx="141">
                  <c:v>102.12181414927217</c:v>
                </c:pt>
                <c:pt idx="142">
                  <c:v>102.76873183175502</c:v>
                </c:pt>
                <c:pt idx="143">
                  <c:v>103.42146083271847</c:v>
                </c:pt>
                <c:pt idx="144">
                  <c:v>104.09446123220854</c:v>
                </c:pt>
                <c:pt idx="145">
                  <c:v>104.74913472010329</c:v>
                </c:pt>
                <c:pt idx="146">
                  <c:v>105.44011364647429</c:v>
                </c:pt>
                <c:pt idx="147">
                  <c:v>106.16103840984921</c:v>
                </c:pt>
                <c:pt idx="148">
                  <c:v>106.86893329652094</c:v>
                </c:pt>
                <c:pt idx="149">
                  <c:v>107.51263680605179</c:v>
                </c:pt>
                <c:pt idx="150">
                  <c:v>108.18761995065663</c:v>
                </c:pt>
                <c:pt idx="151">
                  <c:v>108.89961329858166</c:v>
                </c:pt>
                <c:pt idx="152">
                  <c:v>109.59867951786998</c:v>
                </c:pt>
                <c:pt idx="153">
                  <c:v>110.35106575446392</c:v>
                </c:pt>
                <c:pt idx="154">
                  <c:v>111.09497938433559</c:v>
                </c:pt>
                <c:pt idx="155">
                  <c:v>111.85804138486198</c:v>
                </c:pt>
                <c:pt idx="156">
                  <c:v>112.61539788039745</c:v>
                </c:pt>
                <c:pt idx="157">
                  <c:v>113.43999831469573</c:v>
                </c:pt>
                <c:pt idx="158">
                  <c:v>114.20163141656083</c:v>
                </c:pt>
                <c:pt idx="159">
                  <c:v>114.90408497028544</c:v>
                </c:pt>
                <c:pt idx="160">
                  <c:v>115.5991000810111</c:v>
                </c:pt>
                <c:pt idx="161">
                  <c:v>116.2583250723181</c:v>
                </c:pt>
                <c:pt idx="162">
                  <c:v>116.93794906473663</c:v>
                </c:pt>
                <c:pt idx="163">
                  <c:v>117.67205423955473</c:v>
                </c:pt>
                <c:pt idx="164">
                  <c:v>118.45529767807822</c:v>
                </c:pt>
                <c:pt idx="165">
                  <c:v>119.27241541613938</c:v>
                </c:pt>
                <c:pt idx="166">
                  <c:v>120.05856890764984</c:v>
                </c:pt>
                <c:pt idx="167">
                  <c:v>120.86599704436831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-5.412604812147534E-2</c:v>
                </c:pt>
                <c:pt idx="2">
                  <c:v>-1.3078689178029901E-2</c:v>
                </c:pt>
                <c:pt idx="3">
                  <c:v>0.11752823693416292</c:v>
                </c:pt>
                <c:pt idx="4">
                  <c:v>0.32409093288979673</c:v>
                </c:pt>
                <c:pt idx="5">
                  <c:v>0.60139481186005783</c:v>
                </c:pt>
                <c:pt idx="6">
                  <c:v>0.92355516209224087</c:v>
                </c:pt>
                <c:pt idx="7">
                  <c:v>1.3357644865558589</c:v>
                </c:pt>
                <c:pt idx="8">
                  <c:v>1.8022197600802268</c:v>
                </c:pt>
                <c:pt idx="9">
                  <c:v>2.2920552058720132</c:v>
                </c:pt>
                <c:pt idx="10">
                  <c:v>2.8322891082712083</c:v>
                </c:pt>
                <c:pt idx="11">
                  <c:v>3.4462222405767693</c:v>
                </c:pt>
                <c:pt idx="12">
                  <c:v>4.0762420697431097</c:v>
                </c:pt>
                <c:pt idx="13">
                  <c:v>4.7119707535043638</c:v>
                </c:pt>
                <c:pt idx="14">
                  <c:v>5.4106246031467595</c:v>
                </c:pt>
                <c:pt idx="15">
                  <c:v>6.0956734745856975</c:v>
                </c:pt>
                <c:pt idx="16">
                  <c:v>6.7827268517462791</c:v>
                </c:pt>
                <c:pt idx="17">
                  <c:v>7.4721832367068206</c:v>
                </c:pt>
                <c:pt idx="18">
                  <c:v>8.0893815125767947</c:v>
                </c:pt>
                <c:pt idx="19">
                  <c:v>8.7104616217337227</c:v>
                </c:pt>
                <c:pt idx="20">
                  <c:v>9.3913981841229877</c:v>
                </c:pt>
                <c:pt idx="21">
                  <c:v>10.077268738734688</c:v>
                </c:pt>
                <c:pt idx="22">
                  <c:v>10.785831034256844</c:v>
                </c:pt>
                <c:pt idx="23">
                  <c:v>11.478236827754024</c:v>
                </c:pt>
                <c:pt idx="24">
                  <c:v>12.141025802234784</c:v>
                </c:pt>
                <c:pt idx="25">
                  <c:v>12.806346504152982</c:v>
                </c:pt>
                <c:pt idx="26">
                  <c:v>13.529729672098224</c:v>
                </c:pt>
                <c:pt idx="27">
                  <c:v>14.229452919614207</c:v>
                </c:pt>
                <c:pt idx="28">
                  <c:v>14.892483990752025</c:v>
                </c:pt>
                <c:pt idx="29">
                  <c:v>15.57012195424087</c:v>
                </c:pt>
                <c:pt idx="30">
                  <c:v>16.208899928887991</c:v>
                </c:pt>
                <c:pt idx="31">
                  <c:v>16.844388856724642</c:v>
                </c:pt>
                <c:pt idx="32">
                  <c:v>17.491734400708019</c:v>
                </c:pt>
                <c:pt idx="33">
                  <c:v>18.10346298517571</c:v>
                </c:pt>
                <c:pt idx="34">
                  <c:v>18.680200064494777</c:v>
                </c:pt>
                <c:pt idx="35">
                  <c:v>19.223525849709468</c:v>
                </c:pt>
                <c:pt idx="36">
                  <c:v>19.769569918383933</c:v>
                </c:pt>
                <c:pt idx="37">
                  <c:v>20.301479310560023</c:v>
                </c:pt>
                <c:pt idx="38">
                  <c:v>20.819040354123661</c:v>
                </c:pt>
                <c:pt idx="39">
                  <c:v>21.279737753831107</c:v>
                </c:pt>
                <c:pt idx="40">
                  <c:v>21.751148749833241</c:v>
                </c:pt>
                <c:pt idx="41">
                  <c:v>22.222184429594556</c:v>
                </c:pt>
                <c:pt idx="42">
                  <c:v>22.678186750125512</c:v>
                </c:pt>
                <c:pt idx="43">
                  <c:v>23.138771280078124</c:v>
                </c:pt>
                <c:pt idx="44">
                  <c:v>23.57211277966254</c:v>
                </c:pt>
                <c:pt idx="45">
                  <c:v>23.989058632412856</c:v>
                </c:pt>
                <c:pt idx="46">
                  <c:v>24.413189313082967</c:v>
                </c:pt>
                <c:pt idx="47">
                  <c:v>24.797764243220886</c:v>
                </c:pt>
                <c:pt idx="48">
                  <c:v>25.176878495753193</c:v>
                </c:pt>
                <c:pt idx="49">
                  <c:v>25.556165919819154</c:v>
                </c:pt>
                <c:pt idx="50">
                  <c:v>25.928165308162811</c:v>
                </c:pt>
                <c:pt idx="51">
                  <c:v>26.290428004577286</c:v>
                </c:pt>
                <c:pt idx="52">
                  <c:v>26.672127253969183</c:v>
                </c:pt>
                <c:pt idx="53">
                  <c:v>27.039095092038572</c:v>
                </c:pt>
                <c:pt idx="54">
                  <c:v>27.395106834982762</c:v>
                </c:pt>
                <c:pt idx="55">
                  <c:v>27.741185655640784</c:v>
                </c:pt>
                <c:pt idx="56">
                  <c:v>28.060277435380449</c:v>
                </c:pt>
                <c:pt idx="57">
                  <c:v>28.370773461298398</c:v>
                </c:pt>
                <c:pt idx="58">
                  <c:v>28.705851626727927</c:v>
                </c:pt>
                <c:pt idx="59">
                  <c:v>29.033375885869269</c:v>
                </c:pt>
                <c:pt idx="60">
                  <c:v>29.374735699833845</c:v>
                </c:pt>
                <c:pt idx="61">
                  <c:v>29.678330781149832</c:v>
                </c:pt>
                <c:pt idx="62">
                  <c:v>29.967867665371131</c:v>
                </c:pt>
                <c:pt idx="63">
                  <c:v>30.230437362747296</c:v>
                </c:pt>
                <c:pt idx="64">
                  <c:v>30.507738007313062</c:v>
                </c:pt>
                <c:pt idx="65">
                  <c:v>30.780696476209613</c:v>
                </c:pt>
                <c:pt idx="66">
                  <c:v>31.049114851308921</c:v>
                </c:pt>
                <c:pt idx="67">
                  <c:v>31.317734438216643</c:v>
                </c:pt>
                <c:pt idx="68">
                  <c:v>31.579103096346813</c:v>
                </c:pt>
                <c:pt idx="69">
                  <c:v>31.824167779310251</c:v>
                </c:pt>
                <c:pt idx="70">
                  <c:v>32.046842796949129</c:v>
                </c:pt>
                <c:pt idx="71">
                  <c:v>32.265504450258796</c:v>
                </c:pt>
                <c:pt idx="72">
                  <c:v>32.500028521858106</c:v>
                </c:pt>
                <c:pt idx="73">
                  <c:v>32.716033874517784</c:v>
                </c:pt>
                <c:pt idx="74">
                  <c:v>32.921753011823348</c:v>
                </c:pt>
                <c:pt idx="75">
                  <c:v>33.118041899052777</c:v>
                </c:pt>
                <c:pt idx="76">
                  <c:v>33.311026110687102</c:v>
                </c:pt>
                <c:pt idx="77">
                  <c:v>33.49814277641179</c:v>
                </c:pt>
                <c:pt idx="78">
                  <c:v>33.678971307874221</c:v>
                </c:pt>
                <c:pt idx="79">
                  <c:v>33.859481954227135</c:v>
                </c:pt>
                <c:pt idx="80">
                  <c:v>34.029038366499705</c:v>
                </c:pt>
                <c:pt idx="81">
                  <c:v>34.201987211463205</c:v>
                </c:pt>
                <c:pt idx="82">
                  <c:v>34.368476619152197</c:v>
                </c:pt>
                <c:pt idx="83">
                  <c:v>34.540520769653433</c:v>
                </c:pt>
                <c:pt idx="84">
                  <c:v>34.705404474838261</c:v>
                </c:pt>
                <c:pt idx="85">
                  <c:v>34.872622015190565</c:v>
                </c:pt>
                <c:pt idx="86">
                  <c:v>35.023729592046045</c:v>
                </c:pt>
                <c:pt idx="87">
                  <c:v>35.16782815722177</c:v>
                </c:pt>
                <c:pt idx="88">
                  <c:v>35.30962128675111</c:v>
                </c:pt>
                <c:pt idx="89">
                  <c:v>35.446376344419683</c:v>
                </c:pt>
                <c:pt idx="90">
                  <c:v>35.583378545243527</c:v>
                </c:pt>
                <c:pt idx="91">
                  <c:v>35.714843476841914</c:v>
                </c:pt>
                <c:pt idx="92">
                  <c:v>35.841998718102587</c:v>
                </c:pt>
                <c:pt idx="93">
                  <c:v>35.974738111244591</c:v>
                </c:pt>
                <c:pt idx="94">
                  <c:v>36.104467171765336</c:v>
                </c:pt>
                <c:pt idx="95">
                  <c:v>36.237750480315022</c:v>
                </c:pt>
                <c:pt idx="96">
                  <c:v>36.361415976111758</c:v>
                </c:pt>
                <c:pt idx="97">
                  <c:v>36.483430843416919</c:v>
                </c:pt>
                <c:pt idx="98">
                  <c:v>36.606875180385082</c:v>
                </c:pt>
                <c:pt idx="99">
                  <c:v>36.730127156019023</c:v>
                </c:pt>
                <c:pt idx="100">
                  <c:v>36.852024246072673</c:v>
                </c:pt>
                <c:pt idx="101">
                  <c:v>36.966113256773433</c:v>
                </c:pt>
                <c:pt idx="102">
                  <c:v>37.077254673032478</c:v>
                </c:pt>
                <c:pt idx="103">
                  <c:v>37.18231307811493</c:v>
                </c:pt>
                <c:pt idx="104">
                  <c:v>37.283759198774689</c:v>
                </c:pt>
                <c:pt idx="105">
                  <c:v>37.386837416326124</c:v>
                </c:pt>
                <c:pt idx="106">
                  <c:v>37.485151455620553</c:v>
                </c:pt>
                <c:pt idx="107">
                  <c:v>37.581512671199206</c:v>
                </c:pt>
                <c:pt idx="108">
                  <c:v>37.67024197636826</c:v>
                </c:pt>
                <c:pt idx="109">
                  <c:v>37.760477645094554</c:v>
                </c:pt>
                <c:pt idx="110">
                  <c:v>37.858790888030875</c:v>
                </c:pt>
                <c:pt idx="111">
                  <c:v>37.956315747846816</c:v>
                </c:pt>
                <c:pt idx="112">
                  <c:v>38.048112689591598</c:v>
                </c:pt>
                <c:pt idx="113">
                  <c:v>38.138096268972383</c:v>
                </c:pt>
                <c:pt idx="114">
                  <c:v>38.223380810692902</c:v>
                </c:pt>
                <c:pt idx="115">
                  <c:v>38.30720034671473</c:v>
                </c:pt>
                <c:pt idx="116">
                  <c:v>38.389564311681404</c:v>
                </c:pt>
                <c:pt idx="117">
                  <c:v>38.467013903176898</c:v>
                </c:pt>
                <c:pt idx="118">
                  <c:v>38.537452699149277</c:v>
                </c:pt>
                <c:pt idx="119">
                  <c:v>38.603584983397418</c:v>
                </c:pt>
                <c:pt idx="120">
                  <c:v>38.67264930719508</c:v>
                </c:pt>
                <c:pt idx="121">
                  <c:v>38.742051683050903</c:v>
                </c:pt>
                <c:pt idx="122">
                  <c:v>38.811224133883222</c:v>
                </c:pt>
                <c:pt idx="123">
                  <c:v>38.880038966746014</c:v>
                </c:pt>
                <c:pt idx="124">
                  <c:v>38.945622301607294</c:v>
                </c:pt>
                <c:pt idx="125">
                  <c:v>39.01078566655098</c:v>
                </c:pt>
                <c:pt idx="126">
                  <c:v>39.074015009624482</c:v>
                </c:pt>
                <c:pt idx="127">
                  <c:v>39.132464407111819</c:v>
                </c:pt>
                <c:pt idx="128">
                  <c:v>39.192174912160077</c:v>
                </c:pt>
                <c:pt idx="129">
                  <c:v>39.249584786038028</c:v>
                </c:pt>
                <c:pt idx="130">
                  <c:v>39.307634624348722</c:v>
                </c:pt>
                <c:pt idx="131">
                  <c:v>39.363308534740945</c:v>
                </c:pt>
                <c:pt idx="132">
                  <c:v>39.417873687969944</c:v>
                </c:pt>
                <c:pt idx="133">
                  <c:v>39.472271289134298</c:v>
                </c:pt>
                <c:pt idx="134">
                  <c:v>39.524722372717484</c:v>
                </c:pt>
                <c:pt idx="135">
                  <c:v>39.57953062822898</c:v>
                </c:pt>
                <c:pt idx="136">
                  <c:v>39.633031076648251</c:v>
                </c:pt>
                <c:pt idx="137">
                  <c:v>39.686336663189728</c:v>
                </c:pt>
                <c:pt idx="138">
                  <c:v>39.736488239770672</c:v>
                </c:pt>
                <c:pt idx="139">
                  <c:v>39.787199797750716</c:v>
                </c:pt>
                <c:pt idx="140">
                  <c:v>39.835074805977953</c:v>
                </c:pt>
                <c:pt idx="141">
                  <c:v>39.880001864751648</c:v>
                </c:pt>
                <c:pt idx="142">
                  <c:v>39.922465256168195</c:v>
                </c:pt>
                <c:pt idx="143">
                  <c:v>39.964174602277353</c:v>
                </c:pt>
                <c:pt idx="144">
                  <c:v>40.00576053910175</c:v>
                </c:pt>
                <c:pt idx="145">
                  <c:v>40.045562646477293</c:v>
                </c:pt>
                <c:pt idx="146">
                  <c:v>40.085905932578356</c:v>
                </c:pt>
                <c:pt idx="147">
                  <c:v>40.126454383105404</c:v>
                </c:pt>
                <c:pt idx="148">
                  <c:v>40.165461088261303</c:v>
                </c:pt>
                <c:pt idx="149">
                  <c:v>40.201046933592494</c:v>
                </c:pt>
                <c:pt idx="150">
                  <c:v>40.236961691587922</c:v>
                </c:pt>
                <c:pt idx="151">
                  <c:v>40.273354797071022</c:v>
                </c:pt>
                <c:pt idx="152">
                  <c:v>40.308379851419559</c:v>
                </c:pt>
                <c:pt idx="153">
                  <c:v>40.344391267702356</c:v>
                </c:pt>
                <c:pt idx="154">
                  <c:v>40.379183900896841</c:v>
                </c:pt>
                <c:pt idx="155">
                  <c:v>40.413717780438738</c:v>
                </c:pt>
                <c:pt idx="156">
                  <c:v>40.447169825845648</c:v>
                </c:pt>
                <c:pt idx="157">
                  <c:v>40.481875037414717</c:v>
                </c:pt>
                <c:pt idx="158">
                  <c:v>40.513701635909449</c:v>
                </c:pt>
                <c:pt idx="159">
                  <c:v>40.542956161313306</c:v>
                </c:pt>
                <c:pt idx="160">
                  <c:v>40.57128757118879</c:v>
                </c:pt>
                <c:pt idx="161">
                  <c:v>40.597935411977211</c:v>
                </c:pt>
                <c:pt idx="162">
                  <c:v>40.624527774944539</c:v>
                </c:pt>
                <c:pt idx="163">
                  <c:v>40.651957981277356</c:v>
                </c:pt>
                <c:pt idx="164">
                  <c:v>40.680003477487261</c:v>
                </c:pt>
                <c:pt idx="165">
                  <c:v>40.708197714077968</c:v>
                </c:pt>
                <c:pt idx="166">
                  <c:v>40.734865631519227</c:v>
                </c:pt>
                <c:pt idx="167">
                  <c:v>40.761495209109981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1.5298380824423061</c:v>
                </c:pt>
                <c:pt idx="15">
                  <c:v>1.5872084993253912</c:v>
                </c:pt>
                <c:pt idx="16">
                  <c:v>1.6498644916719156</c:v>
                </c:pt>
                <c:pt idx="17">
                  <c:v>1.7145583958168287</c:v>
                </c:pt>
                <c:pt idx="18">
                  <c:v>1.7797166965275555</c:v>
                </c:pt>
                <c:pt idx="19">
                  <c:v>1.8511977674812321</c:v>
                </c:pt>
                <c:pt idx="20">
                  <c:v>1.9240664917319363</c:v>
                </c:pt>
                <c:pt idx="21">
                  <c:v>1.9962067184221322</c:v>
                </c:pt>
                <c:pt idx="22">
                  <c:v>2.0742894579957016</c:v>
                </c:pt>
                <c:pt idx="23">
                  <c:v>2.1542222831708209</c:v>
                </c:pt>
                <c:pt idx="24">
                  <c:v>2.240183974868398</c:v>
                </c:pt>
                <c:pt idx="25">
                  <c:v>2.3246126658820678</c:v>
                </c:pt>
                <c:pt idx="26">
                  <c:v>2.4124798003771764</c:v>
                </c:pt>
                <c:pt idx="27">
                  <c:v>2.5080977002442797</c:v>
                </c:pt>
                <c:pt idx="28">
                  <c:v>2.6146366160159924</c:v>
                </c:pt>
                <c:pt idx="29">
                  <c:v>2.7267142540763079</c:v>
                </c:pt>
                <c:pt idx="30">
                  <c:v>2.8395038008920275</c:v>
                </c:pt>
                <c:pt idx="31">
                  <c:v>2.961624997388157</c:v>
                </c:pt>
                <c:pt idx="32">
                  <c:v>3.0804636581886742</c:v>
                </c:pt>
                <c:pt idx="33">
                  <c:v>3.1998531936754797</c:v>
                </c:pt>
                <c:pt idx="34">
                  <c:v>3.3223984227768431</c:v>
                </c:pt>
                <c:pt idx="35">
                  <c:v>3.4581871885036732</c:v>
                </c:pt>
                <c:pt idx="36">
                  <c:v>3.6107060884665851</c:v>
                </c:pt>
                <c:pt idx="37">
                  <c:v>3.7645151376026007</c:v>
                </c:pt>
                <c:pt idx="38">
                  <c:v>3.9181644441932426</c:v>
                </c:pt>
                <c:pt idx="39">
                  <c:v>4.0758874545655495</c:v>
                </c:pt>
                <c:pt idx="40">
                  <c:v>4.2432680131583425</c:v>
                </c:pt>
                <c:pt idx="41">
                  <c:v>4.4233396942084466</c:v>
                </c:pt>
                <c:pt idx="42">
                  <c:v>4.6148930954488918</c:v>
                </c:pt>
                <c:pt idx="43">
                  <c:v>4.8075082343699194</c:v>
                </c:pt>
                <c:pt idx="44">
                  <c:v>5.0114175887170704</c:v>
                </c:pt>
                <c:pt idx="45">
                  <c:v>5.2106876307332302</c:v>
                </c:pt>
                <c:pt idx="46">
                  <c:v>5.4094500383727686</c:v>
                </c:pt>
                <c:pt idx="47">
                  <c:v>5.6162651774130641</c:v>
                </c:pt>
                <c:pt idx="48">
                  <c:v>5.8458864249495308</c:v>
                </c:pt>
                <c:pt idx="49">
                  <c:v>6.1080017153305244</c:v>
                </c:pt>
                <c:pt idx="50">
                  <c:v>6.3853086251902846</c:v>
                </c:pt>
                <c:pt idx="51">
                  <c:v>6.6649277821964681</c:v>
                </c:pt>
                <c:pt idx="52">
                  <c:v>6.9458991947192317</c:v>
                </c:pt>
                <c:pt idx="53">
                  <c:v>7.2421660944548352</c:v>
                </c:pt>
                <c:pt idx="54">
                  <c:v>7.5524052326557651</c:v>
                </c:pt>
                <c:pt idx="55">
                  <c:v>7.8775317254896002</c:v>
                </c:pt>
                <c:pt idx="56">
                  <c:v>8.2301471773085488</c:v>
                </c:pt>
                <c:pt idx="57">
                  <c:v>8.5981593046327944</c:v>
                </c:pt>
                <c:pt idx="58">
                  <c:v>9.0064519494429174</c:v>
                </c:pt>
                <c:pt idx="59">
                  <c:v>9.4371322365271357</c:v>
                </c:pt>
                <c:pt idx="60">
                  <c:v>9.8969719335483042</c:v>
                </c:pt>
                <c:pt idx="61">
                  <c:v>10.371768150846295</c:v>
                </c:pt>
                <c:pt idx="62">
                  <c:v>10.835368353190525</c:v>
                </c:pt>
                <c:pt idx="63">
                  <c:v>11.354396452442572</c:v>
                </c:pt>
                <c:pt idx="64">
                  <c:v>11.88896349096029</c:v>
                </c:pt>
                <c:pt idx="65">
                  <c:v>12.456532660692256</c:v>
                </c:pt>
                <c:pt idx="66">
                  <c:v>13.046121670754419</c:v>
                </c:pt>
                <c:pt idx="67">
                  <c:v>13.682553224514987</c:v>
                </c:pt>
                <c:pt idx="68">
                  <c:v>14.341731378015776</c:v>
                </c:pt>
                <c:pt idx="69">
                  <c:v>15.030781216905373</c:v>
                </c:pt>
                <c:pt idx="70">
                  <c:v>15.724942815373465</c:v>
                </c:pt>
                <c:pt idx="71">
                  <c:v>16.419771520490169</c:v>
                </c:pt>
                <c:pt idx="72">
                  <c:v>17.174158424606031</c:v>
                </c:pt>
                <c:pt idx="73">
                  <c:v>18.001027482871841</c:v>
                </c:pt>
                <c:pt idx="74">
                  <c:v>18.906749791520127</c:v>
                </c:pt>
                <c:pt idx="75">
                  <c:v>19.824323112335335</c:v>
                </c:pt>
                <c:pt idx="76">
                  <c:v>20.774924294925292</c:v>
                </c:pt>
                <c:pt idx="77">
                  <c:v>21.724821366214396</c:v>
                </c:pt>
                <c:pt idx="78">
                  <c:v>22.685819962916309</c:v>
                </c:pt>
                <c:pt idx="79">
                  <c:v>23.750225832518737</c:v>
                </c:pt>
                <c:pt idx="80">
                  <c:v>24.85828188150786</c:v>
                </c:pt>
                <c:pt idx="81">
                  <c:v>26.04064254661743</c:v>
                </c:pt>
                <c:pt idx="82">
                  <c:v>27.237807669666328</c:v>
                </c:pt>
                <c:pt idx="83">
                  <c:v>28.423621438435568</c:v>
                </c:pt>
                <c:pt idx="84">
                  <c:v>29.662531633499771</c:v>
                </c:pt>
                <c:pt idx="85">
                  <c:v>30.952411064428048</c:v>
                </c:pt>
                <c:pt idx="86">
                  <c:v>32.345330082340062</c:v>
                </c:pt>
                <c:pt idx="87">
                  <c:v>33.794976079201</c:v>
                </c:pt>
                <c:pt idx="88">
                  <c:v>35.344501553514576</c:v>
                </c:pt>
                <c:pt idx="89">
                  <c:v>36.999871322482257</c:v>
                </c:pt>
                <c:pt idx="90">
                  <c:v>38.679473623624958</c:v>
                </c:pt>
                <c:pt idx="91">
                  <c:v>40.365059675299911</c:v>
                </c:pt>
                <c:pt idx="92">
                  <c:v>42.116412148535488</c:v>
                </c:pt>
                <c:pt idx="93">
                  <c:v>43.919800489911815</c:v>
                </c:pt>
                <c:pt idx="94">
                  <c:v>45.740655064093126</c:v>
                </c:pt>
                <c:pt idx="95">
                  <c:v>47.478732974469843</c:v>
                </c:pt>
                <c:pt idx="96">
                  <c:v>49.548756942672007</c:v>
                </c:pt>
                <c:pt idx="97">
                  <c:v>51.747295473591805</c:v>
                </c:pt>
                <c:pt idx="98">
                  <c:v>54.017460145470494</c:v>
                </c:pt>
                <c:pt idx="99">
                  <c:v>56.163154180509444</c:v>
                </c:pt>
                <c:pt idx="100">
                  <c:v>58.288120904580836</c:v>
                </c:pt>
                <c:pt idx="101">
                  <c:v>60.626128584341309</c:v>
                </c:pt>
                <c:pt idx="102">
                  <c:v>62.934810395041275</c:v>
                </c:pt>
                <c:pt idx="103">
                  <c:v>65.355762533701878</c:v>
                </c:pt>
                <c:pt idx="104">
                  <c:v>67.770843966815548</c:v>
                </c:pt>
                <c:pt idx="105">
                  <c:v>70.319438733120009</c:v>
                </c:pt>
                <c:pt idx="106">
                  <c:v>72.925424427911153</c:v>
                </c:pt>
                <c:pt idx="107">
                  <c:v>75.659629444538794</c:v>
                </c:pt>
                <c:pt idx="108">
                  <c:v>78.395400120662103</c:v>
                </c:pt>
                <c:pt idx="109">
                  <c:v>81.080542696955007</c:v>
                </c:pt>
                <c:pt idx="110">
                  <c:v>83.841298922284992</c:v>
                </c:pt>
                <c:pt idx="111">
                  <c:v>86.709696069196866</c:v>
                </c:pt>
                <c:pt idx="112">
                  <c:v>89.660360279078148</c:v>
                </c:pt>
                <c:pt idx="113">
                  <c:v>92.589198530930688</c:v>
                </c:pt>
                <c:pt idx="114">
                  <c:v>95.626209506322112</c:v>
                </c:pt>
                <c:pt idx="115">
                  <c:v>98.632461667705385</c:v>
                </c:pt>
                <c:pt idx="116">
                  <c:v>101.58076949022558</c:v>
                </c:pt>
                <c:pt idx="117">
                  <c:v>104.48596269062328</c:v>
                </c:pt>
                <c:pt idx="118">
                  <c:v>107.42410653036765</c:v>
                </c:pt>
                <c:pt idx="119">
                  <c:v>110.40125333430468</c:v>
                </c:pt>
                <c:pt idx="120">
                  <c:v>113.40134321871768</c:v>
                </c:pt>
                <c:pt idx="121">
                  <c:v>116.57734565644915</c:v>
                </c:pt>
                <c:pt idx="122">
                  <c:v>119.67566876596727</c:v>
                </c:pt>
                <c:pt idx="123">
                  <c:v>122.7171446806494</c:v>
                </c:pt>
                <c:pt idx="124">
                  <c:v>125.8493878528041</c:v>
                </c:pt>
                <c:pt idx="125">
                  <c:v>128.97520042769304</c:v>
                </c:pt>
                <c:pt idx="126">
                  <c:v>132.01328089011312</c:v>
                </c:pt>
                <c:pt idx="127">
                  <c:v>135.01679780234389</c:v>
                </c:pt>
                <c:pt idx="128">
                  <c:v>137.9563466314697</c:v>
                </c:pt>
                <c:pt idx="129">
                  <c:v>140.89721612382763</c:v>
                </c:pt>
                <c:pt idx="130">
                  <c:v>143.73000642730744</c:v>
                </c:pt>
                <c:pt idx="131">
                  <c:v>146.44544551387483</c:v>
                </c:pt>
                <c:pt idx="132">
                  <c:v>149.02375131744591</c:v>
                </c:pt>
                <c:pt idx="133">
                  <c:v>151.50492338798551</c:v>
                </c:pt>
                <c:pt idx="134">
                  <c:v>154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29.623130030991092</c:v>
                </c:pt>
                <c:pt idx="1">
                  <c:v>29.770471271023322</c:v>
                </c:pt>
                <c:pt idx="2">
                  <c:v>29.45768497093724</c:v>
                </c:pt>
                <c:pt idx="3">
                  <c:v>29.637235774292144</c:v>
                </c:pt>
                <c:pt idx="4">
                  <c:v>29.848867951974473</c:v>
                </c:pt>
                <c:pt idx="5">
                  <c:v>29.858931563851268</c:v>
                </c:pt>
                <c:pt idx="6">
                  <c:v>30.129929854821746</c:v>
                </c:pt>
                <c:pt idx="7">
                  <c:v>30.423746790548993</c:v>
                </c:pt>
                <c:pt idx="8">
                  <c:v>30.738399279913377</c:v>
                </c:pt>
                <c:pt idx="9">
                  <c:v>31.082008479070481</c:v>
                </c:pt>
                <c:pt idx="10">
                  <c:v>31.443212678917696</c:v>
                </c:pt>
                <c:pt idx="11">
                  <c:v>31.810153749556335</c:v>
                </c:pt>
                <c:pt idx="12">
                  <c:v>32.186837869867006</c:v>
                </c:pt>
                <c:pt idx="13">
                  <c:v>32.545723056224027</c:v>
                </c:pt>
                <c:pt idx="14">
                  <c:v>33.021273470218276</c:v>
                </c:pt>
                <c:pt idx="15">
                  <c:v>33.436442459188243</c:v>
                </c:pt>
                <c:pt idx="16">
                  <c:v>33.641737208381841</c:v>
                </c:pt>
                <c:pt idx="17">
                  <c:v>33.773304659640836</c:v>
                </c:pt>
                <c:pt idx="18">
                  <c:v>34.243185428394391</c:v>
                </c:pt>
                <c:pt idx="19">
                  <c:v>34.762726305747208</c:v>
                </c:pt>
                <c:pt idx="20">
                  <c:v>35.283153834773017</c:v>
                </c:pt>
                <c:pt idx="21">
                  <c:v>35.7852631284658</c:v>
                </c:pt>
                <c:pt idx="22">
                  <c:v>36.31225948117779</c:v>
                </c:pt>
                <c:pt idx="23">
                  <c:v>36.816419906483688</c:v>
                </c:pt>
                <c:pt idx="24">
                  <c:v>37.378613740840478</c:v>
                </c:pt>
                <c:pt idx="25">
                  <c:v>37.916457172784021</c:v>
                </c:pt>
                <c:pt idx="26">
                  <c:v>38.436769493076326</c:v>
                </c:pt>
                <c:pt idx="27">
                  <c:v>38.975318369427171</c:v>
                </c:pt>
                <c:pt idx="28">
                  <c:v>39.586455427606964</c:v>
                </c:pt>
                <c:pt idx="29">
                  <c:v>40.255851604826631</c:v>
                </c:pt>
                <c:pt idx="30">
                  <c:v>40.916640315137847</c:v>
                </c:pt>
                <c:pt idx="31">
                  <c:v>41.485689839306666</c:v>
                </c:pt>
                <c:pt idx="32">
                  <c:v>42.134719724457995</c:v>
                </c:pt>
                <c:pt idx="33">
                  <c:v>42.763756237036219</c:v>
                </c:pt>
                <c:pt idx="34">
                  <c:v>43.388646306391884</c:v>
                </c:pt>
                <c:pt idx="35">
                  <c:v>44.041205834156287</c:v>
                </c:pt>
                <c:pt idx="36">
                  <c:v>44.792128742513732</c:v>
                </c:pt>
                <c:pt idx="37">
                  <c:v>45.51483840636304</c:v>
                </c:pt>
                <c:pt idx="38">
                  <c:v>46.171622076323082</c:v>
                </c:pt>
                <c:pt idx="39">
                  <c:v>46.778986856376029</c:v>
                </c:pt>
                <c:pt idx="40">
                  <c:v>47.391056622926648</c:v>
                </c:pt>
                <c:pt idx="41">
                  <c:v>48.030784678938375</c:v>
                </c:pt>
                <c:pt idx="42">
                  <c:v>48.691473953655525</c:v>
                </c:pt>
                <c:pt idx="43">
                  <c:v>49.316833831664511</c:v>
                </c:pt>
                <c:pt idx="44">
                  <c:v>49.975894304431726</c:v>
                </c:pt>
                <c:pt idx="45">
                  <c:v>50.590297937766337</c:v>
                </c:pt>
                <c:pt idx="46">
                  <c:v>51.147488785511342</c:v>
                </c:pt>
                <c:pt idx="47">
                  <c:v>51.680194327926571</c:v>
                </c:pt>
                <c:pt idx="48">
                  <c:v>52.240398199446524</c:v>
                </c:pt>
                <c:pt idx="49">
                  <c:v>52.903561237342998</c:v>
                </c:pt>
                <c:pt idx="50">
                  <c:v>53.621296410362028</c:v>
                </c:pt>
                <c:pt idx="51">
                  <c:v>54.353810622259395</c:v>
                </c:pt>
                <c:pt idx="52">
                  <c:v>55.003981473540293</c:v>
                </c:pt>
                <c:pt idx="53">
                  <c:v>55.6452464546012</c:v>
                </c:pt>
                <c:pt idx="54">
                  <c:v>56.255828409093013</c:v>
                </c:pt>
                <c:pt idx="55">
                  <c:v>56.833152030114363</c:v>
                </c:pt>
                <c:pt idx="56">
                  <c:v>57.375907214729096</c:v>
                </c:pt>
                <c:pt idx="57">
                  <c:v>57.889297007677996</c:v>
                </c:pt>
                <c:pt idx="58">
                  <c:v>58.420622947888695</c:v>
                </c:pt>
                <c:pt idx="59">
                  <c:v>58.996727050753321</c:v>
                </c:pt>
                <c:pt idx="60">
                  <c:v>59.547740532640631</c:v>
                </c:pt>
                <c:pt idx="61">
                  <c:v>60.157331033136302</c:v>
                </c:pt>
                <c:pt idx="62">
                  <c:v>60.637244892839227</c:v>
                </c:pt>
                <c:pt idx="63">
                  <c:v>61.183432983219284</c:v>
                </c:pt>
                <c:pt idx="64">
                  <c:v>61.767185627228017</c:v>
                </c:pt>
                <c:pt idx="65">
                  <c:v>62.291965522947855</c:v>
                </c:pt>
                <c:pt idx="66">
                  <c:v>62.771346441006024</c:v>
                </c:pt>
                <c:pt idx="67">
                  <c:v>63.23936140513306</c:v>
                </c:pt>
                <c:pt idx="68">
                  <c:v>63.633096775499382</c:v>
                </c:pt>
                <c:pt idx="69">
                  <c:v>63.997270626439267</c:v>
                </c:pt>
                <c:pt idx="70">
                  <c:v>64.308416860963689</c:v>
                </c:pt>
                <c:pt idx="71">
                  <c:v>64.628294430998963</c:v>
                </c:pt>
                <c:pt idx="72">
                  <c:v>64.910765179142061</c:v>
                </c:pt>
                <c:pt idx="73">
                  <c:v>65.260010064263568</c:v>
                </c:pt>
                <c:pt idx="74">
                  <c:v>65.585913523868157</c:v>
                </c:pt>
                <c:pt idx="75">
                  <c:v>65.830313011534813</c:v>
                </c:pt>
                <c:pt idx="76">
                  <c:v>65.985911248673119</c:v>
                </c:pt>
                <c:pt idx="77">
                  <c:v>66.045168326074659</c:v>
                </c:pt>
                <c:pt idx="78">
                  <c:v>66.072729422762947</c:v>
                </c:pt>
                <c:pt idx="79">
                  <c:v>66.036194943699442</c:v>
                </c:pt>
                <c:pt idx="80">
                  <c:v>65.96549628579541</c:v>
                </c:pt>
                <c:pt idx="81">
                  <c:v>65.813701567354428</c:v>
                </c:pt>
                <c:pt idx="82">
                  <c:v>65.679026723314365</c:v>
                </c:pt>
                <c:pt idx="83">
                  <c:v>65.504684215170698</c:v>
                </c:pt>
                <c:pt idx="84">
                  <c:v>65.238905255575716</c:v>
                </c:pt>
                <c:pt idx="85">
                  <c:v>64.879869545080581</c:v>
                </c:pt>
                <c:pt idx="86">
                  <c:v>64.416072360717891</c:v>
                </c:pt>
                <c:pt idx="87">
                  <c:v>63.909271705072953</c:v>
                </c:pt>
                <c:pt idx="88">
                  <c:v>63.357582651969601</c:v>
                </c:pt>
                <c:pt idx="89">
                  <c:v>62.67725397893394</c:v>
                </c:pt>
                <c:pt idx="90">
                  <c:v>61.895199851633954</c:v>
                </c:pt>
                <c:pt idx="91">
                  <c:v>61.037735252271766</c:v>
                </c:pt>
                <c:pt idx="92">
                  <c:v>60.129419693544094</c:v>
                </c:pt>
                <c:pt idx="93">
                  <c:v>59.171102274550314</c:v>
                </c:pt>
                <c:pt idx="94">
                  <c:v>58.186041948575642</c:v>
                </c:pt>
                <c:pt idx="95">
                  <c:v>57.152890620709684</c:v>
                </c:pt>
                <c:pt idx="96">
                  <c:v>55.917576855235126</c:v>
                </c:pt>
                <c:pt idx="97">
                  <c:v>54.576584970382413</c:v>
                </c:pt>
                <c:pt idx="98">
                  <c:v>53.213400005522494</c:v>
                </c:pt>
                <c:pt idx="99">
                  <c:v>51.850008562389078</c:v>
                </c:pt>
                <c:pt idx="100">
                  <c:v>50.462751007036658</c:v>
                </c:pt>
                <c:pt idx="101">
                  <c:v>48.886858722540154</c:v>
                </c:pt>
                <c:pt idx="102">
                  <c:v>47.296124744894549</c:v>
                </c:pt>
                <c:pt idx="103">
                  <c:v>45.603438151228268</c:v>
                </c:pt>
                <c:pt idx="104">
                  <c:v>43.854280987264119</c:v>
                </c:pt>
                <c:pt idx="105">
                  <c:v>41.974127272415615</c:v>
                </c:pt>
                <c:pt idx="106">
                  <c:v>40.00837463784044</c:v>
                </c:pt>
                <c:pt idx="107">
                  <c:v>37.921116700179411</c:v>
                </c:pt>
                <c:pt idx="108">
                  <c:v>35.826541402204143</c:v>
                </c:pt>
                <c:pt idx="109">
                  <c:v>33.759765942847473</c:v>
                </c:pt>
                <c:pt idx="110">
                  <c:v>31.630283876398281</c:v>
                </c:pt>
                <c:pt idx="111">
                  <c:v>29.387783406209024</c:v>
                </c:pt>
                <c:pt idx="112">
                  <c:v>27.071907138603027</c:v>
                </c:pt>
                <c:pt idx="113">
                  <c:v>24.786339293978816</c:v>
                </c:pt>
                <c:pt idx="114">
                  <c:v>22.418345952137063</c:v>
                </c:pt>
                <c:pt idx="115">
                  <c:v>20.076887343342008</c:v>
                </c:pt>
                <c:pt idx="116">
                  <c:v>17.769749171597137</c:v>
                </c:pt>
                <c:pt idx="117">
                  <c:v>15.491261575920202</c:v>
                </c:pt>
                <c:pt idx="118">
                  <c:v>13.225080499958818</c:v>
                </c:pt>
                <c:pt idx="119">
                  <c:v>10.911439958280527</c:v>
                </c:pt>
                <c:pt idx="120">
                  <c:v>8.5535859337701687</c:v>
                </c:pt>
                <c:pt idx="121">
                  <c:v>6.064328530734139</c:v>
                </c:pt>
                <c:pt idx="122">
                  <c:v>3.6565389686927796</c:v>
                </c:pt>
                <c:pt idx="123">
                  <c:v>1.2720187975761998</c:v>
                </c:pt>
                <c:pt idx="124">
                  <c:v>-1.1983901233986556</c:v>
                </c:pt>
                <c:pt idx="125">
                  <c:v>-3.6660822472457864</c:v>
                </c:pt>
                <c:pt idx="126">
                  <c:v>-6.0872782868019835</c:v>
                </c:pt>
                <c:pt idx="127">
                  <c:v>-8.436156311823888</c:v>
                </c:pt>
                <c:pt idx="128">
                  <c:v>-10.691858163209636</c:v>
                </c:pt>
                <c:pt idx="129">
                  <c:v>-12.961821512935742</c:v>
                </c:pt>
                <c:pt idx="130">
                  <c:v>-15.111973518414043</c:v>
                </c:pt>
                <c:pt idx="131">
                  <c:v>-17.175104210814141</c:v>
                </c:pt>
                <c:pt idx="132">
                  <c:v>-19.157785816604097</c:v>
                </c:pt>
                <c:pt idx="133">
                  <c:v>-21.050782912903632</c:v>
                </c:pt>
                <c:pt idx="134">
                  <c:v>-22.93384077426634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-5.925012996822499E-3</c:v>
                </c:pt>
                <c:pt idx="1">
                  <c:v>-5.925012996822499E-3</c:v>
                </c:pt>
                <c:pt idx="2">
                  <c:v>-0.49516116539475974</c:v>
                </c:pt>
                <c:pt idx="3">
                  <c:v>-0.49516116539475974</c:v>
                </c:pt>
                <c:pt idx="4">
                  <c:v>-0.50234264879544954</c:v>
                </c:pt>
                <c:pt idx="5">
                  <c:v>-0.7720250567750454</c:v>
                </c:pt>
                <c:pt idx="6">
                  <c:v>-0.7720250567750454</c:v>
                </c:pt>
                <c:pt idx="7">
                  <c:v>-0.7720250567750454</c:v>
                </c:pt>
                <c:pt idx="8">
                  <c:v>-0.7720250567750454</c:v>
                </c:pt>
                <c:pt idx="9">
                  <c:v>-0.7720250567750454</c:v>
                </c:pt>
                <c:pt idx="10">
                  <c:v>-0.7720250567750454</c:v>
                </c:pt>
                <c:pt idx="11">
                  <c:v>-0.7720250567750454</c:v>
                </c:pt>
                <c:pt idx="12">
                  <c:v>-0.7720250567750454</c:v>
                </c:pt>
                <c:pt idx="13">
                  <c:v>-0.86320490134715699</c:v>
                </c:pt>
                <c:pt idx="14">
                  <c:v>-0.86320490134715699</c:v>
                </c:pt>
                <c:pt idx="15">
                  <c:v>-0.86320490134715699</c:v>
                </c:pt>
                <c:pt idx="16">
                  <c:v>-1.119403497532109</c:v>
                </c:pt>
                <c:pt idx="17">
                  <c:v>-1.4616396514164702</c:v>
                </c:pt>
                <c:pt idx="18">
                  <c:v>-1.4616396514164702</c:v>
                </c:pt>
                <c:pt idx="19">
                  <c:v>-1.4616396514164702</c:v>
                </c:pt>
                <c:pt idx="20">
                  <c:v>-1.4616396514164702</c:v>
                </c:pt>
                <c:pt idx="21">
                  <c:v>-1.4616396514164702</c:v>
                </c:pt>
                <c:pt idx="22">
                  <c:v>-1.4616396514164702</c:v>
                </c:pt>
                <c:pt idx="23">
                  <c:v>-1.4616396514164702</c:v>
                </c:pt>
                <c:pt idx="24">
                  <c:v>-1.4616396514164702</c:v>
                </c:pt>
                <c:pt idx="25">
                  <c:v>-1.4616396514164702</c:v>
                </c:pt>
                <c:pt idx="26">
                  <c:v>-1.4616396514164702</c:v>
                </c:pt>
                <c:pt idx="27">
                  <c:v>-1.4616396514164702</c:v>
                </c:pt>
                <c:pt idx="28">
                  <c:v>-1.4616396514164702</c:v>
                </c:pt>
                <c:pt idx="29">
                  <c:v>-1.4616396514164702</c:v>
                </c:pt>
                <c:pt idx="30">
                  <c:v>-1.4616396514164702</c:v>
                </c:pt>
                <c:pt idx="31">
                  <c:v>-1.5936822076724197</c:v>
                </c:pt>
                <c:pt idx="32">
                  <c:v>-1.5936822076724197</c:v>
                </c:pt>
                <c:pt idx="33">
                  <c:v>-1.5936822076724197</c:v>
                </c:pt>
                <c:pt idx="34">
                  <c:v>-1.5936822076724197</c:v>
                </c:pt>
                <c:pt idx="35">
                  <c:v>-1.5936822076724197</c:v>
                </c:pt>
                <c:pt idx="36">
                  <c:v>-1.5936822076724197</c:v>
                </c:pt>
                <c:pt idx="37">
                  <c:v>-1.5936822076724197</c:v>
                </c:pt>
                <c:pt idx="38">
                  <c:v>-1.5936822076724197</c:v>
                </c:pt>
                <c:pt idx="39">
                  <c:v>-1.5936822076724197</c:v>
                </c:pt>
                <c:pt idx="40">
                  <c:v>-1.5936822076724197</c:v>
                </c:pt>
                <c:pt idx="41">
                  <c:v>-1.5936822076724197</c:v>
                </c:pt>
                <c:pt idx="42">
                  <c:v>-1.5936822076724197</c:v>
                </c:pt>
                <c:pt idx="43">
                  <c:v>-1.5936822076724197</c:v>
                </c:pt>
                <c:pt idx="44">
                  <c:v>-1.5936822076724197</c:v>
                </c:pt>
                <c:pt idx="45">
                  <c:v>-1.5936822076724197</c:v>
                </c:pt>
                <c:pt idx="46">
                  <c:v>-1.5936822076724197</c:v>
                </c:pt>
                <c:pt idx="47">
                  <c:v>-1.5936822076724197</c:v>
                </c:pt>
                <c:pt idx="48">
                  <c:v>-1.5936822076724197</c:v>
                </c:pt>
                <c:pt idx="49">
                  <c:v>-1.5936822076724197</c:v>
                </c:pt>
                <c:pt idx="50">
                  <c:v>-1.5936822076724197</c:v>
                </c:pt>
                <c:pt idx="51">
                  <c:v>-1.5936822076724197</c:v>
                </c:pt>
                <c:pt idx="52">
                  <c:v>-1.5936822076724197</c:v>
                </c:pt>
                <c:pt idx="53">
                  <c:v>-1.5936822076724197</c:v>
                </c:pt>
                <c:pt idx="54">
                  <c:v>-1.5936822076724197</c:v>
                </c:pt>
                <c:pt idx="55">
                  <c:v>-1.5936822076724197</c:v>
                </c:pt>
                <c:pt idx="56">
                  <c:v>-1.5936822076724197</c:v>
                </c:pt>
                <c:pt idx="57">
                  <c:v>-1.5936822076724197</c:v>
                </c:pt>
                <c:pt idx="58">
                  <c:v>-1.5936822076724197</c:v>
                </c:pt>
                <c:pt idx="59">
                  <c:v>-1.5936822076724197</c:v>
                </c:pt>
                <c:pt idx="60">
                  <c:v>-1.5936822076724197</c:v>
                </c:pt>
                <c:pt idx="61">
                  <c:v>-1.5936822076724197</c:v>
                </c:pt>
                <c:pt idx="62">
                  <c:v>-1.5936822076724197</c:v>
                </c:pt>
                <c:pt idx="63">
                  <c:v>-1.5936822076724197</c:v>
                </c:pt>
                <c:pt idx="64">
                  <c:v>-1.5936822076724197</c:v>
                </c:pt>
                <c:pt idx="65">
                  <c:v>-1.5936822076724197</c:v>
                </c:pt>
                <c:pt idx="66">
                  <c:v>-1.5936822076724197</c:v>
                </c:pt>
                <c:pt idx="67">
                  <c:v>-1.5936822076724197</c:v>
                </c:pt>
                <c:pt idx="68">
                  <c:v>-1.5936822076724197</c:v>
                </c:pt>
                <c:pt idx="69">
                  <c:v>-1.5936822076724197</c:v>
                </c:pt>
                <c:pt idx="70">
                  <c:v>-1.5936822076724197</c:v>
                </c:pt>
                <c:pt idx="71">
                  <c:v>-1.5936822076724197</c:v>
                </c:pt>
                <c:pt idx="72">
                  <c:v>-1.5936822076724197</c:v>
                </c:pt>
                <c:pt idx="73">
                  <c:v>-1.5936822076724197</c:v>
                </c:pt>
                <c:pt idx="74">
                  <c:v>-1.5936822076724197</c:v>
                </c:pt>
                <c:pt idx="75">
                  <c:v>-1.5936822076724197</c:v>
                </c:pt>
                <c:pt idx="76">
                  <c:v>-1.5936822076724197</c:v>
                </c:pt>
                <c:pt idx="77">
                  <c:v>-1.5936822076724197</c:v>
                </c:pt>
                <c:pt idx="78">
                  <c:v>-1.5936822076724197</c:v>
                </c:pt>
                <c:pt idx="79">
                  <c:v>-1.5936822076724197</c:v>
                </c:pt>
                <c:pt idx="80">
                  <c:v>-1.5936822076724197</c:v>
                </c:pt>
                <c:pt idx="81">
                  <c:v>-1.5936822076724197</c:v>
                </c:pt>
                <c:pt idx="82">
                  <c:v>-1.5936822076724197</c:v>
                </c:pt>
                <c:pt idx="83">
                  <c:v>-1.5936822076724197</c:v>
                </c:pt>
                <c:pt idx="84">
                  <c:v>-1.5936822076724197</c:v>
                </c:pt>
                <c:pt idx="85">
                  <c:v>-1.5936822076724197</c:v>
                </c:pt>
                <c:pt idx="86">
                  <c:v>-1.5936822076724197</c:v>
                </c:pt>
                <c:pt idx="87">
                  <c:v>-1.5936822076724197</c:v>
                </c:pt>
                <c:pt idx="88">
                  <c:v>-1.5936822076724197</c:v>
                </c:pt>
                <c:pt idx="89">
                  <c:v>-1.5936822076724197</c:v>
                </c:pt>
                <c:pt idx="90">
                  <c:v>-1.5936822076724197</c:v>
                </c:pt>
                <c:pt idx="91">
                  <c:v>-1.5936822076724197</c:v>
                </c:pt>
                <c:pt idx="92">
                  <c:v>-1.5936822076724197</c:v>
                </c:pt>
                <c:pt idx="93">
                  <c:v>-1.5936822076724197</c:v>
                </c:pt>
                <c:pt idx="94">
                  <c:v>-1.5936822076724197</c:v>
                </c:pt>
                <c:pt idx="95">
                  <c:v>-1.5936822076724197</c:v>
                </c:pt>
                <c:pt idx="96">
                  <c:v>-1.5936822076724197</c:v>
                </c:pt>
                <c:pt idx="97">
                  <c:v>-1.5936822076724197</c:v>
                </c:pt>
                <c:pt idx="98">
                  <c:v>-1.5936822076724197</c:v>
                </c:pt>
                <c:pt idx="99">
                  <c:v>-1.5936822076724197</c:v>
                </c:pt>
                <c:pt idx="100">
                  <c:v>-1.5936822076724197</c:v>
                </c:pt>
                <c:pt idx="101">
                  <c:v>-1.5936822076724197</c:v>
                </c:pt>
                <c:pt idx="102">
                  <c:v>-1.5936822076724197</c:v>
                </c:pt>
                <c:pt idx="103">
                  <c:v>-1.5936822076724197</c:v>
                </c:pt>
                <c:pt idx="104">
                  <c:v>-1.5936822076724197</c:v>
                </c:pt>
                <c:pt idx="105">
                  <c:v>-1.5936822076724197</c:v>
                </c:pt>
                <c:pt idx="106">
                  <c:v>-1.5936822076724197</c:v>
                </c:pt>
                <c:pt idx="107">
                  <c:v>-1.5936822076724197</c:v>
                </c:pt>
                <c:pt idx="108">
                  <c:v>-1.5936822076724197</c:v>
                </c:pt>
                <c:pt idx="109">
                  <c:v>-1.5936822076724197</c:v>
                </c:pt>
                <c:pt idx="110">
                  <c:v>-1.5936822076724197</c:v>
                </c:pt>
                <c:pt idx="111">
                  <c:v>-1.5936822076724197</c:v>
                </c:pt>
                <c:pt idx="112">
                  <c:v>-1.5936822076724197</c:v>
                </c:pt>
                <c:pt idx="113">
                  <c:v>-1.5936822076724197</c:v>
                </c:pt>
                <c:pt idx="114">
                  <c:v>-1.5936822076724197</c:v>
                </c:pt>
                <c:pt idx="115">
                  <c:v>-1.5936822076724197</c:v>
                </c:pt>
                <c:pt idx="116">
                  <c:v>-1.5936822076724197</c:v>
                </c:pt>
                <c:pt idx="117">
                  <c:v>-1.5936822076724197</c:v>
                </c:pt>
                <c:pt idx="118">
                  <c:v>-1.5936822076724197</c:v>
                </c:pt>
                <c:pt idx="119">
                  <c:v>-1.5936822076724197</c:v>
                </c:pt>
                <c:pt idx="120">
                  <c:v>-1.5936822076724197</c:v>
                </c:pt>
                <c:pt idx="121">
                  <c:v>-1.5936822076724197</c:v>
                </c:pt>
                <c:pt idx="122">
                  <c:v>-1.5936822076724197</c:v>
                </c:pt>
                <c:pt idx="123">
                  <c:v>-1.5936822076724197</c:v>
                </c:pt>
                <c:pt idx="124">
                  <c:v>-1.5936822076724197</c:v>
                </c:pt>
                <c:pt idx="125">
                  <c:v>-1.5936822076724197</c:v>
                </c:pt>
                <c:pt idx="126">
                  <c:v>-1.5936822076724197</c:v>
                </c:pt>
                <c:pt idx="127">
                  <c:v>-1.5936822076724197</c:v>
                </c:pt>
                <c:pt idx="128">
                  <c:v>-1.5936822076724197</c:v>
                </c:pt>
                <c:pt idx="129">
                  <c:v>-1.5936822076724197</c:v>
                </c:pt>
                <c:pt idx="130">
                  <c:v>-1.5936822076724197</c:v>
                </c:pt>
                <c:pt idx="131">
                  <c:v>-1.5936822076724197</c:v>
                </c:pt>
                <c:pt idx="132">
                  <c:v>-1.5936822076724197</c:v>
                </c:pt>
                <c:pt idx="133">
                  <c:v>-1.5936822076724197</c:v>
                </c:pt>
                <c:pt idx="134">
                  <c:v>-1.5936822076724197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0.83363579149412448</c:v>
                </c:pt>
                <c:pt idx="1">
                  <c:v>1.6916658137172389</c:v>
                </c:pt>
                <c:pt idx="2">
                  <c:v>2.5397329992429598</c:v>
                </c:pt>
                <c:pt idx="3">
                  <c:v>3.3229764377664637</c:v>
                </c:pt>
                <c:pt idx="4">
                  <c:v>4.1333960557873501</c:v>
                </c:pt>
                <c:pt idx="5">
                  <c:v>5.0139112303254878</c:v>
                </c:pt>
                <c:pt idx="6">
                  <c:v>5.8191449540799729</c:v>
                </c:pt>
                <c:pt idx="7">
                  <c:v>6.6206871823624267</c:v>
                </c:pt>
                <c:pt idx="8">
                  <c:v>7.4170791035177093</c:v>
                </c:pt>
                <c:pt idx="9">
                  <c:v>8.2292437599325297</c:v>
                </c:pt>
                <c:pt idx="10">
                  <c:v>9.0285761736498724</c:v>
                </c:pt>
                <c:pt idx="11">
                  <c:v>9.8031299674585188</c:v>
                </c:pt>
                <c:pt idx="12">
                  <c:v>10.562622874782024</c:v>
                </c:pt>
                <c:pt idx="13">
                  <c:v>11.406877405490544</c:v>
                </c:pt>
                <c:pt idx="14">
                  <c:v>12.258767912341611</c:v>
                </c:pt>
                <c:pt idx="15">
                  <c:v>13.077378791038271</c:v>
                </c:pt>
                <c:pt idx="16">
                  <c:v>13.943895302349809</c:v>
                </c:pt>
                <c:pt idx="17">
                  <c:v>14.804234691634775</c:v>
                </c:pt>
                <c:pt idx="18">
                  <c:v>15.635605899804293</c:v>
                </c:pt>
                <c:pt idx="19">
                  <c:v>16.520034225648367</c:v>
                </c:pt>
                <c:pt idx="20">
                  <c:v>17.385003890634124</c:v>
                </c:pt>
                <c:pt idx="21">
                  <c:v>18.205109608863729</c:v>
                </c:pt>
                <c:pt idx="22">
                  <c:v>19.050255145513425</c:v>
                </c:pt>
                <c:pt idx="23">
                  <c:v>19.857238296355156</c:v>
                </c:pt>
                <c:pt idx="24">
                  <c:v>20.721025251922548</c:v>
                </c:pt>
                <c:pt idx="25">
                  <c:v>21.535895764477772</c:v>
                </c:pt>
                <c:pt idx="26">
                  <c:v>22.325164469011675</c:v>
                </c:pt>
                <c:pt idx="27">
                  <c:v>23.13568330186429</c:v>
                </c:pt>
                <c:pt idx="28">
                  <c:v>24.027986510606809</c:v>
                </c:pt>
                <c:pt idx="29">
                  <c:v>24.972478087419802</c:v>
                </c:pt>
                <c:pt idx="30">
                  <c:v>25.891805032697256</c:v>
                </c:pt>
                <c:pt idx="31">
                  <c:v>26.854276347618871</c:v>
                </c:pt>
                <c:pt idx="32">
                  <c:v>27.742321913153166</c:v>
                </c:pt>
                <c:pt idx="33">
                  <c:v>28.598046413820661</c:v>
                </c:pt>
                <c:pt idx="34">
                  <c:v>29.443062622460843</c:v>
                </c:pt>
                <c:pt idx="35">
                  <c:v>30.325764231812322</c:v>
                </c:pt>
                <c:pt idx="36">
                  <c:v>31.320759321712703</c:v>
                </c:pt>
                <c:pt idx="37">
                  <c:v>32.276640520916814</c:v>
                </c:pt>
                <c:pt idx="38">
                  <c:v>33.155237304906009</c:v>
                </c:pt>
                <c:pt idx="39">
                  <c:v>33.980185064911147</c:v>
                </c:pt>
                <c:pt idx="40">
                  <c:v>34.813314069320974</c:v>
                </c:pt>
                <c:pt idx="41">
                  <c:v>35.681130114139172</c:v>
                </c:pt>
                <c:pt idx="42">
                  <c:v>36.575038903291627</c:v>
                </c:pt>
                <c:pt idx="43">
                  <c:v>37.426609823911512</c:v>
                </c:pt>
                <c:pt idx="44">
                  <c:v>38.317332050292897</c:v>
                </c:pt>
                <c:pt idx="45">
                  <c:v>39.151584280376028</c:v>
                </c:pt>
                <c:pt idx="46">
                  <c:v>39.922494186480733</c:v>
                </c:pt>
                <c:pt idx="47">
                  <c:v>40.672405429857434</c:v>
                </c:pt>
                <c:pt idx="48">
                  <c:v>41.468461458195335</c:v>
                </c:pt>
                <c:pt idx="49">
                  <c:v>42.395181908843377</c:v>
                </c:pt>
                <c:pt idx="50">
                  <c:v>43.386274328108385</c:v>
                </c:pt>
                <c:pt idx="51">
                  <c:v>44.389715127144214</c:v>
                </c:pt>
                <c:pt idx="52">
                  <c:v>45.308179924569444</c:v>
                </c:pt>
                <c:pt idx="53">
                  <c:v>46.228827662706813</c:v>
                </c:pt>
                <c:pt idx="54">
                  <c:v>47.128798392379991</c:v>
                </c:pt>
                <c:pt idx="55">
                  <c:v>48.006576741848306</c:v>
                </c:pt>
                <c:pt idx="56">
                  <c:v>48.872566998098677</c:v>
                </c:pt>
                <c:pt idx="57">
                  <c:v>49.721027819386265</c:v>
                </c:pt>
                <c:pt idx="58">
                  <c:v>50.621863837957598</c:v>
                </c:pt>
                <c:pt idx="59">
                  <c:v>51.585927200573622</c:v>
                </c:pt>
                <c:pt idx="60">
                  <c:v>52.549633960605277</c:v>
                </c:pt>
                <c:pt idx="61">
                  <c:v>53.5844052504427</c:v>
                </c:pt>
                <c:pt idx="62">
                  <c:v>54.479153964829614</c:v>
                </c:pt>
                <c:pt idx="63">
                  <c:v>55.489180189428183</c:v>
                </c:pt>
                <c:pt idx="64">
                  <c:v>56.550754085903655</c:v>
                </c:pt>
                <c:pt idx="65">
                  <c:v>57.583051477985023</c:v>
                </c:pt>
                <c:pt idx="66">
                  <c:v>58.590260624570156</c:v>
                </c:pt>
                <c:pt idx="67">
                  <c:v>59.628634305343574</c:v>
                </c:pt>
                <c:pt idx="68">
                  <c:v>60.614336470598808</c:v>
                </c:pt>
                <c:pt idx="69">
                  <c:v>61.598662809885731</c:v>
                </c:pt>
                <c:pt idx="70">
                  <c:v>62.536349773318754</c:v>
                </c:pt>
                <c:pt idx="71">
                  <c:v>63.485129288749967</c:v>
                </c:pt>
                <c:pt idx="72">
                  <c:v>64.451944178107439</c:v>
                </c:pt>
                <c:pt idx="73">
                  <c:v>65.552907092387656</c:v>
                </c:pt>
                <c:pt idx="74">
                  <c:v>66.704003590093009</c:v>
                </c:pt>
                <c:pt idx="75">
                  <c:v>67.78748358029425</c:v>
                </c:pt>
                <c:pt idx="76">
                  <c:v>68.815128423462482</c:v>
                </c:pt>
                <c:pt idx="77">
                  <c:v>69.74884614364359</c:v>
                </c:pt>
                <c:pt idx="78">
                  <c:v>70.663815464744715</c:v>
                </c:pt>
                <c:pt idx="79">
                  <c:v>71.6123411567727</c:v>
                </c:pt>
                <c:pt idx="80">
                  <c:v>72.570070564158868</c:v>
                </c:pt>
                <c:pt idx="81">
                  <c:v>73.518457245872128</c:v>
                </c:pt>
                <c:pt idx="82">
                  <c:v>74.501241367238336</c:v>
                </c:pt>
                <c:pt idx="83">
                  <c:v>75.437125333581619</c:v>
                </c:pt>
                <c:pt idx="84">
                  <c:v>76.334079706285038</c:v>
                </c:pt>
                <c:pt idx="85">
                  <c:v>77.188479168067772</c:v>
                </c:pt>
                <c:pt idx="86">
                  <c:v>78.03769618749449</c:v>
                </c:pt>
                <c:pt idx="87">
                  <c:v>78.900543303469547</c:v>
                </c:pt>
                <c:pt idx="88">
                  <c:v>79.8157609388292</c:v>
                </c:pt>
                <c:pt idx="89">
                  <c:v>80.705553503765685</c:v>
                </c:pt>
                <c:pt idx="90">
                  <c:v>81.520521409739743</c:v>
                </c:pt>
                <c:pt idx="91">
                  <c:v>82.269513497315259</c:v>
                </c:pt>
                <c:pt idx="92">
                  <c:v>83.03343848082838</c:v>
                </c:pt>
                <c:pt idx="93">
                  <c:v>83.800223381912659</c:v>
                </c:pt>
                <c:pt idx="94">
                  <c:v>84.560227718736911</c:v>
                </c:pt>
                <c:pt idx="95">
                  <c:v>85.195983338473425</c:v>
                </c:pt>
                <c:pt idx="96">
                  <c:v>85.949510932228677</c:v>
                </c:pt>
                <c:pt idx="97">
                  <c:v>86.72359115878352</c:v>
                </c:pt>
                <c:pt idx="98">
                  <c:v>87.54773857487308</c:v>
                </c:pt>
                <c:pt idx="99">
                  <c:v>88.256106788000437</c:v>
                </c:pt>
                <c:pt idx="100">
                  <c:v>88.923502938273913</c:v>
                </c:pt>
                <c:pt idx="101">
                  <c:v>89.613127371097548</c:v>
                </c:pt>
                <c:pt idx="102">
                  <c:v>90.263523745481862</c:v>
                </c:pt>
                <c:pt idx="103">
                  <c:v>90.924794118213953</c:v>
                </c:pt>
                <c:pt idx="104">
                  <c:v>91.532115372480305</c:v>
                </c:pt>
                <c:pt idx="105">
                  <c:v>92.144342378796722</c:v>
                </c:pt>
                <c:pt idx="106">
                  <c:v>92.733599451839339</c:v>
                </c:pt>
                <c:pt idx="107">
                  <c:v>93.331300718772638</c:v>
                </c:pt>
                <c:pt idx="108">
                  <c:v>93.923169051646965</c:v>
                </c:pt>
                <c:pt idx="109">
                  <c:v>94.493638115907714</c:v>
                </c:pt>
                <c:pt idx="110">
                  <c:v>95.07634226077613</c:v>
                </c:pt>
                <c:pt idx="111">
                  <c:v>95.657009222340818</c:v>
                </c:pt>
                <c:pt idx="112">
                  <c:v>96.246857973383797</c:v>
                </c:pt>
                <c:pt idx="113">
                  <c:v>96.842649030163827</c:v>
                </c:pt>
                <c:pt idx="114">
                  <c:v>97.462713650392701</c:v>
                </c:pt>
                <c:pt idx="115">
                  <c:v>98.078267446044833</c:v>
                </c:pt>
                <c:pt idx="116">
                  <c:v>98.672372285418888</c:v>
                </c:pt>
                <c:pt idx="117">
                  <c:v>99.2532707535604</c:v>
                </c:pt>
                <c:pt idx="118">
                  <c:v>99.873893019110668</c:v>
                </c:pt>
                <c:pt idx="119">
                  <c:v>100.4885223889699</c:v>
                </c:pt>
                <c:pt idx="120">
                  <c:v>101.08597379920644</c:v>
                </c:pt>
                <c:pt idx="121">
                  <c:v>101.72623438558109</c:v>
                </c:pt>
                <c:pt idx="122">
                  <c:v>102.36860077597198</c:v>
                </c:pt>
                <c:pt idx="123">
                  <c:v>102.98167465998617</c:v>
                </c:pt>
                <c:pt idx="124">
                  <c:v>103.60216061531852</c:v>
                </c:pt>
                <c:pt idx="125">
                  <c:v>104.22041719663355</c:v>
                </c:pt>
                <c:pt idx="126">
                  <c:v>104.80260004317873</c:v>
                </c:pt>
                <c:pt idx="127">
                  <c:v>105.41704556191503</c:v>
                </c:pt>
                <c:pt idx="128">
                  <c:v>106.05639778210309</c:v>
                </c:pt>
                <c:pt idx="129">
                  <c:v>106.68611702924046</c:v>
                </c:pt>
                <c:pt idx="130">
                  <c:v>107.32493263560657</c:v>
                </c:pt>
                <c:pt idx="131">
                  <c:v>107.93621215034275</c:v>
                </c:pt>
                <c:pt idx="132">
                  <c:v>108.49658924645125</c:v>
                </c:pt>
                <c:pt idx="133">
                  <c:v>109.04958762327696</c:v>
                </c:pt>
                <c:pt idx="134">
                  <c:v>109.62520455149017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-0.72843583203867723</c:v>
                </c:pt>
                <c:pt idx="2">
                  <c:v>-1.4391246142295628</c:v>
                </c:pt>
                <c:pt idx="3">
                  <c:v>-2.1107419474434295</c:v>
                </c:pt>
                <c:pt idx="4">
                  <c:v>-2.7144345826120286</c:v>
                </c:pt>
                <c:pt idx="5">
                  <c:v>-3.3060405395498975</c:v>
                </c:pt>
                <c:pt idx="6">
                  <c:v>-3.9068096942316473</c:v>
                </c:pt>
                <c:pt idx="7">
                  <c:v>-4.4410451270156557</c:v>
                </c:pt>
                <c:pt idx="8">
                  <c:v>-4.9487704195708631</c:v>
                </c:pt>
                <c:pt idx="9">
                  <c:v>-5.4305098513617622</c:v>
                </c:pt>
                <c:pt idx="10">
                  <c:v>-5.8990653086194769</c:v>
                </c:pt>
                <c:pt idx="11">
                  <c:v>-6.3371935224896063</c:v>
                </c:pt>
                <c:pt idx="12">
                  <c:v>-6.7448062456596105</c:v>
                </c:pt>
                <c:pt idx="13">
                  <c:v>-7.1276150326724448</c:v>
                </c:pt>
                <c:pt idx="14">
                  <c:v>-7.5218045324518314</c:v>
                </c:pt>
                <c:pt idx="15">
                  <c:v>-7.898144625308646</c:v>
                </c:pt>
                <c:pt idx="16">
                  <c:v>-8.2442160981522505</c:v>
                </c:pt>
                <c:pt idx="17">
                  <c:v>-8.5865832717387107</c:v>
                </c:pt>
                <c:pt idx="18">
                  <c:v>-8.9084251517354112</c:v>
                </c:pt>
                <c:pt idx="19">
                  <c:v>-9.2047572904406501</c:v>
                </c:pt>
                <c:pt idx="20">
                  <c:v>-9.4981636679782255</c:v>
                </c:pt>
                <c:pt idx="21">
                  <c:v>-9.7698370796874663</c:v>
                </c:pt>
                <c:pt idx="22">
                  <c:v>-10.015693277534091</c:v>
                </c:pt>
                <c:pt idx="23">
                  <c:v>-10.255759721898226</c:v>
                </c:pt>
                <c:pt idx="24">
                  <c:v>-10.478649622258938</c:v>
                </c:pt>
                <c:pt idx="25">
                  <c:v>-10.694281051771959</c:v>
                </c:pt>
                <c:pt idx="26">
                  <c:v>-10.886879441369974</c:v>
                </c:pt>
                <c:pt idx="27">
                  <c:v>-11.067968691116469</c:v>
                </c:pt>
                <c:pt idx="28">
                  <c:v>-11.244320747751139</c:v>
                </c:pt>
                <c:pt idx="29">
                  <c:v>-11.41894798254215</c:v>
                </c:pt>
                <c:pt idx="30">
                  <c:v>-11.581965744075163</c:v>
                </c:pt>
                <c:pt idx="31">
                  <c:v>-11.727714432225682</c:v>
                </c:pt>
                <c:pt idx="32">
                  <c:v>-11.866972470226397</c:v>
                </c:pt>
                <c:pt idx="33">
                  <c:v>-11.98714948980885</c:v>
                </c:pt>
                <c:pt idx="34">
                  <c:v>-12.09444794241131</c:v>
                </c:pt>
                <c:pt idx="35">
                  <c:v>-12.192028852594465</c:v>
                </c:pt>
                <c:pt idx="36">
                  <c:v>-12.286382168454708</c:v>
                </c:pt>
                <c:pt idx="37">
                  <c:v>-12.377935450034734</c:v>
                </c:pt>
                <c:pt idx="38">
                  <c:v>-12.457297936253518</c:v>
                </c:pt>
                <c:pt idx="39">
                  <c:v>-12.525461743692027</c:v>
                </c:pt>
                <c:pt idx="40">
                  <c:v>-12.58532171327191</c:v>
                </c:pt>
                <c:pt idx="41">
                  <c:v>-12.639000392538328</c:v>
                </c:pt>
                <c:pt idx="42">
                  <c:v>-12.687016700294699</c:v>
                </c:pt>
                <c:pt idx="43">
                  <c:v>-12.728682813489556</c:v>
                </c:pt>
                <c:pt idx="44">
                  <c:v>-12.762278717179427</c:v>
                </c:pt>
                <c:pt idx="45">
                  <c:v>-12.790031116446443</c:v>
                </c:pt>
                <c:pt idx="46">
                  <c:v>-12.810609671178799</c:v>
                </c:pt>
                <c:pt idx="47">
                  <c:v>-12.825566321898968</c:v>
                </c:pt>
                <c:pt idx="48">
                  <c:v>-12.835956883820145</c:v>
                </c:pt>
                <c:pt idx="49">
                  <c:v>-12.84218779310163</c:v>
                </c:pt>
                <c:pt idx="50">
                  <c:v>-12.843629915472206</c:v>
                </c:pt>
                <c:pt idx="51">
                  <c:v>-12.839680251858425</c:v>
                </c:pt>
                <c:pt idx="52">
                  <c:v>-12.830987681990706</c:v>
                </c:pt>
                <c:pt idx="53">
                  <c:v>-12.818310215612275</c:v>
                </c:pt>
                <c:pt idx="54">
                  <c:v>-12.801426072953127</c:v>
                </c:pt>
                <c:pt idx="55">
                  <c:v>-12.780575709933569</c:v>
                </c:pt>
                <c:pt idx="56">
                  <c:v>-12.755903945546706</c:v>
                </c:pt>
                <c:pt idx="57">
                  <c:v>-12.726523565363397</c:v>
                </c:pt>
                <c:pt idx="58">
                  <c:v>-12.693582466377833</c:v>
                </c:pt>
                <c:pt idx="59">
                  <c:v>-12.654799899928342</c:v>
                </c:pt>
                <c:pt idx="60">
                  <c:v>-12.612078872595525</c:v>
                </c:pt>
                <c:pt idx="61">
                  <c:v>-12.564932453718708</c:v>
                </c:pt>
                <c:pt idx="62">
                  <c:v>-12.515317025762471</c:v>
                </c:pt>
                <c:pt idx="63">
                  <c:v>-12.466551678102231</c:v>
                </c:pt>
                <c:pt idx="64">
                  <c:v>-12.4113617130687</c:v>
                </c:pt>
                <c:pt idx="65">
                  <c:v>-12.354615927017726</c:v>
                </c:pt>
                <c:pt idx="66">
                  <c:v>-12.294564253647287</c:v>
                </c:pt>
                <c:pt idx="67">
                  <c:v>-12.232803472112092</c:v>
                </c:pt>
                <c:pt idx="68">
                  <c:v>-12.166730634997904</c:v>
                </c:pt>
                <c:pt idx="69">
                  <c:v>-12.099519276386012</c:v>
                </c:pt>
                <c:pt idx="70">
                  <c:v>-12.030621925843448</c:v>
                </c:pt>
                <c:pt idx="71">
                  <c:v>-11.963001056283954</c:v>
                </c:pt>
                <c:pt idx="72">
                  <c:v>-11.897074296563193</c:v>
                </c:pt>
                <c:pt idx="73">
                  <c:v>-11.82703153366171</c:v>
                </c:pt>
                <c:pt idx="74">
                  <c:v>-11.751880504554606</c:v>
                </c:pt>
                <c:pt idx="75">
                  <c:v>-11.671351234007094</c:v>
                </c:pt>
                <c:pt idx="76">
                  <c:v>-11.592858415726475</c:v>
                </c:pt>
                <c:pt idx="77">
                  <c:v>-11.514303839166452</c:v>
                </c:pt>
                <c:pt idx="78">
                  <c:v>-11.438867410656925</c:v>
                </c:pt>
                <c:pt idx="79">
                  <c:v>-11.36527703836785</c:v>
                </c:pt>
                <c:pt idx="80">
                  <c:v>-11.285931339856916</c:v>
                </c:pt>
                <c:pt idx="81">
                  <c:v>-11.206303356157985</c:v>
                </c:pt>
                <c:pt idx="82">
                  <c:v>-11.124124091202653</c:v>
                </c:pt>
                <c:pt idx="83">
                  <c:v>-11.044417933560013</c:v>
                </c:pt>
                <c:pt idx="84">
                  <c:v>-10.968830639277733</c:v>
                </c:pt>
                <c:pt idx="85">
                  <c:v>-10.892653776511921</c:v>
                </c:pt>
                <c:pt idx="86">
                  <c:v>-10.816209517861509</c:v>
                </c:pt>
                <c:pt idx="87">
                  <c:v>-10.736304703738909</c:v>
                </c:pt>
                <c:pt idx="88">
                  <c:v>-10.656306478497967</c:v>
                </c:pt>
                <c:pt idx="89">
                  <c:v>-10.573687692647397</c:v>
                </c:pt>
                <c:pt idx="90">
                  <c:v>-10.488439161651854</c:v>
                </c:pt>
                <c:pt idx="91">
                  <c:v>-10.405858893783208</c:v>
                </c:pt>
                <c:pt idx="92">
                  <c:v>-10.326729529045963</c:v>
                </c:pt>
                <c:pt idx="93">
                  <c:v>-10.247617598051178</c:v>
                </c:pt>
                <c:pt idx="94">
                  <c:v>-10.169331576752917</c:v>
                </c:pt>
                <c:pt idx="95">
                  <c:v>-10.09354166537053</c:v>
                </c:pt>
                <c:pt idx="96">
                  <c:v>-10.024370702596286</c:v>
                </c:pt>
                <c:pt idx="97">
                  <c:v>-9.9431880936239239</c:v>
                </c:pt>
                <c:pt idx="98">
                  <c:v>-9.8597216741116895</c:v>
                </c:pt>
                <c:pt idx="99">
                  <c:v>-9.7768893831824712</c:v>
                </c:pt>
                <c:pt idx="100">
                  <c:v>-9.7029550044042878</c:v>
                </c:pt>
                <c:pt idx="101">
                  <c:v>-9.6326419859587915</c:v>
                </c:pt>
                <c:pt idx="102">
                  <c:v>-9.5601510235184577</c:v>
                </c:pt>
                <c:pt idx="103">
                  <c:v>-9.4925995648484118</c:v>
                </c:pt>
                <c:pt idx="104">
                  <c:v>-9.4256043925861803</c:v>
                </c:pt>
                <c:pt idx="105">
                  <c:v>-9.3670013777030015</c:v>
                </c:pt>
                <c:pt idx="106">
                  <c:v>-9.3107873325634642</c:v>
                </c:pt>
                <c:pt idx="107">
                  <c:v>-9.259811345390105</c:v>
                </c:pt>
                <c:pt idx="108">
                  <c:v>-9.2105655333567888</c:v>
                </c:pt>
                <c:pt idx="109">
                  <c:v>-9.1612384880830753</c:v>
                </c:pt>
                <c:pt idx="110">
                  <c:v>-9.11334043540759</c:v>
                </c:pt>
                <c:pt idx="111">
                  <c:v>-9.0647704213952132</c:v>
                </c:pt>
                <c:pt idx="112">
                  <c:v>-9.0195407062372865</c:v>
                </c:pt>
                <c:pt idx="113">
                  <c:v>-8.9746015150049843</c:v>
                </c:pt>
                <c:pt idx="114">
                  <c:v>-8.9271221645566889</c:v>
                </c:pt>
                <c:pt idx="115">
                  <c:v>-8.8781691512358947</c:v>
                </c:pt>
                <c:pt idx="116">
                  <c:v>-8.8289293942998164</c:v>
                </c:pt>
                <c:pt idx="117">
                  <c:v>-8.7818645828985495</c:v>
                </c:pt>
                <c:pt idx="118">
                  <c:v>-8.7360574463192933</c:v>
                </c:pt>
                <c:pt idx="119">
                  <c:v>-8.6847169480865745</c:v>
                </c:pt>
                <c:pt idx="120">
                  <c:v>-8.6358400556870691</c:v>
                </c:pt>
                <c:pt idx="121">
                  <c:v>-8.5910556060209728</c:v>
                </c:pt>
                <c:pt idx="122">
                  <c:v>-8.5445711577001902</c:v>
                </c:pt>
                <c:pt idx="123">
                  <c:v>-8.4964040006143193</c:v>
                </c:pt>
                <c:pt idx="124">
                  <c:v>-8.4525221410629641</c:v>
                </c:pt>
                <c:pt idx="125">
                  <c:v>-8.4111738452154725</c:v>
                </c:pt>
                <c:pt idx="126">
                  <c:v>-8.3713099754886855</c:v>
                </c:pt>
                <c:pt idx="127">
                  <c:v>-8.3366083991699753</c:v>
                </c:pt>
                <c:pt idx="128">
                  <c:v>-8.2964150306974247</c:v>
                </c:pt>
                <c:pt idx="129">
                  <c:v>-8.2519202731454229</c:v>
                </c:pt>
                <c:pt idx="130">
                  <c:v>-8.2107333776509748</c:v>
                </c:pt>
                <c:pt idx="131">
                  <c:v>-8.1669106860155765</c:v>
                </c:pt>
                <c:pt idx="132">
                  <c:v>-8.1258818065844665</c:v>
                </c:pt>
                <c:pt idx="133">
                  <c:v>-8.0906347049118423</c:v>
                </c:pt>
                <c:pt idx="134">
                  <c:v>-8.0554581074974863</c:v>
                </c:pt>
                <c:pt idx="135">
                  <c:v>-8.0190562850589231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113.16521739130434</c:v>
                </c:pt>
                <c:pt idx="2">
                  <c:v>111.35187901701325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119.82608695652172</c:v>
                </c:pt>
                <c:pt idx="7">
                  <c:v>118.89121613106491</c:v>
                </c:pt>
                <c:pt idx="8">
                  <c:v>119.8895545583226</c:v>
                </c:pt>
                <c:pt idx="9">
                  <c:v>118.34438556460063</c:v>
                </c:pt>
                <c:pt idx="10">
                  <c:v>116.00184753716754</c:v>
                </c:pt>
                <c:pt idx="11">
                  <c:v>117.74557334718602</c:v>
                </c:pt>
                <c:pt idx="12">
                  <c:v>120</c:v>
                </c:pt>
                <c:pt idx="13">
                  <c:v>118.60869565217391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117.51304347826085</c:v>
                </c:pt>
                <c:pt idx="19">
                  <c:v>115.26965343415247</c:v>
                </c:pt>
                <c:pt idx="20">
                  <c:v>116.58507945718381</c:v>
                </c:pt>
                <c:pt idx="21">
                  <c:v>119.84248971558478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119.77391304347827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118.34782608695652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119.98260869565216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119.93043478260869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119.68695652173912</c:v>
                </c:pt>
                <c:pt idx="81">
                  <c:v>120</c:v>
                </c:pt>
                <c:pt idx="82">
                  <c:v>119.75652173913043</c:v>
                </c:pt>
                <c:pt idx="83">
                  <c:v>118.24347930496248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119.82608695652175</c:v>
                </c:pt>
                <c:pt idx="104">
                  <c:v>118.31304348368803</c:v>
                </c:pt>
                <c:pt idx="105">
                  <c:v>119.87826090889524</c:v>
                </c:pt>
                <c:pt idx="106">
                  <c:v>119.84347830238526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117.96521739130432</c:v>
                </c:pt>
                <c:pt idx="134">
                  <c:v>119.7503442259172</c:v>
                </c:pt>
                <c:pt idx="135">
                  <c:v>120</c:v>
                </c:pt>
                <c:pt idx="136">
                  <c:v>118.9217391304348</c:v>
                </c:pt>
                <c:pt idx="137">
                  <c:v>119.393937742784</c:v>
                </c:pt>
                <c:pt idx="138">
                  <c:v>120</c:v>
                </c:pt>
                <c:pt idx="139">
                  <c:v>119.63478260869563</c:v>
                </c:pt>
                <c:pt idx="140">
                  <c:v>119.50424687939419</c:v>
                </c:pt>
                <c:pt idx="141">
                  <c:v>117.77715991238705</c:v>
                </c:pt>
                <c:pt idx="142">
                  <c:v>120</c:v>
                </c:pt>
                <c:pt idx="143">
                  <c:v>118.81739130434784</c:v>
                </c:pt>
                <c:pt idx="144">
                  <c:v>119.97867674858225</c:v>
                </c:pt>
                <c:pt idx="145">
                  <c:v>120</c:v>
                </c:pt>
                <c:pt idx="146">
                  <c:v>120</c:v>
                </c:pt>
                <c:pt idx="147">
                  <c:v>118.9217391304348</c:v>
                </c:pt>
                <c:pt idx="148">
                  <c:v>117.21198739760555</c:v>
                </c:pt>
                <c:pt idx="149">
                  <c:v>120</c:v>
                </c:pt>
                <c:pt idx="150">
                  <c:v>120</c:v>
                </c:pt>
                <c:pt idx="151">
                  <c:v>120</c:v>
                </c:pt>
                <c:pt idx="152">
                  <c:v>120</c:v>
                </c:pt>
                <c:pt idx="153">
                  <c:v>119.33913043478262</c:v>
                </c:pt>
                <c:pt idx="154">
                  <c:v>120</c:v>
                </c:pt>
                <c:pt idx="155">
                  <c:v>119.13043478260869</c:v>
                </c:pt>
                <c:pt idx="156">
                  <c:v>120</c:v>
                </c:pt>
                <c:pt idx="157">
                  <c:v>120</c:v>
                </c:pt>
                <c:pt idx="158">
                  <c:v>120</c:v>
                </c:pt>
                <c:pt idx="159">
                  <c:v>120</c:v>
                </c:pt>
                <c:pt idx="160">
                  <c:v>120</c:v>
                </c:pt>
                <c:pt idx="161">
                  <c:v>119.4086956521739</c:v>
                </c:pt>
                <c:pt idx="162">
                  <c:v>120</c:v>
                </c:pt>
                <c:pt idx="163">
                  <c:v>119.40869565217393</c:v>
                </c:pt>
                <c:pt idx="164">
                  <c:v>120</c:v>
                </c:pt>
                <c:pt idx="165">
                  <c:v>118.95652173913041</c:v>
                </c:pt>
                <c:pt idx="166">
                  <c:v>116.97300567107749</c:v>
                </c:pt>
                <c:pt idx="167">
                  <c:v>114.64570329580009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1.0405661587901704</c:v>
                </c:pt>
                <c:pt idx="4">
                  <c:v>3.0205661587901744</c:v>
                </c:pt>
                <c:pt idx="5">
                  <c:v>3.8005661587901756</c:v>
                </c:pt>
                <c:pt idx="6">
                  <c:v>3.8005661587901756</c:v>
                </c:pt>
                <c:pt idx="7">
                  <c:v>3.8005661587901756</c:v>
                </c:pt>
                <c:pt idx="8">
                  <c:v>3.8005661587901756</c:v>
                </c:pt>
                <c:pt idx="9">
                  <c:v>3.8005661587901756</c:v>
                </c:pt>
                <c:pt idx="10">
                  <c:v>3.8005661587901756</c:v>
                </c:pt>
                <c:pt idx="11">
                  <c:v>3.8005661587901756</c:v>
                </c:pt>
                <c:pt idx="12">
                  <c:v>8.4516996910313793</c:v>
                </c:pt>
                <c:pt idx="13">
                  <c:v>8.4516996910313793</c:v>
                </c:pt>
                <c:pt idx="14">
                  <c:v>10.679902589582099</c:v>
                </c:pt>
                <c:pt idx="15">
                  <c:v>14.9599025895821</c:v>
                </c:pt>
                <c:pt idx="16">
                  <c:v>18.129902589582102</c:v>
                </c:pt>
                <c:pt idx="17">
                  <c:v>21.929902589582113</c:v>
                </c:pt>
                <c:pt idx="18">
                  <c:v>21.929902589582113</c:v>
                </c:pt>
                <c:pt idx="19">
                  <c:v>21.929902589582113</c:v>
                </c:pt>
                <c:pt idx="20">
                  <c:v>21.929902589582113</c:v>
                </c:pt>
                <c:pt idx="21">
                  <c:v>21.929902589582113</c:v>
                </c:pt>
                <c:pt idx="22">
                  <c:v>25.391040537457854</c:v>
                </c:pt>
                <c:pt idx="23">
                  <c:v>26.461040537457862</c:v>
                </c:pt>
                <c:pt idx="24">
                  <c:v>30.571040537457861</c:v>
                </c:pt>
                <c:pt idx="25">
                  <c:v>31.471040537457867</c:v>
                </c:pt>
                <c:pt idx="26">
                  <c:v>31.471040537457867</c:v>
                </c:pt>
                <c:pt idx="27">
                  <c:v>31.713301407023081</c:v>
                </c:pt>
                <c:pt idx="28">
                  <c:v>34.353301407023082</c:v>
                </c:pt>
                <c:pt idx="29">
                  <c:v>39.29330140702308</c:v>
                </c:pt>
                <c:pt idx="30">
                  <c:v>43.123301407023078</c:v>
                </c:pt>
                <c:pt idx="31">
                  <c:v>46.803301407023085</c:v>
                </c:pt>
                <c:pt idx="32">
                  <c:v>54.413301407023084</c:v>
                </c:pt>
                <c:pt idx="33">
                  <c:v>58.043301407023094</c:v>
                </c:pt>
                <c:pt idx="34">
                  <c:v>60.453301407023091</c:v>
                </c:pt>
                <c:pt idx="35">
                  <c:v>61.743301407023097</c:v>
                </c:pt>
                <c:pt idx="36">
                  <c:v>62.793301407023094</c:v>
                </c:pt>
                <c:pt idx="37">
                  <c:v>62.793301407023094</c:v>
                </c:pt>
                <c:pt idx="38">
                  <c:v>62.797895609921639</c:v>
                </c:pt>
                <c:pt idx="39">
                  <c:v>64.617895609921646</c:v>
                </c:pt>
                <c:pt idx="40">
                  <c:v>66.467895609921641</c:v>
                </c:pt>
                <c:pt idx="41">
                  <c:v>71.127895609921651</c:v>
                </c:pt>
                <c:pt idx="42">
                  <c:v>73.307895609921658</c:v>
                </c:pt>
                <c:pt idx="43">
                  <c:v>78.427895609921663</c:v>
                </c:pt>
                <c:pt idx="44">
                  <c:v>80.137895609921657</c:v>
                </c:pt>
                <c:pt idx="45">
                  <c:v>81.907895609921667</c:v>
                </c:pt>
                <c:pt idx="46">
                  <c:v>84.047895609921682</c:v>
                </c:pt>
                <c:pt idx="47">
                  <c:v>84.907895609921667</c:v>
                </c:pt>
                <c:pt idx="48">
                  <c:v>88.507895609921675</c:v>
                </c:pt>
                <c:pt idx="49">
                  <c:v>89.837895609921688</c:v>
                </c:pt>
                <c:pt idx="50">
                  <c:v>91.587895609921688</c:v>
                </c:pt>
                <c:pt idx="51">
                  <c:v>92.39789560992169</c:v>
                </c:pt>
                <c:pt idx="52">
                  <c:v>93.887895609921699</c:v>
                </c:pt>
                <c:pt idx="53">
                  <c:v>97.177895609921705</c:v>
                </c:pt>
                <c:pt idx="54">
                  <c:v>101.5478956099217</c:v>
                </c:pt>
                <c:pt idx="55">
                  <c:v>102.9978956099217</c:v>
                </c:pt>
                <c:pt idx="56">
                  <c:v>103.6478956099217</c:v>
                </c:pt>
                <c:pt idx="57">
                  <c:v>104.2478956099217</c:v>
                </c:pt>
                <c:pt idx="58">
                  <c:v>108.31789560992171</c:v>
                </c:pt>
                <c:pt idx="59">
                  <c:v>114.69789560992172</c:v>
                </c:pt>
                <c:pt idx="60">
                  <c:v>114.69789560992172</c:v>
                </c:pt>
                <c:pt idx="61">
                  <c:v>119.25790944344489</c:v>
                </c:pt>
                <c:pt idx="62">
                  <c:v>119.36790944344489</c:v>
                </c:pt>
                <c:pt idx="63">
                  <c:v>120.65790944344489</c:v>
                </c:pt>
                <c:pt idx="64">
                  <c:v>122.48790944344491</c:v>
                </c:pt>
                <c:pt idx="65">
                  <c:v>124.09790944344491</c:v>
                </c:pt>
                <c:pt idx="66">
                  <c:v>128.84790944344491</c:v>
                </c:pt>
                <c:pt idx="67">
                  <c:v>140.0079094434449</c:v>
                </c:pt>
                <c:pt idx="68">
                  <c:v>148.1979094434449</c:v>
                </c:pt>
                <c:pt idx="69">
                  <c:v>149.1979094434449</c:v>
                </c:pt>
                <c:pt idx="70">
                  <c:v>150.25790944344487</c:v>
                </c:pt>
                <c:pt idx="71">
                  <c:v>152.44790944344487</c:v>
                </c:pt>
                <c:pt idx="72">
                  <c:v>155.30790944344488</c:v>
                </c:pt>
                <c:pt idx="73">
                  <c:v>157.43790944344488</c:v>
                </c:pt>
                <c:pt idx="74">
                  <c:v>157.68790944344488</c:v>
                </c:pt>
                <c:pt idx="75">
                  <c:v>159.77790944344488</c:v>
                </c:pt>
                <c:pt idx="76">
                  <c:v>159.77790944344488</c:v>
                </c:pt>
                <c:pt idx="77">
                  <c:v>160.58791012800339</c:v>
                </c:pt>
                <c:pt idx="78">
                  <c:v>162.33791012800339</c:v>
                </c:pt>
                <c:pt idx="79">
                  <c:v>163.65791012800338</c:v>
                </c:pt>
                <c:pt idx="80">
                  <c:v>163.65791012800338</c:v>
                </c:pt>
                <c:pt idx="81">
                  <c:v>166.15791130651223</c:v>
                </c:pt>
                <c:pt idx="82">
                  <c:v>166.15791130651223</c:v>
                </c:pt>
                <c:pt idx="83">
                  <c:v>166.15791130651223</c:v>
                </c:pt>
                <c:pt idx="84">
                  <c:v>166.47791482653395</c:v>
                </c:pt>
                <c:pt idx="85">
                  <c:v>170.23791482653394</c:v>
                </c:pt>
                <c:pt idx="86">
                  <c:v>172.92791482653394</c:v>
                </c:pt>
                <c:pt idx="87">
                  <c:v>176.21791482653396</c:v>
                </c:pt>
                <c:pt idx="88">
                  <c:v>177.42791482653394</c:v>
                </c:pt>
                <c:pt idx="89">
                  <c:v>181.04791482653394</c:v>
                </c:pt>
                <c:pt idx="90">
                  <c:v>181.66791482653394</c:v>
                </c:pt>
                <c:pt idx="91">
                  <c:v>185.86791482653393</c:v>
                </c:pt>
                <c:pt idx="92">
                  <c:v>189.23791482653394</c:v>
                </c:pt>
                <c:pt idx="93">
                  <c:v>190.32791482653391</c:v>
                </c:pt>
                <c:pt idx="94">
                  <c:v>195.60791482653391</c:v>
                </c:pt>
                <c:pt idx="95">
                  <c:v>199.26791482653391</c:v>
                </c:pt>
                <c:pt idx="96">
                  <c:v>199.34791482653389</c:v>
                </c:pt>
                <c:pt idx="97">
                  <c:v>199.53791482653389</c:v>
                </c:pt>
                <c:pt idx="98">
                  <c:v>201.3379148265339</c:v>
                </c:pt>
                <c:pt idx="99">
                  <c:v>203.88791482653392</c:v>
                </c:pt>
                <c:pt idx="100">
                  <c:v>207.48791482653394</c:v>
                </c:pt>
                <c:pt idx="101">
                  <c:v>211.87791482653392</c:v>
                </c:pt>
                <c:pt idx="102">
                  <c:v>212.97791482653392</c:v>
                </c:pt>
                <c:pt idx="103">
                  <c:v>212.97791482653392</c:v>
                </c:pt>
                <c:pt idx="104">
                  <c:v>212.97791482653392</c:v>
                </c:pt>
                <c:pt idx="105">
                  <c:v>212.97791482653392</c:v>
                </c:pt>
                <c:pt idx="106">
                  <c:v>212.97791482653392</c:v>
                </c:pt>
                <c:pt idx="107">
                  <c:v>214.48791485156758</c:v>
                </c:pt>
                <c:pt idx="108">
                  <c:v>214.66791485156759</c:v>
                </c:pt>
                <c:pt idx="109">
                  <c:v>216.2179148515676</c:v>
                </c:pt>
                <c:pt idx="110">
                  <c:v>220.54791485156761</c:v>
                </c:pt>
                <c:pt idx="111">
                  <c:v>223.88791485156761</c:v>
                </c:pt>
                <c:pt idx="112">
                  <c:v>224.57791485156761</c:v>
                </c:pt>
                <c:pt idx="113">
                  <c:v>229.52791485156763</c:v>
                </c:pt>
                <c:pt idx="114">
                  <c:v>231.16791485156762</c:v>
                </c:pt>
                <c:pt idx="115">
                  <c:v>234.6179148515676</c:v>
                </c:pt>
                <c:pt idx="116">
                  <c:v>235.71791485156763</c:v>
                </c:pt>
                <c:pt idx="117">
                  <c:v>238.22791485156762</c:v>
                </c:pt>
                <c:pt idx="118">
                  <c:v>240.3079148515676</c:v>
                </c:pt>
                <c:pt idx="119">
                  <c:v>240.39791485156758</c:v>
                </c:pt>
                <c:pt idx="120">
                  <c:v>243.82791485156758</c:v>
                </c:pt>
                <c:pt idx="121">
                  <c:v>247.57791485156758</c:v>
                </c:pt>
                <c:pt idx="122">
                  <c:v>249.4979148515676</c:v>
                </c:pt>
                <c:pt idx="123">
                  <c:v>255.0579148515676</c:v>
                </c:pt>
                <c:pt idx="124">
                  <c:v>257.09791485156762</c:v>
                </c:pt>
                <c:pt idx="125">
                  <c:v>257.39791485156763</c:v>
                </c:pt>
                <c:pt idx="126">
                  <c:v>262.62791485156765</c:v>
                </c:pt>
                <c:pt idx="127">
                  <c:v>264.53791485156762</c:v>
                </c:pt>
                <c:pt idx="128">
                  <c:v>265.10791485156761</c:v>
                </c:pt>
                <c:pt idx="129">
                  <c:v>267.31791485156759</c:v>
                </c:pt>
                <c:pt idx="130">
                  <c:v>267.98791485156761</c:v>
                </c:pt>
                <c:pt idx="131">
                  <c:v>270.77791485156763</c:v>
                </c:pt>
                <c:pt idx="132">
                  <c:v>270.81791485156765</c:v>
                </c:pt>
                <c:pt idx="133">
                  <c:v>270.81791485156765</c:v>
                </c:pt>
                <c:pt idx="134">
                  <c:v>270.81791485156765</c:v>
                </c:pt>
                <c:pt idx="135">
                  <c:v>272.25654048644185</c:v>
                </c:pt>
                <c:pt idx="136">
                  <c:v>272.25654048644185</c:v>
                </c:pt>
                <c:pt idx="137">
                  <c:v>272.25654048644185</c:v>
                </c:pt>
                <c:pt idx="138">
                  <c:v>273.42429712354908</c:v>
                </c:pt>
                <c:pt idx="139">
                  <c:v>273.42429712354908</c:v>
                </c:pt>
                <c:pt idx="140">
                  <c:v>273.42429712354908</c:v>
                </c:pt>
                <c:pt idx="141">
                  <c:v>273.42429712354908</c:v>
                </c:pt>
                <c:pt idx="142">
                  <c:v>273.80201078846801</c:v>
                </c:pt>
                <c:pt idx="143">
                  <c:v>273.80201078846801</c:v>
                </c:pt>
                <c:pt idx="144">
                  <c:v>273.80201078846801</c:v>
                </c:pt>
                <c:pt idx="145">
                  <c:v>275.49001645954553</c:v>
                </c:pt>
                <c:pt idx="146">
                  <c:v>279.95001645954551</c:v>
                </c:pt>
                <c:pt idx="147">
                  <c:v>279.95001645954551</c:v>
                </c:pt>
                <c:pt idx="148">
                  <c:v>279.95001645954551</c:v>
                </c:pt>
                <c:pt idx="149">
                  <c:v>280.9098910741223</c:v>
                </c:pt>
                <c:pt idx="150">
                  <c:v>282.67989107412228</c:v>
                </c:pt>
                <c:pt idx="151">
                  <c:v>287.43989107412227</c:v>
                </c:pt>
                <c:pt idx="152">
                  <c:v>287.53989107412224</c:v>
                </c:pt>
                <c:pt idx="153">
                  <c:v>287.53989107412224</c:v>
                </c:pt>
                <c:pt idx="154">
                  <c:v>287.93897803064397</c:v>
                </c:pt>
                <c:pt idx="155">
                  <c:v>287.93897803064397</c:v>
                </c:pt>
                <c:pt idx="156">
                  <c:v>288.16267368281785</c:v>
                </c:pt>
                <c:pt idx="157">
                  <c:v>290.72267368281786</c:v>
                </c:pt>
                <c:pt idx="158">
                  <c:v>292.64267368281787</c:v>
                </c:pt>
                <c:pt idx="159">
                  <c:v>299.43267368281789</c:v>
                </c:pt>
                <c:pt idx="160">
                  <c:v>301.19267368281788</c:v>
                </c:pt>
                <c:pt idx="161">
                  <c:v>301.19267368281788</c:v>
                </c:pt>
                <c:pt idx="162">
                  <c:v>302.48405629151353</c:v>
                </c:pt>
                <c:pt idx="163">
                  <c:v>302.48405629151353</c:v>
                </c:pt>
                <c:pt idx="164">
                  <c:v>305.99233455238311</c:v>
                </c:pt>
                <c:pt idx="165">
                  <c:v>305.99233455238311</c:v>
                </c:pt>
                <c:pt idx="166">
                  <c:v>305.99233455238311</c:v>
                </c:pt>
                <c:pt idx="167">
                  <c:v>305.99233455238311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0.99999999997015498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9.6360663176434016E-3</c:v>
                </c:pt>
                <c:pt idx="43">
                  <c:v>1.4216832801880543E-2</c:v>
                </c:pt>
                <c:pt idx="44">
                  <c:v>2.0147822467962581E-2</c:v>
                </c:pt>
                <c:pt idx="45">
                  <c:v>2.7975039775895962E-2</c:v>
                </c:pt>
                <c:pt idx="46">
                  <c:v>3.9974507900826017E-2</c:v>
                </c:pt>
                <c:pt idx="47">
                  <c:v>5.305240615613268E-2</c:v>
                </c:pt>
                <c:pt idx="48">
                  <c:v>7.0345885409351855E-2</c:v>
                </c:pt>
                <c:pt idx="49">
                  <c:v>9.4235502619654674E-2</c:v>
                </c:pt>
                <c:pt idx="50">
                  <c:v>0.12514595439148771</c:v>
                </c:pt>
                <c:pt idx="51">
                  <c:v>0.16348290447402231</c:v>
                </c:pt>
                <c:pt idx="52">
                  <c:v>0.22207146195424543</c:v>
                </c:pt>
                <c:pt idx="53">
                  <c:v>0.29084380200534332</c:v>
                </c:pt>
                <c:pt idx="54">
                  <c:v>0.36883404789930535</c:v>
                </c:pt>
                <c:pt idx="55">
                  <c:v>0.45276063747484402</c:v>
                </c:pt>
                <c:pt idx="56">
                  <c:v>0.5256709002336033</c:v>
                </c:pt>
                <c:pt idx="57">
                  <c:v>0.59597031912771059</c:v>
                </c:pt>
                <c:pt idx="58">
                  <c:v>0.68231293152986272</c:v>
                </c:pt>
                <c:pt idx="59">
                  <c:v>0.75770545172396464</c:v>
                </c:pt>
                <c:pt idx="60">
                  <c:v>0.8285975047504982</c:v>
                </c:pt>
                <c:pt idx="61">
                  <c:v>0.87273158679177665</c:v>
                </c:pt>
                <c:pt idx="62">
                  <c:v>0.90482413604051837</c:v>
                </c:pt>
                <c:pt idx="63">
                  <c:v>0.92474595683683669</c:v>
                </c:pt>
                <c:pt idx="64">
                  <c:v>0.94455560573096098</c:v>
                </c:pt>
                <c:pt idx="65">
                  <c:v>0.9596271224272892</c:v>
                </c:pt>
                <c:pt idx="66">
                  <c:v>0.970891105292914</c:v>
                </c:pt>
                <c:pt idx="67">
                  <c:v>0.97953261498127753</c:v>
                </c:pt>
                <c:pt idx="68">
                  <c:v>0.98560154416937262</c:v>
                </c:pt>
                <c:pt idx="69">
                  <c:v>0.98950647171149719</c:v>
                </c:pt>
                <c:pt idx="70">
                  <c:v>0.99183145127661732</c:v>
                </c:pt>
                <c:pt idx="71">
                  <c:v>0.99366468529388408</c:v>
                </c:pt>
                <c:pt idx="72">
                  <c:v>0.99548844446555829</c:v>
                </c:pt>
                <c:pt idx="73">
                  <c:v>0.99661089212712883</c:v>
                </c:pt>
                <c:pt idx="74">
                  <c:v>0.99739261586570338</c:v>
                </c:pt>
                <c:pt idx="75">
                  <c:v>0.99794797721052186</c:v>
                </c:pt>
                <c:pt idx="76">
                  <c:v>0.99839241106282373</c:v>
                </c:pt>
                <c:pt idx="77">
                  <c:v>0.99873025434691354</c:v>
                </c:pt>
                <c:pt idx="78">
                  <c:v>0.99898561993273927</c:v>
                </c:pt>
                <c:pt idx="79">
                  <c:v>0.99920448489079294</c:v>
                </c:pt>
                <c:pt idx="80">
                  <c:v>0.9993522871291447</c:v>
                </c:pt>
                <c:pt idx="81">
                  <c:v>0.99949240254292182</c:v>
                </c:pt>
                <c:pt idx="82">
                  <c:v>0.99959635312235151</c:v>
                </c:pt>
                <c:pt idx="83">
                  <c:v>0.9996949603326688</c:v>
                </c:pt>
                <c:pt idx="84">
                  <c:v>0.99976533811098134</c:v>
                </c:pt>
                <c:pt idx="85">
                  <c:v>0.99982558254247622</c:v>
                </c:pt>
                <c:pt idx="86">
                  <c:v>0.9998606913310405</c:v>
                </c:pt>
                <c:pt idx="87">
                  <c:v>0.99988608131145362</c:v>
                </c:pt>
                <c:pt idx="88">
                  <c:v>0.99990731755227136</c:v>
                </c:pt>
                <c:pt idx="89">
                  <c:v>0.99992358023552363</c:v>
                </c:pt>
                <c:pt idx="90">
                  <c:v>0.9999383390702723</c:v>
                </c:pt>
                <c:pt idx="91">
                  <c:v>0.99994935266417906</c:v>
                </c:pt>
                <c:pt idx="92">
                  <c:v>0.99995794635180979</c:v>
                </c:pt>
                <c:pt idx="93">
                  <c:v>0.99996711074850486</c:v>
                </c:pt>
                <c:pt idx="94">
                  <c:v>0.99997427807693073</c:v>
                </c:pt>
                <c:pt idx="95">
                  <c:v>0.99998079724974953</c:v>
                </c:pt>
                <c:pt idx="96">
                  <c:v>0.999984972451332</c:v>
                </c:pt>
                <c:pt idx="97">
                  <c:v>0.99998834423965943</c:v>
                </c:pt>
                <c:pt idx="98">
                  <c:v>0.99999124838683717</c:v>
                </c:pt>
                <c:pt idx="99">
                  <c:v>0.99999356558967334</c:v>
                </c:pt>
                <c:pt idx="100">
                  <c:v>0.99999532912899036</c:v>
                </c:pt>
                <c:pt idx="101">
                  <c:v>0.99999647726023</c:v>
                </c:pt>
                <c:pt idx="102">
                  <c:v>0.99999733809337121</c:v>
                </c:pt>
                <c:pt idx="103">
                  <c:v>0.99999792745743465</c:v>
                </c:pt>
                <c:pt idx="104">
                  <c:v>0.99999836876841541</c:v>
                </c:pt>
                <c:pt idx="105">
                  <c:v>0.9999987618774846</c:v>
                </c:pt>
                <c:pt idx="106">
                  <c:v>0.99999903968271997</c:v>
                </c:pt>
                <c:pt idx="107">
                  <c:v>0.99999925752297358</c:v>
                </c:pt>
                <c:pt idx="108">
                  <c:v>0.99999939363272139</c:v>
                </c:pt>
                <c:pt idx="109">
                  <c:v>0.99999952244395285</c:v>
                </c:pt>
                <c:pt idx="110">
                  <c:v>0.99999966010929919</c:v>
                </c:pt>
                <c:pt idx="111">
                  <c:v>0.99999976206214614</c:v>
                </c:pt>
                <c:pt idx="112">
                  <c:v>0.98628674405542005</c:v>
                </c:pt>
                <c:pt idx="113">
                  <c:v>0.95176360664237436</c:v>
                </c:pt>
                <c:pt idx="114">
                  <c:v>0.91997299554966638</c:v>
                </c:pt>
                <c:pt idx="115">
                  <c:v>0.88744926763930676</c:v>
                </c:pt>
                <c:pt idx="116">
                  <c:v>0.8541924229112956</c:v>
                </c:pt>
                <c:pt idx="117">
                  <c:v>0.82446786830469654</c:v>
                </c:pt>
                <c:pt idx="118">
                  <c:v>0.80160795299065268</c:v>
                </c:pt>
                <c:pt idx="119">
                  <c:v>0.78268020969855834</c:v>
                </c:pt>
                <c:pt idx="120">
                  <c:v>0.75742100298129122</c:v>
                </c:pt>
                <c:pt idx="121">
                  <c:v>0.72942926994368662</c:v>
                </c:pt>
                <c:pt idx="122">
                  <c:v>0.69943812740339606</c:v>
                </c:pt>
                <c:pt idx="123">
                  <c:v>0.66758086932726524</c:v>
                </c:pt>
                <c:pt idx="124">
                  <c:v>0.63798960868751187</c:v>
                </c:pt>
                <c:pt idx="125">
                  <c:v>0.60666552647876393</c:v>
                </c:pt>
                <c:pt idx="126">
                  <c:v>0.57587462013739876</c:v>
                </c:pt>
                <c:pt idx="127">
                  <c:v>0.55034882548644037</c:v>
                </c:pt>
                <c:pt idx="128">
                  <c:v>0.5204909769129954</c:v>
                </c:pt>
                <c:pt idx="129">
                  <c:v>0.49209936197485371</c:v>
                </c:pt>
                <c:pt idx="130">
                  <c:v>0.46030875088214573</c:v>
                </c:pt>
                <c:pt idx="131">
                  <c:v>0.43018431437500948</c:v>
                </c:pt>
                <c:pt idx="132">
                  <c:v>0.39965999596733592</c:v>
                </c:pt>
                <c:pt idx="133">
                  <c:v>0.36706962107355356</c:v>
                </c:pt>
                <c:pt idx="134">
                  <c:v>0.3356122448979596</c:v>
                </c:pt>
                <c:pt idx="135">
                  <c:v>0.29749017038007886</c:v>
                </c:pt>
                <c:pt idx="136">
                  <c:v>0.25916815491192979</c:v>
                </c:pt>
                <c:pt idx="137">
                  <c:v>0.21864678899082601</c:v>
                </c:pt>
                <c:pt idx="138">
                  <c:v>0.18145777224086579</c:v>
                </c:pt>
                <c:pt idx="139">
                  <c:v>0.14066981838607051</c:v>
                </c:pt>
                <c:pt idx="140">
                  <c:v>0.10288097878530411</c:v>
                </c:pt>
                <c:pt idx="141">
                  <c:v>6.8757723272795612E-2</c:v>
                </c:pt>
                <c:pt idx="142">
                  <c:v>3.7700228997738949E-2</c:v>
                </c:pt>
                <c:pt idx="143">
                  <c:v>6.0429118718765551E-3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16.18</c:v>
                </c:pt>
                <c:pt idx="1">
                  <c:v>17.16</c:v>
                </c:pt>
                <c:pt idx="2">
                  <c:v>16.809999999999999</c:v>
                </c:pt>
                <c:pt idx="3">
                  <c:v>15.77</c:v>
                </c:pt>
                <c:pt idx="4">
                  <c:v>16.05</c:v>
                </c:pt>
                <c:pt idx="5">
                  <c:v>16.2</c:v>
                </c:pt>
                <c:pt idx="6">
                  <c:v>17.399999999999999</c:v>
                </c:pt>
                <c:pt idx="7">
                  <c:v>17.100000000000001</c:v>
                </c:pt>
                <c:pt idx="8">
                  <c:v>16.21</c:v>
                </c:pt>
                <c:pt idx="9">
                  <c:v>15.89</c:v>
                </c:pt>
                <c:pt idx="10">
                  <c:v>16.25</c:v>
                </c:pt>
                <c:pt idx="11">
                  <c:v>16.66</c:v>
                </c:pt>
                <c:pt idx="12">
                  <c:v>16.829999999999998</c:v>
                </c:pt>
                <c:pt idx="13">
                  <c:v>16.84</c:v>
                </c:pt>
                <c:pt idx="14">
                  <c:v>17.34</c:v>
                </c:pt>
                <c:pt idx="15">
                  <c:v>16.829999999999998</c:v>
                </c:pt>
                <c:pt idx="16">
                  <c:v>16.72</c:v>
                </c:pt>
                <c:pt idx="17">
                  <c:v>17.3</c:v>
                </c:pt>
                <c:pt idx="18">
                  <c:v>17.05</c:v>
                </c:pt>
                <c:pt idx="19">
                  <c:v>15.94</c:v>
                </c:pt>
                <c:pt idx="20">
                  <c:v>17.48</c:v>
                </c:pt>
                <c:pt idx="21">
                  <c:v>18.25</c:v>
                </c:pt>
                <c:pt idx="22">
                  <c:v>17.18</c:v>
                </c:pt>
                <c:pt idx="23">
                  <c:v>16.84</c:v>
                </c:pt>
                <c:pt idx="24">
                  <c:v>16.690000000000001</c:v>
                </c:pt>
                <c:pt idx="25">
                  <c:v>16.43</c:v>
                </c:pt>
                <c:pt idx="26">
                  <c:v>16.329999999999998</c:v>
                </c:pt>
                <c:pt idx="27">
                  <c:v>17.04</c:v>
                </c:pt>
                <c:pt idx="28">
                  <c:v>17.48</c:v>
                </c:pt>
                <c:pt idx="29">
                  <c:v>18.010000000000002</c:v>
                </c:pt>
                <c:pt idx="30">
                  <c:v>18.13</c:v>
                </c:pt>
                <c:pt idx="31">
                  <c:v>17.559999999999999</c:v>
                </c:pt>
                <c:pt idx="32">
                  <c:v>16.53</c:v>
                </c:pt>
                <c:pt idx="33">
                  <c:v>16.34</c:v>
                </c:pt>
                <c:pt idx="34">
                  <c:v>17.920000000000002</c:v>
                </c:pt>
                <c:pt idx="35">
                  <c:v>16.079999999999998</c:v>
                </c:pt>
                <c:pt idx="36">
                  <c:v>16.54</c:v>
                </c:pt>
                <c:pt idx="37">
                  <c:v>16.53</c:v>
                </c:pt>
                <c:pt idx="38">
                  <c:v>16.86</c:v>
                </c:pt>
                <c:pt idx="39">
                  <c:v>16.96</c:v>
                </c:pt>
                <c:pt idx="40">
                  <c:v>16.87</c:v>
                </c:pt>
                <c:pt idx="41">
                  <c:v>17.489999999999998</c:v>
                </c:pt>
                <c:pt idx="42">
                  <c:v>17.98</c:v>
                </c:pt>
                <c:pt idx="43">
                  <c:v>16.399999999999999</c:v>
                </c:pt>
                <c:pt idx="44">
                  <c:v>15.89</c:v>
                </c:pt>
                <c:pt idx="45">
                  <c:v>15.47</c:v>
                </c:pt>
                <c:pt idx="46">
                  <c:v>16.04</c:v>
                </c:pt>
                <c:pt idx="47">
                  <c:v>17.16</c:v>
                </c:pt>
                <c:pt idx="48">
                  <c:v>17.57</c:v>
                </c:pt>
                <c:pt idx="49">
                  <c:v>16.989999999999998</c:v>
                </c:pt>
                <c:pt idx="50">
                  <c:v>16.66</c:v>
                </c:pt>
                <c:pt idx="51">
                  <c:v>16.7</c:v>
                </c:pt>
                <c:pt idx="52">
                  <c:v>16.39</c:v>
                </c:pt>
                <c:pt idx="53">
                  <c:v>16.09</c:v>
                </c:pt>
                <c:pt idx="54">
                  <c:v>16.78</c:v>
                </c:pt>
                <c:pt idx="55">
                  <c:v>16.190000000000001</c:v>
                </c:pt>
                <c:pt idx="56">
                  <c:v>16.190000000000001</c:v>
                </c:pt>
                <c:pt idx="57">
                  <c:v>16.21</c:v>
                </c:pt>
                <c:pt idx="58">
                  <c:v>16.079999999999998</c:v>
                </c:pt>
                <c:pt idx="59">
                  <c:v>16.260000000000002</c:v>
                </c:pt>
                <c:pt idx="60">
                  <c:v>15.97</c:v>
                </c:pt>
                <c:pt idx="61">
                  <c:v>15.22</c:v>
                </c:pt>
                <c:pt idx="62">
                  <c:v>14.61</c:v>
                </c:pt>
                <c:pt idx="63">
                  <c:v>15.77</c:v>
                </c:pt>
                <c:pt idx="64">
                  <c:v>16</c:v>
                </c:pt>
                <c:pt idx="65">
                  <c:v>15.02</c:v>
                </c:pt>
                <c:pt idx="66">
                  <c:v>15.33</c:v>
                </c:pt>
                <c:pt idx="67">
                  <c:v>14.63</c:v>
                </c:pt>
                <c:pt idx="68">
                  <c:v>15.79</c:v>
                </c:pt>
                <c:pt idx="69">
                  <c:v>15.06</c:v>
                </c:pt>
                <c:pt idx="70">
                  <c:v>14.96</c:v>
                </c:pt>
                <c:pt idx="71">
                  <c:v>15.21</c:v>
                </c:pt>
                <c:pt idx="72">
                  <c:v>14.89</c:v>
                </c:pt>
                <c:pt idx="73">
                  <c:v>14.98</c:v>
                </c:pt>
                <c:pt idx="74">
                  <c:v>15</c:v>
                </c:pt>
                <c:pt idx="75">
                  <c:v>14.82</c:v>
                </c:pt>
                <c:pt idx="76">
                  <c:v>13.74</c:v>
                </c:pt>
                <c:pt idx="77">
                  <c:v>14.59</c:v>
                </c:pt>
                <c:pt idx="78">
                  <c:v>15.36</c:v>
                </c:pt>
                <c:pt idx="79">
                  <c:v>14.95</c:v>
                </c:pt>
                <c:pt idx="80">
                  <c:v>14.54</c:v>
                </c:pt>
                <c:pt idx="81">
                  <c:v>13.98</c:v>
                </c:pt>
                <c:pt idx="82">
                  <c:v>14.1</c:v>
                </c:pt>
                <c:pt idx="83">
                  <c:v>14.4</c:v>
                </c:pt>
                <c:pt idx="84">
                  <c:v>13.61</c:v>
                </c:pt>
                <c:pt idx="85">
                  <c:v>14.47</c:v>
                </c:pt>
                <c:pt idx="86">
                  <c:v>14.93</c:v>
                </c:pt>
                <c:pt idx="87">
                  <c:v>14.87</c:v>
                </c:pt>
                <c:pt idx="88">
                  <c:v>14.94</c:v>
                </c:pt>
                <c:pt idx="89">
                  <c:v>14.03</c:v>
                </c:pt>
                <c:pt idx="90">
                  <c:v>13.46</c:v>
                </c:pt>
                <c:pt idx="91">
                  <c:v>14.02</c:v>
                </c:pt>
                <c:pt idx="92">
                  <c:v>13.61</c:v>
                </c:pt>
                <c:pt idx="93">
                  <c:v>13.09</c:v>
                </c:pt>
                <c:pt idx="94">
                  <c:v>12.85</c:v>
                </c:pt>
                <c:pt idx="95">
                  <c:v>12.99</c:v>
                </c:pt>
                <c:pt idx="96">
                  <c:v>12.89</c:v>
                </c:pt>
                <c:pt idx="97">
                  <c:v>12.92</c:v>
                </c:pt>
                <c:pt idx="98">
                  <c:v>12.36</c:v>
                </c:pt>
                <c:pt idx="99">
                  <c:v>11.36</c:v>
                </c:pt>
                <c:pt idx="100">
                  <c:v>11.6</c:v>
                </c:pt>
                <c:pt idx="101">
                  <c:v>11.45</c:v>
                </c:pt>
                <c:pt idx="102">
                  <c:v>11.9</c:v>
                </c:pt>
                <c:pt idx="103">
                  <c:v>11.5</c:v>
                </c:pt>
                <c:pt idx="104">
                  <c:v>12.46</c:v>
                </c:pt>
                <c:pt idx="105">
                  <c:v>12.08</c:v>
                </c:pt>
                <c:pt idx="106">
                  <c:v>12.31</c:v>
                </c:pt>
                <c:pt idx="107">
                  <c:v>11.6</c:v>
                </c:pt>
                <c:pt idx="108">
                  <c:v>11.71</c:v>
                </c:pt>
                <c:pt idx="109">
                  <c:v>12.09</c:v>
                </c:pt>
                <c:pt idx="110">
                  <c:v>11.19</c:v>
                </c:pt>
                <c:pt idx="111">
                  <c:v>11</c:v>
                </c:pt>
                <c:pt idx="112">
                  <c:v>11.59</c:v>
                </c:pt>
                <c:pt idx="113">
                  <c:v>11</c:v>
                </c:pt>
                <c:pt idx="114">
                  <c:v>11.55</c:v>
                </c:pt>
                <c:pt idx="115">
                  <c:v>11.7</c:v>
                </c:pt>
                <c:pt idx="116">
                  <c:v>11.83</c:v>
                </c:pt>
                <c:pt idx="117">
                  <c:v>12.13</c:v>
                </c:pt>
                <c:pt idx="118">
                  <c:v>10.83</c:v>
                </c:pt>
                <c:pt idx="119">
                  <c:v>10.55</c:v>
                </c:pt>
                <c:pt idx="120">
                  <c:v>10.199999999999999</c:v>
                </c:pt>
                <c:pt idx="121">
                  <c:v>10.32</c:v>
                </c:pt>
                <c:pt idx="122">
                  <c:v>10.27</c:v>
                </c:pt>
                <c:pt idx="123">
                  <c:v>10.81</c:v>
                </c:pt>
                <c:pt idx="124">
                  <c:v>10.77</c:v>
                </c:pt>
                <c:pt idx="125">
                  <c:v>11.58</c:v>
                </c:pt>
                <c:pt idx="126">
                  <c:v>11.14</c:v>
                </c:pt>
                <c:pt idx="127">
                  <c:v>10.08</c:v>
                </c:pt>
                <c:pt idx="128">
                  <c:v>10.23</c:v>
                </c:pt>
                <c:pt idx="129">
                  <c:v>10.1</c:v>
                </c:pt>
                <c:pt idx="130">
                  <c:v>10.44</c:v>
                </c:pt>
                <c:pt idx="131">
                  <c:v>10.8</c:v>
                </c:pt>
                <c:pt idx="132">
                  <c:v>10.15</c:v>
                </c:pt>
                <c:pt idx="133">
                  <c:v>10.029999999999999</c:v>
                </c:pt>
                <c:pt idx="134">
                  <c:v>9.6199999999999992</c:v>
                </c:pt>
                <c:pt idx="135">
                  <c:v>10.18</c:v>
                </c:pt>
                <c:pt idx="136">
                  <c:v>9.2799999999999994</c:v>
                </c:pt>
                <c:pt idx="137">
                  <c:v>9.0500000000000007</c:v>
                </c:pt>
                <c:pt idx="138">
                  <c:v>9.36</c:v>
                </c:pt>
                <c:pt idx="139">
                  <c:v>9.44</c:v>
                </c:pt>
                <c:pt idx="140">
                  <c:v>9.17</c:v>
                </c:pt>
                <c:pt idx="141">
                  <c:v>8.35</c:v>
                </c:pt>
                <c:pt idx="142">
                  <c:v>9.01</c:v>
                </c:pt>
                <c:pt idx="143">
                  <c:v>8.7899999999999991</c:v>
                </c:pt>
                <c:pt idx="144">
                  <c:v>8.3699999999999992</c:v>
                </c:pt>
                <c:pt idx="145">
                  <c:v>8.56</c:v>
                </c:pt>
                <c:pt idx="146">
                  <c:v>8.4600000000000009</c:v>
                </c:pt>
                <c:pt idx="147">
                  <c:v>8.19</c:v>
                </c:pt>
                <c:pt idx="148">
                  <c:v>8.3800000000000008</c:v>
                </c:pt>
                <c:pt idx="149">
                  <c:v>7.92</c:v>
                </c:pt>
                <c:pt idx="150">
                  <c:v>7.97</c:v>
                </c:pt>
                <c:pt idx="151">
                  <c:v>8.07</c:v>
                </c:pt>
                <c:pt idx="152">
                  <c:v>7.75</c:v>
                </c:pt>
                <c:pt idx="153">
                  <c:v>7.45</c:v>
                </c:pt>
                <c:pt idx="154">
                  <c:v>7.27</c:v>
                </c:pt>
                <c:pt idx="155">
                  <c:v>7.2</c:v>
                </c:pt>
                <c:pt idx="156">
                  <c:v>6.86</c:v>
                </c:pt>
                <c:pt idx="157">
                  <c:v>7.08</c:v>
                </c:pt>
                <c:pt idx="158">
                  <c:v>7.62</c:v>
                </c:pt>
                <c:pt idx="159">
                  <c:v>7.83</c:v>
                </c:pt>
                <c:pt idx="160">
                  <c:v>7.83</c:v>
                </c:pt>
                <c:pt idx="161">
                  <c:v>7.61</c:v>
                </c:pt>
                <c:pt idx="162">
                  <c:v>7.7</c:v>
                </c:pt>
                <c:pt idx="163">
                  <c:v>6.87</c:v>
                </c:pt>
                <c:pt idx="164">
                  <c:v>7.23</c:v>
                </c:pt>
                <c:pt idx="165">
                  <c:v>7.34</c:v>
                </c:pt>
                <c:pt idx="166">
                  <c:v>6.66</c:v>
                </c:pt>
                <c:pt idx="167">
                  <c:v>6.02</c:v>
                </c:pt>
                <c:pt idx="168">
                  <c:v>6.48</c:v>
                </c:pt>
                <c:pt idx="169">
                  <c:v>6.38</c:v>
                </c:pt>
                <c:pt idx="170">
                  <c:v>6.44</c:v>
                </c:pt>
                <c:pt idx="171">
                  <c:v>6.56</c:v>
                </c:pt>
                <c:pt idx="172">
                  <c:v>6.14</c:v>
                </c:pt>
                <c:pt idx="173">
                  <c:v>6.21</c:v>
                </c:pt>
                <c:pt idx="174">
                  <c:v>6.51</c:v>
                </c:pt>
                <c:pt idx="175">
                  <c:v>6.44</c:v>
                </c:pt>
                <c:pt idx="176">
                  <c:v>6.69</c:v>
                </c:pt>
                <c:pt idx="177">
                  <c:v>6.18</c:v>
                </c:pt>
                <c:pt idx="178">
                  <c:v>5.92</c:v>
                </c:pt>
                <c:pt idx="179">
                  <c:v>6.15</c:v>
                </c:pt>
                <c:pt idx="180">
                  <c:v>6.49</c:v>
                </c:pt>
                <c:pt idx="181">
                  <c:v>5.8</c:v>
                </c:pt>
                <c:pt idx="182">
                  <c:v>5.47</c:v>
                </c:pt>
                <c:pt idx="183">
                  <c:v>6.01</c:v>
                </c:pt>
                <c:pt idx="184">
                  <c:v>6.27</c:v>
                </c:pt>
                <c:pt idx="185">
                  <c:v>6.54</c:v>
                </c:pt>
                <c:pt idx="186">
                  <c:v>6.33</c:v>
                </c:pt>
                <c:pt idx="187">
                  <c:v>5.57</c:v>
                </c:pt>
                <c:pt idx="188">
                  <c:v>5.22</c:v>
                </c:pt>
                <c:pt idx="189">
                  <c:v>5.46</c:v>
                </c:pt>
                <c:pt idx="190">
                  <c:v>5.67</c:v>
                </c:pt>
                <c:pt idx="191">
                  <c:v>5.58</c:v>
                </c:pt>
                <c:pt idx="192">
                  <c:v>5.82</c:v>
                </c:pt>
                <c:pt idx="193">
                  <c:v>5.9</c:v>
                </c:pt>
                <c:pt idx="194">
                  <c:v>6.16</c:v>
                </c:pt>
                <c:pt idx="195">
                  <c:v>5.86</c:v>
                </c:pt>
                <c:pt idx="196">
                  <c:v>6.33</c:v>
                </c:pt>
                <c:pt idx="197">
                  <c:v>6.44</c:v>
                </c:pt>
                <c:pt idx="198">
                  <c:v>6.32</c:v>
                </c:pt>
                <c:pt idx="199">
                  <c:v>6.53</c:v>
                </c:pt>
                <c:pt idx="200">
                  <c:v>6.71</c:v>
                </c:pt>
                <c:pt idx="201">
                  <c:v>6.29</c:v>
                </c:pt>
                <c:pt idx="202">
                  <c:v>6.58</c:v>
                </c:pt>
                <c:pt idx="203">
                  <c:v>6.84</c:v>
                </c:pt>
                <c:pt idx="204">
                  <c:v>6.72</c:v>
                </c:pt>
                <c:pt idx="205">
                  <c:v>6.81</c:v>
                </c:pt>
                <c:pt idx="206">
                  <c:v>6.76</c:v>
                </c:pt>
                <c:pt idx="207">
                  <c:v>7.1</c:v>
                </c:pt>
                <c:pt idx="208">
                  <c:v>7.03</c:v>
                </c:pt>
                <c:pt idx="209">
                  <c:v>7.45</c:v>
                </c:pt>
                <c:pt idx="210">
                  <c:v>6.84</c:v>
                </c:pt>
                <c:pt idx="211">
                  <c:v>7.19</c:v>
                </c:pt>
                <c:pt idx="212">
                  <c:v>7.41</c:v>
                </c:pt>
                <c:pt idx="213">
                  <c:v>7.14</c:v>
                </c:pt>
                <c:pt idx="214">
                  <c:v>6.77</c:v>
                </c:pt>
                <c:pt idx="215">
                  <c:v>7.2</c:v>
                </c:pt>
                <c:pt idx="216">
                  <c:v>7.37</c:v>
                </c:pt>
                <c:pt idx="217">
                  <c:v>7.46</c:v>
                </c:pt>
                <c:pt idx="218">
                  <c:v>7.59</c:v>
                </c:pt>
                <c:pt idx="219">
                  <c:v>7.33</c:v>
                </c:pt>
                <c:pt idx="220">
                  <c:v>6.63</c:v>
                </c:pt>
                <c:pt idx="221">
                  <c:v>7.07</c:v>
                </c:pt>
                <c:pt idx="222">
                  <c:v>7.51</c:v>
                </c:pt>
                <c:pt idx="223">
                  <c:v>7.74</c:v>
                </c:pt>
                <c:pt idx="224">
                  <c:v>7.44</c:v>
                </c:pt>
                <c:pt idx="225">
                  <c:v>7.32</c:v>
                </c:pt>
                <c:pt idx="226">
                  <c:v>6.96</c:v>
                </c:pt>
                <c:pt idx="227">
                  <c:v>7.19</c:v>
                </c:pt>
                <c:pt idx="228">
                  <c:v>7.74</c:v>
                </c:pt>
                <c:pt idx="229">
                  <c:v>7.8</c:v>
                </c:pt>
                <c:pt idx="230">
                  <c:v>7.52</c:v>
                </c:pt>
                <c:pt idx="231">
                  <c:v>7.57</c:v>
                </c:pt>
                <c:pt idx="232">
                  <c:v>7.26</c:v>
                </c:pt>
                <c:pt idx="233">
                  <c:v>7.51</c:v>
                </c:pt>
                <c:pt idx="234">
                  <c:v>7.64</c:v>
                </c:pt>
                <c:pt idx="235">
                  <c:v>8.1</c:v>
                </c:pt>
                <c:pt idx="236">
                  <c:v>8.3000000000000007</c:v>
                </c:pt>
                <c:pt idx="237">
                  <c:v>8.24</c:v>
                </c:pt>
                <c:pt idx="238">
                  <c:v>8.25</c:v>
                </c:pt>
                <c:pt idx="239">
                  <c:v>8.56</c:v>
                </c:pt>
                <c:pt idx="240">
                  <c:v>8.2100000000000009</c:v>
                </c:pt>
                <c:pt idx="241">
                  <c:v>8.8000000000000007</c:v>
                </c:pt>
                <c:pt idx="242">
                  <c:v>7.9</c:v>
                </c:pt>
                <c:pt idx="243">
                  <c:v>8.58</c:v>
                </c:pt>
                <c:pt idx="244">
                  <c:v>9.0299999999999994</c:v>
                </c:pt>
                <c:pt idx="245">
                  <c:v>8.75</c:v>
                </c:pt>
                <c:pt idx="246">
                  <c:v>8.7200000000000006</c:v>
                </c:pt>
                <c:pt idx="247">
                  <c:v>8.48</c:v>
                </c:pt>
                <c:pt idx="248">
                  <c:v>8.91</c:v>
                </c:pt>
                <c:pt idx="249">
                  <c:v>8.9700000000000006</c:v>
                </c:pt>
                <c:pt idx="250">
                  <c:v>8.6</c:v>
                </c:pt>
                <c:pt idx="251">
                  <c:v>8.02</c:v>
                </c:pt>
                <c:pt idx="252">
                  <c:v>9.01</c:v>
                </c:pt>
                <c:pt idx="253">
                  <c:v>9.7100000000000009</c:v>
                </c:pt>
                <c:pt idx="254">
                  <c:v>9.6199999999999992</c:v>
                </c:pt>
                <c:pt idx="255">
                  <c:v>9.3800000000000008</c:v>
                </c:pt>
                <c:pt idx="256">
                  <c:v>9.86</c:v>
                </c:pt>
                <c:pt idx="257">
                  <c:v>10.65</c:v>
                </c:pt>
                <c:pt idx="258">
                  <c:v>10.48</c:v>
                </c:pt>
                <c:pt idx="259">
                  <c:v>9.85</c:v>
                </c:pt>
                <c:pt idx="260">
                  <c:v>9.6</c:v>
                </c:pt>
                <c:pt idx="261">
                  <c:v>9.8800000000000008</c:v>
                </c:pt>
                <c:pt idx="262">
                  <c:v>9.5</c:v>
                </c:pt>
                <c:pt idx="263">
                  <c:v>9.9700000000000006</c:v>
                </c:pt>
                <c:pt idx="264">
                  <c:v>9.6300000000000008</c:v>
                </c:pt>
                <c:pt idx="265">
                  <c:v>9.43</c:v>
                </c:pt>
                <c:pt idx="266">
                  <c:v>9.92</c:v>
                </c:pt>
                <c:pt idx="267">
                  <c:v>9.44</c:v>
                </c:pt>
                <c:pt idx="268">
                  <c:v>10.24</c:v>
                </c:pt>
                <c:pt idx="269">
                  <c:v>10.45</c:v>
                </c:pt>
                <c:pt idx="270">
                  <c:v>10.199999999999999</c:v>
                </c:pt>
                <c:pt idx="271">
                  <c:v>10.07</c:v>
                </c:pt>
                <c:pt idx="272">
                  <c:v>11.25</c:v>
                </c:pt>
                <c:pt idx="273">
                  <c:v>11.29</c:v>
                </c:pt>
                <c:pt idx="274">
                  <c:v>11.59</c:v>
                </c:pt>
                <c:pt idx="275">
                  <c:v>10.85</c:v>
                </c:pt>
                <c:pt idx="276">
                  <c:v>10.58</c:v>
                </c:pt>
                <c:pt idx="277">
                  <c:v>10.5</c:v>
                </c:pt>
                <c:pt idx="278">
                  <c:v>11.08</c:v>
                </c:pt>
                <c:pt idx="279">
                  <c:v>11.16</c:v>
                </c:pt>
                <c:pt idx="280">
                  <c:v>10.44</c:v>
                </c:pt>
                <c:pt idx="281">
                  <c:v>10.130000000000001</c:v>
                </c:pt>
                <c:pt idx="282">
                  <c:v>10.06</c:v>
                </c:pt>
                <c:pt idx="283">
                  <c:v>10.75</c:v>
                </c:pt>
                <c:pt idx="284">
                  <c:v>12.01</c:v>
                </c:pt>
                <c:pt idx="285">
                  <c:v>11.45</c:v>
                </c:pt>
                <c:pt idx="286">
                  <c:v>11.09</c:v>
                </c:pt>
                <c:pt idx="287">
                  <c:v>10.82</c:v>
                </c:pt>
                <c:pt idx="288">
                  <c:v>11.38</c:v>
                </c:pt>
                <c:pt idx="289">
                  <c:v>12.17</c:v>
                </c:pt>
                <c:pt idx="290">
                  <c:v>11.56</c:v>
                </c:pt>
                <c:pt idx="291">
                  <c:v>11.53</c:v>
                </c:pt>
                <c:pt idx="292">
                  <c:v>11.59</c:v>
                </c:pt>
                <c:pt idx="293">
                  <c:v>12.67</c:v>
                </c:pt>
                <c:pt idx="294">
                  <c:v>11.6</c:v>
                </c:pt>
                <c:pt idx="295">
                  <c:v>11.53</c:v>
                </c:pt>
                <c:pt idx="296">
                  <c:v>11.61</c:v>
                </c:pt>
                <c:pt idx="297">
                  <c:v>11.82</c:v>
                </c:pt>
                <c:pt idx="298">
                  <c:v>12.87</c:v>
                </c:pt>
                <c:pt idx="299">
                  <c:v>12.39</c:v>
                </c:pt>
                <c:pt idx="300">
                  <c:v>13.02</c:v>
                </c:pt>
                <c:pt idx="301">
                  <c:v>13.21</c:v>
                </c:pt>
                <c:pt idx="302">
                  <c:v>12.87</c:v>
                </c:pt>
                <c:pt idx="303">
                  <c:v>12.8</c:v>
                </c:pt>
                <c:pt idx="304">
                  <c:v>13.44</c:v>
                </c:pt>
                <c:pt idx="305">
                  <c:v>12.76</c:v>
                </c:pt>
                <c:pt idx="306">
                  <c:v>12.96</c:v>
                </c:pt>
                <c:pt idx="307">
                  <c:v>13.02</c:v>
                </c:pt>
                <c:pt idx="308">
                  <c:v>12.84</c:v>
                </c:pt>
                <c:pt idx="309">
                  <c:v>12.32</c:v>
                </c:pt>
                <c:pt idx="310">
                  <c:v>12.6</c:v>
                </c:pt>
                <c:pt idx="311">
                  <c:v>12.55</c:v>
                </c:pt>
                <c:pt idx="312">
                  <c:v>12.82</c:v>
                </c:pt>
                <c:pt idx="313">
                  <c:v>14.33</c:v>
                </c:pt>
                <c:pt idx="314">
                  <c:v>13.66</c:v>
                </c:pt>
                <c:pt idx="315">
                  <c:v>13.3</c:v>
                </c:pt>
                <c:pt idx="316">
                  <c:v>12.42</c:v>
                </c:pt>
                <c:pt idx="317">
                  <c:v>13</c:v>
                </c:pt>
                <c:pt idx="318">
                  <c:v>13.43</c:v>
                </c:pt>
                <c:pt idx="319">
                  <c:v>13.77</c:v>
                </c:pt>
                <c:pt idx="320">
                  <c:v>12.89</c:v>
                </c:pt>
                <c:pt idx="321">
                  <c:v>12.36</c:v>
                </c:pt>
                <c:pt idx="322">
                  <c:v>12.16</c:v>
                </c:pt>
                <c:pt idx="323">
                  <c:v>13.05</c:v>
                </c:pt>
                <c:pt idx="324">
                  <c:v>12.96</c:v>
                </c:pt>
                <c:pt idx="325">
                  <c:v>12.27</c:v>
                </c:pt>
                <c:pt idx="326">
                  <c:v>13.61</c:v>
                </c:pt>
                <c:pt idx="327">
                  <c:v>13.9</c:v>
                </c:pt>
                <c:pt idx="328">
                  <c:v>14.23</c:v>
                </c:pt>
                <c:pt idx="329">
                  <c:v>13.94</c:v>
                </c:pt>
                <c:pt idx="330">
                  <c:v>13.62</c:v>
                </c:pt>
                <c:pt idx="331">
                  <c:v>13.41</c:v>
                </c:pt>
                <c:pt idx="332">
                  <c:v>13.12</c:v>
                </c:pt>
                <c:pt idx="333">
                  <c:v>13.53</c:v>
                </c:pt>
                <c:pt idx="334">
                  <c:v>14.52</c:v>
                </c:pt>
                <c:pt idx="335">
                  <c:v>14.79</c:v>
                </c:pt>
                <c:pt idx="336">
                  <c:v>15.43</c:v>
                </c:pt>
                <c:pt idx="337">
                  <c:v>15</c:v>
                </c:pt>
                <c:pt idx="338">
                  <c:v>14.9</c:v>
                </c:pt>
                <c:pt idx="339">
                  <c:v>14.3</c:v>
                </c:pt>
                <c:pt idx="340">
                  <c:v>14.83</c:v>
                </c:pt>
                <c:pt idx="341">
                  <c:v>14.88</c:v>
                </c:pt>
                <c:pt idx="342">
                  <c:v>14.22</c:v>
                </c:pt>
                <c:pt idx="343">
                  <c:v>14.91</c:v>
                </c:pt>
                <c:pt idx="344">
                  <c:v>15.94</c:v>
                </c:pt>
                <c:pt idx="345">
                  <c:v>16.63</c:v>
                </c:pt>
                <c:pt idx="346">
                  <c:v>15.62</c:v>
                </c:pt>
                <c:pt idx="347">
                  <c:v>14.89</c:v>
                </c:pt>
                <c:pt idx="348">
                  <c:v>16</c:v>
                </c:pt>
                <c:pt idx="349">
                  <c:v>15.56</c:v>
                </c:pt>
                <c:pt idx="350">
                  <c:v>15.25</c:v>
                </c:pt>
                <c:pt idx="351">
                  <c:v>15.5</c:v>
                </c:pt>
                <c:pt idx="352">
                  <c:v>15.52</c:v>
                </c:pt>
                <c:pt idx="353">
                  <c:v>15.19</c:v>
                </c:pt>
                <c:pt idx="354">
                  <c:v>14.99</c:v>
                </c:pt>
                <c:pt idx="355">
                  <c:v>15.32</c:v>
                </c:pt>
                <c:pt idx="356">
                  <c:v>15.1</c:v>
                </c:pt>
                <c:pt idx="357">
                  <c:v>15.75</c:v>
                </c:pt>
                <c:pt idx="358">
                  <c:v>15.8</c:v>
                </c:pt>
                <c:pt idx="359">
                  <c:v>15.14</c:v>
                </c:pt>
                <c:pt idx="360">
                  <c:v>16.899999999999999</c:v>
                </c:pt>
                <c:pt idx="361">
                  <c:v>17.14</c:v>
                </c:pt>
                <c:pt idx="362">
                  <c:v>15.8</c:v>
                </c:pt>
                <c:pt idx="363">
                  <c:v>16.34</c:v>
                </c:pt>
                <c:pt idx="364">
                  <c:v>15.83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</c:v>
                </c:pt>
                <c:pt idx="1">
                  <c:v>1.57</c:v>
                </c:pt>
                <c:pt idx="2">
                  <c:v>2.35</c:v>
                </c:pt>
                <c:pt idx="3">
                  <c:v>1.96</c:v>
                </c:pt>
                <c:pt idx="4">
                  <c:v>1.56</c:v>
                </c:pt>
                <c:pt idx="5">
                  <c:v>0.44</c:v>
                </c:pt>
                <c:pt idx="6">
                  <c:v>0.93</c:v>
                </c:pt>
                <c:pt idx="7">
                  <c:v>2.3199999999999998</c:v>
                </c:pt>
                <c:pt idx="8">
                  <c:v>0.91</c:v>
                </c:pt>
                <c:pt idx="9">
                  <c:v>2.7</c:v>
                </c:pt>
                <c:pt idx="10">
                  <c:v>2.35</c:v>
                </c:pt>
                <c:pt idx="11">
                  <c:v>2.75</c:v>
                </c:pt>
                <c:pt idx="12">
                  <c:v>1.29</c:v>
                </c:pt>
                <c:pt idx="13">
                  <c:v>0.94</c:v>
                </c:pt>
                <c:pt idx="14">
                  <c:v>1.0900000000000001</c:v>
                </c:pt>
                <c:pt idx="15">
                  <c:v>0.78</c:v>
                </c:pt>
                <c:pt idx="16">
                  <c:v>0.56999999999999995</c:v>
                </c:pt>
                <c:pt idx="17">
                  <c:v>3.49</c:v>
                </c:pt>
                <c:pt idx="18">
                  <c:v>0.99</c:v>
                </c:pt>
                <c:pt idx="19">
                  <c:v>0.26</c:v>
                </c:pt>
                <c:pt idx="20">
                  <c:v>0.36</c:v>
                </c:pt>
                <c:pt idx="21">
                  <c:v>1.95</c:v>
                </c:pt>
                <c:pt idx="22">
                  <c:v>0.74</c:v>
                </c:pt>
                <c:pt idx="23">
                  <c:v>1.41</c:v>
                </c:pt>
                <c:pt idx="24">
                  <c:v>1.26</c:v>
                </c:pt>
                <c:pt idx="25">
                  <c:v>0.91</c:v>
                </c:pt>
                <c:pt idx="26">
                  <c:v>2.34</c:v>
                </c:pt>
                <c:pt idx="27">
                  <c:v>1.03</c:v>
                </c:pt>
                <c:pt idx="28">
                  <c:v>0.06</c:v>
                </c:pt>
                <c:pt idx="29">
                  <c:v>0.61</c:v>
                </c:pt>
                <c:pt idx="30">
                  <c:v>1.01</c:v>
                </c:pt>
                <c:pt idx="31">
                  <c:v>0.27</c:v>
                </c:pt>
                <c:pt idx="32">
                  <c:v>1.22</c:v>
                </c:pt>
                <c:pt idx="33">
                  <c:v>0.72</c:v>
                </c:pt>
                <c:pt idx="34">
                  <c:v>1.75</c:v>
                </c:pt>
                <c:pt idx="35">
                  <c:v>2.21</c:v>
                </c:pt>
                <c:pt idx="36">
                  <c:v>0.49</c:v>
                </c:pt>
                <c:pt idx="37">
                  <c:v>1.98</c:v>
                </c:pt>
                <c:pt idx="38">
                  <c:v>0.79</c:v>
                </c:pt>
                <c:pt idx="39">
                  <c:v>1.1399999999999999</c:v>
                </c:pt>
                <c:pt idx="40">
                  <c:v>0.78</c:v>
                </c:pt>
                <c:pt idx="41">
                  <c:v>1.05</c:v>
                </c:pt>
                <c:pt idx="42">
                  <c:v>2.17</c:v>
                </c:pt>
                <c:pt idx="43">
                  <c:v>1.78</c:v>
                </c:pt>
                <c:pt idx="44">
                  <c:v>2.56</c:v>
                </c:pt>
                <c:pt idx="45">
                  <c:v>2.2599999999999998</c:v>
                </c:pt>
                <c:pt idx="46">
                  <c:v>1.35</c:v>
                </c:pt>
                <c:pt idx="47">
                  <c:v>1.38</c:v>
                </c:pt>
                <c:pt idx="48">
                  <c:v>2.15</c:v>
                </c:pt>
                <c:pt idx="49">
                  <c:v>0.64</c:v>
                </c:pt>
                <c:pt idx="50">
                  <c:v>2.57</c:v>
                </c:pt>
                <c:pt idx="51">
                  <c:v>0.76</c:v>
                </c:pt>
                <c:pt idx="52">
                  <c:v>1.53</c:v>
                </c:pt>
                <c:pt idx="53">
                  <c:v>1.79</c:v>
                </c:pt>
                <c:pt idx="54">
                  <c:v>1.68</c:v>
                </c:pt>
                <c:pt idx="55">
                  <c:v>0.59</c:v>
                </c:pt>
                <c:pt idx="56">
                  <c:v>1.93</c:v>
                </c:pt>
                <c:pt idx="57">
                  <c:v>1.17</c:v>
                </c:pt>
                <c:pt idx="58">
                  <c:v>1.34</c:v>
                </c:pt>
                <c:pt idx="59">
                  <c:v>0.48</c:v>
                </c:pt>
                <c:pt idx="60">
                  <c:v>1.65</c:v>
                </c:pt>
                <c:pt idx="61">
                  <c:v>3.53</c:v>
                </c:pt>
                <c:pt idx="62">
                  <c:v>2.12</c:v>
                </c:pt>
                <c:pt idx="63">
                  <c:v>2.56</c:v>
                </c:pt>
                <c:pt idx="64">
                  <c:v>0.5</c:v>
                </c:pt>
                <c:pt idx="65">
                  <c:v>0.88</c:v>
                </c:pt>
                <c:pt idx="66">
                  <c:v>0.99</c:v>
                </c:pt>
                <c:pt idx="67">
                  <c:v>0.82</c:v>
                </c:pt>
                <c:pt idx="68">
                  <c:v>1.49</c:v>
                </c:pt>
                <c:pt idx="69">
                  <c:v>1.94</c:v>
                </c:pt>
                <c:pt idx="70">
                  <c:v>3.25</c:v>
                </c:pt>
                <c:pt idx="71">
                  <c:v>2.91</c:v>
                </c:pt>
                <c:pt idx="72">
                  <c:v>2.2999999999999998</c:v>
                </c:pt>
                <c:pt idx="73">
                  <c:v>0.34</c:v>
                </c:pt>
                <c:pt idx="74">
                  <c:v>1.35</c:v>
                </c:pt>
                <c:pt idx="75">
                  <c:v>1.49</c:v>
                </c:pt>
                <c:pt idx="76">
                  <c:v>1.85</c:v>
                </c:pt>
                <c:pt idx="77">
                  <c:v>1.1599999999999999</c:v>
                </c:pt>
                <c:pt idx="78">
                  <c:v>0.66</c:v>
                </c:pt>
                <c:pt idx="79">
                  <c:v>0.96</c:v>
                </c:pt>
                <c:pt idx="80">
                  <c:v>1.08</c:v>
                </c:pt>
                <c:pt idx="81">
                  <c:v>2.19</c:v>
                </c:pt>
                <c:pt idx="82">
                  <c:v>1.02</c:v>
                </c:pt>
                <c:pt idx="83">
                  <c:v>2.09</c:v>
                </c:pt>
                <c:pt idx="84">
                  <c:v>0.37</c:v>
                </c:pt>
                <c:pt idx="85">
                  <c:v>1.08</c:v>
                </c:pt>
                <c:pt idx="86">
                  <c:v>0.95</c:v>
                </c:pt>
                <c:pt idx="87">
                  <c:v>1.06</c:v>
                </c:pt>
                <c:pt idx="88">
                  <c:v>2.79</c:v>
                </c:pt>
                <c:pt idx="89">
                  <c:v>1.88</c:v>
                </c:pt>
                <c:pt idx="90">
                  <c:v>1.0900000000000001</c:v>
                </c:pt>
                <c:pt idx="91">
                  <c:v>0.94</c:v>
                </c:pt>
                <c:pt idx="92">
                  <c:v>1.49</c:v>
                </c:pt>
                <c:pt idx="93">
                  <c:v>1.73</c:v>
                </c:pt>
                <c:pt idx="94">
                  <c:v>1.34</c:v>
                </c:pt>
                <c:pt idx="95">
                  <c:v>2.29</c:v>
                </c:pt>
                <c:pt idx="96">
                  <c:v>3.51</c:v>
                </c:pt>
                <c:pt idx="97">
                  <c:v>2.1</c:v>
                </c:pt>
                <c:pt idx="98">
                  <c:v>2.81</c:v>
                </c:pt>
                <c:pt idx="99">
                  <c:v>2.0699999999999998</c:v>
                </c:pt>
                <c:pt idx="100">
                  <c:v>1.38</c:v>
                </c:pt>
                <c:pt idx="101">
                  <c:v>1.81</c:v>
                </c:pt>
                <c:pt idx="102">
                  <c:v>1.41</c:v>
                </c:pt>
                <c:pt idx="103">
                  <c:v>1.26</c:v>
                </c:pt>
                <c:pt idx="104">
                  <c:v>0.49</c:v>
                </c:pt>
                <c:pt idx="105">
                  <c:v>1.1599999999999999</c:v>
                </c:pt>
                <c:pt idx="106">
                  <c:v>1.69</c:v>
                </c:pt>
                <c:pt idx="107">
                  <c:v>1.19</c:v>
                </c:pt>
                <c:pt idx="108">
                  <c:v>0.88</c:v>
                </c:pt>
                <c:pt idx="109">
                  <c:v>1.61</c:v>
                </c:pt>
                <c:pt idx="110">
                  <c:v>1.64</c:v>
                </c:pt>
                <c:pt idx="111">
                  <c:v>0.81</c:v>
                </c:pt>
                <c:pt idx="112">
                  <c:v>0.77</c:v>
                </c:pt>
                <c:pt idx="113">
                  <c:v>1.75</c:v>
                </c:pt>
                <c:pt idx="114">
                  <c:v>1.7</c:v>
                </c:pt>
                <c:pt idx="115">
                  <c:v>0.41</c:v>
                </c:pt>
                <c:pt idx="116">
                  <c:v>1.8</c:v>
                </c:pt>
                <c:pt idx="117">
                  <c:v>2.16</c:v>
                </c:pt>
                <c:pt idx="118">
                  <c:v>5.44</c:v>
                </c:pt>
                <c:pt idx="119">
                  <c:v>2.59</c:v>
                </c:pt>
                <c:pt idx="120">
                  <c:v>1.01</c:v>
                </c:pt>
                <c:pt idx="121">
                  <c:v>0.91</c:v>
                </c:pt>
                <c:pt idx="122">
                  <c:v>0.92</c:v>
                </c:pt>
                <c:pt idx="123">
                  <c:v>1.79</c:v>
                </c:pt>
                <c:pt idx="124">
                  <c:v>1.0900000000000001</c:v>
                </c:pt>
                <c:pt idx="125">
                  <c:v>3.26</c:v>
                </c:pt>
                <c:pt idx="126">
                  <c:v>1.1200000000000001</c:v>
                </c:pt>
                <c:pt idx="127">
                  <c:v>3.06</c:v>
                </c:pt>
                <c:pt idx="128">
                  <c:v>0.78</c:v>
                </c:pt>
                <c:pt idx="129">
                  <c:v>1.99</c:v>
                </c:pt>
                <c:pt idx="130">
                  <c:v>0.92</c:v>
                </c:pt>
                <c:pt idx="131">
                  <c:v>1.74</c:v>
                </c:pt>
                <c:pt idx="132">
                  <c:v>1.23</c:v>
                </c:pt>
                <c:pt idx="133">
                  <c:v>1.7</c:v>
                </c:pt>
                <c:pt idx="134">
                  <c:v>1.52</c:v>
                </c:pt>
                <c:pt idx="135">
                  <c:v>2.0099999999999998</c:v>
                </c:pt>
                <c:pt idx="136">
                  <c:v>2.72</c:v>
                </c:pt>
                <c:pt idx="137">
                  <c:v>1.5</c:v>
                </c:pt>
                <c:pt idx="138">
                  <c:v>1.57</c:v>
                </c:pt>
                <c:pt idx="139">
                  <c:v>1.94</c:v>
                </c:pt>
                <c:pt idx="140">
                  <c:v>2.35</c:v>
                </c:pt>
                <c:pt idx="141">
                  <c:v>1.59</c:v>
                </c:pt>
                <c:pt idx="142">
                  <c:v>1.62</c:v>
                </c:pt>
                <c:pt idx="143">
                  <c:v>3.38</c:v>
                </c:pt>
                <c:pt idx="144">
                  <c:v>1.91</c:v>
                </c:pt>
                <c:pt idx="145">
                  <c:v>4.38</c:v>
                </c:pt>
                <c:pt idx="146">
                  <c:v>1</c:v>
                </c:pt>
                <c:pt idx="147">
                  <c:v>2.37</c:v>
                </c:pt>
                <c:pt idx="148">
                  <c:v>2.75</c:v>
                </c:pt>
                <c:pt idx="149">
                  <c:v>1.53</c:v>
                </c:pt>
                <c:pt idx="150">
                  <c:v>0.65</c:v>
                </c:pt>
                <c:pt idx="151">
                  <c:v>2.66</c:v>
                </c:pt>
                <c:pt idx="152">
                  <c:v>1.68</c:v>
                </c:pt>
                <c:pt idx="153">
                  <c:v>1.91</c:v>
                </c:pt>
                <c:pt idx="154">
                  <c:v>2.0499999999999998</c:v>
                </c:pt>
                <c:pt idx="155">
                  <c:v>1.23</c:v>
                </c:pt>
                <c:pt idx="156">
                  <c:v>1.35</c:v>
                </c:pt>
                <c:pt idx="157">
                  <c:v>2.14</c:v>
                </c:pt>
                <c:pt idx="158">
                  <c:v>2.0699999999999998</c:v>
                </c:pt>
                <c:pt idx="159">
                  <c:v>1.48</c:v>
                </c:pt>
                <c:pt idx="160">
                  <c:v>1.88</c:v>
                </c:pt>
                <c:pt idx="161">
                  <c:v>1.28</c:v>
                </c:pt>
                <c:pt idx="162">
                  <c:v>3.91</c:v>
                </c:pt>
                <c:pt idx="163">
                  <c:v>2.0299999999999998</c:v>
                </c:pt>
                <c:pt idx="164">
                  <c:v>1.56</c:v>
                </c:pt>
                <c:pt idx="165">
                  <c:v>3.42</c:v>
                </c:pt>
                <c:pt idx="166">
                  <c:v>2.57</c:v>
                </c:pt>
                <c:pt idx="167">
                  <c:v>3.01</c:v>
                </c:pt>
                <c:pt idx="168">
                  <c:v>2.27</c:v>
                </c:pt>
                <c:pt idx="169">
                  <c:v>2.19</c:v>
                </c:pt>
                <c:pt idx="170">
                  <c:v>2.11</c:v>
                </c:pt>
                <c:pt idx="171">
                  <c:v>2.0299999999999998</c:v>
                </c:pt>
                <c:pt idx="172">
                  <c:v>2.09</c:v>
                </c:pt>
                <c:pt idx="173">
                  <c:v>1.42</c:v>
                </c:pt>
                <c:pt idx="174">
                  <c:v>1.78</c:v>
                </c:pt>
                <c:pt idx="175">
                  <c:v>1.49</c:v>
                </c:pt>
                <c:pt idx="176">
                  <c:v>1.31</c:v>
                </c:pt>
                <c:pt idx="177">
                  <c:v>1.81</c:v>
                </c:pt>
                <c:pt idx="178">
                  <c:v>1.71</c:v>
                </c:pt>
                <c:pt idx="179">
                  <c:v>3.15</c:v>
                </c:pt>
                <c:pt idx="180">
                  <c:v>2.1800000000000002</c:v>
                </c:pt>
                <c:pt idx="181">
                  <c:v>1.36</c:v>
                </c:pt>
                <c:pt idx="182">
                  <c:v>1.66</c:v>
                </c:pt>
                <c:pt idx="183">
                  <c:v>1.73</c:v>
                </c:pt>
                <c:pt idx="184">
                  <c:v>1.39</c:v>
                </c:pt>
                <c:pt idx="185">
                  <c:v>1.2</c:v>
                </c:pt>
                <c:pt idx="186">
                  <c:v>3.25</c:v>
                </c:pt>
                <c:pt idx="187">
                  <c:v>1.1200000000000001</c:v>
                </c:pt>
                <c:pt idx="188">
                  <c:v>1.79</c:v>
                </c:pt>
                <c:pt idx="189">
                  <c:v>1.32</c:v>
                </c:pt>
                <c:pt idx="190">
                  <c:v>1.1299999999999999</c:v>
                </c:pt>
                <c:pt idx="191">
                  <c:v>1.72</c:v>
                </c:pt>
                <c:pt idx="192">
                  <c:v>1.27</c:v>
                </c:pt>
                <c:pt idx="193">
                  <c:v>1.45</c:v>
                </c:pt>
                <c:pt idx="194">
                  <c:v>0.93</c:v>
                </c:pt>
                <c:pt idx="195">
                  <c:v>0.95</c:v>
                </c:pt>
                <c:pt idx="196">
                  <c:v>1.9</c:v>
                </c:pt>
                <c:pt idx="197">
                  <c:v>2.35</c:v>
                </c:pt>
                <c:pt idx="198">
                  <c:v>3.6</c:v>
                </c:pt>
                <c:pt idx="199">
                  <c:v>1.92</c:v>
                </c:pt>
                <c:pt idx="200">
                  <c:v>1.77</c:v>
                </c:pt>
                <c:pt idx="201">
                  <c:v>2.1</c:v>
                </c:pt>
                <c:pt idx="202">
                  <c:v>2.5499999999999998</c:v>
                </c:pt>
                <c:pt idx="203">
                  <c:v>0.85</c:v>
                </c:pt>
                <c:pt idx="204">
                  <c:v>0.63</c:v>
                </c:pt>
                <c:pt idx="205">
                  <c:v>2.64</c:v>
                </c:pt>
                <c:pt idx="206">
                  <c:v>1.5</c:v>
                </c:pt>
                <c:pt idx="207">
                  <c:v>2.4300000000000002</c:v>
                </c:pt>
                <c:pt idx="208">
                  <c:v>0.79</c:v>
                </c:pt>
                <c:pt idx="209">
                  <c:v>0.8</c:v>
                </c:pt>
                <c:pt idx="210">
                  <c:v>1.59</c:v>
                </c:pt>
                <c:pt idx="211">
                  <c:v>0.86</c:v>
                </c:pt>
                <c:pt idx="212">
                  <c:v>1.78</c:v>
                </c:pt>
                <c:pt idx="213">
                  <c:v>1.47</c:v>
                </c:pt>
                <c:pt idx="214">
                  <c:v>0.77</c:v>
                </c:pt>
                <c:pt idx="215">
                  <c:v>1.47</c:v>
                </c:pt>
                <c:pt idx="216">
                  <c:v>1.76</c:v>
                </c:pt>
                <c:pt idx="217">
                  <c:v>0.61</c:v>
                </c:pt>
                <c:pt idx="218">
                  <c:v>3.38</c:v>
                </c:pt>
                <c:pt idx="219">
                  <c:v>3.24</c:v>
                </c:pt>
                <c:pt idx="220">
                  <c:v>1.55</c:v>
                </c:pt>
                <c:pt idx="221">
                  <c:v>1.45</c:v>
                </c:pt>
                <c:pt idx="222">
                  <c:v>1.6</c:v>
                </c:pt>
                <c:pt idx="223">
                  <c:v>1.2</c:v>
                </c:pt>
                <c:pt idx="224">
                  <c:v>2.02</c:v>
                </c:pt>
                <c:pt idx="225">
                  <c:v>2.21</c:v>
                </c:pt>
                <c:pt idx="226">
                  <c:v>2.0499999999999998</c:v>
                </c:pt>
                <c:pt idx="227">
                  <c:v>2.0299999999999998</c:v>
                </c:pt>
                <c:pt idx="228">
                  <c:v>2.4900000000000002</c:v>
                </c:pt>
                <c:pt idx="229">
                  <c:v>2.4700000000000002</c:v>
                </c:pt>
                <c:pt idx="230">
                  <c:v>2.04</c:v>
                </c:pt>
                <c:pt idx="231">
                  <c:v>1.28</c:v>
                </c:pt>
                <c:pt idx="232">
                  <c:v>2.78</c:v>
                </c:pt>
                <c:pt idx="233">
                  <c:v>3.63</c:v>
                </c:pt>
                <c:pt idx="234">
                  <c:v>2.08</c:v>
                </c:pt>
                <c:pt idx="235">
                  <c:v>0.32</c:v>
                </c:pt>
                <c:pt idx="236">
                  <c:v>1.34</c:v>
                </c:pt>
                <c:pt idx="237">
                  <c:v>2.4700000000000002</c:v>
                </c:pt>
                <c:pt idx="238">
                  <c:v>2.92</c:v>
                </c:pt>
                <c:pt idx="239">
                  <c:v>1.87</c:v>
                </c:pt>
                <c:pt idx="240">
                  <c:v>2.13</c:v>
                </c:pt>
                <c:pt idx="241">
                  <c:v>1.31</c:v>
                </c:pt>
                <c:pt idx="242">
                  <c:v>0.73</c:v>
                </c:pt>
                <c:pt idx="243">
                  <c:v>1.66</c:v>
                </c:pt>
                <c:pt idx="244">
                  <c:v>1.24</c:v>
                </c:pt>
                <c:pt idx="245">
                  <c:v>1.07</c:v>
                </c:pt>
                <c:pt idx="246">
                  <c:v>1.0900000000000001</c:v>
                </c:pt>
                <c:pt idx="247">
                  <c:v>0.95</c:v>
                </c:pt>
                <c:pt idx="248">
                  <c:v>1.42</c:v>
                </c:pt>
                <c:pt idx="249">
                  <c:v>0.52</c:v>
                </c:pt>
                <c:pt idx="250">
                  <c:v>1.08</c:v>
                </c:pt>
                <c:pt idx="251">
                  <c:v>1.0900000000000001</c:v>
                </c:pt>
                <c:pt idx="252">
                  <c:v>1.08</c:v>
                </c:pt>
                <c:pt idx="253">
                  <c:v>2.04</c:v>
                </c:pt>
                <c:pt idx="254">
                  <c:v>1.44</c:v>
                </c:pt>
                <c:pt idx="255">
                  <c:v>1.52</c:v>
                </c:pt>
                <c:pt idx="256">
                  <c:v>1.01</c:v>
                </c:pt>
                <c:pt idx="257">
                  <c:v>0.69</c:v>
                </c:pt>
                <c:pt idx="258">
                  <c:v>0.11</c:v>
                </c:pt>
                <c:pt idx="259">
                  <c:v>0.27</c:v>
                </c:pt>
                <c:pt idx="260">
                  <c:v>1.32</c:v>
                </c:pt>
                <c:pt idx="261">
                  <c:v>1.84</c:v>
                </c:pt>
                <c:pt idx="262">
                  <c:v>1.47</c:v>
                </c:pt>
                <c:pt idx="263">
                  <c:v>1.39</c:v>
                </c:pt>
                <c:pt idx="264">
                  <c:v>1.41</c:v>
                </c:pt>
                <c:pt idx="265">
                  <c:v>0.86</c:v>
                </c:pt>
                <c:pt idx="266">
                  <c:v>2.15</c:v>
                </c:pt>
                <c:pt idx="267">
                  <c:v>2.44</c:v>
                </c:pt>
                <c:pt idx="268">
                  <c:v>1.54</c:v>
                </c:pt>
                <c:pt idx="269">
                  <c:v>0.38</c:v>
                </c:pt>
                <c:pt idx="270">
                  <c:v>2.64</c:v>
                </c:pt>
                <c:pt idx="271">
                  <c:v>2.2200000000000002</c:v>
                </c:pt>
                <c:pt idx="272">
                  <c:v>0.34</c:v>
                </c:pt>
                <c:pt idx="273">
                  <c:v>0.36</c:v>
                </c:pt>
                <c:pt idx="274">
                  <c:v>0.87</c:v>
                </c:pt>
                <c:pt idx="275">
                  <c:v>2.93</c:v>
                </c:pt>
                <c:pt idx="276">
                  <c:v>3.02</c:v>
                </c:pt>
                <c:pt idx="277">
                  <c:v>1.51</c:v>
                </c:pt>
                <c:pt idx="278">
                  <c:v>0.87</c:v>
                </c:pt>
                <c:pt idx="279">
                  <c:v>1.1399999999999999</c:v>
                </c:pt>
                <c:pt idx="280">
                  <c:v>3.97</c:v>
                </c:pt>
                <c:pt idx="281">
                  <c:v>2.94</c:v>
                </c:pt>
                <c:pt idx="282">
                  <c:v>2.59</c:v>
                </c:pt>
                <c:pt idx="283">
                  <c:v>1.82</c:v>
                </c:pt>
                <c:pt idx="284">
                  <c:v>1.74</c:v>
                </c:pt>
                <c:pt idx="285">
                  <c:v>3.23</c:v>
                </c:pt>
                <c:pt idx="286">
                  <c:v>1.81</c:v>
                </c:pt>
                <c:pt idx="287">
                  <c:v>1.17</c:v>
                </c:pt>
                <c:pt idx="288">
                  <c:v>0.98</c:v>
                </c:pt>
                <c:pt idx="289">
                  <c:v>1.93</c:v>
                </c:pt>
                <c:pt idx="290">
                  <c:v>0.9</c:v>
                </c:pt>
                <c:pt idx="291">
                  <c:v>2.16</c:v>
                </c:pt>
                <c:pt idx="292">
                  <c:v>0.69</c:v>
                </c:pt>
                <c:pt idx="293">
                  <c:v>0.92</c:v>
                </c:pt>
                <c:pt idx="294">
                  <c:v>1.08</c:v>
                </c:pt>
                <c:pt idx="295">
                  <c:v>1.58</c:v>
                </c:pt>
                <c:pt idx="296">
                  <c:v>0.95</c:v>
                </c:pt>
                <c:pt idx="297">
                  <c:v>0.13</c:v>
                </c:pt>
                <c:pt idx="298">
                  <c:v>1.04</c:v>
                </c:pt>
                <c:pt idx="299">
                  <c:v>1.66</c:v>
                </c:pt>
                <c:pt idx="300">
                  <c:v>1.68</c:v>
                </c:pt>
                <c:pt idx="301">
                  <c:v>1</c:v>
                </c:pt>
                <c:pt idx="302">
                  <c:v>1.45</c:v>
                </c:pt>
                <c:pt idx="303">
                  <c:v>0.39</c:v>
                </c:pt>
                <c:pt idx="304">
                  <c:v>0.82</c:v>
                </c:pt>
                <c:pt idx="305">
                  <c:v>1.57</c:v>
                </c:pt>
                <c:pt idx="306">
                  <c:v>0.87</c:v>
                </c:pt>
                <c:pt idx="307">
                  <c:v>0.97</c:v>
                </c:pt>
                <c:pt idx="308">
                  <c:v>1.71</c:v>
                </c:pt>
                <c:pt idx="309">
                  <c:v>1.2</c:v>
                </c:pt>
                <c:pt idx="310">
                  <c:v>2.31</c:v>
                </c:pt>
                <c:pt idx="311">
                  <c:v>0.93</c:v>
                </c:pt>
                <c:pt idx="312">
                  <c:v>1.02</c:v>
                </c:pt>
                <c:pt idx="313">
                  <c:v>0.52</c:v>
                </c:pt>
                <c:pt idx="314">
                  <c:v>0.91</c:v>
                </c:pt>
                <c:pt idx="315">
                  <c:v>2.2599999999999998</c:v>
                </c:pt>
                <c:pt idx="316">
                  <c:v>1.18</c:v>
                </c:pt>
                <c:pt idx="317">
                  <c:v>0.32</c:v>
                </c:pt>
                <c:pt idx="318">
                  <c:v>0.47</c:v>
                </c:pt>
                <c:pt idx="319">
                  <c:v>1.8</c:v>
                </c:pt>
                <c:pt idx="320">
                  <c:v>1.47</c:v>
                </c:pt>
                <c:pt idx="321">
                  <c:v>2.62</c:v>
                </c:pt>
                <c:pt idx="322">
                  <c:v>2.78</c:v>
                </c:pt>
                <c:pt idx="323">
                  <c:v>1.5</c:v>
                </c:pt>
                <c:pt idx="324">
                  <c:v>2.87</c:v>
                </c:pt>
                <c:pt idx="325">
                  <c:v>1.44</c:v>
                </c:pt>
                <c:pt idx="326">
                  <c:v>0.91</c:v>
                </c:pt>
                <c:pt idx="327">
                  <c:v>1.1000000000000001</c:v>
                </c:pt>
                <c:pt idx="328">
                  <c:v>2.99</c:v>
                </c:pt>
                <c:pt idx="329">
                  <c:v>1.87</c:v>
                </c:pt>
                <c:pt idx="330">
                  <c:v>0.89</c:v>
                </c:pt>
                <c:pt idx="331">
                  <c:v>2.8</c:v>
                </c:pt>
                <c:pt idx="332">
                  <c:v>1.1299999999999999</c:v>
                </c:pt>
                <c:pt idx="333">
                  <c:v>1.66</c:v>
                </c:pt>
                <c:pt idx="334">
                  <c:v>1.1499999999999999</c:v>
                </c:pt>
                <c:pt idx="335">
                  <c:v>0.68</c:v>
                </c:pt>
                <c:pt idx="336">
                  <c:v>0.94</c:v>
                </c:pt>
                <c:pt idx="337">
                  <c:v>0.99</c:v>
                </c:pt>
                <c:pt idx="338">
                  <c:v>1.58</c:v>
                </c:pt>
                <c:pt idx="339">
                  <c:v>1.85</c:v>
                </c:pt>
                <c:pt idx="340">
                  <c:v>1.1200000000000001</c:v>
                </c:pt>
                <c:pt idx="341">
                  <c:v>2.82</c:v>
                </c:pt>
                <c:pt idx="342">
                  <c:v>0.49</c:v>
                </c:pt>
                <c:pt idx="343">
                  <c:v>0.68</c:v>
                </c:pt>
                <c:pt idx="344">
                  <c:v>0.22</c:v>
                </c:pt>
                <c:pt idx="345">
                  <c:v>1.22</c:v>
                </c:pt>
                <c:pt idx="346">
                  <c:v>2.6</c:v>
                </c:pt>
                <c:pt idx="347">
                  <c:v>1.05</c:v>
                </c:pt>
                <c:pt idx="348">
                  <c:v>1.04</c:v>
                </c:pt>
                <c:pt idx="349">
                  <c:v>1.93</c:v>
                </c:pt>
                <c:pt idx="350">
                  <c:v>2.41</c:v>
                </c:pt>
                <c:pt idx="351">
                  <c:v>1.94</c:v>
                </c:pt>
                <c:pt idx="352">
                  <c:v>1.78</c:v>
                </c:pt>
                <c:pt idx="353">
                  <c:v>4.17</c:v>
                </c:pt>
                <c:pt idx="354">
                  <c:v>2.6</c:v>
                </c:pt>
                <c:pt idx="355">
                  <c:v>2.13</c:v>
                </c:pt>
                <c:pt idx="356">
                  <c:v>1.76</c:v>
                </c:pt>
                <c:pt idx="357">
                  <c:v>0.45</c:v>
                </c:pt>
                <c:pt idx="358">
                  <c:v>0.87</c:v>
                </c:pt>
                <c:pt idx="359">
                  <c:v>0.68</c:v>
                </c:pt>
                <c:pt idx="360">
                  <c:v>1.1200000000000001</c:v>
                </c:pt>
                <c:pt idx="361">
                  <c:v>2.97</c:v>
                </c:pt>
                <c:pt idx="362">
                  <c:v>1.01</c:v>
                </c:pt>
                <c:pt idx="363">
                  <c:v>2.57</c:v>
                </c:pt>
                <c:pt idx="364">
                  <c:v>1.01</c:v>
                </c:pt>
                <c:pt idx="365">
                  <c:v>2.4900000000000002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5.67</c:v>
                </c:pt>
                <c:pt idx="1">
                  <c:v>5.47</c:v>
                </c:pt>
                <c:pt idx="2">
                  <c:v>5.51</c:v>
                </c:pt>
                <c:pt idx="3">
                  <c:v>5</c:v>
                </c:pt>
                <c:pt idx="4">
                  <c:v>5.15</c:v>
                </c:pt>
                <c:pt idx="5">
                  <c:v>5.13</c:v>
                </c:pt>
                <c:pt idx="6">
                  <c:v>5.45</c:v>
                </c:pt>
                <c:pt idx="7">
                  <c:v>5.58</c:v>
                </c:pt>
                <c:pt idx="8">
                  <c:v>5.15</c:v>
                </c:pt>
                <c:pt idx="9">
                  <c:v>4.74</c:v>
                </c:pt>
                <c:pt idx="10">
                  <c:v>4.6500000000000004</c:v>
                </c:pt>
                <c:pt idx="11">
                  <c:v>4.87</c:v>
                </c:pt>
                <c:pt idx="12">
                  <c:v>5.16</c:v>
                </c:pt>
                <c:pt idx="13">
                  <c:v>5.39</c:v>
                </c:pt>
                <c:pt idx="14">
                  <c:v>5.84</c:v>
                </c:pt>
                <c:pt idx="15">
                  <c:v>5.66</c:v>
                </c:pt>
                <c:pt idx="16">
                  <c:v>5.33</c:v>
                </c:pt>
                <c:pt idx="17">
                  <c:v>5.0199999999999996</c:v>
                </c:pt>
                <c:pt idx="18">
                  <c:v>5.37</c:v>
                </c:pt>
                <c:pt idx="19">
                  <c:v>5.35</c:v>
                </c:pt>
                <c:pt idx="20">
                  <c:v>5.39</c:v>
                </c:pt>
                <c:pt idx="21">
                  <c:v>5.52</c:v>
                </c:pt>
                <c:pt idx="22">
                  <c:v>5.21</c:v>
                </c:pt>
                <c:pt idx="23">
                  <c:v>4.71</c:v>
                </c:pt>
                <c:pt idx="24">
                  <c:v>4.33</c:v>
                </c:pt>
                <c:pt idx="25">
                  <c:v>4.7300000000000004</c:v>
                </c:pt>
                <c:pt idx="26">
                  <c:v>4.92</c:v>
                </c:pt>
                <c:pt idx="27">
                  <c:v>5</c:v>
                </c:pt>
                <c:pt idx="28">
                  <c:v>5.2</c:v>
                </c:pt>
                <c:pt idx="29">
                  <c:v>5.3</c:v>
                </c:pt>
                <c:pt idx="30">
                  <c:v>5.63</c:v>
                </c:pt>
                <c:pt idx="31">
                  <c:v>5.57</c:v>
                </c:pt>
                <c:pt idx="32">
                  <c:v>4.8899999999999997</c:v>
                </c:pt>
                <c:pt idx="33">
                  <c:v>4.5999999999999996</c:v>
                </c:pt>
                <c:pt idx="34">
                  <c:v>5.28</c:v>
                </c:pt>
                <c:pt idx="35">
                  <c:v>4.2699999999999996</c:v>
                </c:pt>
                <c:pt idx="36">
                  <c:v>4.96</c:v>
                </c:pt>
                <c:pt idx="37">
                  <c:v>4.6900000000000004</c:v>
                </c:pt>
                <c:pt idx="38">
                  <c:v>5.0199999999999996</c:v>
                </c:pt>
                <c:pt idx="39">
                  <c:v>4.6100000000000003</c:v>
                </c:pt>
                <c:pt idx="40">
                  <c:v>4.41</c:v>
                </c:pt>
                <c:pt idx="41">
                  <c:v>4.47</c:v>
                </c:pt>
                <c:pt idx="42">
                  <c:v>4.3600000000000003</c:v>
                </c:pt>
                <c:pt idx="43">
                  <c:v>3.98</c:v>
                </c:pt>
                <c:pt idx="44">
                  <c:v>3.67</c:v>
                </c:pt>
                <c:pt idx="45">
                  <c:v>4.01</c:v>
                </c:pt>
                <c:pt idx="46">
                  <c:v>4.22</c:v>
                </c:pt>
                <c:pt idx="47">
                  <c:v>4.47</c:v>
                </c:pt>
                <c:pt idx="48">
                  <c:v>4.9000000000000004</c:v>
                </c:pt>
                <c:pt idx="49">
                  <c:v>4.37</c:v>
                </c:pt>
                <c:pt idx="50">
                  <c:v>4.66</c:v>
                </c:pt>
                <c:pt idx="51">
                  <c:v>4.47</c:v>
                </c:pt>
                <c:pt idx="52">
                  <c:v>4.41</c:v>
                </c:pt>
                <c:pt idx="53">
                  <c:v>3.91</c:v>
                </c:pt>
                <c:pt idx="54">
                  <c:v>4.83</c:v>
                </c:pt>
                <c:pt idx="55">
                  <c:v>4.4800000000000004</c:v>
                </c:pt>
                <c:pt idx="56">
                  <c:v>4.3899999999999997</c:v>
                </c:pt>
                <c:pt idx="57">
                  <c:v>4.0999999999999996</c:v>
                </c:pt>
                <c:pt idx="58">
                  <c:v>4.12</c:v>
                </c:pt>
                <c:pt idx="59">
                  <c:v>4.4800000000000004</c:v>
                </c:pt>
                <c:pt idx="60">
                  <c:v>4.33</c:v>
                </c:pt>
                <c:pt idx="61">
                  <c:v>3.81</c:v>
                </c:pt>
                <c:pt idx="62">
                  <c:v>3.89</c:v>
                </c:pt>
                <c:pt idx="63">
                  <c:v>4.1100000000000003</c:v>
                </c:pt>
                <c:pt idx="64">
                  <c:v>4.08</c:v>
                </c:pt>
                <c:pt idx="65">
                  <c:v>3.89</c:v>
                </c:pt>
                <c:pt idx="66">
                  <c:v>3.69</c:v>
                </c:pt>
                <c:pt idx="67">
                  <c:v>3.55</c:v>
                </c:pt>
                <c:pt idx="68">
                  <c:v>3.72</c:v>
                </c:pt>
                <c:pt idx="69">
                  <c:v>3.25</c:v>
                </c:pt>
                <c:pt idx="70">
                  <c:v>3.18</c:v>
                </c:pt>
                <c:pt idx="71">
                  <c:v>3.31</c:v>
                </c:pt>
                <c:pt idx="72">
                  <c:v>3.33</c:v>
                </c:pt>
                <c:pt idx="73">
                  <c:v>3.93</c:v>
                </c:pt>
                <c:pt idx="74">
                  <c:v>3.46</c:v>
                </c:pt>
                <c:pt idx="75">
                  <c:v>3.65</c:v>
                </c:pt>
                <c:pt idx="76">
                  <c:v>3.24</c:v>
                </c:pt>
                <c:pt idx="77">
                  <c:v>3.55</c:v>
                </c:pt>
                <c:pt idx="78">
                  <c:v>3.67</c:v>
                </c:pt>
                <c:pt idx="79">
                  <c:v>3.28</c:v>
                </c:pt>
                <c:pt idx="80">
                  <c:v>3.21</c:v>
                </c:pt>
                <c:pt idx="81">
                  <c:v>2.97</c:v>
                </c:pt>
                <c:pt idx="82">
                  <c:v>3.17</c:v>
                </c:pt>
                <c:pt idx="83">
                  <c:v>3.16</c:v>
                </c:pt>
                <c:pt idx="84">
                  <c:v>2.98</c:v>
                </c:pt>
                <c:pt idx="85">
                  <c:v>2.83</c:v>
                </c:pt>
                <c:pt idx="86">
                  <c:v>3.22</c:v>
                </c:pt>
                <c:pt idx="87">
                  <c:v>3.25</c:v>
                </c:pt>
                <c:pt idx="88">
                  <c:v>3.41</c:v>
                </c:pt>
                <c:pt idx="89">
                  <c:v>3.06</c:v>
                </c:pt>
                <c:pt idx="90">
                  <c:v>3.01</c:v>
                </c:pt>
                <c:pt idx="91">
                  <c:v>3.22</c:v>
                </c:pt>
                <c:pt idx="92">
                  <c:v>3.07</c:v>
                </c:pt>
                <c:pt idx="93">
                  <c:v>2.78</c:v>
                </c:pt>
                <c:pt idx="94">
                  <c:v>2.61</c:v>
                </c:pt>
                <c:pt idx="95">
                  <c:v>2.5499999999999998</c:v>
                </c:pt>
                <c:pt idx="96">
                  <c:v>2.59</c:v>
                </c:pt>
                <c:pt idx="97">
                  <c:v>2.69</c:v>
                </c:pt>
                <c:pt idx="98">
                  <c:v>2.27</c:v>
                </c:pt>
                <c:pt idx="99">
                  <c:v>2.4300000000000002</c:v>
                </c:pt>
                <c:pt idx="100">
                  <c:v>2.31</c:v>
                </c:pt>
                <c:pt idx="101">
                  <c:v>2.13</c:v>
                </c:pt>
                <c:pt idx="102">
                  <c:v>2.29</c:v>
                </c:pt>
                <c:pt idx="103">
                  <c:v>2.17</c:v>
                </c:pt>
                <c:pt idx="104">
                  <c:v>2.65</c:v>
                </c:pt>
                <c:pt idx="105">
                  <c:v>2.1800000000000002</c:v>
                </c:pt>
                <c:pt idx="106">
                  <c:v>2.08</c:v>
                </c:pt>
                <c:pt idx="107">
                  <c:v>1.83</c:v>
                </c:pt>
                <c:pt idx="108">
                  <c:v>1.99</c:v>
                </c:pt>
                <c:pt idx="109">
                  <c:v>2.3199999999999998</c:v>
                </c:pt>
                <c:pt idx="110">
                  <c:v>1.88</c:v>
                </c:pt>
                <c:pt idx="111">
                  <c:v>1.92</c:v>
                </c:pt>
                <c:pt idx="112">
                  <c:v>2.11</c:v>
                </c:pt>
                <c:pt idx="113">
                  <c:v>1.82</c:v>
                </c:pt>
                <c:pt idx="114">
                  <c:v>1.88</c:v>
                </c:pt>
                <c:pt idx="115">
                  <c:v>1.89</c:v>
                </c:pt>
                <c:pt idx="116">
                  <c:v>1.76</c:v>
                </c:pt>
                <c:pt idx="117">
                  <c:v>1.95</c:v>
                </c:pt>
                <c:pt idx="118">
                  <c:v>1.64</c:v>
                </c:pt>
                <c:pt idx="119">
                  <c:v>1.65</c:v>
                </c:pt>
                <c:pt idx="120">
                  <c:v>1.59</c:v>
                </c:pt>
                <c:pt idx="121">
                  <c:v>1.53</c:v>
                </c:pt>
                <c:pt idx="122">
                  <c:v>1.76</c:v>
                </c:pt>
                <c:pt idx="123">
                  <c:v>1.87</c:v>
                </c:pt>
                <c:pt idx="124">
                  <c:v>1.58</c:v>
                </c:pt>
                <c:pt idx="125">
                  <c:v>1.93</c:v>
                </c:pt>
                <c:pt idx="126">
                  <c:v>1.69</c:v>
                </c:pt>
                <c:pt idx="127">
                  <c:v>1.7</c:v>
                </c:pt>
                <c:pt idx="128">
                  <c:v>1.61</c:v>
                </c:pt>
                <c:pt idx="129">
                  <c:v>1.41</c:v>
                </c:pt>
                <c:pt idx="130">
                  <c:v>1.66</c:v>
                </c:pt>
                <c:pt idx="131">
                  <c:v>1.57</c:v>
                </c:pt>
                <c:pt idx="132">
                  <c:v>1.63</c:v>
                </c:pt>
                <c:pt idx="133">
                  <c:v>1.61</c:v>
                </c:pt>
                <c:pt idx="134">
                  <c:v>1.6</c:v>
                </c:pt>
                <c:pt idx="135">
                  <c:v>1.76</c:v>
                </c:pt>
                <c:pt idx="136">
                  <c:v>1.51</c:v>
                </c:pt>
                <c:pt idx="137">
                  <c:v>1.43</c:v>
                </c:pt>
                <c:pt idx="138">
                  <c:v>1.43</c:v>
                </c:pt>
                <c:pt idx="139">
                  <c:v>1.41</c:v>
                </c:pt>
                <c:pt idx="140">
                  <c:v>1.28</c:v>
                </c:pt>
                <c:pt idx="141">
                  <c:v>1.1599999999999999</c:v>
                </c:pt>
                <c:pt idx="142">
                  <c:v>1.39</c:v>
                </c:pt>
                <c:pt idx="143">
                  <c:v>1.28</c:v>
                </c:pt>
                <c:pt idx="144">
                  <c:v>1.29</c:v>
                </c:pt>
                <c:pt idx="145">
                  <c:v>1.34</c:v>
                </c:pt>
                <c:pt idx="146">
                  <c:v>1.46</c:v>
                </c:pt>
                <c:pt idx="147">
                  <c:v>1.61</c:v>
                </c:pt>
                <c:pt idx="148">
                  <c:v>1.41</c:v>
                </c:pt>
                <c:pt idx="149">
                  <c:v>1.22</c:v>
                </c:pt>
                <c:pt idx="150">
                  <c:v>1.41</c:v>
                </c:pt>
                <c:pt idx="151">
                  <c:v>1.36</c:v>
                </c:pt>
                <c:pt idx="152">
                  <c:v>1.1299999999999999</c:v>
                </c:pt>
                <c:pt idx="153">
                  <c:v>1.25</c:v>
                </c:pt>
                <c:pt idx="154">
                  <c:v>1.24</c:v>
                </c:pt>
                <c:pt idx="155">
                  <c:v>1.18</c:v>
                </c:pt>
                <c:pt idx="156">
                  <c:v>1.1200000000000001</c:v>
                </c:pt>
                <c:pt idx="157">
                  <c:v>1.22</c:v>
                </c:pt>
                <c:pt idx="158">
                  <c:v>1.27</c:v>
                </c:pt>
                <c:pt idx="159">
                  <c:v>1.24</c:v>
                </c:pt>
                <c:pt idx="160">
                  <c:v>1.0900000000000001</c:v>
                </c:pt>
                <c:pt idx="161">
                  <c:v>1.26</c:v>
                </c:pt>
                <c:pt idx="162">
                  <c:v>1.31</c:v>
                </c:pt>
                <c:pt idx="163">
                  <c:v>1.1499999999999999</c:v>
                </c:pt>
                <c:pt idx="164">
                  <c:v>1.26</c:v>
                </c:pt>
                <c:pt idx="165">
                  <c:v>1.17</c:v>
                </c:pt>
                <c:pt idx="166">
                  <c:v>1.06</c:v>
                </c:pt>
                <c:pt idx="167">
                  <c:v>1.07</c:v>
                </c:pt>
                <c:pt idx="168">
                  <c:v>1.1299999999999999</c:v>
                </c:pt>
                <c:pt idx="169">
                  <c:v>1.1000000000000001</c:v>
                </c:pt>
                <c:pt idx="170">
                  <c:v>1.1000000000000001</c:v>
                </c:pt>
                <c:pt idx="171">
                  <c:v>1.06</c:v>
                </c:pt>
                <c:pt idx="172">
                  <c:v>1.02</c:v>
                </c:pt>
                <c:pt idx="173">
                  <c:v>1.17</c:v>
                </c:pt>
                <c:pt idx="174">
                  <c:v>1.05</c:v>
                </c:pt>
                <c:pt idx="175">
                  <c:v>1.1200000000000001</c:v>
                </c:pt>
                <c:pt idx="176">
                  <c:v>1.1599999999999999</c:v>
                </c:pt>
                <c:pt idx="177">
                  <c:v>1.08</c:v>
                </c:pt>
                <c:pt idx="178">
                  <c:v>1.01</c:v>
                </c:pt>
                <c:pt idx="179">
                  <c:v>1.04</c:v>
                </c:pt>
                <c:pt idx="180">
                  <c:v>1.22</c:v>
                </c:pt>
                <c:pt idx="181">
                  <c:v>1.0900000000000001</c:v>
                </c:pt>
                <c:pt idx="182">
                  <c:v>1.1000000000000001</c:v>
                </c:pt>
                <c:pt idx="183">
                  <c:v>1.17</c:v>
                </c:pt>
                <c:pt idx="184">
                  <c:v>1.1399999999999999</c:v>
                </c:pt>
                <c:pt idx="185">
                  <c:v>1.31</c:v>
                </c:pt>
                <c:pt idx="186">
                  <c:v>1.1499999999999999</c:v>
                </c:pt>
                <c:pt idx="187">
                  <c:v>1.19</c:v>
                </c:pt>
                <c:pt idx="188">
                  <c:v>1.08</c:v>
                </c:pt>
                <c:pt idx="189">
                  <c:v>1.1599999999999999</c:v>
                </c:pt>
                <c:pt idx="190">
                  <c:v>1.18</c:v>
                </c:pt>
                <c:pt idx="191">
                  <c:v>1.1399999999999999</c:v>
                </c:pt>
                <c:pt idx="192">
                  <c:v>1.24</c:v>
                </c:pt>
                <c:pt idx="193">
                  <c:v>1.2</c:v>
                </c:pt>
                <c:pt idx="194">
                  <c:v>1.08</c:v>
                </c:pt>
                <c:pt idx="195">
                  <c:v>1.05</c:v>
                </c:pt>
                <c:pt idx="196">
                  <c:v>1.0900000000000001</c:v>
                </c:pt>
                <c:pt idx="197">
                  <c:v>0.99</c:v>
                </c:pt>
                <c:pt idx="198">
                  <c:v>1.01</c:v>
                </c:pt>
                <c:pt idx="199">
                  <c:v>1</c:v>
                </c:pt>
                <c:pt idx="200">
                  <c:v>1.18</c:v>
                </c:pt>
                <c:pt idx="201">
                  <c:v>1.0900000000000001</c:v>
                </c:pt>
                <c:pt idx="202">
                  <c:v>1.23</c:v>
                </c:pt>
                <c:pt idx="203">
                  <c:v>1.38</c:v>
                </c:pt>
                <c:pt idx="204">
                  <c:v>1.32</c:v>
                </c:pt>
                <c:pt idx="205">
                  <c:v>1.45</c:v>
                </c:pt>
                <c:pt idx="206">
                  <c:v>1.61</c:v>
                </c:pt>
                <c:pt idx="207">
                  <c:v>1.56</c:v>
                </c:pt>
                <c:pt idx="208">
                  <c:v>1.48</c:v>
                </c:pt>
                <c:pt idx="209">
                  <c:v>1.54</c:v>
                </c:pt>
                <c:pt idx="210">
                  <c:v>1.61</c:v>
                </c:pt>
                <c:pt idx="211">
                  <c:v>1.7</c:v>
                </c:pt>
                <c:pt idx="212">
                  <c:v>1.58</c:v>
                </c:pt>
                <c:pt idx="213">
                  <c:v>1.51</c:v>
                </c:pt>
                <c:pt idx="214">
                  <c:v>1.28</c:v>
                </c:pt>
                <c:pt idx="215">
                  <c:v>1.34</c:v>
                </c:pt>
                <c:pt idx="216">
                  <c:v>1.55</c:v>
                </c:pt>
                <c:pt idx="217">
                  <c:v>1.5</c:v>
                </c:pt>
                <c:pt idx="218">
                  <c:v>1.52</c:v>
                </c:pt>
                <c:pt idx="219">
                  <c:v>1.72</c:v>
                </c:pt>
                <c:pt idx="220">
                  <c:v>1.46</c:v>
                </c:pt>
                <c:pt idx="221">
                  <c:v>1.43</c:v>
                </c:pt>
                <c:pt idx="222">
                  <c:v>1.46</c:v>
                </c:pt>
                <c:pt idx="223">
                  <c:v>1.64</c:v>
                </c:pt>
                <c:pt idx="224">
                  <c:v>1.72</c:v>
                </c:pt>
                <c:pt idx="225">
                  <c:v>1.68</c:v>
                </c:pt>
                <c:pt idx="226">
                  <c:v>1.65</c:v>
                </c:pt>
                <c:pt idx="227">
                  <c:v>1.72</c:v>
                </c:pt>
                <c:pt idx="228">
                  <c:v>1.84</c:v>
                </c:pt>
                <c:pt idx="229">
                  <c:v>1.66</c:v>
                </c:pt>
                <c:pt idx="230">
                  <c:v>1.83</c:v>
                </c:pt>
                <c:pt idx="231">
                  <c:v>1.87</c:v>
                </c:pt>
                <c:pt idx="232">
                  <c:v>1.73</c:v>
                </c:pt>
                <c:pt idx="233">
                  <c:v>1.77</c:v>
                </c:pt>
                <c:pt idx="234">
                  <c:v>1.86</c:v>
                </c:pt>
                <c:pt idx="235">
                  <c:v>1.91</c:v>
                </c:pt>
                <c:pt idx="236">
                  <c:v>1.94</c:v>
                </c:pt>
                <c:pt idx="237">
                  <c:v>1.71</c:v>
                </c:pt>
                <c:pt idx="238">
                  <c:v>1.93</c:v>
                </c:pt>
                <c:pt idx="239">
                  <c:v>2.0099999999999998</c:v>
                </c:pt>
                <c:pt idx="240">
                  <c:v>1.9</c:v>
                </c:pt>
                <c:pt idx="241">
                  <c:v>2.02</c:v>
                </c:pt>
                <c:pt idx="242">
                  <c:v>2.14</c:v>
                </c:pt>
                <c:pt idx="243">
                  <c:v>2.4300000000000002</c:v>
                </c:pt>
                <c:pt idx="244">
                  <c:v>2.2799999999999998</c:v>
                </c:pt>
                <c:pt idx="245">
                  <c:v>2.14</c:v>
                </c:pt>
                <c:pt idx="246">
                  <c:v>2.2000000000000002</c:v>
                </c:pt>
                <c:pt idx="247">
                  <c:v>2.0099999999999998</c:v>
                </c:pt>
                <c:pt idx="248">
                  <c:v>2.44</c:v>
                </c:pt>
                <c:pt idx="249">
                  <c:v>2.46</c:v>
                </c:pt>
                <c:pt idx="250">
                  <c:v>2.5099999999999998</c:v>
                </c:pt>
                <c:pt idx="251">
                  <c:v>2.29</c:v>
                </c:pt>
                <c:pt idx="252">
                  <c:v>2.63</c:v>
                </c:pt>
                <c:pt idx="253">
                  <c:v>2.8</c:v>
                </c:pt>
                <c:pt idx="254">
                  <c:v>2.66</c:v>
                </c:pt>
                <c:pt idx="255">
                  <c:v>2.31</c:v>
                </c:pt>
                <c:pt idx="256">
                  <c:v>2.72</c:v>
                </c:pt>
                <c:pt idx="257">
                  <c:v>2.88</c:v>
                </c:pt>
                <c:pt idx="258">
                  <c:v>2.9</c:v>
                </c:pt>
                <c:pt idx="259">
                  <c:v>2.72</c:v>
                </c:pt>
                <c:pt idx="260">
                  <c:v>2.68</c:v>
                </c:pt>
                <c:pt idx="261">
                  <c:v>2.84</c:v>
                </c:pt>
                <c:pt idx="262">
                  <c:v>2.76</c:v>
                </c:pt>
                <c:pt idx="263">
                  <c:v>2.94</c:v>
                </c:pt>
                <c:pt idx="264">
                  <c:v>2.87</c:v>
                </c:pt>
                <c:pt idx="265">
                  <c:v>2.85</c:v>
                </c:pt>
                <c:pt idx="266">
                  <c:v>2.76</c:v>
                </c:pt>
                <c:pt idx="267">
                  <c:v>2.58</c:v>
                </c:pt>
                <c:pt idx="268">
                  <c:v>3.08</c:v>
                </c:pt>
                <c:pt idx="269">
                  <c:v>3.04</c:v>
                </c:pt>
                <c:pt idx="270">
                  <c:v>2.92</c:v>
                </c:pt>
                <c:pt idx="271">
                  <c:v>3.01</c:v>
                </c:pt>
                <c:pt idx="272">
                  <c:v>3.41</c:v>
                </c:pt>
                <c:pt idx="273">
                  <c:v>3.46</c:v>
                </c:pt>
                <c:pt idx="274">
                  <c:v>3.42</c:v>
                </c:pt>
                <c:pt idx="275">
                  <c:v>3.28</c:v>
                </c:pt>
                <c:pt idx="276">
                  <c:v>2.94</c:v>
                </c:pt>
                <c:pt idx="277">
                  <c:v>3.38</c:v>
                </c:pt>
                <c:pt idx="278">
                  <c:v>3.38</c:v>
                </c:pt>
                <c:pt idx="279">
                  <c:v>3.45</c:v>
                </c:pt>
                <c:pt idx="280">
                  <c:v>3.07</c:v>
                </c:pt>
                <c:pt idx="281">
                  <c:v>2.89</c:v>
                </c:pt>
                <c:pt idx="282">
                  <c:v>2.97</c:v>
                </c:pt>
                <c:pt idx="283">
                  <c:v>3.34</c:v>
                </c:pt>
                <c:pt idx="284">
                  <c:v>3.87</c:v>
                </c:pt>
                <c:pt idx="285">
                  <c:v>3.77</c:v>
                </c:pt>
                <c:pt idx="286">
                  <c:v>3.58</c:v>
                </c:pt>
                <c:pt idx="287">
                  <c:v>3.51</c:v>
                </c:pt>
                <c:pt idx="288">
                  <c:v>3.67</c:v>
                </c:pt>
                <c:pt idx="289">
                  <c:v>4.42</c:v>
                </c:pt>
                <c:pt idx="290">
                  <c:v>4.16</c:v>
                </c:pt>
                <c:pt idx="291">
                  <c:v>4.16</c:v>
                </c:pt>
                <c:pt idx="292">
                  <c:v>4.1399999999999997</c:v>
                </c:pt>
                <c:pt idx="293">
                  <c:v>4.25</c:v>
                </c:pt>
                <c:pt idx="294">
                  <c:v>3.89</c:v>
                </c:pt>
                <c:pt idx="295">
                  <c:v>3.75</c:v>
                </c:pt>
                <c:pt idx="296">
                  <c:v>3.99</c:v>
                </c:pt>
                <c:pt idx="297">
                  <c:v>3.95</c:v>
                </c:pt>
                <c:pt idx="298">
                  <c:v>4.24</c:v>
                </c:pt>
                <c:pt idx="299">
                  <c:v>3.99</c:v>
                </c:pt>
                <c:pt idx="300">
                  <c:v>4.07</c:v>
                </c:pt>
                <c:pt idx="301">
                  <c:v>3.86</c:v>
                </c:pt>
                <c:pt idx="302">
                  <c:v>4.22</c:v>
                </c:pt>
                <c:pt idx="303">
                  <c:v>4.4000000000000004</c:v>
                </c:pt>
                <c:pt idx="304">
                  <c:v>4.6100000000000003</c:v>
                </c:pt>
                <c:pt idx="305">
                  <c:v>4.41</c:v>
                </c:pt>
                <c:pt idx="306">
                  <c:v>4.74</c:v>
                </c:pt>
                <c:pt idx="307">
                  <c:v>4.68</c:v>
                </c:pt>
                <c:pt idx="308">
                  <c:v>4.67</c:v>
                </c:pt>
                <c:pt idx="309">
                  <c:v>4.22</c:v>
                </c:pt>
                <c:pt idx="310">
                  <c:v>4.3099999999999996</c:v>
                </c:pt>
                <c:pt idx="311">
                  <c:v>4.13</c:v>
                </c:pt>
                <c:pt idx="312">
                  <c:v>4.3899999999999997</c:v>
                </c:pt>
                <c:pt idx="313">
                  <c:v>5.19</c:v>
                </c:pt>
                <c:pt idx="314">
                  <c:v>4.8899999999999997</c:v>
                </c:pt>
                <c:pt idx="315">
                  <c:v>4.53</c:v>
                </c:pt>
                <c:pt idx="316">
                  <c:v>4.3499999999999996</c:v>
                </c:pt>
                <c:pt idx="317">
                  <c:v>4.6399999999999997</c:v>
                </c:pt>
                <c:pt idx="318">
                  <c:v>5.05</c:v>
                </c:pt>
                <c:pt idx="319">
                  <c:v>4.8099999999999996</c:v>
                </c:pt>
                <c:pt idx="320">
                  <c:v>4.49</c:v>
                </c:pt>
                <c:pt idx="321">
                  <c:v>4.3</c:v>
                </c:pt>
                <c:pt idx="322">
                  <c:v>4.12</c:v>
                </c:pt>
                <c:pt idx="323">
                  <c:v>4.58</c:v>
                </c:pt>
                <c:pt idx="324">
                  <c:v>4.21</c:v>
                </c:pt>
                <c:pt idx="325">
                  <c:v>4.38</c:v>
                </c:pt>
                <c:pt idx="326">
                  <c:v>4.84</c:v>
                </c:pt>
                <c:pt idx="327">
                  <c:v>4.9000000000000004</c:v>
                </c:pt>
                <c:pt idx="328">
                  <c:v>4.53</c:v>
                </c:pt>
                <c:pt idx="329">
                  <c:v>4.7</c:v>
                </c:pt>
                <c:pt idx="330">
                  <c:v>4.7</c:v>
                </c:pt>
                <c:pt idx="331">
                  <c:v>4.67</c:v>
                </c:pt>
                <c:pt idx="332">
                  <c:v>4.5199999999999996</c:v>
                </c:pt>
                <c:pt idx="333">
                  <c:v>4.4000000000000004</c:v>
                </c:pt>
                <c:pt idx="334">
                  <c:v>4.9000000000000004</c:v>
                </c:pt>
                <c:pt idx="335">
                  <c:v>4.43</c:v>
                </c:pt>
                <c:pt idx="336">
                  <c:v>4.87</c:v>
                </c:pt>
                <c:pt idx="337">
                  <c:v>5.21</c:v>
                </c:pt>
                <c:pt idx="338">
                  <c:v>4.66</c:v>
                </c:pt>
                <c:pt idx="339">
                  <c:v>4.1900000000000004</c:v>
                </c:pt>
                <c:pt idx="340">
                  <c:v>4.79</c:v>
                </c:pt>
                <c:pt idx="341">
                  <c:v>4.79</c:v>
                </c:pt>
                <c:pt idx="342">
                  <c:v>4.82</c:v>
                </c:pt>
                <c:pt idx="343">
                  <c:v>4.3899999999999997</c:v>
                </c:pt>
                <c:pt idx="344">
                  <c:v>5.27</c:v>
                </c:pt>
                <c:pt idx="345">
                  <c:v>5.25</c:v>
                </c:pt>
                <c:pt idx="346">
                  <c:v>5.03</c:v>
                </c:pt>
                <c:pt idx="347">
                  <c:v>5.1100000000000003</c:v>
                </c:pt>
                <c:pt idx="348">
                  <c:v>5.45</c:v>
                </c:pt>
                <c:pt idx="349">
                  <c:v>4.59</c:v>
                </c:pt>
                <c:pt idx="350">
                  <c:v>4.7699999999999996</c:v>
                </c:pt>
                <c:pt idx="351">
                  <c:v>5.03</c:v>
                </c:pt>
                <c:pt idx="352">
                  <c:v>4.99</c:v>
                </c:pt>
                <c:pt idx="353">
                  <c:v>4.9800000000000004</c:v>
                </c:pt>
                <c:pt idx="354">
                  <c:v>5.3</c:v>
                </c:pt>
                <c:pt idx="355">
                  <c:v>5.28</c:v>
                </c:pt>
                <c:pt idx="356">
                  <c:v>4.92</c:v>
                </c:pt>
                <c:pt idx="357">
                  <c:v>5.22</c:v>
                </c:pt>
                <c:pt idx="358">
                  <c:v>5.49</c:v>
                </c:pt>
                <c:pt idx="359">
                  <c:v>4.92</c:v>
                </c:pt>
                <c:pt idx="360">
                  <c:v>5.72</c:v>
                </c:pt>
                <c:pt idx="361">
                  <c:v>5.78</c:v>
                </c:pt>
                <c:pt idx="362">
                  <c:v>4.88</c:v>
                </c:pt>
                <c:pt idx="363">
                  <c:v>4.8099999999999996</c:v>
                </c:pt>
                <c:pt idx="364">
                  <c:v>5.38</c:v>
                </c:pt>
                <c:pt idx="365">
                  <c:v>5.48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118110</xdr:colOff>
      <xdr:row>6</xdr:row>
      <xdr:rowOff>41909</xdr:rowOff>
    </xdr:from>
    <xdr:to>
      <xdr:col>6</xdr:col>
      <xdr:colOff>584835</xdr:colOff>
      <xdr:row>24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</xdr:colOff>
      <xdr:row>6</xdr:row>
      <xdr:rowOff>43815</xdr:rowOff>
    </xdr:from>
    <xdr:to>
      <xdr:col>14</xdr:col>
      <xdr:colOff>291465</xdr:colOff>
      <xdr:row>24</xdr:row>
      <xdr:rowOff>81916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457200</xdr:colOff>
      <xdr:row>6</xdr:row>
      <xdr:rowOff>38100</xdr:rowOff>
    </xdr:from>
    <xdr:to>
      <xdr:col>21</xdr:col>
      <xdr:colOff>504825</xdr:colOff>
      <xdr:row>24</xdr:row>
      <xdr:rowOff>76201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H1" zoomScale="110" zoomScaleNormal="110" workbookViewId="0">
      <selection activeCell="E51" sqref="E51:E52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183</v>
      </c>
      <c r="D1" s="123" t="s">
        <v>152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153</v>
      </c>
      <c r="E2" s="127"/>
      <c r="F2" s="127"/>
      <c r="G2" s="127"/>
      <c r="H2" s="128"/>
      <c r="Z2"/>
      <c r="AA2"/>
      <c r="AB2"/>
      <c r="AC2"/>
    </row>
    <row r="3" spans="2:34" s="54" customFormat="1" ht="15" thickBot="1">
      <c r="B3" s="55"/>
      <c r="C3" s="129" t="s">
        <v>184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172</v>
      </c>
      <c r="D4" s="103" t="s">
        <v>279</v>
      </c>
      <c r="E4" s="58"/>
      <c r="F4" s="102" t="s">
        <v>192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8</v>
      </c>
      <c r="E5" s="58"/>
      <c r="F5" s="102" t="s">
        <v>193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95</v>
      </c>
      <c r="D6" s="104" t="s">
        <v>257</v>
      </c>
      <c r="F6" s="102" t="s">
        <v>188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96</v>
      </c>
      <c r="D7" s="85" t="str">
        <f>IF(E7="","General",E7)</f>
        <v>Short (Group1)</v>
      </c>
      <c r="E7" s="92" t="s">
        <v>250</v>
      </c>
      <c r="Z7"/>
      <c r="AA7"/>
      <c r="AB7"/>
      <c r="AC7"/>
    </row>
    <row r="8" spans="2:34" s="55" customFormat="1">
      <c r="C8" s="64" t="s">
        <v>151</v>
      </c>
      <c r="D8" s="65" t="str">
        <f>CurrentCropName&amp;" "&amp;CurrentCropType&amp;" "&amp;CurrentCropVariety</f>
        <v>GroundStore Potato Short (Group1)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45436</v>
      </c>
      <c r="E9" s="67">
        <v>45436</v>
      </c>
      <c r="F9" s="57" t="s">
        <v>146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 ca="1">IF(E10="",CurrentEstablishDate+125,E10)</f>
        <v>45561</v>
      </c>
      <c r="E10" s="67"/>
      <c r="F10" s="57" t="s">
        <v>147</v>
      </c>
      <c r="G10" s="85" t="str">
        <f>IF(H10="",VLOOKUP(CurrentCropNameFull,CropCoefficients,15,FALSE),H10)</f>
        <v>Late</v>
      </c>
      <c r="H10" s="72"/>
      <c r="Z10"/>
      <c r="AA10"/>
      <c r="AB10"/>
      <c r="AC10"/>
    </row>
    <row r="11" spans="2:34" s="55" customFormat="1">
      <c r="C11" s="57" t="s">
        <v>137</v>
      </c>
      <c r="D11" s="85" t="str">
        <f>IF(CurrentUnits="kg/head",IF(E11="",VLOOKUP(CurrentCropNameFull,CropCoefficients,20,FALSE),E11),"1")</f>
        <v>1</v>
      </c>
      <c r="E11" s="72"/>
      <c r="F11" s="57" t="s">
        <v>134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80</v>
      </c>
      <c r="E12" s="69">
        <v>80</v>
      </c>
      <c r="F12" s="57" t="s">
        <v>136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135</v>
      </c>
      <c r="G13" s="93">
        <f>IF(H13="",VLOOKUP(CurrentCropNameFull,CropCoefficients,26,FALSE),H13)</f>
        <v>79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80</v>
      </c>
      <c r="C14" s="64" t="str">
        <f>"Yield "&amp;CurrentYield_tperHa&amp;" (t/ha)"</f>
        <v>Yield 80 (t/ha)</v>
      </c>
      <c r="D14" s="90" t="str">
        <f ca="1">"requires "&amp;ROUND(SUM('Model Interface'!P4:Q4),0)&amp;" kg N/ha from all sources"</f>
        <v>requires 336 kg N/ha from all sources</v>
      </c>
      <c r="F14" s="57" t="s">
        <v>158</v>
      </c>
      <c r="G14" s="85" t="str">
        <f>IF(H14="","None removed",H14)</f>
        <v>None removed</v>
      </c>
      <c r="H14" s="72"/>
      <c r="R14" s="83">
        <f>PriorHarvestDate</f>
        <v>45394</v>
      </c>
      <c r="Z14"/>
      <c r="AA14"/>
      <c r="AB14"/>
      <c r="AC14"/>
    </row>
    <row r="15" spans="2:34" s="55" customFormat="1" ht="16.2" thickBot="1">
      <c r="B15" s="55">
        <f ca="1">SUMIF(B29:B43,1,G29:G43)</f>
        <v>264.53097405895176</v>
      </c>
      <c r="C15" s="105" t="s">
        <v>221</v>
      </c>
      <c r="D15" s="106" t="str">
        <f ca="1">SUMIF(B29:B43,1,G29:G43)&amp;" Kg/ha"</f>
        <v>264.530974058952 Kg/ha</v>
      </c>
      <c r="E15" s="107" t="s">
        <v>187</v>
      </c>
      <c r="F15" s="57" t="s">
        <v>159</v>
      </c>
      <c r="G15" s="85" t="str">
        <f>IF(H15="","Full (Plough)",H15)</f>
        <v>Full (Plough)</v>
      </c>
      <c r="H15" s="72"/>
      <c r="R15" s="122" t="s">
        <v>223</v>
      </c>
      <c r="S15" s="122"/>
      <c r="T15" s="122"/>
      <c r="U15" s="122"/>
      <c r="V15" s="122"/>
      <c r="W15" s="115"/>
      <c r="X15" s="115"/>
      <c r="Y15" s="115"/>
      <c r="Z15" s="120" t="s">
        <v>222</v>
      </c>
      <c r="AA15" s="120"/>
      <c r="AB15" s="120"/>
      <c r="AC15" s="120"/>
      <c r="AD15" s="121" t="s">
        <v>224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9" t="s">
        <v>185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Interface'!J6</f>
        <v>Date</v>
      </c>
      <c r="S17" s="55"/>
      <c r="T17" s="55" t="s">
        <v>157</v>
      </c>
      <c r="U17" s="55" t="s">
        <v>156</v>
      </c>
      <c r="V17" s="55" t="s">
        <v>13</v>
      </c>
      <c r="W17" s="55" t="s">
        <v>174</v>
      </c>
      <c r="X17" s="55" t="s">
        <v>242</v>
      </c>
      <c r="Y17" s="55" t="s">
        <v>243</v>
      </c>
      <c r="Z17" s="55" t="s">
        <v>202</v>
      </c>
      <c r="AA17" s="55" t="s">
        <v>203</v>
      </c>
      <c r="AB17" s="55" t="s">
        <v>188</v>
      </c>
      <c r="AC17" s="55" t="s">
        <v>206</v>
      </c>
      <c r="AD17" s="55" t="s">
        <v>14</v>
      </c>
      <c r="AE17" s="55"/>
      <c r="AF17" s="55" t="s">
        <v>157</v>
      </c>
      <c r="AG17" s="55" t="s">
        <v>156</v>
      </c>
      <c r="AH17" s="55" t="s">
        <v>13</v>
      </c>
      <c r="AI17" s="54" t="s">
        <v>174</v>
      </c>
      <c r="AJ17" s="55" t="s">
        <v>242</v>
      </c>
      <c r="AK17" s="55" t="s">
        <v>243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Interface'!X7:X496,('Model Interface'!X7:X496&gt;=StartGraphDate)*('Model Interface'!X7:X496&lt;=CurrentHarvestDate),"")</f>
        <v>45394</v>
      </c>
      <c r="S18" s="55">
        <f ca="1">IF(R18&gt;1,R18,"")</f>
        <v>45394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166.4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0.94804269898302018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0.99999999997015498</v>
      </c>
      <c r="AD18" s="83">
        <f t="array" aca="1" ref="AD18:AD662" ca="1">_xlfn._xlws.FILTER('Model Interface'!X7:X1000,('Model Interface'!X7:X1000&gt;=CurrentHarvestDate+1)*('Model Interface'!X7:X1000&lt;=FollowingHarvestDate),"")</f>
        <v>45562</v>
      </c>
      <c r="AE18" s="55">
        <f ca="1">IF(AD18&gt;1,AD18,"")</f>
        <v>45562</v>
      </c>
      <c r="AF18" s="55">
        <f t="shared" ref="AF18:AF20" ca="1" si="6">VLOOKUP(AE18,ModelOutputs,2,FALSE)</f>
        <v>29.623130030991092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-5.925012996822499E-3</v>
      </c>
      <c r="AJ18" s="55">
        <f t="shared" ref="AJ18" ca="1" si="9">VLOOKUP(AE18,ModelOutputs,5,FALSE)</f>
        <v>0.83363579149412448</v>
      </c>
      <c r="AK18" s="55">
        <f t="shared" ref="AK18" ca="1" si="10">VLOOKUP(AE18,ModelOutputs,4,FALSE)</f>
        <v>-0.72843583203867723</v>
      </c>
    </row>
    <row r="19" spans="1:37" s="55" customFormat="1">
      <c r="C19" s="57" t="s">
        <v>218</v>
      </c>
      <c r="D19" s="85">
        <f>IF(E19="",60,E19)</f>
        <v>55</v>
      </c>
      <c r="E19" s="16">
        <v>55</v>
      </c>
      <c r="F19" s="94" t="str">
        <f ca="1">ROUND('Model Interface'!N3,0)&amp;" kg N/ha available from SOM mineralisation"</f>
        <v>120 kg N/ha available from SOM mineralisation</v>
      </c>
      <c r="R19" s="83">
        <f ca="1"/>
        <v>45395</v>
      </c>
      <c r="S19" s="55">
        <f t="shared" ref="S19:S82" ca="1" si="11">IF(R19&gt;1,R19,"")</f>
        <v>45395</v>
      </c>
      <c r="T19" s="55">
        <f t="shared" ca="1" si="0"/>
        <v>50.850827748374364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1.8529964954788567</v>
      </c>
      <c r="Y19" s="55">
        <f t="shared" ref="Y19:Y82" ca="1" si="14">VLOOKUP(S19,ModelOutputs,4,FALSE)+Y18</f>
        <v>-5.412604812147534E-2</v>
      </c>
      <c r="Z19">
        <f t="shared" ca="1" si="3"/>
        <v>113.16521739130434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45563</v>
      </c>
      <c r="AE19" s="55">
        <f t="shared" ref="AE19:AE20" ca="1" si="16">IF(AD19&gt;1,AD19,"")</f>
        <v>45563</v>
      </c>
      <c r="AF19" s="55">
        <f t="shared" ca="1" si="6"/>
        <v>29.770471271023322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-5.925012996822499E-3</v>
      </c>
      <c r="AJ19" s="55">
        <f t="shared" ref="AJ19:AJ82" ca="1" si="18">VLOOKUP(AE19,ModelOutputs,5,FALSE)+AJ18</f>
        <v>1.6916658137172389</v>
      </c>
      <c r="AK19" s="55">
        <f t="shared" ref="AK19:AK82" ca="1" si="19">VLOOKUP(AE19,ModelOutputs,4,FALSE)+AK18</f>
        <v>-1.4391246142295628</v>
      </c>
    </row>
    <row r="20" spans="1:37" s="55" customFormat="1">
      <c r="C20" s="57" t="s">
        <v>227</v>
      </c>
      <c r="D20" s="85" t="str">
        <f>IF(E20="","Sedementary",E20)</f>
        <v>Sedimentary</v>
      </c>
      <c r="E20" s="16" t="s">
        <v>244</v>
      </c>
      <c r="F20" s="94"/>
      <c r="R20" s="83">
        <f ca="1"/>
        <v>45396</v>
      </c>
      <c r="S20" s="55">
        <f t="shared" ca="1" si="11"/>
        <v>45396</v>
      </c>
      <c r="T20" s="55">
        <f t="shared" ca="1" si="0"/>
        <v>51.801643777927367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2.7627651660884149</v>
      </c>
      <c r="Y20" s="55">
        <f t="shared" ca="1" si="14"/>
        <v>-1.3078689178029901E-2</v>
      </c>
      <c r="Z20">
        <f t="shared" ca="1" si="3"/>
        <v>111.35187901701325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45564</v>
      </c>
      <c r="AE20" s="55">
        <f t="shared" ca="1" si="16"/>
        <v>45564</v>
      </c>
      <c r="AF20" s="55">
        <f t="shared" ca="1" si="6"/>
        <v>29.45768497093724</v>
      </c>
      <c r="AG20" s="55">
        <f t="shared" ca="1" si="7"/>
        <v>0</v>
      </c>
      <c r="AH20" s="55">
        <f t="shared" ca="1" si="8"/>
        <v>0</v>
      </c>
      <c r="AI20" s="55">
        <f t="shared" ca="1" si="17"/>
        <v>-0.49516116539475974</v>
      </c>
      <c r="AJ20" s="55">
        <f t="shared" ca="1" si="18"/>
        <v>2.5397329992429598</v>
      </c>
      <c r="AK20" s="55">
        <f t="shared" ca="1" si="19"/>
        <v>-2.1107419474434295</v>
      </c>
    </row>
    <row r="21" spans="1:37" s="55" customFormat="1" ht="15.75" customHeight="1">
      <c r="B21" s="55">
        <f>VLOOKUP(SampleDepth,depths,2,FALSE)</f>
        <v>3</v>
      </c>
      <c r="C21" s="57" t="s">
        <v>209</v>
      </c>
      <c r="D21" s="85" t="str">
        <f>IF(E21="","0-30cm",E21)</f>
        <v>Top30cm</v>
      </c>
      <c r="E21" s="16" t="s">
        <v>264</v>
      </c>
      <c r="F21" s="94"/>
      <c r="R21" s="83">
        <f ca="1"/>
        <v>45397</v>
      </c>
      <c r="S21" s="55">
        <f t="shared" ca="1" si="11"/>
        <v>45397</v>
      </c>
      <c r="T21" s="55">
        <f t="shared" ca="1" si="0"/>
        <v>52.590048119685456</v>
      </c>
      <c r="U21" s="55">
        <f t="shared" ca="1" si="1"/>
        <v>0</v>
      </c>
      <c r="V21" s="55">
        <f t="shared" ca="1" si="2"/>
        <v>0</v>
      </c>
      <c r="W21" s="55">
        <f t="shared" ca="1" si="12"/>
        <v>-0.30137538054705365</v>
      </c>
      <c r="X21" s="55">
        <f t="shared" ca="1" si="13"/>
        <v>3.7219379622813675</v>
      </c>
      <c r="Y21" s="55">
        <f t="shared" ca="1" si="14"/>
        <v>0.11752823693416292</v>
      </c>
      <c r="Z21">
        <f t="shared" ca="1" si="3"/>
        <v>120</v>
      </c>
      <c r="AA21">
        <f t="shared" ca="1" si="15"/>
        <v>1.0405661587901704</v>
      </c>
      <c r="AB21">
        <f t="shared" ca="1" si="4"/>
        <v>0</v>
      </c>
      <c r="AC21">
        <f t="shared" ca="1" si="5"/>
        <v>0</v>
      </c>
      <c r="AD21" s="83">
        <f ca="1"/>
        <v>45565</v>
      </c>
      <c r="AE21" s="55">
        <f t="shared" ref="AE21:AE84" ca="1" si="20">IF(AD21&gt;1,AD21,"")</f>
        <v>45565</v>
      </c>
      <c r="AF21" s="55">
        <f t="shared" ref="AF21:AF84" ca="1" si="21">VLOOKUP(AE21,ModelOutputs,2,FALSE)</f>
        <v>29.637235774292144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-0.49516116539475974</v>
      </c>
      <c r="AJ21" s="55">
        <f t="shared" ca="1" si="18"/>
        <v>3.3229764377664637</v>
      </c>
      <c r="AK21" s="55">
        <f t="shared" ca="1" si="19"/>
        <v>-2.7144345826120286</v>
      </c>
    </row>
    <row r="22" spans="1:37" s="55" customFormat="1" ht="15" customHeight="1">
      <c r="C22" s="57" t="s">
        <v>210</v>
      </c>
      <c r="D22" s="85" t="str">
        <f>IF(E22="","loam",E22)</f>
        <v>SandyLoam</v>
      </c>
      <c r="E22" s="16" t="s">
        <v>268</v>
      </c>
      <c r="F22" s="94"/>
      <c r="R22" s="83">
        <f ca="1"/>
        <v>45398</v>
      </c>
      <c r="S22" s="55">
        <f t="shared" ca="1" si="11"/>
        <v>45398</v>
      </c>
      <c r="T22" s="55">
        <f t="shared" ca="1" si="0"/>
        <v>53.153285739145062</v>
      </c>
      <c r="U22" s="55">
        <f t="shared" ca="1" si="1"/>
        <v>0</v>
      </c>
      <c r="V22" s="55">
        <f t="shared" ca="1" si="2"/>
        <v>0</v>
      </c>
      <c r="W22" s="55">
        <f t="shared" ca="1" si="12"/>
        <v>-0.88097729634608002</v>
      </c>
      <c r="X22" s="55">
        <f t="shared" ca="1" si="13"/>
        <v>4.658214801584367</v>
      </c>
      <c r="Y22" s="55">
        <f t="shared" ca="1" si="14"/>
        <v>0.32409093288979673</v>
      </c>
      <c r="Z22">
        <f t="shared" ca="1" si="3"/>
        <v>120</v>
      </c>
      <c r="AA22">
        <f t="shared" ca="1" si="15"/>
        <v>3.0205661587901744</v>
      </c>
      <c r="AB22">
        <f t="shared" ca="1" si="4"/>
        <v>0</v>
      </c>
      <c r="AC22">
        <f t="shared" ca="1" si="5"/>
        <v>0</v>
      </c>
      <c r="AD22" s="83">
        <f ca="1"/>
        <v>45566</v>
      </c>
      <c r="AE22" s="55">
        <f t="shared" ca="1" si="20"/>
        <v>45566</v>
      </c>
      <c r="AF22" s="55">
        <f t="shared" ca="1" si="21"/>
        <v>29.848867951974473</v>
      </c>
      <c r="AG22" s="55">
        <f t="shared" ca="1" si="22"/>
        <v>0</v>
      </c>
      <c r="AH22" s="55">
        <f t="shared" ca="1" si="23"/>
        <v>0</v>
      </c>
      <c r="AI22" s="55">
        <f t="shared" ca="1" si="17"/>
        <v>-0.50234264879544954</v>
      </c>
      <c r="AJ22" s="55">
        <f t="shared" ca="1" si="18"/>
        <v>4.1333960557873501</v>
      </c>
      <c r="AK22" s="55">
        <f t="shared" ca="1" si="19"/>
        <v>-3.3060405395498975</v>
      </c>
    </row>
    <row r="23" spans="1:37" s="55" customFormat="1">
      <c r="C23" s="57"/>
      <c r="D23" s="85"/>
      <c r="E23" s="113"/>
      <c r="F23" s="94"/>
      <c r="R23" s="83">
        <f ca="1"/>
        <v>45399</v>
      </c>
      <c r="S23" s="55">
        <f t="shared" ca="1" si="11"/>
        <v>45399</v>
      </c>
      <c r="T23" s="55">
        <f t="shared" ca="1" si="0"/>
        <v>54.137560445364052</v>
      </c>
      <c r="U23" s="55">
        <f t="shared" ca="1" si="1"/>
        <v>0</v>
      </c>
      <c r="V23" s="55">
        <f t="shared" ca="1" si="2"/>
        <v>0</v>
      </c>
      <c r="W23" s="55">
        <f t="shared" ca="1" si="12"/>
        <v>-1.1135334255635572</v>
      </c>
      <c r="X23" s="55">
        <f t="shared" ca="1" si="13"/>
        <v>5.5977417580505753</v>
      </c>
      <c r="Y23" s="55">
        <f t="shared" ca="1" si="14"/>
        <v>0.60139481186005783</v>
      </c>
      <c r="Z23">
        <f t="shared" ca="1" si="3"/>
        <v>120</v>
      </c>
      <c r="AA23">
        <f t="shared" ca="1" si="15"/>
        <v>3.8005661587901756</v>
      </c>
      <c r="AB23">
        <f t="shared" ca="1" si="4"/>
        <v>0</v>
      </c>
      <c r="AC23">
        <f t="shared" ca="1" si="5"/>
        <v>0</v>
      </c>
      <c r="AD23" s="83">
        <f ca="1"/>
        <v>45567</v>
      </c>
      <c r="AE23" s="55">
        <f t="shared" ca="1" si="20"/>
        <v>45567</v>
      </c>
      <c r="AF23" s="55">
        <f t="shared" ca="1" si="21"/>
        <v>29.858931563851268</v>
      </c>
      <c r="AG23" s="55">
        <f t="shared" ca="1" si="22"/>
        <v>0</v>
      </c>
      <c r="AH23" s="55">
        <f t="shared" ca="1" si="23"/>
        <v>0</v>
      </c>
      <c r="AI23" s="55">
        <f t="shared" ca="1" si="17"/>
        <v>-0.7720250567750454</v>
      </c>
      <c r="AJ23" s="55">
        <f t="shared" ca="1" si="18"/>
        <v>5.0139112303254878</v>
      </c>
      <c r="AK23" s="55">
        <f t="shared" ca="1" si="19"/>
        <v>-3.9068096942316473</v>
      </c>
    </row>
    <row r="24" spans="1:37" s="55" customFormat="1">
      <c r="C24" s="57" t="s">
        <v>226</v>
      </c>
      <c r="D24" s="85">
        <f>IF(E24="",0,E24)</f>
        <v>0</v>
      </c>
      <c r="E24" s="113">
        <v>0</v>
      </c>
      <c r="F24" s="94"/>
      <c r="R24" s="83">
        <f ca="1"/>
        <v>45400</v>
      </c>
      <c r="S24" s="55">
        <f t="shared" ca="1" si="11"/>
        <v>45400</v>
      </c>
      <c r="T24" s="55">
        <f t="shared" ca="1" si="0"/>
        <v>55.341017743000542</v>
      </c>
      <c r="U24" s="55">
        <f t="shared" ca="1" si="1"/>
        <v>0</v>
      </c>
      <c r="V24" s="55">
        <f t="shared" ca="1" si="2"/>
        <v>0</v>
      </c>
      <c r="W24" s="55">
        <f t="shared" ca="1" si="12"/>
        <v>-1.1135334255635572</v>
      </c>
      <c r="X24" s="55">
        <f t="shared" ca="1" si="13"/>
        <v>6.4790387054548848</v>
      </c>
      <c r="Y24" s="55">
        <f t="shared" ca="1" si="14"/>
        <v>0.92355516209224087</v>
      </c>
      <c r="Z24">
        <f t="shared" ca="1" si="3"/>
        <v>119.82608695652172</v>
      </c>
      <c r="AA24">
        <f t="shared" ca="1" si="15"/>
        <v>3.8005661587901756</v>
      </c>
      <c r="AB24">
        <f t="shared" ca="1" si="4"/>
        <v>0</v>
      </c>
      <c r="AC24">
        <f t="shared" ca="1" si="5"/>
        <v>0</v>
      </c>
      <c r="AD24" s="83">
        <f ca="1"/>
        <v>45568</v>
      </c>
      <c r="AE24" s="55">
        <f t="shared" ca="1" si="20"/>
        <v>45568</v>
      </c>
      <c r="AF24" s="55">
        <f t="shared" ca="1" si="21"/>
        <v>30.129929854821746</v>
      </c>
      <c r="AG24" s="55">
        <f t="shared" ca="1" si="22"/>
        <v>0</v>
      </c>
      <c r="AH24" s="55">
        <f t="shared" ca="1" si="23"/>
        <v>0</v>
      </c>
      <c r="AI24" s="55">
        <f t="shared" ca="1" si="17"/>
        <v>-0.7720250567750454</v>
      </c>
      <c r="AJ24" s="55">
        <f t="shared" ca="1" si="18"/>
        <v>5.8191449540799729</v>
      </c>
      <c r="AK24" s="55">
        <f t="shared" ca="1" si="19"/>
        <v>-4.4410451270156557</v>
      </c>
    </row>
    <row r="25" spans="1:37" s="55" customFormat="1">
      <c r="C25" s="61" t="str">
        <f>IF(COUNT(C29:C34)&gt;0,"Side dressings remaining","Side dressings")</f>
        <v>Side dressings remaining</v>
      </c>
      <c r="D25" s="85">
        <f>IF(E25="",1,E25)</f>
        <v>3</v>
      </c>
      <c r="E25" s="98">
        <v>3</v>
      </c>
      <c r="R25" s="83">
        <f ca="1"/>
        <v>45401</v>
      </c>
      <c r="S25" s="55">
        <f t="shared" ca="1" si="11"/>
        <v>45401</v>
      </c>
      <c r="T25" s="55">
        <f t="shared" ca="1" si="0"/>
        <v>56.743175572154449</v>
      </c>
      <c r="U25" s="55">
        <f t="shared" ca="1" si="1"/>
        <v>0</v>
      </c>
      <c r="V25" s="55">
        <f t="shared" ca="1" si="2"/>
        <v>0</v>
      </c>
      <c r="W25" s="55">
        <f t="shared" ca="1" si="12"/>
        <v>-1.1135334255635572</v>
      </c>
      <c r="X25" s="55">
        <f t="shared" ca="1" si="13"/>
        <v>7.4689872101451735</v>
      </c>
      <c r="Y25" s="55">
        <f t="shared" ca="1" si="14"/>
        <v>1.3357644865558589</v>
      </c>
      <c r="Z25">
        <f t="shared" ca="1" si="3"/>
        <v>118.89121613106491</v>
      </c>
      <c r="AA25">
        <f t="shared" ca="1" si="15"/>
        <v>3.8005661587901756</v>
      </c>
      <c r="AB25">
        <f t="shared" ca="1" si="4"/>
        <v>0</v>
      </c>
      <c r="AC25">
        <f t="shared" ca="1" si="5"/>
        <v>0</v>
      </c>
      <c r="AD25" s="83">
        <f ca="1"/>
        <v>45569</v>
      </c>
      <c r="AE25" s="55">
        <f t="shared" ca="1" si="20"/>
        <v>45569</v>
      </c>
      <c r="AF25" s="55">
        <f t="shared" ca="1" si="21"/>
        <v>30.423746790548993</v>
      </c>
      <c r="AG25" s="55">
        <f t="shared" ca="1" si="22"/>
        <v>0</v>
      </c>
      <c r="AH25" s="55">
        <f t="shared" ca="1" si="23"/>
        <v>0</v>
      </c>
      <c r="AI25" s="55">
        <f t="shared" ca="1" si="17"/>
        <v>-0.7720250567750454</v>
      </c>
      <c r="AJ25" s="55">
        <f t="shared" ca="1" si="18"/>
        <v>6.6206871823624267</v>
      </c>
      <c r="AK25" s="55">
        <f t="shared" ca="1" si="19"/>
        <v>-4.9487704195708631</v>
      </c>
    </row>
    <row r="26" spans="1:37" s="55" customFormat="1" ht="15" thickBot="1">
      <c r="C26" s="56"/>
      <c r="D26" s="56"/>
      <c r="E26" s="56"/>
      <c r="F26" s="56"/>
      <c r="R26" s="83">
        <f ca="1"/>
        <v>45402</v>
      </c>
      <c r="S26" s="55">
        <f t="shared" ca="1" si="11"/>
        <v>45402</v>
      </c>
      <c r="T26" s="55">
        <f t="shared" ca="1" si="0"/>
        <v>58.198739771768146</v>
      </c>
      <c r="U26" s="55">
        <f t="shared" ca="1" si="1"/>
        <v>0</v>
      </c>
      <c r="V26" s="55">
        <f t="shared" ca="1" si="2"/>
        <v>0</v>
      </c>
      <c r="W26" s="55">
        <f t="shared" ca="1" si="12"/>
        <v>-1.1135334255635572</v>
      </c>
      <c r="X26" s="55">
        <f t="shared" ca="1" si="13"/>
        <v>8.4580961362345057</v>
      </c>
      <c r="Y26" s="55">
        <f t="shared" ca="1" si="14"/>
        <v>1.8022197600802268</v>
      </c>
      <c r="Z26">
        <f t="shared" ca="1" si="3"/>
        <v>119.8895545583226</v>
      </c>
      <c r="AA26">
        <f t="shared" ca="1" si="15"/>
        <v>3.8005661587901756</v>
      </c>
      <c r="AB26">
        <f t="shared" ca="1" si="4"/>
        <v>0</v>
      </c>
      <c r="AC26">
        <f t="shared" ca="1" si="5"/>
        <v>0</v>
      </c>
      <c r="AD26" s="83">
        <f ca="1"/>
        <v>45570</v>
      </c>
      <c r="AE26" s="55">
        <f t="shared" ca="1" si="20"/>
        <v>45570</v>
      </c>
      <c r="AF26" s="55">
        <f t="shared" ca="1" si="21"/>
        <v>30.738399279913377</v>
      </c>
      <c r="AG26" s="55">
        <f t="shared" ca="1" si="22"/>
        <v>0</v>
      </c>
      <c r="AH26" s="55">
        <f t="shared" ca="1" si="23"/>
        <v>0</v>
      </c>
      <c r="AI26" s="55">
        <f t="shared" ca="1" si="17"/>
        <v>-0.7720250567750454</v>
      </c>
      <c r="AJ26" s="55">
        <f t="shared" ca="1" si="18"/>
        <v>7.4170791035177093</v>
      </c>
      <c r="AK26" s="55">
        <f t="shared" ca="1" si="19"/>
        <v>-5.4305098513617622</v>
      </c>
    </row>
    <row r="27" spans="1:37" s="55" customFormat="1" ht="15" thickBot="1">
      <c r="C27" s="132" t="s">
        <v>138</v>
      </c>
      <c r="D27" s="133"/>
      <c r="E27" s="60"/>
      <c r="F27" s="134" t="s">
        <v>145</v>
      </c>
      <c r="G27" s="135"/>
      <c r="R27" s="83">
        <f ca="1"/>
        <v>45403</v>
      </c>
      <c r="S27" s="55">
        <f t="shared" ca="1" si="11"/>
        <v>45403</v>
      </c>
      <c r="T27" s="55">
        <f t="shared" ca="1" si="0"/>
        <v>59.62160884438245</v>
      </c>
      <c r="U27" s="55">
        <f t="shared" ca="1" si="1"/>
        <v>0</v>
      </c>
      <c r="V27" s="55">
        <f t="shared" ca="1" si="2"/>
        <v>0</v>
      </c>
      <c r="W27" s="55">
        <f t="shared" ca="1" si="12"/>
        <v>-1.1135334255635572</v>
      </c>
      <c r="X27" s="55">
        <f t="shared" ca="1" si="13"/>
        <v>9.391129763057025</v>
      </c>
      <c r="Y27" s="55">
        <f t="shared" ca="1" si="14"/>
        <v>2.2920552058720132</v>
      </c>
      <c r="Z27">
        <f t="shared" ca="1" si="3"/>
        <v>118.34438556460063</v>
      </c>
      <c r="AA27">
        <f t="shared" ca="1" si="15"/>
        <v>3.8005661587901756</v>
      </c>
      <c r="AB27">
        <f t="shared" ca="1" si="4"/>
        <v>0</v>
      </c>
      <c r="AC27">
        <f t="shared" ca="1" si="5"/>
        <v>0</v>
      </c>
      <c r="AD27" s="83">
        <f ca="1"/>
        <v>45571</v>
      </c>
      <c r="AE27" s="55">
        <f t="shared" ca="1" si="20"/>
        <v>45571</v>
      </c>
      <c r="AF27" s="55">
        <f t="shared" ca="1" si="21"/>
        <v>31.082008479070481</v>
      </c>
      <c r="AG27" s="55">
        <f t="shared" ca="1" si="22"/>
        <v>0</v>
      </c>
      <c r="AH27" s="55">
        <f t="shared" ca="1" si="23"/>
        <v>0</v>
      </c>
      <c r="AI27" s="55">
        <f t="shared" ca="1" si="17"/>
        <v>-0.7720250567750454</v>
      </c>
      <c r="AJ27" s="55">
        <f t="shared" ca="1" si="18"/>
        <v>8.2292437599325297</v>
      </c>
      <c r="AK27" s="55">
        <f t="shared" ca="1" si="19"/>
        <v>-5.8990653086194769</v>
      </c>
    </row>
    <row r="28" spans="1:37" s="55" customFormat="1" ht="15" thickBot="1">
      <c r="C28" s="108" t="s">
        <v>14</v>
      </c>
      <c r="D28" s="109" t="s">
        <v>112</v>
      </c>
      <c r="F28" s="8" t="s">
        <v>14</v>
      </c>
      <c r="G28" s="62" t="s">
        <v>112</v>
      </c>
      <c r="R28" s="83">
        <f ca="1"/>
        <v>45404</v>
      </c>
      <c r="S28" s="55">
        <f t="shared" ca="1" si="11"/>
        <v>45404</v>
      </c>
      <c r="T28" s="55">
        <f t="shared" ca="1" si="0"/>
        <v>61.12019199490679</v>
      </c>
      <c r="U28" s="55">
        <f t="shared" ca="1" si="1"/>
        <v>0</v>
      </c>
      <c r="V28" s="55">
        <f t="shared" ca="1" si="2"/>
        <v>0</v>
      </c>
      <c r="W28" s="55">
        <f t="shared" ca="1" si="12"/>
        <v>-1.1135334255635572</v>
      </c>
      <c r="X28" s="55">
        <f t="shared" ca="1" si="13"/>
        <v>10.349479011182172</v>
      </c>
      <c r="Y28" s="55">
        <f t="shared" ca="1" si="14"/>
        <v>2.8322891082712083</v>
      </c>
      <c r="Z28">
        <f t="shared" ca="1" si="3"/>
        <v>116.00184753716754</v>
      </c>
      <c r="AA28">
        <f t="shared" ca="1" si="15"/>
        <v>3.8005661587901756</v>
      </c>
      <c r="AB28">
        <f t="shared" ca="1" si="4"/>
        <v>0</v>
      </c>
      <c r="AC28">
        <f t="shared" ca="1" si="5"/>
        <v>0</v>
      </c>
      <c r="AD28" s="83">
        <f ca="1"/>
        <v>45572</v>
      </c>
      <c r="AE28" s="55">
        <f t="shared" ca="1" si="20"/>
        <v>45572</v>
      </c>
      <c r="AF28" s="55">
        <f t="shared" ca="1" si="21"/>
        <v>31.443212678917696</v>
      </c>
      <c r="AG28" s="55">
        <f t="shared" ca="1" si="22"/>
        <v>0</v>
      </c>
      <c r="AH28" s="55">
        <f t="shared" ca="1" si="23"/>
        <v>0</v>
      </c>
      <c r="AI28" s="55">
        <f t="shared" ca="1" si="17"/>
        <v>-0.7720250567750454</v>
      </c>
      <c r="AJ28" s="55">
        <f t="shared" ca="1" si="18"/>
        <v>9.0285761736498724</v>
      </c>
      <c r="AK28" s="55">
        <f t="shared" ca="1" si="19"/>
        <v>-6.3371935224896063</v>
      </c>
    </row>
    <row r="29" spans="1:37" s="55" customFormat="1">
      <c r="A29" s="83">
        <f t="array" aca="1" ref="A29:A43" ca="1">_xlfn._xlws.FILTER('Model Interface'!X7:X496,'Model Interface'!Y7:Y496&gt;0,"")</f>
        <v>45444</v>
      </c>
      <c r="B29" s="55">
        <f t="shared" ref="B29:B43" ca="1" si="24">IF(AND(NOT(F29=""),F29&gt;=StartSchedullingDate),1,0)</f>
        <v>0</v>
      </c>
      <c r="C29" s="78">
        <v>45444</v>
      </c>
      <c r="D29" s="80">
        <v>100</v>
      </c>
      <c r="F29" s="74">
        <f ca="1">A29</f>
        <v>45444</v>
      </c>
      <c r="G29" s="76">
        <f ca="1">IFERROR(VLOOKUP(F29,'Model Interface'!$J$7:$O$496,6,FALSE),"")</f>
        <v>100</v>
      </c>
      <c r="H29" s="55" t="str">
        <f ca="1">IF(B29=1,"Suggested","Applied or Planned")</f>
        <v>Applied or Planned</v>
      </c>
      <c r="R29" s="83">
        <f ca="1"/>
        <v>45405</v>
      </c>
      <c r="S29" s="55">
        <f t="shared" ca="1" si="11"/>
        <v>45405</v>
      </c>
      <c r="T29" s="55">
        <f t="shared" ca="1" si="0"/>
        <v>62.769193065259138</v>
      </c>
      <c r="U29" s="55">
        <f t="shared" ca="1" si="1"/>
        <v>0</v>
      </c>
      <c r="V29" s="55">
        <f t="shared" ca="1" si="2"/>
        <v>0</v>
      </c>
      <c r="W29" s="55">
        <f t="shared" ca="1" si="12"/>
        <v>-1.1135334255635572</v>
      </c>
      <c r="X29" s="55">
        <f t="shared" ca="1" si="13"/>
        <v>11.384546949228959</v>
      </c>
      <c r="Y29" s="55">
        <f t="shared" ca="1" si="14"/>
        <v>3.4462222405767693</v>
      </c>
      <c r="Z29">
        <f t="shared" ca="1" si="3"/>
        <v>117.74557334718602</v>
      </c>
      <c r="AA29">
        <f t="shared" ca="1" si="15"/>
        <v>3.8005661587901756</v>
      </c>
      <c r="AB29">
        <f t="shared" ca="1" si="4"/>
        <v>0</v>
      </c>
      <c r="AC29">
        <f t="shared" ca="1" si="5"/>
        <v>0</v>
      </c>
      <c r="AD29" s="83">
        <f ca="1"/>
        <v>45573</v>
      </c>
      <c r="AE29" s="55">
        <f t="shared" ca="1" si="20"/>
        <v>45573</v>
      </c>
      <c r="AF29" s="55">
        <f t="shared" ca="1" si="21"/>
        <v>31.810153749556335</v>
      </c>
      <c r="AG29" s="55">
        <f t="shared" ca="1" si="22"/>
        <v>0</v>
      </c>
      <c r="AH29" s="55">
        <f t="shared" ca="1" si="23"/>
        <v>0</v>
      </c>
      <c r="AI29" s="55">
        <f t="shared" ca="1" si="17"/>
        <v>-0.7720250567750454</v>
      </c>
      <c r="AJ29" s="55">
        <f t="shared" ca="1" si="18"/>
        <v>9.8031299674585188</v>
      </c>
      <c r="AK29" s="55">
        <f t="shared" ca="1" si="19"/>
        <v>-6.7448062456596105</v>
      </c>
    </row>
    <row r="30" spans="1:37" s="55" customFormat="1">
      <c r="A30" s="83">
        <f ca="1"/>
        <v>45462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45462</v>
      </c>
      <c r="G30" s="76">
        <f ca="1">IFERROR(VLOOKUP(F30,'Model Interface'!$J$7:$O$496,6,FALSE),"")</f>
        <v>75.011399614991646</v>
      </c>
      <c r="H30" s="55" t="str">
        <f t="shared" ref="H30:H43" ca="1" si="26">IF(F30="","",IF(F30&lt;=StartSchedullingDate,"Applied or Planned","Suggested"))</f>
        <v>Suggested</v>
      </c>
      <c r="R30" s="83">
        <f ca="1"/>
        <v>45406</v>
      </c>
      <c r="S30" s="55">
        <f t="shared" ca="1" si="11"/>
        <v>45406</v>
      </c>
      <c r="T30" s="55">
        <f t="shared" ca="1" si="0"/>
        <v>62.791709652301442</v>
      </c>
      <c r="U30" s="55">
        <f t="shared" ca="1" si="1"/>
        <v>0</v>
      </c>
      <c r="V30" s="55">
        <f t="shared" ca="1" si="2"/>
        <v>0</v>
      </c>
      <c r="W30" s="55">
        <f t="shared" ca="1" si="12"/>
        <v>-2.7219391936507704</v>
      </c>
      <c r="X30" s="55">
        <f t="shared" ca="1" si="13"/>
        <v>12.385449475192138</v>
      </c>
      <c r="Y30" s="55">
        <f t="shared" ca="1" si="14"/>
        <v>4.0762420697431097</v>
      </c>
      <c r="Z30">
        <f t="shared" ca="1" si="3"/>
        <v>120</v>
      </c>
      <c r="AA30">
        <f t="shared" ca="1" si="15"/>
        <v>8.4516996910313793</v>
      </c>
      <c r="AB30">
        <f t="shared" ca="1" si="4"/>
        <v>0</v>
      </c>
      <c r="AC30">
        <f t="shared" ca="1" si="5"/>
        <v>0</v>
      </c>
      <c r="AD30" s="83">
        <f ca="1"/>
        <v>45574</v>
      </c>
      <c r="AE30" s="55">
        <f t="shared" ca="1" si="20"/>
        <v>45574</v>
      </c>
      <c r="AF30" s="55">
        <f t="shared" ca="1" si="21"/>
        <v>32.186837869867006</v>
      </c>
      <c r="AG30" s="55">
        <f t="shared" ca="1" si="22"/>
        <v>0</v>
      </c>
      <c r="AH30" s="55">
        <f t="shared" ca="1" si="23"/>
        <v>0</v>
      </c>
      <c r="AI30" s="55">
        <f t="shared" ca="1" si="17"/>
        <v>-0.7720250567750454</v>
      </c>
      <c r="AJ30" s="55">
        <f t="shared" ca="1" si="18"/>
        <v>10.562622874782024</v>
      </c>
      <c r="AK30" s="55">
        <f t="shared" ca="1" si="19"/>
        <v>-7.1276150326724448</v>
      </c>
    </row>
    <row r="31" spans="1:37" s="55" customFormat="1">
      <c r="A31" s="83">
        <f ca="1"/>
        <v>45475</v>
      </c>
      <c r="B31" s="55">
        <f t="shared" ca="1" si="24"/>
        <v>1</v>
      </c>
      <c r="C31" s="78"/>
      <c r="D31" s="81"/>
      <c r="F31" s="74">
        <f t="shared" ca="1" si="25"/>
        <v>45475</v>
      </c>
      <c r="G31" s="76">
        <f ca="1">IFERROR(VLOOKUP(F31,'Model Interface'!$J$7:$O$496,6,FALSE),"")</f>
        <v>81.374280821524877</v>
      </c>
      <c r="H31" s="55" t="str">
        <f t="shared" ca="1" si="26"/>
        <v>Suggested</v>
      </c>
      <c r="R31" s="83">
        <f ca="1"/>
        <v>45407</v>
      </c>
      <c r="S31" s="55">
        <f t="shared" ca="1" si="11"/>
        <v>45407</v>
      </c>
      <c r="T31" s="55">
        <f t="shared" ca="1" si="0"/>
        <v>64.388259526254714</v>
      </c>
      <c r="U31" s="55">
        <f t="shared" ca="1" si="1"/>
        <v>0</v>
      </c>
      <c r="V31" s="55">
        <f t="shared" ca="1" si="2"/>
        <v>0</v>
      </c>
      <c r="W31" s="55">
        <f t="shared" ca="1" si="12"/>
        <v>-2.7219391936507704</v>
      </c>
      <c r="X31" s="55">
        <f t="shared" ca="1" si="13"/>
        <v>13.346270665384157</v>
      </c>
      <c r="Y31" s="55">
        <f t="shared" ca="1" si="14"/>
        <v>4.7119707535043638</v>
      </c>
      <c r="Z31">
        <f t="shared" ca="1" si="3"/>
        <v>118.60869565217391</v>
      </c>
      <c r="AA31">
        <f t="shared" ca="1" si="15"/>
        <v>8.4516996910313793</v>
      </c>
      <c r="AB31">
        <f t="shared" ca="1" si="4"/>
        <v>0</v>
      </c>
      <c r="AC31">
        <f t="shared" ca="1" si="5"/>
        <v>0</v>
      </c>
      <c r="AD31" s="83">
        <f ca="1"/>
        <v>45575</v>
      </c>
      <c r="AE31" s="55">
        <f t="shared" ca="1" si="20"/>
        <v>45575</v>
      </c>
      <c r="AF31" s="55">
        <f t="shared" ca="1" si="21"/>
        <v>32.545723056224027</v>
      </c>
      <c r="AG31" s="55">
        <f t="shared" ca="1" si="22"/>
        <v>0</v>
      </c>
      <c r="AH31" s="55">
        <f t="shared" ca="1" si="23"/>
        <v>0</v>
      </c>
      <c r="AI31" s="55">
        <f t="shared" ca="1" si="17"/>
        <v>-0.86320490134715699</v>
      </c>
      <c r="AJ31" s="55">
        <f t="shared" ca="1" si="18"/>
        <v>11.406877405490544</v>
      </c>
      <c r="AK31" s="55">
        <f t="shared" ca="1" si="19"/>
        <v>-7.5218045324518314</v>
      </c>
    </row>
    <row r="32" spans="1:37" s="55" customFormat="1">
      <c r="A32" s="83">
        <f ca="1"/>
        <v>45487</v>
      </c>
      <c r="B32" s="55">
        <f t="shared" ca="1" si="24"/>
        <v>1</v>
      </c>
      <c r="C32" s="78"/>
      <c r="D32" s="81"/>
      <c r="F32" s="74">
        <f t="shared" ca="1" si="25"/>
        <v>45487</v>
      </c>
      <c r="G32" s="76">
        <f ca="1">IFERROR(VLOOKUP(F32,'Model Interface'!$J$7:$O$496,6,FALSE),"")</f>
        <v>108.14529362243525</v>
      </c>
      <c r="H32" s="55" t="str">
        <f t="shared" ca="1" si="26"/>
        <v>Suggested</v>
      </c>
      <c r="R32" s="83">
        <f ca="1"/>
        <v>45408</v>
      </c>
      <c r="S32" s="55">
        <f t="shared" ca="1" si="11"/>
        <v>45408</v>
      </c>
      <c r="T32" s="55">
        <f t="shared" ca="1" si="0"/>
        <v>65.318713437652619</v>
      </c>
      <c r="U32" s="55">
        <f t="shared" ca="1" si="1"/>
        <v>0</v>
      </c>
      <c r="V32" s="55">
        <f t="shared" ca="1" si="2"/>
        <v>0</v>
      </c>
      <c r="W32" s="55">
        <f t="shared" ca="1" si="12"/>
        <v>-3.5234822619453348</v>
      </c>
      <c r="X32" s="55">
        <f t="shared" ca="1" si="13"/>
        <v>14.37961379543423</v>
      </c>
      <c r="Y32" s="55">
        <f t="shared" ca="1" si="14"/>
        <v>5.4106246031467595</v>
      </c>
      <c r="Z32">
        <f t="shared" ca="1" si="3"/>
        <v>120</v>
      </c>
      <c r="AA32">
        <f t="shared" ca="1" si="15"/>
        <v>10.679902589582099</v>
      </c>
      <c r="AB32">
        <f t="shared" ca="1" si="4"/>
        <v>0</v>
      </c>
      <c r="AC32">
        <f t="shared" ca="1" si="5"/>
        <v>0</v>
      </c>
      <c r="AD32" s="83">
        <f ca="1"/>
        <v>45576</v>
      </c>
      <c r="AE32" s="55">
        <f t="shared" ca="1" si="20"/>
        <v>45576</v>
      </c>
      <c r="AF32" s="55">
        <f t="shared" ca="1" si="21"/>
        <v>33.021273470218276</v>
      </c>
      <c r="AG32" s="55">
        <f t="shared" ca="1" si="22"/>
        <v>1.5298380824423061</v>
      </c>
      <c r="AH32" s="55">
        <f t="shared" ca="1" si="23"/>
        <v>0</v>
      </c>
      <c r="AI32" s="55">
        <f t="shared" ca="1" si="17"/>
        <v>-0.86320490134715699</v>
      </c>
      <c r="AJ32" s="55">
        <f t="shared" ca="1" si="18"/>
        <v>12.258767912341611</v>
      </c>
      <c r="AK32" s="55">
        <f t="shared" ca="1" si="19"/>
        <v>-7.898144625308646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Interface'!$J$7:$O$496,6,FALSE),"")</f>
        <v/>
      </c>
      <c r="H33" s="55" t="str">
        <f t="shared" ca="1" si="26"/>
        <v/>
      </c>
      <c r="R33" s="83">
        <f ca="1"/>
        <v>45409</v>
      </c>
      <c r="S33" s="55">
        <f t="shared" ca="1" si="11"/>
        <v>45409</v>
      </c>
      <c r="T33" s="55">
        <f t="shared" ca="1" si="0"/>
        <v>65.436265591389727</v>
      </c>
      <c r="U33" s="55">
        <f t="shared" ca="1" si="1"/>
        <v>0</v>
      </c>
      <c r="V33" s="55">
        <f t="shared" ca="1" si="2"/>
        <v>0</v>
      </c>
      <c r="W33" s="55">
        <f t="shared" ca="1" si="12"/>
        <v>-5.0658814265516581</v>
      </c>
      <c r="X33" s="55">
        <f t="shared" ca="1" si="13"/>
        <v>15.354516242338722</v>
      </c>
      <c r="Y33" s="55">
        <f t="shared" ca="1" si="14"/>
        <v>6.0956734745856975</v>
      </c>
      <c r="Z33">
        <f t="shared" ca="1" si="3"/>
        <v>120</v>
      </c>
      <c r="AA33">
        <f t="shared" ca="1" si="15"/>
        <v>14.9599025895821</v>
      </c>
      <c r="AB33">
        <f t="shared" ca="1" si="4"/>
        <v>0</v>
      </c>
      <c r="AC33">
        <f t="shared" ca="1" si="5"/>
        <v>0</v>
      </c>
      <c r="AD33" s="83">
        <f ca="1"/>
        <v>45577</v>
      </c>
      <c r="AE33" s="55">
        <f t="shared" ca="1" si="20"/>
        <v>45577</v>
      </c>
      <c r="AF33" s="55">
        <f t="shared" ca="1" si="21"/>
        <v>33.436442459188243</v>
      </c>
      <c r="AG33" s="55">
        <f t="shared" ca="1" si="22"/>
        <v>1.5872084993253912</v>
      </c>
      <c r="AH33" s="55">
        <f t="shared" ca="1" si="23"/>
        <v>0</v>
      </c>
      <c r="AI33" s="55">
        <f t="shared" ca="1" si="17"/>
        <v>-0.86320490134715699</v>
      </c>
      <c r="AJ33" s="55">
        <f t="shared" ca="1" si="18"/>
        <v>13.077378791038271</v>
      </c>
      <c r="AK33" s="55">
        <f t="shared" ca="1" si="19"/>
        <v>-8.2442160981522505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Interface'!$J$7:$O$496,6,FALSE),"")</f>
        <v/>
      </c>
      <c r="H34" s="55" t="str">
        <f t="shared" ca="1" si="26"/>
        <v/>
      </c>
      <c r="R34" s="83">
        <f ca="1"/>
        <v>45410</v>
      </c>
      <c r="S34" s="55">
        <f t="shared" ca="1" si="11"/>
        <v>45410</v>
      </c>
      <c r="T34" s="55">
        <f t="shared" ca="1" si="0"/>
        <v>65.924998772428864</v>
      </c>
      <c r="U34" s="55">
        <f t="shared" ca="1" si="1"/>
        <v>0</v>
      </c>
      <c r="V34" s="55">
        <f t="shared" ca="1" si="2"/>
        <v>0</v>
      </c>
      <c r="W34" s="55">
        <f t="shared" ca="1" si="12"/>
        <v>-6.2167981442511921</v>
      </c>
      <c r="X34" s="55">
        <f t="shared" ca="1" si="13"/>
        <v>16.307112763916802</v>
      </c>
      <c r="Y34" s="55">
        <f t="shared" ca="1" si="14"/>
        <v>6.7827268517462791</v>
      </c>
      <c r="Z34">
        <f t="shared" ca="1" si="3"/>
        <v>120</v>
      </c>
      <c r="AA34">
        <f t="shared" ca="1" si="15"/>
        <v>18.129902589582102</v>
      </c>
      <c r="AB34">
        <f t="shared" ca="1" si="4"/>
        <v>0</v>
      </c>
      <c r="AC34">
        <f t="shared" ca="1" si="5"/>
        <v>0</v>
      </c>
      <c r="AD34" s="83">
        <f ca="1"/>
        <v>45578</v>
      </c>
      <c r="AE34" s="55">
        <f t="shared" ca="1" si="20"/>
        <v>45578</v>
      </c>
      <c r="AF34" s="55">
        <f t="shared" ca="1" si="21"/>
        <v>33.641737208381841</v>
      </c>
      <c r="AG34" s="55">
        <f t="shared" ca="1" si="22"/>
        <v>1.6498644916719156</v>
      </c>
      <c r="AH34" s="55">
        <f t="shared" ca="1" si="23"/>
        <v>0</v>
      </c>
      <c r="AI34" s="55">
        <f t="shared" ca="1" si="17"/>
        <v>-1.119403497532109</v>
      </c>
      <c r="AJ34" s="55">
        <f t="shared" ca="1" si="18"/>
        <v>13.943895302349809</v>
      </c>
      <c r="AK34" s="55">
        <f t="shared" ca="1" si="19"/>
        <v>-8.5865832717387107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Interface'!$J$7:$O$496,6,FALSE),"")</f>
        <v/>
      </c>
      <c r="H35" s="55" t="str">
        <f t="shared" ca="1" si="26"/>
        <v/>
      </c>
      <c r="R35" s="83">
        <f ca="1"/>
        <v>45411</v>
      </c>
      <c r="S35" s="55">
        <f t="shared" ca="1" si="11"/>
        <v>45411</v>
      </c>
      <c r="T35" s="55">
        <f t="shared" ca="1" si="0"/>
        <v>66.16683504090372</v>
      </c>
      <c r="U35" s="55">
        <f t="shared" ca="1" si="1"/>
        <v>0</v>
      </c>
      <c r="V35" s="55">
        <f t="shared" ca="1" si="2"/>
        <v>0</v>
      </c>
      <c r="W35" s="55">
        <f t="shared" ca="1" si="12"/>
        <v>-7.6015069819188046</v>
      </c>
      <c r="X35" s="55">
        <f t="shared" ca="1" si="13"/>
        <v>17.244201485098731</v>
      </c>
      <c r="Y35" s="55">
        <f t="shared" ca="1" si="14"/>
        <v>7.4721832367068206</v>
      </c>
      <c r="Z35">
        <f t="shared" ca="1" si="3"/>
        <v>120</v>
      </c>
      <c r="AA35">
        <f t="shared" ca="1" si="15"/>
        <v>21.929902589582113</v>
      </c>
      <c r="AB35">
        <f t="shared" ca="1" si="4"/>
        <v>0</v>
      </c>
      <c r="AC35">
        <f t="shared" ca="1" si="5"/>
        <v>0</v>
      </c>
      <c r="AD35" s="83">
        <f ca="1"/>
        <v>45579</v>
      </c>
      <c r="AE35" s="55">
        <f t="shared" ca="1" si="20"/>
        <v>45579</v>
      </c>
      <c r="AF35" s="55">
        <f t="shared" ca="1" si="21"/>
        <v>33.773304659640836</v>
      </c>
      <c r="AG35" s="55">
        <f t="shared" ca="1" si="22"/>
        <v>1.7145583958168287</v>
      </c>
      <c r="AH35" s="55">
        <f t="shared" ca="1" si="23"/>
        <v>0</v>
      </c>
      <c r="AI35" s="55">
        <f t="shared" ca="1" si="17"/>
        <v>-1.4616396514164702</v>
      </c>
      <c r="AJ35" s="55">
        <f t="shared" ca="1" si="18"/>
        <v>14.804234691634775</v>
      </c>
      <c r="AK35" s="55">
        <f t="shared" ca="1" si="19"/>
        <v>-8.9084251517354112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32" t="s">
        <v>139</v>
      </c>
      <c r="D36" s="133"/>
      <c r="F36" s="74" t="str">
        <f t="shared" ca="1" si="25"/>
        <v/>
      </c>
      <c r="G36" s="76" t="str">
        <f ca="1">IFERROR(VLOOKUP(F36,'Model Interface'!$J$7:$O$496,6,FALSE),"")</f>
        <v/>
      </c>
      <c r="H36" s="55" t="str">
        <f t="shared" ca="1" si="26"/>
        <v/>
      </c>
      <c r="R36" s="83">
        <f ca="1"/>
        <v>45412</v>
      </c>
      <c r="S36" s="55">
        <f t="shared" ca="1" si="11"/>
        <v>45412</v>
      </c>
      <c r="T36" s="55">
        <f t="shared" ca="1" si="0"/>
        <v>67.584101911910153</v>
      </c>
      <c r="U36" s="55">
        <f t="shared" ca="1" si="1"/>
        <v>0</v>
      </c>
      <c r="V36" s="55">
        <f t="shared" ca="1" si="2"/>
        <v>0</v>
      </c>
      <c r="W36" s="55">
        <f t="shared" ca="1" si="12"/>
        <v>-7.6015069819188046</v>
      </c>
      <c r="X36" s="55">
        <f t="shared" ca="1" si="13"/>
        <v>18.044270080235183</v>
      </c>
      <c r="Y36" s="55">
        <f t="shared" ca="1" si="14"/>
        <v>8.0893815125767947</v>
      </c>
      <c r="Z36">
        <f t="shared" ca="1" si="3"/>
        <v>117.51304347826085</v>
      </c>
      <c r="AA36">
        <f t="shared" ca="1" si="15"/>
        <v>21.929902589582113</v>
      </c>
      <c r="AB36">
        <f t="shared" ca="1" si="4"/>
        <v>0</v>
      </c>
      <c r="AC36">
        <f t="shared" ca="1" si="5"/>
        <v>0</v>
      </c>
      <c r="AD36" s="83">
        <f ca="1"/>
        <v>45580</v>
      </c>
      <c r="AE36" s="55">
        <f t="shared" ca="1" si="20"/>
        <v>45580</v>
      </c>
      <c r="AF36" s="55">
        <f t="shared" ca="1" si="21"/>
        <v>34.243185428394391</v>
      </c>
      <c r="AG36" s="55">
        <f t="shared" ca="1" si="22"/>
        <v>1.7797166965275555</v>
      </c>
      <c r="AH36" s="55">
        <f t="shared" ca="1" si="23"/>
        <v>0</v>
      </c>
      <c r="AI36" s="55">
        <f t="shared" ca="1" si="17"/>
        <v>-1.4616396514164702</v>
      </c>
      <c r="AJ36" s="55">
        <f t="shared" ca="1" si="18"/>
        <v>15.635605899804293</v>
      </c>
      <c r="AK36" s="55">
        <f t="shared" ca="1" si="19"/>
        <v>-9.2047572904406501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Interface'!$J$7:$O$496,6,FALSE),"")</f>
        <v/>
      </c>
      <c r="H37" s="55" t="str">
        <f t="shared" ca="1" si="26"/>
        <v/>
      </c>
      <c r="R37" s="83">
        <f ca="1"/>
        <v>45413</v>
      </c>
      <c r="S37" s="55">
        <f t="shared" ca="1" si="11"/>
        <v>45413</v>
      </c>
      <c r="T37" s="55">
        <f t="shared" ca="1" si="0"/>
        <v>69.003043341987421</v>
      </c>
      <c r="U37" s="55">
        <f t="shared" ca="1" si="1"/>
        <v>0</v>
      </c>
      <c r="V37" s="55">
        <f t="shared" ca="1" si="2"/>
        <v>0</v>
      </c>
      <c r="W37" s="55">
        <f t="shared" ca="1" si="12"/>
        <v>-7.6015069819188046</v>
      </c>
      <c r="X37" s="55">
        <f t="shared" ca="1" si="13"/>
        <v>18.84213140115553</v>
      </c>
      <c r="Y37" s="55">
        <f t="shared" ca="1" si="14"/>
        <v>8.7104616217337227</v>
      </c>
      <c r="Z37">
        <f t="shared" ca="1" si="3"/>
        <v>115.26965343415247</v>
      </c>
      <c r="AA37">
        <f t="shared" ca="1" si="15"/>
        <v>21.929902589582113</v>
      </c>
      <c r="AB37">
        <f t="shared" ca="1" si="4"/>
        <v>0</v>
      </c>
      <c r="AC37">
        <f t="shared" ca="1" si="5"/>
        <v>0</v>
      </c>
      <c r="AD37" s="83">
        <f ca="1"/>
        <v>45581</v>
      </c>
      <c r="AE37" s="55">
        <f t="shared" ca="1" si="20"/>
        <v>45581</v>
      </c>
      <c r="AF37" s="55">
        <f t="shared" ca="1" si="21"/>
        <v>34.762726305747208</v>
      </c>
      <c r="AG37" s="55">
        <f t="shared" ca="1" si="22"/>
        <v>1.8511977674812321</v>
      </c>
      <c r="AH37" s="55">
        <f t="shared" ca="1" si="23"/>
        <v>0</v>
      </c>
      <c r="AI37" s="55">
        <f t="shared" ca="1" si="17"/>
        <v>-1.4616396514164702</v>
      </c>
      <c r="AJ37" s="55">
        <f t="shared" ca="1" si="18"/>
        <v>16.520034225648367</v>
      </c>
      <c r="AK37" s="55">
        <f t="shared" ca="1" si="19"/>
        <v>-9.4981636679782255</v>
      </c>
    </row>
    <row r="38" spans="1:37" s="55" customFormat="1">
      <c r="A38" s="83" t="e">
        <f ca="1"/>
        <v>#N/A</v>
      </c>
      <c r="B38" s="55">
        <f t="shared" ca="1" si="24"/>
        <v>0</v>
      </c>
      <c r="C38" s="78">
        <v>45458</v>
      </c>
      <c r="D38" s="81">
        <v>53</v>
      </c>
      <c r="F38" s="74" t="str">
        <f t="shared" ca="1" si="25"/>
        <v/>
      </c>
      <c r="G38" s="76" t="str">
        <f ca="1">IFERROR(VLOOKUP(F38,'Model Interface'!$J$7:$O$496,6,FALSE),"")</f>
        <v/>
      </c>
      <c r="H38" s="55" t="str">
        <f t="shared" ca="1" si="26"/>
        <v/>
      </c>
      <c r="R38" s="83">
        <f ca="1"/>
        <v>45414</v>
      </c>
      <c r="S38" s="55">
        <f t="shared" ca="1" si="11"/>
        <v>45414</v>
      </c>
      <c r="T38" s="55">
        <f t="shared" ca="1" si="0"/>
        <v>70.576266700642421</v>
      </c>
      <c r="U38" s="55">
        <f t="shared" ca="1" si="1"/>
        <v>0</v>
      </c>
      <c r="V38" s="55">
        <f t="shared" ca="1" si="2"/>
        <v>0</v>
      </c>
      <c r="W38" s="55">
        <f t="shared" ca="1" si="12"/>
        <v>-7.6015069819188046</v>
      </c>
      <c r="X38" s="55">
        <f t="shared" ca="1" si="13"/>
        <v>19.73441819742127</v>
      </c>
      <c r="Y38" s="55">
        <f t="shared" ca="1" si="14"/>
        <v>9.3913981841229877</v>
      </c>
      <c r="Z38">
        <f t="shared" ca="1" si="3"/>
        <v>116.58507945718381</v>
      </c>
      <c r="AA38">
        <f t="shared" ca="1" si="15"/>
        <v>21.929902589582113</v>
      </c>
      <c r="AB38">
        <f t="shared" ca="1" si="4"/>
        <v>0</v>
      </c>
      <c r="AC38">
        <f t="shared" ca="1" si="5"/>
        <v>0</v>
      </c>
      <c r="AD38" s="83">
        <f ca="1"/>
        <v>45582</v>
      </c>
      <c r="AE38" s="55">
        <f t="shared" ca="1" si="20"/>
        <v>45582</v>
      </c>
      <c r="AF38" s="55">
        <f t="shared" ca="1" si="21"/>
        <v>35.283153834773017</v>
      </c>
      <c r="AG38" s="55">
        <f t="shared" ca="1" si="22"/>
        <v>1.9240664917319363</v>
      </c>
      <c r="AH38" s="55">
        <f t="shared" ca="1" si="23"/>
        <v>0</v>
      </c>
      <c r="AI38" s="55">
        <f t="shared" ca="1" si="17"/>
        <v>-1.4616396514164702</v>
      </c>
      <c r="AJ38" s="55">
        <f t="shared" ca="1" si="18"/>
        <v>17.385003890634124</v>
      </c>
      <c r="AK38" s="55">
        <f t="shared" ca="1" si="19"/>
        <v>-9.7698370796874663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Interface'!$J$7:$O$496,6,FALSE),"")</f>
        <v/>
      </c>
      <c r="H39" s="55" t="str">
        <f t="shared" ca="1" si="26"/>
        <v/>
      </c>
      <c r="R39" s="83">
        <f ca="1"/>
        <v>45415</v>
      </c>
      <c r="S39" s="55">
        <f t="shared" ca="1" si="11"/>
        <v>45415</v>
      </c>
      <c r="T39" s="55">
        <f t="shared" ca="1" si="0"/>
        <v>72.158369381610171</v>
      </c>
      <c r="U39" s="55">
        <f t="shared" ca="1" si="1"/>
        <v>0</v>
      </c>
      <c r="V39" s="55">
        <f t="shared" ca="1" si="2"/>
        <v>0</v>
      </c>
      <c r="W39" s="55">
        <f t="shared" ca="1" si="12"/>
        <v>-7.6015069819188046</v>
      </c>
      <c r="X39" s="55">
        <f t="shared" ca="1" si="13"/>
        <v>20.630650323777331</v>
      </c>
      <c r="Y39" s="55">
        <f t="shared" ca="1" si="14"/>
        <v>10.077268738734688</v>
      </c>
      <c r="Z39">
        <f t="shared" ca="1" si="3"/>
        <v>119.84248971558478</v>
      </c>
      <c r="AA39">
        <f t="shared" ca="1" si="15"/>
        <v>21.929902589582113</v>
      </c>
      <c r="AB39">
        <f t="shared" ca="1" si="4"/>
        <v>0</v>
      </c>
      <c r="AC39">
        <f t="shared" ca="1" si="5"/>
        <v>0</v>
      </c>
      <c r="AD39" s="83">
        <f ca="1"/>
        <v>45583</v>
      </c>
      <c r="AE39" s="55">
        <f t="shared" ca="1" si="20"/>
        <v>45583</v>
      </c>
      <c r="AF39" s="55">
        <f t="shared" ca="1" si="21"/>
        <v>35.7852631284658</v>
      </c>
      <c r="AG39" s="55">
        <f t="shared" ca="1" si="22"/>
        <v>1.9962067184221322</v>
      </c>
      <c r="AH39" s="55">
        <f t="shared" ca="1" si="23"/>
        <v>0</v>
      </c>
      <c r="AI39" s="55">
        <f t="shared" ca="1" si="17"/>
        <v>-1.4616396514164702</v>
      </c>
      <c r="AJ39" s="55">
        <f t="shared" ca="1" si="18"/>
        <v>18.205109608863729</v>
      </c>
      <c r="AK39" s="55">
        <f t="shared" ca="1" si="19"/>
        <v>-10.015693277534091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Interface'!$J$7:$O$496,6,FALSE),"")</f>
        <v/>
      </c>
      <c r="H40" s="55" t="str">
        <f t="shared" ca="1" si="26"/>
        <v/>
      </c>
      <c r="R40" s="83">
        <f ca="1"/>
        <v>45416</v>
      </c>
      <c r="S40" s="55">
        <f t="shared" ca="1" si="11"/>
        <v>45416</v>
      </c>
      <c r="T40" s="55">
        <f t="shared" ca="1" si="0"/>
        <v>72.418757070282425</v>
      </c>
      <c r="U40" s="55">
        <f t="shared" ca="1" si="1"/>
        <v>0</v>
      </c>
      <c r="V40" s="55">
        <f t="shared" ca="1" si="2"/>
        <v>0</v>
      </c>
      <c r="W40" s="55">
        <f t="shared" ca="1" si="12"/>
        <v>-8.9819054910333076</v>
      </c>
      <c r="X40" s="55">
        <f t="shared" ca="1" si="13"/>
        <v>21.562874226041931</v>
      </c>
      <c r="Y40" s="55">
        <f t="shared" ca="1" si="14"/>
        <v>10.785831034256844</v>
      </c>
      <c r="Z40">
        <f t="shared" ca="1" si="3"/>
        <v>120</v>
      </c>
      <c r="AA40">
        <f t="shared" ca="1" si="15"/>
        <v>25.391040537457854</v>
      </c>
      <c r="AB40">
        <f t="shared" ca="1" si="4"/>
        <v>0</v>
      </c>
      <c r="AC40">
        <f t="shared" ca="1" si="5"/>
        <v>0</v>
      </c>
      <c r="AD40" s="83">
        <f ca="1"/>
        <v>45584</v>
      </c>
      <c r="AE40" s="55">
        <f t="shared" ca="1" si="20"/>
        <v>45584</v>
      </c>
      <c r="AF40" s="55">
        <f t="shared" ca="1" si="21"/>
        <v>36.31225948117779</v>
      </c>
      <c r="AG40" s="55">
        <f t="shared" ca="1" si="22"/>
        <v>2.0742894579957016</v>
      </c>
      <c r="AH40" s="55">
        <f t="shared" ca="1" si="23"/>
        <v>0</v>
      </c>
      <c r="AI40" s="55">
        <f t="shared" ca="1" si="17"/>
        <v>-1.4616396514164702</v>
      </c>
      <c r="AJ40" s="55">
        <f t="shared" ca="1" si="18"/>
        <v>19.050255145513425</v>
      </c>
      <c r="AK40" s="55">
        <f t="shared" ca="1" si="19"/>
        <v>-10.255759721898226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Interface'!$J$7:$O$496,6,FALSE),"")</f>
        <v/>
      </c>
      <c r="H41" s="55" t="str">
        <f t="shared" ca="1" si="26"/>
        <v/>
      </c>
      <c r="R41" s="83">
        <f ca="1"/>
        <v>45417</v>
      </c>
      <c r="S41" s="55">
        <f t="shared" ca="1" si="11"/>
        <v>45417</v>
      </c>
      <c r="T41" s="55">
        <f t="shared" ca="1" si="0"/>
        <v>73.584090197495243</v>
      </c>
      <c r="U41" s="55">
        <f t="shared" ca="1" si="1"/>
        <v>0</v>
      </c>
      <c r="V41" s="55">
        <f t="shared" ca="1" si="2"/>
        <v>0</v>
      </c>
      <c r="W41" s="55">
        <f t="shared" ca="1" si="12"/>
        <v>-9.4155184051536231</v>
      </c>
      <c r="X41" s="55">
        <f t="shared" ca="1" si="13"/>
        <v>22.46941447387788</v>
      </c>
      <c r="Y41" s="55">
        <f t="shared" ca="1" si="14"/>
        <v>11.478236827754024</v>
      </c>
      <c r="Z41">
        <f t="shared" ca="1" si="3"/>
        <v>120</v>
      </c>
      <c r="AA41">
        <f t="shared" ca="1" si="15"/>
        <v>26.461040537457862</v>
      </c>
      <c r="AB41">
        <f t="shared" ca="1" si="4"/>
        <v>0</v>
      </c>
      <c r="AC41">
        <f t="shared" ca="1" si="5"/>
        <v>0</v>
      </c>
      <c r="AD41" s="83">
        <f ca="1"/>
        <v>45585</v>
      </c>
      <c r="AE41" s="55">
        <f t="shared" ca="1" si="20"/>
        <v>45585</v>
      </c>
      <c r="AF41" s="55">
        <f t="shared" ca="1" si="21"/>
        <v>36.816419906483688</v>
      </c>
      <c r="AG41" s="55">
        <f t="shared" ca="1" si="22"/>
        <v>2.1542222831708209</v>
      </c>
      <c r="AH41" s="55">
        <f t="shared" ca="1" si="23"/>
        <v>0</v>
      </c>
      <c r="AI41" s="55">
        <f t="shared" ca="1" si="17"/>
        <v>-1.4616396514164702</v>
      </c>
      <c r="AJ41" s="55">
        <f t="shared" ca="1" si="18"/>
        <v>19.857238296355156</v>
      </c>
      <c r="AK41" s="55">
        <f t="shared" ca="1" si="19"/>
        <v>-10.478649622258938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Interface'!$J$7:$O$496,6,FALSE),"")</f>
        <v/>
      </c>
      <c r="H42" s="55" t="str">
        <f t="shared" ca="1" si="26"/>
        <v/>
      </c>
      <c r="R42" s="83">
        <f ca="1"/>
        <v>45418</v>
      </c>
      <c r="S42" s="55">
        <f t="shared" ca="1" si="11"/>
        <v>45418</v>
      </c>
      <c r="T42" s="55">
        <f t="shared" ca="1" si="0"/>
        <v>73.444811225436524</v>
      </c>
      <c r="U42" s="55">
        <f t="shared" ca="1" si="1"/>
        <v>0</v>
      </c>
      <c r="V42" s="55">
        <f t="shared" ca="1" si="2"/>
        <v>0</v>
      </c>
      <c r="W42" s="55">
        <f t="shared" ca="1" si="12"/>
        <v>-11.077925740978069</v>
      </c>
      <c r="X42" s="55">
        <f t="shared" ca="1" si="13"/>
        <v>23.329753863162846</v>
      </c>
      <c r="Y42" s="55">
        <f t="shared" ca="1" si="14"/>
        <v>12.141025802234784</v>
      </c>
      <c r="Z42">
        <f t="shared" ca="1" si="3"/>
        <v>120</v>
      </c>
      <c r="AA42">
        <f t="shared" ca="1" si="15"/>
        <v>30.571040537457861</v>
      </c>
      <c r="AB42">
        <f t="shared" ca="1" si="4"/>
        <v>0</v>
      </c>
      <c r="AC42">
        <f t="shared" ca="1" si="5"/>
        <v>0</v>
      </c>
      <c r="AD42" s="83">
        <f ca="1"/>
        <v>45586</v>
      </c>
      <c r="AE42" s="55">
        <f t="shared" ca="1" si="20"/>
        <v>45586</v>
      </c>
      <c r="AF42" s="55">
        <f t="shared" ca="1" si="21"/>
        <v>37.378613740840478</v>
      </c>
      <c r="AG42" s="55">
        <f t="shared" ca="1" si="22"/>
        <v>2.240183974868398</v>
      </c>
      <c r="AH42" s="55">
        <f t="shared" ca="1" si="23"/>
        <v>0</v>
      </c>
      <c r="AI42" s="55">
        <f t="shared" ca="1" si="17"/>
        <v>-1.4616396514164702</v>
      </c>
      <c r="AJ42" s="55">
        <f t="shared" ca="1" si="18"/>
        <v>20.721025251922548</v>
      </c>
      <c r="AK42" s="55">
        <f t="shared" ca="1" si="19"/>
        <v>-10.694281051771959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Interface'!$J$7:$O$496,6,FALSE),"")</f>
        <v/>
      </c>
      <c r="H43" s="55" t="str">
        <f t="shared" ca="1" si="26"/>
        <v/>
      </c>
      <c r="R43" s="83">
        <f ca="1"/>
        <v>45419</v>
      </c>
      <c r="S43" s="55">
        <f t="shared" ca="1" si="11"/>
        <v>45419</v>
      </c>
      <c r="T43" s="55">
        <f t="shared" ca="1" si="0"/>
        <v>74.609941468333304</v>
      </c>
      <c r="U43" s="55">
        <f t="shared" ca="1" si="1"/>
        <v>0</v>
      </c>
      <c r="V43" s="55">
        <f t="shared" ca="1" si="2"/>
        <v>0</v>
      </c>
      <c r="W43" s="55">
        <f t="shared" ca="1" si="12"/>
        <v>-11.447731537821115</v>
      </c>
      <c r="X43" s="55">
        <f t="shared" ca="1" si="13"/>
        <v>24.199369200984474</v>
      </c>
      <c r="Y43" s="55">
        <f t="shared" ca="1" si="14"/>
        <v>12.806346504152982</v>
      </c>
      <c r="Z43">
        <f t="shared" ca="1" si="3"/>
        <v>120</v>
      </c>
      <c r="AA43">
        <f t="shared" ca="1" si="15"/>
        <v>31.471040537457867</v>
      </c>
      <c r="AB43">
        <f t="shared" ca="1" si="4"/>
        <v>0</v>
      </c>
      <c r="AC43">
        <f t="shared" ca="1" si="5"/>
        <v>0</v>
      </c>
      <c r="AD43" s="83">
        <f ca="1"/>
        <v>45587</v>
      </c>
      <c r="AE43" s="55">
        <f t="shared" ca="1" si="20"/>
        <v>45587</v>
      </c>
      <c r="AF43" s="55">
        <f t="shared" ca="1" si="21"/>
        <v>37.916457172784021</v>
      </c>
      <c r="AG43" s="55">
        <f t="shared" ca="1" si="22"/>
        <v>2.3246126658820678</v>
      </c>
      <c r="AH43" s="55">
        <f t="shared" ca="1" si="23"/>
        <v>0</v>
      </c>
      <c r="AI43" s="55">
        <f t="shared" ca="1" si="17"/>
        <v>-1.4616396514164702</v>
      </c>
      <c r="AJ43" s="55">
        <f t="shared" ca="1" si="18"/>
        <v>21.535895764477772</v>
      </c>
      <c r="AK43" s="55">
        <f t="shared" ca="1" si="19"/>
        <v>-10.886879441369974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45436</v>
      </c>
      <c r="C44" s="94" t="s">
        <v>150</v>
      </c>
      <c r="D44" s="96">
        <f ca="1">MAX(CurrentEstablishDate,C38:C43,MAX(C29:C34)+1)</f>
        <v>45458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45420</v>
      </c>
      <c r="S44" s="55">
        <f t="shared" ca="1" si="11"/>
        <v>45420</v>
      </c>
      <c r="T44" s="55">
        <f t="shared" ca="1" si="0"/>
        <v>76.307395309304425</v>
      </c>
      <c r="U44" s="55">
        <f t="shared" ca="1" si="1"/>
        <v>0</v>
      </c>
      <c r="V44" s="55">
        <f t="shared" ca="1" si="2"/>
        <v>0</v>
      </c>
      <c r="W44" s="55">
        <f t="shared" ca="1" si="12"/>
        <v>-11.447731537821115</v>
      </c>
      <c r="X44" s="55">
        <f t="shared" ca="1" si="13"/>
        <v>25.173439874010349</v>
      </c>
      <c r="Y44" s="55">
        <f t="shared" ca="1" si="14"/>
        <v>13.529729672098224</v>
      </c>
      <c r="Z44">
        <f t="shared" ca="1" si="3"/>
        <v>119.77391304347827</v>
      </c>
      <c r="AA44">
        <f t="shared" ca="1" si="15"/>
        <v>31.471040537457867</v>
      </c>
      <c r="AB44">
        <f t="shared" ca="1" si="4"/>
        <v>0</v>
      </c>
      <c r="AC44">
        <f t="shared" ca="1" si="5"/>
        <v>0</v>
      </c>
      <c r="AD44" s="83">
        <f ca="1"/>
        <v>45588</v>
      </c>
      <c r="AE44" s="55">
        <f t="shared" ca="1" si="20"/>
        <v>45588</v>
      </c>
      <c r="AF44" s="55">
        <f t="shared" ca="1" si="21"/>
        <v>38.436769493076326</v>
      </c>
      <c r="AG44" s="55">
        <f t="shared" ca="1" si="22"/>
        <v>2.4124798003771764</v>
      </c>
      <c r="AH44" s="55">
        <f t="shared" ca="1" si="23"/>
        <v>0</v>
      </c>
      <c r="AI44" s="55">
        <f t="shared" ca="1" si="17"/>
        <v>-1.4616396514164702</v>
      </c>
      <c r="AJ44" s="55">
        <f t="shared" ca="1" si="18"/>
        <v>22.325164469011675</v>
      </c>
      <c r="AK44" s="55">
        <f t="shared" ca="1" si="19"/>
        <v>-11.067968691116469</v>
      </c>
    </row>
    <row r="45" spans="1:37" s="55" customFormat="1">
      <c r="R45" s="83">
        <f ca="1"/>
        <v>45421</v>
      </c>
      <c r="S45" s="55">
        <f t="shared" ca="1" si="11"/>
        <v>45421</v>
      </c>
      <c r="T45" s="55">
        <f t="shared" ca="1" si="0"/>
        <v>77.847670034828496</v>
      </c>
      <c r="U45" s="55">
        <f t="shared" ca="1" si="1"/>
        <v>0</v>
      </c>
      <c r="V45" s="55">
        <f t="shared" ca="1" si="2"/>
        <v>0</v>
      </c>
      <c r="W45" s="55">
        <f t="shared" ca="1" si="12"/>
        <v>-11.551595143759958</v>
      </c>
      <c r="X45" s="55">
        <f t="shared" ca="1" si="13"/>
        <v>26.117854957957267</v>
      </c>
      <c r="Y45" s="55">
        <f t="shared" ca="1" si="14"/>
        <v>14.229452919614207</v>
      </c>
      <c r="Z45">
        <f t="shared" ca="1" si="3"/>
        <v>120</v>
      </c>
      <c r="AA45">
        <f t="shared" ca="1" si="15"/>
        <v>31.713301407023081</v>
      </c>
      <c r="AB45">
        <f t="shared" ca="1" si="4"/>
        <v>0</v>
      </c>
      <c r="AC45">
        <f t="shared" ca="1" si="5"/>
        <v>0</v>
      </c>
      <c r="AD45" s="83">
        <f ca="1"/>
        <v>45589</v>
      </c>
      <c r="AE45" s="55">
        <f t="shared" ca="1" si="20"/>
        <v>45589</v>
      </c>
      <c r="AF45" s="55">
        <f t="shared" ca="1" si="21"/>
        <v>38.975318369427171</v>
      </c>
      <c r="AG45" s="55">
        <f t="shared" ca="1" si="22"/>
        <v>2.5080977002442797</v>
      </c>
      <c r="AH45" s="55">
        <f t="shared" ca="1" si="23"/>
        <v>0</v>
      </c>
      <c r="AI45" s="55">
        <f t="shared" ca="1" si="17"/>
        <v>-1.4616396514164702</v>
      </c>
      <c r="AJ45" s="55">
        <f t="shared" ca="1" si="18"/>
        <v>23.13568330186429</v>
      </c>
      <c r="AK45" s="55">
        <f t="shared" ca="1" si="19"/>
        <v>-11.244320747751139</v>
      </c>
    </row>
    <row r="46" spans="1:37" s="55" customFormat="1" ht="15" thickBot="1">
      <c r="C46" s="129" t="s">
        <v>154</v>
      </c>
      <c r="D46" s="129"/>
      <c r="E46" s="129"/>
      <c r="F46" s="129"/>
      <c r="G46" s="129"/>
      <c r="H46" s="129"/>
      <c r="R46" s="83">
        <f ca="1"/>
        <v>45422</v>
      </c>
      <c r="S46" s="55">
        <f t="shared" ca="1" si="11"/>
        <v>45422</v>
      </c>
      <c r="T46" s="55">
        <f t="shared" ca="1" si="0"/>
        <v>78.265858583008352</v>
      </c>
      <c r="U46" s="55">
        <f t="shared" ca="1" si="1"/>
        <v>0</v>
      </c>
      <c r="V46" s="55">
        <f t="shared" ca="1" si="2"/>
        <v>0</v>
      </c>
      <c r="W46" s="55">
        <f t="shared" ca="1" si="12"/>
        <v>-12.689512670288567</v>
      </c>
      <c r="X46" s="55">
        <f t="shared" ca="1" si="13"/>
        <v>27.010929961527914</v>
      </c>
      <c r="Y46" s="55">
        <f t="shared" ca="1" si="14"/>
        <v>14.892483990752025</v>
      </c>
      <c r="Z46">
        <f t="shared" ca="1" si="3"/>
        <v>120</v>
      </c>
      <c r="AA46">
        <f t="shared" ca="1" si="15"/>
        <v>34.353301407023082</v>
      </c>
      <c r="AB46">
        <f t="shared" ca="1" si="4"/>
        <v>0</v>
      </c>
      <c r="AC46">
        <f t="shared" ca="1" si="5"/>
        <v>0</v>
      </c>
      <c r="AD46" s="83">
        <f ca="1"/>
        <v>45590</v>
      </c>
      <c r="AE46" s="55">
        <f t="shared" ca="1" si="20"/>
        <v>45590</v>
      </c>
      <c r="AF46" s="55">
        <f t="shared" ca="1" si="21"/>
        <v>39.586455427606964</v>
      </c>
      <c r="AG46" s="55">
        <f t="shared" ca="1" si="22"/>
        <v>2.6146366160159924</v>
      </c>
      <c r="AH46" s="55">
        <f t="shared" ca="1" si="23"/>
        <v>0</v>
      </c>
      <c r="AI46" s="55">
        <f t="shared" ca="1" si="17"/>
        <v>-1.4616396514164702</v>
      </c>
      <c r="AJ46" s="55">
        <f t="shared" ca="1" si="18"/>
        <v>24.027986510606809</v>
      </c>
      <c r="AK46" s="55">
        <f t="shared" ca="1" si="19"/>
        <v>-11.41894798254215</v>
      </c>
    </row>
    <row r="47" spans="1:37" s="55" customFormat="1">
      <c r="C47" s="61" t="s">
        <v>26</v>
      </c>
      <c r="D47" s="88" t="str">
        <f>IF(E47="","Fodder",E47)</f>
        <v>Green manure</v>
      </c>
      <c r="E47" s="87" t="s">
        <v>274</v>
      </c>
      <c r="F47" s="61" t="s">
        <v>134</v>
      </c>
      <c r="G47" s="88">
        <f>IF(H47="",VLOOKUP(PriorCropNameFull,CropCoefficients,23,FALSE),H47)</f>
        <v>1</v>
      </c>
      <c r="H47" s="89"/>
      <c r="R47" s="83">
        <f ca="1"/>
        <v>45423</v>
      </c>
      <c r="S47" s="55">
        <f t="shared" ca="1" si="11"/>
        <v>45423</v>
      </c>
      <c r="T47" s="55">
        <f t="shared" ca="1" si="0"/>
        <v>77.758617133033667</v>
      </c>
      <c r="U47" s="55">
        <f t="shared" ca="1" si="1"/>
        <v>0</v>
      </c>
      <c r="V47" s="55">
        <f t="shared" ca="1" si="2"/>
        <v>0</v>
      </c>
      <c r="W47" s="55">
        <f t="shared" ca="1" si="12"/>
        <v>-14.804997830899158</v>
      </c>
      <c r="X47" s="55">
        <f t="shared" ca="1" si="13"/>
        <v>27.941535708674976</v>
      </c>
      <c r="Y47" s="55">
        <f t="shared" ca="1" si="14"/>
        <v>15.57012195424087</v>
      </c>
      <c r="Z47">
        <f t="shared" ca="1" si="3"/>
        <v>120</v>
      </c>
      <c r="AA47">
        <f t="shared" ca="1" si="15"/>
        <v>39.29330140702308</v>
      </c>
      <c r="AB47">
        <f t="shared" ca="1" si="4"/>
        <v>0</v>
      </c>
      <c r="AC47">
        <f t="shared" ca="1" si="5"/>
        <v>0</v>
      </c>
      <c r="AD47" s="83">
        <f ca="1"/>
        <v>45591</v>
      </c>
      <c r="AE47" s="55">
        <f t="shared" ca="1" si="20"/>
        <v>45591</v>
      </c>
      <c r="AF47" s="55">
        <f t="shared" ca="1" si="21"/>
        <v>40.255851604826631</v>
      </c>
      <c r="AG47" s="55">
        <f t="shared" ca="1" si="22"/>
        <v>2.7267142540763079</v>
      </c>
      <c r="AH47" s="55">
        <f t="shared" ca="1" si="23"/>
        <v>0</v>
      </c>
      <c r="AI47" s="55">
        <f t="shared" ca="1" si="17"/>
        <v>-1.4616396514164702</v>
      </c>
      <c r="AJ47" s="55">
        <f t="shared" ca="1" si="18"/>
        <v>24.972478087419802</v>
      </c>
      <c r="AK47" s="55">
        <f t="shared" ca="1" si="19"/>
        <v>-11.581965744075163</v>
      </c>
    </row>
    <row r="48" spans="1:37" s="55" customFormat="1">
      <c r="C48" s="61" t="s">
        <v>95</v>
      </c>
      <c r="D48" s="84" t="str">
        <f>IF(E48="","Barley",E48)</f>
        <v>Turnip</v>
      </c>
      <c r="E48" s="66" t="s">
        <v>38</v>
      </c>
      <c r="F48" s="61" t="s">
        <v>136</v>
      </c>
      <c r="G48" s="84">
        <f>IF(H48="",VLOOKUP(PriorCropNameFull,CropCoefficients,22,FALSE),H48)</f>
        <v>0</v>
      </c>
      <c r="H48" s="72"/>
      <c r="R48" s="83">
        <f ca="1"/>
        <v>45424</v>
      </c>
      <c r="S48" s="55">
        <f t="shared" ca="1" si="11"/>
        <v>45424</v>
      </c>
      <c r="T48" s="55">
        <f t="shared" ca="1" si="0"/>
        <v>77.636441513100038</v>
      </c>
      <c r="U48" s="55">
        <f t="shared" ca="1" si="1"/>
        <v>0</v>
      </c>
      <c r="V48" s="55">
        <f t="shared" ca="1" si="2"/>
        <v>0</v>
      </c>
      <c r="W48" s="55">
        <f t="shared" ca="1" si="12"/>
        <v>-16.442564163916053</v>
      </c>
      <c r="X48" s="55">
        <f t="shared" ca="1" si="13"/>
        <v>28.818148447111113</v>
      </c>
      <c r="Y48" s="55">
        <f t="shared" ca="1" si="14"/>
        <v>16.208899928887991</v>
      </c>
      <c r="Z48">
        <f t="shared" ca="1" si="3"/>
        <v>120</v>
      </c>
      <c r="AA48">
        <f t="shared" ca="1" si="15"/>
        <v>43.123301407023078</v>
      </c>
      <c r="AB48">
        <f t="shared" ca="1" si="4"/>
        <v>0</v>
      </c>
      <c r="AC48">
        <f t="shared" ca="1" si="5"/>
        <v>0</v>
      </c>
      <c r="AD48" s="83">
        <f ca="1"/>
        <v>45592</v>
      </c>
      <c r="AE48" s="55">
        <f t="shared" ca="1" si="20"/>
        <v>45592</v>
      </c>
      <c r="AF48" s="55">
        <f t="shared" ca="1" si="21"/>
        <v>40.916640315137847</v>
      </c>
      <c r="AG48" s="55">
        <f t="shared" ca="1" si="22"/>
        <v>2.8395038008920275</v>
      </c>
      <c r="AH48" s="55">
        <f t="shared" ca="1" si="23"/>
        <v>0</v>
      </c>
      <c r="AI48" s="55">
        <f t="shared" ca="1" si="17"/>
        <v>-1.4616396514164702</v>
      </c>
      <c r="AJ48" s="55">
        <f t="shared" ca="1" si="18"/>
        <v>25.891805032697256</v>
      </c>
      <c r="AK48" s="55">
        <f t="shared" ca="1" si="19"/>
        <v>-11.727714432225682</v>
      </c>
    </row>
    <row r="49" spans="2:37" s="55" customFormat="1">
      <c r="C49" s="61" t="s">
        <v>96</v>
      </c>
      <c r="D49" s="84" t="str">
        <f>IF(E49="","General",E49)</f>
        <v>General</v>
      </c>
      <c r="E49" s="66" t="s">
        <v>29</v>
      </c>
      <c r="F49" s="61" t="s">
        <v>135</v>
      </c>
      <c r="G49" s="84">
        <f>IF(H49="",VLOOKUP(PriorCropNameFull,CropCoefficients,26,FALSE),H49)</f>
        <v>0</v>
      </c>
      <c r="H49" s="72"/>
      <c r="R49" s="83">
        <f ca="1"/>
        <v>45425</v>
      </c>
      <c r="S49" s="55">
        <f t="shared" ca="1" si="11"/>
        <v>45425</v>
      </c>
      <c r="T49" s="55">
        <f t="shared" ca="1" si="0"/>
        <v>77.584758249500197</v>
      </c>
      <c r="U49" s="55">
        <f t="shared" ca="1" si="1"/>
        <v>0</v>
      </c>
      <c r="V49" s="55">
        <f t="shared" ca="1" si="2"/>
        <v>0</v>
      </c>
      <c r="W49" s="55">
        <f t="shared" ca="1" si="12"/>
        <v>-18.014948597772594</v>
      </c>
      <c r="X49" s="55">
        <f t="shared" ca="1" si="13"/>
        <v>29.70336068953117</v>
      </c>
      <c r="Y49" s="55">
        <f t="shared" ca="1" si="14"/>
        <v>16.844388856724642</v>
      </c>
      <c r="Z49">
        <f t="shared" ca="1" si="3"/>
        <v>120</v>
      </c>
      <c r="AA49">
        <f t="shared" ca="1" si="15"/>
        <v>46.803301407023085</v>
      </c>
      <c r="AB49">
        <f t="shared" ca="1" si="4"/>
        <v>0</v>
      </c>
      <c r="AC49">
        <f t="shared" ca="1" si="5"/>
        <v>0</v>
      </c>
      <c r="AD49" s="83">
        <f ca="1"/>
        <v>45593</v>
      </c>
      <c r="AE49" s="55">
        <f t="shared" ca="1" si="20"/>
        <v>45593</v>
      </c>
      <c r="AF49" s="55">
        <f t="shared" ca="1" si="21"/>
        <v>41.485689839306666</v>
      </c>
      <c r="AG49" s="55">
        <f t="shared" ca="1" si="22"/>
        <v>2.961624997388157</v>
      </c>
      <c r="AH49" s="55">
        <f t="shared" ca="1" si="23"/>
        <v>0</v>
      </c>
      <c r="AI49" s="55">
        <f t="shared" ca="1" si="17"/>
        <v>-1.5936822076724197</v>
      </c>
      <c r="AJ49" s="55">
        <f t="shared" ca="1" si="18"/>
        <v>26.854276347618871</v>
      </c>
      <c r="AK49" s="55">
        <f t="shared" ca="1" si="19"/>
        <v>-11.866972470226397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151</v>
      </c>
      <c r="D50" s="65" t="str">
        <f>PriorCropName&amp;" "&amp;PriorCropType&amp;" "&amp;PriorCropVariety</f>
        <v>Turnip Green manure General</v>
      </c>
      <c r="F50" s="56"/>
      <c r="R50" s="83">
        <f ca="1"/>
        <v>45426</v>
      </c>
      <c r="S50" s="55">
        <f t="shared" ca="1" si="11"/>
        <v>45426</v>
      </c>
      <c r="T50" s="55">
        <f t="shared" ca="1" si="0"/>
        <v>75.970701523559029</v>
      </c>
      <c r="U50" s="55">
        <f t="shared" ca="1" si="1"/>
        <v>0</v>
      </c>
      <c r="V50" s="55">
        <f t="shared" ca="1" si="2"/>
        <v>0</v>
      </c>
      <c r="W50" s="55">
        <f t="shared" ca="1" si="12"/>
        <v>-21.19889170887155</v>
      </c>
      <c r="X50" s="55">
        <f t="shared" ca="1" si="13"/>
        <v>30.62590153070558</v>
      </c>
      <c r="Y50" s="55">
        <f t="shared" ca="1" si="14"/>
        <v>17.491734400708019</v>
      </c>
      <c r="Z50">
        <f t="shared" ca="1" si="3"/>
        <v>120</v>
      </c>
      <c r="AA50">
        <f t="shared" ca="1" si="15"/>
        <v>54.413301407023084</v>
      </c>
      <c r="AB50">
        <f t="shared" ca="1" si="4"/>
        <v>0</v>
      </c>
      <c r="AC50">
        <f t="shared" ca="1" si="5"/>
        <v>0</v>
      </c>
      <c r="AD50" s="83">
        <f ca="1"/>
        <v>45594</v>
      </c>
      <c r="AE50" s="55">
        <f t="shared" ca="1" si="20"/>
        <v>45594</v>
      </c>
      <c r="AF50" s="55">
        <f t="shared" ca="1" si="21"/>
        <v>42.134719724457995</v>
      </c>
      <c r="AG50" s="55">
        <f t="shared" ca="1" si="22"/>
        <v>3.0804636581886742</v>
      </c>
      <c r="AH50" s="55">
        <f t="shared" ca="1" si="23"/>
        <v>0</v>
      </c>
      <c r="AI50" s="55">
        <f t="shared" ca="1" si="17"/>
        <v>-1.5936822076724197</v>
      </c>
      <c r="AJ50" s="55">
        <f t="shared" ca="1" si="18"/>
        <v>27.742321913153166</v>
      </c>
      <c r="AK50" s="55">
        <f t="shared" ca="1" si="19"/>
        <v>-11.98714948980885</v>
      </c>
    </row>
    <row r="51" spans="2:37" s="55" customFormat="1">
      <c r="C51" s="61" t="s">
        <v>4</v>
      </c>
      <c r="D51" s="68">
        <f>IF(E51="",CurrentEstablishDate-60,E51)</f>
        <v>45269</v>
      </c>
      <c r="E51" s="67">
        <v>45269</v>
      </c>
      <c r="F51" s="61" t="s">
        <v>146</v>
      </c>
      <c r="G51" s="84" t="str">
        <f>IF(H51="",VLOOKUP(PriorCropNameFull,CropCoefficients,13,FALSE),H51)</f>
        <v>Seed</v>
      </c>
      <c r="H51" s="72"/>
      <c r="R51" s="83">
        <f ca="1"/>
        <v>45427</v>
      </c>
      <c r="S51" s="55">
        <f t="shared" ca="1" si="11"/>
        <v>45427</v>
      </c>
      <c r="T51" s="55">
        <f t="shared" ca="1" si="0"/>
        <v>75.939358052223241</v>
      </c>
      <c r="U51" s="55">
        <f t="shared" ca="1" si="1"/>
        <v>0</v>
      </c>
      <c r="V51" s="55">
        <f t="shared" ca="1" si="2"/>
        <v>0</v>
      </c>
      <c r="W51" s="55">
        <f t="shared" ca="1" si="12"/>
        <v>-22.717018527672085</v>
      </c>
      <c r="X51" s="55">
        <f t="shared" ca="1" si="13"/>
        <v>31.500956293702647</v>
      </c>
      <c r="Y51" s="55">
        <f t="shared" ca="1" si="14"/>
        <v>18.10346298517571</v>
      </c>
      <c r="Z51">
        <f t="shared" ca="1" si="3"/>
        <v>120</v>
      </c>
      <c r="AA51">
        <f t="shared" ca="1" si="15"/>
        <v>58.043301407023094</v>
      </c>
      <c r="AB51">
        <f t="shared" ca="1" si="4"/>
        <v>0</v>
      </c>
      <c r="AC51">
        <f t="shared" ca="1" si="5"/>
        <v>0</v>
      </c>
      <c r="AD51" s="83">
        <f ca="1"/>
        <v>45595</v>
      </c>
      <c r="AE51" s="55">
        <f t="shared" ca="1" si="20"/>
        <v>45595</v>
      </c>
      <c r="AF51" s="55">
        <f t="shared" ca="1" si="21"/>
        <v>42.763756237036219</v>
      </c>
      <c r="AG51" s="55">
        <f t="shared" ca="1" si="22"/>
        <v>3.1998531936754797</v>
      </c>
      <c r="AH51" s="55">
        <f t="shared" ca="1" si="23"/>
        <v>0</v>
      </c>
      <c r="AI51" s="55">
        <f t="shared" ca="1" si="17"/>
        <v>-1.5936822076724197</v>
      </c>
      <c r="AJ51" s="55">
        <f t="shared" ca="1" si="18"/>
        <v>28.598046413820661</v>
      </c>
      <c r="AK51" s="55">
        <f t="shared" ca="1" si="19"/>
        <v>-12.09444794241131</v>
      </c>
    </row>
    <row r="52" spans="2:37" s="55" customFormat="1">
      <c r="C52" s="61" t="s">
        <v>5</v>
      </c>
      <c r="D52" s="68">
        <f>IF(E52="",CurrentEstablishDate-15,E52)</f>
        <v>45394</v>
      </c>
      <c r="E52" s="67">
        <v>45394</v>
      </c>
      <c r="F52" s="61" t="s">
        <v>147</v>
      </c>
      <c r="G52" s="84" t="str">
        <f>IF(H52="",VLOOKUP(PriorCropNameFull,CropCoefficients,15,FALSE),H52)</f>
        <v>EarlyReproductive</v>
      </c>
      <c r="H52" s="72"/>
      <c r="R52" s="83">
        <f ca="1"/>
        <v>45428</v>
      </c>
      <c r="S52" s="55">
        <f t="shared" ca="1" si="11"/>
        <v>45428</v>
      </c>
      <c r="T52" s="55">
        <f t="shared" ca="1" si="0"/>
        <v>76.329863317163984</v>
      </c>
      <c r="U52" s="55">
        <f t="shared" ca="1" si="1"/>
        <v>0</v>
      </c>
      <c r="V52" s="55">
        <f t="shared" ca="1" si="2"/>
        <v>0</v>
      </c>
      <c r="W52" s="55">
        <f t="shared" ca="1" si="12"/>
        <v>-23.730103872974386</v>
      </c>
      <c r="X52" s="55">
        <f t="shared" ca="1" si="13"/>
        <v>32.327809824626634</v>
      </c>
      <c r="Y52" s="55">
        <f t="shared" ca="1" si="14"/>
        <v>18.680200064494777</v>
      </c>
      <c r="Z52">
        <f t="shared" ca="1" si="3"/>
        <v>120</v>
      </c>
      <c r="AA52">
        <f t="shared" ca="1" si="15"/>
        <v>60.453301407023091</v>
      </c>
      <c r="AB52">
        <f t="shared" ca="1" si="4"/>
        <v>0</v>
      </c>
      <c r="AC52">
        <f t="shared" ca="1" si="5"/>
        <v>0</v>
      </c>
      <c r="AD52" s="83">
        <f ca="1"/>
        <v>45596</v>
      </c>
      <c r="AE52" s="55">
        <f t="shared" ca="1" si="20"/>
        <v>45596</v>
      </c>
      <c r="AF52" s="55">
        <f t="shared" ca="1" si="21"/>
        <v>43.388646306391884</v>
      </c>
      <c r="AG52" s="55">
        <f t="shared" ca="1" si="22"/>
        <v>3.3223984227768431</v>
      </c>
      <c r="AH52" s="55">
        <f t="shared" ca="1" si="23"/>
        <v>0</v>
      </c>
      <c r="AI52" s="55">
        <f t="shared" ca="1" si="17"/>
        <v>-1.5936822076724197</v>
      </c>
      <c r="AJ52" s="55">
        <f t="shared" ca="1" si="18"/>
        <v>29.443062622460843</v>
      </c>
      <c r="AK52" s="55">
        <f t="shared" ca="1" si="19"/>
        <v>-12.192028852594465</v>
      </c>
    </row>
    <row r="53" spans="2:37" s="55" customFormat="1">
      <c r="C53" s="61" t="s">
        <v>137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45429</v>
      </c>
      <c r="S53" s="55">
        <f t="shared" ca="1" si="11"/>
        <v>45429</v>
      </c>
      <c r="T53" s="55">
        <f t="shared" ca="1" si="0"/>
        <v>77.105023566549463</v>
      </c>
      <c r="U53" s="55">
        <f t="shared" ca="1" si="1"/>
        <v>0</v>
      </c>
      <c r="V53" s="55">
        <f t="shared" ca="1" si="2"/>
        <v>0</v>
      </c>
      <c r="W53" s="55">
        <f t="shared" ca="1" si="12"/>
        <v>-24.277884779529789</v>
      </c>
      <c r="X53" s="55">
        <f t="shared" ca="1" si="13"/>
        <v>33.107425195352832</v>
      </c>
      <c r="Y53" s="55">
        <f t="shared" ca="1" si="14"/>
        <v>19.223525849709468</v>
      </c>
      <c r="Z53">
        <f t="shared" ca="1" si="3"/>
        <v>120</v>
      </c>
      <c r="AA53">
        <f t="shared" ca="1" si="15"/>
        <v>61.743301407023097</v>
      </c>
      <c r="AB53">
        <f t="shared" ca="1" si="4"/>
        <v>0</v>
      </c>
      <c r="AC53">
        <f t="shared" ca="1" si="5"/>
        <v>0</v>
      </c>
      <c r="AD53" s="83">
        <f ca="1"/>
        <v>45597</v>
      </c>
      <c r="AE53" s="55">
        <f t="shared" ca="1" si="20"/>
        <v>45597</v>
      </c>
      <c r="AF53" s="55">
        <f t="shared" ca="1" si="21"/>
        <v>44.041205834156287</v>
      </c>
      <c r="AG53" s="55">
        <f t="shared" ca="1" si="22"/>
        <v>3.4581871885036732</v>
      </c>
      <c r="AH53" s="55">
        <f t="shared" ca="1" si="23"/>
        <v>0</v>
      </c>
      <c r="AI53" s="55">
        <f t="shared" ca="1" si="17"/>
        <v>-1.5936822076724197</v>
      </c>
      <c r="AJ53" s="55">
        <f t="shared" ca="1" si="18"/>
        <v>30.325764231812322</v>
      </c>
      <c r="AK53" s="55">
        <f t="shared" ca="1" si="19"/>
        <v>-12.286382168454708</v>
      </c>
    </row>
    <row r="54" spans="2:37" s="54" customFormat="1">
      <c r="B54" s="55"/>
      <c r="C54" s="61" t="s">
        <v>101</v>
      </c>
      <c r="D54" s="70">
        <f>IF(E54="",VLOOKUP(PriorCropNameFull,CropCoefficients,17,FALSE),E54)</f>
        <v>8</v>
      </c>
      <c r="E54" s="69"/>
      <c r="F54" s="61" t="s">
        <v>149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45430</v>
      </c>
      <c r="S54" s="55">
        <f t="shared" ca="1" si="11"/>
        <v>45430</v>
      </c>
      <c r="T54" s="55">
        <f t="shared" ca="1" si="0"/>
        <v>78.001557379529103</v>
      </c>
      <c r="U54" s="55">
        <f t="shared" ca="1" si="1"/>
        <v>0</v>
      </c>
      <c r="V54" s="55">
        <f t="shared" ca="1" si="2"/>
        <v>0</v>
      </c>
      <c r="W54" s="55">
        <f t="shared" ca="1" si="12"/>
        <v>-24.728937263507063</v>
      </c>
      <c r="X54" s="55">
        <f t="shared" ca="1" si="13"/>
        <v>33.908967423635289</v>
      </c>
      <c r="Y54" s="55">
        <f t="shared" ca="1" si="14"/>
        <v>19.769569918383933</v>
      </c>
      <c r="Z54">
        <f t="shared" ca="1" si="3"/>
        <v>120</v>
      </c>
      <c r="AA54">
        <f t="shared" ca="1" si="15"/>
        <v>62.793301407023094</v>
      </c>
      <c r="AB54">
        <f t="shared" ca="1" si="4"/>
        <v>0</v>
      </c>
      <c r="AC54">
        <f t="shared" ca="1" si="5"/>
        <v>0</v>
      </c>
      <c r="AD54" s="83">
        <f ca="1"/>
        <v>45598</v>
      </c>
      <c r="AE54" s="55">
        <f t="shared" ca="1" si="20"/>
        <v>45598</v>
      </c>
      <c r="AF54" s="55">
        <f t="shared" ca="1" si="21"/>
        <v>44.792128742513732</v>
      </c>
      <c r="AG54" s="55">
        <f t="shared" ca="1" si="22"/>
        <v>3.6107060884665851</v>
      </c>
      <c r="AH54" s="55">
        <f t="shared" ca="1" si="23"/>
        <v>0</v>
      </c>
      <c r="AI54" s="55">
        <f t="shared" ca="1" si="17"/>
        <v>-1.5936822076724197</v>
      </c>
      <c r="AJ54" s="55">
        <f t="shared" ca="1" si="18"/>
        <v>31.320759321712703</v>
      </c>
      <c r="AK54" s="55">
        <f t="shared" ca="1" si="19"/>
        <v>-12.377935450034734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159</v>
      </c>
      <c r="G55" s="85" t="str">
        <f>IF(H55="","Full (Plough)",H55)</f>
        <v>Full (Plough)</v>
      </c>
      <c r="H55" s="72"/>
      <c r="R55" s="83">
        <f ca="1"/>
        <v>45431</v>
      </c>
      <c r="S55" s="55">
        <f t="shared" ca="1" si="11"/>
        <v>45431</v>
      </c>
      <c r="T55" s="55">
        <f t="shared" ca="1" si="0"/>
        <v>79.324729120106781</v>
      </c>
      <c r="U55" s="55">
        <f t="shared" ca="1" si="1"/>
        <v>0</v>
      </c>
      <c r="V55" s="55">
        <f t="shared" ca="1" si="2"/>
        <v>0</v>
      </c>
      <c r="W55" s="55">
        <f t="shared" ca="1" si="12"/>
        <v>-24.728937263507063</v>
      </c>
      <c r="X55" s="55">
        <f t="shared" ca="1" si="13"/>
        <v>34.700229772036884</v>
      </c>
      <c r="Y55" s="55">
        <f t="shared" ca="1" si="14"/>
        <v>20.301479310560023</v>
      </c>
      <c r="Z55">
        <f t="shared" ca="1" si="3"/>
        <v>118.34782608695652</v>
      </c>
      <c r="AA55">
        <f t="shared" ca="1" si="15"/>
        <v>62.793301407023094</v>
      </c>
      <c r="AB55">
        <f t="shared" ca="1" si="4"/>
        <v>0</v>
      </c>
      <c r="AC55">
        <f t="shared" ca="1" si="5"/>
        <v>0</v>
      </c>
      <c r="AD55" s="83">
        <f ca="1"/>
        <v>45599</v>
      </c>
      <c r="AE55" s="55">
        <f t="shared" ca="1" si="20"/>
        <v>45599</v>
      </c>
      <c r="AF55" s="55">
        <f t="shared" ca="1" si="21"/>
        <v>45.51483840636304</v>
      </c>
      <c r="AG55" s="55">
        <f t="shared" ca="1" si="22"/>
        <v>3.7645151376026007</v>
      </c>
      <c r="AH55" s="55">
        <f t="shared" ca="1" si="23"/>
        <v>0</v>
      </c>
      <c r="AI55" s="55">
        <f t="shared" ca="1" si="17"/>
        <v>-1.5936822076724197</v>
      </c>
      <c r="AJ55" s="55">
        <f t="shared" ca="1" si="18"/>
        <v>32.276640520916814</v>
      </c>
      <c r="AK55" s="55">
        <f t="shared" ca="1" si="19"/>
        <v>-12.457297936253518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Interface'!M5,0)&amp;" kg N/ha to the current crop"</f>
        <v>Previous crop residues are providing 41 kg N/ha to the current crop</v>
      </c>
      <c r="R56" s="83">
        <f ca="1"/>
        <v>45432</v>
      </c>
      <c r="S56" s="55">
        <f t="shared" ca="1" si="11"/>
        <v>45432</v>
      </c>
      <c r="T56" s="55">
        <f t="shared" ca="1" si="0"/>
        <v>80.620590489551248</v>
      </c>
      <c r="U56" s="55">
        <f t="shared" ca="1" si="1"/>
        <v>0</v>
      </c>
      <c r="V56" s="55">
        <f t="shared" ca="1" si="2"/>
        <v>0</v>
      </c>
      <c r="W56" s="55">
        <f t="shared" ca="1" si="12"/>
        <v>-24.730977077901173</v>
      </c>
      <c r="X56" s="55">
        <f t="shared" ca="1" si="13"/>
        <v>35.480569912311822</v>
      </c>
      <c r="Y56" s="55">
        <f t="shared" ca="1" si="14"/>
        <v>20.819040354123661</v>
      </c>
      <c r="Z56">
        <f t="shared" ca="1" si="3"/>
        <v>120</v>
      </c>
      <c r="AA56">
        <f t="shared" ca="1" si="15"/>
        <v>62.797895609921639</v>
      </c>
      <c r="AB56">
        <f t="shared" ca="1" si="4"/>
        <v>0</v>
      </c>
      <c r="AC56">
        <f t="shared" ca="1" si="5"/>
        <v>0</v>
      </c>
      <c r="AD56" s="83">
        <f ca="1"/>
        <v>45600</v>
      </c>
      <c r="AE56" s="55">
        <f t="shared" ca="1" si="20"/>
        <v>45600</v>
      </c>
      <c r="AF56" s="55">
        <f t="shared" ca="1" si="21"/>
        <v>46.171622076323082</v>
      </c>
      <c r="AG56" s="55">
        <f t="shared" ca="1" si="22"/>
        <v>3.9181644441932426</v>
      </c>
      <c r="AH56" s="55">
        <f t="shared" ca="1" si="23"/>
        <v>0</v>
      </c>
      <c r="AI56" s="55">
        <f t="shared" ca="1" si="17"/>
        <v>-1.5936822076724197</v>
      </c>
      <c r="AJ56" s="55">
        <f t="shared" ca="1" si="18"/>
        <v>33.155237304906009</v>
      </c>
      <c r="AK56" s="55">
        <f t="shared" ca="1" si="19"/>
        <v>-12.525461743692027</v>
      </c>
    </row>
    <row r="57" spans="2:37" s="55" customFormat="1" ht="15" thickBot="1">
      <c r="C57" s="129" t="s">
        <v>155</v>
      </c>
      <c r="D57" s="129"/>
      <c r="E57" s="129"/>
      <c r="F57" s="129"/>
      <c r="G57" s="129"/>
      <c r="H57" s="129"/>
      <c r="R57" s="83">
        <f ca="1"/>
        <v>45433</v>
      </c>
      <c r="S57" s="55">
        <f t="shared" ca="1" si="11"/>
        <v>45433</v>
      </c>
      <c r="T57" s="55">
        <f t="shared" ca="1" si="0"/>
        <v>80.950197431170523</v>
      </c>
      <c r="U57" s="55">
        <f t="shared" ca="1" si="1"/>
        <v>0</v>
      </c>
      <c r="V57" s="55">
        <f t="shared" ca="1" si="2"/>
        <v>0</v>
      </c>
      <c r="W57" s="55">
        <f t="shared" ca="1" si="12"/>
        <v>-25.542356158240271</v>
      </c>
      <c r="X57" s="55">
        <f t="shared" ca="1" si="13"/>
        <v>36.160858534562749</v>
      </c>
      <c r="Y57" s="55">
        <f t="shared" ca="1" si="14"/>
        <v>21.279737753831107</v>
      </c>
      <c r="Z57">
        <f t="shared" ca="1" si="3"/>
        <v>120</v>
      </c>
      <c r="AA57">
        <f t="shared" ca="1" si="15"/>
        <v>64.617895609921646</v>
      </c>
      <c r="AB57">
        <f t="shared" ca="1" si="4"/>
        <v>0</v>
      </c>
      <c r="AC57">
        <f t="shared" ca="1" si="5"/>
        <v>0</v>
      </c>
      <c r="AD57" s="83">
        <f ca="1"/>
        <v>45601</v>
      </c>
      <c r="AE57" s="55">
        <f t="shared" ca="1" si="20"/>
        <v>45601</v>
      </c>
      <c r="AF57" s="55">
        <f t="shared" ca="1" si="21"/>
        <v>46.778986856376029</v>
      </c>
      <c r="AG57" s="55">
        <f t="shared" ca="1" si="22"/>
        <v>4.0758874545655495</v>
      </c>
      <c r="AH57" s="55">
        <f t="shared" ca="1" si="23"/>
        <v>0</v>
      </c>
      <c r="AI57" s="55">
        <f t="shared" ca="1" si="17"/>
        <v>-1.5936822076724197</v>
      </c>
      <c r="AJ57" s="55">
        <f t="shared" ca="1" si="18"/>
        <v>33.980185064911147</v>
      </c>
      <c r="AK57" s="55">
        <f t="shared" ca="1" si="19"/>
        <v>-12.58532171327191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134</v>
      </c>
      <c r="G58" s="88">
        <f>IF(H58="",VLOOKUP(FollowingCropFullName,CropCoefficients,23,FALSE),H58)</f>
        <v>0</v>
      </c>
      <c r="H58" s="89"/>
      <c r="R58" s="83">
        <f ca="1"/>
        <v>45434</v>
      </c>
      <c r="S58" s="55">
        <f t="shared" ca="1" si="11"/>
        <v>45434</v>
      </c>
      <c r="T58" s="55">
        <f t="shared" ca="1" si="0"/>
        <v>81.312025928408275</v>
      </c>
      <c r="U58" s="55">
        <f t="shared" ca="1" si="1"/>
        <v>0</v>
      </c>
      <c r="V58" s="55">
        <f t="shared" ca="1" si="2"/>
        <v>0</v>
      </c>
      <c r="W58" s="55">
        <f t="shared" ca="1" si="12"/>
        <v>-26.370796074583325</v>
      </c>
      <c r="X58" s="55">
        <f t="shared" ca="1" si="13"/>
        <v>36.879715952141417</v>
      </c>
      <c r="Y58" s="55">
        <f t="shared" ca="1" si="14"/>
        <v>21.751148749833241</v>
      </c>
      <c r="Z58">
        <f t="shared" ca="1" si="3"/>
        <v>120</v>
      </c>
      <c r="AA58">
        <f t="shared" ca="1" si="15"/>
        <v>66.467895609921641</v>
      </c>
      <c r="AB58">
        <f t="shared" ca="1" si="4"/>
        <v>0</v>
      </c>
      <c r="AC58">
        <f t="shared" ca="1" si="5"/>
        <v>0</v>
      </c>
      <c r="AD58" s="83">
        <f ca="1"/>
        <v>45602</v>
      </c>
      <c r="AE58" s="55">
        <f t="shared" ca="1" si="20"/>
        <v>45602</v>
      </c>
      <c r="AF58" s="55">
        <f t="shared" ca="1" si="21"/>
        <v>47.391056622926648</v>
      </c>
      <c r="AG58" s="55">
        <f t="shared" ca="1" si="22"/>
        <v>4.2432680131583425</v>
      </c>
      <c r="AH58" s="55">
        <f t="shared" ca="1" si="23"/>
        <v>0</v>
      </c>
      <c r="AI58" s="55">
        <f t="shared" ca="1" si="17"/>
        <v>-1.5936822076724197</v>
      </c>
      <c r="AJ58" s="55">
        <f t="shared" ca="1" si="18"/>
        <v>34.813314069320974</v>
      </c>
      <c r="AK58" s="55">
        <f t="shared" ca="1" si="19"/>
        <v>-12.639000392538328</v>
      </c>
    </row>
    <row r="59" spans="2:37" s="55" customFormat="1">
      <c r="C59" s="61" t="s">
        <v>95</v>
      </c>
      <c r="D59" s="84" t="str">
        <f>IF(E59="","Oat",E59)</f>
        <v>Oat</v>
      </c>
      <c r="E59" s="66"/>
      <c r="F59" s="61" t="s">
        <v>136</v>
      </c>
      <c r="G59" s="84">
        <f>IF(H59="",VLOOKUP(FollowingCropFullName,CropCoefficients,22,FALSE),H59)</f>
        <v>0</v>
      </c>
      <c r="H59" s="72"/>
      <c r="R59" s="83">
        <f ca="1"/>
        <v>45435</v>
      </c>
      <c r="S59" s="55">
        <f t="shared" ca="1" si="11"/>
        <v>45435</v>
      </c>
      <c r="T59" s="55">
        <f t="shared" ca="1" si="0"/>
        <v>80.45381491883694</v>
      </c>
      <c r="U59" s="55">
        <f t="shared" ca="1" si="1"/>
        <v>0</v>
      </c>
      <c r="V59" s="55">
        <f t="shared" ca="1" si="2"/>
        <v>0</v>
      </c>
      <c r="W59" s="55">
        <f t="shared" ca="1" si="12"/>
        <v>-28.435544124703277</v>
      </c>
      <c r="X59" s="55">
        <f t="shared" ca="1" si="13"/>
        <v>37.615217312928735</v>
      </c>
      <c r="Y59" s="55">
        <f t="shared" ca="1" si="14"/>
        <v>22.222184429594556</v>
      </c>
      <c r="Z59">
        <f t="shared" ca="1" si="3"/>
        <v>120</v>
      </c>
      <c r="AA59">
        <f t="shared" ca="1" si="15"/>
        <v>71.127895609921651</v>
      </c>
      <c r="AB59">
        <f t="shared" ca="1" si="4"/>
        <v>0</v>
      </c>
      <c r="AC59">
        <f t="shared" ca="1" si="5"/>
        <v>0</v>
      </c>
      <c r="AD59" s="83">
        <f ca="1"/>
        <v>45603</v>
      </c>
      <c r="AE59" s="55">
        <f t="shared" ca="1" si="20"/>
        <v>45603</v>
      </c>
      <c r="AF59" s="55">
        <f t="shared" ca="1" si="21"/>
        <v>48.030784678938375</v>
      </c>
      <c r="AG59" s="55">
        <f t="shared" ca="1" si="22"/>
        <v>4.4233396942084466</v>
      </c>
      <c r="AH59" s="55">
        <f t="shared" ca="1" si="23"/>
        <v>0</v>
      </c>
      <c r="AI59" s="55">
        <f t="shared" ca="1" si="17"/>
        <v>-1.5936822076724197</v>
      </c>
      <c r="AJ59" s="55">
        <f t="shared" ca="1" si="18"/>
        <v>35.681130114139172</v>
      </c>
      <c r="AK59" s="55">
        <f t="shared" ca="1" si="19"/>
        <v>-12.687016700294699</v>
      </c>
    </row>
    <row r="60" spans="2:37" s="55" customFormat="1">
      <c r="C60" s="61" t="s">
        <v>96</v>
      </c>
      <c r="D60" s="84" t="str">
        <f>IF(E60="","General",E60)</f>
        <v>General</v>
      </c>
      <c r="E60" s="66"/>
      <c r="F60" s="61" t="s">
        <v>135</v>
      </c>
      <c r="G60" s="84">
        <f>IF(H60="",VLOOKUP(FollowingCropFullName,CropCoefficients,26,FALSE),H60)</f>
        <v>0</v>
      </c>
      <c r="H60" s="72"/>
      <c r="R60" s="83">
        <f ca="1"/>
        <v>45436</v>
      </c>
      <c r="S60" s="55">
        <f t="shared" ca="1" si="11"/>
        <v>45436</v>
      </c>
      <c r="T60" s="55">
        <f t="shared" ca="1" si="0"/>
        <v>80.662326477325195</v>
      </c>
      <c r="U60" s="55">
        <f t="shared" ca="1" si="1"/>
        <v>2.53772215382789</v>
      </c>
      <c r="V60" s="55">
        <f t="shared" ca="1" si="2"/>
        <v>0</v>
      </c>
      <c r="W60" s="55">
        <f t="shared" ca="1" si="12"/>
        <v>-29.403959650120907</v>
      </c>
      <c r="X60" s="55">
        <f t="shared" ca="1" si="13"/>
        <v>38.336142076303659</v>
      </c>
      <c r="Y60" s="55">
        <f t="shared" ca="1" si="14"/>
        <v>22.678186750125512</v>
      </c>
      <c r="Z60">
        <f t="shared" ca="1" si="3"/>
        <v>120</v>
      </c>
      <c r="AA60">
        <f t="shared" ca="1" si="15"/>
        <v>73.307895609921658</v>
      </c>
      <c r="AB60">
        <f t="shared" ca="1" si="4"/>
        <v>0</v>
      </c>
      <c r="AC60">
        <f t="shared" ca="1" si="5"/>
        <v>9.6360663176434016E-3</v>
      </c>
      <c r="AD60" s="83">
        <f ca="1"/>
        <v>45604</v>
      </c>
      <c r="AE60" s="55">
        <f t="shared" ca="1" si="20"/>
        <v>45604</v>
      </c>
      <c r="AF60" s="55">
        <f t="shared" ca="1" si="21"/>
        <v>48.691473953655525</v>
      </c>
      <c r="AG60" s="55">
        <f t="shared" ca="1" si="22"/>
        <v>4.6148930954488918</v>
      </c>
      <c r="AH60" s="55">
        <f t="shared" ca="1" si="23"/>
        <v>0</v>
      </c>
      <c r="AI60" s="55">
        <f t="shared" ca="1" si="17"/>
        <v>-1.5936822076724197</v>
      </c>
      <c r="AJ60" s="55">
        <f t="shared" ca="1" si="18"/>
        <v>36.575038903291627</v>
      </c>
      <c r="AK60" s="55">
        <f t="shared" ca="1" si="19"/>
        <v>-12.728682813489556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151</v>
      </c>
      <c r="D61" s="65" t="str">
        <f>FollowingCropName&amp;" "&amp;FollowingCropType&amp;" "&amp;FollowingCropVariety</f>
        <v>Oat Fodder General</v>
      </c>
      <c r="F61" s="56"/>
      <c r="R61" s="83">
        <f ca="1"/>
        <v>45437</v>
      </c>
      <c r="S61" s="55">
        <f t="shared" ca="1" si="11"/>
        <v>45437</v>
      </c>
      <c r="T61" s="55">
        <f t="shared" ca="1" si="0"/>
        <v>79.284214133109998</v>
      </c>
      <c r="U61" s="55">
        <f t="shared" ca="1" si="1"/>
        <v>2.8903893225774602</v>
      </c>
      <c r="V61" s="55">
        <f t="shared" ca="1" si="2"/>
        <v>0</v>
      </c>
      <c r="W61" s="55">
        <f t="shared" ca="1" si="12"/>
        <v>-31.639544679358284</v>
      </c>
      <c r="X61" s="55">
        <f t="shared" ca="1" si="13"/>
        <v>39.085697400122797</v>
      </c>
      <c r="Y61" s="55">
        <f t="shared" ca="1" si="14"/>
        <v>23.138771280078124</v>
      </c>
      <c r="Z61">
        <f t="shared" ca="1" si="3"/>
        <v>120</v>
      </c>
      <c r="AA61">
        <f t="shared" ca="1" si="15"/>
        <v>78.427895609921663</v>
      </c>
      <c r="AB61">
        <f t="shared" ca="1" si="4"/>
        <v>0</v>
      </c>
      <c r="AC61">
        <f t="shared" ca="1" si="5"/>
        <v>1.4216832801880543E-2</v>
      </c>
      <c r="AD61" s="83">
        <f ca="1"/>
        <v>45605</v>
      </c>
      <c r="AE61" s="55">
        <f t="shared" ca="1" si="20"/>
        <v>45605</v>
      </c>
      <c r="AF61" s="55">
        <f t="shared" ca="1" si="21"/>
        <v>49.316833831664511</v>
      </c>
      <c r="AG61" s="55">
        <f t="shared" ca="1" si="22"/>
        <v>4.8075082343699194</v>
      </c>
      <c r="AH61" s="55">
        <f t="shared" ca="1" si="23"/>
        <v>0</v>
      </c>
      <c r="AI61" s="55">
        <f t="shared" ca="1" si="17"/>
        <v>-1.5936822076724197</v>
      </c>
      <c r="AJ61" s="55">
        <f t="shared" ca="1" si="18"/>
        <v>37.426609823911512</v>
      </c>
      <c r="AK61" s="55">
        <f t="shared" ca="1" si="19"/>
        <v>-12.762278717179427</v>
      </c>
    </row>
    <row r="62" spans="2:37" s="55" customFormat="1">
      <c r="C62" s="61" t="s">
        <v>4</v>
      </c>
      <c r="D62" s="68">
        <f ca="1">IF(E62="",CurrentHarvestDate+15,E62)</f>
        <v>45576</v>
      </c>
      <c r="E62" s="67"/>
      <c r="F62" s="61" t="s">
        <v>146</v>
      </c>
      <c r="G62" s="84" t="str">
        <f>IF(H62="",VLOOKUP(FollowingCropFullName,CropCoefficients,13,FALSE),H62)</f>
        <v>Seed</v>
      </c>
      <c r="H62" s="72"/>
      <c r="R62" s="83">
        <f ca="1"/>
        <v>45438</v>
      </c>
      <c r="S62" s="55">
        <f t="shared" ca="1" si="11"/>
        <v>45438</v>
      </c>
      <c r="T62" s="55">
        <f t="shared" ca="1" si="0"/>
        <v>79.318538480775715</v>
      </c>
      <c r="U62" s="55">
        <f t="shared" ca="1" si="1"/>
        <v>3.2496460253822277</v>
      </c>
      <c r="V62" s="55">
        <f t="shared" ca="1" si="2"/>
        <v>0</v>
      </c>
      <c r="W62" s="55">
        <f t="shared" ca="1" si="12"/>
        <v>-32.386518393920717</v>
      </c>
      <c r="X62" s="55">
        <f t="shared" ca="1" si="13"/>
        <v>39.792910665571306</v>
      </c>
      <c r="Y62" s="55">
        <f t="shared" ca="1" si="14"/>
        <v>23.57211277966254</v>
      </c>
      <c r="Z62">
        <f t="shared" ca="1" si="3"/>
        <v>120</v>
      </c>
      <c r="AA62">
        <f t="shared" ca="1" si="15"/>
        <v>80.137895609921657</v>
      </c>
      <c r="AB62">
        <f t="shared" ca="1" si="4"/>
        <v>0</v>
      </c>
      <c r="AC62">
        <f t="shared" ca="1" si="5"/>
        <v>2.0147822467962581E-2</v>
      </c>
      <c r="AD62" s="83">
        <f ca="1"/>
        <v>45606</v>
      </c>
      <c r="AE62" s="55">
        <f t="shared" ca="1" si="20"/>
        <v>45606</v>
      </c>
      <c r="AF62" s="55">
        <f t="shared" ca="1" si="21"/>
        <v>49.975894304431726</v>
      </c>
      <c r="AG62" s="55">
        <f t="shared" ca="1" si="22"/>
        <v>5.0114175887170704</v>
      </c>
      <c r="AH62" s="55">
        <f t="shared" ca="1" si="23"/>
        <v>0</v>
      </c>
      <c r="AI62" s="55">
        <f t="shared" ca="1" si="17"/>
        <v>-1.5936822076724197</v>
      </c>
      <c r="AJ62" s="55">
        <f t="shared" ca="1" si="18"/>
        <v>38.317332050292897</v>
      </c>
      <c r="AK62" s="55">
        <f t="shared" ca="1" si="19"/>
        <v>-12.790031116446443</v>
      </c>
    </row>
    <row r="63" spans="2:37" s="55" customFormat="1">
      <c r="C63" s="61" t="s">
        <v>5</v>
      </c>
      <c r="D63" s="68">
        <f ca="1">IF(E63="",FollowingEstablishDate+120,E63)</f>
        <v>45696</v>
      </c>
      <c r="E63" s="67"/>
      <c r="F63" s="61" t="s">
        <v>147</v>
      </c>
      <c r="G63" s="84" t="str">
        <f>IF(H63="",VLOOKUP(FollowingCropFullName,CropCoefficients,15,FALSE),H63)</f>
        <v>EarlyReproductive</v>
      </c>
      <c r="H63" s="72"/>
      <c r="R63" s="83">
        <f ca="1"/>
        <v>45439</v>
      </c>
      <c r="S63" s="55">
        <f t="shared" ca="1" si="11"/>
        <v>45439</v>
      </c>
      <c r="T63" s="55">
        <f t="shared" ca="1" si="0"/>
        <v>79.269165401823514</v>
      </c>
      <c r="U63" s="55">
        <f t="shared" ca="1" si="1"/>
        <v>3.6308897482653881</v>
      </c>
      <c r="V63" s="55">
        <f t="shared" ca="1" si="2"/>
        <v>0</v>
      </c>
      <c r="W63" s="55">
        <f t="shared" ca="1" si="12"/>
        <v>-33.159220432315891</v>
      </c>
      <c r="X63" s="55">
        <f t="shared" ca="1" si="13"/>
        <v>40.480537495147104</v>
      </c>
      <c r="Y63" s="55">
        <f t="shared" ca="1" si="14"/>
        <v>23.989058632412856</v>
      </c>
      <c r="Z63">
        <f t="shared" ca="1" si="3"/>
        <v>120</v>
      </c>
      <c r="AA63">
        <f t="shared" ca="1" si="15"/>
        <v>81.907895609921667</v>
      </c>
      <c r="AB63">
        <f t="shared" ca="1" si="4"/>
        <v>0</v>
      </c>
      <c r="AC63">
        <f t="shared" ca="1" si="5"/>
        <v>2.7975039775895962E-2</v>
      </c>
      <c r="AD63" s="83">
        <f ca="1"/>
        <v>45607</v>
      </c>
      <c r="AE63" s="55">
        <f t="shared" ca="1" si="20"/>
        <v>45607</v>
      </c>
      <c r="AF63" s="55">
        <f t="shared" ca="1" si="21"/>
        <v>50.590297937766337</v>
      </c>
      <c r="AG63" s="55">
        <f t="shared" ca="1" si="22"/>
        <v>5.2106876307332302</v>
      </c>
      <c r="AH63" s="55">
        <f t="shared" ca="1" si="23"/>
        <v>0</v>
      </c>
      <c r="AI63" s="55">
        <f t="shared" ca="1" si="17"/>
        <v>-1.5936822076724197</v>
      </c>
      <c r="AJ63" s="55">
        <f t="shared" ca="1" si="18"/>
        <v>39.151584280376028</v>
      </c>
      <c r="AK63" s="55">
        <f t="shared" ca="1" si="19"/>
        <v>-12.810609671178799</v>
      </c>
    </row>
    <row r="64" spans="2:37" s="54" customFormat="1">
      <c r="B64" s="55"/>
      <c r="C64" s="61" t="s">
        <v>137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45440</v>
      </c>
      <c r="S64" s="55">
        <f t="shared" ca="1" si="11"/>
        <v>45440</v>
      </c>
      <c r="T64" s="55">
        <f t="shared" ca="1" si="0"/>
        <v>79.015161115506444</v>
      </c>
      <c r="U64" s="55">
        <f t="shared" ca="1" si="1"/>
        <v>4.1007868234890879</v>
      </c>
      <c r="V64" s="55">
        <f t="shared" ca="1" si="2"/>
        <v>0</v>
      </c>
      <c r="W64" s="55">
        <f t="shared" ca="1" si="12"/>
        <v>-34.090454186216327</v>
      </c>
      <c r="X64" s="55">
        <f t="shared" ca="1" si="13"/>
        <v>41.203533357284073</v>
      </c>
      <c r="Y64" s="55">
        <f t="shared" ca="1" si="14"/>
        <v>24.413189313082967</v>
      </c>
      <c r="Z64">
        <f t="shared" ca="1" si="3"/>
        <v>120</v>
      </c>
      <c r="AA64">
        <f t="shared" ca="1" si="15"/>
        <v>84.047895609921682</v>
      </c>
      <c r="AB64">
        <f t="shared" ca="1" si="4"/>
        <v>0</v>
      </c>
      <c r="AC64">
        <f t="shared" ca="1" si="5"/>
        <v>3.9974507900826017E-2</v>
      </c>
      <c r="AD64" s="83">
        <f ca="1"/>
        <v>45608</v>
      </c>
      <c r="AE64" s="55">
        <f t="shared" ca="1" si="20"/>
        <v>45608</v>
      </c>
      <c r="AF64" s="55">
        <f t="shared" ca="1" si="21"/>
        <v>51.147488785511342</v>
      </c>
      <c r="AG64" s="55">
        <f t="shared" ca="1" si="22"/>
        <v>5.4094500383727686</v>
      </c>
      <c r="AH64" s="55">
        <f t="shared" ca="1" si="23"/>
        <v>0</v>
      </c>
      <c r="AI64" s="55">
        <f t="shared" ca="1" si="17"/>
        <v>-1.5936822076724197</v>
      </c>
      <c r="AJ64" s="55">
        <f t="shared" ca="1" si="18"/>
        <v>39.922494186480733</v>
      </c>
      <c r="AK64" s="55">
        <f t="shared" ca="1" si="19"/>
        <v>-12.825566321898968</v>
      </c>
    </row>
    <row r="65" spans="2:37" s="55" customFormat="1">
      <c r="C65" s="61" t="s">
        <v>101</v>
      </c>
      <c r="D65" s="70">
        <f>IF(E65="",VLOOKUP(FollowingCropFullName,CropCoefficients,17,FALSE),E65)</f>
        <v>10</v>
      </c>
      <c r="E65" s="69"/>
      <c r="F65" s="61" t="s">
        <v>149</v>
      </c>
      <c r="G65" s="85" t="str">
        <f>IF(H65="","None removed",H65)</f>
        <v>None removed</v>
      </c>
      <c r="H65" s="72"/>
      <c r="R65" s="83">
        <f ca="1"/>
        <v>45441</v>
      </c>
      <c r="S65" s="55">
        <f t="shared" ca="1" si="11"/>
        <v>45441</v>
      </c>
      <c r="T65" s="55">
        <f t="shared" ca="1" si="0"/>
        <v>79.250663115042173</v>
      </c>
      <c r="U65" s="55">
        <f t="shared" ca="1" si="1"/>
        <v>4.5214279190959328</v>
      </c>
      <c r="V65" s="55">
        <f t="shared" ca="1" si="2"/>
        <v>0</v>
      </c>
      <c r="W65" s="55">
        <f t="shared" ca="1" si="12"/>
        <v>-34.465803703694519</v>
      </c>
      <c r="X65" s="55">
        <f t="shared" ca="1" si="13"/>
        <v>41.850451039766916</v>
      </c>
      <c r="Y65" s="55">
        <f t="shared" ca="1" si="14"/>
        <v>24.797764243220886</v>
      </c>
      <c r="Z65">
        <f t="shared" ca="1" si="3"/>
        <v>120</v>
      </c>
      <c r="AA65">
        <f t="shared" ca="1" si="15"/>
        <v>84.907895609921667</v>
      </c>
      <c r="AB65">
        <f t="shared" ca="1" si="4"/>
        <v>0</v>
      </c>
      <c r="AC65">
        <f t="shared" ca="1" si="5"/>
        <v>5.305240615613268E-2</v>
      </c>
      <c r="AD65" s="83">
        <f ca="1"/>
        <v>45609</v>
      </c>
      <c r="AE65" s="55">
        <f t="shared" ca="1" si="20"/>
        <v>45609</v>
      </c>
      <c r="AF65" s="55">
        <f t="shared" ca="1" si="21"/>
        <v>51.680194327926571</v>
      </c>
      <c r="AG65" s="55">
        <f t="shared" ca="1" si="22"/>
        <v>5.6162651774130641</v>
      </c>
      <c r="AH65" s="55">
        <f t="shared" ca="1" si="23"/>
        <v>0</v>
      </c>
      <c r="AI65" s="55">
        <f t="shared" ca="1" si="17"/>
        <v>-1.5936822076724197</v>
      </c>
      <c r="AJ65" s="55">
        <f t="shared" ca="1" si="18"/>
        <v>40.672405429857434</v>
      </c>
      <c r="AK65" s="55">
        <f t="shared" ca="1" si="19"/>
        <v>-12.835956883820145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159</v>
      </c>
      <c r="G66" s="85" t="str">
        <f>IF(H66="","Full (Plough)",H66)</f>
        <v>Full (Plough)</v>
      </c>
      <c r="H66" s="72"/>
      <c r="R66" s="83">
        <f ca="1"/>
        <v>45442</v>
      </c>
      <c r="S66" s="55">
        <f t="shared" ca="1" si="11"/>
        <v>45442</v>
      </c>
      <c r="T66" s="55">
        <f t="shared" ca="1" si="0"/>
        <v>78.259585970421881</v>
      </c>
      <c r="U66" s="55">
        <f t="shared" ca="1" si="1"/>
        <v>4.9908261653183521</v>
      </c>
      <c r="V66" s="55">
        <f t="shared" ca="1" si="2"/>
        <v>0</v>
      </c>
      <c r="W66" s="55">
        <f t="shared" ca="1" si="12"/>
        <v>-36.017385060325495</v>
      </c>
      <c r="X66" s="55">
        <f t="shared" ca="1" si="13"/>
        <v>42.501239245467723</v>
      </c>
      <c r="Y66" s="55">
        <f t="shared" ca="1" si="14"/>
        <v>25.176878495753193</v>
      </c>
      <c r="Z66">
        <f t="shared" ca="1" si="3"/>
        <v>120</v>
      </c>
      <c r="AA66">
        <f t="shared" ca="1" si="15"/>
        <v>88.507895609921675</v>
      </c>
      <c r="AB66">
        <f t="shared" ca="1" si="4"/>
        <v>0</v>
      </c>
      <c r="AC66">
        <f t="shared" ca="1" si="5"/>
        <v>7.0345885409351855E-2</v>
      </c>
      <c r="AD66" s="83">
        <f ca="1"/>
        <v>45610</v>
      </c>
      <c r="AE66" s="55">
        <f t="shared" ca="1" si="20"/>
        <v>45610</v>
      </c>
      <c r="AF66" s="55">
        <f t="shared" ca="1" si="21"/>
        <v>52.240398199446524</v>
      </c>
      <c r="AG66" s="55">
        <f t="shared" ca="1" si="22"/>
        <v>5.8458864249495308</v>
      </c>
      <c r="AH66" s="55">
        <f t="shared" ca="1" si="23"/>
        <v>0</v>
      </c>
      <c r="AI66" s="55">
        <f t="shared" ca="1" si="17"/>
        <v>-1.5936822076724197</v>
      </c>
      <c r="AJ66" s="55">
        <f t="shared" ca="1" si="18"/>
        <v>41.468461458195335</v>
      </c>
      <c r="AK66" s="55">
        <f t="shared" ca="1" si="19"/>
        <v>-12.84218779310163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Interface'!L5,0)&amp;" kg N/ha"</f>
        <v>Following crop will take up 152 kg N/ha</v>
      </c>
      <c r="R67" s="83">
        <f ca="1"/>
        <v>45443</v>
      </c>
      <c r="S67" s="55">
        <f t="shared" ca="1" si="11"/>
        <v>45443</v>
      </c>
      <c r="T67" s="55">
        <f t="shared" ca="1" si="0"/>
        <v>78.18562522010636</v>
      </c>
      <c r="U67" s="55">
        <f t="shared" ca="1" si="1"/>
        <v>5.5404390039039546</v>
      </c>
      <c r="V67" s="55">
        <f t="shared" ca="1" si="2"/>
        <v>0</v>
      </c>
      <c r="W67" s="55">
        <f t="shared" ca="1" si="12"/>
        <v>-36.590066436937697</v>
      </c>
      <c r="X67" s="55">
        <f t="shared" ca="1" si="13"/>
        <v>43.170285286284049</v>
      </c>
      <c r="Y67" s="55">
        <f t="shared" ca="1" si="14"/>
        <v>25.556165919819154</v>
      </c>
      <c r="Z67">
        <f t="shared" ca="1" si="3"/>
        <v>120</v>
      </c>
      <c r="AA67">
        <f t="shared" ca="1" si="15"/>
        <v>89.837895609921688</v>
      </c>
      <c r="AB67">
        <f t="shared" ca="1" si="4"/>
        <v>0</v>
      </c>
      <c r="AC67">
        <f t="shared" ca="1" si="5"/>
        <v>9.4235502619654674E-2</v>
      </c>
      <c r="AD67" s="83">
        <f ca="1"/>
        <v>45611</v>
      </c>
      <c r="AE67" s="55">
        <f t="shared" ca="1" si="20"/>
        <v>45611</v>
      </c>
      <c r="AF67" s="55">
        <f t="shared" ca="1" si="21"/>
        <v>52.903561237342998</v>
      </c>
      <c r="AG67" s="55">
        <f t="shared" ca="1" si="22"/>
        <v>6.1080017153305244</v>
      </c>
      <c r="AH67" s="55">
        <f t="shared" ca="1" si="23"/>
        <v>0</v>
      </c>
      <c r="AI67" s="55">
        <f t="shared" ca="1" si="17"/>
        <v>-1.5936822076724197</v>
      </c>
      <c r="AJ67" s="55">
        <f t="shared" ca="1" si="18"/>
        <v>42.395181908843377</v>
      </c>
      <c r="AK67" s="55">
        <f t="shared" ca="1" si="19"/>
        <v>-12.843629915472206</v>
      </c>
    </row>
    <row r="68" spans="2:37" ht="15" thickBot="1">
      <c r="C68" s="131" t="s">
        <v>186</v>
      </c>
      <c r="D68" s="131"/>
      <c r="E68" s="131"/>
      <c r="F68" s="131"/>
      <c r="G68" s="131"/>
      <c r="H68" s="131"/>
      <c r="R68" s="83">
        <f ca="1"/>
        <v>45444</v>
      </c>
      <c r="S68" s="55">
        <f t="shared" ca="1" si="11"/>
        <v>45444</v>
      </c>
      <c r="T68" s="55">
        <f t="shared" ca="1" si="0"/>
        <v>176.91979331892298</v>
      </c>
      <c r="U68" s="55">
        <f t="shared" ca="1" si="1"/>
        <v>6.1494524621996201</v>
      </c>
      <c r="V68" s="55">
        <f t="shared" ca="1" si="2"/>
        <v>100</v>
      </c>
      <c r="W68" s="55">
        <f t="shared" ca="1" si="12"/>
        <v>-38.287930308985388</v>
      </c>
      <c r="X68" s="55">
        <f t="shared" ca="1" si="13"/>
        <v>43.839331327100375</v>
      </c>
      <c r="Y68" s="55">
        <f t="shared" ca="1" si="14"/>
        <v>25.928165308162811</v>
      </c>
      <c r="Z68">
        <f t="shared" ca="1" si="3"/>
        <v>120</v>
      </c>
      <c r="AA68">
        <f t="shared" ca="1" si="15"/>
        <v>91.587895609921688</v>
      </c>
      <c r="AB68">
        <f t="shared" ca="1" si="4"/>
        <v>0</v>
      </c>
      <c r="AC68">
        <f t="shared" ca="1" si="5"/>
        <v>0.12514595439148771</v>
      </c>
      <c r="AD68" s="83">
        <f ca="1"/>
        <v>45612</v>
      </c>
      <c r="AE68" s="55">
        <f t="shared" ca="1" si="20"/>
        <v>45612</v>
      </c>
      <c r="AF68" s="55">
        <f t="shared" ca="1" si="21"/>
        <v>53.621296410362028</v>
      </c>
      <c r="AG68" s="55">
        <f t="shared" ca="1" si="22"/>
        <v>6.3853086251902846</v>
      </c>
      <c r="AH68" s="55">
        <f t="shared" ca="1" si="23"/>
        <v>0</v>
      </c>
      <c r="AI68" s="55">
        <f t="shared" ca="1" si="17"/>
        <v>-1.5936822076724197</v>
      </c>
      <c r="AJ68" s="55">
        <f t="shared" ca="1" si="18"/>
        <v>43.386274328108385</v>
      </c>
      <c r="AK68" s="55">
        <f t="shared" ca="1" si="19"/>
        <v>-12.839680251858425</v>
      </c>
    </row>
    <row r="69" spans="2:37">
      <c r="C69" s="61"/>
      <c r="D69" s="88"/>
      <c r="E69" s="99"/>
      <c r="R69" s="83">
        <f ca="1"/>
        <v>45445</v>
      </c>
      <c r="S69" s="55">
        <f t="shared" ca="1" si="11"/>
        <v>45445</v>
      </c>
      <c r="T69" s="55">
        <f t="shared" ca="1" si="0"/>
        <v>176.49681796654102</v>
      </c>
      <c r="U69" s="55">
        <f t="shared" ca="1" si="1"/>
        <v>6.8098496178952646</v>
      </c>
      <c r="V69" s="55">
        <f t="shared" ca="1" si="2"/>
        <v>0</v>
      </c>
      <c r="W69" s="55">
        <f t="shared" ca="1" si="12"/>
        <v>-39.075259592610045</v>
      </c>
      <c r="X69" s="55">
        <f t="shared" ca="1" si="13"/>
        <v>44.501819717624265</v>
      </c>
      <c r="Y69" s="55">
        <f t="shared" ca="1" si="14"/>
        <v>26.290428004577286</v>
      </c>
      <c r="Z69">
        <f t="shared" ca="1" si="3"/>
        <v>120</v>
      </c>
      <c r="AA69">
        <f t="shared" ca="1" si="15"/>
        <v>92.39789560992169</v>
      </c>
      <c r="AB69">
        <f t="shared" ca="1" si="4"/>
        <v>0</v>
      </c>
      <c r="AC69">
        <f t="shared" ca="1" si="5"/>
        <v>0.16348290447402231</v>
      </c>
      <c r="AD69" s="83">
        <f ca="1"/>
        <v>45613</v>
      </c>
      <c r="AE69" s="55">
        <f t="shared" ca="1" si="20"/>
        <v>45613</v>
      </c>
      <c r="AF69" s="55">
        <f t="shared" ca="1" si="21"/>
        <v>54.353810622259395</v>
      </c>
      <c r="AG69" s="55">
        <f t="shared" ca="1" si="22"/>
        <v>6.6649277821964681</v>
      </c>
      <c r="AH69" s="55">
        <f t="shared" ca="1" si="23"/>
        <v>0</v>
      </c>
      <c r="AI69" s="55">
        <f t="shared" ca="1" si="17"/>
        <v>-1.5936822076724197</v>
      </c>
      <c r="AJ69" s="55">
        <f t="shared" ca="1" si="18"/>
        <v>44.389715127144214</v>
      </c>
      <c r="AK69" s="55">
        <f t="shared" ca="1" si="19"/>
        <v>-12.830987681990706</v>
      </c>
    </row>
    <row r="70" spans="2:37">
      <c r="C70" s="61"/>
      <c r="D70" s="84"/>
      <c r="E70" s="69"/>
      <c r="R70" s="83">
        <f ca="1"/>
        <v>45446</v>
      </c>
      <c r="S70" s="55">
        <f t="shared" ca="1" si="11"/>
        <v>45446</v>
      </c>
      <c r="T70" s="55">
        <f t="shared" ca="1" si="0"/>
        <v>175.27790300295217</v>
      </c>
      <c r="U70" s="55">
        <f t="shared" ca="1" si="1"/>
        <v>7.7055766315823746</v>
      </c>
      <c r="V70" s="55">
        <f t="shared" ca="1" si="2"/>
        <v>0</v>
      </c>
      <c r="W70" s="55">
        <f t="shared" ca="1" si="12"/>
        <v>-40.513554501019783</v>
      </c>
      <c r="X70" s="55">
        <f t="shared" ca="1" si="13"/>
        <v>45.235227426740416</v>
      </c>
      <c r="Y70" s="55">
        <f t="shared" ca="1" si="14"/>
        <v>26.672127253969183</v>
      </c>
      <c r="Z70">
        <f t="shared" ca="1" si="3"/>
        <v>120</v>
      </c>
      <c r="AA70">
        <f t="shared" ca="1" si="15"/>
        <v>93.887895609921699</v>
      </c>
      <c r="AB70">
        <f t="shared" ca="1" si="4"/>
        <v>0</v>
      </c>
      <c r="AC70">
        <f t="shared" ca="1" si="5"/>
        <v>0.22207146195424543</v>
      </c>
      <c r="AD70" s="83">
        <f ca="1"/>
        <v>45614</v>
      </c>
      <c r="AE70" s="55">
        <f t="shared" ca="1" si="20"/>
        <v>45614</v>
      </c>
      <c r="AF70" s="55">
        <f t="shared" ca="1" si="21"/>
        <v>55.003981473540293</v>
      </c>
      <c r="AG70" s="55">
        <f t="shared" ca="1" si="22"/>
        <v>6.9458991947192317</v>
      </c>
      <c r="AH70" s="55">
        <f t="shared" ca="1" si="23"/>
        <v>0</v>
      </c>
      <c r="AI70" s="55">
        <f t="shared" ca="1" si="17"/>
        <v>-1.5936822076724197</v>
      </c>
      <c r="AJ70" s="55">
        <f t="shared" ca="1" si="18"/>
        <v>45.308179924569444</v>
      </c>
      <c r="AK70" s="55">
        <f t="shared" ca="1" si="19"/>
        <v>-12.818310215612275</v>
      </c>
    </row>
    <row r="71" spans="2:37">
      <c r="C71" s="61"/>
      <c r="D71" s="84"/>
      <c r="E71" s="69"/>
      <c r="R71" s="83">
        <f ca="1"/>
        <v>45447</v>
      </c>
      <c r="S71" s="55">
        <f t="shared" ca="1" si="11"/>
        <v>45447</v>
      </c>
      <c r="T71" s="55">
        <f t="shared" ca="1" si="0"/>
        <v>172.27517363356588</v>
      </c>
      <c r="U71" s="55">
        <f t="shared" ca="1" si="1"/>
        <v>8.6692676087113423</v>
      </c>
      <c r="V71" s="55">
        <f t="shared" ca="1" si="2"/>
        <v>0</v>
      </c>
      <c r="W71" s="55">
        <f t="shared" ca="1" si="12"/>
        <v>-43.634980907928252</v>
      </c>
      <c r="X71" s="55">
        <f t="shared" ca="1" si="13"/>
        <v>45.950647603322182</v>
      </c>
      <c r="Y71" s="55">
        <f t="shared" ca="1" si="14"/>
        <v>27.039095092038572</v>
      </c>
      <c r="Z71">
        <f t="shared" ca="1" si="3"/>
        <v>120</v>
      </c>
      <c r="AA71">
        <f t="shared" ca="1" si="15"/>
        <v>97.177895609921705</v>
      </c>
      <c r="AB71">
        <f t="shared" ca="1" si="4"/>
        <v>0</v>
      </c>
      <c r="AC71">
        <f t="shared" ca="1" si="5"/>
        <v>0.29084380200534332</v>
      </c>
      <c r="AD71" s="83">
        <f ca="1"/>
        <v>45615</v>
      </c>
      <c r="AE71" s="55">
        <f t="shared" ca="1" si="20"/>
        <v>45615</v>
      </c>
      <c r="AF71" s="55">
        <f t="shared" ca="1" si="21"/>
        <v>55.6452464546012</v>
      </c>
      <c r="AG71" s="55">
        <f t="shared" ca="1" si="22"/>
        <v>7.2421660944548352</v>
      </c>
      <c r="AH71" s="55">
        <f t="shared" ca="1" si="23"/>
        <v>0</v>
      </c>
      <c r="AI71" s="55">
        <f t="shared" ca="1" si="17"/>
        <v>-1.5936822076724197</v>
      </c>
      <c r="AJ71" s="55">
        <f t="shared" ca="1" si="18"/>
        <v>46.228827662706813</v>
      </c>
      <c r="AK71" s="55">
        <f t="shared" ca="1" si="19"/>
        <v>-12.801426072953127</v>
      </c>
    </row>
    <row r="72" spans="2:37">
      <c r="C72" s="61"/>
      <c r="D72" s="84">
        <v>120</v>
      </c>
      <c r="E72" s="69">
        <v>120</v>
      </c>
      <c r="R72" s="83">
        <f ca="1"/>
        <v>45448</v>
      </c>
      <c r="S72" s="55">
        <f t="shared" ca="1" si="11"/>
        <v>45448</v>
      </c>
      <c r="T72" s="55">
        <f t="shared" ca="1" si="0"/>
        <v>168.234335529003</v>
      </c>
      <c r="U72" s="55">
        <f t="shared" ca="1" si="1"/>
        <v>9.7238098411090022</v>
      </c>
      <c r="V72" s="55">
        <f t="shared" ca="1" si="2"/>
        <v>0</v>
      </c>
      <c r="W72" s="55">
        <f t="shared" ca="1" si="12"/>
        <v>-47.683820582992915</v>
      </c>
      <c r="X72" s="55">
        <f t="shared" ca="1" si="13"/>
        <v>46.657179663277454</v>
      </c>
      <c r="Y72" s="55">
        <f t="shared" ca="1" si="14"/>
        <v>27.395106834982762</v>
      </c>
      <c r="Z72">
        <f t="shared" ca="1" si="3"/>
        <v>120</v>
      </c>
      <c r="AA72">
        <f t="shared" ca="1" si="15"/>
        <v>101.5478956099217</v>
      </c>
      <c r="AB72">
        <f t="shared" ca="1" si="4"/>
        <v>0</v>
      </c>
      <c r="AC72">
        <f t="shared" ca="1" si="5"/>
        <v>0.36883404789930535</v>
      </c>
      <c r="AD72" s="83">
        <f ca="1"/>
        <v>45616</v>
      </c>
      <c r="AE72" s="55">
        <f t="shared" ca="1" si="20"/>
        <v>45616</v>
      </c>
      <c r="AF72" s="55">
        <f t="shared" ca="1" si="21"/>
        <v>56.255828409093013</v>
      </c>
      <c r="AG72" s="55">
        <f t="shared" ca="1" si="22"/>
        <v>7.5524052326557651</v>
      </c>
      <c r="AH72" s="55">
        <f t="shared" ca="1" si="23"/>
        <v>0</v>
      </c>
      <c r="AI72" s="55">
        <f t="shared" ca="1" si="17"/>
        <v>-1.5936822076724197</v>
      </c>
      <c r="AJ72" s="55">
        <f t="shared" ca="1" si="18"/>
        <v>47.128798392379991</v>
      </c>
      <c r="AK72" s="55">
        <f t="shared" ca="1" si="19"/>
        <v>-12.780575709933569</v>
      </c>
    </row>
    <row r="73" spans="2:37">
      <c r="R73" s="83">
        <f ca="1"/>
        <v>45449</v>
      </c>
      <c r="S73" s="55">
        <f t="shared" ca="1" si="11"/>
        <v>45449</v>
      </c>
      <c r="T73" s="55">
        <f t="shared" ca="1" si="0"/>
        <v>166.79206421670625</v>
      </c>
      <c r="U73" s="55">
        <f t="shared" ca="1" si="1"/>
        <v>10.879983592630319</v>
      </c>
      <c r="V73" s="55">
        <f t="shared" ca="1" si="2"/>
        <v>0</v>
      </c>
      <c r="W73" s="55">
        <f t="shared" ca="1" si="12"/>
        <v>-49.015739820433573</v>
      </c>
      <c r="X73" s="55">
        <f t="shared" ca="1" si="13"/>
        <v>47.356922519284645</v>
      </c>
      <c r="Y73" s="55">
        <f t="shared" ca="1" si="14"/>
        <v>27.741185655640784</v>
      </c>
      <c r="Z73">
        <f t="shared" ca="1" si="3"/>
        <v>120</v>
      </c>
      <c r="AA73">
        <f t="shared" ca="1" si="15"/>
        <v>102.9978956099217</v>
      </c>
      <c r="AB73">
        <f t="shared" ca="1" si="4"/>
        <v>0</v>
      </c>
      <c r="AC73">
        <f t="shared" ca="1" si="5"/>
        <v>0.45276063747484402</v>
      </c>
      <c r="AD73" s="83">
        <f ca="1"/>
        <v>45617</v>
      </c>
      <c r="AE73" s="55">
        <f t="shared" ca="1" si="20"/>
        <v>45617</v>
      </c>
      <c r="AF73" s="55">
        <f t="shared" ca="1" si="21"/>
        <v>56.833152030114363</v>
      </c>
      <c r="AG73" s="55">
        <f t="shared" ca="1" si="22"/>
        <v>7.8775317254896002</v>
      </c>
      <c r="AH73" s="55">
        <f t="shared" ca="1" si="23"/>
        <v>0</v>
      </c>
      <c r="AI73" s="55">
        <f t="shared" ca="1" si="17"/>
        <v>-1.5936822076724197</v>
      </c>
      <c r="AJ73" s="55">
        <f t="shared" ca="1" si="18"/>
        <v>48.006576741848306</v>
      </c>
      <c r="AK73" s="55">
        <f t="shared" ca="1" si="19"/>
        <v>-12.755903945546706</v>
      </c>
    </row>
    <row r="74" spans="2:37">
      <c r="R74" s="83">
        <f ca="1"/>
        <v>45450</v>
      </c>
      <c r="S74" s="55">
        <f t="shared" ca="1" si="11"/>
        <v>45450</v>
      </c>
      <c r="T74" s="55">
        <f t="shared" ca="1" si="0"/>
        <v>166.08525877133241</v>
      </c>
      <c r="U74" s="55">
        <f t="shared" ca="1" si="1"/>
        <v>11.953764437125127</v>
      </c>
      <c r="V74" s="55">
        <f t="shared" ca="1" si="2"/>
        <v>0</v>
      </c>
      <c r="W74" s="55">
        <f t="shared" ca="1" si="12"/>
        <v>-49.610276906180232</v>
      </c>
      <c r="X74" s="55">
        <f t="shared" ca="1" si="13"/>
        <v>47.999343224412605</v>
      </c>
      <c r="Y74" s="55">
        <f t="shared" ca="1" si="14"/>
        <v>28.060277435380449</v>
      </c>
      <c r="Z74">
        <f t="shared" ca="1" si="3"/>
        <v>120</v>
      </c>
      <c r="AA74">
        <f t="shared" ca="1" si="15"/>
        <v>103.6478956099217</v>
      </c>
      <c r="AB74">
        <f t="shared" ca="1" si="4"/>
        <v>0</v>
      </c>
      <c r="AC74">
        <f t="shared" ca="1" si="5"/>
        <v>0.5256709002336033</v>
      </c>
      <c r="AD74" s="83">
        <f ca="1"/>
        <v>45618</v>
      </c>
      <c r="AE74" s="55">
        <f t="shared" ca="1" si="20"/>
        <v>45618</v>
      </c>
      <c r="AF74" s="55">
        <f t="shared" ca="1" si="21"/>
        <v>57.375907214729096</v>
      </c>
      <c r="AG74" s="55">
        <f t="shared" ca="1" si="22"/>
        <v>8.2301471773085488</v>
      </c>
      <c r="AH74" s="55">
        <f t="shared" ca="1" si="23"/>
        <v>0</v>
      </c>
      <c r="AI74" s="55">
        <f t="shared" ca="1" si="17"/>
        <v>-1.5936822076724197</v>
      </c>
      <c r="AJ74" s="55">
        <f t="shared" ca="1" si="18"/>
        <v>48.872566998098677</v>
      </c>
      <c r="AK74" s="55">
        <f t="shared" ca="1" si="19"/>
        <v>-12.726523565363397</v>
      </c>
    </row>
    <row r="75" spans="2:37">
      <c r="R75" s="83">
        <f ca="1"/>
        <v>45451</v>
      </c>
      <c r="S75" s="55">
        <f t="shared" ca="1" si="11"/>
        <v>45451</v>
      </c>
      <c r="T75" s="55">
        <f t="shared" ca="1" si="0"/>
        <v>165.3367365132481</v>
      </c>
      <c r="U75" s="55">
        <f t="shared" ca="1" si="1"/>
        <v>13.102483848968401</v>
      </c>
      <c r="V75" s="55">
        <f t="shared" ca="1" si="2"/>
        <v>0</v>
      </c>
      <c r="W75" s="55">
        <f t="shared" ca="1" si="12"/>
        <v>-50.156606992050087</v>
      </c>
      <c r="X75" s="55">
        <f t="shared" ca="1" si="13"/>
        <v>48.635374438123478</v>
      </c>
      <c r="Y75" s="55">
        <f t="shared" ca="1" si="14"/>
        <v>28.370773461298398</v>
      </c>
      <c r="Z75">
        <f t="shared" ca="1" si="3"/>
        <v>120</v>
      </c>
      <c r="AA75">
        <f t="shared" ca="1" si="15"/>
        <v>104.2478956099217</v>
      </c>
      <c r="AB75">
        <f t="shared" ca="1" si="4"/>
        <v>0</v>
      </c>
      <c r="AC75">
        <f t="shared" ca="1" si="5"/>
        <v>0.59597031912771059</v>
      </c>
      <c r="AD75" s="83">
        <f ca="1"/>
        <v>45619</v>
      </c>
      <c r="AE75" s="55">
        <f t="shared" ca="1" si="20"/>
        <v>45619</v>
      </c>
      <c r="AF75" s="55">
        <f t="shared" ca="1" si="21"/>
        <v>57.889297007677996</v>
      </c>
      <c r="AG75" s="55">
        <f t="shared" ca="1" si="22"/>
        <v>8.5981593046327944</v>
      </c>
      <c r="AH75" s="55">
        <f t="shared" ca="1" si="23"/>
        <v>0</v>
      </c>
      <c r="AI75" s="55">
        <f t="shared" ca="1" si="17"/>
        <v>-1.5936822076724197</v>
      </c>
      <c r="AJ75" s="55">
        <f t="shared" ca="1" si="18"/>
        <v>49.721027819386265</v>
      </c>
      <c r="AK75" s="55">
        <f t="shared" ca="1" si="19"/>
        <v>-12.693582466377833</v>
      </c>
    </row>
    <row r="76" spans="2:37">
      <c r="R76" s="83">
        <f ca="1"/>
        <v>45452</v>
      </c>
      <c r="S76" s="55">
        <f t="shared" ca="1" si="11"/>
        <v>45452</v>
      </c>
      <c r="T76" s="55">
        <f t="shared" ca="1" si="0"/>
        <v>161.11912448450641</v>
      </c>
      <c r="U76" s="55">
        <f t="shared" ca="1" si="1"/>
        <v>14.773697245904973</v>
      </c>
      <c r="V76" s="55">
        <f t="shared" ca="1" si="2"/>
        <v>0</v>
      </c>
      <c r="W76" s="55">
        <f t="shared" ca="1" si="12"/>
        <v>-53.768010440278175</v>
      </c>
      <c r="X76" s="55">
        <f t="shared" ca="1" si="13"/>
        <v>49.365301089116905</v>
      </c>
      <c r="Y76" s="55">
        <f t="shared" ca="1" si="14"/>
        <v>28.705851626727927</v>
      </c>
      <c r="Z76">
        <f t="shared" ca="1" si="3"/>
        <v>120</v>
      </c>
      <c r="AA76">
        <f t="shared" ca="1" si="15"/>
        <v>108.31789560992171</v>
      </c>
      <c r="AB76">
        <f t="shared" ca="1" si="4"/>
        <v>0</v>
      </c>
      <c r="AC76">
        <f t="shared" ca="1" si="5"/>
        <v>0.68231293152986272</v>
      </c>
      <c r="AD76" s="83">
        <f ca="1"/>
        <v>45620</v>
      </c>
      <c r="AE76" s="55">
        <f t="shared" ca="1" si="20"/>
        <v>45620</v>
      </c>
      <c r="AF76" s="55">
        <f t="shared" ca="1" si="21"/>
        <v>58.420622947888695</v>
      </c>
      <c r="AG76" s="55">
        <f t="shared" ca="1" si="22"/>
        <v>9.0064519494429174</v>
      </c>
      <c r="AH76" s="55">
        <f t="shared" ca="1" si="23"/>
        <v>0</v>
      </c>
      <c r="AI76" s="55">
        <f t="shared" ca="1" si="17"/>
        <v>-1.5936822076724197</v>
      </c>
      <c r="AJ76" s="55">
        <f t="shared" ca="1" si="18"/>
        <v>50.621863837957598</v>
      </c>
      <c r="AK76" s="55">
        <f t="shared" ca="1" si="19"/>
        <v>-12.654799899928342</v>
      </c>
    </row>
    <row r="77" spans="2:37">
      <c r="R77" s="83">
        <f ca="1"/>
        <v>45453</v>
      </c>
      <c r="S77" s="55">
        <f t="shared" ca="1" si="11"/>
        <v>45453</v>
      </c>
      <c r="T77" s="55">
        <f t="shared" ca="1" si="0"/>
        <v>154.86193308630624</v>
      </c>
      <c r="U77" s="55">
        <f t="shared" ca="1" si="1"/>
        <v>16.647074763305987</v>
      </c>
      <c r="V77" s="55">
        <f t="shared" ca="1" si="2"/>
        <v>0</v>
      </c>
      <c r="W77" s="55">
        <f t="shared" ca="1" si="12"/>
        <v>-59.209275231212111</v>
      </c>
      <c r="X77" s="55">
        <f t="shared" ca="1" si="13"/>
        <v>50.095227740110332</v>
      </c>
      <c r="Y77" s="55">
        <f t="shared" ca="1" si="14"/>
        <v>29.033375885869269</v>
      </c>
      <c r="Z77">
        <f t="shared" ca="1" si="3"/>
        <v>120</v>
      </c>
      <c r="AA77">
        <f t="shared" ca="1" si="15"/>
        <v>114.69789560992172</v>
      </c>
      <c r="AB77">
        <f t="shared" ca="1" si="4"/>
        <v>0</v>
      </c>
      <c r="AC77">
        <f t="shared" ca="1" si="5"/>
        <v>0.75770545172396464</v>
      </c>
      <c r="AD77" s="83">
        <f ca="1"/>
        <v>45621</v>
      </c>
      <c r="AE77" s="55">
        <f t="shared" ca="1" si="20"/>
        <v>45621</v>
      </c>
      <c r="AF77" s="55">
        <f t="shared" ca="1" si="21"/>
        <v>58.996727050753321</v>
      </c>
      <c r="AG77" s="55">
        <f t="shared" ca="1" si="22"/>
        <v>9.4371322365271357</v>
      </c>
      <c r="AH77" s="55">
        <f t="shared" ca="1" si="23"/>
        <v>0</v>
      </c>
      <c r="AI77" s="55">
        <f t="shared" ca="1" si="17"/>
        <v>-1.5936822076724197</v>
      </c>
      <c r="AJ77" s="55">
        <f t="shared" ca="1" si="18"/>
        <v>51.585927200573622</v>
      </c>
      <c r="AK77" s="55">
        <f t="shared" ca="1" si="19"/>
        <v>-12.612078872595525</v>
      </c>
    </row>
    <row r="78" spans="2:37">
      <c r="R78" s="83">
        <f ca="1"/>
        <v>45454</v>
      </c>
      <c r="S78" s="55">
        <f t="shared" ca="1" si="11"/>
        <v>45454</v>
      </c>
      <c r="T78" s="55">
        <f t="shared" ca="1" si="0"/>
        <v>153.54708490642247</v>
      </c>
      <c r="U78" s="55">
        <f t="shared" ca="1" si="1"/>
        <v>19.100409166589902</v>
      </c>
      <c r="V78" s="55">
        <f t="shared" ca="1" si="2"/>
        <v>0</v>
      </c>
      <c r="W78" s="55">
        <f t="shared" ca="1" si="12"/>
        <v>-59.209275231212111</v>
      </c>
      <c r="X78" s="55">
        <f t="shared" ca="1" si="13"/>
        <v>50.892354149545923</v>
      </c>
      <c r="Y78" s="55">
        <f t="shared" ca="1" si="14"/>
        <v>29.374735699833845</v>
      </c>
      <c r="Z78">
        <f t="shared" ca="1" si="3"/>
        <v>119.98260869565216</v>
      </c>
      <c r="AA78">
        <f t="shared" ca="1" si="15"/>
        <v>114.69789560992172</v>
      </c>
      <c r="AB78">
        <f t="shared" ca="1" si="4"/>
        <v>0</v>
      </c>
      <c r="AC78">
        <f t="shared" ca="1" si="5"/>
        <v>0.8285975047504982</v>
      </c>
      <c r="AD78" s="83">
        <f ca="1"/>
        <v>45622</v>
      </c>
      <c r="AE78" s="55">
        <f t="shared" ca="1" si="20"/>
        <v>45622</v>
      </c>
      <c r="AF78" s="55">
        <f t="shared" ca="1" si="21"/>
        <v>59.547740532640631</v>
      </c>
      <c r="AG78" s="55">
        <f t="shared" ca="1" si="22"/>
        <v>9.8969719335483042</v>
      </c>
      <c r="AH78" s="55">
        <f t="shared" ca="1" si="23"/>
        <v>0</v>
      </c>
      <c r="AI78" s="55">
        <f t="shared" ca="1" si="17"/>
        <v>-1.5936822076724197</v>
      </c>
      <c r="AJ78" s="55">
        <f t="shared" ca="1" si="18"/>
        <v>52.549633960605277</v>
      </c>
      <c r="AK78" s="55">
        <f t="shared" ca="1" si="19"/>
        <v>-12.564932453718708</v>
      </c>
    </row>
    <row r="79" spans="2:37">
      <c r="R79" s="83">
        <f ca="1"/>
        <v>45455</v>
      </c>
      <c r="S79" s="55">
        <f t="shared" ca="1" si="11"/>
        <v>45455</v>
      </c>
      <c r="T79" s="55">
        <f t="shared" ca="1" si="0"/>
        <v>148.60947075225567</v>
      </c>
      <c r="U79" s="55">
        <f t="shared" ca="1" si="1"/>
        <v>21.311346236572895</v>
      </c>
      <c r="V79" s="55">
        <f t="shared" ca="1" si="2"/>
        <v>0</v>
      </c>
      <c r="W79" s="55">
        <f t="shared" ca="1" si="12"/>
        <v>-62.941322653250957</v>
      </c>
      <c r="X79" s="55">
        <f t="shared" ca="1" si="13"/>
        <v>51.594129406084981</v>
      </c>
      <c r="Y79" s="55">
        <f t="shared" ca="1" si="14"/>
        <v>29.678330781149832</v>
      </c>
      <c r="Z79">
        <f t="shared" ca="1" si="3"/>
        <v>120</v>
      </c>
      <c r="AA79">
        <f t="shared" ca="1" si="15"/>
        <v>119.25790944344489</v>
      </c>
      <c r="AB79">
        <f t="shared" ca="1" si="4"/>
        <v>0</v>
      </c>
      <c r="AC79">
        <f t="shared" ca="1" si="5"/>
        <v>0.87273158679177665</v>
      </c>
      <c r="AD79" s="83">
        <f ca="1"/>
        <v>45623</v>
      </c>
      <c r="AE79" s="55">
        <f t="shared" ca="1" si="20"/>
        <v>45623</v>
      </c>
      <c r="AF79" s="55">
        <f t="shared" ca="1" si="21"/>
        <v>60.157331033136302</v>
      </c>
      <c r="AG79" s="55">
        <f t="shared" ca="1" si="22"/>
        <v>10.371768150846295</v>
      </c>
      <c r="AH79" s="55">
        <f t="shared" ca="1" si="23"/>
        <v>0</v>
      </c>
      <c r="AI79" s="55">
        <f t="shared" ca="1" si="17"/>
        <v>-1.5936822076724197</v>
      </c>
      <c r="AJ79" s="55">
        <f t="shared" ca="1" si="18"/>
        <v>53.5844052504427</v>
      </c>
      <c r="AK79" s="55">
        <f t="shared" ca="1" si="19"/>
        <v>-12.515317025762471</v>
      </c>
    </row>
    <row r="80" spans="2:37">
      <c r="R80" s="83">
        <f ca="1"/>
        <v>45456</v>
      </c>
      <c r="S80" s="55">
        <f t="shared" ca="1" si="11"/>
        <v>45456</v>
      </c>
      <c r="T80" s="55">
        <f t="shared" ca="1" si="0"/>
        <v>147.20796393675514</v>
      </c>
      <c r="U80" s="55">
        <f t="shared" ca="1" si="1"/>
        <v>23.590844359255307</v>
      </c>
      <c r="V80" s="55">
        <f t="shared" ca="1" si="2"/>
        <v>0</v>
      </c>
      <c r="W80" s="55">
        <f t="shared" ca="1" si="12"/>
        <v>-63.030500811114095</v>
      </c>
      <c r="X80" s="55">
        <f t="shared" ca="1" si="13"/>
        <v>52.271761986908693</v>
      </c>
      <c r="Y80" s="55">
        <f t="shared" ca="1" si="14"/>
        <v>29.967867665371131</v>
      </c>
      <c r="Z80">
        <f t="shared" ca="1" si="3"/>
        <v>120</v>
      </c>
      <c r="AA80">
        <f t="shared" ca="1" si="15"/>
        <v>119.36790944344489</v>
      </c>
      <c r="AB80">
        <f t="shared" ca="1" si="4"/>
        <v>0</v>
      </c>
      <c r="AC80">
        <f t="shared" ca="1" si="5"/>
        <v>0.90482413604051837</v>
      </c>
      <c r="AD80" s="83">
        <f ca="1"/>
        <v>45624</v>
      </c>
      <c r="AE80" s="55">
        <f t="shared" ca="1" si="20"/>
        <v>45624</v>
      </c>
      <c r="AF80" s="55">
        <f t="shared" ca="1" si="21"/>
        <v>60.637244892839227</v>
      </c>
      <c r="AG80" s="55">
        <f t="shared" ca="1" si="22"/>
        <v>10.835368353190525</v>
      </c>
      <c r="AH80" s="55">
        <f t="shared" ca="1" si="23"/>
        <v>0</v>
      </c>
      <c r="AI80" s="55">
        <f t="shared" ca="1" si="17"/>
        <v>-1.5936822076724197</v>
      </c>
      <c r="AJ80" s="55">
        <f t="shared" ca="1" si="18"/>
        <v>54.479153964829614</v>
      </c>
      <c r="AK80" s="55">
        <f t="shared" ca="1" si="19"/>
        <v>-12.466551678102231</v>
      </c>
    </row>
    <row r="81" spans="18:37">
      <c r="R81" s="83">
        <f ca="1"/>
        <v>45457</v>
      </c>
      <c r="S81" s="55">
        <f t="shared" ca="1" si="11"/>
        <v>45457</v>
      </c>
      <c r="T81" s="55">
        <f t="shared" ca="1" si="0"/>
        <v>145.10019495283646</v>
      </c>
      <c r="U81" s="55">
        <f t="shared" ca="1" si="1"/>
        <v>25.537505091099078</v>
      </c>
      <c r="V81" s="55">
        <f t="shared" ca="1" si="2"/>
        <v>0</v>
      </c>
      <c r="W81" s="55">
        <f t="shared" ca="1" si="12"/>
        <v>-64.061343065692071</v>
      </c>
      <c r="X81" s="55">
        <f t="shared" ca="1" si="13"/>
        <v>52.87892629203558</v>
      </c>
      <c r="Y81" s="55">
        <f t="shared" ca="1" si="14"/>
        <v>30.230437362747296</v>
      </c>
      <c r="Z81">
        <f t="shared" ca="1" si="3"/>
        <v>120</v>
      </c>
      <c r="AA81">
        <f t="shared" ca="1" si="15"/>
        <v>120.65790944344489</v>
      </c>
      <c r="AB81">
        <f t="shared" ca="1" si="4"/>
        <v>0</v>
      </c>
      <c r="AC81">
        <f t="shared" ca="1" si="5"/>
        <v>0.92474595683683669</v>
      </c>
      <c r="AD81" s="83">
        <f ca="1"/>
        <v>45625</v>
      </c>
      <c r="AE81" s="55">
        <f t="shared" ca="1" si="20"/>
        <v>45625</v>
      </c>
      <c r="AF81" s="55">
        <f t="shared" ca="1" si="21"/>
        <v>61.183432983219284</v>
      </c>
      <c r="AG81" s="55">
        <f t="shared" ca="1" si="22"/>
        <v>11.354396452442572</v>
      </c>
      <c r="AH81" s="55">
        <f t="shared" ca="1" si="23"/>
        <v>0</v>
      </c>
      <c r="AI81" s="55">
        <f t="shared" ca="1" si="17"/>
        <v>-1.5936822076724197</v>
      </c>
      <c r="AJ81" s="55">
        <f t="shared" ca="1" si="18"/>
        <v>55.489180189428183</v>
      </c>
      <c r="AK81" s="55">
        <f t="shared" ca="1" si="19"/>
        <v>-12.4113617130687</v>
      </c>
    </row>
    <row r="82" spans="18:37">
      <c r="R82" s="83">
        <f ca="1"/>
        <v>45458</v>
      </c>
      <c r="S82" s="55">
        <f t="shared" ca="1" si="11"/>
        <v>45458</v>
      </c>
      <c r="T82" s="55">
        <f t="shared" ref="T82:T145" ca="1" si="27">VLOOKUP(S82,ModelOutputs,2,FALSE)</f>
        <v>53.901626885964319</v>
      </c>
      <c r="U82" s="55">
        <f t="shared" ref="U82:U145" ca="1" si="28">VLOOKUP(S82,ModelOutputs,7,FALSE)</f>
        <v>28.228459458515058</v>
      </c>
      <c r="V82" s="55">
        <f t="shared" ref="V82:V145" ca="1" si="29">VLOOKUP(S82,ModelOutputs,6,FALSE)</f>
        <v>0</v>
      </c>
      <c r="W82" s="55">
        <f t="shared" ca="1" si="12"/>
        <v>-64.590161323425008</v>
      </c>
      <c r="X82" s="55">
        <f t="shared" ca="1" si="13"/>
        <v>53.556558872859291</v>
      </c>
      <c r="Y82" s="55">
        <f t="shared" ca="1" si="14"/>
        <v>30.507738007313062</v>
      </c>
      <c r="Z82">
        <f t="shared" ref="Z82:Z145" ca="1" si="30">VLOOKUP(S82,ModelOutputs,10,FALSE)*AWC</f>
        <v>120</v>
      </c>
      <c r="AA82">
        <f t="shared" ca="1" si="15"/>
        <v>122.48790944344491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0.94455560573096098</v>
      </c>
      <c r="AD82" s="83">
        <f ca="1"/>
        <v>45626</v>
      </c>
      <c r="AE82" s="55">
        <f t="shared" ca="1" si="20"/>
        <v>45626</v>
      </c>
      <c r="AF82" s="55">
        <f t="shared" ca="1" si="21"/>
        <v>61.767185627228017</v>
      </c>
      <c r="AG82" s="55">
        <f t="shared" ca="1" si="22"/>
        <v>11.88896349096029</v>
      </c>
      <c r="AH82" s="55">
        <f t="shared" ca="1" si="23"/>
        <v>0</v>
      </c>
      <c r="AI82" s="55">
        <f t="shared" ca="1" si="17"/>
        <v>-1.5936822076724197</v>
      </c>
      <c r="AJ82" s="55">
        <f t="shared" ca="1" si="18"/>
        <v>56.550754085903655</v>
      </c>
      <c r="AK82" s="55">
        <f t="shared" ca="1" si="19"/>
        <v>-12.354615927017726</v>
      </c>
    </row>
    <row r="83" spans="18:37">
      <c r="R83" s="83">
        <f ca="1"/>
        <v>45459</v>
      </c>
      <c r="S83" s="55">
        <f t="shared" ref="S83:S146" ca="1" si="33">IF(R83&gt;1,R83,"")</f>
        <v>45459</v>
      </c>
      <c r="T83" s="55">
        <f t="shared" ca="1" si="27"/>
        <v>51.397055771381076</v>
      </c>
      <c r="U83" s="55">
        <f t="shared" ca="1" si="28"/>
        <v>31.234553559451044</v>
      </c>
      <c r="V83" s="55">
        <f t="shared" ca="1" si="29"/>
        <v>0</v>
      </c>
      <c r="W83" s="55">
        <f t="shared" ref="W83:W146" ca="1" si="34">-VLOOKUP(S83,ModelOutputs,9,FALSE)+W82</f>
        <v>-65.045881884597918</v>
      </c>
      <c r="X83" s="55">
        <f t="shared" ref="X83:X146" ca="1" si="35">VLOOKUP(S83,ModelOutputs,5,FALSE)+X82</f>
        <v>54.240843951488394</v>
      </c>
      <c r="Y83" s="55">
        <f t="shared" ref="Y83:Y146" ca="1" si="36">VLOOKUP(S83,ModelOutputs,4,FALSE)+Y82</f>
        <v>30.780696476209613</v>
      </c>
      <c r="Z83">
        <f t="shared" ca="1" si="30"/>
        <v>120</v>
      </c>
      <c r="AA83">
        <f t="shared" ref="AA83:AA146" ca="1" si="37">VLOOKUP(S83,ModelOutputs,11,FALSE)+AA82</f>
        <v>124.09790944344491</v>
      </c>
      <c r="AB83">
        <f t="shared" ca="1" si="31"/>
        <v>0</v>
      </c>
      <c r="AC83">
        <f t="shared" ca="1" si="32"/>
        <v>0.9596271224272892</v>
      </c>
      <c r="AD83" s="83">
        <f ca="1"/>
        <v>45627</v>
      </c>
      <c r="AE83" s="55">
        <f t="shared" ca="1" si="20"/>
        <v>45627</v>
      </c>
      <c r="AF83" s="55">
        <f t="shared" ca="1" si="21"/>
        <v>62.291965522947855</v>
      </c>
      <c r="AG83" s="55">
        <f t="shared" ca="1" si="22"/>
        <v>12.456532660692256</v>
      </c>
      <c r="AH83" s="55">
        <f t="shared" ca="1" si="23"/>
        <v>0</v>
      </c>
      <c r="AI83" s="55">
        <f t="shared" ref="AI83:AI146" ca="1" si="38">-VLOOKUP(AE83,ModelOutputs,9,FALSE)+AI82</f>
        <v>-1.5936822076724197</v>
      </c>
      <c r="AJ83" s="55">
        <f t="shared" ref="AJ83:AJ146" ca="1" si="39">VLOOKUP(AE83,ModelOutputs,5,FALSE)+AJ82</f>
        <v>57.583051477985023</v>
      </c>
      <c r="AK83" s="55">
        <f t="shared" ref="AK83:AK146" ca="1" si="40">VLOOKUP(AE83,ModelOutputs,4,FALSE)+AK82</f>
        <v>-12.294564253647287</v>
      </c>
    </row>
    <row r="84" spans="18:37">
      <c r="R84" s="83">
        <f ca="1"/>
        <v>45460</v>
      </c>
      <c r="S84" s="55">
        <f t="shared" ca="1" si="33"/>
        <v>45460</v>
      </c>
      <c r="T84" s="55">
        <f t="shared" ca="1" si="27"/>
        <v>47.756988093698872</v>
      </c>
      <c r="U84" s="55">
        <f t="shared" ca="1" si="28"/>
        <v>34.584052167856882</v>
      </c>
      <c r="V84" s="55">
        <f t="shared" ca="1" si="29"/>
        <v>0</v>
      </c>
      <c r="W84" s="55">
        <f t="shared" ca="1" si="34"/>
        <v>-66.295177007918596</v>
      </c>
      <c r="X84" s="55">
        <f t="shared" ca="1" si="35"/>
        <v>54.931151630433391</v>
      </c>
      <c r="Y84" s="55">
        <f t="shared" ca="1" si="36"/>
        <v>31.049114851308921</v>
      </c>
      <c r="Z84">
        <f t="shared" ca="1" si="30"/>
        <v>120</v>
      </c>
      <c r="AA84">
        <f t="shared" ca="1" si="37"/>
        <v>128.84790944344491</v>
      </c>
      <c r="AB84">
        <f t="shared" ca="1" si="31"/>
        <v>0</v>
      </c>
      <c r="AC84">
        <f t="shared" ca="1" si="32"/>
        <v>0.970891105292914</v>
      </c>
      <c r="AD84" s="83">
        <f ca="1"/>
        <v>45628</v>
      </c>
      <c r="AE84" s="55">
        <f t="shared" ca="1" si="20"/>
        <v>45628</v>
      </c>
      <c r="AF84" s="55">
        <f t="shared" ca="1" si="21"/>
        <v>62.771346441006024</v>
      </c>
      <c r="AG84" s="55">
        <f t="shared" ca="1" si="22"/>
        <v>13.046121670754419</v>
      </c>
      <c r="AH84" s="55">
        <f t="shared" ca="1" si="23"/>
        <v>0</v>
      </c>
      <c r="AI84" s="55">
        <f t="shared" ca="1" si="38"/>
        <v>-1.5936822076724197</v>
      </c>
      <c r="AJ84" s="55">
        <f t="shared" ca="1" si="39"/>
        <v>58.590260624570156</v>
      </c>
      <c r="AK84" s="55">
        <f t="shared" ca="1" si="40"/>
        <v>-12.232803472112092</v>
      </c>
    </row>
    <row r="85" spans="18:37">
      <c r="R85" s="83">
        <f ca="1"/>
        <v>45461</v>
      </c>
      <c r="S85" s="55">
        <f t="shared" ca="1" si="33"/>
        <v>45461</v>
      </c>
      <c r="T85" s="55">
        <f t="shared" ca="1" si="27"/>
        <v>42.228188112089555</v>
      </c>
      <c r="U85" s="55">
        <f t="shared" ca="1" si="28"/>
        <v>38.500138770921893</v>
      </c>
      <c r="V85" s="55">
        <f t="shared" ca="1" si="29"/>
        <v>0</v>
      </c>
      <c r="W85" s="55">
        <f t="shared" ca="1" si="34"/>
        <v>-68.890558169451197</v>
      </c>
      <c r="X85" s="55">
        <f t="shared" ca="1" si="35"/>
        <v>55.645199826513959</v>
      </c>
      <c r="Y85" s="55">
        <f t="shared" ca="1" si="36"/>
        <v>31.317734438216643</v>
      </c>
      <c r="Z85">
        <f t="shared" ca="1" si="30"/>
        <v>120</v>
      </c>
      <c r="AA85">
        <f t="shared" ca="1" si="37"/>
        <v>140.0079094434449</v>
      </c>
      <c r="AB85">
        <f t="shared" ca="1" si="31"/>
        <v>0</v>
      </c>
      <c r="AC85">
        <f t="shared" ca="1" si="32"/>
        <v>0.97953261498127753</v>
      </c>
      <c r="AD85" s="83">
        <f ca="1"/>
        <v>45629</v>
      </c>
      <c r="AE85" s="55">
        <f t="shared" ref="AE85:AE148" ca="1" si="41">IF(AD85&gt;1,AD85,"")</f>
        <v>45629</v>
      </c>
      <c r="AF85" s="55">
        <f t="shared" ref="AF85:AF148" ca="1" si="42">VLOOKUP(AE85,ModelOutputs,2,FALSE)</f>
        <v>63.23936140513306</v>
      </c>
      <c r="AG85" s="55">
        <f t="shared" ref="AG85:AG148" ca="1" si="43">VLOOKUP(AE85,ModelOutputs,7,FALSE)</f>
        <v>13.682553224514987</v>
      </c>
      <c r="AH85" s="55">
        <f t="shared" ref="AH85:AH148" ca="1" si="44">VLOOKUP(AE85,ModelOutputs,6,FALSE)</f>
        <v>0</v>
      </c>
      <c r="AI85" s="55">
        <f t="shared" ca="1" si="38"/>
        <v>-1.5936822076724197</v>
      </c>
      <c r="AJ85" s="55">
        <f t="shared" ca="1" si="39"/>
        <v>59.628634305343574</v>
      </c>
      <c r="AK85" s="55">
        <f t="shared" ca="1" si="40"/>
        <v>-12.166730634997904</v>
      </c>
    </row>
    <row r="86" spans="18:37">
      <c r="R86" s="83">
        <f ca="1"/>
        <v>45462</v>
      </c>
      <c r="S86" s="55">
        <f t="shared" ca="1" si="33"/>
        <v>45462</v>
      </c>
      <c r="T86" s="55">
        <f t="shared" ca="1" si="27"/>
        <v>109.10919922273743</v>
      </c>
      <c r="U86" s="55">
        <f t="shared" ca="1" si="28"/>
        <v>42.757029279683515</v>
      </c>
      <c r="V86" s="55">
        <f t="shared" ca="1" si="29"/>
        <v>75.011399614991646</v>
      </c>
      <c r="W86" s="55">
        <f t="shared" ca="1" si="34"/>
        <v>-73.736050353308926</v>
      </c>
      <c r="X86" s="55">
        <f t="shared" ca="1" si="35"/>
        <v>56.355825356659359</v>
      </c>
      <c r="Y86" s="55">
        <f t="shared" ca="1" si="36"/>
        <v>31.579103096346813</v>
      </c>
      <c r="Z86">
        <f t="shared" ca="1" si="30"/>
        <v>120</v>
      </c>
      <c r="AA86">
        <f t="shared" ca="1" si="37"/>
        <v>148.1979094434449</v>
      </c>
      <c r="AB86">
        <f t="shared" ca="1" si="31"/>
        <v>0</v>
      </c>
      <c r="AC86">
        <f t="shared" ca="1" si="32"/>
        <v>0.98560154416937262</v>
      </c>
      <c r="AD86" s="83">
        <f ca="1"/>
        <v>45630</v>
      </c>
      <c r="AE86" s="55">
        <f t="shared" ca="1" si="41"/>
        <v>45630</v>
      </c>
      <c r="AF86" s="55">
        <f t="shared" ca="1" si="42"/>
        <v>63.633096775499382</v>
      </c>
      <c r="AG86" s="55">
        <f t="shared" ca="1" si="43"/>
        <v>14.341731378015776</v>
      </c>
      <c r="AH86" s="55">
        <f t="shared" ca="1" si="44"/>
        <v>0</v>
      </c>
      <c r="AI86" s="55">
        <f t="shared" ca="1" si="38"/>
        <v>-1.5936822076724197</v>
      </c>
      <c r="AJ86" s="55">
        <f t="shared" ca="1" si="39"/>
        <v>60.614336470598808</v>
      </c>
      <c r="AK86" s="55">
        <f t="shared" ca="1" si="40"/>
        <v>-12.099519276386012</v>
      </c>
    </row>
    <row r="87" spans="18:37">
      <c r="R87" s="83">
        <f ca="1"/>
        <v>45463</v>
      </c>
      <c r="S87" s="55">
        <f t="shared" ca="1" si="33"/>
        <v>45463</v>
      </c>
      <c r="T87" s="55">
        <f t="shared" ca="1" si="27"/>
        <v>105.30049891047264</v>
      </c>
      <c r="U87" s="55">
        <f t="shared" ca="1" si="28"/>
        <v>46.901899849321772</v>
      </c>
      <c r="V87" s="55">
        <f t="shared" ca="1" si="29"/>
        <v>0</v>
      </c>
      <c r="W87" s="55">
        <f t="shared" ca="1" si="34"/>
        <v>-74.315966144410083</v>
      </c>
      <c r="X87" s="55">
        <f t="shared" ca="1" si="35"/>
        <v>57.026846722170554</v>
      </c>
      <c r="Y87" s="55">
        <f t="shared" ca="1" si="36"/>
        <v>31.824167779310251</v>
      </c>
      <c r="Z87">
        <f t="shared" ca="1" si="30"/>
        <v>120</v>
      </c>
      <c r="AA87">
        <f t="shared" ca="1" si="37"/>
        <v>149.1979094434449</v>
      </c>
      <c r="AB87">
        <f t="shared" ca="1" si="31"/>
        <v>0</v>
      </c>
      <c r="AC87">
        <f t="shared" ca="1" si="32"/>
        <v>0.98950647171149719</v>
      </c>
      <c r="AD87" s="83">
        <f ca="1"/>
        <v>45631</v>
      </c>
      <c r="AE87" s="55">
        <f t="shared" ca="1" si="41"/>
        <v>45631</v>
      </c>
      <c r="AF87" s="55">
        <f t="shared" ca="1" si="42"/>
        <v>63.997270626439267</v>
      </c>
      <c r="AG87" s="55">
        <f t="shared" ca="1" si="43"/>
        <v>15.030781216905373</v>
      </c>
      <c r="AH87" s="55">
        <f t="shared" ca="1" si="44"/>
        <v>0</v>
      </c>
      <c r="AI87" s="55">
        <f t="shared" ca="1" si="38"/>
        <v>-1.5936822076724197</v>
      </c>
      <c r="AJ87" s="55">
        <f t="shared" ca="1" si="39"/>
        <v>61.598662809885731</v>
      </c>
      <c r="AK87" s="55">
        <f t="shared" ca="1" si="40"/>
        <v>-12.030621925843448</v>
      </c>
    </row>
    <row r="88" spans="18:37">
      <c r="R88" s="83">
        <f ca="1"/>
        <v>45464</v>
      </c>
      <c r="S88" s="55">
        <f t="shared" ca="1" si="33"/>
        <v>45464</v>
      </c>
      <c r="T88" s="55">
        <f t="shared" ca="1" si="27"/>
        <v>102.02633762188589</v>
      </c>
      <c r="U88" s="55">
        <f t="shared" ca="1" si="28"/>
        <v>50.406601297335108</v>
      </c>
      <c r="V88" s="55">
        <f t="shared" ca="1" si="29"/>
        <v>0</v>
      </c>
      <c r="W88" s="55">
        <f t="shared" ca="1" si="34"/>
        <v>-74.911563373310017</v>
      </c>
      <c r="X88" s="55">
        <f t="shared" ca="1" si="35"/>
        <v>57.630309092858191</v>
      </c>
      <c r="Y88" s="55">
        <f t="shared" ca="1" si="36"/>
        <v>32.046842796949129</v>
      </c>
      <c r="Z88">
        <f t="shared" ca="1" si="30"/>
        <v>120</v>
      </c>
      <c r="AA88">
        <f t="shared" ca="1" si="37"/>
        <v>150.25790944344487</v>
      </c>
      <c r="AB88">
        <f t="shared" ca="1" si="31"/>
        <v>0</v>
      </c>
      <c r="AC88">
        <f t="shared" ca="1" si="32"/>
        <v>0.99183145127661732</v>
      </c>
      <c r="AD88" s="83">
        <f ca="1"/>
        <v>45632</v>
      </c>
      <c r="AE88" s="55">
        <f t="shared" ca="1" si="41"/>
        <v>45632</v>
      </c>
      <c r="AF88" s="55">
        <f t="shared" ca="1" si="42"/>
        <v>64.308416860963689</v>
      </c>
      <c r="AG88" s="55">
        <f t="shared" ca="1" si="43"/>
        <v>15.724942815373465</v>
      </c>
      <c r="AH88" s="55">
        <f t="shared" ca="1" si="44"/>
        <v>0</v>
      </c>
      <c r="AI88" s="55">
        <f t="shared" ca="1" si="38"/>
        <v>-1.5936822076724197</v>
      </c>
      <c r="AJ88" s="55">
        <f t="shared" ca="1" si="39"/>
        <v>62.536349773318754</v>
      </c>
      <c r="AK88" s="55">
        <f t="shared" ca="1" si="40"/>
        <v>-11.963001056283954</v>
      </c>
    </row>
    <row r="89" spans="18:37">
      <c r="R89" s="83">
        <f ca="1"/>
        <v>45465</v>
      </c>
      <c r="S89" s="55">
        <f t="shared" ca="1" si="33"/>
        <v>45465</v>
      </c>
      <c r="T89" s="55">
        <f t="shared" ca="1" si="27"/>
        <v>97.905008616718689</v>
      </c>
      <c r="U89" s="55">
        <f t="shared" ca="1" si="28"/>
        <v>54.172318721494968</v>
      </c>
      <c r="V89" s="55">
        <f t="shared" ca="1" si="29"/>
        <v>0</v>
      </c>
      <c r="W89" s="55">
        <f t="shared" ca="1" si="34"/>
        <v>-76.09238291201774</v>
      </c>
      <c r="X89" s="55">
        <f t="shared" ca="1" si="35"/>
        <v>58.236855397248917</v>
      </c>
      <c r="Y89" s="55">
        <f t="shared" ca="1" si="36"/>
        <v>32.265504450258796</v>
      </c>
      <c r="Z89">
        <f t="shared" ca="1" si="30"/>
        <v>120</v>
      </c>
      <c r="AA89">
        <f t="shared" ca="1" si="37"/>
        <v>152.44790944344487</v>
      </c>
      <c r="AB89">
        <f t="shared" ca="1" si="31"/>
        <v>0</v>
      </c>
      <c r="AC89">
        <f t="shared" ca="1" si="32"/>
        <v>0.99366468529388408</v>
      </c>
      <c r="AD89" s="83">
        <f ca="1"/>
        <v>45633</v>
      </c>
      <c r="AE89" s="55">
        <f t="shared" ca="1" si="41"/>
        <v>45633</v>
      </c>
      <c r="AF89" s="55">
        <f t="shared" ca="1" si="42"/>
        <v>64.628294430998963</v>
      </c>
      <c r="AG89" s="55">
        <f t="shared" ca="1" si="43"/>
        <v>16.419771520490169</v>
      </c>
      <c r="AH89" s="55">
        <f t="shared" ca="1" si="44"/>
        <v>0</v>
      </c>
      <c r="AI89" s="55">
        <f t="shared" ca="1" si="38"/>
        <v>-1.5936822076724197</v>
      </c>
      <c r="AJ89" s="55">
        <f t="shared" ca="1" si="39"/>
        <v>63.485129288749967</v>
      </c>
      <c r="AK89" s="55">
        <f t="shared" ca="1" si="40"/>
        <v>-11.897074296563193</v>
      </c>
    </row>
    <row r="90" spans="18:37">
      <c r="R90" s="83">
        <f ca="1"/>
        <v>45466</v>
      </c>
      <c r="S90" s="55">
        <f t="shared" ca="1" si="33"/>
        <v>45466</v>
      </c>
      <c r="T90" s="55">
        <f t="shared" ca="1" si="27"/>
        <v>92.013027431042801</v>
      </c>
      <c r="U90" s="55">
        <f t="shared" ca="1" si="28"/>
        <v>59.54254727453413</v>
      </c>
      <c r="V90" s="55">
        <f t="shared" ca="1" si="29"/>
        <v>0</v>
      </c>
      <c r="W90" s="55">
        <f t="shared" ca="1" si="34"/>
        <v>-77.541654770163504</v>
      </c>
      <c r="X90" s="55">
        <f t="shared" ca="1" si="35"/>
        <v>58.929850551158644</v>
      </c>
      <c r="Y90" s="55">
        <f t="shared" ca="1" si="36"/>
        <v>32.500028521858106</v>
      </c>
      <c r="Z90">
        <f t="shared" ca="1" si="30"/>
        <v>120</v>
      </c>
      <c r="AA90">
        <f t="shared" ca="1" si="37"/>
        <v>155.30790944344488</v>
      </c>
      <c r="AB90">
        <f t="shared" ca="1" si="31"/>
        <v>0</v>
      </c>
      <c r="AC90">
        <f t="shared" ca="1" si="32"/>
        <v>0.99548844446555829</v>
      </c>
      <c r="AD90" s="83">
        <f ca="1"/>
        <v>45634</v>
      </c>
      <c r="AE90" s="55">
        <f t="shared" ca="1" si="41"/>
        <v>45634</v>
      </c>
      <c r="AF90" s="55">
        <f t="shared" ca="1" si="42"/>
        <v>64.910765179142061</v>
      </c>
      <c r="AG90" s="55">
        <f t="shared" ca="1" si="43"/>
        <v>17.174158424606031</v>
      </c>
      <c r="AH90" s="55">
        <f t="shared" ca="1" si="44"/>
        <v>0</v>
      </c>
      <c r="AI90" s="55">
        <f t="shared" ca="1" si="38"/>
        <v>-1.5936822076724197</v>
      </c>
      <c r="AJ90" s="55">
        <f t="shared" ca="1" si="39"/>
        <v>64.451944178107439</v>
      </c>
      <c r="AK90" s="55">
        <f t="shared" ca="1" si="40"/>
        <v>-11.82703153366171</v>
      </c>
    </row>
    <row r="91" spans="18:37">
      <c r="R91" s="83">
        <f ca="1"/>
        <v>45467</v>
      </c>
      <c r="S91" s="55">
        <f t="shared" ca="1" si="33"/>
        <v>45467</v>
      </c>
      <c r="T91" s="55">
        <f t="shared" ca="1" si="27"/>
        <v>87.010643207063879</v>
      </c>
      <c r="U91" s="55">
        <f t="shared" ca="1" si="28"/>
        <v>64.377570018828635</v>
      </c>
      <c r="V91" s="55">
        <f t="shared" ca="1" si="29"/>
        <v>0</v>
      </c>
      <c r="W91" s="55">
        <f t="shared" ca="1" si="34"/>
        <v>-78.562327445696795</v>
      </c>
      <c r="X91" s="55">
        <f t="shared" ca="1" si="35"/>
        <v>59.56715639434784</v>
      </c>
      <c r="Y91" s="55">
        <f t="shared" ca="1" si="36"/>
        <v>32.716033874517784</v>
      </c>
      <c r="Z91">
        <f t="shared" ca="1" si="30"/>
        <v>120</v>
      </c>
      <c r="AA91">
        <f t="shared" ca="1" si="37"/>
        <v>157.43790944344488</v>
      </c>
      <c r="AB91">
        <f t="shared" ca="1" si="31"/>
        <v>0</v>
      </c>
      <c r="AC91">
        <f t="shared" ca="1" si="32"/>
        <v>0.99661089212712883</v>
      </c>
      <c r="AD91" s="83">
        <f ca="1"/>
        <v>45635</v>
      </c>
      <c r="AE91" s="55">
        <f t="shared" ca="1" si="41"/>
        <v>45635</v>
      </c>
      <c r="AF91" s="55">
        <f t="shared" ca="1" si="42"/>
        <v>65.260010064263568</v>
      </c>
      <c r="AG91" s="55">
        <f t="shared" ca="1" si="43"/>
        <v>18.001027482871841</v>
      </c>
      <c r="AH91" s="55">
        <f t="shared" ca="1" si="44"/>
        <v>0</v>
      </c>
      <c r="AI91" s="55">
        <f t="shared" ca="1" si="38"/>
        <v>-1.5936822076724197</v>
      </c>
      <c r="AJ91" s="55">
        <f t="shared" ca="1" si="39"/>
        <v>65.552907092387656</v>
      </c>
      <c r="AK91" s="55">
        <f t="shared" ca="1" si="40"/>
        <v>-11.751880504554606</v>
      </c>
    </row>
    <row r="92" spans="18:37">
      <c r="R92" s="83">
        <f ca="1"/>
        <v>45468</v>
      </c>
      <c r="S92" s="55">
        <f t="shared" ca="1" si="33"/>
        <v>45468</v>
      </c>
      <c r="T92" s="55">
        <f t="shared" ca="1" si="27"/>
        <v>83.030113612872256</v>
      </c>
      <c r="U92" s="55">
        <f t="shared" ca="1" si="28"/>
        <v>69.062868518947838</v>
      </c>
      <c r="V92" s="55">
        <f t="shared" ca="1" si="29"/>
        <v>0</v>
      </c>
      <c r="W92" s="55">
        <f t="shared" ca="1" si="34"/>
        <v>-78.676644268786987</v>
      </c>
      <c r="X92" s="55">
        <f t="shared" ca="1" si="35"/>
        <v>60.180522986060041</v>
      </c>
      <c r="Y92" s="55">
        <f t="shared" ca="1" si="36"/>
        <v>32.921753011823348</v>
      </c>
      <c r="Z92">
        <f t="shared" ca="1" si="30"/>
        <v>120</v>
      </c>
      <c r="AA92">
        <f t="shared" ca="1" si="37"/>
        <v>157.68790944344488</v>
      </c>
      <c r="AB92">
        <f t="shared" ca="1" si="31"/>
        <v>0</v>
      </c>
      <c r="AC92">
        <f t="shared" ca="1" si="32"/>
        <v>0.99739261586570338</v>
      </c>
      <c r="AD92" s="83">
        <f ca="1"/>
        <v>45636</v>
      </c>
      <c r="AE92" s="55">
        <f t="shared" ca="1" si="41"/>
        <v>45636</v>
      </c>
      <c r="AF92" s="55">
        <f t="shared" ca="1" si="42"/>
        <v>65.585913523868157</v>
      </c>
      <c r="AG92" s="55">
        <f t="shared" ca="1" si="43"/>
        <v>18.906749791520127</v>
      </c>
      <c r="AH92" s="55">
        <f t="shared" ca="1" si="44"/>
        <v>0</v>
      </c>
      <c r="AI92" s="55">
        <f t="shared" ca="1" si="38"/>
        <v>-1.5936822076724197</v>
      </c>
      <c r="AJ92" s="55">
        <f t="shared" ca="1" si="39"/>
        <v>66.704003590093009</v>
      </c>
      <c r="AK92" s="55">
        <f t="shared" ca="1" si="40"/>
        <v>-11.671351234007094</v>
      </c>
    </row>
    <row r="93" spans="18:37">
      <c r="R93" s="83">
        <f ca="1"/>
        <v>45469</v>
      </c>
      <c r="S93" s="55">
        <f t="shared" ca="1" si="33"/>
        <v>45469</v>
      </c>
      <c r="T93" s="55">
        <f t="shared" ca="1" si="27"/>
        <v>78.421573690457038</v>
      </c>
      <c r="U93" s="55">
        <f t="shared" ca="1" si="28"/>
        <v>73.556281283251124</v>
      </c>
      <c r="V93" s="55">
        <f t="shared" ca="1" si="29"/>
        <v>0</v>
      </c>
      <c r="W93" s="55">
        <f t="shared" ca="1" si="34"/>
        <v>-79.579287947409611</v>
      </c>
      <c r="X93" s="55">
        <f t="shared" ca="1" si="35"/>
        <v>60.771750619341312</v>
      </c>
      <c r="Y93" s="55">
        <f t="shared" ca="1" si="36"/>
        <v>33.118041899052777</v>
      </c>
      <c r="Z93">
        <f t="shared" ca="1" si="30"/>
        <v>120</v>
      </c>
      <c r="AA93">
        <f t="shared" ca="1" si="37"/>
        <v>159.77790944344488</v>
      </c>
      <c r="AB93">
        <f t="shared" ca="1" si="31"/>
        <v>0</v>
      </c>
      <c r="AC93">
        <f t="shared" ca="1" si="32"/>
        <v>0.99794797721052186</v>
      </c>
      <c r="AD93" s="83">
        <f ca="1"/>
        <v>45637</v>
      </c>
      <c r="AE93" s="55">
        <f t="shared" ca="1" si="41"/>
        <v>45637</v>
      </c>
      <c r="AF93" s="55">
        <f t="shared" ca="1" si="42"/>
        <v>65.830313011534813</v>
      </c>
      <c r="AG93" s="55">
        <f t="shared" ca="1" si="43"/>
        <v>19.824323112335335</v>
      </c>
      <c r="AH93" s="55">
        <f t="shared" ca="1" si="44"/>
        <v>0</v>
      </c>
      <c r="AI93" s="55">
        <f t="shared" ca="1" si="38"/>
        <v>-1.5936822076724197</v>
      </c>
      <c r="AJ93" s="55">
        <f t="shared" ca="1" si="39"/>
        <v>67.78748358029425</v>
      </c>
      <c r="AK93" s="55">
        <f t="shared" ca="1" si="40"/>
        <v>-11.592858415726475</v>
      </c>
    </row>
    <row r="94" spans="18:37">
      <c r="R94" s="83">
        <f ca="1"/>
        <v>45470</v>
      </c>
      <c r="S94" s="55">
        <f t="shared" ca="1" si="33"/>
        <v>45470</v>
      </c>
      <c r="T94" s="55">
        <f t="shared" ca="1" si="27"/>
        <v>74.420856662793952</v>
      </c>
      <c r="U94" s="55">
        <f t="shared" ca="1" si="28"/>
        <v>78.345473953785415</v>
      </c>
      <c r="V94" s="55">
        <f t="shared" ca="1" si="29"/>
        <v>0</v>
      </c>
      <c r="W94" s="55">
        <f t="shared" ca="1" si="34"/>
        <v>-79.579287947409611</v>
      </c>
      <c r="X94" s="55">
        <f t="shared" ca="1" si="35"/>
        <v>61.367242050578191</v>
      </c>
      <c r="Y94" s="55">
        <f t="shared" ca="1" si="36"/>
        <v>33.311026110687102</v>
      </c>
      <c r="Z94">
        <f t="shared" ca="1" si="30"/>
        <v>119.93043478260869</v>
      </c>
      <c r="AA94">
        <f t="shared" ca="1" si="37"/>
        <v>159.77790944344488</v>
      </c>
      <c r="AB94">
        <f t="shared" ca="1" si="31"/>
        <v>0</v>
      </c>
      <c r="AC94">
        <f t="shared" ca="1" si="32"/>
        <v>0.99839241106282373</v>
      </c>
      <c r="AD94" s="83">
        <f ca="1"/>
        <v>45638</v>
      </c>
      <c r="AE94" s="55">
        <f t="shared" ca="1" si="41"/>
        <v>45638</v>
      </c>
      <c r="AF94" s="55">
        <f t="shared" ca="1" si="42"/>
        <v>65.985911248673119</v>
      </c>
      <c r="AG94" s="55">
        <f t="shared" ca="1" si="43"/>
        <v>20.774924294925292</v>
      </c>
      <c r="AH94" s="55">
        <f t="shared" ca="1" si="44"/>
        <v>0</v>
      </c>
      <c r="AI94" s="55">
        <f t="shared" ca="1" si="38"/>
        <v>-1.5936822076724197</v>
      </c>
      <c r="AJ94" s="55">
        <f t="shared" ca="1" si="39"/>
        <v>68.815128423462482</v>
      </c>
      <c r="AK94" s="55">
        <f t="shared" ca="1" si="40"/>
        <v>-11.514303839166452</v>
      </c>
    </row>
    <row r="95" spans="18:37">
      <c r="R95" s="83">
        <f ca="1"/>
        <v>45471</v>
      </c>
      <c r="S95" s="55">
        <f t="shared" ca="1" si="33"/>
        <v>45471</v>
      </c>
      <c r="T95" s="55">
        <f t="shared" ca="1" si="27"/>
        <v>70.053952440616598</v>
      </c>
      <c r="U95" s="55">
        <f t="shared" ca="1" si="28"/>
        <v>83.174581693086338</v>
      </c>
      <c r="V95" s="55">
        <f t="shared" ca="1" si="29"/>
        <v>0</v>
      </c>
      <c r="W95" s="55">
        <f t="shared" ca="1" si="34"/>
        <v>-79.891789755880822</v>
      </c>
      <c r="X95" s="55">
        <f t="shared" ca="1" si="35"/>
        <v>61.954830710448284</v>
      </c>
      <c r="Y95" s="55">
        <f t="shared" ca="1" si="36"/>
        <v>33.49814277641179</v>
      </c>
      <c r="Z95">
        <f t="shared" ca="1" si="30"/>
        <v>120</v>
      </c>
      <c r="AA95">
        <f t="shared" ca="1" si="37"/>
        <v>160.58791012800339</v>
      </c>
      <c r="AB95">
        <f t="shared" ca="1" si="31"/>
        <v>0</v>
      </c>
      <c r="AC95">
        <f t="shared" ca="1" si="32"/>
        <v>0.99873025434691354</v>
      </c>
      <c r="AD95" s="83">
        <f ca="1"/>
        <v>45639</v>
      </c>
      <c r="AE95" s="55">
        <f t="shared" ca="1" si="41"/>
        <v>45639</v>
      </c>
      <c r="AF95" s="55">
        <f t="shared" ca="1" si="42"/>
        <v>66.045168326074659</v>
      </c>
      <c r="AG95" s="55">
        <f t="shared" ca="1" si="43"/>
        <v>21.724821366214396</v>
      </c>
      <c r="AH95" s="55">
        <f t="shared" ca="1" si="44"/>
        <v>0</v>
      </c>
      <c r="AI95" s="55">
        <f t="shared" ca="1" si="38"/>
        <v>-1.5936822076724197</v>
      </c>
      <c r="AJ95" s="55">
        <f t="shared" ca="1" si="39"/>
        <v>69.74884614364359</v>
      </c>
      <c r="AK95" s="55">
        <f t="shared" ca="1" si="40"/>
        <v>-11.438867410656925</v>
      </c>
    </row>
    <row r="96" spans="18:37">
      <c r="R96" s="83">
        <f ca="1"/>
        <v>45472</v>
      </c>
      <c r="S96" s="55">
        <f t="shared" ca="1" si="33"/>
        <v>45472</v>
      </c>
      <c r="T96" s="55">
        <f t="shared" ca="1" si="27"/>
        <v>65.404661061551863</v>
      </c>
      <c r="U96" s="55">
        <f t="shared" ca="1" si="28"/>
        <v>87.951110907396767</v>
      </c>
      <c r="V96" s="55">
        <f t="shared" ca="1" si="29"/>
        <v>0</v>
      </c>
      <c r="W96" s="55">
        <f t="shared" ca="1" si="34"/>
        <v>-80.522139025532013</v>
      </c>
      <c r="X96" s="55">
        <f t="shared" ca="1" si="35"/>
        <v>62.531589283882731</v>
      </c>
      <c r="Y96" s="55">
        <f t="shared" ca="1" si="36"/>
        <v>33.678971307874221</v>
      </c>
      <c r="Z96">
        <f t="shared" ca="1" si="30"/>
        <v>120</v>
      </c>
      <c r="AA96">
        <f t="shared" ca="1" si="37"/>
        <v>162.33791012800339</v>
      </c>
      <c r="AB96">
        <f t="shared" ca="1" si="31"/>
        <v>0</v>
      </c>
      <c r="AC96">
        <f t="shared" ca="1" si="32"/>
        <v>0.99898561993273927</v>
      </c>
      <c r="AD96" s="83">
        <f ca="1"/>
        <v>45640</v>
      </c>
      <c r="AE96" s="55">
        <f t="shared" ca="1" si="41"/>
        <v>45640</v>
      </c>
      <c r="AF96" s="55">
        <f t="shared" ca="1" si="42"/>
        <v>66.072729422762947</v>
      </c>
      <c r="AG96" s="55">
        <f t="shared" ca="1" si="43"/>
        <v>22.685819962916309</v>
      </c>
      <c r="AH96" s="55">
        <f t="shared" ca="1" si="44"/>
        <v>0</v>
      </c>
      <c r="AI96" s="55">
        <f t="shared" ca="1" si="38"/>
        <v>-1.5936822076724197</v>
      </c>
      <c r="AJ96" s="55">
        <f t="shared" ca="1" si="39"/>
        <v>70.663815464744715</v>
      </c>
      <c r="AK96" s="55">
        <f t="shared" ca="1" si="40"/>
        <v>-11.36527703836785</v>
      </c>
    </row>
    <row r="97" spans="18:37">
      <c r="R97" s="83">
        <f ca="1"/>
        <v>45473</v>
      </c>
      <c r="S97" s="55">
        <f t="shared" ca="1" si="33"/>
        <v>45473</v>
      </c>
      <c r="T97" s="55">
        <f t="shared" ca="1" si="27"/>
        <v>60.376375937328405</v>
      </c>
      <c r="U97" s="55">
        <f t="shared" ca="1" si="28"/>
        <v>93.315267863128753</v>
      </c>
      <c r="V97" s="55">
        <f t="shared" ca="1" si="29"/>
        <v>0</v>
      </c>
      <c r="W97" s="55">
        <f t="shared" ca="1" si="34"/>
        <v>-80.961049027998158</v>
      </c>
      <c r="X97" s="55">
        <f t="shared" ca="1" si="35"/>
        <v>63.125860471504495</v>
      </c>
      <c r="Y97" s="55">
        <f t="shared" ca="1" si="36"/>
        <v>33.859481954227135</v>
      </c>
      <c r="Z97">
        <f t="shared" ca="1" si="30"/>
        <v>120</v>
      </c>
      <c r="AA97">
        <f t="shared" ca="1" si="37"/>
        <v>163.65791012800338</v>
      </c>
      <c r="AB97">
        <f t="shared" ca="1" si="31"/>
        <v>0</v>
      </c>
      <c r="AC97">
        <f t="shared" ca="1" si="32"/>
        <v>0.99920448489079294</v>
      </c>
      <c r="AD97" s="83">
        <f ca="1"/>
        <v>45641</v>
      </c>
      <c r="AE97" s="55">
        <f t="shared" ca="1" si="41"/>
        <v>45641</v>
      </c>
      <c r="AF97" s="55">
        <f t="shared" ca="1" si="42"/>
        <v>66.036194943699442</v>
      </c>
      <c r="AG97" s="55">
        <f t="shared" ca="1" si="43"/>
        <v>23.750225832518737</v>
      </c>
      <c r="AH97" s="55">
        <f t="shared" ca="1" si="44"/>
        <v>0</v>
      </c>
      <c r="AI97" s="55">
        <f t="shared" ca="1" si="38"/>
        <v>-1.5936822076724197</v>
      </c>
      <c r="AJ97" s="55">
        <f t="shared" ca="1" si="39"/>
        <v>71.6123411567727</v>
      </c>
      <c r="AK97" s="55">
        <f t="shared" ca="1" si="40"/>
        <v>-11.285931339856916</v>
      </c>
    </row>
    <row r="98" spans="18:37">
      <c r="R98" s="83">
        <f ca="1"/>
        <v>45474</v>
      </c>
      <c r="S98" s="55">
        <f t="shared" ca="1" si="33"/>
        <v>45474</v>
      </c>
      <c r="T98" s="55">
        <f t="shared" ca="1" si="27"/>
        <v>56.415544843135244</v>
      </c>
      <c r="U98" s="55">
        <f t="shared" ca="1" si="28"/>
        <v>98.004652191625269</v>
      </c>
      <c r="V98" s="55">
        <f t="shared" ca="1" si="29"/>
        <v>0</v>
      </c>
      <c r="W98" s="55">
        <f t="shared" ca="1" si="34"/>
        <v>-80.961049027998158</v>
      </c>
      <c r="X98" s="55">
        <f t="shared" ca="1" si="35"/>
        <v>63.684857293535281</v>
      </c>
      <c r="Y98" s="55">
        <f t="shared" ca="1" si="36"/>
        <v>34.029038366499705</v>
      </c>
      <c r="Z98">
        <f t="shared" ca="1" si="30"/>
        <v>119.68695652173912</v>
      </c>
      <c r="AA98">
        <f t="shared" ca="1" si="37"/>
        <v>163.65791012800338</v>
      </c>
      <c r="AB98">
        <f t="shared" ca="1" si="31"/>
        <v>0</v>
      </c>
      <c r="AC98">
        <f t="shared" ca="1" si="32"/>
        <v>0.9993522871291447</v>
      </c>
      <c r="AD98" s="83">
        <f ca="1"/>
        <v>45642</v>
      </c>
      <c r="AE98" s="55">
        <f t="shared" ca="1" si="41"/>
        <v>45642</v>
      </c>
      <c r="AF98" s="55">
        <f t="shared" ca="1" si="42"/>
        <v>65.96549628579541</v>
      </c>
      <c r="AG98" s="55">
        <f t="shared" ca="1" si="43"/>
        <v>24.85828188150786</v>
      </c>
      <c r="AH98" s="55">
        <f t="shared" ca="1" si="44"/>
        <v>0</v>
      </c>
      <c r="AI98" s="55">
        <f t="shared" ca="1" si="38"/>
        <v>-1.5936822076724197</v>
      </c>
      <c r="AJ98" s="55">
        <f t="shared" ca="1" si="39"/>
        <v>72.570070564158868</v>
      </c>
      <c r="AK98" s="55">
        <f t="shared" ca="1" si="40"/>
        <v>-11.206303356157985</v>
      </c>
    </row>
    <row r="99" spans="18:37">
      <c r="R99" s="83">
        <f ca="1"/>
        <v>45475</v>
      </c>
      <c r="S99" s="55">
        <f t="shared" ca="1" si="33"/>
        <v>45475</v>
      </c>
      <c r="T99" s="55">
        <f t="shared" ca="1" si="27"/>
        <v>131.02739482527522</v>
      </c>
      <c r="U99" s="55">
        <f t="shared" ca="1" si="28"/>
        <v>103.74053176917297</v>
      </c>
      <c r="V99" s="55">
        <f t="shared" ca="1" si="29"/>
        <v>81.374280821524877</v>
      </c>
      <c r="W99" s="55">
        <f t="shared" ca="1" si="34"/>
        <v>-82.755430242586286</v>
      </c>
      <c r="X99" s="55">
        <f t="shared" ca="1" si="35"/>
        <v>64.279738401322732</v>
      </c>
      <c r="Y99" s="55">
        <f t="shared" ca="1" si="36"/>
        <v>34.201987211463205</v>
      </c>
      <c r="Z99">
        <f t="shared" ca="1" si="30"/>
        <v>120</v>
      </c>
      <c r="AA99">
        <f t="shared" ca="1" si="37"/>
        <v>166.15791130651223</v>
      </c>
      <c r="AB99">
        <f t="shared" ca="1" si="31"/>
        <v>0</v>
      </c>
      <c r="AC99">
        <f t="shared" ca="1" si="32"/>
        <v>0.99949240254292182</v>
      </c>
      <c r="AD99" s="83">
        <f ca="1"/>
        <v>45643</v>
      </c>
      <c r="AE99" s="55">
        <f t="shared" ca="1" si="41"/>
        <v>45643</v>
      </c>
      <c r="AF99" s="55">
        <f t="shared" ca="1" si="42"/>
        <v>65.813701567354428</v>
      </c>
      <c r="AG99" s="55">
        <f t="shared" ca="1" si="43"/>
        <v>26.04064254661743</v>
      </c>
      <c r="AH99" s="55">
        <f t="shared" ca="1" si="44"/>
        <v>0</v>
      </c>
      <c r="AI99" s="55">
        <f t="shared" ca="1" si="38"/>
        <v>-1.5936822076724197</v>
      </c>
      <c r="AJ99" s="55">
        <f t="shared" ca="1" si="39"/>
        <v>73.518457245872128</v>
      </c>
      <c r="AK99" s="55">
        <f t="shared" ca="1" si="40"/>
        <v>-11.124124091202653</v>
      </c>
    </row>
    <row r="100" spans="18:37">
      <c r="R100" s="83">
        <f ca="1"/>
        <v>45476</v>
      </c>
      <c r="S100" s="55">
        <f t="shared" ca="1" si="33"/>
        <v>45476</v>
      </c>
      <c r="T100" s="55">
        <f t="shared" ca="1" si="27"/>
        <v>126.21830741859343</v>
      </c>
      <c r="U100" s="55">
        <f t="shared" ca="1" si="28"/>
        <v>109.29706339749656</v>
      </c>
      <c r="V100" s="55">
        <f t="shared" ca="1" si="29"/>
        <v>0</v>
      </c>
      <c r="W100" s="55">
        <f t="shared" ca="1" si="34"/>
        <v>-82.755430242586286</v>
      </c>
      <c r="X100" s="55">
        <f t="shared" ca="1" si="35"/>
        <v>64.860693215275532</v>
      </c>
      <c r="Y100" s="55">
        <f t="shared" ca="1" si="36"/>
        <v>34.368476619152197</v>
      </c>
      <c r="Z100">
        <f t="shared" ca="1" si="30"/>
        <v>119.75652173913043</v>
      </c>
      <c r="AA100">
        <f t="shared" ca="1" si="37"/>
        <v>166.15791130651223</v>
      </c>
      <c r="AB100">
        <f t="shared" ca="1" si="31"/>
        <v>0</v>
      </c>
      <c r="AC100">
        <f t="shared" ca="1" si="32"/>
        <v>0.99959635312235151</v>
      </c>
      <c r="AD100" s="83">
        <f ca="1"/>
        <v>45644</v>
      </c>
      <c r="AE100" s="55">
        <f t="shared" ca="1" si="41"/>
        <v>45644</v>
      </c>
      <c r="AF100" s="55">
        <f t="shared" ca="1" si="42"/>
        <v>65.679026723314365</v>
      </c>
      <c r="AG100" s="55">
        <f t="shared" ca="1" si="43"/>
        <v>27.237807669666328</v>
      </c>
      <c r="AH100" s="55">
        <f t="shared" ca="1" si="44"/>
        <v>0</v>
      </c>
      <c r="AI100" s="55">
        <f t="shared" ca="1" si="38"/>
        <v>-1.5936822076724197</v>
      </c>
      <c r="AJ100" s="55">
        <f t="shared" ca="1" si="39"/>
        <v>74.501241367238336</v>
      </c>
      <c r="AK100" s="55">
        <f t="shared" ca="1" si="40"/>
        <v>-11.044417933560013</v>
      </c>
    </row>
    <row r="101" spans="18:37">
      <c r="R101" s="83">
        <f ca="1"/>
        <v>45477</v>
      </c>
      <c r="S101" s="55">
        <f t="shared" ca="1" si="33"/>
        <v>45477</v>
      </c>
      <c r="T101" s="55">
        <f t="shared" ca="1" si="27"/>
        <v>120.02661231799746</v>
      </c>
      <c r="U101" s="55">
        <f t="shared" ca="1" si="28"/>
        <v>116.29111823242181</v>
      </c>
      <c r="V101" s="55">
        <f t="shared" ca="1" si="29"/>
        <v>0</v>
      </c>
      <c r="W101" s="55">
        <f t="shared" ca="1" si="34"/>
        <v>-82.755430242586286</v>
      </c>
      <c r="X101" s="55">
        <f t="shared" ca="1" si="35"/>
        <v>65.491008799103582</v>
      </c>
      <c r="Y101" s="55">
        <f t="shared" ca="1" si="36"/>
        <v>34.540520769653433</v>
      </c>
      <c r="Z101">
        <f t="shared" ca="1" si="30"/>
        <v>118.24347930496248</v>
      </c>
      <c r="AA101">
        <f t="shared" ca="1" si="37"/>
        <v>166.15791130651223</v>
      </c>
      <c r="AB101">
        <f t="shared" ca="1" si="31"/>
        <v>0</v>
      </c>
      <c r="AC101">
        <f t="shared" ca="1" si="32"/>
        <v>0.9996949603326688</v>
      </c>
      <c r="AD101" s="83">
        <f ca="1"/>
        <v>45645</v>
      </c>
      <c r="AE101" s="55">
        <f t="shared" ca="1" si="41"/>
        <v>45645</v>
      </c>
      <c r="AF101" s="55">
        <f t="shared" ca="1" si="42"/>
        <v>65.504684215170698</v>
      </c>
      <c r="AG101" s="55">
        <f t="shared" ca="1" si="43"/>
        <v>28.423621438435568</v>
      </c>
      <c r="AH101" s="55">
        <f t="shared" ca="1" si="44"/>
        <v>0</v>
      </c>
      <c r="AI101" s="55">
        <f t="shared" ca="1" si="38"/>
        <v>-1.5936822076724197</v>
      </c>
      <c r="AJ101" s="55">
        <f t="shared" ca="1" si="39"/>
        <v>75.437125333581619</v>
      </c>
      <c r="AK101" s="55">
        <f t="shared" ca="1" si="40"/>
        <v>-10.968830639277733</v>
      </c>
    </row>
    <row r="102" spans="18:37">
      <c r="R102" s="83">
        <f ca="1"/>
        <v>45478</v>
      </c>
      <c r="S102" s="55">
        <f t="shared" ca="1" si="33"/>
        <v>45478</v>
      </c>
      <c r="T102" s="55">
        <f t="shared" ca="1" si="27"/>
        <v>113.86965828039165</v>
      </c>
      <c r="U102" s="55">
        <f t="shared" ca="1" si="28"/>
        <v>123.02502366267508</v>
      </c>
      <c r="V102" s="55">
        <f t="shared" ca="1" si="29"/>
        <v>0</v>
      </c>
      <c r="W102" s="55">
        <f t="shared" ca="1" si="34"/>
        <v>-82.956107094178904</v>
      </c>
      <c r="X102" s="55">
        <f t="shared" ca="1" si="35"/>
        <v>66.103753338158839</v>
      </c>
      <c r="Y102" s="55">
        <f t="shared" ca="1" si="36"/>
        <v>34.705404474838261</v>
      </c>
      <c r="Z102">
        <f t="shared" ca="1" si="30"/>
        <v>120</v>
      </c>
      <c r="AA102">
        <f t="shared" ca="1" si="37"/>
        <v>166.47791482653395</v>
      </c>
      <c r="AB102">
        <f t="shared" ca="1" si="31"/>
        <v>0</v>
      </c>
      <c r="AC102">
        <f t="shared" ca="1" si="32"/>
        <v>0.99976533811098134</v>
      </c>
      <c r="AD102" s="83">
        <f ca="1"/>
        <v>45646</v>
      </c>
      <c r="AE102" s="55">
        <f t="shared" ca="1" si="41"/>
        <v>45646</v>
      </c>
      <c r="AF102" s="55">
        <f t="shared" ca="1" si="42"/>
        <v>65.238905255575716</v>
      </c>
      <c r="AG102" s="55">
        <f t="shared" ca="1" si="43"/>
        <v>29.662531633499771</v>
      </c>
      <c r="AH102" s="55">
        <f t="shared" ca="1" si="44"/>
        <v>0</v>
      </c>
      <c r="AI102" s="55">
        <f t="shared" ca="1" si="38"/>
        <v>-1.5936822076724197</v>
      </c>
      <c r="AJ102" s="55">
        <f t="shared" ca="1" si="39"/>
        <v>76.334079706285038</v>
      </c>
      <c r="AK102" s="55">
        <f t="shared" ca="1" si="40"/>
        <v>-10.892653776511921</v>
      </c>
    </row>
    <row r="103" spans="18:37">
      <c r="R103" s="83">
        <f ca="1"/>
        <v>45479</v>
      </c>
      <c r="S103" s="55">
        <f t="shared" ca="1" si="33"/>
        <v>45479</v>
      </c>
      <c r="T103" s="55">
        <f t="shared" ca="1" si="27"/>
        <v>104.70843290647132</v>
      </c>
      <c r="U103" s="55">
        <f t="shared" ca="1" si="28"/>
        <v>130.83216094150643</v>
      </c>
      <c r="V103" s="55">
        <f t="shared" ca="1" si="29"/>
        <v>0</v>
      </c>
      <c r="W103" s="55">
        <f t="shared" ca="1" si="34"/>
        <v>-85.124330412103049</v>
      </c>
      <c r="X103" s="55">
        <f t="shared" ca="1" si="35"/>
        <v>66.75067102064169</v>
      </c>
      <c r="Y103" s="55">
        <f t="shared" ca="1" si="36"/>
        <v>34.872622015190565</v>
      </c>
      <c r="Z103">
        <f t="shared" ca="1" si="30"/>
        <v>120</v>
      </c>
      <c r="AA103">
        <f t="shared" ca="1" si="37"/>
        <v>170.23791482653394</v>
      </c>
      <c r="AB103">
        <f t="shared" ca="1" si="31"/>
        <v>0</v>
      </c>
      <c r="AC103">
        <f t="shared" ca="1" si="32"/>
        <v>0.99982558254247622</v>
      </c>
      <c r="AD103" s="83">
        <f ca="1"/>
        <v>45647</v>
      </c>
      <c r="AE103" s="55">
        <f t="shared" ca="1" si="41"/>
        <v>45647</v>
      </c>
      <c r="AF103" s="55">
        <f t="shared" ca="1" si="42"/>
        <v>64.879869545080581</v>
      </c>
      <c r="AG103" s="55">
        <f t="shared" ca="1" si="43"/>
        <v>30.952411064428048</v>
      </c>
      <c r="AH103" s="55">
        <f t="shared" ca="1" si="44"/>
        <v>0</v>
      </c>
      <c r="AI103" s="55">
        <f t="shared" ca="1" si="38"/>
        <v>-1.5936822076724197</v>
      </c>
      <c r="AJ103" s="55">
        <f t="shared" ca="1" si="39"/>
        <v>77.188479168067772</v>
      </c>
      <c r="AK103" s="55">
        <f t="shared" ca="1" si="40"/>
        <v>-10.816209517861509</v>
      </c>
    </row>
    <row r="104" spans="18:37">
      <c r="R104" s="83">
        <f ca="1"/>
        <v>45480</v>
      </c>
      <c r="S104" s="55">
        <f t="shared" ca="1" si="33"/>
        <v>45480</v>
      </c>
      <c r="T104" s="55">
        <f t="shared" ca="1" si="27"/>
        <v>97.954759637505617</v>
      </c>
      <c r="U104" s="55">
        <f t="shared" ca="1" si="28"/>
        <v>136.86255028392932</v>
      </c>
      <c r="V104" s="55">
        <f t="shared" ca="1" si="29"/>
        <v>0</v>
      </c>
      <c r="W104" s="55">
        <f t="shared" ca="1" si="34"/>
        <v>-86.575480488935781</v>
      </c>
      <c r="X104" s="55">
        <f t="shared" ca="1" si="35"/>
        <v>67.327429594076136</v>
      </c>
      <c r="Y104" s="55">
        <f t="shared" ca="1" si="36"/>
        <v>35.023729592046045</v>
      </c>
      <c r="Z104">
        <f t="shared" ca="1" si="30"/>
        <v>120</v>
      </c>
      <c r="AA104">
        <f t="shared" ca="1" si="37"/>
        <v>172.92791482653394</v>
      </c>
      <c r="AB104">
        <f t="shared" ca="1" si="31"/>
        <v>0</v>
      </c>
      <c r="AC104">
        <f t="shared" ca="1" si="32"/>
        <v>0.9998606913310405</v>
      </c>
      <c r="AD104" s="83">
        <f ca="1"/>
        <v>45648</v>
      </c>
      <c r="AE104" s="55">
        <f t="shared" ca="1" si="41"/>
        <v>45648</v>
      </c>
      <c r="AF104" s="55">
        <f t="shared" ca="1" si="42"/>
        <v>64.416072360717891</v>
      </c>
      <c r="AG104" s="55">
        <f t="shared" ca="1" si="43"/>
        <v>32.345330082340062</v>
      </c>
      <c r="AH104" s="55">
        <f t="shared" ca="1" si="44"/>
        <v>0</v>
      </c>
      <c r="AI104" s="55">
        <f t="shared" ca="1" si="38"/>
        <v>-1.5936822076724197</v>
      </c>
      <c r="AJ104" s="55">
        <f t="shared" ca="1" si="39"/>
        <v>78.03769618749449</v>
      </c>
      <c r="AK104" s="55">
        <f t="shared" ca="1" si="40"/>
        <v>-10.736304703738909</v>
      </c>
    </row>
    <row r="105" spans="18:37">
      <c r="R105" s="83">
        <f ca="1"/>
        <v>45481</v>
      </c>
      <c r="S105" s="55">
        <f t="shared" ca="1" si="33"/>
        <v>45481</v>
      </c>
      <c r="T105" s="55">
        <f t="shared" ca="1" si="27"/>
        <v>91.525388247320564</v>
      </c>
      <c r="U105" s="55">
        <f t="shared" ca="1" si="28"/>
        <v>142.33259040855839</v>
      </c>
      <c r="V105" s="55">
        <f t="shared" ca="1" si="29"/>
        <v>0</v>
      </c>
      <c r="W105" s="55">
        <f t="shared" ca="1" si="34"/>
        <v>-88.233814407585058</v>
      </c>
      <c r="X105" s="55">
        <f t="shared" ca="1" si="35"/>
        <v>67.8823336819937</v>
      </c>
      <c r="Y105" s="55">
        <f t="shared" ca="1" si="36"/>
        <v>35.16782815722177</v>
      </c>
      <c r="Z105">
        <f t="shared" ca="1" si="30"/>
        <v>120</v>
      </c>
      <c r="AA105">
        <f t="shared" ca="1" si="37"/>
        <v>176.21791482653396</v>
      </c>
      <c r="AB105">
        <f t="shared" ca="1" si="31"/>
        <v>0</v>
      </c>
      <c r="AC105">
        <f t="shared" ca="1" si="32"/>
        <v>0.99988608131145362</v>
      </c>
      <c r="AD105" s="83">
        <f ca="1"/>
        <v>45649</v>
      </c>
      <c r="AE105" s="55">
        <f t="shared" ca="1" si="41"/>
        <v>45649</v>
      </c>
      <c r="AF105" s="55">
        <f t="shared" ca="1" si="42"/>
        <v>63.909271705072953</v>
      </c>
      <c r="AG105" s="55">
        <f t="shared" ca="1" si="43"/>
        <v>33.794976079201</v>
      </c>
      <c r="AH105" s="55">
        <f t="shared" ca="1" si="44"/>
        <v>0</v>
      </c>
      <c r="AI105" s="55">
        <f t="shared" ca="1" si="38"/>
        <v>-1.5936822076724197</v>
      </c>
      <c r="AJ105" s="55">
        <f t="shared" ca="1" si="39"/>
        <v>78.900543303469547</v>
      </c>
      <c r="AK105" s="55">
        <f t="shared" ca="1" si="40"/>
        <v>-10.656306478497967</v>
      </c>
    </row>
    <row r="106" spans="18:37">
      <c r="R106" s="83">
        <f ca="1"/>
        <v>45482</v>
      </c>
      <c r="S106" s="55">
        <f t="shared" ca="1" si="33"/>
        <v>45482</v>
      </c>
      <c r="T106" s="55">
        <f t="shared" ca="1" si="27"/>
        <v>85.987103692230448</v>
      </c>
      <c r="U106" s="55">
        <f t="shared" ca="1" si="28"/>
        <v>147.9992530644366</v>
      </c>
      <c r="V106" s="55">
        <f t="shared" ca="1" si="29"/>
        <v>0</v>
      </c>
      <c r="W106" s="55">
        <f t="shared" ca="1" si="34"/>
        <v>-88.806812527551543</v>
      </c>
      <c r="X106" s="55">
        <f t="shared" ca="1" si="35"/>
        <v>68.441916773218935</v>
      </c>
      <c r="Y106" s="55">
        <f t="shared" ca="1" si="36"/>
        <v>35.30962128675111</v>
      </c>
      <c r="Z106">
        <f t="shared" ca="1" si="30"/>
        <v>120</v>
      </c>
      <c r="AA106">
        <f t="shared" ca="1" si="37"/>
        <v>177.42791482653394</v>
      </c>
      <c r="AB106">
        <f t="shared" ca="1" si="31"/>
        <v>0</v>
      </c>
      <c r="AC106">
        <f t="shared" ca="1" si="32"/>
        <v>0.99990731755227136</v>
      </c>
      <c r="AD106" s="83">
        <f ca="1"/>
        <v>45650</v>
      </c>
      <c r="AE106" s="55">
        <f t="shared" ca="1" si="41"/>
        <v>45650</v>
      </c>
      <c r="AF106" s="55">
        <f t="shared" ca="1" si="42"/>
        <v>63.357582651969601</v>
      </c>
      <c r="AG106" s="55">
        <f t="shared" ca="1" si="43"/>
        <v>35.344501553514576</v>
      </c>
      <c r="AH106" s="55">
        <f t="shared" ca="1" si="44"/>
        <v>0</v>
      </c>
      <c r="AI106" s="55">
        <f t="shared" ca="1" si="38"/>
        <v>-1.5936822076724197</v>
      </c>
      <c r="AJ106" s="55">
        <f t="shared" ca="1" si="39"/>
        <v>79.8157609388292</v>
      </c>
      <c r="AK106" s="55">
        <f t="shared" ca="1" si="40"/>
        <v>-10.573687692647397</v>
      </c>
    </row>
    <row r="107" spans="18:37">
      <c r="R107" s="83">
        <f ca="1"/>
        <v>45483</v>
      </c>
      <c r="S107" s="55">
        <f t="shared" ca="1" si="33"/>
        <v>45483</v>
      </c>
      <c r="T107" s="55">
        <f t="shared" ca="1" si="27"/>
        <v>79.739957155826971</v>
      </c>
      <c r="U107" s="55">
        <f t="shared" ca="1" si="28"/>
        <v>153.34079537017371</v>
      </c>
      <c r="V107" s="55">
        <f t="shared" ca="1" si="29"/>
        <v>0</v>
      </c>
      <c r="W107" s="55">
        <f t="shared" ca="1" si="34"/>
        <v>-90.396526803834959</v>
      </c>
      <c r="X107" s="55">
        <f t="shared" ca="1" si="35"/>
        <v>68.989271761167402</v>
      </c>
      <c r="Y107" s="55">
        <f t="shared" ca="1" si="36"/>
        <v>35.446376344419683</v>
      </c>
      <c r="Z107">
        <f t="shared" ca="1" si="30"/>
        <v>120</v>
      </c>
      <c r="AA107">
        <f t="shared" ca="1" si="37"/>
        <v>181.04791482653394</v>
      </c>
      <c r="AB107">
        <f t="shared" ca="1" si="31"/>
        <v>0</v>
      </c>
      <c r="AC107">
        <f t="shared" ca="1" si="32"/>
        <v>0.99992358023552363</v>
      </c>
      <c r="AD107" s="83">
        <f ca="1"/>
        <v>45651</v>
      </c>
      <c r="AE107" s="55">
        <f t="shared" ca="1" si="41"/>
        <v>45651</v>
      </c>
      <c r="AF107" s="55">
        <f t="shared" ca="1" si="42"/>
        <v>62.67725397893394</v>
      </c>
      <c r="AG107" s="55">
        <f t="shared" ca="1" si="43"/>
        <v>36.999871322482257</v>
      </c>
      <c r="AH107" s="55">
        <f t="shared" ca="1" si="44"/>
        <v>0</v>
      </c>
      <c r="AI107" s="55">
        <f t="shared" ca="1" si="38"/>
        <v>-1.5936822076724197</v>
      </c>
      <c r="AJ107" s="55">
        <f t="shared" ca="1" si="39"/>
        <v>80.705553503765685</v>
      </c>
      <c r="AK107" s="55">
        <f t="shared" ca="1" si="40"/>
        <v>-10.488439161651854</v>
      </c>
    </row>
    <row r="108" spans="18:37">
      <c r="R108" s="83">
        <f ca="1"/>
        <v>45484</v>
      </c>
      <c r="S108" s="55">
        <f t="shared" ca="1" si="33"/>
        <v>45484</v>
      </c>
      <c r="T108" s="55">
        <f t="shared" ca="1" si="27"/>
        <v>74.215321714348747</v>
      </c>
      <c r="U108" s="55">
        <f t="shared" ca="1" si="28"/>
        <v>159.31626621680459</v>
      </c>
      <c r="V108" s="55">
        <f t="shared" ca="1" si="29"/>
        <v>0</v>
      </c>
      <c r="W108" s="55">
        <f t="shared" ca="1" si="34"/>
        <v>-90.649934482036414</v>
      </c>
      <c r="X108" s="55">
        <f t="shared" ca="1" si="35"/>
        <v>69.556512643697673</v>
      </c>
      <c r="Y108" s="55">
        <f t="shared" ca="1" si="36"/>
        <v>35.583378545243527</v>
      </c>
      <c r="Z108">
        <f t="shared" ca="1" si="30"/>
        <v>120</v>
      </c>
      <c r="AA108">
        <f t="shared" ca="1" si="37"/>
        <v>181.66791482653394</v>
      </c>
      <c r="AB108">
        <f t="shared" ca="1" si="31"/>
        <v>0</v>
      </c>
      <c r="AC108">
        <f t="shared" ca="1" si="32"/>
        <v>0.9999383390702723</v>
      </c>
      <c r="AD108" s="83">
        <f ca="1"/>
        <v>45652</v>
      </c>
      <c r="AE108" s="55">
        <f t="shared" ca="1" si="41"/>
        <v>45652</v>
      </c>
      <c r="AF108" s="55">
        <f t="shared" ca="1" si="42"/>
        <v>61.895199851633954</v>
      </c>
      <c r="AG108" s="55">
        <f t="shared" ca="1" si="43"/>
        <v>38.679473623624958</v>
      </c>
      <c r="AH108" s="55">
        <f t="shared" ca="1" si="44"/>
        <v>0</v>
      </c>
      <c r="AI108" s="55">
        <f t="shared" ca="1" si="38"/>
        <v>-1.5936822076724197</v>
      </c>
      <c r="AJ108" s="55">
        <f t="shared" ca="1" si="39"/>
        <v>81.520521409739743</v>
      </c>
      <c r="AK108" s="55">
        <f t="shared" ca="1" si="40"/>
        <v>-10.405858893783208</v>
      </c>
    </row>
    <row r="109" spans="18:37">
      <c r="R109" s="83">
        <f ca="1"/>
        <v>45485</v>
      </c>
      <c r="S109" s="55">
        <f t="shared" ca="1" si="33"/>
        <v>45485</v>
      </c>
      <c r="T109" s="55">
        <f t="shared" ca="1" si="27"/>
        <v>67.830132155391723</v>
      </c>
      <c r="U109" s="55">
        <f t="shared" ca="1" si="28"/>
        <v>164.81481110526889</v>
      </c>
      <c r="V109" s="55">
        <f t="shared" ca="1" si="29"/>
        <v>0</v>
      </c>
      <c r="W109" s="55">
        <f t="shared" ca="1" si="34"/>
        <v>-92.218874930152438</v>
      </c>
      <c r="X109" s="55">
        <f t="shared" ca="1" si="35"/>
        <v>70.107343489722581</v>
      </c>
      <c r="Y109" s="55">
        <f t="shared" ca="1" si="36"/>
        <v>35.714843476841914</v>
      </c>
      <c r="Z109">
        <f t="shared" ca="1" si="30"/>
        <v>120</v>
      </c>
      <c r="AA109">
        <f t="shared" ca="1" si="37"/>
        <v>185.86791482653393</v>
      </c>
      <c r="AB109">
        <f t="shared" ca="1" si="31"/>
        <v>0</v>
      </c>
      <c r="AC109">
        <f t="shared" ca="1" si="32"/>
        <v>0.99994935266417906</v>
      </c>
      <c r="AD109" s="83">
        <f ca="1"/>
        <v>45653</v>
      </c>
      <c r="AE109" s="55">
        <f t="shared" ca="1" si="41"/>
        <v>45653</v>
      </c>
      <c r="AF109" s="55">
        <f t="shared" ca="1" si="42"/>
        <v>61.037735252271766</v>
      </c>
      <c r="AG109" s="55">
        <f t="shared" ca="1" si="43"/>
        <v>40.365059675299911</v>
      </c>
      <c r="AH109" s="55">
        <f t="shared" ca="1" si="44"/>
        <v>0</v>
      </c>
      <c r="AI109" s="55">
        <f t="shared" ca="1" si="38"/>
        <v>-1.5936822076724197</v>
      </c>
      <c r="AJ109" s="55">
        <f t="shared" ca="1" si="39"/>
        <v>82.269513497315259</v>
      </c>
      <c r="AK109" s="55">
        <f t="shared" ca="1" si="40"/>
        <v>-10.326729529045963</v>
      </c>
    </row>
    <row r="110" spans="18:37">
      <c r="R110" s="83">
        <f ca="1"/>
        <v>45486</v>
      </c>
      <c r="S110" s="55">
        <f t="shared" ca="1" si="33"/>
        <v>45486</v>
      </c>
      <c r="T110" s="55">
        <f t="shared" ca="1" si="27"/>
        <v>62.142693809062507</v>
      </c>
      <c r="U110" s="55">
        <f t="shared" ca="1" si="28"/>
        <v>170.01709197926925</v>
      </c>
      <c r="V110" s="55">
        <f t="shared" ca="1" si="29"/>
        <v>0</v>
      </c>
      <c r="W110" s="55">
        <f t="shared" ca="1" si="34"/>
        <v>-93.372207302498609</v>
      </c>
      <c r="X110" s="55">
        <f t="shared" ca="1" si="35"/>
        <v>70.648363148479234</v>
      </c>
      <c r="Y110" s="55">
        <f t="shared" ca="1" si="36"/>
        <v>35.841998718102587</v>
      </c>
      <c r="Z110">
        <f t="shared" ca="1" si="30"/>
        <v>120</v>
      </c>
      <c r="AA110">
        <f t="shared" ca="1" si="37"/>
        <v>189.23791482653394</v>
      </c>
      <c r="AB110">
        <f t="shared" ca="1" si="31"/>
        <v>0</v>
      </c>
      <c r="AC110">
        <f t="shared" ca="1" si="32"/>
        <v>0.99995794635180979</v>
      </c>
      <c r="AD110" s="83">
        <f ca="1"/>
        <v>45654</v>
      </c>
      <c r="AE110" s="55">
        <f t="shared" ca="1" si="41"/>
        <v>45654</v>
      </c>
      <c r="AF110" s="55">
        <f t="shared" ca="1" si="42"/>
        <v>60.129419693544094</v>
      </c>
      <c r="AG110" s="55">
        <f t="shared" ca="1" si="43"/>
        <v>42.116412148535488</v>
      </c>
      <c r="AH110" s="55">
        <f t="shared" ca="1" si="44"/>
        <v>0</v>
      </c>
      <c r="AI110" s="55">
        <f t="shared" ca="1" si="38"/>
        <v>-1.5936822076724197</v>
      </c>
      <c r="AJ110" s="55">
        <f t="shared" ca="1" si="39"/>
        <v>83.03343848082838</v>
      </c>
      <c r="AK110" s="55">
        <f t="shared" ca="1" si="40"/>
        <v>-10.247617598051178</v>
      </c>
    </row>
    <row r="111" spans="18:37">
      <c r="R111" s="83">
        <f ca="1"/>
        <v>45487</v>
      </c>
      <c r="S111" s="55">
        <f t="shared" ca="1" si="33"/>
        <v>45487</v>
      </c>
      <c r="T111" s="55">
        <f t="shared" ca="1" si="27"/>
        <v>163.17090786793406</v>
      </c>
      <c r="U111" s="55">
        <f t="shared" ca="1" si="28"/>
        <v>176.88613183623559</v>
      </c>
      <c r="V111" s="55">
        <f t="shared" ca="1" si="29"/>
        <v>108.14529362243525</v>
      </c>
      <c r="W111" s="55">
        <f t="shared" ca="1" si="34"/>
        <v>-94.349699690540433</v>
      </c>
      <c r="X111" s="55">
        <f t="shared" ca="1" si="35"/>
        <v>71.24507643678173</v>
      </c>
      <c r="Y111" s="55">
        <f t="shared" ca="1" si="36"/>
        <v>35.974738111244591</v>
      </c>
      <c r="Z111">
        <f t="shared" ca="1" si="30"/>
        <v>120</v>
      </c>
      <c r="AA111">
        <f t="shared" ca="1" si="37"/>
        <v>190.32791482653391</v>
      </c>
      <c r="AB111">
        <f t="shared" ca="1" si="31"/>
        <v>0</v>
      </c>
      <c r="AC111">
        <f t="shared" ca="1" si="32"/>
        <v>0.99996711074850486</v>
      </c>
      <c r="AD111" s="83">
        <f ca="1"/>
        <v>45655</v>
      </c>
      <c r="AE111" s="55">
        <f t="shared" ca="1" si="41"/>
        <v>45655</v>
      </c>
      <c r="AF111" s="55">
        <f t="shared" ca="1" si="42"/>
        <v>59.171102274550314</v>
      </c>
      <c r="AG111" s="55">
        <f t="shared" ca="1" si="43"/>
        <v>43.919800489911815</v>
      </c>
      <c r="AH111" s="55">
        <f t="shared" ca="1" si="44"/>
        <v>0</v>
      </c>
      <c r="AI111" s="55">
        <f t="shared" ca="1" si="38"/>
        <v>-1.5936822076724197</v>
      </c>
      <c r="AJ111" s="55">
        <f t="shared" ca="1" si="39"/>
        <v>83.800223381912659</v>
      </c>
      <c r="AK111" s="55">
        <f t="shared" ca="1" si="40"/>
        <v>-10.169331576752917</v>
      </c>
    </row>
    <row r="112" spans="18:37">
      <c r="R112" s="83">
        <f ca="1"/>
        <v>45488</v>
      </c>
      <c r="S112" s="55">
        <f t="shared" ca="1" si="33"/>
        <v>45488</v>
      </c>
      <c r="T112" s="55">
        <f t="shared" ca="1" si="27"/>
        <v>152.62049568629169</v>
      </c>
      <c r="U112" s="55">
        <f t="shared" ca="1" si="28"/>
        <v>183.72504777909282</v>
      </c>
      <c r="V112" s="55">
        <f t="shared" ca="1" si="29"/>
        <v>0</v>
      </c>
      <c r="W112" s="55">
        <f t="shared" ca="1" si="34"/>
        <v>-98.787638278148776</v>
      </c>
      <c r="X112" s="55">
        <f t="shared" ca="1" si="35"/>
        <v>71.841789725084226</v>
      </c>
      <c r="Y112" s="55">
        <f t="shared" ca="1" si="36"/>
        <v>36.104467171765336</v>
      </c>
      <c r="Z112">
        <f t="shared" ca="1" si="30"/>
        <v>120</v>
      </c>
      <c r="AA112">
        <f t="shared" ca="1" si="37"/>
        <v>195.60791482653391</v>
      </c>
      <c r="AB112">
        <f t="shared" ca="1" si="31"/>
        <v>0</v>
      </c>
      <c r="AC112">
        <f t="shared" ca="1" si="32"/>
        <v>0.99997427807693073</v>
      </c>
      <c r="AD112" s="83">
        <f ca="1"/>
        <v>45656</v>
      </c>
      <c r="AE112" s="55">
        <f t="shared" ca="1" si="41"/>
        <v>45656</v>
      </c>
      <c r="AF112" s="55">
        <f t="shared" ca="1" si="42"/>
        <v>58.186041948575642</v>
      </c>
      <c r="AG112" s="55">
        <f t="shared" ca="1" si="43"/>
        <v>45.740655064093126</v>
      </c>
      <c r="AH112" s="55">
        <f t="shared" ca="1" si="44"/>
        <v>0</v>
      </c>
      <c r="AI112" s="55">
        <f t="shared" ca="1" si="38"/>
        <v>-1.5936822076724197</v>
      </c>
      <c r="AJ112" s="55">
        <f t="shared" ca="1" si="39"/>
        <v>84.560227718736911</v>
      </c>
      <c r="AK112" s="55">
        <f t="shared" ca="1" si="40"/>
        <v>-10.09354166537053</v>
      </c>
    </row>
    <row r="113" spans="18:37">
      <c r="R113" s="83">
        <f ca="1"/>
        <v>45489</v>
      </c>
      <c r="S113" s="55">
        <f t="shared" ca="1" si="33"/>
        <v>45489</v>
      </c>
      <c r="T113" s="55">
        <f t="shared" ca="1" si="27"/>
        <v>142.46272014065275</v>
      </c>
      <c r="U113" s="55">
        <f t="shared" ca="1" si="28"/>
        <v>191.7869744228787</v>
      </c>
      <c r="V113" s="55">
        <f t="shared" ca="1" si="29"/>
        <v>0</v>
      </c>
      <c r="W113" s="55">
        <f t="shared" ca="1" si="34"/>
        <v>-101.65919119367949</v>
      </c>
      <c r="X113" s="55">
        <f t="shared" ca="1" si="35"/>
        <v>72.484210430212187</v>
      </c>
      <c r="Y113" s="55">
        <f t="shared" ca="1" si="36"/>
        <v>36.237750480315022</v>
      </c>
      <c r="Z113">
        <f t="shared" ca="1" si="30"/>
        <v>120</v>
      </c>
      <c r="AA113">
        <f t="shared" ca="1" si="37"/>
        <v>199.26791482653391</v>
      </c>
      <c r="AB113">
        <f t="shared" ca="1" si="31"/>
        <v>0</v>
      </c>
      <c r="AC113">
        <f t="shared" ca="1" si="32"/>
        <v>0.99998079724974953</v>
      </c>
      <c r="AD113" s="83">
        <f ca="1"/>
        <v>45657</v>
      </c>
      <c r="AE113" s="55">
        <f t="shared" ca="1" si="41"/>
        <v>45657</v>
      </c>
      <c r="AF113" s="55">
        <f t="shared" ca="1" si="42"/>
        <v>57.152890620709684</v>
      </c>
      <c r="AG113" s="55">
        <f t="shared" ca="1" si="43"/>
        <v>47.478732974469843</v>
      </c>
      <c r="AH113" s="55">
        <f t="shared" ca="1" si="44"/>
        <v>0</v>
      </c>
      <c r="AI113" s="55">
        <f t="shared" ca="1" si="38"/>
        <v>-1.5936822076724197</v>
      </c>
      <c r="AJ113" s="55">
        <f t="shared" ca="1" si="39"/>
        <v>85.195983338473425</v>
      </c>
      <c r="AK113" s="55">
        <f t="shared" ca="1" si="40"/>
        <v>-10.024370702596286</v>
      </c>
    </row>
    <row r="114" spans="18:37">
      <c r="R114" s="83">
        <f ca="1"/>
        <v>45490</v>
      </c>
      <c r="S114" s="55">
        <f t="shared" ca="1" si="33"/>
        <v>45490</v>
      </c>
      <c r="T114" s="55">
        <f t="shared" ca="1" si="27"/>
        <v>136.44434558445298</v>
      </c>
      <c r="U114" s="55">
        <f t="shared" ca="1" si="28"/>
        <v>198.46500202269564</v>
      </c>
      <c r="V114" s="55">
        <f t="shared" ca="1" si="29"/>
        <v>0</v>
      </c>
      <c r="W114" s="55">
        <f t="shared" ca="1" si="34"/>
        <v>-101.719305803908</v>
      </c>
      <c r="X114" s="55">
        <f t="shared" ca="1" si="35"/>
        <v>73.080312588261137</v>
      </c>
      <c r="Y114" s="55">
        <f t="shared" ca="1" si="36"/>
        <v>36.361415976111758</v>
      </c>
      <c r="Z114">
        <f t="shared" ca="1" si="30"/>
        <v>120</v>
      </c>
      <c r="AA114">
        <f t="shared" ca="1" si="37"/>
        <v>199.34791482653389</v>
      </c>
      <c r="AB114">
        <f t="shared" ca="1" si="31"/>
        <v>0</v>
      </c>
      <c r="AC114">
        <f t="shared" ca="1" si="32"/>
        <v>0.999984972451332</v>
      </c>
      <c r="AD114" s="83">
        <f ca="1"/>
        <v>45658</v>
      </c>
      <c r="AE114" s="55">
        <f t="shared" ca="1" si="41"/>
        <v>45658</v>
      </c>
      <c r="AF114" s="55">
        <f t="shared" ca="1" si="42"/>
        <v>55.917576855235126</v>
      </c>
      <c r="AG114" s="55">
        <f t="shared" ca="1" si="43"/>
        <v>49.548756942672007</v>
      </c>
      <c r="AH114" s="55">
        <f t="shared" ca="1" si="44"/>
        <v>0</v>
      </c>
      <c r="AI114" s="55">
        <f t="shared" ca="1" si="38"/>
        <v>-1.5936822076724197</v>
      </c>
      <c r="AJ114" s="55">
        <f t="shared" ca="1" si="39"/>
        <v>85.949510932228677</v>
      </c>
      <c r="AK114" s="55">
        <f t="shared" ca="1" si="40"/>
        <v>-9.9431880936239239</v>
      </c>
    </row>
    <row r="115" spans="18:37">
      <c r="R115" s="83">
        <f ca="1"/>
        <v>45491</v>
      </c>
      <c r="S115" s="55">
        <f t="shared" ca="1" si="33"/>
        <v>45491</v>
      </c>
      <c r="T115" s="55">
        <f t="shared" ca="1" si="27"/>
        <v>130.2182830114067</v>
      </c>
      <c r="U115" s="55">
        <f t="shared" ca="1" si="28"/>
        <v>205.28151680174156</v>
      </c>
      <c r="V115" s="55">
        <f t="shared" ca="1" si="29"/>
        <v>0</v>
      </c>
      <c r="W115" s="55">
        <f t="shared" ca="1" si="34"/>
        <v>-101.85556319569675</v>
      </c>
      <c r="X115" s="55">
        <f t="shared" ca="1" si="35"/>
        <v>73.685007318744368</v>
      </c>
      <c r="Y115" s="55">
        <f t="shared" ca="1" si="36"/>
        <v>36.483430843416919</v>
      </c>
      <c r="Z115">
        <f t="shared" ca="1" si="30"/>
        <v>120</v>
      </c>
      <c r="AA115">
        <f t="shared" ca="1" si="37"/>
        <v>199.53791482653389</v>
      </c>
      <c r="AB115">
        <f t="shared" ca="1" si="31"/>
        <v>0</v>
      </c>
      <c r="AC115">
        <f t="shared" ca="1" si="32"/>
        <v>0.99998834423965943</v>
      </c>
      <c r="AD115" s="83">
        <f ca="1"/>
        <v>45659</v>
      </c>
      <c r="AE115" s="55">
        <f t="shared" ca="1" si="41"/>
        <v>45659</v>
      </c>
      <c r="AF115" s="55">
        <f t="shared" ca="1" si="42"/>
        <v>54.576584970382413</v>
      </c>
      <c r="AG115" s="55">
        <f t="shared" ca="1" si="43"/>
        <v>51.747295473591805</v>
      </c>
      <c r="AH115" s="55">
        <f t="shared" ca="1" si="44"/>
        <v>0</v>
      </c>
      <c r="AI115" s="55">
        <f t="shared" ca="1" si="38"/>
        <v>-1.5936822076724197</v>
      </c>
      <c r="AJ115" s="55">
        <f t="shared" ca="1" si="39"/>
        <v>86.72359115878352</v>
      </c>
      <c r="AK115" s="55">
        <f t="shared" ca="1" si="40"/>
        <v>-9.8597216741116895</v>
      </c>
    </row>
    <row r="116" spans="18:37">
      <c r="R116" s="83">
        <f ca="1"/>
        <v>45492</v>
      </c>
      <c r="S116" s="55">
        <f t="shared" ca="1" si="33"/>
        <v>45492</v>
      </c>
      <c r="T116" s="55">
        <f t="shared" ca="1" si="27"/>
        <v>122.23274664944002</v>
      </c>
      <c r="U116" s="55">
        <f t="shared" ca="1" si="28"/>
        <v>212.81546729293251</v>
      </c>
      <c r="V116" s="55">
        <f t="shared" ca="1" si="29"/>
        <v>0</v>
      </c>
      <c r="W116" s="55">
        <f t="shared" ca="1" si="34"/>
        <v>-103.0672617276999</v>
      </c>
      <c r="X116" s="55">
        <f t="shared" ca="1" si="35"/>
        <v>74.32167564300363</v>
      </c>
      <c r="Y116" s="55">
        <f t="shared" ca="1" si="36"/>
        <v>36.606875180385082</v>
      </c>
      <c r="Z116">
        <f t="shared" ca="1" si="30"/>
        <v>120</v>
      </c>
      <c r="AA116">
        <f t="shared" ca="1" si="37"/>
        <v>201.3379148265339</v>
      </c>
      <c r="AB116">
        <f t="shared" ca="1" si="31"/>
        <v>0</v>
      </c>
      <c r="AC116">
        <f t="shared" ca="1" si="32"/>
        <v>0.99999124838683717</v>
      </c>
      <c r="AD116" s="83">
        <f ca="1"/>
        <v>45660</v>
      </c>
      <c r="AE116" s="55">
        <f t="shared" ca="1" si="41"/>
        <v>45660</v>
      </c>
      <c r="AF116" s="55">
        <f t="shared" ca="1" si="42"/>
        <v>53.213400005522494</v>
      </c>
      <c r="AG116" s="55">
        <f t="shared" ca="1" si="43"/>
        <v>54.017460145470494</v>
      </c>
      <c r="AH116" s="55">
        <f t="shared" ca="1" si="44"/>
        <v>0</v>
      </c>
      <c r="AI116" s="55">
        <f t="shared" ca="1" si="38"/>
        <v>-1.5936822076724197</v>
      </c>
      <c r="AJ116" s="55">
        <f t="shared" ca="1" si="39"/>
        <v>87.54773857487308</v>
      </c>
      <c r="AK116" s="55">
        <f t="shared" ca="1" si="40"/>
        <v>-9.7768893831824712</v>
      </c>
    </row>
    <row r="117" spans="18:37">
      <c r="R117" s="83">
        <f ca="1"/>
        <v>45493</v>
      </c>
      <c r="S117" s="55">
        <f t="shared" ca="1" si="33"/>
        <v>45493</v>
      </c>
      <c r="T117" s="55">
        <f t="shared" ca="1" si="27"/>
        <v>113.54510585926695</v>
      </c>
      <c r="U117" s="55">
        <f t="shared" ca="1" si="28"/>
        <v>220.68971434133272</v>
      </c>
      <c r="V117" s="55">
        <f t="shared" ca="1" si="29"/>
        <v>0</v>
      </c>
      <c r="W117" s="55">
        <f t="shared" ca="1" si="34"/>
        <v>-104.66182995346264</v>
      </c>
      <c r="X117" s="55">
        <f t="shared" ca="1" si="35"/>
        <v>74.979598151359568</v>
      </c>
      <c r="Y117" s="55">
        <f t="shared" ca="1" si="36"/>
        <v>36.730127156019023</v>
      </c>
      <c r="Z117">
        <f t="shared" ca="1" si="30"/>
        <v>120</v>
      </c>
      <c r="AA117">
        <f t="shared" ca="1" si="37"/>
        <v>203.88791482653392</v>
      </c>
      <c r="AB117">
        <f t="shared" ca="1" si="31"/>
        <v>0</v>
      </c>
      <c r="AC117">
        <f t="shared" ca="1" si="32"/>
        <v>0.99999356558967334</v>
      </c>
      <c r="AD117" s="83">
        <f ca="1"/>
        <v>45661</v>
      </c>
      <c r="AE117" s="55">
        <f t="shared" ca="1" si="41"/>
        <v>45661</v>
      </c>
      <c r="AF117" s="55">
        <f t="shared" ca="1" si="42"/>
        <v>51.850008562389078</v>
      </c>
      <c r="AG117" s="55">
        <f t="shared" ca="1" si="43"/>
        <v>56.163154180509444</v>
      </c>
      <c r="AH117" s="55">
        <f t="shared" ca="1" si="44"/>
        <v>0</v>
      </c>
      <c r="AI117" s="55">
        <f t="shared" ca="1" si="38"/>
        <v>-1.5936822076724197</v>
      </c>
      <c r="AJ117" s="55">
        <f t="shared" ca="1" si="39"/>
        <v>88.256106788000437</v>
      </c>
      <c r="AK117" s="55">
        <f t="shared" ca="1" si="40"/>
        <v>-9.7029550044042878</v>
      </c>
    </row>
    <row r="118" spans="18:37">
      <c r="R118" s="83">
        <f ca="1"/>
        <v>45494</v>
      </c>
      <c r="S118" s="55">
        <f t="shared" ca="1" si="33"/>
        <v>45494</v>
      </c>
      <c r="T118" s="55">
        <f t="shared" ca="1" si="27"/>
        <v>104.33503005489801</v>
      </c>
      <c r="U118" s="55">
        <f t="shared" ca="1" si="28"/>
        <v>228.62415322278679</v>
      </c>
      <c r="V118" s="55">
        <f t="shared" ca="1" si="29"/>
        <v>0</v>
      </c>
      <c r="W118" s="55">
        <f t="shared" ca="1" si="34"/>
        <v>-106.73038533194236</v>
      </c>
      <c r="X118" s="55">
        <f t="shared" ca="1" si="35"/>
        <v>75.650619516870762</v>
      </c>
      <c r="Y118" s="55">
        <f t="shared" ca="1" si="36"/>
        <v>36.852024246072673</v>
      </c>
      <c r="Z118">
        <f t="shared" ca="1" si="30"/>
        <v>120</v>
      </c>
      <c r="AA118">
        <f t="shared" ca="1" si="37"/>
        <v>207.48791482653394</v>
      </c>
      <c r="AB118">
        <f t="shared" ca="1" si="31"/>
        <v>0</v>
      </c>
      <c r="AC118">
        <f t="shared" ca="1" si="32"/>
        <v>0.99999532912899036</v>
      </c>
      <c r="AD118" s="83">
        <f ca="1"/>
        <v>45662</v>
      </c>
      <c r="AE118" s="55">
        <f t="shared" ca="1" si="41"/>
        <v>45662</v>
      </c>
      <c r="AF118" s="55">
        <f t="shared" ca="1" si="42"/>
        <v>50.462751007036658</v>
      </c>
      <c r="AG118" s="55">
        <f t="shared" ca="1" si="43"/>
        <v>58.288120904580836</v>
      </c>
      <c r="AH118" s="55">
        <f t="shared" ca="1" si="44"/>
        <v>0</v>
      </c>
      <c r="AI118" s="55">
        <f t="shared" ca="1" si="38"/>
        <v>-1.5936822076724197</v>
      </c>
      <c r="AJ118" s="55">
        <f t="shared" ca="1" si="39"/>
        <v>88.923502938273913</v>
      </c>
      <c r="AK118" s="55">
        <f t="shared" ca="1" si="40"/>
        <v>-9.6326419859587915</v>
      </c>
    </row>
    <row r="119" spans="18:37">
      <c r="R119" s="83">
        <f ca="1"/>
        <v>45495</v>
      </c>
      <c r="S119" s="55">
        <f t="shared" ca="1" si="33"/>
        <v>45495</v>
      </c>
      <c r="T119" s="55">
        <f t="shared" ca="1" si="27"/>
        <v>96.019895505289767</v>
      </c>
      <c r="U119" s="55">
        <f t="shared" ca="1" si="28"/>
        <v>235.36413898249353</v>
      </c>
      <c r="V119" s="55">
        <f t="shared" ca="1" si="29"/>
        <v>0</v>
      </c>
      <c r="W119" s="55">
        <f t="shared" ca="1" si="34"/>
        <v>-109.05184025486879</v>
      </c>
      <c r="X119" s="55">
        <f t="shared" ca="1" si="35"/>
        <v>76.28283663919494</v>
      </c>
      <c r="Y119" s="55">
        <f t="shared" ca="1" si="36"/>
        <v>36.966113256773433</v>
      </c>
      <c r="Z119">
        <f t="shared" ca="1" si="30"/>
        <v>120</v>
      </c>
      <c r="AA119">
        <f t="shared" ca="1" si="37"/>
        <v>211.87791482653392</v>
      </c>
      <c r="AB119">
        <f t="shared" ca="1" si="31"/>
        <v>0</v>
      </c>
      <c r="AC119">
        <f t="shared" ca="1" si="32"/>
        <v>0.99999647726023</v>
      </c>
      <c r="AD119" s="83">
        <f ca="1"/>
        <v>45663</v>
      </c>
      <c r="AE119" s="55">
        <f t="shared" ca="1" si="41"/>
        <v>45663</v>
      </c>
      <c r="AF119" s="55">
        <f t="shared" ca="1" si="42"/>
        <v>48.886858722540154</v>
      </c>
      <c r="AG119" s="55">
        <f t="shared" ca="1" si="43"/>
        <v>60.626128584341309</v>
      </c>
      <c r="AH119" s="55">
        <f t="shared" ca="1" si="44"/>
        <v>0</v>
      </c>
      <c r="AI119" s="55">
        <f t="shared" ca="1" si="38"/>
        <v>-1.5936822076724197</v>
      </c>
      <c r="AJ119" s="55">
        <f t="shared" ca="1" si="39"/>
        <v>89.613127371097548</v>
      </c>
      <c r="AK119" s="55">
        <f t="shared" ca="1" si="40"/>
        <v>-9.5601510235184577</v>
      </c>
    </row>
    <row r="120" spans="18:37">
      <c r="R120" s="83">
        <f ca="1"/>
        <v>45496</v>
      </c>
      <c r="S120" s="55">
        <f t="shared" ca="1" si="33"/>
        <v>45496</v>
      </c>
      <c r="T120" s="55">
        <f t="shared" ca="1" si="27"/>
        <v>89.770505497031209</v>
      </c>
      <c r="U120" s="55">
        <f t="shared" ca="1" si="28"/>
        <v>241.81115887058181</v>
      </c>
      <c r="V120" s="55">
        <f t="shared" ca="1" si="29"/>
        <v>0</v>
      </c>
      <c r="W120" s="55">
        <f t="shared" ca="1" si="34"/>
        <v>-109.59566737512617</v>
      </c>
      <c r="X120" s="55">
        <f t="shared" ca="1" si="35"/>
        <v>76.91315222302299</v>
      </c>
      <c r="Y120" s="55">
        <f t="shared" ca="1" si="36"/>
        <v>37.077254673032478</v>
      </c>
      <c r="Z120">
        <f t="shared" ca="1" si="30"/>
        <v>120</v>
      </c>
      <c r="AA120">
        <f t="shared" ca="1" si="37"/>
        <v>212.97791482653392</v>
      </c>
      <c r="AB120">
        <f t="shared" ca="1" si="31"/>
        <v>0</v>
      </c>
      <c r="AC120">
        <f t="shared" ca="1" si="32"/>
        <v>0.99999733809337121</v>
      </c>
      <c r="AD120" s="83">
        <f ca="1"/>
        <v>45664</v>
      </c>
      <c r="AE120" s="55">
        <f t="shared" ca="1" si="41"/>
        <v>45664</v>
      </c>
      <c r="AF120" s="55">
        <f t="shared" ca="1" si="42"/>
        <v>47.296124744894549</v>
      </c>
      <c r="AG120" s="55">
        <f t="shared" ca="1" si="43"/>
        <v>62.934810395041275</v>
      </c>
      <c r="AH120" s="55">
        <f t="shared" ca="1" si="44"/>
        <v>0</v>
      </c>
      <c r="AI120" s="55">
        <f t="shared" ca="1" si="38"/>
        <v>-1.5936822076724197</v>
      </c>
      <c r="AJ120" s="55">
        <f t="shared" ca="1" si="39"/>
        <v>90.263523745481862</v>
      </c>
      <c r="AK120" s="55">
        <f t="shared" ca="1" si="40"/>
        <v>-9.4925995648484118</v>
      </c>
    </row>
    <row r="121" spans="18:37">
      <c r="R121" s="83">
        <f ca="1"/>
        <v>45497</v>
      </c>
      <c r="S121" s="55">
        <f t="shared" ca="1" si="33"/>
        <v>45497</v>
      </c>
      <c r="T121" s="55">
        <f t="shared" ca="1" si="27"/>
        <v>84.937420123560287</v>
      </c>
      <c r="U121" s="55">
        <f t="shared" ca="1" si="28"/>
        <v>247.35030515217724</v>
      </c>
      <c r="V121" s="55">
        <f t="shared" ca="1" si="29"/>
        <v>0</v>
      </c>
      <c r="W121" s="55">
        <f t="shared" ca="1" si="34"/>
        <v>-109.59566737512617</v>
      </c>
      <c r="X121" s="55">
        <f t="shared" ca="1" si="35"/>
        <v>77.514154726065058</v>
      </c>
      <c r="Y121" s="55">
        <f t="shared" ca="1" si="36"/>
        <v>37.18231307811493</v>
      </c>
      <c r="Z121">
        <f t="shared" ca="1" si="30"/>
        <v>119.82608695652175</v>
      </c>
      <c r="AA121">
        <f t="shared" ca="1" si="37"/>
        <v>212.97791482653392</v>
      </c>
      <c r="AB121">
        <f t="shared" ca="1" si="31"/>
        <v>0</v>
      </c>
      <c r="AC121">
        <f t="shared" ca="1" si="32"/>
        <v>0.99999792745743465</v>
      </c>
      <c r="AD121" s="83">
        <f ca="1"/>
        <v>45665</v>
      </c>
      <c r="AE121" s="55">
        <f t="shared" ca="1" si="41"/>
        <v>45665</v>
      </c>
      <c r="AF121" s="55">
        <f t="shared" ca="1" si="42"/>
        <v>45.603438151228268</v>
      </c>
      <c r="AG121" s="55">
        <f t="shared" ca="1" si="43"/>
        <v>65.355762533701878</v>
      </c>
      <c r="AH121" s="55">
        <f t="shared" ca="1" si="44"/>
        <v>0</v>
      </c>
      <c r="AI121" s="55">
        <f t="shared" ca="1" si="38"/>
        <v>-1.5936822076724197</v>
      </c>
      <c r="AJ121" s="55">
        <f t="shared" ca="1" si="39"/>
        <v>90.924794118213953</v>
      </c>
      <c r="AK121" s="55">
        <f t="shared" ca="1" si="40"/>
        <v>-9.4256043925861803</v>
      </c>
    </row>
    <row r="122" spans="18:37">
      <c r="R122" s="83">
        <f ca="1"/>
        <v>45498</v>
      </c>
      <c r="S122" s="55">
        <f t="shared" ca="1" si="33"/>
        <v>45498</v>
      </c>
      <c r="T122" s="55">
        <f t="shared" ca="1" si="27"/>
        <v>80.53055795738463</v>
      </c>
      <c r="U122" s="55">
        <f t="shared" ca="1" si="28"/>
        <v>252.44923357016862</v>
      </c>
      <c r="V122" s="55">
        <f t="shared" ca="1" si="29"/>
        <v>0</v>
      </c>
      <c r="W122" s="55">
        <f t="shared" ca="1" si="34"/>
        <v>-109.59566737512617</v>
      </c>
      <c r="X122" s="55">
        <f t="shared" ca="1" si="35"/>
        <v>78.104774857221017</v>
      </c>
      <c r="Y122" s="55">
        <f t="shared" ca="1" si="36"/>
        <v>37.283759198774689</v>
      </c>
      <c r="Z122">
        <f t="shared" ca="1" si="30"/>
        <v>118.31304348368803</v>
      </c>
      <c r="AA122">
        <f t="shared" ca="1" si="37"/>
        <v>212.97791482653392</v>
      </c>
      <c r="AB122">
        <f t="shared" ca="1" si="31"/>
        <v>0</v>
      </c>
      <c r="AC122">
        <f t="shared" ca="1" si="32"/>
        <v>0.99999836876841541</v>
      </c>
      <c r="AD122" s="83">
        <f ca="1"/>
        <v>45666</v>
      </c>
      <c r="AE122" s="55">
        <f t="shared" ca="1" si="41"/>
        <v>45666</v>
      </c>
      <c r="AF122" s="55">
        <f t="shared" ca="1" si="42"/>
        <v>43.854280987264119</v>
      </c>
      <c r="AG122" s="55">
        <f t="shared" ca="1" si="43"/>
        <v>67.770843966815548</v>
      </c>
      <c r="AH122" s="55">
        <f t="shared" ca="1" si="44"/>
        <v>0</v>
      </c>
      <c r="AI122" s="55">
        <f t="shared" ca="1" si="38"/>
        <v>-1.5936822076724197</v>
      </c>
      <c r="AJ122" s="55">
        <f t="shared" ca="1" si="39"/>
        <v>91.532115372480305</v>
      </c>
      <c r="AK122" s="55">
        <f t="shared" ca="1" si="40"/>
        <v>-9.3670013777030015</v>
      </c>
    </row>
    <row r="123" spans="18:37">
      <c r="R123" s="83">
        <f ca="1"/>
        <v>45499</v>
      </c>
      <c r="S123" s="55">
        <f t="shared" ca="1" si="33"/>
        <v>45499</v>
      </c>
      <c r="T123" s="55">
        <f t="shared" ca="1" si="27"/>
        <v>75.636697533762998</v>
      </c>
      <c r="U123" s="55">
        <f t="shared" ca="1" si="28"/>
        <v>258.07206513612317</v>
      </c>
      <c r="V123" s="55">
        <f t="shared" ca="1" si="29"/>
        <v>0</v>
      </c>
      <c r="W123" s="55">
        <f t="shared" ca="1" si="34"/>
        <v>-109.59566737512617</v>
      </c>
      <c r="X123" s="55">
        <f t="shared" ca="1" si="35"/>
        <v>78.730667782002513</v>
      </c>
      <c r="Y123" s="55">
        <f t="shared" ca="1" si="36"/>
        <v>37.386837416326124</v>
      </c>
      <c r="Z123">
        <f t="shared" ca="1" si="30"/>
        <v>119.87826090889524</v>
      </c>
      <c r="AA123">
        <f t="shared" ca="1" si="37"/>
        <v>212.97791482653392</v>
      </c>
      <c r="AB123">
        <f t="shared" ca="1" si="31"/>
        <v>0</v>
      </c>
      <c r="AC123">
        <f t="shared" ca="1" si="32"/>
        <v>0.9999987618774846</v>
      </c>
      <c r="AD123" s="83">
        <f ca="1"/>
        <v>45667</v>
      </c>
      <c r="AE123" s="55">
        <f t="shared" ca="1" si="41"/>
        <v>45667</v>
      </c>
      <c r="AF123" s="55">
        <f t="shared" ca="1" si="42"/>
        <v>41.974127272415615</v>
      </c>
      <c r="AG123" s="55">
        <f t="shared" ca="1" si="43"/>
        <v>70.319438733120009</v>
      </c>
      <c r="AH123" s="55">
        <f t="shared" ca="1" si="44"/>
        <v>0</v>
      </c>
      <c r="AI123" s="55">
        <f t="shared" ca="1" si="38"/>
        <v>-1.5936822076724197</v>
      </c>
      <c r="AJ123" s="55">
        <f t="shared" ca="1" si="39"/>
        <v>92.144342378796722</v>
      </c>
      <c r="AK123" s="55">
        <f t="shared" ca="1" si="40"/>
        <v>-9.3107873325634642</v>
      </c>
    </row>
    <row r="124" spans="18:37">
      <c r="R124" s="83">
        <f ca="1"/>
        <v>45500</v>
      </c>
      <c r="S124" s="55">
        <f t="shared" ca="1" si="33"/>
        <v>45500</v>
      </c>
      <c r="T124" s="55">
        <f t="shared" ca="1" si="27"/>
        <v>71.398065890325256</v>
      </c>
      <c r="U124" s="55">
        <f t="shared" ca="1" si="28"/>
        <v>263.01370554933857</v>
      </c>
      <c r="V124" s="55">
        <f t="shared" ca="1" si="29"/>
        <v>0</v>
      </c>
      <c r="W124" s="55">
        <f t="shared" ca="1" si="34"/>
        <v>-109.59566737512617</v>
      </c>
      <c r="X124" s="55">
        <f t="shared" ca="1" si="35"/>
        <v>79.335362512485744</v>
      </c>
      <c r="Y124" s="55">
        <f t="shared" ca="1" si="36"/>
        <v>37.485151455620553</v>
      </c>
      <c r="Z124">
        <f t="shared" ca="1" si="30"/>
        <v>119.84347830238526</v>
      </c>
      <c r="AA124">
        <f t="shared" ca="1" si="37"/>
        <v>212.97791482653392</v>
      </c>
      <c r="AB124">
        <f t="shared" ca="1" si="31"/>
        <v>0</v>
      </c>
      <c r="AC124">
        <f t="shared" ca="1" si="32"/>
        <v>0.99999903968271997</v>
      </c>
      <c r="AD124" s="83">
        <f ca="1"/>
        <v>45668</v>
      </c>
      <c r="AE124" s="55">
        <f t="shared" ca="1" si="41"/>
        <v>45668</v>
      </c>
      <c r="AF124" s="55">
        <f t="shared" ca="1" si="42"/>
        <v>40.00837463784044</v>
      </c>
      <c r="AG124" s="55">
        <f t="shared" ca="1" si="43"/>
        <v>72.925424427911153</v>
      </c>
      <c r="AH124" s="55">
        <f t="shared" ca="1" si="44"/>
        <v>0</v>
      </c>
      <c r="AI124" s="55">
        <f t="shared" ca="1" si="38"/>
        <v>-1.5936822076724197</v>
      </c>
      <c r="AJ124" s="55">
        <f t="shared" ca="1" si="39"/>
        <v>92.733599451839339</v>
      </c>
      <c r="AK124" s="55">
        <f t="shared" ca="1" si="40"/>
        <v>-9.259811345390105</v>
      </c>
    </row>
    <row r="125" spans="18:37">
      <c r="R125" s="83">
        <f ca="1"/>
        <v>45501</v>
      </c>
      <c r="S125" s="55">
        <f t="shared" ca="1" si="33"/>
        <v>45501</v>
      </c>
      <c r="T125" s="55">
        <f t="shared" ca="1" si="27"/>
        <v>66.779179001327861</v>
      </c>
      <c r="U125" s="55">
        <f t="shared" ca="1" si="28"/>
        <v>267.78140457409847</v>
      </c>
      <c r="V125" s="55">
        <f t="shared" ca="1" si="29"/>
        <v>0</v>
      </c>
      <c r="W125" s="55">
        <f t="shared" ca="1" si="34"/>
        <v>-110.15099916565107</v>
      </c>
      <c r="X125" s="55">
        <f t="shared" ca="1" si="35"/>
        <v>79.943145223194506</v>
      </c>
      <c r="Y125" s="55">
        <f t="shared" ca="1" si="36"/>
        <v>37.581512671199206</v>
      </c>
      <c r="Z125">
        <f t="shared" ca="1" si="30"/>
        <v>120</v>
      </c>
      <c r="AA125">
        <f t="shared" ca="1" si="37"/>
        <v>214.48791485156758</v>
      </c>
      <c r="AB125">
        <f t="shared" ca="1" si="31"/>
        <v>0</v>
      </c>
      <c r="AC125">
        <f t="shared" ca="1" si="32"/>
        <v>0.99999925752297358</v>
      </c>
      <c r="AD125" s="83">
        <f ca="1"/>
        <v>45669</v>
      </c>
      <c r="AE125" s="55">
        <f t="shared" ca="1" si="41"/>
        <v>45669</v>
      </c>
      <c r="AF125" s="55">
        <f t="shared" ca="1" si="42"/>
        <v>37.921116700179411</v>
      </c>
      <c r="AG125" s="55">
        <f t="shared" ca="1" si="43"/>
        <v>75.659629444538794</v>
      </c>
      <c r="AH125" s="55">
        <f t="shared" ca="1" si="44"/>
        <v>0</v>
      </c>
      <c r="AI125" s="55">
        <f t="shared" ca="1" si="38"/>
        <v>-1.5936822076724197</v>
      </c>
      <c r="AJ125" s="55">
        <f t="shared" ca="1" si="39"/>
        <v>93.331300718772638</v>
      </c>
      <c r="AK125" s="55">
        <f t="shared" ca="1" si="40"/>
        <v>-9.2105655333567888</v>
      </c>
    </row>
    <row r="126" spans="18:37">
      <c r="R126" s="83">
        <f ca="1"/>
        <v>45502</v>
      </c>
      <c r="S126" s="55">
        <f t="shared" ca="1" si="33"/>
        <v>45502</v>
      </c>
      <c r="T126" s="55">
        <f t="shared" ca="1" si="27"/>
        <v>63.774817049745771</v>
      </c>
      <c r="U126" s="55">
        <f t="shared" ca="1" si="28"/>
        <v>271.36734702767552</v>
      </c>
      <c r="V126" s="55">
        <f t="shared" ca="1" si="29"/>
        <v>0</v>
      </c>
      <c r="W126" s="55">
        <f t="shared" ca="1" si="34"/>
        <v>-110.2142194190743</v>
      </c>
      <c r="X126" s="55">
        <f t="shared" ca="1" si="35"/>
        <v>80.499216673443641</v>
      </c>
      <c r="Y126" s="55">
        <f t="shared" ca="1" si="36"/>
        <v>37.67024197636826</v>
      </c>
      <c r="Z126">
        <f t="shared" ca="1" si="30"/>
        <v>120</v>
      </c>
      <c r="AA126">
        <f t="shared" ca="1" si="37"/>
        <v>214.66791485156759</v>
      </c>
      <c r="AB126">
        <f t="shared" ca="1" si="31"/>
        <v>0</v>
      </c>
      <c r="AC126">
        <f t="shared" ca="1" si="32"/>
        <v>0.99999939363272139</v>
      </c>
      <c r="AD126" s="83">
        <f ca="1"/>
        <v>45670</v>
      </c>
      <c r="AE126" s="55">
        <f t="shared" ca="1" si="41"/>
        <v>45670</v>
      </c>
      <c r="AF126" s="55">
        <f t="shared" ca="1" si="42"/>
        <v>35.826541402204143</v>
      </c>
      <c r="AG126" s="55">
        <f t="shared" ca="1" si="43"/>
        <v>78.395400120662103</v>
      </c>
      <c r="AH126" s="55">
        <f t="shared" ca="1" si="44"/>
        <v>0</v>
      </c>
      <c r="AI126" s="55">
        <f t="shared" ca="1" si="38"/>
        <v>-1.5936822076724197</v>
      </c>
      <c r="AJ126" s="55">
        <f t="shared" ca="1" si="39"/>
        <v>93.923169051646965</v>
      </c>
      <c r="AK126" s="55">
        <f t="shared" ca="1" si="40"/>
        <v>-9.1612384880830753</v>
      </c>
    </row>
    <row r="127" spans="18:37">
      <c r="R127" s="83">
        <f ca="1"/>
        <v>45503</v>
      </c>
      <c r="S127" s="55">
        <f t="shared" ca="1" si="33"/>
        <v>45503</v>
      </c>
      <c r="T127" s="55">
        <f t="shared" ca="1" si="27"/>
        <v>59.902681301687508</v>
      </c>
      <c r="U127" s="55">
        <f t="shared" ca="1" si="28"/>
        <v>275.40838829815164</v>
      </c>
      <c r="V127" s="55">
        <f t="shared" ca="1" si="29"/>
        <v>0</v>
      </c>
      <c r="W127" s="55">
        <f t="shared" ca="1" si="34"/>
        <v>-110.72556259714233</v>
      </c>
      <c r="X127" s="55">
        <f t="shared" ca="1" si="35"/>
        <v>81.089229705203238</v>
      </c>
      <c r="Y127" s="55">
        <f t="shared" ca="1" si="36"/>
        <v>37.760477645094554</v>
      </c>
      <c r="Z127">
        <f t="shared" ca="1" si="30"/>
        <v>120</v>
      </c>
      <c r="AA127">
        <f t="shared" ca="1" si="37"/>
        <v>216.2179148515676</v>
      </c>
      <c r="AB127">
        <f t="shared" ca="1" si="31"/>
        <v>0</v>
      </c>
      <c r="AC127">
        <f t="shared" ca="1" si="32"/>
        <v>0.99999952244395285</v>
      </c>
      <c r="AD127" s="83">
        <f ca="1"/>
        <v>45671</v>
      </c>
      <c r="AE127" s="55">
        <f t="shared" ca="1" si="41"/>
        <v>45671</v>
      </c>
      <c r="AF127" s="55">
        <f t="shared" ca="1" si="42"/>
        <v>33.759765942847473</v>
      </c>
      <c r="AG127" s="55">
        <f t="shared" ca="1" si="43"/>
        <v>81.080542696955007</v>
      </c>
      <c r="AH127" s="55">
        <f t="shared" ca="1" si="44"/>
        <v>0</v>
      </c>
      <c r="AI127" s="55">
        <f t="shared" ca="1" si="38"/>
        <v>-1.5936822076724197</v>
      </c>
      <c r="AJ127" s="55">
        <f t="shared" ca="1" si="39"/>
        <v>94.493638115907714</v>
      </c>
      <c r="AK127" s="55">
        <f t="shared" ca="1" si="40"/>
        <v>-9.11334043540759</v>
      </c>
    </row>
    <row r="128" spans="18:37">
      <c r="R128" s="83">
        <f ca="1"/>
        <v>45504</v>
      </c>
      <c r="S128" s="55">
        <f t="shared" ca="1" si="33"/>
        <v>45504</v>
      </c>
      <c r="T128" s="55">
        <f t="shared" ca="1" si="27"/>
        <v>53.996393826960968</v>
      </c>
      <c r="U128" s="55">
        <f t="shared" ca="1" si="28"/>
        <v>280.81702125011259</v>
      </c>
      <c r="V128" s="55">
        <f t="shared" ca="1" si="29"/>
        <v>0</v>
      </c>
      <c r="W128" s="55">
        <f t="shared" ca="1" si="34"/>
        <v>-112.01318095080728</v>
      </c>
      <c r="X128" s="55">
        <f t="shared" ca="1" si="35"/>
        <v>81.780880293166291</v>
      </c>
      <c r="Y128" s="55">
        <f t="shared" ca="1" si="36"/>
        <v>37.858790888030875</v>
      </c>
      <c r="Z128">
        <f t="shared" ca="1" si="30"/>
        <v>120</v>
      </c>
      <c r="AA128">
        <f t="shared" ca="1" si="37"/>
        <v>220.54791485156761</v>
      </c>
      <c r="AB128">
        <f t="shared" ca="1" si="31"/>
        <v>0</v>
      </c>
      <c r="AC128">
        <f t="shared" ca="1" si="32"/>
        <v>0.99999966010929919</v>
      </c>
      <c r="AD128" s="83">
        <f ca="1"/>
        <v>45672</v>
      </c>
      <c r="AE128" s="55">
        <f t="shared" ca="1" si="41"/>
        <v>45672</v>
      </c>
      <c r="AF128" s="55">
        <f t="shared" ca="1" si="42"/>
        <v>31.630283876398281</v>
      </c>
      <c r="AG128" s="55">
        <f t="shared" ca="1" si="43"/>
        <v>83.841298922284992</v>
      </c>
      <c r="AH128" s="55">
        <f t="shared" ca="1" si="44"/>
        <v>0</v>
      </c>
      <c r="AI128" s="55">
        <f t="shared" ca="1" si="38"/>
        <v>-1.5936822076724197</v>
      </c>
      <c r="AJ128" s="55">
        <f t="shared" ca="1" si="39"/>
        <v>95.07634226077613</v>
      </c>
      <c r="AK128" s="55">
        <f t="shared" ca="1" si="40"/>
        <v>-9.0647704213952132</v>
      </c>
    </row>
    <row r="129" spans="18:37">
      <c r="R129" s="83">
        <f ca="1"/>
        <v>45505</v>
      </c>
      <c r="S129" s="55">
        <f t="shared" ca="1" si="33"/>
        <v>45505</v>
      </c>
      <c r="T129" s="55">
        <f t="shared" ca="1" si="27"/>
        <v>48.6622359788946</v>
      </c>
      <c r="U129" s="55">
        <f t="shared" ca="1" si="28"/>
        <v>286.06286029246644</v>
      </c>
      <c r="V129" s="55">
        <f t="shared" ca="1" si="29"/>
        <v>0</v>
      </c>
      <c r="W129" s="55">
        <f t="shared" ca="1" si="34"/>
        <v>-112.90828399290022</v>
      </c>
      <c r="X129" s="55">
        <f t="shared" ca="1" si="35"/>
        <v>82.490139669730766</v>
      </c>
      <c r="Y129" s="55">
        <f t="shared" ca="1" si="36"/>
        <v>37.956315747846816</v>
      </c>
      <c r="Z129">
        <f t="shared" ca="1" si="30"/>
        <v>120</v>
      </c>
      <c r="AA129">
        <f t="shared" ca="1" si="37"/>
        <v>223.88791485156761</v>
      </c>
      <c r="AB129">
        <f t="shared" ca="1" si="31"/>
        <v>0</v>
      </c>
      <c r="AC129">
        <f t="shared" ca="1" si="32"/>
        <v>0.99999976206214614</v>
      </c>
      <c r="AD129" s="83">
        <f ca="1"/>
        <v>45673</v>
      </c>
      <c r="AE129" s="55">
        <f t="shared" ca="1" si="41"/>
        <v>45673</v>
      </c>
      <c r="AF129" s="55">
        <f t="shared" ca="1" si="42"/>
        <v>29.387783406209024</v>
      </c>
      <c r="AG129" s="55">
        <f t="shared" ca="1" si="43"/>
        <v>86.709696069196866</v>
      </c>
      <c r="AH129" s="55">
        <f t="shared" ca="1" si="44"/>
        <v>0</v>
      </c>
      <c r="AI129" s="55">
        <f t="shared" ca="1" si="38"/>
        <v>-1.5936822076724197</v>
      </c>
      <c r="AJ129" s="55">
        <f t="shared" ca="1" si="39"/>
        <v>95.657009222340818</v>
      </c>
      <c r="AK129" s="55">
        <f t="shared" ca="1" si="40"/>
        <v>-9.0195407062372865</v>
      </c>
    </row>
    <row r="130" spans="18:37">
      <c r="R130" s="83">
        <f ca="1"/>
        <v>45506</v>
      </c>
      <c r="S130" s="55">
        <f t="shared" ca="1" si="33"/>
        <v>45506</v>
      </c>
      <c r="T130" s="55">
        <f t="shared" ca="1" si="27"/>
        <v>44.848465009342355</v>
      </c>
      <c r="U130" s="55">
        <f t="shared" ca="1" si="28"/>
        <v>290.473648921387</v>
      </c>
      <c r="V130" s="55">
        <f t="shared" ca="1" si="29"/>
        <v>0</v>
      </c>
      <c r="W130" s="55">
        <f t="shared" ca="1" si="34"/>
        <v>-113.07870815993573</v>
      </c>
      <c r="X130" s="55">
        <f t="shared" ca="1" si="35"/>
        <v>83.165784554389802</v>
      </c>
      <c r="Y130" s="55">
        <f t="shared" ca="1" si="36"/>
        <v>38.048112689591598</v>
      </c>
      <c r="Z130">
        <f t="shared" ca="1" si="30"/>
        <v>120</v>
      </c>
      <c r="AA130">
        <f t="shared" ca="1" si="37"/>
        <v>224.57791485156761</v>
      </c>
      <c r="AB130">
        <f t="shared" ca="1" si="31"/>
        <v>0</v>
      </c>
      <c r="AC130">
        <f t="shared" ca="1" si="32"/>
        <v>0.98628674405542005</v>
      </c>
      <c r="AD130" s="83">
        <f ca="1"/>
        <v>45674</v>
      </c>
      <c r="AE130" s="55">
        <f t="shared" ca="1" si="41"/>
        <v>45674</v>
      </c>
      <c r="AF130" s="55">
        <f t="shared" ca="1" si="42"/>
        <v>27.071907138603027</v>
      </c>
      <c r="AG130" s="55">
        <f t="shared" ca="1" si="43"/>
        <v>89.660360279078148</v>
      </c>
      <c r="AH130" s="55">
        <f t="shared" ca="1" si="44"/>
        <v>0</v>
      </c>
      <c r="AI130" s="55">
        <f t="shared" ca="1" si="38"/>
        <v>-1.5936822076724197</v>
      </c>
      <c r="AJ130" s="55">
        <f t="shared" ca="1" si="39"/>
        <v>96.246857973383797</v>
      </c>
      <c r="AK130" s="55">
        <f t="shared" ca="1" si="40"/>
        <v>-8.9746015150049843</v>
      </c>
    </row>
    <row r="131" spans="18:37">
      <c r="R131" s="83">
        <f ca="1"/>
        <v>45507</v>
      </c>
      <c r="S131" s="55">
        <f t="shared" ca="1" si="33"/>
        <v>45507</v>
      </c>
      <c r="T131" s="55">
        <f t="shared" ca="1" si="27"/>
        <v>40.381571666053205</v>
      </c>
      <c r="U131" s="55">
        <f t="shared" ca="1" si="28"/>
        <v>294.61064275120992</v>
      </c>
      <c r="V131" s="55">
        <f t="shared" ca="1" si="29"/>
        <v>0</v>
      </c>
      <c r="W131" s="55">
        <f t="shared" ca="1" si="34"/>
        <v>-114.17954491796249</v>
      </c>
      <c r="X131" s="55">
        <f t="shared" ca="1" si="35"/>
        <v>83.846738219569545</v>
      </c>
      <c r="Y131" s="55">
        <f t="shared" ca="1" si="36"/>
        <v>38.138096268972383</v>
      </c>
      <c r="Z131">
        <f t="shared" ca="1" si="30"/>
        <v>120</v>
      </c>
      <c r="AA131">
        <f t="shared" ca="1" si="37"/>
        <v>229.52791485156763</v>
      </c>
      <c r="AB131">
        <f t="shared" ca="1" si="31"/>
        <v>0</v>
      </c>
      <c r="AC131">
        <f t="shared" ca="1" si="32"/>
        <v>0.95176360664237436</v>
      </c>
      <c r="AD131" s="83">
        <f ca="1"/>
        <v>45675</v>
      </c>
      <c r="AE131" s="55">
        <f t="shared" ca="1" si="41"/>
        <v>45675</v>
      </c>
      <c r="AF131" s="55">
        <f t="shared" ca="1" si="42"/>
        <v>24.786339293978816</v>
      </c>
      <c r="AG131" s="55">
        <f t="shared" ca="1" si="43"/>
        <v>92.589198530930688</v>
      </c>
      <c r="AH131" s="55">
        <f t="shared" ca="1" si="44"/>
        <v>0</v>
      </c>
      <c r="AI131" s="55">
        <f t="shared" ca="1" si="38"/>
        <v>-1.5936822076724197</v>
      </c>
      <c r="AJ131" s="55">
        <f t="shared" ca="1" si="39"/>
        <v>96.842649030163827</v>
      </c>
      <c r="AK131" s="55">
        <f t="shared" ca="1" si="40"/>
        <v>-8.9271221645566889</v>
      </c>
    </row>
    <row r="132" spans="18:37">
      <c r="R132" s="83">
        <f ca="1"/>
        <v>45508</v>
      </c>
      <c r="S132" s="55">
        <f t="shared" ca="1" si="33"/>
        <v>45508</v>
      </c>
      <c r="T132" s="55">
        <f t="shared" ca="1" si="27"/>
        <v>37.266476203792102</v>
      </c>
      <c r="U132" s="55">
        <f t="shared" ca="1" si="28"/>
        <v>298.12846117815025</v>
      </c>
      <c r="V132" s="55">
        <f t="shared" ca="1" si="29"/>
        <v>0</v>
      </c>
      <c r="W132" s="55">
        <f t="shared" ca="1" si="34"/>
        <v>-114.51613141028427</v>
      </c>
      <c r="X132" s="55">
        <f t="shared" ca="1" si="35"/>
        <v>84.500763134850033</v>
      </c>
      <c r="Y132" s="55">
        <f t="shared" ca="1" si="36"/>
        <v>38.223380810692902</v>
      </c>
      <c r="Z132">
        <f t="shared" ca="1" si="30"/>
        <v>120</v>
      </c>
      <c r="AA132">
        <f t="shared" ca="1" si="37"/>
        <v>231.16791485156762</v>
      </c>
      <c r="AB132">
        <f t="shared" ca="1" si="31"/>
        <v>0</v>
      </c>
      <c r="AC132">
        <f t="shared" ca="1" si="32"/>
        <v>0.91997299554966638</v>
      </c>
      <c r="AD132" s="83">
        <f ca="1"/>
        <v>45676</v>
      </c>
      <c r="AE132" s="55">
        <f t="shared" ca="1" si="41"/>
        <v>45676</v>
      </c>
      <c r="AF132" s="55">
        <f t="shared" ca="1" si="42"/>
        <v>22.418345952137063</v>
      </c>
      <c r="AG132" s="55">
        <f t="shared" ca="1" si="43"/>
        <v>95.626209506322112</v>
      </c>
      <c r="AH132" s="55">
        <f t="shared" ca="1" si="44"/>
        <v>0</v>
      </c>
      <c r="AI132" s="55">
        <f t="shared" ca="1" si="38"/>
        <v>-1.5936822076724197</v>
      </c>
      <c r="AJ132" s="55">
        <f t="shared" ca="1" si="39"/>
        <v>97.462713650392701</v>
      </c>
      <c r="AK132" s="55">
        <f t="shared" ca="1" si="40"/>
        <v>-8.8781691512358947</v>
      </c>
    </row>
    <row r="133" spans="18:37">
      <c r="R133" s="83">
        <f ca="1"/>
        <v>45509</v>
      </c>
      <c r="S133" s="55">
        <f t="shared" ca="1" si="33"/>
        <v>45509</v>
      </c>
      <c r="T133" s="55">
        <f t="shared" ca="1" si="27"/>
        <v>34.040611435800891</v>
      </c>
      <c r="U133" s="55">
        <f t="shared" ca="1" si="28"/>
        <v>301.45255566248289</v>
      </c>
      <c r="V133" s="55">
        <f t="shared" ca="1" si="29"/>
        <v>0</v>
      </c>
      <c r="W133" s="55">
        <f t="shared" ca="1" si="34"/>
        <v>-115.1629030275645</v>
      </c>
      <c r="X133" s="55">
        <f t="shared" ca="1" si="35"/>
        <v>85.161944932449856</v>
      </c>
      <c r="Y133" s="55">
        <f t="shared" ca="1" si="36"/>
        <v>38.30720034671473</v>
      </c>
      <c r="Z133">
        <f t="shared" ca="1" si="30"/>
        <v>120</v>
      </c>
      <c r="AA133">
        <f t="shared" ca="1" si="37"/>
        <v>234.6179148515676</v>
      </c>
      <c r="AB133">
        <f t="shared" ca="1" si="31"/>
        <v>0</v>
      </c>
      <c r="AC133">
        <f t="shared" ca="1" si="32"/>
        <v>0.88744926763930676</v>
      </c>
      <c r="AD133" s="83">
        <f ca="1"/>
        <v>45677</v>
      </c>
      <c r="AE133" s="55">
        <f t="shared" ca="1" si="41"/>
        <v>45677</v>
      </c>
      <c r="AF133" s="55">
        <f t="shared" ca="1" si="42"/>
        <v>20.076887343342008</v>
      </c>
      <c r="AG133" s="55">
        <f t="shared" ca="1" si="43"/>
        <v>98.632461667705385</v>
      </c>
      <c r="AH133" s="55">
        <f t="shared" ca="1" si="44"/>
        <v>0</v>
      </c>
      <c r="AI133" s="55">
        <f t="shared" ca="1" si="38"/>
        <v>-1.5936822076724197</v>
      </c>
      <c r="AJ133" s="55">
        <f t="shared" ca="1" si="39"/>
        <v>98.078267446044833</v>
      </c>
      <c r="AK133" s="55">
        <f t="shared" ca="1" si="40"/>
        <v>-8.8289293942998164</v>
      </c>
    </row>
    <row r="134" spans="18:37">
      <c r="R134" s="83">
        <f ca="1"/>
        <v>45510</v>
      </c>
      <c r="S134" s="55">
        <f t="shared" ca="1" si="33"/>
        <v>45510</v>
      </c>
      <c r="T134" s="55">
        <f t="shared" ca="1" si="27"/>
        <v>31.473425173892874</v>
      </c>
      <c r="U134" s="55">
        <f t="shared" ca="1" si="28"/>
        <v>304.57982921514298</v>
      </c>
      <c r="V134" s="55">
        <f t="shared" ca="1" si="29"/>
        <v>0</v>
      </c>
      <c r="W134" s="55">
        <f t="shared" ca="1" si="34"/>
        <v>-115.35356812499475</v>
      </c>
      <c r="X134" s="55">
        <f t="shared" ca="1" si="35"/>
        <v>85.830333355665502</v>
      </c>
      <c r="Y134" s="55">
        <f t="shared" ca="1" si="36"/>
        <v>38.389564311681404</v>
      </c>
      <c r="Z134">
        <f t="shared" ca="1" si="30"/>
        <v>120</v>
      </c>
      <c r="AA134">
        <f t="shared" ca="1" si="37"/>
        <v>235.71791485156763</v>
      </c>
      <c r="AB134">
        <f t="shared" ca="1" si="31"/>
        <v>0</v>
      </c>
      <c r="AC134">
        <f t="shared" ca="1" si="32"/>
        <v>0.8541924229112956</v>
      </c>
      <c r="AD134" s="83">
        <f ca="1"/>
        <v>45678</v>
      </c>
      <c r="AE134" s="55">
        <f t="shared" ca="1" si="41"/>
        <v>45678</v>
      </c>
      <c r="AF134" s="55">
        <f t="shared" ca="1" si="42"/>
        <v>17.769749171597137</v>
      </c>
      <c r="AG134" s="55">
        <f t="shared" ca="1" si="43"/>
        <v>101.58076949022558</v>
      </c>
      <c r="AH134" s="55">
        <f t="shared" ca="1" si="44"/>
        <v>0</v>
      </c>
      <c r="AI134" s="55">
        <f t="shared" ca="1" si="38"/>
        <v>-1.5936822076724197</v>
      </c>
      <c r="AJ134" s="55">
        <f t="shared" ca="1" si="39"/>
        <v>98.672372285418888</v>
      </c>
      <c r="AK134" s="55">
        <f t="shared" ca="1" si="40"/>
        <v>-8.7818645828985495</v>
      </c>
    </row>
    <row r="135" spans="18:37">
      <c r="R135" s="83">
        <f ca="1"/>
        <v>45511</v>
      </c>
      <c r="S135" s="55">
        <f t="shared" ca="1" si="33"/>
        <v>45511</v>
      </c>
      <c r="T135" s="55">
        <f t="shared" ca="1" si="27"/>
        <v>29.205319527650964</v>
      </c>
      <c r="U135" s="55">
        <f t="shared" ca="1" si="28"/>
        <v>307.15579615022006</v>
      </c>
      <c r="V135" s="55">
        <f t="shared" ca="1" si="29"/>
        <v>0</v>
      </c>
      <c r="W135" s="55">
        <f t="shared" ca="1" si="34"/>
        <v>-115.75727875927697</v>
      </c>
      <c r="X135" s="55">
        <f t="shared" ca="1" si="35"/>
        <v>86.464455687287398</v>
      </c>
      <c r="Y135" s="55">
        <f t="shared" ca="1" si="36"/>
        <v>38.467013903176898</v>
      </c>
      <c r="Z135">
        <f t="shared" ca="1" si="30"/>
        <v>120</v>
      </c>
      <c r="AA135">
        <f t="shared" ca="1" si="37"/>
        <v>238.22791485156762</v>
      </c>
      <c r="AB135">
        <f t="shared" ca="1" si="31"/>
        <v>0</v>
      </c>
      <c r="AC135">
        <f t="shared" ca="1" si="32"/>
        <v>0.82446786830469654</v>
      </c>
      <c r="AD135" s="83">
        <f ca="1"/>
        <v>45679</v>
      </c>
      <c r="AE135" s="55">
        <f t="shared" ca="1" si="41"/>
        <v>45679</v>
      </c>
      <c r="AF135" s="55">
        <f t="shared" ca="1" si="42"/>
        <v>15.491261575920202</v>
      </c>
      <c r="AG135" s="55">
        <f t="shared" ca="1" si="43"/>
        <v>104.48596269062328</v>
      </c>
      <c r="AH135" s="55">
        <f t="shared" ca="1" si="44"/>
        <v>0</v>
      </c>
      <c r="AI135" s="55">
        <f t="shared" ca="1" si="38"/>
        <v>-1.5936822076724197</v>
      </c>
      <c r="AJ135" s="55">
        <f t="shared" ca="1" si="39"/>
        <v>99.2532707535604</v>
      </c>
      <c r="AK135" s="55">
        <f t="shared" ca="1" si="40"/>
        <v>-8.7360574463192933</v>
      </c>
    </row>
    <row r="136" spans="18:37">
      <c r="R136" s="83">
        <f ca="1"/>
        <v>45512</v>
      </c>
      <c r="S136" s="55">
        <f t="shared" ca="1" si="33"/>
        <v>45512</v>
      </c>
      <c r="T136" s="55">
        <f t="shared" ca="1" si="27"/>
        <v>27.681353775533857</v>
      </c>
      <c r="U136" s="55">
        <f t="shared" ca="1" si="28"/>
        <v>309.00390679655288</v>
      </c>
      <c r="V136" s="55">
        <f t="shared" ca="1" si="29"/>
        <v>0</v>
      </c>
      <c r="W136" s="55">
        <f t="shared" ca="1" si="34"/>
        <v>-116.07437067267091</v>
      </c>
      <c r="X136" s="55">
        <f t="shared" ca="1" si="35"/>
        <v>87.035253698924677</v>
      </c>
      <c r="Y136" s="55">
        <f t="shared" ca="1" si="36"/>
        <v>38.537452699149277</v>
      </c>
      <c r="Z136">
        <f t="shared" ca="1" si="30"/>
        <v>120</v>
      </c>
      <c r="AA136">
        <f t="shared" ca="1" si="37"/>
        <v>240.3079148515676</v>
      </c>
      <c r="AB136">
        <f t="shared" ca="1" si="31"/>
        <v>0</v>
      </c>
      <c r="AC136">
        <f t="shared" ca="1" si="32"/>
        <v>0.80160795299065268</v>
      </c>
      <c r="AD136" s="83">
        <f ca="1"/>
        <v>45680</v>
      </c>
      <c r="AE136" s="55">
        <f t="shared" ca="1" si="41"/>
        <v>45680</v>
      </c>
      <c r="AF136" s="55">
        <f t="shared" ca="1" si="42"/>
        <v>13.225080499958818</v>
      </c>
      <c r="AG136" s="55">
        <f t="shared" ca="1" si="43"/>
        <v>107.42410653036765</v>
      </c>
      <c r="AH136" s="55">
        <f t="shared" ca="1" si="44"/>
        <v>0</v>
      </c>
      <c r="AI136" s="55">
        <f t="shared" ca="1" si="38"/>
        <v>-1.5936822076724197</v>
      </c>
      <c r="AJ136" s="55">
        <f t="shared" ca="1" si="39"/>
        <v>99.873893019110668</v>
      </c>
      <c r="AK136" s="55">
        <f t="shared" ca="1" si="40"/>
        <v>-8.6847169480865745</v>
      </c>
    </row>
    <row r="137" spans="18:37">
      <c r="R137" s="83">
        <f ca="1"/>
        <v>45513</v>
      </c>
      <c r="S137" s="55">
        <f t="shared" ca="1" si="33"/>
        <v>45513</v>
      </c>
      <c r="T137" s="55">
        <f t="shared" ca="1" si="27"/>
        <v>26.823677305646509</v>
      </c>
      <c r="U137" s="55">
        <f t="shared" ca="1" si="28"/>
        <v>310.45086256633022</v>
      </c>
      <c r="V137" s="55">
        <f t="shared" ca="1" si="29"/>
        <v>0</v>
      </c>
      <c r="W137" s="55">
        <f t="shared" ca="1" si="34"/>
        <v>-116.0876658866398</v>
      </c>
      <c r="X137" s="55">
        <f t="shared" ca="1" si="35"/>
        <v>87.571695928535405</v>
      </c>
      <c r="Y137" s="55">
        <f t="shared" ca="1" si="36"/>
        <v>38.603584983397418</v>
      </c>
      <c r="Z137">
        <f t="shared" ca="1" si="30"/>
        <v>120</v>
      </c>
      <c r="AA137">
        <f t="shared" ca="1" si="37"/>
        <v>240.39791485156758</v>
      </c>
      <c r="AB137">
        <f t="shared" ca="1" si="31"/>
        <v>0</v>
      </c>
      <c r="AC137">
        <f t="shared" ca="1" si="32"/>
        <v>0.78268020969855834</v>
      </c>
      <c r="AD137" s="83">
        <f ca="1"/>
        <v>45681</v>
      </c>
      <c r="AE137" s="55">
        <f t="shared" ca="1" si="41"/>
        <v>45681</v>
      </c>
      <c r="AF137" s="55">
        <f t="shared" ca="1" si="42"/>
        <v>10.911439958280527</v>
      </c>
      <c r="AG137" s="55">
        <f t="shared" ca="1" si="43"/>
        <v>110.40125333430468</v>
      </c>
      <c r="AH137" s="55">
        <f t="shared" ca="1" si="44"/>
        <v>0</v>
      </c>
      <c r="AI137" s="55">
        <f t="shared" ca="1" si="38"/>
        <v>-1.5936822076724197</v>
      </c>
      <c r="AJ137" s="55">
        <f t="shared" ca="1" si="39"/>
        <v>100.4885223889699</v>
      </c>
      <c r="AK137" s="55">
        <f t="shared" ca="1" si="40"/>
        <v>-8.6358400556870691</v>
      </c>
    </row>
    <row r="138" spans="18:37">
      <c r="R138" s="83">
        <f ca="1"/>
        <v>45514</v>
      </c>
      <c r="S138" s="55">
        <f t="shared" ca="1" si="33"/>
        <v>45514</v>
      </c>
      <c r="T138" s="55">
        <f t="shared" ca="1" si="27"/>
        <v>25.190341186146853</v>
      </c>
      <c r="U138" s="55">
        <f t="shared" ca="1" si="28"/>
        <v>312.26986496143195</v>
      </c>
      <c r="V138" s="55">
        <f t="shared" ca="1" si="29"/>
        <v>0</v>
      </c>
      <c r="W138" s="55">
        <f t="shared" ca="1" si="34"/>
        <v>-116.56350778087203</v>
      </c>
      <c r="X138" s="55">
        <f t="shared" ca="1" si="35"/>
        <v>88.16413977457205</v>
      </c>
      <c r="Y138" s="55">
        <f t="shared" ca="1" si="36"/>
        <v>38.67264930719508</v>
      </c>
      <c r="Z138">
        <f t="shared" ca="1" si="30"/>
        <v>120</v>
      </c>
      <c r="AA138">
        <f t="shared" ca="1" si="37"/>
        <v>243.82791485156758</v>
      </c>
      <c r="AB138">
        <f t="shared" ca="1" si="31"/>
        <v>0</v>
      </c>
      <c r="AC138">
        <f t="shared" ca="1" si="32"/>
        <v>0.75742100298129122</v>
      </c>
      <c r="AD138" s="83">
        <f ca="1"/>
        <v>45682</v>
      </c>
      <c r="AE138" s="55">
        <f t="shared" ca="1" si="41"/>
        <v>45682</v>
      </c>
      <c r="AF138" s="55">
        <f t="shared" ca="1" si="42"/>
        <v>8.5535859337701687</v>
      </c>
      <c r="AG138" s="55">
        <f t="shared" ca="1" si="43"/>
        <v>113.40134321871768</v>
      </c>
      <c r="AH138" s="55">
        <f t="shared" ca="1" si="44"/>
        <v>0</v>
      </c>
      <c r="AI138" s="55">
        <f t="shared" ca="1" si="38"/>
        <v>-1.5936822076724197</v>
      </c>
      <c r="AJ138" s="55">
        <f t="shared" ca="1" si="39"/>
        <v>101.08597379920644</v>
      </c>
      <c r="AK138" s="55">
        <f t="shared" ca="1" si="40"/>
        <v>-8.5910556060209728</v>
      </c>
    </row>
    <row r="139" spans="18:37">
      <c r="R139" s="83">
        <f ca="1"/>
        <v>45515</v>
      </c>
      <c r="S139" s="55">
        <f t="shared" ca="1" si="33"/>
        <v>45515</v>
      </c>
      <c r="T139" s="55">
        <f t="shared" ca="1" si="27"/>
        <v>23.517752391608141</v>
      </c>
      <c r="U139" s="55">
        <f t="shared" ca="1" si="28"/>
        <v>314.14389574115876</v>
      </c>
      <c r="V139" s="55">
        <f t="shared" ca="1" si="29"/>
        <v>0</v>
      </c>
      <c r="W139" s="55">
        <f t="shared" ca="1" si="34"/>
        <v>-117.04920049330741</v>
      </c>
      <c r="X139" s="55">
        <f t="shared" ca="1" si="35"/>
        <v>88.781872096339711</v>
      </c>
      <c r="Y139" s="55">
        <f t="shared" ca="1" si="36"/>
        <v>38.742051683050903</v>
      </c>
      <c r="Z139">
        <f t="shared" ca="1" si="30"/>
        <v>120</v>
      </c>
      <c r="AA139">
        <f t="shared" ca="1" si="37"/>
        <v>247.57791485156758</v>
      </c>
      <c r="AB139">
        <f t="shared" ca="1" si="31"/>
        <v>0</v>
      </c>
      <c r="AC139">
        <f t="shared" ca="1" si="32"/>
        <v>0.72942926994368662</v>
      </c>
      <c r="AD139" s="83">
        <f ca="1"/>
        <v>45683</v>
      </c>
      <c r="AE139" s="55">
        <f t="shared" ca="1" si="41"/>
        <v>45683</v>
      </c>
      <c r="AF139" s="55">
        <f t="shared" ca="1" si="42"/>
        <v>6.064328530734139</v>
      </c>
      <c r="AG139" s="55">
        <f t="shared" ca="1" si="43"/>
        <v>116.57734565644915</v>
      </c>
      <c r="AH139" s="55">
        <f t="shared" ca="1" si="44"/>
        <v>0</v>
      </c>
      <c r="AI139" s="55">
        <f t="shared" ca="1" si="38"/>
        <v>-1.5936822076724197</v>
      </c>
      <c r="AJ139" s="55">
        <f t="shared" ca="1" si="39"/>
        <v>101.72623438558109</v>
      </c>
      <c r="AK139" s="55">
        <f t="shared" ca="1" si="40"/>
        <v>-8.5445711577001902</v>
      </c>
    </row>
    <row r="140" spans="18:37">
      <c r="R140" s="83">
        <f ca="1"/>
        <v>45516</v>
      </c>
      <c r="S140" s="55">
        <f t="shared" ca="1" si="33"/>
        <v>45516</v>
      </c>
      <c r="T140" s="55">
        <f t="shared" ca="1" si="27"/>
        <v>22.136791980822345</v>
      </c>
      <c r="U140" s="55">
        <f t="shared" ca="1" si="28"/>
        <v>315.99662441356935</v>
      </c>
      <c r="V140" s="55">
        <f t="shared" ca="1" si="29"/>
        <v>0</v>
      </c>
      <c r="W140" s="55">
        <f t="shared" ca="1" si="34"/>
        <v>-117.28327300677419</v>
      </c>
      <c r="X140" s="55">
        <f t="shared" ca="1" si="35"/>
        <v>89.418540420598973</v>
      </c>
      <c r="Y140" s="55">
        <f t="shared" ca="1" si="36"/>
        <v>38.811224133883222</v>
      </c>
      <c r="Z140">
        <f t="shared" ca="1" si="30"/>
        <v>120</v>
      </c>
      <c r="AA140">
        <f t="shared" ca="1" si="37"/>
        <v>249.4979148515676</v>
      </c>
      <c r="AB140">
        <f t="shared" ca="1" si="31"/>
        <v>0</v>
      </c>
      <c r="AC140">
        <f t="shared" ca="1" si="32"/>
        <v>0.69943812740339606</v>
      </c>
      <c r="AD140" s="83">
        <f ca="1"/>
        <v>45684</v>
      </c>
      <c r="AE140" s="55">
        <f t="shared" ca="1" si="41"/>
        <v>45684</v>
      </c>
      <c r="AF140" s="55">
        <f t="shared" ca="1" si="42"/>
        <v>3.6565389686927796</v>
      </c>
      <c r="AG140" s="55">
        <f t="shared" ca="1" si="43"/>
        <v>119.67566876596727</v>
      </c>
      <c r="AH140" s="55">
        <f t="shared" ca="1" si="44"/>
        <v>0</v>
      </c>
      <c r="AI140" s="55">
        <f t="shared" ca="1" si="38"/>
        <v>-1.5936822076724197</v>
      </c>
      <c r="AJ140" s="55">
        <f t="shared" ca="1" si="39"/>
        <v>102.36860077597198</v>
      </c>
      <c r="AK140" s="55">
        <f t="shared" ca="1" si="40"/>
        <v>-8.4964040006143193</v>
      </c>
    </row>
    <row r="141" spans="18:37">
      <c r="R141" s="83">
        <f ca="1"/>
        <v>45517</v>
      </c>
      <c r="S141" s="55">
        <f t="shared" ca="1" si="33"/>
        <v>45517</v>
      </c>
      <c r="T141" s="55">
        <f t="shared" ca="1" si="27"/>
        <v>20.430432342182371</v>
      </c>
      <c r="U141" s="55">
        <f t="shared" ca="1" si="28"/>
        <v>317.80088661278478</v>
      </c>
      <c r="V141" s="55">
        <f t="shared" ca="1" si="29"/>
        <v>0</v>
      </c>
      <c r="W141" s="55">
        <f t="shared" ca="1" si="34"/>
        <v>-117.90885876695627</v>
      </c>
      <c r="X141" s="55">
        <f t="shared" ca="1" si="35"/>
        <v>90.073213908493713</v>
      </c>
      <c r="Y141" s="55">
        <f t="shared" ca="1" si="36"/>
        <v>38.880038966746014</v>
      </c>
      <c r="Z141">
        <f t="shared" ca="1" si="30"/>
        <v>120</v>
      </c>
      <c r="AA141">
        <f t="shared" ca="1" si="37"/>
        <v>255.0579148515676</v>
      </c>
      <c r="AB141">
        <f t="shared" ca="1" si="31"/>
        <v>0</v>
      </c>
      <c r="AC141">
        <f t="shared" ca="1" si="32"/>
        <v>0.66758086932726524</v>
      </c>
      <c r="AD141" s="83">
        <f ca="1"/>
        <v>45685</v>
      </c>
      <c r="AE141" s="55">
        <f t="shared" ca="1" si="41"/>
        <v>45685</v>
      </c>
      <c r="AF141" s="55">
        <f t="shared" ca="1" si="42"/>
        <v>1.2720187975761998</v>
      </c>
      <c r="AG141" s="55">
        <f t="shared" ca="1" si="43"/>
        <v>122.7171446806494</v>
      </c>
      <c r="AH141" s="55">
        <f t="shared" ca="1" si="44"/>
        <v>0</v>
      </c>
      <c r="AI141" s="55">
        <f t="shared" ca="1" si="38"/>
        <v>-1.5936822076724197</v>
      </c>
      <c r="AJ141" s="55">
        <f t="shared" ca="1" si="39"/>
        <v>102.98167465998617</v>
      </c>
      <c r="AK141" s="55">
        <f t="shared" ca="1" si="40"/>
        <v>-8.4525221410629641</v>
      </c>
    </row>
    <row r="142" spans="18:37">
      <c r="R142" s="83">
        <f ca="1"/>
        <v>45518</v>
      </c>
      <c r="S142" s="55">
        <f t="shared" ca="1" si="33"/>
        <v>45518</v>
      </c>
      <c r="T142" s="55">
        <f t="shared" ca="1" si="27"/>
        <v>19.375521917007994</v>
      </c>
      <c r="U142" s="55">
        <f t="shared" ca="1" si="28"/>
        <v>319.33655238027768</v>
      </c>
      <c r="V142" s="55">
        <f t="shared" ca="1" si="29"/>
        <v>0</v>
      </c>
      <c r="W142" s="55">
        <f t="shared" ca="1" si="34"/>
        <v>-118.12653854362388</v>
      </c>
      <c r="X142" s="55">
        <f t="shared" ca="1" si="35"/>
        <v>90.706065692618566</v>
      </c>
      <c r="Y142" s="55">
        <f t="shared" ca="1" si="36"/>
        <v>38.945622301607294</v>
      </c>
      <c r="Z142">
        <f t="shared" ca="1" si="30"/>
        <v>120</v>
      </c>
      <c r="AA142">
        <f t="shared" ca="1" si="37"/>
        <v>257.09791485156762</v>
      </c>
      <c r="AB142">
        <f t="shared" ca="1" si="31"/>
        <v>0</v>
      </c>
      <c r="AC142">
        <f t="shared" ca="1" si="32"/>
        <v>0.63798960868751187</v>
      </c>
      <c r="AD142" s="83">
        <f ca="1"/>
        <v>45686</v>
      </c>
      <c r="AE142" s="55">
        <f t="shared" ca="1" si="41"/>
        <v>45686</v>
      </c>
      <c r="AF142" s="55">
        <f t="shared" ca="1" si="42"/>
        <v>-1.1983901233986556</v>
      </c>
      <c r="AG142" s="55">
        <f t="shared" ca="1" si="43"/>
        <v>125.8493878528041</v>
      </c>
      <c r="AH142" s="55">
        <f t="shared" ca="1" si="44"/>
        <v>0</v>
      </c>
      <c r="AI142" s="55">
        <f t="shared" ca="1" si="38"/>
        <v>-1.5936822076724197</v>
      </c>
      <c r="AJ142" s="55">
        <f t="shared" ca="1" si="39"/>
        <v>103.60216061531852</v>
      </c>
      <c r="AK142" s="55">
        <f t="shared" ca="1" si="40"/>
        <v>-8.4111738452154725</v>
      </c>
    </row>
    <row r="143" spans="18:37">
      <c r="R143" s="83">
        <f ca="1"/>
        <v>45519</v>
      </c>
      <c r="S143" s="55">
        <f t="shared" ca="1" si="33"/>
        <v>45519</v>
      </c>
      <c r="T143" s="55">
        <f t="shared" ca="1" si="27"/>
        <v>18.570086531951791</v>
      </c>
      <c r="U143" s="55">
        <f t="shared" ca="1" si="28"/>
        <v>320.82596650991661</v>
      </c>
      <c r="V143" s="55">
        <f t="shared" ca="1" si="29"/>
        <v>0</v>
      </c>
      <c r="W143" s="55">
        <f t="shared" ca="1" si="34"/>
        <v>-118.15721955615493</v>
      </c>
      <c r="X143" s="55">
        <f t="shared" ca="1" si="35"/>
        <v>91.355562084788659</v>
      </c>
      <c r="Y143" s="55">
        <f t="shared" ca="1" si="36"/>
        <v>39.01078566655098</v>
      </c>
      <c r="Z143">
        <f t="shared" ca="1" si="30"/>
        <v>120</v>
      </c>
      <c r="AA143">
        <f t="shared" ca="1" si="37"/>
        <v>257.39791485156763</v>
      </c>
      <c r="AB143">
        <f t="shared" ca="1" si="31"/>
        <v>0</v>
      </c>
      <c r="AC143">
        <f t="shared" ca="1" si="32"/>
        <v>0.60666552647876393</v>
      </c>
      <c r="AD143" s="83">
        <f ca="1"/>
        <v>45687</v>
      </c>
      <c r="AE143" s="55">
        <f t="shared" ca="1" si="41"/>
        <v>45687</v>
      </c>
      <c r="AF143" s="55">
        <f t="shared" ca="1" si="42"/>
        <v>-3.6660822472457864</v>
      </c>
      <c r="AG143" s="55">
        <f t="shared" ca="1" si="43"/>
        <v>128.97520042769304</v>
      </c>
      <c r="AH143" s="55">
        <f t="shared" ca="1" si="44"/>
        <v>0</v>
      </c>
      <c r="AI143" s="55">
        <f t="shared" ca="1" si="38"/>
        <v>-1.5936822076724197</v>
      </c>
      <c r="AJ143" s="55">
        <f t="shared" ca="1" si="39"/>
        <v>104.22041719663355</v>
      </c>
      <c r="AK143" s="55">
        <f t="shared" ca="1" si="40"/>
        <v>-8.3713099754886855</v>
      </c>
    </row>
    <row r="144" spans="18:37">
      <c r="R144" s="83">
        <f ca="1"/>
        <v>45520</v>
      </c>
      <c r="S144" s="55">
        <f t="shared" ca="1" si="33"/>
        <v>45520</v>
      </c>
      <c r="T144" s="55">
        <f t="shared" ca="1" si="27"/>
        <v>17.43751518861691</v>
      </c>
      <c r="U144" s="55">
        <f t="shared" ca="1" si="28"/>
        <v>322.16386174083942</v>
      </c>
      <c r="V144" s="55">
        <f t="shared" ca="1" si="29"/>
        <v>0</v>
      </c>
      <c r="W144" s="55">
        <f t="shared" ca="1" si="34"/>
        <v>-118.65947053710939</v>
      </c>
      <c r="X144" s="55">
        <f t="shared" ca="1" si="35"/>
        <v>91.999907610257537</v>
      </c>
      <c r="Y144" s="55">
        <f t="shared" ca="1" si="36"/>
        <v>39.074015009624482</v>
      </c>
      <c r="Z144">
        <f t="shared" ca="1" si="30"/>
        <v>120</v>
      </c>
      <c r="AA144">
        <f t="shared" ca="1" si="37"/>
        <v>262.62791485156765</v>
      </c>
      <c r="AB144">
        <f t="shared" ca="1" si="31"/>
        <v>0</v>
      </c>
      <c r="AC144">
        <f t="shared" ca="1" si="32"/>
        <v>0.57587462013739876</v>
      </c>
      <c r="AD144" s="83">
        <f ca="1"/>
        <v>45688</v>
      </c>
      <c r="AE144" s="55">
        <f t="shared" ca="1" si="41"/>
        <v>45688</v>
      </c>
      <c r="AF144" s="55">
        <f t="shared" ca="1" si="42"/>
        <v>-6.0872782868019835</v>
      </c>
      <c r="AG144" s="55">
        <f t="shared" ca="1" si="43"/>
        <v>132.01328089011312</v>
      </c>
      <c r="AH144" s="55">
        <f t="shared" ca="1" si="44"/>
        <v>0</v>
      </c>
      <c r="AI144" s="55">
        <f t="shared" ca="1" si="38"/>
        <v>-1.5936822076724197</v>
      </c>
      <c r="AJ144" s="55">
        <f t="shared" ca="1" si="39"/>
        <v>104.80260004317873</v>
      </c>
      <c r="AK144" s="55">
        <f t="shared" ca="1" si="40"/>
        <v>-8.3366083991699753</v>
      </c>
    </row>
    <row r="145" spans="18:37">
      <c r="R145" s="83">
        <f ca="1"/>
        <v>45521</v>
      </c>
      <c r="S145" s="55">
        <f t="shared" ca="1" si="33"/>
        <v>45521</v>
      </c>
      <c r="T145" s="55">
        <f t="shared" ca="1" si="27"/>
        <v>16.891854395817536</v>
      </c>
      <c r="U145" s="55">
        <f t="shared" ca="1" si="28"/>
        <v>323.18517031542831</v>
      </c>
      <c r="V145" s="55">
        <f t="shared" ca="1" si="29"/>
        <v>0</v>
      </c>
      <c r="W145" s="55">
        <f t="shared" ca="1" si="34"/>
        <v>-118.83715326059466</v>
      </c>
      <c r="X145" s="55">
        <f t="shared" ca="1" si="35"/>
        <v>92.594788718044995</v>
      </c>
      <c r="Y145" s="55">
        <f t="shared" ca="1" si="36"/>
        <v>39.132464407111819</v>
      </c>
      <c r="Z145">
        <f t="shared" ca="1" si="30"/>
        <v>120</v>
      </c>
      <c r="AA145">
        <f t="shared" ca="1" si="37"/>
        <v>264.53791485156762</v>
      </c>
      <c r="AB145">
        <f t="shared" ca="1" si="31"/>
        <v>0</v>
      </c>
      <c r="AC145">
        <f t="shared" ca="1" si="32"/>
        <v>0.55034882548644037</v>
      </c>
      <c r="AD145" s="83">
        <f ca="1"/>
        <v>45689</v>
      </c>
      <c r="AE145" s="55">
        <f t="shared" ca="1" si="41"/>
        <v>45689</v>
      </c>
      <c r="AF145" s="55">
        <f t="shared" ca="1" si="42"/>
        <v>-8.436156311823888</v>
      </c>
      <c r="AG145" s="55">
        <f t="shared" ca="1" si="43"/>
        <v>135.01679780234389</v>
      </c>
      <c r="AH145" s="55">
        <f t="shared" ca="1" si="44"/>
        <v>0</v>
      </c>
      <c r="AI145" s="55">
        <f t="shared" ca="1" si="38"/>
        <v>-1.5936822076724197</v>
      </c>
      <c r="AJ145" s="55">
        <f t="shared" ca="1" si="39"/>
        <v>105.41704556191503</v>
      </c>
      <c r="AK145" s="55">
        <f t="shared" ca="1" si="40"/>
        <v>-8.2964150306974247</v>
      </c>
    </row>
    <row r="146" spans="18:37">
      <c r="R146" s="83">
        <f ca="1"/>
        <v>45522</v>
      </c>
      <c r="S146" s="55">
        <f t="shared" ca="1" si="33"/>
        <v>45522</v>
      </c>
      <c r="T146" s="55">
        <f t="shared" ref="T146:T209" ca="1" si="45">VLOOKUP(S146,ModelOutputs,2,FALSE)</f>
        <v>16.434267228603449</v>
      </c>
      <c r="U146" s="55">
        <f t="shared" ref="U146:U209" ca="1" si="46">VLOOKUP(S146,ModelOutputs,7,FALSE)</f>
        <v>324.28627319073075</v>
      </c>
      <c r="V146" s="55">
        <f t="shared" ref="V146:V209" ca="1" si="47">VLOOKUP(S146,ModelOutputs,6,FALSE)</f>
        <v>0</v>
      </c>
      <c r="W146" s="55">
        <f t="shared" ca="1" si="34"/>
        <v>-118.88874256902533</v>
      </c>
      <c r="X146" s="55">
        <f t="shared" ca="1" si="35"/>
        <v>93.23018322951576</v>
      </c>
      <c r="Y146" s="55">
        <f t="shared" ca="1" si="36"/>
        <v>39.192174912160077</v>
      </c>
      <c r="Z146">
        <f t="shared" ref="Z146:Z209" ca="1" si="48">VLOOKUP(S146,ModelOutputs,10,FALSE)*AWC</f>
        <v>120</v>
      </c>
      <c r="AA146">
        <f t="shared" ca="1" si="37"/>
        <v>265.10791485156761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0.5204909769129954</v>
      </c>
      <c r="AD146" s="83">
        <f ca="1"/>
        <v>45690</v>
      </c>
      <c r="AE146" s="55">
        <f t="shared" ca="1" si="41"/>
        <v>45690</v>
      </c>
      <c r="AF146" s="55">
        <f t="shared" ca="1" si="42"/>
        <v>-10.691858163209636</v>
      </c>
      <c r="AG146" s="55">
        <f t="shared" ca="1" si="43"/>
        <v>137.9563466314697</v>
      </c>
      <c r="AH146" s="55">
        <f t="shared" ca="1" si="44"/>
        <v>0</v>
      </c>
      <c r="AI146" s="55">
        <f t="shared" ca="1" si="38"/>
        <v>-1.5936822076724197</v>
      </c>
      <c r="AJ146" s="55">
        <f t="shared" ca="1" si="39"/>
        <v>106.05639778210309</v>
      </c>
      <c r="AK146" s="55">
        <f t="shared" ca="1" si="40"/>
        <v>-8.2519202731454229</v>
      </c>
    </row>
    <row r="147" spans="18:37">
      <c r="R147" s="83">
        <f ca="1"/>
        <v>45523</v>
      </c>
      <c r="S147" s="55">
        <f t="shared" ref="S147:S210" ca="1" si="51">IF(R147&gt;1,R147,"")</f>
        <v>45523</v>
      </c>
      <c r="T147" s="55">
        <f t="shared" ca="1" si="45"/>
        <v>15.958608164172588</v>
      </c>
      <c r="U147" s="55">
        <f t="shared" ca="1" si="46"/>
        <v>325.24659989260454</v>
      </c>
      <c r="V147" s="55">
        <f t="shared" ca="1" si="47"/>
        <v>0</v>
      </c>
      <c r="W147" s="55">
        <f t="shared" ref="W147:W210" ca="1" si="52">-VLOOKUP(S147,ModelOutputs,9,FALSE)+W146</f>
        <v>-119.08297502027564</v>
      </c>
      <c r="X147" s="55">
        <f t="shared" ref="X147:X210" ca="1" si="53">VLOOKUP(S147,ModelOutputs,5,FALSE)+X146</f>
        <v>93.851673444331055</v>
      </c>
      <c r="Y147" s="55">
        <f t="shared" ref="Y147:Y210" ca="1" si="54">VLOOKUP(S147,ModelOutputs,4,FALSE)+Y146</f>
        <v>39.249584786038028</v>
      </c>
      <c r="Z147">
        <f t="shared" ca="1" si="48"/>
        <v>120</v>
      </c>
      <c r="AA147">
        <f t="shared" ref="AA147:AA210" ca="1" si="55">VLOOKUP(S147,ModelOutputs,11,FALSE)+AA146</f>
        <v>267.31791485156759</v>
      </c>
      <c r="AB147">
        <f t="shared" ca="1" si="49"/>
        <v>0</v>
      </c>
      <c r="AC147">
        <f t="shared" ca="1" si="50"/>
        <v>0.49209936197485371</v>
      </c>
      <c r="AD147" s="83">
        <f ca="1"/>
        <v>45691</v>
      </c>
      <c r="AE147" s="55">
        <f t="shared" ca="1" si="41"/>
        <v>45691</v>
      </c>
      <c r="AF147" s="55">
        <f t="shared" ca="1" si="42"/>
        <v>-12.961821512935742</v>
      </c>
      <c r="AG147" s="55">
        <f t="shared" ca="1" si="43"/>
        <v>140.89721612382763</v>
      </c>
      <c r="AH147" s="55">
        <f t="shared" ca="1" si="44"/>
        <v>0</v>
      </c>
      <c r="AI147" s="55">
        <f t="shared" ref="AI147:AI210" ca="1" si="56">-VLOOKUP(AE147,ModelOutputs,9,FALSE)+AI146</f>
        <v>-1.5936822076724197</v>
      </c>
      <c r="AJ147" s="55">
        <f t="shared" ref="AJ147:AJ210" ca="1" si="57">VLOOKUP(AE147,ModelOutputs,5,FALSE)+AJ146</f>
        <v>106.68611702924046</v>
      </c>
      <c r="AK147" s="55">
        <f t="shared" ref="AK147:AK210" ca="1" si="58">VLOOKUP(AE147,ModelOutputs,4,FALSE)+AK146</f>
        <v>-8.2107333776509748</v>
      </c>
    </row>
    <row r="148" spans="18:37">
      <c r="R148" s="83">
        <f ca="1"/>
        <v>45524</v>
      </c>
      <c r="S148" s="55">
        <f t="shared" ca="1" si="51"/>
        <v>45524</v>
      </c>
      <c r="T148" s="55">
        <f t="shared" ca="1" si="45"/>
        <v>15.630047220613463</v>
      </c>
      <c r="U148" s="55">
        <f t="shared" ca="1" si="46"/>
        <v>326.22956298073501</v>
      </c>
      <c r="V148" s="55">
        <f t="shared" ca="1" si="47"/>
        <v>0</v>
      </c>
      <c r="W148" s="55">
        <f t="shared" ca="1" si="52"/>
        <v>-119.14064762929547</v>
      </c>
      <c r="X148" s="55">
        <f t="shared" ca="1" si="53"/>
        <v>94.505698359611543</v>
      </c>
      <c r="Y148" s="55">
        <f t="shared" ca="1" si="54"/>
        <v>39.307634624348722</v>
      </c>
      <c r="Z148">
        <f t="shared" ca="1" si="48"/>
        <v>120</v>
      </c>
      <c r="AA148">
        <f t="shared" ca="1" si="55"/>
        <v>267.98791485156761</v>
      </c>
      <c r="AB148">
        <f t="shared" ca="1" si="49"/>
        <v>0</v>
      </c>
      <c r="AC148">
        <f t="shared" ca="1" si="50"/>
        <v>0.46030875088214573</v>
      </c>
      <c r="AD148" s="83">
        <f ca="1"/>
        <v>45692</v>
      </c>
      <c r="AE148" s="55">
        <f t="shared" ca="1" si="41"/>
        <v>45692</v>
      </c>
      <c r="AF148" s="55">
        <f t="shared" ca="1" si="42"/>
        <v>-15.111973518414043</v>
      </c>
      <c r="AG148" s="55">
        <f t="shared" ca="1" si="43"/>
        <v>143.73000642730744</v>
      </c>
      <c r="AH148" s="55">
        <f t="shared" ca="1" si="44"/>
        <v>0</v>
      </c>
      <c r="AI148" s="55">
        <f t="shared" ca="1" si="56"/>
        <v>-1.5936822076724197</v>
      </c>
      <c r="AJ148" s="55">
        <f t="shared" ca="1" si="57"/>
        <v>107.32493263560657</v>
      </c>
      <c r="AK148" s="55">
        <f t="shared" ca="1" si="58"/>
        <v>-8.1669106860155765</v>
      </c>
    </row>
    <row r="149" spans="18:37">
      <c r="R149" s="83">
        <f ca="1"/>
        <v>45525</v>
      </c>
      <c r="S149" s="55">
        <f t="shared" ca="1" si="51"/>
        <v>45525</v>
      </c>
      <c r="T149" s="55">
        <f t="shared" ca="1" si="45"/>
        <v>15.2407835487051</v>
      </c>
      <c r="U149" s="55">
        <f t="shared" ca="1" si="46"/>
        <v>327.07826638116978</v>
      </c>
      <c r="V149" s="55">
        <f t="shared" ca="1" si="47"/>
        <v>0</v>
      </c>
      <c r="W149" s="55">
        <f t="shared" ca="1" si="52"/>
        <v>-119.37482558173514</v>
      </c>
      <c r="X149" s="55">
        <f t="shared" ca="1" si="53"/>
        <v>95.143642130185398</v>
      </c>
      <c r="Y149" s="55">
        <f t="shared" ca="1" si="54"/>
        <v>39.363308534740945</v>
      </c>
      <c r="Z149">
        <f t="shared" ca="1" si="48"/>
        <v>120</v>
      </c>
      <c r="AA149">
        <f t="shared" ca="1" si="55"/>
        <v>270.77791485156763</v>
      </c>
      <c r="AB149">
        <f t="shared" ca="1" si="49"/>
        <v>0</v>
      </c>
      <c r="AC149">
        <f t="shared" ca="1" si="50"/>
        <v>0.43018431437500948</v>
      </c>
      <c r="AD149" s="83">
        <f ca="1"/>
        <v>45693</v>
      </c>
      <c r="AE149" s="55">
        <f t="shared" ref="AE149:AE212" ca="1" si="59">IF(AD149&gt;1,AD149,"")</f>
        <v>45693</v>
      </c>
      <c r="AF149" s="55">
        <f t="shared" ref="AF149:AF212" ca="1" si="60">VLOOKUP(AE149,ModelOutputs,2,FALSE)</f>
        <v>-17.175104210814141</v>
      </c>
      <c r="AG149" s="55">
        <f t="shared" ref="AG149:AG212" ca="1" si="61">VLOOKUP(AE149,ModelOutputs,7,FALSE)</f>
        <v>146.44544551387483</v>
      </c>
      <c r="AH149" s="55">
        <f t="shared" ref="AH149:AH212" ca="1" si="62">VLOOKUP(AE149,ModelOutputs,6,FALSE)</f>
        <v>0</v>
      </c>
      <c r="AI149" s="55">
        <f t="shared" ca="1" si="56"/>
        <v>-1.5936822076724197</v>
      </c>
      <c r="AJ149" s="55">
        <f t="shared" ca="1" si="57"/>
        <v>107.93621215034275</v>
      </c>
      <c r="AK149" s="55">
        <f t="shared" ca="1" si="58"/>
        <v>-8.1258818065844665</v>
      </c>
    </row>
    <row r="150" spans="18:37">
      <c r="R150" s="83">
        <f ca="1"/>
        <v>45526</v>
      </c>
      <c r="S150" s="55">
        <f t="shared" ca="1" si="51"/>
        <v>45526</v>
      </c>
      <c r="T150" s="55">
        <f t="shared" ca="1" si="45"/>
        <v>15.149078194246144</v>
      </c>
      <c r="U150" s="55">
        <f t="shared" ca="1" si="46"/>
        <v>327.8629796171362</v>
      </c>
      <c r="V150" s="55">
        <f t="shared" ca="1" si="47"/>
        <v>0</v>
      </c>
      <c r="W150" s="55">
        <f t="shared" ca="1" si="52"/>
        <v>-119.37816276997503</v>
      </c>
      <c r="X150" s="55">
        <f t="shared" ca="1" si="53"/>
        <v>95.785422046703758</v>
      </c>
      <c r="Y150" s="55">
        <f t="shared" ca="1" si="54"/>
        <v>39.417873687969944</v>
      </c>
      <c r="Z150">
        <f t="shared" ca="1" si="48"/>
        <v>120</v>
      </c>
      <c r="AA150">
        <f t="shared" ca="1" si="55"/>
        <v>270.81791485156765</v>
      </c>
      <c r="AB150">
        <f t="shared" ca="1" si="49"/>
        <v>0</v>
      </c>
      <c r="AC150">
        <f t="shared" ca="1" si="50"/>
        <v>0.39965999596733592</v>
      </c>
      <c r="AD150" s="83">
        <f ca="1"/>
        <v>45694</v>
      </c>
      <c r="AE150" s="55">
        <f t="shared" ca="1" si="59"/>
        <v>45694</v>
      </c>
      <c r="AF150" s="55">
        <f t="shared" ca="1" si="60"/>
        <v>-19.157785816604097</v>
      </c>
      <c r="AG150" s="55">
        <f t="shared" ca="1" si="61"/>
        <v>149.02375131744591</v>
      </c>
      <c r="AH150" s="55">
        <f t="shared" ca="1" si="62"/>
        <v>0</v>
      </c>
      <c r="AI150" s="55">
        <f t="shared" ca="1" si="56"/>
        <v>-1.5936822076724197</v>
      </c>
      <c r="AJ150" s="55">
        <f t="shared" ca="1" si="57"/>
        <v>108.49658924645125</v>
      </c>
      <c r="AK150" s="55">
        <f t="shared" ca="1" si="58"/>
        <v>-8.0906347049118423</v>
      </c>
    </row>
    <row r="151" spans="18:37">
      <c r="R151" s="83">
        <f ca="1"/>
        <v>45527</v>
      </c>
      <c r="S151" s="55">
        <f t="shared" ca="1" si="51"/>
        <v>45527</v>
      </c>
      <c r="T151" s="55">
        <f t="shared" ca="1" si="45"/>
        <v>15.103976563693545</v>
      </c>
      <c r="U151" s="55">
        <f t="shared" ca="1" si="46"/>
        <v>328.62431373732881</v>
      </c>
      <c r="V151" s="55">
        <f t="shared" ca="1" si="47"/>
        <v>0</v>
      </c>
      <c r="W151" s="55">
        <f t="shared" ca="1" si="52"/>
        <v>-119.37816276997503</v>
      </c>
      <c r="X151" s="55">
        <f t="shared" ca="1" si="53"/>
        <v>96.447256935179411</v>
      </c>
      <c r="Y151" s="55">
        <f t="shared" ca="1" si="54"/>
        <v>39.472271289134298</v>
      </c>
      <c r="Z151">
        <f t="shared" ca="1" si="48"/>
        <v>117.96521739130432</v>
      </c>
      <c r="AA151">
        <f t="shared" ca="1" si="55"/>
        <v>270.81791485156765</v>
      </c>
      <c r="AB151">
        <f t="shared" ca="1" si="49"/>
        <v>0</v>
      </c>
      <c r="AC151">
        <f t="shared" ca="1" si="50"/>
        <v>0.36706962107355356</v>
      </c>
      <c r="AD151" s="83">
        <f ca="1"/>
        <v>45695</v>
      </c>
      <c r="AE151" s="55">
        <f t="shared" ca="1" si="59"/>
        <v>45695</v>
      </c>
      <c r="AF151" s="55">
        <f t="shared" ca="1" si="60"/>
        <v>-21.050782912903632</v>
      </c>
      <c r="AG151" s="55">
        <f t="shared" ca="1" si="61"/>
        <v>151.50492338798551</v>
      </c>
      <c r="AH151" s="55">
        <f t="shared" ca="1" si="62"/>
        <v>0</v>
      </c>
      <c r="AI151" s="55">
        <f t="shared" ca="1" si="56"/>
        <v>-1.5936822076724197</v>
      </c>
      <c r="AJ151" s="55">
        <f t="shared" ca="1" si="57"/>
        <v>109.04958762327696</v>
      </c>
      <c r="AK151" s="55">
        <f t="shared" ca="1" si="58"/>
        <v>-8.0554581074974863</v>
      </c>
    </row>
    <row r="152" spans="18:37">
      <c r="R152" s="83">
        <f ca="1"/>
        <v>45528</v>
      </c>
      <c r="S152" s="55">
        <f t="shared" ca="1" si="51"/>
        <v>45528</v>
      </c>
      <c r="T152" s="55">
        <f t="shared" ca="1" si="45"/>
        <v>15.140737572114221</v>
      </c>
      <c r="U152" s="55">
        <f t="shared" ca="1" si="46"/>
        <v>329.29079201819212</v>
      </c>
      <c r="V152" s="55">
        <f t="shared" ca="1" si="47"/>
        <v>0</v>
      </c>
      <c r="W152" s="55">
        <f t="shared" ca="1" si="52"/>
        <v>-119.37816276997503</v>
      </c>
      <c r="X152" s="55">
        <f t="shared" ca="1" si="53"/>
        <v>97.098045140880217</v>
      </c>
      <c r="Y152" s="55">
        <f t="shared" ca="1" si="54"/>
        <v>39.524722372717484</v>
      </c>
      <c r="Z152">
        <f t="shared" ca="1" si="48"/>
        <v>119.7503442259172</v>
      </c>
      <c r="AA152">
        <f t="shared" ca="1" si="55"/>
        <v>270.81791485156765</v>
      </c>
      <c r="AB152">
        <f t="shared" ca="1" si="49"/>
        <v>0</v>
      </c>
      <c r="AC152">
        <f t="shared" ca="1" si="50"/>
        <v>0.3356122448979596</v>
      </c>
      <c r="AD152" s="83">
        <f ca="1"/>
        <v>45696</v>
      </c>
      <c r="AE152" s="55">
        <f t="shared" ca="1" si="59"/>
        <v>45696</v>
      </c>
      <c r="AF152" s="55">
        <f t="shared" ca="1" si="60"/>
        <v>-22.93384077426634</v>
      </c>
      <c r="AG152" s="55">
        <f t="shared" ca="1" si="61"/>
        <v>154</v>
      </c>
      <c r="AH152" s="55">
        <f t="shared" ca="1" si="62"/>
        <v>0</v>
      </c>
      <c r="AI152" s="55">
        <f t="shared" ca="1" si="56"/>
        <v>-1.5936822076724197</v>
      </c>
      <c r="AJ152" s="55">
        <f t="shared" ca="1" si="57"/>
        <v>109.62520455149017</v>
      </c>
      <c r="AK152" s="55">
        <f t="shared" ca="1" si="58"/>
        <v>-8.0190562850589231</v>
      </c>
    </row>
    <row r="153" spans="18:37">
      <c r="R153" s="83">
        <f ca="1"/>
        <v>45529</v>
      </c>
      <c r="S153" s="55">
        <f t="shared" ca="1" si="51"/>
        <v>45529</v>
      </c>
      <c r="T153" s="55">
        <f t="shared" ca="1" si="45"/>
        <v>15.067477343832852</v>
      </c>
      <c r="U153" s="55">
        <f t="shared" ca="1" si="46"/>
        <v>330.01696417200992</v>
      </c>
      <c r="V153" s="55">
        <f t="shared" ca="1" si="47"/>
        <v>0</v>
      </c>
      <c r="W153" s="55">
        <f t="shared" ca="1" si="52"/>
        <v>-119.49754037114452</v>
      </c>
      <c r="X153" s="55">
        <f t="shared" ca="1" si="53"/>
        <v>97.815526412074647</v>
      </c>
      <c r="Y153" s="55">
        <f t="shared" ca="1" si="54"/>
        <v>39.57953062822898</v>
      </c>
      <c r="Z153">
        <f t="shared" ca="1" si="48"/>
        <v>120</v>
      </c>
      <c r="AA153">
        <f t="shared" ca="1" si="55"/>
        <v>272.25654048644185</v>
      </c>
      <c r="AB153">
        <f t="shared" ca="1" si="49"/>
        <v>0</v>
      </c>
      <c r="AC153">
        <f t="shared" ca="1" si="50"/>
        <v>0.29749017038007886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45530</v>
      </c>
      <c r="S154" s="55">
        <f t="shared" ca="1" si="51"/>
        <v>45530</v>
      </c>
      <c r="T154" s="55">
        <f t="shared" ca="1" si="45"/>
        <v>15.191509498738643</v>
      </c>
      <c r="U154" s="55">
        <f t="shared" ca="1" si="46"/>
        <v>330.66597858147549</v>
      </c>
      <c r="V154" s="55">
        <f t="shared" ca="1" si="47"/>
        <v>0</v>
      </c>
      <c r="W154" s="55">
        <f t="shared" ca="1" si="52"/>
        <v>-119.49754037114452</v>
      </c>
      <c r="X154" s="55">
        <f t="shared" ca="1" si="53"/>
        <v>98.535072528026731</v>
      </c>
      <c r="Y154" s="55">
        <f t="shared" ca="1" si="54"/>
        <v>39.633031076648251</v>
      </c>
      <c r="Z154">
        <f t="shared" ca="1" si="48"/>
        <v>118.9217391304348</v>
      </c>
      <c r="AA154">
        <f t="shared" ca="1" si="55"/>
        <v>272.25654048644185</v>
      </c>
      <c r="AB154">
        <f t="shared" ca="1" si="49"/>
        <v>0</v>
      </c>
      <c r="AC154">
        <f t="shared" ca="1" si="50"/>
        <v>0.25916815491192979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45531</v>
      </c>
      <c r="S155" s="55">
        <f t="shared" ca="1" si="51"/>
        <v>45531</v>
      </c>
      <c r="T155" s="55">
        <f t="shared" ca="1" si="45"/>
        <v>15.37968676559565</v>
      </c>
      <c r="U155" s="55">
        <f t="shared" ca="1" si="46"/>
        <v>331.27361429885923</v>
      </c>
      <c r="V155" s="55">
        <f t="shared" ca="1" si="47"/>
        <v>0</v>
      </c>
      <c r="W155" s="55">
        <f t="shared" ca="1" si="52"/>
        <v>-119.49754037114452</v>
      </c>
      <c r="X155" s="55">
        <f t="shared" ca="1" si="53"/>
        <v>99.277579925726002</v>
      </c>
      <c r="Y155" s="55">
        <f t="shared" ca="1" si="54"/>
        <v>39.686336663189728</v>
      </c>
      <c r="Z155">
        <f t="shared" ca="1" si="48"/>
        <v>119.393937742784</v>
      </c>
      <c r="AA155">
        <f t="shared" ca="1" si="55"/>
        <v>272.25654048644185</v>
      </c>
      <c r="AB155">
        <f t="shared" ca="1" si="49"/>
        <v>0</v>
      </c>
      <c r="AC155">
        <f t="shared" ca="1" si="50"/>
        <v>0.21864678899082601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45532</v>
      </c>
      <c r="S156" s="55">
        <f t="shared" ca="1" si="51"/>
        <v>45532</v>
      </c>
      <c r="T156" s="55">
        <f t="shared" ca="1" si="45"/>
        <v>15.543431532398468</v>
      </c>
      <c r="U156" s="55">
        <f t="shared" ca="1" si="46"/>
        <v>331.7679542673751</v>
      </c>
      <c r="V156" s="55">
        <f t="shared" ca="1" si="47"/>
        <v>0</v>
      </c>
      <c r="W156" s="55">
        <f t="shared" ca="1" si="52"/>
        <v>-119.5975020990785</v>
      </c>
      <c r="X156" s="55">
        <f t="shared" ca="1" si="53"/>
        <v>99.985474812397726</v>
      </c>
      <c r="Y156" s="55">
        <f t="shared" ca="1" si="54"/>
        <v>39.736488239770672</v>
      </c>
      <c r="Z156">
        <f t="shared" ca="1" si="48"/>
        <v>120</v>
      </c>
      <c r="AA156">
        <f t="shared" ca="1" si="55"/>
        <v>273.42429712354908</v>
      </c>
      <c r="AB156">
        <f t="shared" ca="1" si="49"/>
        <v>0</v>
      </c>
      <c r="AC156">
        <f t="shared" ca="1" si="50"/>
        <v>0.18145777224086579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45533</v>
      </c>
      <c r="S157" s="55">
        <f t="shared" ca="1" si="51"/>
        <v>45533</v>
      </c>
      <c r="T157" s="55">
        <f t="shared" ca="1" si="45"/>
        <v>15.859133878150111</v>
      </c>
      <c r="U157" s="55">
        <f t="shared" ca="1" si="46"/>
        <v>332.24828501769696</v>
      </c>
      <c r="V157" s="55">
        <f t="shared" ca="1" si="47"/>
        <v>0</v>
      </c>
      <c r="W157" s="55">
        <f t="shared" ca="1" si="52"/>
        <v>-119.5975020990785</v>
      </c>
      <c r="X157" s="55">
        <f t="shared" ca="1" si="53"/>
        <v>100.73079635049118</v>
      </c>
      <c r="Y157" s="55">
        <f t="shared" ca="1" si="54"/>
        <v>39.787199797750716</v>
      </c>
      <c r="Z157">
        <f t="shared" ca="1" si="48"/>
        <v>119.63478260869563</v>
      </c>
      <c r="AA157">
        <f t="shared" ca="1" si="55"/>
        <v>273.42429712354908</v>
      </c>
      <c r="AB157">
        <f t="shared" ca="1" si="49"/>
        <v>0</v>
      </c>
      <c r="AC157">
        <f t="shared" ca="1" si="50"/>
        <v>0.14066981838607051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45534</v>
      </c>
      <c r="S158" s="55">
        <f t="shared" ca="1" si="51"/>
        <v>45534</v>
      </c>
      <c r="T158" s="55">
        <f t="shared" ca="1" si="45"/>
        <v>16.227392308621681</v>
      </c>
      <c r="U158" s="55">
        <f t="shared" ca="1" si="46"/>
        <v>332.64194979153319</v>
      </c>
      <c r="V158" s="55">
        <f t="shared" ca="1" si="47"/>
        <v>0</v>
      </c>
      <c r="W158" s="55">
        <f t="shared" ca="1" si="52"/>
        <v>-119.5975020990785</v>
      </c>
      <c r="X158" s="55">
        <f t="shared" ca="1" si="53"/>
        <v>101.44484454657174</v>
      </c>
      <c r="Y158" s="55">
        <f t="shared" ca="1" si="54"/>
        <v>39.835074805977953</v>
      </c>
      <c r="Z158">
        <f t="shared" ca="1" si="48"/>
        <v>119.50424687939419</v>
      </c>
      <c r="AA158">
        <f t="shared" ca="1" si="55"/>
        <v>273.42429712354908</v>
      </c>
      <c r="AB158">
        <f t="shared" ca="1" si="49"/>
        <v>0</v>
      </c>
      <c r="AC158">
        <f t="shared" ca="1" si="50"/>
        <v>0.10288097878530411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45535</v>
      </c>
      <c r="S159" s="55">
        <f t="shared" ca="1" si="51"/>
        <v>45535</v>
      </c>
      <c r="T159" s="55">
        <f t="shared" ca="1" si="45"/>
        <v>16.631631939009505</v>
      </c>
      <c r="U159" s="55">
        <f t="shared" ca="1" si="46"/>
        <v>332.95960682261949</v>
      </c>
      <c r="V159" s="55">
        <f t="shared" ca="1" si="47"/>
        <v>0</v>
      </c>
      <c r="W159" s="55">
        <f t="shared" ca="1" si="52"/>
        <v>-119.5975020990785</v>
      </c>
      <c r="X159" s="55">
        <f t="shared" ca="1" si="53"/>
        <v>102.12181414927217</v>
      </c>
      <c r="Y159" s="55">
        <f t="shared" ca="1" si="54"/>
        <v>39.880001864751648</v>
      </c>
      <c r="Z159">
        <f t="shared" ca="1" si="48"/>
        <v>117.77715991238705</v>
      </c>
      <c r="AA159">
        <f t="shared" ca="1" si="55"/>
        <v>273.42429712354908</v>
      </c>
      <c r="AB159">
        <f t="shared" ca="1" si="49"/>
        <v>0</v>
      </c>
      <c r="AC159">
        <f t="shared" ca="1" si="50"/>
        <v>6.8757723272795612E-2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45536</v>
      </c>
      <c r="S160" s="55">
        <f t="shared" ca="1" si="51"/>
        <v>45536</v>
      </c>
      <c r="T160" s="55">
        <f t="shared" ca="1" si="45"/>
        <v>17.024555769879097</v>
      </c>
      <c r="U160" s="55">
        <f t="shared" ca="1" si="46"/>
        <v>333.22065022805054</v>
      </c>
      <c r="V160" s="55">
        <f t="shared" ca="1" si="47"/>
        <v>0</v>
      </c>
      <c r="W160" s="55">
        <f t="shared" ca="1" si="52"/>
        <v>-119.63291593667725</v>
      </c>
      <c r="X160" s="55">
        <f t="shared" ca="1" si="53"/>
        <v>102.76873183175502</v>
      </c>
      <c r="Y160" s="55">
        <f t="shared" ca="1" si="54"/>
        <v>39.922465256168195</v>
      </c>
      <c r="Z160">
        <f t="shared" ca="1" si="48"/>
        <v>120</v>
      </c>
      <c r="AA160">
        <f t="shared" ca="1" si="55"/>
        <v>273.80201078846801</v>
      </c>
      <c r="AB160">
        <f t="shared" ca="1" si="49"/>
        <v>0</v>
      </c>
      <c r="AC160">
        <f t="shared" ca="1" si="50"/>
        <v>3.7700228997738949E-2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45537</v>
      </c>
      <c r="S161" s="55">
        <f t="shared" ca="1" si="51"/>
        <v>45537</v>
      </c>
      <c r="T161" s="55">
        <f t="shared" ca="1" si="45"/>
        <v>17.477832915247571</v>
      </c>
      <c r="U161" s="55">
        <f t="shared" ca="1" si="46"/>
        <v>333.46181142975468</v>
      </c>
      <c r="V161" s="55">
        <f t="shared" ca="1" si="47"/>
        <v>0</v>
      </c>
      <c r="W161" s="55">
        <f t="shared" ca="1" si="52"/>
        <v>-119.63291593667725</v>
      </c>
      <c r="X161" s="55">
        <f t="shared" ca="1" si="53"/>
        <v>103.42146083271847</v>
      </c>
      <c r="Y161" s="55">
        <f t="shared" ca="1" si="54"/>
        <v>39.964174602277353</v>
      </c>
      <c r="Z161">
        <f t="shared" ca="1" si="48"/>
        <v>118.81739130434784</v>
      </c>
      <c r="AA161">
        <f t="shared" ca="1" si="55"/>
        <v>273.80201078846801</v>
      </c>
      <c r="AB161">
        <f t="shared" ca="1" si="49"/>
        <v>0</v>
      </c>
      <c r="AC161">
        <f t="shared" ca="1" si="50"/>
        <v>6.0429118718765551E-3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45538</v>
      </c>
      <c r="S162" s="55">
        <f t="shared" ca="1" si="51"/>
        <v>45538</v>
      </c>
      <c r="T162" s="55">
        <f t="shared" ca="1" si="45"/>
        <v>17.960579995103153</v>
      </c>
      <c r="U162" s="55">
        <f t="shared" ca="1" si="46"/>
        <v>333.69365068621357</v>
      </c>
      <c r="V162" s="55">
        <f t="shared" ca="1" si="47"/>
        <v>0</v>
      </c>
      <c r="W162" s="55">
        <f t="shared" ca="1" si="52"/>
        <v>-119.63291593667725</v>
      </c>
      <c r="X162" s="55">
        <f t="shared" ca="1" si="53"/>
        <v>104.09446123220854</v>
      </c>
      <c r="Y162" s="55">
        <f t="shared" ca="1" si="54"/>
        <v>40.00576053910175</v>
      </c>
      <c r="Z162">
        <f t="shared" ca="1" si="48"/>
        <v>119.97867674858225</v>
      </c>
      <c r="AA162">
        <f t="shared" ca="1" si="55"/>
        <v>273.80201078846801</v>
      </c>
      <c r="AB162">
        <f t="shared" ca="1" si="49"/>
        <v>0</v>
      </c>
      <c r="AC162">
        <f t="shared" ca="1" si="50"/>
        <v>0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45539</v>
      </c>
      <c r="S163" s="55">
        <f t="shared" ca="1" si="51"/>
        <v>45539</v>
      </c>
      <c r="T163" s="55">
        <f t="shared" ca="1" si="45"/>
        <v>18.287514945829379</v>
      </c>
      <c r="U163" s="55">
        <f t="shared" ca="1" si="46"/>
        <v>333.89118578008197</v>
      </c>
      <c r="V163" s="55">
        <f t="shared" ca="1" si="47"/>
        <v>0</v>
      </c>
      <c r="W163" s="55">
        <f t="shared" ca="1" si="52"/>
        <v>-119.8029214873529</v>
      </c>
      <c r="X163" s="55">
        <f t="shared" ca="1" si="53"/>
        <v>104.74913472010329</v>
      </c>
      <c r="Y163" s="55">
        <f t="shared" ca="1" si="54"/>
        <v>40.045562646477293</v>
      </c>
      <c r="Z163">
        <f t="shared" ca="1" si="48"/>
        <v>120</v>
      </c>
      <c r="AA163">
        <f t="shared" ca="1" si="55"/>
        <v>275.49001645954553</v>
      </c>
      <c r="AB163">
        <f t="shared" ca="1" si="49"/>
        <v>0</v>
      </c>
      <c r="AC163">
        <f t="shared" ca="1" si="50"/>
        <v>0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45540</v>
      </c>
      <c r="S164" s="55">
        <f t="shared" ca="1" si="51"/>
        <v>45540</v>
      </c>
      <c r="T164" s="55">
        <f t="shared" ca="1" si="45"/>
        <v>18.369530666038408</v>
      </c>
      <c r="U164" s="55">
        <f t="shared" ca="1" si="46"/>
        <v>334.08929400317396</v>
      </c>
      <c r="V164" s="55">
        <f t="shared" ca="1" si="47"/>
        <v>0</v>
      </c>
      <c r="W164" s="55">
        <f t="shared" ca="1" si="52"/>
        <v>-120.25411975652395</v>
      </c>
      <c r="X164" s="55">
        <f t="shared" ca="1" si="53"/>
        <v>105.44011364647429</v>
      </c>
      <c r="Y164" s="55">
        <f t="shared" ca="1" si="54"/>
        <v>40.085905932578356</v>
      </c>
      <c r="Z164">
        <f t="shared" ca="1" si="48"/>
        <v>120</v>
      </c>
      <c r="AA164">
        <f t="shared" ca="1" si="55"/>
        <v>279.95001645954551</v>
      </c>
      <c r="AB164">
        <f t="shared" ca="1" si="49"/>
        <v>0</v>
      </c>
      <c r="AC164">
        <f t="shared" ca="1" si="50"/>
        <v>0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45541</v>
      </c>
      <c r="S165" s="55">
        <f t="shared" ca="1" si="51"/>
        <v>45541</v>
      </c>
      <c r="T165" s="55">
        <f t="shared" ca="1" si="45"/>
        <v>18.940136265076351</v>
      </c>
      <c r="U165" s="55">
        <f t="shared" ca="1" si="46"/>
        <v>334.28016161803799</v>
      </c>
      <c r="V165" s="55">
        <f t="shared" ca="1" si="47"/>
        <v>0</v>
      </c>
      <c r="W165" s="55">
        <f t="shared" ca="1" si="52"/>
        <v>-120.25411975652395</v>
      </c>
      <c r="X165" s="55">
        <f t="shared" ca="1" si="53"/>
        <v>106.16103840984921</v>
      </c>
      <c r="Y165" s="55">
        <f t="shared" ca="1" si="54"/>
        <v>40.126454383105404</v>
      </c>
      <c r="Z165">
        <f t="shared" ca="1" si="48"/>
        <v>118.9217391304348</v>
      </c>
      <c r="AA165">
        <f t="shared" ca="1" si="55"/>
        <v>279.95001645954551</v>
      </c>
      <c r="AB165">
        <f t="shared" ca="1" si="49"/>
        <v>0</v>
      </c>
      <c r="AC165">
        <f t="shared" ca="1" si="50"/>
        <v>0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45542</v>
      </c>
      <c r="S166" s="55">
        <f t="shared" ca="1" si="51"/>
        <v>45542</v>
      </c>
      <c r="T166" s="55">
        <f t="shared" ca="1" si="45"/>
        <v>19.523236617705983</v>
      </c>
      <c r="U166" s="55">
        <f t="shared" ca="1" si="46"/>
        <v>334.44396285723599</v>
      </c>
      <c r="V166" s="55">
        <f t="shared" ca="1" si="47"/>
        <v>0</v>
      </c>
      <c r="W166" s="55">
        <f t="shared" ca="1" si="52"/>
        <v>-120.25411975652395</v>
      </c>
      <c r="X166" s="55">
        <f t="shared" ca="1" si="53"/>
        <v>106.86893329652094</v>
      </c>
      <c r="Y166" s="55">
        <f t="shared" ca="1" si="54"/>
        <v>40.165461088261303</v>
      </c>
      <c r="Z166">
        <f t="shared" ca="1" si="48"/>
        <v>117.21198739760555</v>
      </c>
      <c r="AA166">
        <f t="shared" ca="1" si="55"/>
        <v>279.95001645954551</v>
      </c>
      <c r="AB166">
        <f t="shared" ca="1" si="49"/>
        <v>0</v>
      </c>
      <c r="AC166">
        <f t="shared" ca="1" si="50"/>
        <v>0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45543</v>
      </c>
      <c r="S167" s="55">
        <f t="shared" ca="1" si="51"/>
        <v>45543</v>
      </c>
      <c r="T167" s="55">
        <f t="shared" ca="1" si="45"/>
        <v>19.975394952947678</v>
      </c>
      <c r="U167" s="55">
        <f t="shared" ca="1" si="46"/>
        <v>334.5654986258134</v>
      </c>
      <c r="V167" s="55">
        <f t="shared" ca="1" si="47"/>
        <v>0</v>
      </c>
      <c r="W167" s="55">
        <f t="shared" ca="1" si="52"/>
        <v>-120.35971500756688</v>
      </c>
      <c r="X167" s="55">
        <f t="shared" ca="1" si="53"/>
        <v>107.51263680605179</v>
      </c>
      <c r="Y167" s="55">
        <f t="shared" ca="1" si="54"/>
        <v>40.201046933592494</v>
      </c>
      <c r="Z167">
        <f t="shared" ca="1" si="48"/>
        <v>120</v>
      </c>
      <c r="AA167">
        <f t="shared" ca="1" si="55"/>
        <v>280.9098910741223</v>
      </c>
      <c r="AB167">
        <f t="shared" ca="1" si="49"/>
        <v>0</v>
      </c>
      <c r="AC167">
        <f t="shared" ca="1" si="50"/>
        <v>0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45544</v>
      </c>
      <c r="S168" s="55">
        <f t="shared" ca="1" si="51"/>
        <v>45544</v>
      </c>
      <c r="T168" s="55">
        <f t="shared" ca="1" si="45"/>
        <v>20.366601776613429</v>
      </c>
      <c r="U168" s="55">
        <f t="shared" ca="1" si="46"/>
        <v>334.68665961264719</v>
      </c>
      <c r="V168" s="55">
        <f t="shared" ca="1" si="47"/>
        <v>0</v>
      </c>
      <c r="W168" s="55">
        <f t="shared" ca="1" si="52"/>
        <v>-120.5582450996676</v>
      </c>
      <c r="X168" s="55">
        <f t="shared" ca="1" si="53"/>
        <v>108.18761995065663</v>
      </c>
      <c r="Y168" s="55">
        <f t="shared" ca="1" si="54"/>
        <v>40.236961691587922</v>
      </c>
      <c r="Z168">
        <f t="shared" ca="1" si="48"/>
        <v>120</v>
      </c>
      <c r="AA168">
        <f t="shared" ca="1" si="55"/>
        <v>282.67989107412228</v>
      </c>
      <c r="AB168">
        <f t="shared" ca="1" si="49"/>
        <v>0</v>
      </c>
      <c r="AC168">
        <f t="shared" ca="1" si="50"/>
        <v>0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45545</v>
      </c>
      <c r="S169" s="55">
        <f t="shared" ca="1" si="51"/>
        <v>45545</v>
      </c>
      <c r="T169" s="55">
        <f t="shared" ca="1" si="45"/>
        <v>20.458770016002717</v>
      </c>
      <c r="U169" s="55">
        <f t="shared" ca="1" si="46"/>
        <v>334.80656154833349</v>
      </c>
      <c r="V169" s="55">
        <f t="shared" ca="1" si="47"/>
        <v>0</v>
      </c>
      <c r="W169" s="55">
        <f t="shared" ca="1" si="52"/>
        <v>-121.09456137800015</v>
      </c>
      <c r="X169" s="55">
        <f t="shared" ca="1" si="53"/>
        <v>108.89961329858166</v>
      </c>
      <c r="Y169" s="55">
        <f t="shared" ca="1" si="54"/>
        <v>40.273354797071022</v>
      </c>
      <c r="Z169">
        <f t="shared" ca="1" si="48"/>
        <v>120</v>
      </c>
      <c r="AA169">
        <f t="shared" ca="1" si="55"/>
        <v>287.43989107412227</v>
      </c>
      <c r="AB169">
        <f t="shared" ca="1" si="49"/>
        <v>0</v>
      </c>
      <c r="AC169">
        <f t="shared" ca="1" si="50"/>
        <v>0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45546</v>
      </c>
      <c r="S170" s="55">
        <f t="shared" ca="1" si="51"/>
        <v>45546</v>
      </c>
      <c r="T170" s="55">
        <f t="shared" ca="1" si="45"/>
        <v>21.078191284206575</v>
      </c>
      <c r="U170" s="55">
        <f t="shared" ca="1" si="46"/>
        <v>334.90962327450853</v>
      </c>
      <c r="V170" s="55">
        <f t="shared" ca="1" si="47"/>
        <v>0</v>
      </c>
      <c r="W170" s="55">
        <f t="shared" ca="1" si="52"/>
        <v>-121.10616965725812</v>
      </c>
      <c r="X170" s="55">
        <f t="shared" ca="1" si="53"/>
        <v>109.59867951786998</v>
      </c>
      <c r="Y170" s="55">
        <f t="shared" ca="1" si="54"/>
        <v>40.308379851419559</v>
      </c>
      <c r="Z170">
        <f t="shared" ca="1" si="48"/>
        <v>120</v>
      </c>
      <c r="AA170">
        <f t="shared" ca="1" si="55"/>
        <v>287.53989107412224</v>
      </c>
      <c r="AB170">
        <f t="shared" ca="1" si="49"/>
        <v>0</v>
      </c>
      <c r="AC170">
        <f t="shared" ca="1" si="50"/>
        <v>0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45547</v>
      </c>
      <c r="S171" s="55">
        <f t="shared" ca="1" si="51"/>
        <v>45547</v>
      </c>
      <c r="T171" s="55">
        <f t="shared" ca="1" si="45"/>
        <v>21.762587013049149</v>
      </c>
      <c r="U171" s="55">
        <f t="shared" ca="1" si="46"/>
        <v>335.01362519854268</v>
      </c>
      <c r="V171" s="55">
        <f t="shared" ca="1" si="47"/>
        <v>0</v>
      </c>
      <c r="W171" s="55">
        <f t="shared" ca="1" si="52"/>
        <v>-121.10616965725812</v>
      </c>
      <c r="X171" s="55">
        <f t="shared" ca="1" si="53"/>
        <v>110.35106575446392</v>
      </c>
      <c r="Y171" s="55">
        <f t="shared" ca="1" si="54"/>
        <v>40.344391267702356</v>
      </c>
      <c r="Z171">
        <f t="shared" ca="1" si="48"/>
        <v>119.33913043478262</v>
      </c>
      <c r="AA171">
        <f t="shared" ca="1" si="55"/>
        <v>287.53989107412224</v>
      </c>
      <c r="AB171">
        <f t="shared" ca="1" si="49"/>
        <v>0</v>
      </c>
      <c r="AC171">
        <f t="shared" ca="1" si="50"/>
        <v>0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45548</v>
      </c>
      <c r="S172" s="55">
        <f t="shared" ca="1" si="51"/>
        <v>45548</v>
      </c>
      <c r="T172" s="55">
        <f t="shared" ca="1" si="45"/>
        <v>22.402512410019032</v>
      </c>
      <c r="U172" s="55">
        <f t="shared" ca="1" si="46"/>
        <v>335.10316825031231</v>
      </c>
      <c r="V172" s="55">
        <f t="shared" ca="1" si="47"/>
        <v>0</v>
      </c>
      <c r="W172" s="55">
        <f t="shared" ca="1" si="52"/>
        <v>-121.15540747158477</v>
      </c>
      <c r="X172" s="55">
        <f t="shared" ca="1" si="53"/>
        <v>111.09497938433559</v>
      </c>
      <c r="Y172" s="55">
        <f t="shared" ca="1" si="54"/>
        <v>40.379183900896841</v>
      </c>
      <c r="Z172">
        <f t="shared" ca="1" si="48"/>
        <v>120</v>
      </c>
      <c r="AA172">
        <f t="shared" ca="1" si="55"/>
        <v>287.93897803064397</v>
      </c>
      <c r="AB172">
        <f t="shared" ca="1" si="49"/>
        <v>0</v>
      </c>
      <c r="AC172">
        <f t="shared" ca="1" si="50"/>
        <v>0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45549</v>
      </c>
      <c r="S173" s="55">
        <f t="shared" ca="1" si="51"/>
        <v>45549</v>
      </c>
      <c r="T173" s="55">
        <f t="shared" ca="1" si="45"/>
        <v>23.118146391764419</v>
      </c>
      <c r="U173" s="55">
        <f t="shared" ca="1" si="46"/>
        <v>335.18513014863521</v>
      </c>
      <c r="V173" s="55">
        <f t="shared" ca="1" si="47"/>
        <v>0</v>
      </c>
      <c r="W173" s="55">
        <f t="shared" ca="1" si="52"/>
        <v>-121.15540747158477</v>
      </c>
      <c r="X173" s="55">
        <f t="shared" ca="1" si="53"/>
        <v>111.85804138486198</v>
      </c>
      <c r="Y173" s="55">
        <f t="shared" ca="1" si="54"/>
        <v>40.413717780438738</v>
      </c>
      <c r="Z173">
        <f t="shared" ca="1" si="48"/>
        <v>119.13043478260869</v>
      </c>
      <c r="AA173">
        <f t="shared" ca="1" si="55"/>
        <v>287.93897803064397</v>
      </c>
      <c r="AB173">
        <f t="shared" ca="1" si="49"/>
        <v>0</v>
      </c>
      <c r="AC173">
        <f t="shared" ca="1" si="50"/>
        <v>0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45550</v>
      </c>
      <c r="S174" s="55">
        <f t="shared" ca="1" si="51"/>
        <v>45550</v>
      </c>
      <c r="T174" s="55">
        <f t="shared" ca="1" si="45"/>
        <v>23.808835990818373</v>
      </c>
      <c r="U174" s="55">
        <f t="shared" ca="1" si="46"/>
        <v>335.255917864786</v>
      </c>
      <c r="V174" s="55">
        <f t="shared" ca="1" si="47"/>
        <v>0</v>
      </c>
      <c r="W174" s="55">
        <f t="shared" ca="1" si="52"/>
        <v>-121.18473869732242</v>
      </c>
      <c r="X174" s="55">
        <f t="shared" ca="1" si="53"/>
        <v>112.61539788039745</v>
      </c>
      <c r="Y174" s="55">
        <f t="shared" ca="1" si="54"/>
        <v>40.447169825845648</v>
      </c>
      <c r="Z174">
        <f t="shared" ca="1" si="48"/>
        <v>120</v>
      </c>
      <c r="AA174">
        <f t="shared" ca="1" si="55"/>
        <v>288.16267368281785</v>
      </c>
      <c r="AB174">
        <f t="shared" ca="1" si="49"/>
        <v>0</v>
      </c>
      <c r="AC174">
        <f t="shared" ca="1" si="50"/>
        <v>0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45551</v>
      </c>
      <c r="S175" s="55">
        <f t="shared" ca="1" si="51"/>
        <v>45551</v>
      </c>
      <c r="T175" s="55">
        <f t="shared" ca="1" si="45"/>
        <v>24.25581404307524</v>
      </c>
      <c r="U175" s="55">
        <f t="shared" ca="1" si="46"/>
        <v>335.3262736337428</v>
      </c>
      <c r="V175" s="55">
        <f t="shared" ca="1" si="47"/>
        <v>0</v>
      </c>
      <c r="W175" s="55">
        <f t="shared" ca="1" si="52"/>
        <v>-121.52671052197609</v>
      </c>
      <c r="X175" s="55">
        <f t="shared" ca="1" si="53"/>
        <v>113.43999831469573</v>
      </c>
      <c r="Y175" s="55">
        <f t="shared" ca="1" si="54"/>
        <v>40.481875037414717</v>
      </c>
      <c r="Z175">
        <f t="shared" ca="1" si="48"/>
        <v>120</v>
      </c>
      <c r="AA175">
        <f t="shared" ca="1" si="55"/>
        <v>290.72267368281786</v>
      </c>
      <c r="AB175">
        <f t="shared" ca="1" si="49"/>
        <v>0</v>
      </c>
      <c r="AC175">
        <f t="shared" ca="1" si="50"/>
        <v>0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45552</v>
      </c>
      <c r="S176" s="55">
        <f t="shared" ca="1" si="51"/>
        <v>45552</v>
      </c>
      <c r="T176" s="55">
        <f t="shared" ca="1" si="45"/>
        <v>24.734071686326313</v>
      </c>
      <c r="U176" s="55">
        <f t="shared" ca="1" si="46"/>
        <v>335.3799397676292</v>
      </c>
      <c r="V176" s="55">
        <f t="shared" ca="1" si="47"/>
        <v>0</v>
      </c>
      <c r="W176" s="55">
        <f t="shared" ca="1" si="52"/>
        <v>-121.78824644519845</v>
      </c>
      <c r="X176" s="55">
        <f t="shared" ca="1" si="53"/>
        <v>114.20163141656083</v>
      </c>
      <c r="Y176" s="55">
        <f t="shared" ca="1" si="54"/>
        <v>40.513701635909449</v>
      </c>
      <c r="Z176">
        <f t="shared" ca="1" si="48"/>
        <v>120</v>
      </c>
      <c r="AA176">
        <f t="shared" ca="1" si="55"/>
        <v>292.64267368281787</v>
      </c>
      <c r="AB176">
        <f t="shared" ca="1" si="49"/>
        <v>0</v>
      </c>
      <c r="AC176">
        <f t="shared" ca="1" si="50"/>
        <v>0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45553</v>
      </c>
      <c r="S177" s="55">
        <f t="shared" ca="1" si="51"/>
        <v>45553</v>
      </c>
      <c r="T177" s="55">
        <f t="shared" ca="1" si="45"/>
        <v>24.508317879196685</v>
      </c>
      <c r="U177" s="55">
        <f t="shared" ca="1" si="46"/>
        <v>335.42093264241043</v>
      </c>
      <c r="V177" s="55">
        <f t="shared" ca="1" si="47"/>
        <v>0</v>
      </c>
      <c r="W177" s="55">
        <f t="shared" ca="1" si="52"/>
        <v>-122.70471545667532</v>
      </c>
      <c r="X177" s="55">
        <f t="shared" ca="1" si="53"/>
        <v>114.90408497028544</v>
      </c>
      <c r="Y177" s="55">
        <f t="shared" ca="1" si="54"/>
        <v>40.542956161313306</v>
      </c>
      <c r="Z177">
        <f t="shared" ca="1" si="48"/>
        <v>120</v>
      </c>
      <c r="AA177">
        <f t="shared" ca="1" si="55"/>
        <v>299.43267368281789</v>
      </c>
      <c r="AB177">
        <f t="shared" ca="1" si="49"/>
        <v>0</v>
      </c>
      <c r="AC177">
        <f t="shared" ca="1" si="50"/>
        <v>0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45554</v>
      </c>
      <c r="S178" s="55">
        <f t="shared" ca="1" si="51"/>
        <v>45554</v>
      </c>
      <c r="T178" s="55">
        <f t="shared" ca="1" si="45"/>
        <v>24.953996019782192</v>
      </c>
      <c r="U178" s="55">
        <f t="shared" ca="1" si="46"/>
        <v>335.4567280870923</v>
      </c>
      <c r="V178" s="55">
        <f t="shared" ca="1" si="47"/>
        <v>0</v>
      </c>
      <c r="W178" s="55">
        <f t="shared" ca="1" si="52"/>
        <v>-122.94658839200909</v>
      </c>
      <c r="X178" s="55">
        <f t="shared" ca="1" si="53"/>
        <v>115.5991000810111</v>
      </c>
      <c r="Y178" s="55">
        <f t="shared" ca="1" si="54"/>
        <v>40.57128757118879</v>
      </c>
      <c r="Z178">
        <f t="shared" ca="1" si="48"/>
        <v>120</v>
      </c>
      <c r="AA178">
        <f t="shared" ca="1" si="55"/>
        <v>301.19267368281788</v>
      </c>
      <c r="AB178">
        <f t="shared" ca="1" si="49"/>
        <v>0</v>
      </c>
      <c r="AC178">
        <f t="shared" ca="1" si="50"/>
        <v>0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45555</v>
      </c>
      <c r="S179" s="55">
        <f t="shared" ca="1" si="51"/>
        <v>45555</v>
      </c>
      <c r="T179" s="55">
        <f t="shared" ca="1" si="45"/>
        <v>25.610974086724678</v>
      </c>
      <c r="U179" s="55">
        <f t="shared" ca="1" si="46"/>
        <v>335.48562285224523</v>
      </c>
      <c r="V179" s="55">
        <f t="shared" ca="1" si="47"/>
        <v>0</v>
      </c>
      <c r="W179" s="55">
        <f t="shared" ca="1" si="52"/>
        <v>-122.94658839200909</v>
      </c>
      <c r="X179" s="55">
        <f t="shared" ca="1" si="53"/>
        <v>116.2583250723181</v>
      </c>
      <c r="Y179" s="55">
        <f t="shared" ca="1" si="54"/>
        <v>40.597935411977211</v>
      </c>
      <c r="Z179">
        <f t="shared" ca="1" si="48"/>
        <v>119.4086956521739</v>
      </c>
      <c r="AA179">
        <f t="shared" ca="1" si="55"/>
        <v>301.19267368281788</v>
      </c>
      <c r="AB179">
        <f t="shared" ca="1" si="49"/>
        <v>0</v>
      </c>
      <c r="AC179">
        <f t="shared" ca="1" si="50"/>
        <v>0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45556</v>
      </c>
      <c r="S180" s="55">
        <f t="shared" ca="1" si="51"/>
        <v>45556</v>
      </c>
      <c r="T180" s="55">
        <f t="shared" ca="1" si="45"/>
        <v>26.103891165423263</v>
      </c>
      <c r="U180" s="55">
        <f t="shared" ca="1" si="46"/>
        <v>335.51327224187861</v>
      </c>
      <c r="V180" s="55">
        <f t="shared" ca="1" si="47"/>
        <v>0</v>
      </c>
      <c r="W180" s="55">
        <f t="shared" ca="1" si="52"/>
        <v>-123.13223827906297</v>
      </c>
      <c r="X180" s="55">
        <f t="shared" ca="1" si="53"/>
        <v>116.93794906473663</v>
      </c>
      <c r="Y180" s="55">
        <f t="shared" ca="1" si="54"/>
        <v>40.624527774944539</v>
      </c>
      <c r="Z180">
        <f t="shared" ca="1" si="48"/>
        <v>120</v>
      </c>
      <c r="AA180">
        <f t="shared" ca="1" si="55"/>
        <v>302.48405629151353</v>
      </c>
      <c r="AB180">
        <f t="shared" ca="1" si="49"/>
        <v>0</v>
      </c>
      <c r="AC180">
        <f t="shared" ca="1" si="50"/>
        <v>0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45557</v>
      </c>
      <c r="S181" s="55">
        <f t="shared" ca="1" si="51"/>
        <v>45557</v>
      </c>
      <c r="T181" s="55">
        <f t="shared" ca="1" si="45"/>
        <v>26.837036202689852</v>
      </c>
      <c r="U181" s="55">
        <f t="shared" ca="1" si="46"/>
        <v>335.54166258576294</v>
      </c>
      <c r="V181" s="55">
        <f t="shared" ca="1" si="47"/>
        <v>0</v>
      </c>
      <c r="W181" s="55">
        <f t="shared" ca="1" si="52"/>
        <v>-123.13223827906297</v>
      </c>
      <c r="X181" s="55">
        <f t="shared" ca="1" si="53"/>
        <v>117.67205423955473</v>
      </c>
      <c r="Y181" s="55">
        <f t="shared" ca="1" si="54"/>
        <v>40.651957981277356</v>
      </c>
      <c r="Z181">
        <f t="shared" ca="1" si="48"/>
        <v>119.40869565217393</v>
      </c>
      <c r="AA181">
        <f t="shared" ca="1" si="55"/>
        <v>302.48405629151353</v>
      </c>
      <c r="AB181">
        <f t="shared" ca="1" si="49"/>
        <v>0</v>
      </c>
      <c r="AC181">
        <f t="shared" ca="1" si="50"/>
        <v>0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45558</v>
      </c>
      <c r="S182" s="55">
        <f t="shared" ca="1" si="51"/>
        <v>45558</v>
      </c>
      <c r="T182" s="55">
        <f t="shared" ca="1" si="45"/>
        <v>27.097065806668134</v>
      </c>
      <c r="U182" s="55">
        <f t="shared" ca="1" si="46"/>
        <v>335.56938078864709</v>
      </c>
      <c r="V182" s="55">
        <f t="shared" ca="1" si="47"/>
        <v>0</v>
      </c>
      <c r="W182" s="55">
        <f t="shared" ca="1" si="52"/>
        <v>-123.65577940693395</v>
      </c>
      <c r="X182" s="55">
        <f t="shared" ca="1" si="53"/>
        <v>118.45529767807822</v>
      </c>
      <c r="Y182" s="55">
        <f t="shared" ca="1" si="54"/>
        <v>40.680003477487261</v>
      </c>
      <c r="Z182">
        <f t="shared" ca="1" si="48"/>
        <v>120</v>
      </c>
      <c r="AA182">
        <f t="shared" ca="1" si="55"/>
        <v>305.99233455238311</v>
      </c>
      <c r="AB182">
        <f t="shared" ca="1" si="49"/>
        <v>0</v>
      </c>
      <c r="AC182">
        <f t="shared" ca="1" si="50"/>
        <v>0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45559</v>
      </c>
      <c r="S183" s="55">
        <f t="shared" ca="1" si="51"/>
        <v>45559</v>
      </c>
      <c r="T183" s="55">
        <f t="shared" ca="1" si="45"/>
        <v>27.9167619580302</v>
      </c>
      <c r="U183" s="55">
        <f t="shared" ca="1" si="46"/>
        <v>335.59499661193689</v>
      </c>
      <c r="V183" s="55">
        <f t="shared" ca="1" si="47"/>
        <v>0</v>
      </c>
      <c r="W183" s="55">
        <f t="shared" ca="1" si="52"/>
        <v>-123.65577940693395</v>
      </c>
      <c r="X183" s="55">
        <f t="shared" ca="1" si="53"/>
        <v>119.27241541613938</v>
      </c>
      <c r="Y183" s="55">
        <f t="shared" ca="1" si="54"/>
        <v>40.708197714077968</v>
      </c>
      <c r="Z183">
        <f t="shared" ca="1" si="48"/>
        <v>118.95652173913041</v>
      </c>
      <c r="AA183">
        <f t="shared" ca="1" si="55"/>
        <v>305.99233455238311</v>
      </c>
      <c r="AB183">
        <f t="shared" ca="1" si="49"/>
        <v>0</v>
      </c>
      <c r="AC183">
        <f t="shared" ca="1" si="50"/>
        <v>0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45560</v>
      </c>
      <c r="S184" s="55">
        <f t="shared" ca="1" si="51"/>
        <v>45560</v>
      </c>
      <c r="T184" s="55">
        <f t="shared" ca="1" si="45"/>
        <v>28.708763977592596</v>
      </c>
      <c r="U184" s="55">
        <f t="shared" ca="1" si="46"/>
        <v>335.61581600132621</v>
      </c>
      <c r="V184" s="55">
        <f t="shared" ca="1" si="47"/>
        <v>0</v>
      </c>
      <c r="W184" s="55">
        <f t="shared" ca="1" si="52"/>
        <v>-123.65577940693395</v>
      </c>
      <c r="X184" s="55">
        <f t="shared" ca="1" si="53"/>
        <v>120.05856890764984</v>
      </c>
      <c r="Y184" s="55">
        <f t="shared" ca="1" si="54"/>
        <v>40.734865631519227</v>
      </c>
      <c r="Z184">
        <f t="shared" ca="1" si="48"/>
        <v>116.97300567107749</v>
      </c>
      <c r="AA184">
        <f t="shared" ca="1" si="55"/>
        <v>305.99233455238311</v>
      </c>
      <c r="AB184">
        <f t="shared" ca="1" si="49"/>
        <v>0</v>
      </c>
      <c r="AC184">
        <f t="shared" ca="1" si="50"/>
        <v>0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45561</v>
      </c>
      <c r="S185" s="55">
        <f t="shared" ca="1" si="51"/>
        <v>45561</v>
      </c>
      <c r="T185" s="55">
        <f t="shared" ca="1" si="45"/>
        <v>29.523855084532467</v>
      </c>
      <c r="U185" s="55">
        <f t="shared" ca="1" si="46"/>
        <v>335.63478260869556</v>
      </c>
      <c r="V185" s="55">
        <f t="shared" ca="1" si="47"/>
        <v>0</v>
      </c>
      <c r="W185" s="55">
        <f t="shared" ca="1" si="52"/>
        <v>-123.65577940693395</v>
      </c>
      <c r="X185" s="55">
        <f t="shared" ca="1" si="53"/>
        <v>120.86599704436831</v>
      </c>
      <c r="Y185" s="55">
        <f t="shared" ca="1" si="54"/>
        <v>40.761495209109981</v>
      </c>
      <c r="Z185">
        <f t="shared" ca="1" si="48"/>
        <v>114.64570329580009</v>
      </c>
      <c r="AA185">
        <f t="shared" ca="1" si="55"/>
        <v>305.99233455238311</v>
      </c>
      <c r="AB185">
        <f t="shared" ca="1" si="49"/>
        <v>0</v>
      </c>
      <c r="AC185">
        <f t="shared" ca="1" si="50"/>
        <v>0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E1000"/>
  <sheetViews>
    <sheetView zoomScale="105" workbookViewId="0">
      <selection activeCell="J12" sqref="J12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31" ht="26.4" thickBot="1">
      <c r="A1" s="138" t="s">
        <v>111</v>
      </c>
      <c r="B1" s="139"/>
      <c r="I1" s="30" t="s">
        <v>110</v>
      </c>
      <c r="J1" s="22"/>
      <c r="K1" s="21" t="s">
        <v>180</v>
      </c>
      <c r="L1" s="22"/>
      <c r="M1" s="21" t="s">
        <v>177</v>
      </c>
      <c r="N1" s="21" t="s">
        <v>178</v>
      </c>
      <c r="O1" s="21" t="s">
        <v>13</v>
      </c>
      <c r="P1" s="21" t="s">
        <v>177</v>
      </c>
      <c r="Q1" s="21" t="s">
        <v>179</v>
      </c>
      <c r="R1" s="23" t="s">
        <v>174</v>
      </c>
      <c r="S1" s="97"/>
      <c r="T1" s="97"/>
      <c r="U1" s="97"/>
      <c r="V1" s="97"/>
      <c r="W1" s="97" t="s">
        <v>176</v>
      </c>
      <c r="X1" s="97" t="s">
        <v>175</v>
      </c>
      <c r="AA1" s="97"/>
    </row>
    <row r="2" spans="1:31" ht="15" thickBot="1">
      <c r="A2" s="12" t="s">
        <v>245</v>
      </c>
      <c r="B2" s="13" t="str">
        <f>Location</f>
        <v>levin</v>
      </c>
      <c r="I2" s="117"/>
      <c r="K2" s="97"/>
      <c r="M2" s="97"/>
      <c r="N2" s="97"/>
      <c r="O2" s="97"/>
      <c r="P2" s="97"/>
      <c r="Q2" s="97"/>
      <c r="R2" s="118"/>
      <c r="S2" s="97"/>
      <c r="T2" s="97"/>
      <c r="U2" s="97"/>
      <c r="V2" s="97"/>
      <c r="W2" s="97"/>
      <c r="X2" s="97"/>
      <c r="AA2" s="97"/>
    </row>
    <row r="3" spans="1:31">
      <c r="A3" s="12" t="s">
        <v>225</v>
      </c>
      <c r="B3" s="13" t="str">
        <f>SoilOrder</f>
        <v>SandyLoam</v>
      </c>
      <c r="D3" s="39" t="str">
        <f>ConceptDemo!C27</f>
        <v>Fertiliser already applied or planned</v>
      </c>
      <c r="E3" s="40"/>
      <c r="I3" s="12" t="s">
        <v>0</v>
      </c>
      <c r="J3" s="28">
        <f>B21+1</f>
        <v>45395</v>
      </c>
      <c r="K3" s="3">
        <v>50</v>
      </c>
      <c r="L3" s="3"/>
      <c r="M3" s="3">
        <f ca="1">SUMIF($I$8:$I$1001,TRUE,M8:M1001)</f>
        <v>40.761495209109981</v>
      </c>
      <c r="N3" s="3">
        <f ca="1">SUMIF($I$8:$I$1001,TRUE,N8:N1001)</f>
        <v>119.91795434538528</v>
      </c>
      <c r="O3" s="3">
        <f ca="1">SUMIF($I$8:$I$1001,TRUE,O8:O1001)</f>
        <v>364.53097405895176</v>
      </c>
      <c r="P3" s="3">
        <f ca="1">VLOOKUP(B32,ModelOutputs,P5,FALSE)-Q3</f>
        <v>0</v>
      </c>
      <c r="Q3">
        <f ca="1">VLOOKUP(B32,ModelOutputs,P5,FALSE)</f>
        <v>2.53772215382789</v>
      </c>
      <c r="R3" s="13"/>
      <c r="W3" s="3">
        <f ca="1">MAX(0,X4-X3)</f>
        <v>0</v>
      </c>
      <c r="X3" s="3">
        <f ca="1">SUM(K3:R3)</f>
        <v>577.74814576727488</v>
      </c>
      <c r="AA3" s="3"/>
    </row>
    <row r="4" spans="1:31" ht="15" thickBot="1">
      <c r="A4" s="12" t="s">
        <v>208</v>
      </c>
      <c r="B4" s="13" t="str">
        <f>SampleDepth</f>
        <v>Top30cm</v>
      </c>
      <c r="D4" s="19" t="str">
        <f>ConceptDemo!C28</f>
        <v>Date</v>
      </c>
      <c r="E4" s="20" t="str">
        <f>ConceptDemo!D28</f>
        <v>Amount</v>
      </c>
      <c r="I4" s="14" t="s">
        <v>12</v>
      </c>
      <c r="J4" s="29">
        <f ca="1">B34</f>
        <v>45561</v>
      </c>
      <c r="K4" s="24">
        <f ca="1">VLOOKUP(J4,ModelOutputs,2,FALSE)</f>
        <v>29.523855084532467</v>
      </c>
      <c r="L4" s="27"/>
      <c r="M4" s="25"/>
      <c r="N4" s="25"/>
      <c r="O4" s="25"/>
      <c r="P4" s="24">
        <f ca="1">(VLOOKUP($J$4,ModelOutputs,P5,FALSE)-VLOOKUP($J$3+1,ModelOutputs,P5,FALSE))-Q4</f>
        <v>33.234782608695639</v>
      </c>
      <c r="Q4" s="26">
        <f ca="1">VLOOKUP($J$4,ModelOutputs,Q5,FALSE)-VLOOKUP($J$3+1,ModelOutputs,Q5,FALSE)</f>
        <v>302.39999999999992</v>
      </c>
      <c r="R4" s="27">
        <f ca="1">SUMIF($I$8:$I$1001,TRUE,R8:R1001)</f>
        <v>123.65577940693395</v>
      </c>
      <c r="S4" s="3"/>
      <c r="T4" s="3"/>
      <c r="U4" s="3"/>
      <c r="V4" s="3"/>
      <c r="W4" s="3">
        <f ca="1">MAX(0,X3-X4)</f>
        <v>88.933728667112916</v>
      </c>
      <c r="X4" s="3">
        <f ca="1">SUM(K4:R4)</f>
        <v>488.81441710016196</v>
      </c>
    </row>
    <row r="5" spans="1:31">
      <c r="A5" s="12" t="s">
        <v>235</v>
      </c>
      <c r="B5" s="13" t="str">
        <f>SoilCategory</f>
        <v>Sedimentary</v>
      </c>
      <c r="D5" s="37">
        <f>IF(ConceptDemo!C29="","",ConceptDemo!C29)</f>
        <v>45444</v>
      </c>
      <c r="E5" s="38">
        <f>IF(ConceptDemo!D29="","",ConceptDemo!D29)</f>
        <v>100</v>
      </c>
      <c r="L5">
        <f ca="1">SUMIF(H7:H1000,FALSE,L7:L1000)</f>
        <v>152.48912852492705</v>
      </c>
      <c r="M5">
        <f ca="1">SUMIF(H7:H1000,TRUE,M7:M1000)</f>
        <v>40.734865631519227</v>
      </c>
      <c r="P5">
        <v>7</v>
      </c>
      <c r="Q5">
        <v>8</v>
      </c>
      <c r="W5" s="3"/>
      <c r="AA5" s="3"/>
    </row>
    <row r="6" spans="1:31">
      <c r="A6" s="12" t="s">
        <v>207</v>
      </c>
      <c r="B6" s="13">
        <f>HWEON</f>
        <v>55</v>
      </c>
      <c r="D6" s="18" t="str">
        <f>IF(ConceptDemo!C30="","",ConceptDemo!C30)</f>
        <v/>
      </c>
      <c r="E6" s="17" t="str">
        <f>IF(ConceptDemo!D30="","",ConceptDemo!D30)</f>
        <v/>
      </c>
      <c r="H6" t="s">
        <v>173</v>
      </c>
      <c r="I6" t="s">
        <v>109</v>
      </c>
      <c r="J6" t="str">
        <f t="array" aca="1" ref="J6:V1000" ca="1">_xll.GetDailyNBalance(A2:B50,D13:E19,D4:E10)</f>
        <v>Date</v>
      </c>
      <c r="K6" s="2" t="str">
        <f ca="1"/>
        <v>SoilMineralN</v>
      </c>
      <c r="L6" t="str">
        <f ca="1"/>
        <v>UptakeN</v>
      </c>
      <c r="M6" t="str">
        <f ca="1"/>
        <v>ResidueN</v>
      </c>
      <c r="N6" t="str">
        <f ca="1"/>
        <v>SoilOMN</v>
      </c>
      <c r="O6" t="str">
        <f ca="1"/>
        <v>FertiliserN</v>
      </c>
      <c r="P6" t="str">
        <f ca="1"/>
        <v>CropN</v>
      </c>
      <c r="Q6" t="str">
        <f ca="1"/>
        <v>ProductN</v>
      </c>
      <c r="R6" t="str">
        <f ca="1"/>
        <v>LostN</v>
      </c>
      <c r="S6" t="str">
        <f ca="1"/>
        <v>RSWC</v>
      </c>
      <c r="T6" t="str">
        <f ca="1"/>
        <v>Drainage</v>
      </c>
      <c r="U6" t="str">
        <f ca="1"/>
        <v>Irrigation</v>
      </c>
      <c r="V6" t="str">
        <f ca="1"/>
        <v>Green cover</v>
      </c>
      <c r="X6" t="s">
        <v>143</v>
      </c>
      <c r="Y6" t="s">
        <v>144</v>
      </c>
    </row>
    <row r="7" spans="1:31">
      <c r="A7" s="12" t="s">
        <v>25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H7" t="b">
        <f ca="1">IF(J7&lt;$J$4,TRUE,FALSE)</f>
        <v>1</v>
      </c>
      <c r="I7" t="b">
        <f t="shared" ref="I7:I70" ca="1" si="0">AND(IF(J7&gt;($J$3-1),TRUE,FALSE),IF(J7&lt;($J$4+1),TRUE,FALSE))</f>
        <v>0</v>
      </c>
      <c r="J7" s="2">
        <f ca="1"/>
        <v>45394</v>
      </c>
      <c r="K7">
        <f ca="1"/>
        <v>0</v>
      </c>
      <c r="L7">
        <f ca="1"/>
        <v>1.9699506326554967</v>
      </c>
      <c r="M7">
        <f ca="1"/>
        <v>0</v>
      </c>
      <c r="N7" s="4">
        <f ca="1"/>
        <v>0.94804269898302018</v>
      </c>
      <c r="O7">
        <f ca="1"/>
        <v>0</v>
      </c>
      <c r="P7">
        <f ca="1"/>
        <v>166.4</v>
      </c>
      <c r="Q7">
        <f ca="1"/>
        <v>0</v>
      </c>
      <c r="R7">
        <f ca="1"/>
        <v>0</v>
      </c>
      <c r="S7">
        <f ca="1"/>
        <v>0.9</v>
      </c>
      <c r="T7">
        <f ca="1"/>
        <v>0</v>
      </c>
      <c r="U7">
        <f ca="1"/>
        <v>0</v>
      </c>
      <c r="V7">
        <f ca="1"/>
        <v>0.99999999997015498</v>
      </c>
      <c r="X7" s="2">
        <f t="shared" ref="X7:X70" ca="1" si="1">IFERROR(J7,$X$5)</f>
        <v>45394</v>
      </c>
      <c r="Y7">
        <f t="shared" ref="Y7:Y70" ca="1" si="2">IFERROR(O7,0)</f>
        <v>0</v>
      </c>
      <c r="AA7" s="3"/>
      <c r="AB7" s="3"/>
      <c r="AD7" s="3"/>
      <c r="AE7" s="3"/>
    </row>
    <row r="8" spans="1:31">
      <c r="A8" s="12" t="s">
        <v>226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H8" t="b">
        <f t="shared" ref="H8:H71" ca="1" si="3">IF(J8&lt;$J$4,TRUE,FALSE)</f>
        <v>1</v>
      </c>
      <c r="I8" t="b">
        <f t="shared" ca="1" si="0"/>
        <v>1</v>
      </c>
      <c r="J8" s="2">
        <f ca="1"/>
        <v>45395</v>
      </c>
      <c r="K8">
        <f ca="1"/>
        <v>50.850827748374364</v>
      </c>
      <c r="L8">
        <f ca="1"/>
        <v>0</v>
      </c>
      <c r="M8">
        <f ca="1"/>
        <v>-5.412604812147534E-2</v>
      </c>
      <c r="N8" s="4">
        <f ca="1"/>
        <v>0.9049537964958364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>
        <f ca="1"/>
        <v>0.94304347826086943</v>
      </c>
      <c r="T8">
        <f ca="1"/>
        <v>0</v>
      </c>
      <c r="U8">
        <f ca="1"/>
        <v>0</v>
      </c>
      <c r="V8">
        <f ca="1"/>
        <v>0</v>
      </c>
      <c r="X8" s="2">
        <f t="shared" ca="1" si="1"/>
        <v>45395</v>
      </c>
      <c r="Y8">
        <f t="shared" ca="1" si="2"/>
        <v>0</v>
      </c>
      <c r="Z8" s="3"/>
      <c r="AA8" s="63">
        <f ca="1">K7+M8+N8+O8</f>
        <v>0.85082774837436104</v>
      </c>
      <c r="AB8" s="63">
        <f ca="1">K8+L8+R8</f>
        <v>50.850827748374364</v>
      </c>
      <c r="AC8" s="3">
        <f ca="1">AB8-AA8</f>
        <v>50</v>
      </c>
      <c r="AE8" s="3"/>
    </row>
    <row r="9" spans="1:31">
      <c r="A9" s="12" t="s">
        <v>200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H9" t="b">
        <f t="shared" ca="1" si="3"/>
        <v>1</v>
      </c>
      <c r="I9" t="b">
        <f t="shared" ca="1" si="0"/>
        <v>1</v>
      </c>
      <c r="J9" s="2">
        <f ca="1"/>
        <v>45396</v>
      </c>
      <c r="K9">
        <f ca="1"/>
        <v>51.801643777927367</v>
      </c>
      <c r="L9">
        <f ca="1"/>
        <v>0</v>
      </c>
      <c r="M9">
        <f ca="1"/>
        <v>4.1047358943445439E-2</v>
      </c>
      <c r="N9" s="4">
        <f ca="1"/>
        <v>0.90976867060955846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>
        <f ca="1"/>
        <v>0.92793232514177704</v>
      </c>
      <c r="T9">
        <f ca="1"/>
        <v>0</v>
      </c>
      <c r="U9">
        <f ca="1"/>
        <v>0</v>
      </c>
      <c r="V9">
        <f ca="1"/>
        <v>0</v>
      </c>
      <c r="X9" s="2">
        <f t="shared" ca="1" si="1"/>
        <v>45396</v>
      </c>
      <c r="Y9">
        <f t="shared" ca="1" si="2"/>
        <v>0</v>
      </c>
      <c r="AA9" s="63">
        <f t="shared" ref="AA9:AA72" ca="1" si="4">K8+M9+N9+O9</f>
        <v>51.801643777927367</v>
      </c>
      <c r="AB9" s="63">
        <f t="shared" ref="AB9:AB72" ca="1" si="5">K9+L9+R9</f>
        <v>51.801643777927367</v>
      </c>
      <c r="AC9" s="3">
        <f t="shared" ref="AC9:AC72" ca="1" si="6">AB9-AA9</f>
        <v>0</v>
      </c>
    </row>
    <row r="10" spans="1:31" ht="15" thickBot="1">
      <c r="A10" s="12" t="s">
        <v>201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H10" t="b">
        <f t="shared" ca="1" si="3"/>
        <v>1</v>
      </c>
      <c r="I10" t="b">
        <f t="shared" ca="1" si="0"/>
        <v>1</v>
      </c>
      <c r="J10" s="2">
        <f ca="1"/>
        <v>45397</v>
      </c>
      <c r="K10">
        <f ca="1"/>
        <v>52.590048119685456</v>
      </c>
      <c r="L10">
        <f ca="1"/>
        <v>0</v>
      </c>
      <c r="M10">
        <f ca="1"/>
        <v>0.13060692611219282</v>
      </c>
      <c r="N10" s="4">
        <f ca="1"/>
        <v>0.95917279619295259</v>
      </c>
      <c r="O10">
        <f ca="1"/>
        <v>0</v>
      </c>
      <c r="P10">
        <f ca="1"/>
        <v>0</v>
      </c>
      <c r="Q10">
        <f ca="1"/>
        <v>0</v>
      </c>
      <c r="R10">
        <f ca="1"/>
        <v>0.30137538054705365</v>
      </c>
      <c r="S10">
        <f ca="1"/>
        <v>1</v>
      </c>
      <c r="T10">
        <f ca="1"/>
        <v>1.0405661587901704</v>
      </c>
      <c r="U10">
        <f ca="1"/>
        <v>0</v>
      </c>
      <c r="V10">
        <f ca="1"/>
        <v>0</v>
      </c>
      <c r="X10" s="2">
        <f t="shared" ca="1" si="1"/>
        <v>45397</v>
      </c>
      <c r="Y10">
        <f t="shared" ca="1" si="2"/>
        <v>0</v>
      </c>
      <c r="AA10" s="63">
        <f t="shared" ca="1" si="4"/>
        <v>52.891423500232513</v>
      </c>
      <c r="AB10" s="63">
        <f t="shared" ca="1" si="5"/>
        <v>52.891423500232513</v>
      </c>
      <c r="AC10" s="3">
        <f t="shared" ca="1" si="6"/>
        <v>0</v>
      </c>
    </row>
    <row r="11" spans="1:31" ht="15" thickBot="1">
      <c r="A11" s="12" t="s">
        <v>188</v>
      </c>
      <c r="B11" s="13" t="str">
        <f>Irrigation</f>
        <v>None</v>
      </c>
      <c r="H11" t="b">
        <f t="shared" ca="1" si="3"/>
        <v>1</v>
      </c>
      <c r="I11" t="b">
        <f t="shared" ca="1" si="0"/>
        <v>1</v>
      </c>
      <c r="J11" s="2">
        <f ca="1"/>
        <v>45398</v>
      </c>
      <c r="K11">
        <f ca="1"/>
        <v>53.153285739145062</v>
      </c>
      <c r="L11">
        <f ca="1"/>
        <v>0</v>
      </c>
      <c r="M11">
        <f ca="1"/>
        <v>0.20656269595563381</v>
      </c>
      <c r="N11" s="4">
        <f ca="1"/>
        <v>0.93627683930299921</v>
      </c>
      <c r="O11">
        <f ca="1"/>
        <v>0</v>
      </c>
      <c r="P11">
        <f ca="1"/>
        <v>0</v>
      </c>
      <c r="Q11">
        <f ca="1"/>
        <v>0</v>
      </c>
      <c r="R11">
        <f ca="1"/>
        <v>0.57960191579902631</v>
      </c>
      <c r="S11">
        <f ca="1"/>
        <v>1</v>
      </c>
      <c r="T11">
        <f ca="1"/>
        <v>1.980000000000004</v>
      </c>
      <c r="U11">
        <f ca="1"/>
        <v>0</v>
      </c>
      <c r="V11">
        <f ca="1"/>
        <v>0</v>
      </c>
      <c r="X11" s="2">
        <f t="shared" ca="1" si="1"/>
        <v>45398</v>
      </c>
      <c r="Y11">
        <f t="shared" ca="1" si="2"/>
        <v>0</v>
      </c>
      <c r="AA11" s="63">
        <f t="shared" ca="1" si="4"/>
        <v>53.732887654944086</v>
      </c>
      <c r="AB11" s="63">
        <f t="shared" ca="1" si="5"/>
        <v>53.732887654944086</v>
      </c>
      <c r="AC11" s="3">
        <f t="shared" ca="1" si="6"/>
        <v>0</v>
      </c>
    </row>
    <row r="12" spans="1:31">
      <c r="A12" s="5" t="s">
        <v>140</v>
      </c>
      <c r="B12" s="31" t="str">
        <f>PriorCropNameFull</f>
        <v>Turnip Green manure General</v>
      </c>
      <c r="D12" s="136" t="str">
        <f>ConceptDemo!C36</f>
        <v>Soil Mineral N Test Results</v>
      </c>
      <c r="E12" s="137"/>
      <c r="H12" t="b">
        <f t="shared" ca="1" si="3"/>
        <v>1</v>
      </c>
      <c r="I12" t="b">
        <f t="shared" ca="1" si="0"/>
        <v>1</v>
      </c>
      <c r="J12" s="2">
        <f ca="1"/>
        <v>45399</v>
      </c>
      <c r="K12">
        <f ca="1"/>
        <v>54.137560445364052</v>
      </c>
      <c r="L12">
        <f ca="1"/>
        <v>0</v>
      </c>
      <c r="M12">
        <f ca="1"/>
        <v>0.2773038789702611</v>
      </c>
      <c r="N12" s="4">
        <f ca="1"/>
        <v>0.9395269564662081</v>
      </c>
      <c r="O12">
        <f ca="1"/>
        <v>0</v>
      </c>
      <c r="P12">
        <f ca="1"/>
        <v>0</v>
      </c>
      <c r="Q12">
        <f ca="1"/>
        <v>0</v>
      </c>
      <c r="R12">
        <f ca="1"/>
        <v>0.2325561292174772</v>
      </c>
      <c r="S12">
        <f ca="1"/>
        <v>1</v>
      </c>
      <c r="T12">
        <f ca="1"/>
        <v>0.78000000000000114</v>
      </c>
      <c r="U12">
        <f ca="1"/>
        <v>0</v>
      </c>
      <c r="V12">
        <f ca="1"/>
        <v>0</v>
      </c>
      <c r="X12" s="2">
        <f t="shared" ca="1" si="1"/>
        <v>45399</v>
      </c>
      <c r="Y12">
        <f t="shared" ca="1" si="2"/>
        <v>0</v>
      </c>
      <c r="AA12" s="63">
        <f t="shared" ca="1" si="4"/>
        <v>54.37011657458153</v>
      </c>
      <c r="AB12" s="63">
        <f t="shared" ca="1" si="5"/>
        <v>54.37011657458153</v>
      </c>
      <c r="AC12" s="3">
        <f t="shared" ca="1" si="6"/>
        <v>0</v>
      </c>
    </row>
    <row r="13" spans="1:31" ht="15" thickBot="1">
      <c r="A13" s="6" t="s">
        <v>236</v>
      </c>
      <c r="B13" s="32">
        <f>PriorYield</f>
        <v>8</v>
      </c>
      <c r="D13" s="19" t="str">
        <f>ConceptDemo!C37</f>
        <v>Date</v>
      </c>
      <c r="E13" s="20" t="str">
        <f>ConceptDemo!D37</f>
        <v>Value</v>
      </c>
      <c r="H13" t="b">
        <f t="shared" ca="1" si="3"/>
        <v>1</v>
      </c>
      <c r="I13" t="b">
        <f t="shared" ca="1" si="0"/>
        <v>1</v>
      </c>
      <c r="J13" s="2">
        <f ca="1"/>
        <v>45400</v>
      </c>
      <c r="K13">
        <f ca="1"/>
        <v>55.341017743000542</v>
      </c>
      <c r="L13">
        <f ca="1"/>
        <v>0</v>
      </c>
      <c r="M13">
        <f ca="1"/>
        <v>0.32216035023218303</v>
      </c>
      <c r="N13" s="4">
        <f ca="1"/>
        <v>0.88129694740430908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0.99855072463768102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45400</v>
      </c>
      <c r="Y13">
        <f t="shared" ca="1" si="2"/>
        <v>0</v>
      </c>
      <c r="AA13" s="63">
        <f t="shared" ca="1" si="4"/>
        <v>55.341017743000542</v>
      </c>
      <c r="AB13" s="63">
        <f t="shared" ca="1" si="5"/>
        <v>55.341017743000542</v>
      </c>
      <c r="AC13" s="3">
        <f t="shared" ca="1" si="6"/>
        <v>0</v>
      </c>
    </row>
    <row r="14" spans="1:31">
      <c r="A14" s="6" t="s">
        <v>229</v>
      </c>
      <c r="B14" s="32">
        <f>PriorPopulation</f>
        <v>1</v>
      </c>
      <c r="D14" s="18">
        <f>IF(ConceptDemo!C38="","",ConceptDemo!C38)</f>
        <v>45458</v>
      </c>
      <c r="E14" s="17">
        <f>IF(ConceptDemo!D38="","",ConceptDemo!D38)</f>
        <v>53</v>
      </c>
      <c r="H14" t="b">
        <f t="shared" ca="1" si="3"/>
        <v>1</v>
      </c>
      <c r="I14" t="b">
        <f t="shared" ca="1" si="0"/>
        <v>1</v>
      </c>
      <c r="J14" s="2">
        <f ca="1"/>
        <v>45401</v>
      </c>
      <c r="K14">
        <f ca="1"/>
        <v>56.743175572154449</v>
      </c>
      <c r="L14">
        <f ca="1"/>
        <v>0</v>
      </c>
      <c r="M14">
        <f ca="1"/>
        <v>0.41220932446361802</v>
      </c>
      <c r="N14" s="4">
        <f ca="1"/>
        <v>0.98994850469028883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0.99076013442554089</v>
      </c>
      <c r="T14">
        <f ca="1"/>
        <v>0</v>
      </c>
      <c r="U14">
        <f ca="1"/>
        <v>0</v>
      </c>
      <c r="V14">
        <f ca="1"/>
        <v>0</v>
      </c>
      <c r="X14" s="2">
        <f t="shared" ca="1" si="1"/>
        <v>45401</v>
      </c>
      <c r="Y14">
        <f t="shared" ca="1" si="2"/>
        <v>0</v>
      </c>
      <c r="AA14" s="63">
        <f t="shared" ca="1" si="4"/>
        <v>56.743175572154449</v>
      </c>
      <c r="AB14" s="63">
        <f t="shared" ca="1" si="5"/>
        <v>56.743175572154449</v>
      </c>
      <c r="AC14" s="3">
        <f t="shared" ca="1" si="6"/>
        <v>0</v>
      </c>
    </row>
    <row r="15" spans="1:31">
      <c r="A15" s="6" t="s">
        <v>230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H15" t="b">
        <f t="shared" ca="1" si="3"/>
        <v>1</v>
      </c>
      <c r="I15" t="b">
        <f t="shared" ca="1" si="0"/>
        <v>1</v>
      </c>
      <c r="J15" s="2">
        <f ca="1"/>
        <v>45402</v>
      </c>
      <c r="K15">
        <f ca="1"/>
        <v>58.198739771768146</v>
      </c>
      <c r="L15">
        <f ca="1"/>
        <v>0</v>
      </c>
      <c r="M15">
        <f ca="1"/>
        <v>0.46645527352436789</v>
      </c>
      <c r="N15" s="4">
        <f ca="1"/>
        <v>0.9891089260893321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>
        <f ca="1"/>
        <v>0.99907962131935502</v>
      </c>
      <c r="T15">
        <f ca="1"/>
        <v>0</v>
      </c>
      <c r="U15">
        <f ca="1"/>
        <v>0</v>
      </c>
      <c r="V15">
        <f ca="1"/>
        <v>0</v>
      </c>
      <c r="X15" s="2">
        <f t="shared" ca="1" si="1"/>
        <v>45402</v>
      </c>
      <c r="Y15">
        <f t="shared" ca="1" si="2"/>
        <v>0</v>
      </c>
      <c r="AA15" s="63">
        <f t="shared" ca="1" si="4"/>
        <v>58.198739771768146</v>
      </c>
      <c r="AB15" s="63">
        <f t="shared" ca="1" si="5"/>
        <v>58.198739771768146</v>
      </c>
      <c r="AC15" s="3">
        <f t="shared" ca="1" si="6"/>
        <v>0</v>
      </c>
    </row>
    <row r="16" spans="1:31">
      <c r="A16" s="6" t="s">
        <v>113</v>
      </c>
      <c r="B16" s="32">
        <f>PriorFieldLoss</f>
        <v>1</v>
      </c>
      <c r="D16" s="18" t="str">
        <f>IF(ConceptDemo!C40="","",ConceptDemo!C40)</f>
        <v/>
      </c>
      <c r="E16" s="17" t="str">
        <f>IF(ConceptDemo!D40="","",ConceptDemo!D40)</f>
        <v/>
      </c>
      <c r="H16" t="b">
        <f t="shared" ca="1" si="3"/>
        <v>1</v>
      </c>
      <c r="I16" t="b">
        <f t="shared" ca="1" si="0"/>
        <v>1</v>
      </c>
      <c r="J16" s="2">
        <f ca="1"/>
        <v>45403</v>
      </c>
      <c r="K16">
        <f ca="1"/>
        <v>59.62160884438245</v>
      </c>
      <c r="L16">
        <f ca="1"/>
        <v>0</v>
      </c>
      <c r="M16">
        <f ca="1"/>
        <v>0.48983544579178639</v>
      </c>
      <c r="N16" s="4">
        <f ca="1"/>
        <v>0.93303362682251911</v>
      </c>
      <c r="O16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0.98620321303833858</v>
      </c>
      <c r="T16">
        <f ca="1"/>
        <v>0</v>
      </c>
      <c r="U16">
        <f ca="1"/>
        <v>0</v>
      </c>
      <c r="V16">
        <f ca="1"/>
        <v>0</v>
      </c>
      <c r="X16" s="2">
        <f t="shared" ca="1" si="1"/>
        <v>45403</v>
      </c>
      <c r="Y16">
        <f t="shared" ca="1" si="2"/>
        <v>0</v>
      </c>
      <c r="AA16" s="63">
        <f t="shared" ca="1" si="4"/>
        <v>59.62160884438245</v>
      </c>
      <c r="AB16" s="63">
        <f t="shared" ca="1" si="5"/>
        <v>59.62160884438245</v>
      </c>
      <c r="AC16" s="3">
        <f t="shared" ca="1" si="6"/>
        <v>0</v>
      </c>
    </row>
    <row r="17" spans="1:29">
      <c r="A17" s="6" t="s">
        <v>114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H17" t="b">
        <f t="shared" ca="1" si="3"/>
        <v>1</v>
      </c>
      <c r="I17" t="b">
        <f t="shared" ca="1" si="0"/>
        <v>1</v>
      </c>
      <c r="J17" s="2">
        <f ca="1"/>
        <v>45404</v>
      </c>
      <c r="K17">
        <f ca="1"/>
        <v>61.12019199490679</v>
      </c>
      <c r="L17">
        <f ca="1"/>
        <v>0</v>
      </c>
      <c r="M17">
        <f ca="1"/>
        <v>0.54023390239919511</v>
      </c>
      <c r="N17" s="4">
        <f ca="1"/>
        <v>0.95834924812514766</v>
      </c>
      <c r="O17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0.96668206280972946</v>
      </c>
      <c r="T17">
        <f ca="1"/>
        <v>0</v>
      </c>
      <c r="U17">
        <f ca="1"/>
        <v>0</v>
      </c>
      <c r="V17">
        <f ca="1"/>
        <v>0</v>
      </c>
      <c r="X17" s="2">
        <f t="shared" ca="1" si="1"/>
        <v>45404</v>
      </c>
      <c r="Y17">
        <f t="shared" ca="1" si="2"/>
        <v>0</v>
      </c>
      <c r="AA17" s="63">
        <f t="shared" ca="1" si="4"/>
        <v>61.12019199490679</v>
      </c>
      <c r="AB17" s="63">
        <f t="shared" ca="1" si="5"/>
        <v>61.12019199490679</v>
      </c>
      <c r="AC17" s="3">
        <f t="shared" ca="1" si="6"/>
        <v>0</v>
      </c>
    </row>
    <row r="18" spans="1:29">
      <c r="A18" s="6" t="s">
        <v>115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H18" t="b">
        <f t="shared" ca="1" si="3"/>
        <v>1</v>
      </c>
      <c r="I18" t="b">
        <f t="shared" ca="1" si="0"/>
        <v>1</v>
      </c>
      <c r="J18" s="2">
        <f ca="1"/>
        <v>45405</v>
      </c>
      <c r="K18">
        <f ca="1"/>
        <v>62.769193065259138</v>
      </c>
      <c r="L18">
        <f ca="1"/>
        <v>0</v>
      </c>
      <c r="M18">
        <f ca="1"/>
        <v>0.61393313230556101</v>
      </c>
      <c r="N18" s="4">
        <f ca="1"/>
        <v>1.0350679380467873</v>
      </c>
      <c r="O18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0.98121311122655019</v>
      </c>
      <c r="T18">
        <f ca="1"/>
        <v>0</v>
      </c>
      <c r="U18">
        <f ca="1"/>
        <v>0</v>
      </c>
      <c r="V18">
        <f ca="1"/>
        <v>0</v>
      </c>
      <c r="X18" s="2">
        <f t="shared" ca="1" si="1"/>
        <v>45405</v>
      </c>
      <c r="Y18">
        <f t="shared" ca="1" si="2"/>
        <v>0</v>
      </c>
      <c r="AA18" s="63">
        <f t="shared" ca="1" si="4"/>
        <v>62.769193065259138</v>
      </c>
      <c r="AB18" s="63">
        <f t="shared" ca="1" si="5"/>
        <v>62.769193065259138</v>
      </c>
      <c r="AC18" s="3">
        <f t="shared" ca="1" si="6"/>
        <v>0</v>
      </c>
    </row>
    <row r="19" spans="1:29" ht="15" thickBot="1">
      <c r="A19" s="6" t="s">
        <v>116</v>
      </c>
      <c r="B19" s="34">
        <f>PriorEstablishDate</f>
        <v>45269</v>
      </c>
      <c r="D19" s="35" t="str">
        <f>IF(ConceptDemo!C43="","",ConceptDemo!C43)</f>
        <v/>
      </c>
      <c r="E19" s="20" t="str">
        <f>IF(ConceptDemo!D43="","",ConceptDemo!D43)</f>
        <v/>
      </c>
      <c r="H19" t="b">
        <f t="shared" ca="1" si="3"/>
        <v>1</v>
      </c>
      <c r="I19" t="b">
        <f t="shared" ca="1" si="0"/>
        <v>1</v>
      </c>
      <c r="J19" s="2">
        <f ca="1"/>
        <v>45406</v>
      </c>
      <c r="K19">
        <f ca="1"/>
        <v>62.791709652301442</v>
      </c>
      <c r="L19">
        <f ca="1"/>
        <v>0</v>
      </c>
      <c r="M19">
        <f ca="1"/>
        <v>0.63001982916634036</v>
      </c>
      <c r="N19" s="4">
        <f ca="1"/>
        <v>1.0009025259631787</v>
      </c>
      <c r="O19">
        <f ca="1"/>
        <v>0</v>
      </c>
      <c r="P19">
        <f ca="1"/>
        <v>0</v>
      </c>
      <c r="Q19">
        <f ca="1"/>
        <v>0</v>
      </c>
      <c r="R19">
        <f ca="1"/>
        <v>1.6084057680872133</v>
      </c>
      <c r="S19">
        <f ca="1"/>
        <v>1</v>
      </c>
      <c r="T19">
        <f ca="1"/>
        <v>4.6511335322412037</v>
      </c>
      <c r="U19">
        <f ca="1"/>
        <v>0</v>
      </c>
      <c r="V19">
        <f ca="1"/>
        <v>0</v>
      </c>
      <c r="X19" s="2">
        <f t="shared" ca="1" si="1"/>
        <v>45406</v>
      </c>
      <c r="Y19">
        <f t="shared" ca="1" si="2"/>
        <v>0</v>
      </c>
      <c r="AA19" s="63">
        <f t="shared" ca="1" si="4"/>
        <v>64.400115420388659</v>
      </c>
      <c r="AB19" s="63">
        <f t="shared" ca="1" si="5"/>
        <v>64.400115420388659</v>
      </c>
      <c r="AC19" s="3">
        <f t="shared" ca="1" si="6"/>
        <v>0</v>
      </c>
    </row>
    <row r="20" spans="1:29">
      <c r="A20" s="6" t="s">
        <v>117</v>
      </c>
      <c r="B20" s="32" t="str">
        <f>PriorEstablishStage</f>
        <v>Seed</v>
      </c>
      <c r="H20" t="b">
        <f t="shared" ca="1" si="3"/>
        <v>1</v>
      </c>
      <c r="I20" t="b">
        <f t="shared" ca="1" si="0"/>
        <v>1</v>
      </c>
      <c r="J20" s="2">
        <f ca="1"/>
        <v>45407</v>
      </c>
      <c r="K20">
        <f ca="1"/>
        <v>64.388259526254714</v>
      </c>
      <c r="L20">
        <f ca="1"/>
        <v>0</v>
      </c>
      <c r="M20">
        <f ca="1"/>
        <v>0.63572868376125413</v>
      </c>
      <c r="N20" s="4">
        <f ca="1"/>
        <v>0.96082119019201961</v>
      </c>
      <c r="O20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0.98840579710144927</v>
      </c>
      <c r="T20">
        <f ca="1"/>
        <v>0</v>
      </c>
      <c r="U20">
        <f ca="1"/>
        <v>0</v>
      </c>
      <c r="V20">
        <f ca="1"/>
        <v>0</v>
      </c>
      <c r="X20" s="2">
        <f t="shared" ca="1" si="1"/>
        <v>45407</v>
      </c>
      <c r="Y20">
        <f t="shared" ca="1" si="2"/>
        <v>0</v>
      </c>
      <c r="AA20" s="63">
        <f t="shared" ca="1" si="4"/>
        <v>64.388259526254714</v>
      </c>
      <c r="AB20" s="63">
        <f t="shared" ca="1" si="5"/>
        <v>64.388259526254714</v>
      </c>
      <c r="AC20" s="3">
        <f t="shared" ca="1" si="6"/>
        <v>0</v>
      </c>
    </row>
    <row r="21" spans="1:29">
      <c r="A21" s="6" t="s">
        <v>118</v>
      </c>
      <c r="B21" s="34">
        <f>PriorHarvestDate</f>
        <v>45394</v>
      </c>
      <c r="H21" t="b">
        <f t="shared" ca="1" si="3"/>
        <v>1</v>
      </c>
      <c r="I21" t="b">
        <f t="shared" ca="1" si="0"/>
        <v>1</v>
      </c>
      <c r="J21" s="2">
        <f ca="1"/>
        <v>45408</v>
      </c>
      <c r="K21">
        <f ca="1"/>
        <v>65.318713437652619</v>
      </c>
      <c r="L21">
        <f ca="1"/>
        <v>0</v>
      </c>
      <c r="M21">
        <f ca="1"/>
        <v>0.69865384964239574</v>
      </c>
      <c r="N21" s="4">
        <f ca="1"/>
        <v>1.0333431300500728</v>
      </c>
      <c r="O21">
        <f ca="1"/>
        <v>0</v>
      </c>
      <c r="P21">
        <f ca="1"/>
        <v>0</v>
      </c>
      <c r="Q21">
        <f ca="1"/>
        <v>0</v>
      </c>
      <c r="R21">
        <f ca="1"/>
        <v>0.80154306829456434</v>
      </c>
      <c r="S21">
        <f ca="1"/>
        <v>1</v>
      </c>
      <c r="T21">
        <f ca="1"/>
        <v>2.2282028985507196</v>
      </c>
      <c r="U21">
        <f ca="1"/>
        <v>0</v>
      </c>
      <c r="V21">
        <f ca="1"/>
        <v>0</v>
      </c>
      <c r="X21" s="2">
        <f t="shared" ca="1" si="1"/>
        <v>45408</v>
      </c>
      <c r="Y21">
        <f t="shared" ca="1" si="2"/>
        <v>0</v>
      </c>
      <c r="AA21" s="63">
        <f t="shared" ca="1" si="4"/>
        <v>66.120256505947182</v>
      </c>
      <c r="AB21" s="63">
        <f t="shared" ca="1" si="5"/>
        <v>66.120256505947182</v>
      </c>
      <c r="AC21" s="3">
        <f t="shared" ca="1" si="6"/>
        <v>0</v>
      </c>
    </row>
    <row r="22" spans="1:29">
      <c r="A22" s="6" t="s">
        <v>119</v>
      </c>
      <c r="B22" s="32" t="str">
        <f>PriorHarvestStage</f>
        <v>EarlyReproductive</v>
      </c>
      <c r="H22" t="b">
        <f t="shared" ca="1" si="3"/>
        <v>1</v>
      </c>
      <c r="I22" t="b">
        <f t="shared" ca="1" si="0"/>
        <v>1</v>
      </c>
      <c r="J22" s="2">
        <f ca="1"/>
        <v>45409</v>
      </c>
      <c r="K22">
        <f ca="1"/>
        <v>65.436265591389727</v>
      </c>
      <c r="L22">
        <f ca="1"/>
        <v>0</v>
      </c>
      <c r="M22">
        <f ca="1"/>
        <v>0.685048871438938</v>
      </c>
      <c r="N22" s="4">
        <f ca="1"/>
        <v>0.9749024469044919</v>
      </c>
      <c r="O22">
        <f ca="1"/>
        <v>0</v>
      </c>
      <c r="P22">
        <f ca="1"/>
        <v>0</v>
      </c>
      <c r="Q22">
        <f ca="1"/>
        <v>0</v>
      </c>
      <c r="R22">
        <f ca="1"/>
        <v>1.5423991646063231</v>
      </c>
      <c r="S22">
        <f ca="1"/>
        <v>1</v>
      </c>
      <c r="T22">
        <f ca="1"/>
        <v>4.2800000000000011</v>
      </c>
      <c r="U22">
        <f ca="1"/>
        <v>0</v>
      </c>
      <c r="V22">
        <f ca="1"/>
        <v>0</v>
      </c>
      <c r="X22" s="2">
        <f t="shared" ca="1" si="1"/>
        <v>45409</v>
      </c>
      <c r="Y22">
        <f t="shared" ca="1" si="2"/>
        <v>0</v>
      </c>
      <c r="AA22" s="63">
        <f t="shared" ca="1" si="4"/>
        <v>66.97866475599605</v>
      </c>
      <c r="AB22" s="63">
        <f t="shared" ca="1" si="5"/>
        <v>66.97866475599605</v>
      </c>
      <c r="AC22" s="3">
        <f t="shared" ca="1" si="6"/>
        <v>0</v>
      </c>
    </row>
    <row r="23" spans="1:29">
      <c r="A23" s="6" t="s">
        <v>163</v>
      </c>
      <c r="B23" s="32" t="str">
        <f>PriorResidueRemoval</f>
        <v>None removed</v>
      </c>
      <c r="H23" t="b">
        <f t="shared" ca="1" si="3"/>
        <v>1</v>
      </c>
      <c r="I23" t="b">
        <f t="shared" ca="1" si="0"/>
        <v>1</v>
      </c>
      <c r="J23" s="2">
        <f ca="1"/>
        <v>45410</v>
      </c>
      <c r="K23">
        <f ca="1"/>
        <v>65.924998772428864</v>
      </c>
      <c r="L23">
        <f ca="1"/>
        <v>0</v>
      </c>
      <c r="M23">
        <f ca="1"/>
        <v>0.68705337716058157</v>
      </c>
      <c r="N23" s="4">
        <f ca="1"/>
        <v>0.95259652157808161</v>
      </c>
      <c r="O23">
        <f ca="1"/>
        <v>0</v>
      </c>
      <c r="P23">
        <f ca="1"/>
        <v>0</v>
      </c>
      <c r="Q23">
        <f ca="1"/>
        <v>0</v>
      </c>
      <c r="R23">
        <f ca="1"/>
        <v>1.1509167176995339</v>
      </c>
      <c r="S23">
        <f ca="1"/>
        <v>1</v>
      </c>
      <c r="T23">
        <f ca="1"/>
        <v>3.1700000000000017</v>
      </c>
      <c r="U23">
        <f ca="1"/>
        <v>0</v>
      </c>
      <c r="V23">
        <f ca="1"/>
        <v>0</v>
      </c>
      <c r="X23" s="2">
        <f t="shared" ca="1" si="1"/>
        <v>45410</v>
      </c>
      <c r="Y23">
        <f t="shared" ca="1" si="2"/>
        <v>0</v>
      </c>
      <c r="AA23" s="63">
        <f t="shared" ca="1" si="4"/>
        <v>67.075915490128395</v>
      </c>
      <c r="AB23" s="63">
        <f t="shared" ca="1" si="5"/>
        <v>67.075915490128395</v>
      </c>
      <c r="AC23" s="3">
        <f t="shared" ca="1" si="6"/>
        <v>0</v>
      </c>
    </row>
    <row r="24" spans="1:29" ht="15" thickBot="1">
      <c r="A24" s="6" t="s">
        <v>166</v>
      </c>
      <c r="B24" s="95" t="str">
        <f>PriorResidueIncorporation</f>
        <v>Full (Plough)</v>
      </c>
      <c r="H24" t="b">
        <f t="shared" ca="1" si="3"/>
        <v>1</v>
      </c>
      <c r="I24" t="b">
        <f t="shared" ca="1" si="0"/>
        <v>1</v>
      </c>
      <c r="J24" s="2">
        <f ca="1"/>
        <v>45411</v>
      </c>
      <c r="K24">
        <f ca="1"/>
        <v>66.16683504090372</v>
      </c>
      <c r="L24">
        <f ca="1"/>
        <v>0</v>
      </c>
      <c r="M24">
        <f ca="1"/>
        <v>0.68945638496054151</v>
      </c>
      <c r="N24" s="4">
        <f ca="1"/>
        <v>0.93708872118192987</v>
      </c>
      <c r="O24">
        <f ca="1"/>
        <v>0</v>
      </c>
      <c r="P24">
        <f ca="1"/>
        <v>0</v>
      </c>
      <c r="Q24">
        <f ca="1"/>
        <v>0</v>
      </c>
      <c r="R24">
        <f ca="1"/>
        <v>1.3847088376676124</v>
      </c>
      <c r="S24">
        <f ca="1"/>
        <v>1</v>
      </c>
      <c r="T24">
        <f ca="1"/>
        <v>3.8000000000000114</v>
      </c>
      <c r="U24">
        <f ca="1"/>
        <v>0</v>
      </c>
      <c r="V24">
        <f ca="1"/>
        <v>0</v>
      </c>
      <c r="X24" s="2">
        <f t="shared" ca="1" si="1"/>
        <v>45411</v>
      </c>
      <c r="Y24">
        <f t="shared" ca="1" si="2"/>
        <v>0</v>
      </c>
      <c r="AA24" s="63">
        <f t="shared" ca="1" si="4"/>
        <v>67.551543878571337</v>
      </c>
      <c r="AB24" s="63">
        <f t="shared" ca="1" si="5"/>
        <v>67.551543878571337</v>
      </c>
      <c r="AC24" s="3">
        <f t="shared" ca="1" si="6"/>
        <v>0</v>
      </c>
    </row>
    <row r="25" spans="1:29" ht="15" thickBot="1">
      <c r="A25" s="8" t="s">
        <v>141</v>
      </c>
      <c r="B25" s="11" t="str">
        <f>CurrentCropNameFull</f>
        <v>GroundStore Potato Short (Group1)</v>
      </c>
      <c r="H25" t="b">
        <f t="shared" ca="1" si="3"/>
        <v>1</v>
      </c>
      <c r="I25" t="b">
        <f t="shared" ca="1" si="0"/>
        <v>1</v>
      </c>
      <c r="J25" s="2">
        <f ca="1"/>
        <v>45412</v>
      </c>
      <c r="K25">
        <f ca="1"/>
        <v>67.584101911910153</v>
      </c>
      <c r="L25">
        <f ca="1"/>
        <v>0</v>
      </c>
      <c r="M25">
        <f ca="1"/>
        <v>0.61719827586997411</v>
      </c>
      <c r="N25" s="4">
        <f ca="1"/>
        <v>0.80006859513645323</v>
      </c>
      <c r="O25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0.97927536231884049</v>
      </c>
      <c r="T25">
        <f ca="1"/>
        <v>0</v>
      </c>
      <c r="U25">
        <f ca="1"/>
        <v>0</v>
      </c>
      <c r="V25">
        <f ca="1"/>
        <v>0</v>
      </c>
      <c r="X25" s="2">
        <f t="shared" ca="1" si="1"/>
        <v>45412</v>
      </c>
      <c r="Y25">
        <f t="shared" ca="1" si="2"/>
        <v>0</v>
      </c>
      <c r="AA25" s="63">
        <f t="shared" ca="1" si="4"/>
        <v>67.584101911910153</v>
      </c>
      <c r="AB25" s="63">
        <f t="shared" ca="1" si="5"/>
        <v>67.584101911910153</v>
      </c>
      <c r="AC25" s="3">
        <f t="shared" ca="1" si="6"/>
        <v>0</v>
      </c>
    </row>
    <row r="26" spans="1:29">
      <c r="A26" s="9" t="s">
        <v>237</v>
      </c>
      <c r="B26" s="11">
        <f>CurrentYield</f>
        <v>80</v>
      </c>
      <c r="H26" t="b">
        <f t="shared" ca="1" si="3"/>
        <v>1</v>
      </c>
      <c r="I26" t="b">
        <f t="shared" ca="1" si="0"/>
        <v>1</v>
      </c>
      <c r="J26" s="2">
        <f ca="1"/>
        <v>45413</v>
      </c>
      <c r="K26">
        <f ca="1"/>
        <v>69.003043341987421</v>
      </c>
      <c r="L26">
        <f ca="1"/>
        <v>0</v>
      </c>
      <c r="M26">
        <f ca="1"/>
        <v>0.62108010915692802</v>
      </c>
      <c r="N26" s="4">
        <f ca="1"/>
        <v>0.79786132092034867</v>
      </c>
      <c r="O26">
        <f ca="1"/>
        <v>0</v>
      </c>
      <c r="P26">
        <f ca="1"/>
        <v>0</v>
      </c>
      <c r="Q26">
        <f ca="1"/>
        <v>0</v>
      </c>
      <c r="R26">
        <f ca="1"/>
        <v>0</v>
      </c>
      <c r="S26">
        <f ca="1"/>
        <v>0.96058044528460396</v>
      </c>
      <c r="T26">
        <f ca="1"/>
        <v>0</v>
      </c>
      <c r="U26">
        <f ca="1"/>
        <v>0</v>
      </c>
      <c r="V26">
        <f ca="1"/>
        <v>0</v>
      </c>
      <c r="X26" s="2">
        <f t="shared" ca="1" si="1"/>
        <v>45413</v>
      </c>
      <c r="Y26">
        <f t="shared" ca="1" si="2"/>
        <v>0</v>
      </c>
      <c r="AA26" s="63">
        <f t="shared" ca="1" si="4"/>
        <v>69.003043341987436</v>
      </c>
      <c r="AB26" s="63">
        <f t="shared" ca="1" si="5"/>
        <v>69.003043341987421</v>
      </c>
      <c r="AC26" s="3">
        <f t="shared" ca="1" si="6"/>
        <v>0</v>
      </c>
    </row>
    <row r="27" spans="1:29">
      <c r="A27" s="9" t="s">
        <v>231</v>
      </c>
      <c r="B27" s="13" t="str">
        <f>CurrentPopulation</f>
        <v>1</v>
      </c>
      <c r="H27" t="b">
        <f t="shared" ca="1" si="3"/>
        <v>1</v>
      </c>
      <c r="I27" t="b">
        <f t="shared" ca="1" si="0"/>
        <v>1</v>
      </c>
      <c r="J27" s="2">
        <f ca="1"/>
        <v>45414</v>
      </c>
      <c r="K27">
        <f ca="1"/>
        <v>70.576266700642421</v>
      </c>
      <c r="L27">
        <f ca="1"/>
        <v>0</v>
      </c>
      <c r="M27">
        <f ca="1"/>
        <v>0.68093656238926492</v>
      </c>
      <c r="N27" s="4">
        <f ca="1"/>
        <v>0.8922867962657407</v>
      </c>
      <c r="O27">
        <f ca="1"/>
        <v>0</v>
      </c>
      <c r="P27">
        <f ca="1"/>
        <v>0</v>
      </c>
      <c r="Q27">
        <f ca="1"/>
        <v>0</v>
      </c>
      <c r="R27">
        <f ca="1"/>
        <v>0</v>
      </c>
      <c r="S27">
        <f ca="1"/>
        <v>0.97154232880986513</v>
      </c>
      <c r="T27">
        <f ca="1"/>
        <v>0</v>
      </c>
      <c r="U27">
        <f ca="1"/>
        <v>0</v>
      </c>
      <c r="V27">
        <f ca="1"/>
        <v>0</v>
      </c>
      <c r="X27" s="2">
        <f t="shared" ca="1" si="1"/>
        <v>45414</v>
      </c>
      <c r="Y27">
        <f t="shared" ca="1" si="2"/>
        <v>0</v>
      </c>
      <c r="AA27" s="63">
        <f t="shared" ca="1" si="4"/>
        <v>70.576266700642421</v>
      </c>
      <c r="AB27" s="63">
        <f t="shared" ca="1" si="5"/>
        <v>70.576266700642421</v>
      </c>
      <c r="AC27" s="3">
        <f t="shared" ca="1" si="6"/>
        <v>0</v>
      </c>
    </row>
    <row r="28" spans="1:29">
      <c r="A28" s="9" t="s">
        <v>232</v>
      </c>
      <c r="B28" s="13" t="str">
        <f>CurrentUnits</f>
        <v>t/ha</v>
      </c>
      <c r="H28" t="b">
        <f t="shared" ca="1" si="3"/>
        <v>1</v>
      </c>
      <c r="I28" t="b">
        <f t="shared" ca="1" si="0"/>
        <v>1</v>
      </c>
      <c r="J28" s="2">
        <f ca="1"/>
        <v>45415</v>
      </c>
      <c r="K28">
        <f ca="1"/>
        <v>72.158369381610171</v>
      </c>
      <c r="L28">
        <f ca="1"/>
        <v>0</v>
      </c>
      <c r="M28">
        <f ca="1"/>
        <v>0.6858705546117001</v>
      </c>
      <c r="N28" s="4">
        <f ca="1"/>
        <v>0.89623212635605998</v>
      </c>
      <c r="O28">
        <f ca="1"/>
        <v>0</v>
      </c>
      <c r="P28">
        <f ca="1"/>
        <v>0</v>
      </c>
      <c r="Q28">
        <f ca="1"/>
        <v>0</v>
      </c>
      <c r="R28">
        <f ca="1"/>
        <v>0</v>
      </c>
      <c r="S28">
        <f ca="1"/>
        <v>0.99868741429653984</v>
      </c>
      <c r="T28">
        <f ca="1"/>
        <v>0</v>
      </c>
      <c r="U28">
        <f ca="1"/>
        <v>0</v>
      </c>
      <c r="V28">
        <f ca="1"/>
        <v>0</v>
      </c>
      <c r="X28" s="2">
        <f t="shared" ca="1" si="1"/>
        <v>45415</v>
      </c>
      <c r="Y28">
        <f t="shared" ca="1" si="2"/>
        <v>0</v>
      </c>
      <c r="AA28" s="63">
        <f t="shared" ca="1" si="4"/>
        <v>72.158369381610171</v>
      </c>
      <c r="AB28" s="63">
        <f t="shared" ca="1" si="5"/>
        <v>72.158369381610171</v>
      </c>
      <c r="AC28" s="3">
        <f t="shared" ca="1" si="6"/>
        <v>0</v>
      </c>
    </row>
    <row r="29" spans="1:29">
      <c r="A29" s="9" t="s">
        <v>120</v>
      </c>
      <c r="B29" s="10">
        <f>CurrentFieldLoss</f>
        <v>0</v>
      </c>
      <c r="H29" t="b">
        <f t="shared" ca="1" si="3"/>
        <v>1</v>
      </c>
      <c r="I29" t="b">
        <f t="shared" ca="1" si="0"/>
        <v>1</v>
      </c>
      <c r="J29" s="2">
        <f ca="1"/>
        <v>45416</v>
      </c>
      <c r="K29">
        <f ca="1"/>
        <v>72.418757070282425</v>
      </c>
      <c r="L29">
        <f ca="1"/>
        <v>0</v>
      </c>
      <c r="M29">
        <f ca="1"/>
        <v>0.70856229552215666</v>
      </c>
      <c r="N29" s="4">
        <f ca="1"/>
        <v>0.93222390226459795</v>
      </c>
      <c r="O29">
        <f ca="1"/>
        <v>0</v>
      </c>
      <c r="P29">
        <f ca="1"/>
        <v>0</v>
      </c>
      <c r="Q29">
        <f ca="1"/>
        <v>0</v>
      </c>
      <c r="R29">
        <f ca="1"/>
        <v>1.3803985091145023</v>
      </c>
      <c r="S29">
        <f ca="1"/>
        <v>1</v>
      </c>
      <c r="T29">
        <f ca="1"/>
        <v>3.4611379478757414</v>
      </c>
      <c r="U29">
        <f ca="1"/>
        <v>0</v>
      </c>
      <c r="V29">
        <f ca="1"/>
        <v>0</v>
      </c>
      <c r="X29" s="2">
        <f t="shared" ca="1" si="1"/>
        <v>45416</v>
      </c>
      <c r="Y29">
        <f t="shared" ca="1" si="2"/>
        <v>0</v>
      </c>
      <c r="AA29" s="63">
        <f t="shared" ca="1" si="4"/>
        <v>73.799155579396924</v>
      </c>
      <c r="AB29" s="63">
        <f t="shared" ca="1" si="5"/>
        <v>73.799155579396924</v>
      </c>
      <c r="AC29" s="3">
        <f t="shared" ca="1" si="6"/>
        <v>0</v>
      </c>
    </row>
    <row r="30" spans="1:29">
      <c r="A30" s="9" t="s">
        <v>121</v>
      </c>
      <c r="B30" s="10">
        <f>CurrentDressingLoss</f>
        <v>0</v>
      </c>
      <c r="H30" t="b">
        <f t="shared" ca="1" si="3"/>
        <v>1</v>
      </c>
      <c r="I30" t="b">
        <f t="shared" ca="1" si="0"/>
        <v>1</v>
      </c>
      <c r="J30" s="2">
        <f ca="1"/>
        <v>45417</v>
      </c>
      <c r="K30">
        <f ca="1"/>
        <v>73.584090197495243</v>
      </c>
      <c r="L30">
        <f ca="1"/>
        <v>0</v>
      </c>
      <c r="M30">
        <f ca="1"/>
        <v>0.6924057934971799</v>
      </c>
      <c r="N30" s="4">
        <f ca="1"/>
        <v>0.90654024783594822</v>
      </c>
      <c r="O30">
        <f ca="1"/>
        <v>0</v>
      </c>
      <c r="P30">
        <f ca="1"/>
        <v>0</v>
      </c>
      <c r="Q30">
        <f ca="1"/>
        <v>0</v>
      </c>
      <c r="R30">
        <f ca="1"/>
        <v>0.43361291412031544</v>
      </c>
      <c r="S30">
        <f ca="1"/>
        <v>1</v>
      </c>
      <c r="T30">
        <f ca="1"/>
        <v>1.0700000000000074</v>
      </c>
      <c r="U30">
        <f ca="1"/>
        <v>0</v>
      </c>
      <c r="V30">
        <f ca="1"/>
        <v>0</v>
      </c>
      <c r="X30" s="2">
        <f t="shared" ca="1" si="1"/>
        <v>45417</v>
      </c>
      <c r="Y30">
        <f t="shared" ca="1" si="2"/>
        <v>0</v>
      </c>
      <c r="AA30" s="63">
        <f t="shared" ca="1" si="4"/>
        <v>74.01770311161556</v>
      </c>
      <c r="AB30" s="63">
        <f t="shared" ca="1" si="5"/>
        <v>74.01770311161556</v>
      </c>
      <c r="AC30" s="3">
        <f t="shared" ca="1" si="6"/>
        <v>0</v>
      </c>
    </row>
    <row r="31" spans="1:29">
      <c r="A31" s="9" t="s">
        <v>122</v>
      </c>
      <c r="B31" s="10">
        <f>CurrentMoistureContent</f>
        <v>79</v>
      </c>
      <c r="H31" t="b">
        <f t="shared" ca="1" si="3"/>
        <v>1</v>
      </c>
      <c r="I31" t="b">
        <f t="shared" ca="1" si="0"/>
        <v>1</v>
      </c>
      <c r="J31" s="2">
        <f ca="1"/>
        <v>45418</v>
      </c>
      <c r="K31">
        <f ca="1"/>
        <v>73.444811225436524</v>
      </c>
      <c r="L31">
        <f ca="1"/>
        <v>0</v>
      </c>
      <c r="M31">
        <f ca="1"/>
        <v>0.66278897448076002</v>
      </c>
      <c r="N31" s="4">
        <f ca="1"/>
        <v>0.86033938928496634</v>
      </c>
      <c r="O31">
        <f ca="1"/>
        <v>0</v>
      </c>
      <c r="P31">
        <f ca="1"/>
        <v>0</v>
      </c>
      <c r="Q31">
        <f ca="1"/>
        <v>0</v>
      </c>
      <c r="R31">
        <f ca="1"/>
        <v>1.6624073358244453</v>
      </c>
      <c r="S31">
        <f ca="1"/>
        <v>1</v>
      </c>
      <c r="T31">
        <f ca="1"/>
        <v>4.1099999999999994</v>
      </c>
      <c r="U31">
        <f ca="1"/>
        <v>0</v>
      </c>
      <c r="V31">
        <f ca="1"/>
        <v>0</v>
      </c>
      <c r="X31" s="2">
        <f t="shared" ca="1" si="1"/>
        <v>45418</v>
      </c>
      <c r="Y31">
        <f t="shared" ca="1" si="2"/>
        <v>0</v>
      </c>
      <c r="AA31" s="63">
        <f t="shared" ca="1" si="4"/>
        <v>75.107218561260964</v>
      </c>
      <c r="AB31" s="63">
        <f t="shared" ca="1" si="5"/>
        <v>75.107218561260964</v>
      </c>
      <c r="AC31" s="3">
        <f t="shared" ca="1" si="6"/>
        <v>0</v>
      </c>
    </row>
    <row r="32" spans="1:29">
      <c r="A32" s="9" t="s">
        <v>123</v>
      </c>
      <c r="B32" s="36">
        <f ca="1">CurrentEstablishDate</f>
        <v>45436</v>
      </c>
      <c r="H32" t="b">
        <f t="shared" ca="1" si="3"/>
        <v>1</v>
      </c>
      <c r="I32" t="b">
        <f t="shared" ca="1" si="0"/>
        <v>1</v>
      </c>
      <c r="J32" s="2">
        <f ca="1"/>
        <v>45419</v>
      </c>
      <c r="K32">
        <f ca="1"/>
        <v>74.609941468333304</v>
      </c>
      <c r="L32">
        <f ca="1"/>
        <v>0</v>
      </c>
      <c r="M32">
        <f ca="1"/>
        <v>0.6653207019181977</v>
      </c>
      <c r="N32" s="4">
        <f ca="1"/>
        <v>0.86961533782162848</v>
      </c>
      <c r="O32">
        <f ca="1"/>
        <v>0</v>
      </c>
      <c r="P32">
        <f ca="1"/>
        <v>0</v>
      </c>
      <c r="Q32">
        <f ca="1"/>
        <v>0</v>
      </c>
      <c r="R32">
        <f ca="1"/>
        <v>0.36980579684304565</v>
      </c>
      <c r="S32">
        <f ca="1"/>
        <v>1</v>
      </c>
      <c r="T32">
        <f ca="1"/>
        <v>0.90000000000000568</v>
      </c>
      <c r="U32">
        <f ca="1"/>
        <v>0</v>
      </c>
      <c r="V32">
        <f ca="1"/>
        <v>0</v>
      </c>
      <c r="X32" s="2">
        <f t="shared" ca="1" si="1"/>
        <v>45419</v>
      </c>
      <c r="Y32">
        <f t="shared" ca="1" si="2"/>
        <v>0</v>
      </c>
      <c r="AA32" s="63">
        <f t="shared" ca="1" si="4"/>
        <v>74.979747265176357</v>
      </c>
      <c r="AB32" s="63">
        <f t="shared" ca="1" si="5"/>
        <v>74.979747265176343</v>
      </c>
      <c r="AC32" s="3">
        <f t="shared" ca="1" si="6"/>
        <v>0</v>
      </c>
    </row>
    <row r="33" spans="1:29">
      <c r="A33" s="9" t="s">
        <v>124</v>
      </c>
      <c r="B33" s="10" t="str">
        <f>CurrentEstablishStage</f>
        <v>Seed</v>
      </c>
      <c r="H33" t="b">
        <f t="shared" ca="1" si="3"/>
        <v>1</v>
      </c>
      <c r="I33" t="b">
        <f t="shared" ca="1" si="0"/>
        <v>1</v>
      </c>
      <c r="J33" s="2">
        <f ca="1"/>
        <v>45420</v>
      </c>
      <c r="K33">
        <f ca="1"/>
        <v>76.307395309304425</v>
      </c>
      <c r="L33">
        <f ca="1"/>
        <v>0</v>
      </c>
      <c r="M33">
        <f ca="1"/>
        <v>0.72338316794524182</v>
      </c>
      <c r="N33" s="4">
        <f ca="1"/>
        <v>0.97407067302587558</v>
      </c>
      <c r="O33">
        <f ca="1"/>
        <v>0</v>
      </c>
      <c r="P33">
        <f ca="1"/>
        <v>0</v>
      </c>
      <c r="Q33">
        <f ca="1"/>
        <v>0</v>
      </c>
      <c r="R33">
        <f ca="1"/>
        <v>0</v>
      </c>
      <c r="S33">
        <f ca="1"/>
        <v>0.99811594202898557</v>
      </c>
      <c r="T33">
        <f ca="1"/>
        <v>0</v>
      </c>
      <c r="U33">
        <f ca="1"/>
        <v>0</v>
      </c>
      <c r="V33">
        <f ca="1"/>
        <v>0</v>
      </c>
      <c r="X33" s="2">
        <f t="shared" ca="1" si="1"/>
        <v>45420</v>
      </c>
      <c r="Y33">
        <f t="shared" ca="1" si="2"/>
        <v>0</v>
      </c>
      <c r="AA33" s="63">
        <f t="shared" ca="1" si="4"/>
        <v>76.307395309304425</v>
      </c>
      <c r="AB33" s="63">
        <f t="shared" ca="1" si="5"/>
        <v>76.307395309304425</v>
      </c>
      <c r="AC33" s="3">
        <f t="shared" ca="1" si="6"/>
        <v>0</v>
      </c>
    </row>
    <row r="34" spans="1:29">
      <c r="A34" s="9" t="s">
        <v>125</v>
      </c>
      <c r="B34" s="36">
        <f ca="1">CurrentHarvestDate</f>
        <v>45561</v>
      </c>
      <c r="H34" t="b">
        <f t="shared" ca="1" si="3"/>
        <v>1</v>
      </c>
      <c r="I34" t="b">
        <f t="shared" ca="1" si="0"/>
        <v>1</v>
      </c>
      <c r="J34" s="2">
        <f ca="1"/>
        <v>45421</v>
      </c>
      <c r="K34">
        <f ca="1"/>
        <v>77.847670034828496</v>
      </c>
      <c r="L34">
        <f ca="1"/>
        <v>0</v>
      </c>
      <c r="M34">
        <f ca="1"/>
        <v>0.69972324751598336</v>
      </c>
      <c r="N34" s="4">
        <f ca="1"/>
        <v>0.94441508394691931</v>
      </c>
      <c r="O34">
        <f ca="1"/>
        <v>0</v>
      </c>
      <c r="P34">
        <f ca="1"/>
        <v>0</v>
      </c>
      <c r="Q34">
        <f ca="1"/>
        <v>0</v>
      </c>
      <c r="R34">
        <f ca="1"/>
        <v>0.10386360593884211</v>
      </c>
      <c r="S34">
        <f ca="1"/>
        <v>1</v>
      </c>
      <c r="T34">
        <f ca="1"/>
        <v>0.24226086956521442</v>
      </c>
      <c r="U34">
        <f ca="1"/>
        <v>0</v>
      </c>
      <c r="V34">
        <f ca="1"/>
        <v>0</v>
      </c>
      <c r="X34" s="2">
        <f t="shared" ca="1" si="1"/>
        <v>45421</v>
      </c>
      <c r="Y34">
        <f t="shared" ca="1" si="2"/>
        <v>0</v>
      </c>
      <c r="AA34" s="63">
        <f t="shared" ca="1" si="4"/>
        <v>77.951533640767337</v>
      </c>
      <c r="AB34" s="63">
        <f t="shared" ca="1" si="5"/>
        <v>77.951533640767337</v>
      </c>
      <c r="AC34" s="3">
        <f t="shared" ca="1" si="6"/>
        <v>0</v>
      </c>
    </row>
    <row r="35" spans="1:29">
      <c r="A35" s="9" t="s">
        <v>126</v>
      </c>
      <c r="B35" s="10" t="str">
        <f>CurrentHarvestStage</f>
        <v>Late</v>
      </c>
      <c r="H35" t="b">
        <f t="shared" ca="1" si="3"/>
        <v>1</v>
      </c>
      <c r="I35" t="b">
        <f t="shared" ca="1" si="0"/>
        <v>1</v>
      </c>
      <c r="J35" s="2">
        <f ca="1"/>
        <v>45422</v>
      </c>
      <c r="K35">
        <f ca="1"/>
        <v>78.265858583008352</v>
      </c>
      <c r="L35">
        <f ca="1"/>
        <v>0</v>
      </c>
      <c r="M35">
        <f ca="1"/>
        <v>0.66303107113781756</v>
      </c>
      <c r="N35" s="4">
        <f ca="1"/>
        <v>0.89307500357064784</v>
      </c>
      <c r="O35">
        <f ca="1"/>
        <v>0</v>
      </c>
      <c r="P35">
        <f ca="1"/>
        <v>0</v>
      </c>
      <c r="Q35">
        <f ca="1"/>
        <v>0</v>
      </c>
      <c r="R35">
        <f ca="1"/>
        <v>1.1379175265286086</v>
      </c>
      <c r="S35">
        <f ca="1"/>
        <v>1</v>
      </c>
      <c r="T35">
        <f ca="1"/>
        <v>2.6400000000000006</v>
      </c>
      <c r="U35">
        <f ca="1"/>
        <v>0</v>
      </c>
      <c r="V35">
        <f ca="1"/>
        <v>0</v>
      </c>
      <c r="X35" s="2">
        <f t="shared" ca="1" si="1"/>
        <v>45422</v>
      </c>
      <c r="Y35">
        <f t="shared" ca="1" si="2"/>
        <v>0</v>
      </c>
      <c r="AA35" s="63">
        <f t="shared" ca="1" si="4"/>
        <v>79.403776109536963</v>
      </c>
      <c r="AB35" s="63">
        <f t="shared" ca="1" si="5"/>
        <v>79.403776109536963</v>
      </c>
      <c r="AC35" s="3">
        <f t="shared" ca="1" si="6"/>
        <v>0</v>
      </c>
    </row>
    <row r="36" spans="1:29">
      <c r="A36" s="9" t="s">
        <v>164</v>
      </c>
      <c r="B36" s="10" t="str">
        <f>CurrentResidueRemoval</f>
        <v>None removed</v>
      </c>
      <c r="H36" t="b">
        <f t="shared" ca="1" si="3"/>
        <v>1</v>
      </c>
      <c r="I36" t="b">
        <f t="shared" ca="1" si="0"/>
        <v>1</v>
      </c>
      <c r="J36" s="2">
        <f ca="1"/>
        <v>45423</v>
      </c>
      <c r="K36">
        <f ca="1"/>
        <v>77.758617133033667</v>
      </c>
      <c r="L36">
        <f ca="1"/>
        <v>0</v>
      </c>
      <c r="M36">
        <f ca="1"/>
        <v>0.67763796348884497</v>
      </c>
      <c r="N36" s="4">
        <f ca="1"/>
        <v>0.9306057471470609</v>
      </c>
      <c r="O36">
        <f ca="1"/>
        <v>0</v>
      </c>
      <c r="P36">
        <f ca="1"/>
        <v>0</v>
      </c>
      <c r="Q36">
        <f ca="1"/>
        <v>0</v>
      </c>
      <c r="R36">
        <f ca="1"/>
        <v>2.1154851606105907</v>
      </c>
      <c r="S36">
        <f ca="1"/>
        <v>1</v>
      </c>
      <c r="T36">
        <f ca="1"/>
        <v>4.9399999999999977</v>
      </c>
      <c r="U36">
        <f ca="1"/>
        <v>0</v>
      </c>
      <c r="V36">
        <f ca="1"/>
        <v>0</v>
      </c>
      <c r="X36" s="2">
        <f t="shared" ca="1" si="1"/>
        <v>45423</v>
      </c>
      <c r="Y36">
        <f t="shared" ca="1" si="2"/>
        <v>0</v>
      </c>
      <c r="AA36" s="63">
        <f t="shared" ca="1" si="4"/>
        <v>79.874102293644256</v>
      </c>
      <c r="AB36" s="63">
        <f t="shared" ca="1" si="5"/>
        <v>79.874102293644256</v>
      </c>
      <c r="AC36" s="3">
        <f t="shared" ca="1" si="6"/>
        <v>0</v>
      </c>
    </row>
    <row r="37" spans="1:29" ht="15" thickBot="1">
      <c r="A37" s="9" t="s">
        <v>167</v>
      </c>
      <c r="B37" s="10" t="str">
        <f>CurrentResidueIncorporation</f>
        <v>Full (Plough)</v>
      </c>
      <c r="H37" t="b">
        <f t="shared" ca="1" si="3"/>
        <v>1</v>
      </c>
      <c r="I37" t="b">
        <f t="shared" ca="1" si="0"/>
        <v>1</v>
      </c>
      <c r="J37" s="2">
        <f ca="1"/>
        <v>45424</v>
      </c>
      <c r="K37">
        <f ca="1"/>
        <v>77.636441513100038</v>
      </c>
      <c r="L37">
        <f ca="1"/>
        <v>0</v>
      </c>
      <c r="M37">
        <f ca="1"/>
        <v>0.63877797464712138</v>
      </c>
      <c r="N37">
        <f ca="1"/>
        <v>0.8766127384361353</v>
      </c>
      <c r="O37">
        <f ca="1"/>
        <v>0</v>
      </c>
      <c r="P37">
        <f ca="1"/>
        <v>0</v>
      </c>
      <c r="Q37">
        <f ca="1"/>
        <v>0</v>
      </c>
      <c r="R37">
        <f ca="1"/>
        <v>1.6375663330168948</v>
      </c>
      <c r="S37">
        <f ca="1"/>
        <v>1</v>
      </c>
      <c r="T37">
        <f ca="1"/>
        <v>3.8299999999999983</v>
      </c>
      <c r="U37">
        <f ca="1"/>
        <v>0</v>
      </c>
      <c r="V37">
        <f ca="1"/>
        <v>0</v>
      </c>
      <c r="X37" s="2">
        <f t="shared" ca="1" si="1"/>
        <v>45424</v>
      </c>
      <c r="Y37">
        <f t="shared" ca="1" si="2"/>
        <v>0</v>
      </c>
      <c r="AA37" s="63">
        <f t="shared" ca="1" si="4"/>
        <v>79.27400784611693</v>
      </c>
      <c r="AB37" s="63">
        <f t="shared" ca="1" si="5"/>
        <v>79.27400784611693</v>
      </c>
      <c r="AC37" s="3">
        <f t="shared" ca="1" si="6"/>
        <v>0</v>
      </c>
    </row>
    <row r="38" spans="1:29">
      <c r="A38" s="5" t="s">
        <v>142</v>
      </c>
      <c r="B38" s="31" t="str">
        <f>FollowingCropFullName</f>
        <v>Oat Fodder General</v>
      </c>
      <c r="H38" t="b">
        <f t="shared" ca="1" si="3"/>
        <v>1</v>
      </c>
      <c r="I38" t="b">
        <f t="shared" ca="1" si="0"/>
        <v>1</v>
      </c>
      <c r="J38" s="2">
        <f ca="1"/>
        <v>45425</v>
      </c>
      <c r="K38">
        <f ca="1"/>
        <v>77.584758249500197</v>
      </c>
      <c r="L38">
        <f ca="1"/>
        <v>0</v>
      </c>
      <c r="M38">
        <f ca="1"/>
        <v>0.63548892783665067</v>
      </c>
      <c r="N38">
        <f ca="1"/>
        <v>0.88521224242005803</v>
      </c>
      <c r="O38">
        <f ca="1"/>
        <v>0</v>
      </c>
      <c r="P38">
        <f ca="1"/>
        <v>0</v>
      </c>
      <c r="Q38">
        <f ca="1"/>
        <v>0</v>
      </c>
      <c r="R38">
        <f ca="1"/>
        <v>1.5723844338565403</v>
      </c>
      <c r="S38">
        <f ca="1"/>
        <v>1</v>
      </c>
      <c r="T38">
        <f ca="1"/>
        <v>3.6800000000000068</v>
      </c>
      <c r="U38">
        <f ca="1"/>
        <v>0</v>
      </c>
      <c r="V38">
        <f ca="1"/>
        <v>0</v>
      </c>
      <c r="X38" s="2">
        <f t="shared" ca="1" si="1"/>
        <v>45425</v>
      </c>
      <c r="Y38">
        <f t="shared" ca="1" si="2"/>
        <v>0</v>
      </c>
      <c r="AA38" s="63">
        <f t="shared" ca="1" si="4"/>
        <v>79.157142683356739</v>
      </c>
      <c r="AB38" s="63">
        <f t="shared" ca="1" si="5"/>
        <v>79.157142683356739</v>
      </c>
      <c r="AC38" s="3">
        <f t="shared" ca="1" si="6"/>
        <v>0</v>
      </c>
    </row>
    <row r="39" spans="1:29">
      <c r="A39" s="6" t="s">
        <v>238</v>
      </c>
      <c r="B39" s="32">
        <f>FollowingYIeld</f>
        <v>10</v>
      </c>
      <c r="H39" t="b">
        <f t="shared" ca="1" si="3"/>
        <v>1</v>
      </c>
      <c r="I39" t="b">
        <f t="shared" ca="1" si="0"/>
        <v>1</v>
      </c>
      <c r="J39" s="2">
        <f ca="1"/>
        <v>45426</v>
      </c>
      <c r="K39">
        <f ca="1"/>
        <v>75.970701523559029</v>
      </c>
      <c r="L39">
        <f ca="1"/>
        <v>0</v>
      </c>
      <c r="M39">
        <f ca="1"/>
        <v>0.64734554398337707</v>
      </c>
      <c r="N39">
        <f ca="1"/>
        <v>0.92254084117440827</v>
      </c>
      <c r="O39">
        <f ca="1"/>
        <v>0</v>
      </c>
      <c r="P39">
        <f ca="1"/>
        <v>0</v>
      </c>
      <c r="Q39">
        <f ca="1"/>
        <v>0</v>
      </c>
      <c r="R39">
        <f ca="1"/>
        <v>3.183943111098956</v>
      </c>
      <c r="S39">
        <f ca="1"/>
        <v>1</v>
      </c>
      <c r="T39">
        <f ca="1"/>
        <v>7.6099999999999994</v>
      </c>
      <c r="U39">
        <f ca="1"/>
        <v>0</v>
      </c>
      <c r="V39">
        <f ca="1"/>
        <v>0</v>
      </c>
      <c r="X39" s="2">
        <f t="shared" ca="1" si="1"/>
        <v>45426</v>
      </c>
      <c r="Y39">
        <f t="shared" ca="1" si="2"/>
        <v>0</v>
      </c>
      <c r="AA39" s="63">
        <f t="shared" ca="1" si="4"/>
        <v>79.154644634657984</v>
      </c>
      <c r="AB39" s="63">
        <f t="shared" ca="1" si="5"/>
        <v>79.154644634657984</v>
      </c>
      <c r="AC39" s="3">
        <f t="shared" ca="1" si="6"/>
        <v>0</v>
      </c>
    </row>
    <row r="40" spans="1:29">
      <c r="A40" s="6" t="s">
        <v>233</v>
      </c>
      <c r="B40" s="32">
        <f>FollowingPopulation</f>
        <v>1</v>
      </c>
      <c r="H40" t="b">
        <f t="shared" ca="1" si="3"/>
        <v>1</v>
      </c>
      <c r="I40" t="b">
        <f t="shared" ca="1" si="0"/>
        <v>1</v>
      </c>
      <c r="J40" s="2">
        <f ca="1"/>
        <v>45427</v>
      </c>
      <c r="K40">
        <f ca="1"/>
        <v>75.939358052223241</v>
      </c>
      <c r="L40">
        <f ca="1"/>
        <v>0</v>
      </c>
      <c r="M40">
        <f ca="1"/>
        <v>0.61172858446769141</v>
      </c>
      <c r="N40">
        <f ca="1"/>
        <v>0.87505476299706531</v>
      </c>
      <c r="O40">
        <f ca="1"/>
        <v>0</v>
      </c>
      <c r="P40">
        <f ca="1"/>
        <v>0</v>
      </c>
      <c r="Q40">
        <f ca="1"/>
        <v>0</v>
      </c>
      <c r="R40">
        <f ca="1"/>
        <v>1.5181268188005366</v>
      </c>
      <c r="S40">
        <f ca="1"/>
        <v>1</v>
      </c>
      <c r="T40">
        <f ca="1"/>
        <v>3.6300000000000097</v>
      </c>
      <c r="U40">
        <f ca="1"/>
        <v>0</v>
      </c>
      <c r="V40">
        <f ca="1"/>
        <v>0</v>
      </c>
      <c r="X40" s="2">
        <f t="shared" ca="1" si="1"/>
        <v>45427</v>
      </c>
      <c r="Y40">
        <f t="shared" ca="1" si="2"/>
        <v>0</v>
      </c>
      <c r="AA40" s="63">
        <f t="shared" ca="1" si="4"/>
        <v>77.457484871023794</v>
      </c>
      <c r="AB40" s="63">
        <f t="shared" ca="1" si="5"/>
        <v>77.45748487102378</v>
      </c>
      <c r="AC40" s="3">
        <f t="shared" ca="1" si="6"/>
        <v>0</v>
      </c>
    </row>
    <row r="41" spans="1:29">
      <c r="A41" s="6" t="s">
        <v>234</v>
      </c>
      <c r="B41" s="32" t="str">
        <f>FollowingUnits</f>
        <v>t/ha</v>
      </c>
      <c r="H41" t="b">
        <f t="shared" ca="1" si="3"/>
        <v>1</v>
      </c>
      <c r="I41" t="b">
        <f t="shared" ca="1" si="0"/>
        <v>1</v>
      </c>
      <c r="J41" s="2">
        <f ca="1"/>
        <v>45428</v>
      </c>
      <c r="K41">
        <f ca="1"/>
        <v>76.329863317163984</v>
      </c>
      <c r="L41">
        <f ca="1"/>
        <v>0</v>
      </c>
      <c r="M41">
        <f ca="1"/>
        <v>0.57673707931906648</v>
      </c>
      <c r="N41">
        <f ca="1"/>
        <v>0.82685353092399017</v>
      </c>
      <c r="O41">
        <f ca="1"/>
        <v>0</v>
      </c>
      <c r="P41">
        <f ca="1"/>
        <v>0</v>
      </c>
      <c r="Q41">
        <f ca="1"/>
        <v>0</v>
      </c>
      <c r="R41">
        <f ca="1"/>
        <v>1.0130853453022997</v>
      </c>
      <c r="S41">
        <f ca="1"/>
        <v>1</v>
      </c>
      <c r="T41">
        <f ca="1"/>
        <v>2.4099999999999966</v>
      </c>
      <c r="U41">
        <f ca="1"/>
        <v>0</v>
      </c>
      <c r="V41">
        <f ca="1"/>
        <v>0</v>
      </c>
      <c r="X41" s="2">
        <f t="shared" ca="1" si="1"/>
        <v>45428</v>
      </c>
      <c r="Y41">
        <f t="shared" ca="1" si="2"/>
        <v>0</v>
      </c>
      <c r="AA41" s="63">
        <f t="shared" ca="1" si="4"/>
        <v>77.342948662466284</v>
      </c>
      <c r="AB41" s="63">
        <f t="shared" ca="1" si="5"/>
        <v>77.342948662466284</v>
      </c>
      <c r="AC41" s="3">
        <f t="shared" ca="1" si="6"/>
        <v>0</v>
      </c>
    </row>
    <row r="42" spans="1:29">
      <c r="A42" s="6" t="s">
        <v>127</v>
      </c>
      <c r="B42" s="32">
        <f>FollowingFieldLoss</f>
        <v>0</v>
      </c>
      <c r="H42" t="b">
        <f t="shared" ca="1" si="3"/>
        <v>1</v>
      </c>
      <c r="I42" t="b">
        <f t="shared" ca="1" si="0"/>
        <v>1</v>
      </c>
      <c r="J42" s="2">
        <f ca="1"/>
        <v>45429</v>
      </c>
      <c r="K42">
        <f ca="1"/>
        <v>77.105023566549463</v>
      </c>
      <c r="L42">
        <f ca="1"/>
        <v>0</v>
      </c>
      <c r="M42">
        <f ca="1"/>
        <v>0.54332578521469088</v>
      </c>
      <c r="N42">
        <f ca="1"/>
        <v>0.77961537072619613</v>
      </c>
      <c r="O42">
        <f ca="1"/>
        <v>0</v>
      </c>
      <c r="P42">
        <f ca="1"/>
        <v>0</v>
      </c>
      <c r="Q42">
        <f ca="1"/>
        <v>0</v>
      </c>
      <c r="R42">
        <f ca="1"/>
        <v>0.5477809065554019</v>
      </c>
      <c r="S42">
        <f ca="1"/>
        <v>1</v>
      </c>
      <c r="T42">
        <f ca="1"/>
        <v>1.2900000000000063</v>
      </c>
      <c r="U42">
        <f ca="1"/>
        <v>0</v>
      </c>
      <c r="V42">
        <f ca="1"/>
        <v>0</v>
      </c>
      <c r="X42" s="2">
        <f t="shared" ca="1" si="1"/>
        <v>45429</v>
      </c>
      <c r="Y42">
        <f t="shared" ca="1" si="2"/>
        <v>0</v>
      </c>
      <c r="AA42" s="63">
        <f t="shared" ca="1" si="4"/>
        <v>77.652804473104865</v>
      </c>
      <c r="AB42" s="63">
        <f t="shared" ca="1" si="5"/>
        <v>77.652804473104865</v>
      </c>
      <c r="AC42" s="3">
        <f t="shared" ca="1" si="6"/>
        <v>0</v>
      </c>
    </row>
    <row r="43" spans="1:29">
      <c r="A43" s="6" t="s">
        <v>128</v>
      </c>
      <c r="B43" s="32">
        <f>FollowingDressingLoss</f>
        <v>0</v>
      </c>
      <c r="H43" t="b">
        <f t="shared" ca="1" si="3"/>
        <v>1</v>
      </c>
      <c r="I43" t="b">
        <f t="shared" ca="1" si="0"/>
        <v>1</v>
      </c>
      <c r="J43" s="2">
        <f ca="1"/>
        <v>45430</v>
      </c>
      <c r="K43">
        <f ca="1"/>
        <v>78.001557379529103</v>
      </c>
      <c r="L43">
        <f ca="1"/>
        <v>0</v>
      </c>
      <c r="M43">
        <f ca="1"/>
        <v>0.54604406867446542</v>
      </c>
      <c r="N43">
        <f ca="1"/>
        <v>0.80154222828245403</v>
      </c>
      <c r="O43">
        <f ca="1"/>
        <v>0</v>
      </c>
      <c r="P43">
        <f ca="1"/>
        <v>0</v>
      </c>
      <c r="Q43">
        <f ca="1"/>
        <v>0</v>
      </c>
      <c r="R43">
        <f ca="1"/>
        <v>0.45105248397727582</v>
      </c>
      <c r="S43">
        <f ca="1"/>
        <v>1</v>
      </c>
      <c r="T43">
        <f ca="1"/>
        <v>1.0499999999999972</v>
      </c>
      <c r="U43">
        <f ca="1"/>
        <v>0</v>
      </c>
      <c r="V43">
        <f ca="1"/>
        <v>0</v>
      </c>
      <c r="X43" s="2">
        <f t="shared" ca="1" si="1"/>
        <v>45430</v>
      </c>
      <c r="Y43">
        <f t="shared" ca="1" si="2"/>
        <v>0</v>
      </c>
      <c r="AA43" s="63">
        <f t="shared" ca="1" si="4"/>
        <v>78.452609863506382</v>
      </c>
      <c r="AB43" s="63">
        <f t="shared" ca="1" si="5"/>
        <v>78.452609863506382</v>
      </c>
      <c r="AC43" s="3">
        <f t="shared" ca="1" si="6"/>
        <v>0</v>
      </c>
    </row>
    <row r="44" spans="1:29">
      <c r="A44" s="6" t="s">
        <v>129</v>
      </c>
      <c r="B44" s="32">
        <f>FollowingMoistureLoss</f>
        <v>0</v>
      </c>
      <c r="H44" t="b">
        <f t="shared" ca="1" si="3"/>
        <v>1</v>
      </c>
      <c r="I44" t="b">
        <f t="shared" ca="1" si="0"/>
        <v>1</v>
      </c>
      <c r="J44" s="2">
        <f ca="1"/>
        <v>45431</v>
      </c>
      <c r="K44">
        <f ca="1"/>
        <v>79.324729120106781</v>
      </c>
      <c r="L44">
        <f ca="1"/>
        <v>0</v>
      </c>
      <c r="M44">
        <f ca="1"/>
        <v>0.53190939217608957</v>
      </c>
      <c r="N44">
        <f ca="1"/>
        <v>0.7912623484015936</v>
      </c>
      <c r="O44">
        <f ca="1"/>
        <v>0</v>
      </c>
      <c r="P44">
        <f ca="1"/>
        <v>0</v>
      </c>
      <c r="Q44">
        <f ca="1"/>
        <v>0</v>
      </c>
      <c r="R44">
        <f ca="1"/>
        <v>0</v>
      </c>
      <c r="S44">
        <f ca="1"/>
        <v>0.98623188405797102</v>
      </c>
      <c r="T44">
        <f ca="1"/>
        <v>0</v>
      </c>
      <c r="U44">
        <f ca="1"/>
        <v>0</v>
      </c>
      <c r="V44">
        <f ca="1"/>
        <v>0</v>
      </c>
      <c r="X44" s="2">
        <f t="shared" ca="1" si="1"/>
        <v>45431</v>
      </c>
      <c r="Y44">
        <f t="shared" ca="1" si="2"/>
        <v>0</v>
      </c>
      <c r="AA44" s="63">
        <f t="shared" ca="1" si="4"/>
        <v>79.324729120106781</v>
      </c>
      <c r="AB44" s="63">
        <f t="shared" ca="1" si="5"/>
        <v>79.324729120106781</v>
      </c>
      <c r="AC44" s="3">
        <f t="shared" ca="1" si="6"/>
        <v>0</v>
      </c>
    </row>
    <row r="45" spans="1:29">
      <c r="A45" s="6" t="s">
        <v>130</v>
      </c>
      <c r="B45" s="34">
        <f ca="1">FollowingEstablishDate</f>
        <v>45576</v>
      </c>
      <c r="H45" t="b">
        <f t="shared" ca="1" si="3"/>
        <v>1</v>
      </c>
      <c r="I45" t="b">
        <f t="array" aca="1" ref="I45" ca="1">AND(IF(J45&gt;($J$3-1),TRUE,FALSE),IF(J45&lt;($J$4+1),TRUE,FALSE))</f>
        <v>1</v>
      </c>
      <c r="J45" s="2">
        <f ca="1"/>
        <v>45432</v>
      </c>
      <c r="K45">
        <f ca="1"/>
        <v>80.620590489551248</v>
      </c>
      <c r="L45">
        <f ca="1"/>
        <v>0</v>
      </c>
      <c r="M45">
        <f ca="1"/>
        <v>0.51756104356363863</v>
      </c>
      <c r="N45">
        <f ca="1"/>
        <v>0.78034014027493936</v>
      </c>
      <c r="O45">
        <f ca="1"/>
        <v>0</v>
      </c>
      <c r="P45">
        <f ca="1"/>
        <v>0</v>
      </c>
      <c r="Q45">
        <f ca="1"/>
        <v>0</v>
      </c>
      <c r="R45">
        <f ca="1"/>
        <v>2.0398143941103499E-3</v>
      </c>
      <c r="S45">
        <f ca="1"/>
        <v>1</v>
      </c>
      <c r="T45">
        <f ca="1"/>
        <v>4.5942028985450634E-3</v>
      </c>
      <c r="U45">
        <f ca="1"/>
        <v>0</v>
      </c>
      <c r="V45">
        <f ca="1"/>
        <v>0</v>
      </c>
      <c r="X45" s="2">
        <f t="shared" ca="1" si="1"/>
        <v>45432</v>
      </c>
      <c r="Y45">
        <f t="shared" ca="1" si="2"/>
        <v>0</v>
      </c>
      <c r="AA45" s="63">
        <f t="shared" ca="1" si="4"/>
        <v>80.622630303945357</v>
      </c>
      <c r="AB45" s="63">
        <f t="shared" ca="1" si="5"/>
        <v>80.622630303945357</v>
      </c>
      <c r="AC45" s="3">
        <f t="shared" ca="1" si="6"/>
        <v>0</v>
      </c>
    </row>
    <row r="46" spans="1:29">
      <c r="A46" s="6" t="s">
        <v>131</v>
      </c>
      <c r="B46" s="32" t="str">
        <f>FollowingEstablishStage</f>
        <v>Seed</v>
      </c>
      <c r="H46" t="b">
        <f t="shared" ca="1" si="3"/>
        <v>1</v>
      </c>
      <c r="I46" t="b">
        <f t="shared" ca="1" si="0"/>
        <v>1</v>
      </c>
      <c r="J46" s="2">
        <f ca="1"/>
        <v>45433</v>
      </c>
      <c r="K46">
        <f ca="1"/>
        <v>80.950197431170523</v>
      </c>
      <c r="L46">
        <f ca="1"/>
        <v>0</v>
      </c>
      <c r="M46">
        <f ca="1"/>
        <v>0.4606973997074455</v>
      </c>
      <c r="N46">
        <f ca="1"/>
        <v>0.68028862225092768</v>
      </c>
      <c r="O46">
        <f ca="1"/>
        <v>0</v>
      </c>
      <c r="P46">
        <f ca="1"/>
        <v>0</v>
      </c>
      <c r="Q46">
        <f ca="1"/>
        <v>0</v>
      </c>
      <c r="R46">
        <f ca="1"/>
        <v>0.811379080339098</v>
      </c>
      <c r="S46">
        <f ca="1"/>
        <v>1</v>
      </c>
      <c r="T46">
        <f ca="1"/>
        <v>1.8200000000000074</v>
      </c>
      <c r="U46">
        <f ca="1"/>
        <v>0</v>
      </c>
      <c r="V46">
        <f ca="1"/>
        <v>0</v>
      </c>
      <c r="X46" s="2">
        <f t="shared" ca="1" si="1"/>
        <v>45433</v>
      </c>
      <c r="Y46">
        <f t="shared" ca="1" si="2"/>
        <v>0</v>
      </c>
      <c r="AA46" s="63">
        <f t="shared" ca="1" si="4"/>
        <v>81.761576511509617</v>
      </c>
      <c r="AB46" s="63">
        <f t="shared" ca="1" si="5"/>
        <v>81.761576511509617</v>
      </c>
      <c r="AC46" s="3">
        <f t="shared" ca="1" si="6"/>
        <v>0</v>
      </c>
    </row>
    <row r="47" spans="1:29">
      <c r="A47" s="6" t="s">
        <v>132</v>
      </c>
      <c r="B47" s="34">
        <f ca="1">FollowingHarvestDate</f>
        <v>45696</v>
      </c>
      <c r="H47" t="b">
        <f t="shared" ca="1" si="3"/>
        <v>1</v>
      </c>
      <c r="I47" t="b">
        <f t="shared" ca="1" si="0"/>
        <v>1</v>
      </c>
      <c r="J47" s="2">
        <f ca="1"/>
        <v>45434</v>
      </c>
      <c r="K47">
        <f ca="1"/>
        <v>81.312025928408275</v>
      </c>
      <c r="L47">
        <f ca="1"/>
        <v>0</v>
      </c>
      <c r="M47">
        <f ca="1"/>
        <v>0.47141099600213465</v>
      </c>
      <c r="N47">
        <f ca="1"/>
        <v>0.71885741757866928</v>
      </c>
      <c r="O47">
        <f ca="1"/>
        <v>0</v>
      </c>
      <c r="P47">
        <f ca="1"/>
        <v>0</v>
      </c>
      <c r="Q47">
        <f ca="1"/>
        <v>0</v>
      </c>
      <c r="R47">
        <f ca="1"/>
        <v>0.82843991634305592</v>
      </c>
      <c r="S47">
        <f ca="1"/>
        <v>1</v>
      </c>
      <c r="T47">
        <f ca="1"/>
        <v>1.8499999999999943</v>
      </c>
      <c r="U47">
        <f ca="1"/>
        <v>0</v>
      </c>
      <c r="V47">
        <f ca="1"/>
        <v>0</v>
      </c>
      <c r="X47" s="2">
        <f t="shared" ca="1" si="1"/>
        <v>45434</v>
      </c>
      <c r="Y47">
        <f t="shared" ca="1" si="2"/>
        <v>0</v>
      </c>
      <c r="AA47" s="63">
        <f t="shared" ca="1" si="4"/>
        <v>82.140465844751333</v>
      </c>
      <c r="AB47" s="63">
        <f t="shared" ca="1" si="5"/>
        <v>82.140465844751333</v>
      </c>
      <c r="AC47" s="3">
        <f t="shared" ca="1" si="6"/>
        <v>0</v>
      </c>
    </row>
    <row r="48" spans="1:29">
      <c r="A48" s="6" t="s">
        <v>133</v>
      </c>
      <c r="B48" s="32" t="str">
        <f>FollowingHarvestStage</f>
        <v>EarlyReproductive</v>
      </c>
      <c r="H48" t="b">
        <f t="shared" ca="1" si="3"/>
        <v>1</v>
      </c>
      <c r="I48" t="b">
        <f t="shared" ca="1" si="0"/>
        <v>1</v>
      </c>
      <c r="J48" s="2">
        <f ca="1"/>
        <v>45435</v>
      </c>
      <c r="K48">
        <f ca="1"/>
        <v>80.45381491883694</v>
      </c>
      <c r="L48">
        <f ca="1"/>
        <v>0</v>
      </c>
      <c r="M48">
        <f ca="1"/>
        <v>0.47103567976131444</v>
      </c>
      <c r="N48">
        <f ca="1"/>
        <v>0.73550136078731698</v>
      </c>
      <c r="O48">
        <f ca="1"/>
        <v>0</v>
      </c>
      <c r="P48">
        <f ca="1"/>
        <v>0</v>
      </c>
      <c r="Q48">
        <f ca="1"/>
        <v>0</v>
      </c>
      <c r="R48">
        <f ca="1"/>
        <v>2.0647480501199538</v>
      </c>
      <c r="S48">
        <f ca="1"/>
        <v>1</v>
      </c>
      <c r="T48">
        <f ca="1"/>
        <v>4.6600000000000108</v>
      </c>
      <c r="U48">
        <f ca="1"/>
        <v>0</v>
      </c>
      <c r="V48">
        <f ca="1"/>
        <v>0</v>
      </c>
      <c r="X48" s="2">
        <f t="shared" ca="1" si="1"/>
        <v>45435</v>
      </c>
      <c r="Y48">
        <f t="shared" ca="1" si="2"/>
        <v>0</v>
      </c>
      <c r="AA48" s="63">
        <f t="shared" ca="1" si="4"/>
        <v>82.5185629689569</v>
      </c>
      <c r="AB48" s="63">
        <f t="shared" ca="1" si="5"/>
        <v>82.5185629689569</v>
      </c>
      <c r="AC48" s="3">
        <f t="shared" ca="1" si="6"/>
        <v>0</v>
      </c>
    </row>
    <row r="49" spans="1:29" ht="15" thickBot="1">
      <c r="A49" s="7" t="s">
        <v>165</v>
      </c>
      <c r="B49" s="33" t="str">
        <f>FollowingResidueRemoval</f>
        <v>None removed</v>
      </c>
      <c r="H49" t="b">
        <f t="shared" ca="1" si="3"/>
        <v>1</v>
      </c>
      <c r="I49" t="b">
        <f t="shared" ca="1" si="0"/>
        <v>1</v>
      </c>
      <c r="J49" s="2">
        <f ca="1"/>
        <v>45436</v>
      </c>
      <c r="K49">
        <f ca="1"/>
        <v>80.662326477325195</v>
      </c>
      <c r="L49">
        <f ca="1"/>
        <v>0</v>
      </c>
      <c r="M49">
        <f ca="1"/>
        <v>0.45600232053095624</v>
      </c>
      <c r="N49">
        <f ca="1"/>
        <v>0.72092476337492706</v>
      </c>
      <c r="O49">
        <f ca="1"/>
        <v>0</v>
      </c>
      <c r="P49">
        <f ca="1"/>
        <v>2.53772215382789</v>
      </c>
      <c r="Q49">
        <f ca="1"/>
        <v>2.2864351940908523</v>
      </c>
      <c r="R49">
        <f ca="1"/>
        <v>0.9684155254176291</v>
      </c>
      <c r="S49">
        <f ca="1"/>
        <v>1</v>
      </c>
      <c r="T49">
        <f ca="1"/>
        <v>2.1800000000000068</v>
      </c>
      <c r="U49">
        <f ca="1"/>
        <v>0</v>
      </c>
      <c r="V49">
        <f ca="1"/>
        <v>9.6360663176434016E-3</v>
      </c>
      <c r="X49" s="2">
        <f t="shared" ca="1" si="1"/>
        <v>45436</v>
      </c>
      <c r="Y49">
        <f t="shared" ca="1" si="2"/>
        <v>0</v>
      </c>
      <c r="AA49" s="63">
        <f t="shared" ca="1" si="4"/>
        <v>81.630742002742821</v>
      </c>
      <c r="AB49" s="63">
        <f t="shared" ca="1" si="5"/>
        <v>81.630742002742821</v>
      </c>
      <c r="AC49" s="3">
        <f t="shared" ca="1" si="6"/>
        <v>0</v>
      </c>
    </row>
    <row r="50" spans="1:29">
      <c r="A50" s="6" t="s">
        <v>168</v>
      </c>
      <c r="B50" t="str">
        <f>FollowingResidueIncorporation</f>
        <v>Full (Plough)</v>
      </c>
      <c r="H50" t="b">
        <f t="shared" ca="1" si="3"/>
        <v>1</v>
      </c>
      <c r="I50" t="b">
        <f t="shared" ca="1" si="0"/>
        <v>1</v>
      </c>
      <c r="J50" s="2">
        <f ca="1"/>
        <v>45437</v>
      </c>
      <c r="K50">
        <f ca="1"/>
        <v>79.284214133109998</v>
      </c>
      <c r="L50">
        <f ca="1"/>
        <v>0.35266716874957016</v>
      </c>
      <c r="M50">
        <f ca="1"/>
        <v>0.46058452995261234</v>
      </c>
      <c r="N50">
        <f ca="1"/>
        <v>0.7495553238191357</v>
      </c>
      <c r="O50">
        <f ca="1"/>
        <v>0</v>
      </c>
      <c r="P50">
        <f ca="1"/>
        <v>2.8903893225774602</v>
      </c>
      <c r="Q50">
        <f ca="1"/>
        <v>2.6041810218652195</v>
      </c>
      <c r="R50">
        <f ca="1"/>
        <v>2.235585029237376</v>
      </c>
      <c r="S50">
        <f ca="1"/>
        <v>1</v>
      </c>
      <c r="T50">
        <f ca="1"/>
        <v>5.1200000000000045</v>
      </c>
      <c r="U50">
        <f ca="1"/>
        <v>0</v>
      </c>
      <c r="V50">
        <f ca="1"/>
        <v>1.4216832801880543E-2</v>
      </c>
      <c r="X50" s="2">
        <f t="shared" ca="1" si="1"/>
        <v>45437</v>
      </c>
      <c r="Y50">
        <f t="shared" ca="1" si="2"/>
        <v>0</v>
      </c>
      <c r="AA50" s="63">
        <f t="shared" ca="1" si="4"/>
        <v>81.872466331096945</v>
      </c>
      <c r="AB50" s="63">
        <f t="shared" ca="1" si="5"/>
        <v>81.872466331096945</v>
      </c>
      <c r="AC50" s="3">
        <f t="shared" ca="1" si="6"/>
        <v>0</v>
      </c>
    </row>
    <row r="51" spans="1:29">
      <c r="A51" s="12"/>
      <c r="B51" s="13"/>
      <c r="H51" t="b">
        <f t="shared" ca="1" si="3"/>
        <v>1</v>
      </c>
      <c r="I51" t="b">
        <f t="shared" ca="1" si="0"/>
        <v>1</v>
      </c>
      <c r="J51" s="2">
        <f ca="1"/>
        <v>45438</v>
      </c>
      <c r="K51">
        <f ca="1"/>
        <v>79.318538480775715</v>
      </c>
      <c r="L51">
        <f ca="1"/>
        <v>0.35925670280476751</v>
      </c>
      <c r="M51">
        <f ca="1"/>
        <v>0.43334149958441515</v>
      </c>
      <c r="N51">
        <f ca="1"/>
        <v>0.70721326544850838</v>
      </c>
      <c r="O51">
        <f ca="1"/>
        <v>0</v>
      </c>
      <c r="P51">
        <f ca="1"/>
        <v>3.2496460253822277</v>
      </c>
      <c r="Q51">
        <f ca="1"/>
        <v>2.9278638835870345</v>
      </c>
      <c r="R51">
        <f ca="1"/>
        <v>0.74697371456243278</v>
      </c>
      <c r="S51">
        <f ca="1"/>
        <v>1</v>
      </c>
      <c r="T51">
        <f ca="1"/>
        <v>1.7099999999999937</v>
      </c>
      <c r="U51">
        <f ca="1"/>
        <v>0</v>
      </c>
      <c r="V51">
        <f ca="1"/>
        <v>2.0147822467962581E-2</v>
      </c>
      <c r="X51" s="2">
        <f t="shared" ca="1" si="1"/>
        <v>45438</v>
      </c>
      <c r="Y51">
        <f t="shared" ca="1" si="2"/>
        <v>0</v>
      </c>
      <c r="AA51" s="63">
        <f t="shared" ca="1" si="4"/>
        <v>80.424768898142915</v>
      </c>
      <c r="AB51" s="63">
        <f t="shared" ca="1" si="5"/>
        <v>80.424768898142915</v>
      </c>
      <c r="AC51" s="3">
        <f t="shared" ca="1" si="6"/>
        <v>0</v>
      </c>
    </row>
    <row r="52" spans="1:29" ht="15" thickBot="1">
      <c r="A52" s="14"/>
      <c r="B52" s="15"/>
      <c r="H52" t="b">
        <f t="shared" ca="1" si="3"/>
        <v>1</v>
      </c>
      <c r="I52" t="b">
        <f t="shared" ca="1" si="0"/>
        <v>1</v>
      </c>
      <c r="J52" s="2">
        <f ca="1"/>
        <v>45439</v>
      </c>
      <c r="K52">
        <f ca="1"/>
        <v>79.269165401823514</v>
      </c>
      <c r="L52">
        <f ca="1"/>
        <v>0.38124372288316044</v>
      </c>
      <c r="M52">
        <f ca="1"/>
        <v>0.4169458527503167</v>
      </c>
      <c r="N52">
        <f ca="1"/>
        <v>0.68762682957579846</v>
      </c>
      <c r="O52">
        <f ca="1"/>
        <v>0</v>
      </c>
      <c r="P52">
        <f ca="1"/>
        <v>3.6308897482653881</v>
      </c>
      <c r="Q52">
        <f ca="1"/>
        <v>3.2713565958256163</v>
      </c>
      <c r="R52">
        <f ca="1"/>
        <v>0.77270203839517104</v>
      </c>
      <c r="S52">
        <f ca="1"/>
        <v>1</v>
      </c>
      <c r="T52">
        <f ca="1"/>
        <v>1.7700000000000102</v>
      </c>
      <c r="U52">
        <f ca="1"/>
        <v>0</v>
      </c>
      <c r="V52">
        <f ca="1"/>
        <v>2.7975039775895962E-2</v>
      </c>
      <c r="X52" s="2">
        <f t="shared" ca="1" si="1"/>
        <v>45439</v>
      </c>
      <c r="Y52">
        <f t="shared" ca="1" si="2"/>
        <v>0</v>
      </c>
      <c r="AA52" s="63">
        <f t="shared" ca="1" si="4"/>
        <v>80.423111163101836</v>
      </c>
      <c r="AB52" s="63">
        <f t="shared" ca="1" si="5"/>
        <v>80.423111163101836</v>
      </c>
      <c r="AC52" s="3">
        <f t="shared" ca="1" si="6"/>
        <v>0</v>
      </c>
    </row>
    <row r="53" spans="1:29">
      <c r="H53" t="b">
        <f t="shared" ca="1" si="3"/>
        <v>1</v>
      </c>
      <c r="I53" t="b">
        <f t="shared" ca="1" si="0"/>
        <v>1</v>
      </c>
      <c r="J53" s="2">
        <f ca="1"/>
        <v>45440</v>
      </c>
      <c r="K53">
        <f ca="1"/>
        <v>79.015161115506444</v>
      </c>
      <c r="L53">
        <f ca="1"/>
        <v>0.46989707522369972</v>
      </c>
      <c r="M53">
        <f ca="1"/>
        <v>0.42413068067011039</v>
      </c>
      <c r="N53">
        <f ca="1"/>
        <v>0.72299586213697042</v>
      </c>
      <c r="O53">
        <f ca="1"/>
        <v>0</v>
      </c>
      <c r="P53">
        <f ca="1"/>
        <v>4.1007868234890879</v>
      </c>
      <c r="Q53">
        <f ca="1"/>
        <v>3.6947241456463162</v>
      </c>
      <c r="R53">
        <f ca="1"/>
        <v>0.93123375390043894</v>
      </c>
      <c r="S53">
        <f ca="1"/>
        <v>1</v>
      </c>
      <c r="T53">
        <f ca="1"/>
        <v>2.1400000000000148</v>
      </c>
      <c r="U53">
        <f ca="1"/>
        <v>0</v>
      </c>
      <c r="V53">
        <f ca="1"/>
        <v>3.9974507900826017E-2</v>
      </c>
      <c r="X53" s="2">
        <f t="shared" ca="1" si="1"/>
        <v>45440</v>
      </c>
      <c r="Y53">
        <f t="shared" ca="1" si="2"/>
        <v>0</v>
      </c>
      <c r="AA53" s="63">
        <f t="shared" ca="1" si="4"/>
        <v>80.416291944630586</v>
      </c>
      <c r="AB53" s="63">
        <f t="shared" ca="1" si="5"/>
        <v>80.416291944630586</v>
      </c>
      <c r="AC53" s="3">
        <f t="shared" ca="1" si="6"/>
        <v>0</v>
      </c>
    </row>
    <row r="54" spans="1:29">
      <c r="H54" t="b">
        <f t="shared" ca="1" si="3"/>
        <v>1</v>
      </c>
      <c r="I54" t="b">
        <f t="shared" ca="1" si="0"/>
        <v>1</v>
      </c>
      <c r="J54" s="2">
        <f ca="1"/>
        <v>45441</v>
      </c>
      <c r="K54">
        <f ca="1"/>
        <v>79.250663115042173</v>
      </c>
      <c r="L54">
        <f ca="1"/>
        <v>0.42064109560684493</v>
      </c>
      <c r="M54">
        <f ca="1"/>
        <v>0.38457493013791932</v>
      </c>
      <c r="N54">
        <f ca="1"/>
        <v>0.64691768248284565</v>
      </c>
      <c r="O54">
        <f ca="1"/>
        <v>0</v>
      </c>
      <c r="P54">
        <f ca="1"/>
        <v>4.5214279190959328</v>
      </c>
      <c r="Q54">
        <f ca="1"/>
        <v>4.07371307618219</v>
      </c>
      <c r="R54">
        <f ca="1"/>
        <v>0.37534951747819334</v>
      </c>
      <c r="S54">
        <f ca="1"/>
        <v>1</v>
      </c>
      <c r="T54">
        <f ca="1"/>
        <v>0.85999999999998522</v>
      </c>
      <c r="U54">
        <f ca="1"/>
        <v>0</v>
      </c>
      <c r="V54">
        <f ca="1"/>
        <v>5.305240615613268E-2</v>
      </c>
      <c r="X54" s="2">
        <f t="shared" ca="1" si="1"/>
        <v>45441</v>
      </c>
      <c r="Y54">
        <f t="shared" ca="1" si="2"/>
        <v>0</v>
      </c>
      <c r="AA54" s="63">
        <f t="shared" ca="1" si="4"/>
        <v>80.046653728127211</v>
      </c>
      <c r="AB54" s="63">
        <f t="shared" ca="1" si="5"/>
        <v>80.046653728127211</v>
      </c>
      <c r="AC54" s="3">
        <f t="shared" ca="1" si="6"/>
        <v>0</v>
      </c>
    </row>
    <row r="55" spans="1:29">
      <c r="H55" t="b">
        <f t="shared" ca="1" si="3"/>
        <v>1</v>
      </c>
      <c r="I55" t="b">
        <f t="shared" ca="1" si="0"/>
        <v>1</v>
      </c>
      <c r="J55" s="2">
        <f ca="1"/>
        <v>45442</v>
      </c>
      <c r="K55">
        <f ca="1"/>
        <v>78.259585970421881</v>
      </c>
      <c r="L55">
        <f ca="1"/>
        <v>0.46939824622241932</v>
      </c>
      <c r="M55">
        <f ca="1"/>
        <v>0.37911425253230746</v>
      </c>
      <c r="N55">
        <f ca="1"/>
        <v>0.65078820570080542</v>
      </c>
      <c r="O55">
        <f ca="1"/>
        <v>0</v>
      </c>
      <c r="P55">
        <f ca="1"/>
        <v>4.9908261653183521</v>
      </c>
      <c r="Q55">
        <f ca="1"/>
        <v>4.4966311913858483</v>
      </c>
      <c r="R55">
        <f ca="1"/>
        <v>1.5515813566309764</v>
      </c>
      <c r="S55">
        <f ca="1"/>
        <v>1</v>
      </c>
      <c r="T55">
        <f ca="1"/>
        <v>3.6000000000000085</v>
      </c>
      <c r="U55">
        <f ca="1"/>
        <v>0</v>
      </c>
      <c r="V55">
        <f ca="1"/>
        <v>7.0345885409351855E-2</v>
      </c>
      <c r="X55" s="2">
        <f t="shared" ca="1" si="1"/>
        <v>45442</v>
      </c>
      <c r="Y55">
        <f t="shared" ca="1" si="2"/>
        <v>0</v>
      </c>
      <c r="AA55" s="63">
        <f t="shared" ca="1" si="4"/>
        <v>80.280565573275283</v>
      </c>
      <c r="AB55" s="63">
        <f t="shared" ca="1" si="5"/>
        <v>80.280565573275283</v>
      </c>
      <c r="AC55" s="3">
        <f t="shared" ca="1" si="6"/>
        <v>0</v>
      </c>
    </row>
    <row r="56" spans="1:29">
      <c r="H56" t="b">
        <f t="shared" ca="1" si="3"/>
        <v>1</v>
      </c>
      <c r="I56" t="b">
        <f t="shared" ca="1" si="0"/>
        <v>1</v>
      </c>
      <c r="J56" s="2">
        <f ca="1"/>
        <v>45443</v>
      </c>
      <c r="K56">
        <f ca="1"/>
        <v>78.18562522010636</v>
      </c>
      <c r="L56">
        <f ca="1"/>
        <v>0.5496128385856025</v>
      </c>
      <c r="M56">
        <f ca="1"/>
        <v>0.37928742406596072</v>
      </c>
      <c r="N56">
        <f ca="1"/>
        <v>0.66904604081632513</v>
      </c>
      <c r="O56">
        <f ca="1"/>
        <v>0</v>
      </c>
      <c r="P56">
        <f ca="1"/>
        <v>5.5404390039039546</v>
      </c>
      <c r="Q56">
        <f ca="1"/>
        <v>4.9918209959004072</v>
      </c>
      <c r="R56">
        <f ca="1"/>
        <v>0.57268137661220475</v>
      </c>
      <c r="S56">
        <f ca="1"/>
        <v>1</v>
      </c>
      <c r="T56">
        <f ca="1"/>
        <v>1.3300000000000125</v>
      </c>
      <c r="U56">
        <f ca="1"/>
        <v>0</v>
      </c>
      <c r="V56">
        <f ca="1"/>
        <v>9.4235502619654674E-2</v>
      </c>
      <c r="X56" s="2">
        <f t="shared" ca="1" si="1"/>
        <v>45443</v>
      </c>
      <c r="Y56">
        <f t="shared" ca="1" si="2"/>
        <v>0</v>
      </c>
      <c r="AA56" s="63">
        <f t="shared" ca="1" si="4"/>
        <v>79.307919435304171</v>
      </c>
      <c r="AB56" s="63">
        <f t="shared" ca="1" si="5"/>
        <v>79.307919435304171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45444</v>
      </c>
      <c r="K57">
        <f ca="1"/>
        <v>176.91979331892298</v>
      </c>
      <c r="L57">
        <f ca="1"/>
        <v>0.60901345829566544</v>
      </c>
      <c r="M57">
        <f ca="1"/>
        <v>0.37199938834365653</v>
      </c>
      <c r="N57">
        <f ca="1"/>
        <v>0.66904604081632513</v>
      </c>
      <c r="O57">
        <f ca="1"/>
        <v>100</v>
      </c>
      <c r="P57">
        <f ca="1"/>
        <v>6.1494524621996201</v>
      </c>
      <c r="Q57">
        <f ca="1"/>
        <v>5.5405295306869276</v>
      </c>
      <c r="R57">
        <f ca="1"/>
        <v>1.6978638720476908</v>
      </c>
      <c r="S57">
        <f ca="1"/>
        <v>1</v>
      </c>
      <c r="T57">
        <f ca="1"/>
        <v>1.75</v>
      </c>
      <c r="U57">
        <f ca="1"/>
        <v>0</v>
      </c>
      <c r="V57">
        <f ca="1"/>
        <v>0.12514595439148771</v>
      </c>
      <c r="X57" s="2">
        <f t="shared" ca="1" si="1"/>
        <v>45444</v>
      </c>
      <c r="Y57">
        <f t="shared" ca="1" si="2"/>
        <v>100</v>
      </c>
      <c r="AA57" s="63">
        <f t="shared" ca="1" si="4"/>
        <v>179.22667064926634</v>
      </c>
      <c r="AB57" s="63">
        <f t="shared" ca="1" si="5"/>
        <v>179.22667064926634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45445</v>
      </c>
      <c r="K58">
        <f ca="1"/>
        <v>176.49681796654102</v>
      </c>
      <c r="L58">
        <f ca="1"/>
        <v>0.6603971556956445</v>
      </c>
      <c r="M58">
        <f ca="1"/>
        <v>0.36226269641447573</v>
      </c>
      <c r="N58">
        <f ca="1"/>
        <v>0.6624883905238893</v>
      </c>
      <c r="O58">
        <f ca="1"/>
        <v>0</v>
      </c>
      <c r="P58">
        <f ca="1"/>
        <v>6.8098496178952646</v>
      </c>
      <c r="Q58">
        <f ca="1"/>
        <v>6.1355337144910553</v>
      </c>
      <c r="R58">
        <f ca="1"/>
        <v>0.78732928362465915</v>
      </c>
      <c r="S58">
        <f ca="1"/>
        <v>1</v>
      </c>
      <c r="T58">
        <f ca="1"/>
        <v>0.81000000000000227</v>
      </c>
      <c r="U58">
        <f ca="1"/>
        <v>0</v>
      </c>
      <c r="V58">
        <f ca="1"/>
        <v>0.16348290447402231</v>
      </c>
      <c r="X58" s="2">
        <f t="shared" ca="1" si="1"/>
        <v>45445</v>
      </c>
      <c r="Y58">
        <f t="shared" ca="1" si="2"/>
        <v>0</v>
      </c>
      <c r="AA58" s="63">
        <f t="shared" ca="1" si="4"/>
        <v>177.94454440586134</v>
      </c>
      <c r="AB58" s="63">
        <f t="shared" ca="1" si="5"/>
        <v>177.94454440586134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45446</v>
      </c>
      <c r="K59">
        <f ca="1"/>
        <v>175.27790300295217</v>
      </c>
      <c r="L59">
        <f ca="1"/>
        <v>0.89572701368711005</v>
      </c>
      <c r="M59">
        <f ca="1"/>
        <v>0.3816992493918967</v>
      </c>
      <c r="N59">
        <f ca="1"/>
        <v>0.73340770911614794</v>
      </c>
      <c r="O59">
        <f ca="1"/>
        <v>0</v>
      </c>
      <c r="P59">
        <f ca="1"/>
        <v>7.7055766315823746</v>
      </c>
      <c r="Q59">
        <f ca="1"/>
        <v>6.9425652349839018</v>
      </c>
      <c r="R59">
        <f ca="1"/>
        <v>1.4382949084097409</v>
      </c>
      <c r="S59">
        <f ca="1"/>
        <v>1</v>
      </c>
      <c r="T59">
        <f ca="1"/>
        <v>1.4900000000000091</v>
      </c>
      <c r="U59">
        <f ca="1"/>
        <v>0</v>
      </c>
      <c r="V59">
        <f ca="1"/>
        <v>0.22207146195424543</v>
      </c>
      <c r="X59" s="2">
        <f t="shared" ca="1" si="1"/>
        <v>45446</v>
      </c>
      <c r="Y59">
        <f t="shared" ca="1" si="2"/>
        <v>0</v>
      </c>
      <c r="AA59" s="63">
        <f t="shared" ca="1" si="4"/>
        <v>177.61192492504904</v>
      </c>
      <c r="AB59" s="63">
        <f t="shared" ca="1" si="5"/>
        <v>177.61192492504904</v>
      </c>
      <c r="AC59" s="3">
        <f t="shared" ca="1" si="6"/>
        <v>0</v>
      </c>
    </row>
    <row r="60" spans="1:29">
      <c r="A60" s="1"/>
      <c r="B60" s="1"/>
      <c r="H60" t="b">
        <f t="shared" ca="1" si="3"/>
        <v>1</v>
      </c>
      <c r="I60" t="b">
        <f t="shared" ca="1" si="0"/>
        <v>1</v>
      </c>
      <c r="J60" s="2">
        <f ca="1"/>
        <v>45447</v>
      </c>
      <c r="K60">
        <f ca="1"/>
        <v>172.27517363356588</v>
      </c>
      <c r="L60">
        <f ca="1"/>
        <v>0.96369097712896767</v>
      </c>
      <c r="M60">
        <f ca="1"/>
        <v>0.36696783806938882</v>
      </c>
      <c r="N60">
        <f ca="1"/>
        <v>0.7154201765817686</v>
      </c>
      <c r="O60">
        <f ca="1"/>
        <v>0</v>
      </c>
      <c r="P60">
        <f ca="1"/>
        <v>8.6692676087113423</v>
      </c>
      <c r="Q60">
        <f ca="1"/>
        <v>7.8108308814069556</v>
      </c>
      <c r="R60">
        <f ca="1"/>
        <v>3.121426406908471</v>
      </c>
      <c r="S60">
        <f ca="1"/>
        <v>1</v>
      </c>
      <c r="T60">
        <f ca="1"/>
        <v>3.2900000000000063</v>
      </c>
      <c r="U60">
        <f ca="1"/>
        <v>0</v>
      </c>
      <c r="V60">
        <f ca="1"/>
        <v>0.29084380200534332</v>
      </c>
      <c r="X60" s="2">
        <f t="shared" ca="1" si="1"/>
        <v>45447</v>
      </c>
      <c r="Y60">
        <f t="shared" ca="1" si="2"/>
        <v>0</v>
      </c>
      <c r="AA60" s="63">
        <f t="shared" ca="1" si="4"/>
        <v>176.36029101760334</v>
      </c>
      <c r="AB60" s="63">
        <f t="shared" ca="1" si="5"/>
        <v>176.36029101760334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45448</v>
      </c>
      <c r="K61">
        <f ca="1"/>
        <v>168.234335529003</v>
      </c>
      <c r="L61">
        <f ca="1"/>
        <v>1.0545422323976599</v>
      </c>
      <c r="M61">
        <f ca="1"/>
        <v>0.35601174294419025</v>
      </c>
      <c r="N61">
        <f ca="1"/>
        <v>0.70653205995527057</v>
      </c>
      <c r="O61">
        <f ca="1"/>
        <v>0</v>
      </c>
      <c r="P61">
        <f ca="1"/>
        <v>9.7238098411090022</v>
      </c>
      <c r="Q61">
        <f ca="1"/>
        <v>8.7609516305095259</v>
      </c>
      <c r="R61">
        <f ca="1"/>
        <v>4.0488396750646638</v>
      </c>
      <c r="S61">
        <f ca="1"/>
        <v>1</v>
      </c>
      <c r="T61">
        <f ca="1"/>
        <v>4.3699999999999903</v>
      </c>
      <c r="U61">
        <f ca="1"/>
        <v>0</v>
      </c>
      <c r="V61">
        <f ca="1"/>
        <v>0.36883404789930535</v>
      </c>
      <c r="X61" s="2">
        <f t="shared" ca="1" si="1"/>
        <v>45448</v>
      </c>
      <c r="Y61">
        <f t="shared" ca="1" si="2"/>
        <v>0</v>
      </c>
      <c r="AA61" s="63">
        <f t="shared" ca="1" si="4"/>
        <v>173.33771743646534</v>
      </c>
      <c r="AB61" s="63">
        <f t="shared" ca="1" si="5"/>
        <v>173.33771743646534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45449</v>
      </c>
      <c r="K62">
        <f ca="1"/>
        <v>166.79206421670625</v>
      </c>
      <c r="L62">
        <f ca="1"/>
        <v>1.1561737515213171</v>
      </c>
      <c r="M62">
        <f ca="1"/>
        <v>0.34607882065802187</v>
      </c>
      <c r="N62">
        <f ca="1"/>
        <v>0.69974285600719321</v>
      </c>
      <c r="O62">
        <f ca="1"/>
        <v>0</v>
      </c>
      <c r="P62">
        <f ca="1"/>
        <v>10.879983592630319</v>
      </c>
      <c r="Q62">
        <f ca="1"/>
        <v>9.8026402771467964</v>
      </c>
      <c r="R62">
        <f ca="1"/>
        <v>1.3319192374406565</v>
      </c>
      <c r="S62">
        <f ca="1"/>
        <v>1</v>
      </c>
      <c r="T62">
        <f ca="1"/>
        <v>1.4500000000000028</v>
      </c>
      <c r="U62">
        <f ca="1"/>
        <v>0</v>
      </c>
      <c r="V62">
        <f ca="1"/>
        <v>0.45276063747484402</v>
      </c>
      <c r="X62" s="2">
        <f t="shared" ca="1" si="1"/>
        <v>45449</v>
      </c>
      <c r="Y62">
        <f t="shared" ca="1" si="2"/>
        <v>0</v>
      </c>
      <c r="AA62" s="63">
        <f t="shared" ca="1" si="4"/>
        <v>169.28015720566822</v>
      </c>
      <c r="AB62" s="63">
        <f t="shared" ca="1" si="5"/>
        <v>169.28015720566822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45450</v>
      </c>
      <c r="K63">
        <f ca="1"/>
        <v>166.08525877133241</v>
      </c>
      <c r="L63">
        <f ca="1"/>
        <v>1.0737808444948076</v>
      </c>
      <c r="M63">
        <f ca="1"/>
        <v>0.31909177973966507</v>
      </c>
      <c r="N63">
        <f ca="1"/>
        <v>0.64242070512796057</v>
      </c>
      <c r="O63">
        <f ca="1"/>
        <v>0</v>
      </c>
      <c r="P63">
        <f ca="1"/>
        <v>11.953764437125127</v>
      </c>
      <c r="Q63">
        <f ca="1"/>
        <v>10.770094617997392</v>
      </c>
      <c r="R63">
        <f ca="1"/>
        <v>0.59453708574665887</v>
      </c>
      <c r="S63">
        <f ca="1"/>
        <v>1</v>
      </c>
      <c r="T63">
        <f ca="1"/>
        <v>0.65000000000000568</v>
      </c>
      <c r="U63">
        <f ca="1"/>
        <v>0</v>
      </c>
      <c r="V63">
        <f ca="1"/>
        <v>0.5256709002336033</v>
      </c>
      <c r="X63" s="2">
        <f t="shared" ca="1" si="1"/>
        <v>45450</v>
      </c>
      <c r="Y63">
        <f t="shared" ca="1" si="2"/>
        <v>0</v>
      </c>
      <c r="AA63" s="63">
        <f t="shared" ca="1" si="4"/>
        <v>167.75357670157388</v>
      </c>
      <c r="AB63" s="63">
        <f t="shared" ca="1" si="5"/>
        <v>167.75357670157388</v>
      </c>
      <c r="AC63" s="3">
        <f t="shared" ca="1" si="6"/>
        <v>0</v>
      </c>
    </row>
    <row r="64" spans="1:29">
      <c r="H64" t="b">
        <f t="shared" ca="1" si="3"/>
        <v>1</v>
      </c>
      <c r="I64" t="b">
        <f t="shared" ca="1" si="0"/>
        <v>1</v>
      </c>
      <c r="J64" s="2">
        <f ca="1"/>
        <v>45451</v>
      </c>
      <c r="K64">
        <f ca="1"/>
        <v>165.3367365132481</v>
      </c>
      <c r="L64">
        <f ca="1"/>
        <v>1.148719411843274</v>
      </c>
      <c r="M64">
        <f ca="1"/>
        <v>0.31049602591794923</v>
      </c>
      <c r="N64">
        <f ca="1"/>
        <v>0.63603121371087012</v>
      </c>
      <c r="O64">
        <f ca="1"/>
        <v>0</v>
      </c>
      <c r="P64">
        <f ca="1"/>
        <v>13.102483848968401</v>
      </c>
      <c r="Q64">
        <f ca="1"/>
        <v>11.805067058700583</v>
      </c>
      <c r="R64">
        <f ca="1"/>
        <v>0.54633008586985798</v>
      </c>
      <c r="S64">
        <f ca="1"/>
        <v>1</v>
      </c>
      <c r="T64">
        <f ca="1"/>
        <v>0.59999999999999432</v>
      </c>
      <c r="U64">
        <f ca="1"/>
        <v>0</v>
      </c>
      <c r="V64">
        <f ca="1"/>
        <v>0.59597031912771059</v>
      </c>
      <c r="X64" s="2">
        <f t="shared" ca="1" si="1"/>
        <v>45451</v>
      </c>
      <c r="Y64">
        <f t="shared" ca="1" si="2"/>
        <v>0</v>
      </c>
      <c r="AA64" s="63">
        <f t="shared" ca="1" si="4"/>
        <v>167.03178601096124</v>
      </c>
      <c r="AB64" s="63">
        <f t="shared" ca="1" si="5"/>
        <v>167.03178601096124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45452</v>
      </c>
      <c r="K65">
        <f ca="1"/>
        <v>161.11912448450641</v>
      </c>
      <c r="L65">
        <f ca="1"/>
        <v>1.6712133969365723</v>
      </c>
      <c r="M65">
        <f ca="1"/>
        <v>0.33507816542952895</v>
      </c>
      <c r="N65">
        <f ca="1"/>
        <v>0.72992665099342668</v>
      </c>
      <c r="O65">
        <f ca="1"/>
        <v>0</v>
      </c>
      <c r="P65">
        <f ca="1"/>
        <v>14.773697245904973</v>
      </c>
      <c r="Q65">
        <f ca="1"/>
        <v>13.310795777594469</v>
      </c>
      <c r="R65">
        <f ca="1"/>
        <v>3.6114034482280886</v>
      </c>
      <c r="S65">
        <f ca="1"/>
        <v>1</v>
      </c>
      <c r="T65">
        <f ca="1"/>
        <v>4.0700000000000074</v>
      </c>
      <c r="U65">
        <f ca="1"/>
        <v>0</v>
      </c>
      <c r="V65">
        <f ca="1"/>
        <v>0.68231293152986272</v>
      </c>
      <c r="X65" s="2">
        <f t="shared" ca="1" si="1"/>
        <v>45452</v>
      </c>
      <c r="Y65">
        <f t="shared" ca="1" si="2"/>
        <v>0</v>
      </c>
      <c r="AA65" s="63">
        <f t="shared" ca="1" si="4"/>
        <v>166.40174132967107</v>
      </c>
      <c r="AB65" s="63">
        <f t="shared" ca="1" si="5"/>
        <v>166.40174132967107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45453</v>
      </c>
      <c r="K66">
        <f ca="1"/>
        <v>154.86193308630624</v>
      </c>
      <c r="L66">
        <f ca="1"/>
        <v>1.8733775174010141</v>
      </c>
      <c r="M66">
        <f ca="1"/>
        <v>0.32752425914134164</v>
      </c>
      <c r="N66">
        <f ca="1"/>
        <v>0.72992665099342668</v>
      </c>
      <c r="O66">
        <f ca="1"/>
        <v>0</v>
      </c>
      <c r="P66">
        <f ca="1"/>
        <v>16.647074763305987</v>
      </c>
      <c r="Q66">
        <f ca="1"/>
        <v>14.998670189355122</v>
      </c>
      <c r="R66">
        <f ca="1"/>
        <v>5.4412647909339329</v>
      </c>
      <c r="S66">
        <f ca="1"/>
        <v>1</v>
      </c>
      <c r="T66">
        <f ca="1"/>
        <v>6.3800000000000097</v>
      </c>
      <c r="U66">
        <f ca="1"/>
        <v>0</v>
      </c>
      <c r="V66">
        <f ca="1"/>
        <v>0.75770545172396464</v>
      </c>
      <c r="X66" s="2">
        <f t="shared" ca="1" si="1"/>
        <v>45453</v>
      </c>
      <c r="Y66">
        <f t="shared" ca="1" si="2"/>
        <v>0</v>
      </c>
      <c r="AA66" s="63">
        <f t="shared" ca="1" si="4"/>
        <v>162.17657539464119</v>
      </c>
      <c r="AB66" s="63">
        <f t="shared" ca="1" si="5"/>
        <v>162.17657539464119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45454</v>
      </c>
      <c r="K67">
        <f ca="1"/>
        <v>153.54708490642247</v>
      </c>
      <c r="L67">
        <f ca="1"/>
        <v>2.4533344032839146</v>
      </c>
      <c r="M67">
        <f ca="1"/>
        <v>0.34135981396457638</v>
      </c>
      <c r="N67">
        <f ca="1"/>
        <v>0.79712640943559065</v>
      </c>
      <c r="O67">
        <f ca="1"/>
        <v>0</v>
      </c>
      <c r="P67">
        <f ca="1"/>
        <v>19.100409166589902</v>
      </c>
      <c r="Q67">
        <f ca="1"/>
        <v>17.209073764892754</v>
      </c>
      <c r="R67">
        <f ca="1"/>
        <v>0</v>
      </c>
      <c r="S67">
        <f ca="1"/>
        <v>0.99985507246376804</v>
      </c>
      <c r="T67">
        <f ca="1"/>
        <v>0</v>
      </c>
      <c r="U67">
        <f ca="1"/>
        <v>0</v>
      </c>
      <c r="V67">
        <f ca="1"/>
        <v>0.8285975047504982</v>
      </c>
      <c r="X67" s="2">
        <f t="shared" ca="1" si="1"/>
        <v>45454</v>
      </c>
      <c r="Y67">
        <f t="shared" ca="1" si="2"/>
        <v>0</v>
      </c>
      <c r="AA67" s="63">
        <f t="shared" ca="1" si="4"/>
        <v>156.00041930970639</v>
      </c>
      <c r="AB67" s="63">
        <f t="shared" ca="1" si="5"/>
        <v>156.00041930970639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45455</v>
      </c>
      <c r="K68">
        <f ca="1"/>
        <v>148.60947075225567</v>
      </c>
      <c r="L68">
        <f ca="1"/>
        <v>2.2109370699829931</v>
      </c>
      <c r="M68">
        <f ca="1"/>
        <v>0.30359508131598645</v>
      </c>
      <c r="N68">
        <f ca="1"/>
        <v>0.70177525653905748</v>
      </c>
      <c r="O68">
        <f ca="1"/>
        <v>0</v>
      </c>
      <c r="P68">
        <f ca="1"/>
        <v>21.311346236572895</v>
      </c>
      <c r="Q68">
        <f ca="1"/>
        <v>19.20108235460539</v>
      </c>
      <c r="R68">
        <f ca="1"/>
        <v>3.7320474220388458</v>
      </c>
      <c r="S68">
        <f ca="1"/>
        <v>1</v>
      </c>
      <c r="T68">
        <f ca="1"/>
        <v>4.5600138335231719</v>
      </c>
      <c r="U68">
        <f ca="1"/>
        <v>0</v>
      </c>
      <c r="V68">
        <f ca="1"/>
        <v>0.87273158679177665</v>
      </c>
      <c r="X68" s="2">
        <f t="shared" ca="1" si="1"/>
        <v>45455</v>
      </c>
      <c r="Y68">
        <f t="shared" ca="1" si="2"/>
        <v>0</v>
      </c>
      <c r="AA68" s="63">
        <f t="shared" ca="1" si="4"/>
        <v>154.55245524427752</v>
      </c>
      <c r="AB68" s="63">
        <f t="shared" ca="1" si="5"/>
        <v>154.55245524427752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45456</v>
      </c>
      <c r="K69">
        <f ca="1"/>
        <v>147.20796393675514</v>
      </c>
      <c r="L69">
        <f ca="1"/>
        <v>2.279498122682412</v>
      </c>
      <c r="M69">
        <f ca="1"/>
        <v>0.28953688422129886</v>
      </c>
      <c r="N69">
        <f ca="1"/>
        <v>0.67763258082370947</v>
      </c>
      <c r="O69">
        <f ca="1"/>
        <v>0</v>
      </c>
      <c r="P69">
        <f ca="1"/>
        <v>23.590844359255307</v>
      </c>
      <c r="Q69">
        <f ca="1"/>
        <v>21.254863035324696</v>
      </c>
      <c r="R69">
        <f ca="1"/>
        <v>8.9178157863135252E-2</v>
      </c>
      <c r="S69">
        <f ca="1"/>
        <v>1</v>
      </c>
      <c r="T69">
        <f ca="1"/>
        <v>0.10999999999999943</v>
      </c>
      <c r="U69">
        <f ca="1"/>
        <v>0</v>
      </c>
      <c r="V69">
        <f ca="1"/>
        <v>0.90482413604051837</v>
      </c>
      <c r="X69" s="2">
        <f t="shared" ca="1" si="1"/>
        <v>45456</v>
      </c>
      <c r="Y69">
        <f t="shared" ca="1" si="2"/>
        <v>0</v>
      </c>
      <c r="AA69" s="63">
        <f t="shared" ca="1" si="4"/>
        <v>149.57664021730068</v>
      </c>
      <c r="AB69" s="63">
        <f t="shared" ca="1" si="5"/>
        <v>149.57664021730068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45457</v>
      </c>
      <c r="K70">
        <f ca="1"/>
        <v>145.10019495283646</v>
      </c>
      <c r="L70">
        <f ca="1"/>
        <v>1.946660731843771</v>
      </c>
      <c r="M70">
        <f ca="1"/>
        <v>0.26256969737616487</v>
      </c>
      <c r="N70">
        <f ca="1"/>
        <v>0.60716430512688691</v>
      </c>
      <c r="O70">
        <f ca="1"/>
        <v>0</v>
      </c>
      <c r="P70">
        <f ca="1"/>
        <v>25.537505091099078</v>
      </c>
      <c r="Q70">
        <f ca="1"/>
        <v>23.008764108193731</v>
      </c>
      <c r="R70">
        <f ca="1"/>
        <v>1.0308422545779823</v>
      </c>
      <c r="S70">
        <f ca="1"/>
        <v>1</v>
      </c>
      <c r="T70">
        <f ca="1"/>
        <v>1.2900000000000063</v>
      </c>
      <c r="U70">
        <f ca="1"/>
        <v>0</v>
      </c>
      <c r="V70">
        <f ca="1"/>
        <v>0.92474595683683669</v>
      </c>
      <c r="X70" s="2">
        <f t="shared" ca="1" si="1"/>
        <v>45457</v>
      </c>
      <c r="Y70">
        <f t="shared" ca="1" si="2"/>
        <v>0</v>
      </c>
      <c r="AA70" s="63">
        <f t="shared" ca="1" si="4"/>
        <v>148.0776979392582</v>
      </c>
      <c r="AB70" s="63">
        <f t="shared" ca="1" si="5"/>
        <v>148.0776979392582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ref="I71:I134" ca="1" si="7">AND(IF(J71&gt;($J$3-1),TRUE,FALSE),IF(J71&lt;($J$4+1),TRUE,FALSE))</f>
        <v>1</v>
      </c>
      <c r="J71" s="2">
        <f ca="1"/>
        <v>45458</v>
      </c>
      <c r="K71">
        <f ca="1"/>
        <v>53.901626885964319</v>
      </c>
      <c r="L71">
        <f ca="1"/>
        <v>2.6909543674159799</v>
      </c>
      <c r="M71">
        <f ca="1"/>
        <v>0.27730064456576642</v>
      </c>
      <c r="N71">
        <f ca="1"/>
        <v>0.67763258082370947</v>
      </c>
      <c r="O71">
        <f ca="1"/>
        <v>0</v>
      </c>
      <c r="P71">
        <f ca="1"/>
        <v>28.228459458515058</v>
      </c>
      <c r="Q71">
        <f ca="1"/>
        <v>25.433258358705622</v>
      </c>
      <c r="R71">
        <f ca="1"/>
        <v>0.52881825773293867</v>
      </c>
      <c r="S71">
        <f ca="1"/>
        <v>1</v>
      </c>
      <c r="T71">
        <f ca="1"/>
        <v>1.8300000000000125</v>
      </c>
      <c r="U71">
        <f ca="1"/>
        <v>0</v>
      </c>
      <c r="V71">
        <f ca="1"/>
        <v>0.94455560573096098</v>
      </c>
      <c r="X71" s="2">
        <f t="shared" ref="X71:X134" ca="1" si="8">IFERROR(J71,$X$5)</f>
        <v>45458</v>
      </c>
      <c r="Y71">
        <f t="shared" ref="Y71:Y134" ca="1" si="9">IFERROR(O71,0)</f>
        <v>0</v>
      </c>
      <c r="AA71" s="63">
        <f t="shared" ca="1" si="4"/>
        <v>146.05512817822594</v>
      </c>
      <c r="AB71" s="63">
        <f t="shared" ca="1" si="5"/>
        <v>57.121399511113239</v>
      </c>
      <c r="AC71" s="3">
        <f t="shared" ca="1" si="6"/>
        <v>-88.933728667112703</v>
      </c>
    </row>
    <row r="72" spans="8:29">
      <c r="H72" t="b">
        <f t="shared" ref="H72:H135" ca="1" si="10">IF(J72&lt;$J$4,TRUE,FALSE)</f>
        <v>1</v>
      </c>
      <c r="I72" t="b">
        <f t="shared" ca="1" si="7"/>
        <v>1</v>
      </c>
      <c r="J72" s="2">
        <f ca="1"/>
        <v>45459</v>
      </c>
      <c r="K72">
        <f ca="1"/>
        <v>51.397055771381076</v>
      </c>
      <c r="L72">
        <f ca="1"/>
        <v>3.0060941009359858</v>
      </c>
      <c r="M72">
        <f ca="1"/>
        <v>0.27295846889655095</v>
      </c>
      <c r="N72">
        <f ca="1"/>
        <v>0.68428507862910293</v>
      </c>
      <c r="O72">
        <f ca="1"/>
        <v>0</v>
      </c>
      <c r="P72">
        <f ca="1"/>
        <v>31.234553559451044</v>
      </c>
      <c r="Q72">
        <f ca="1"/>
        <v>28.141686993716501</v>
      </c>
      <c r="R72">
        <f ca="1"/>
        <v>0.45572056117291204</v>
      </c>
      <c r="S72">
        <f ca="1"/>
        <v>1</v>
      </c>
      <c r="T72">
        <f ca="1"/>
        <v>1.6099999999999994</v>
      </c>
      <c r="U72">
        <f ca="1"/>
        <v>0</v>
      </c>
      <c r="V72">
        <f ca="1"/>
        <v>0.9596271224272892</v>
      </c>
      <c r="X72" s="2">
        <f t="shared" ca="1" si="8"/>
        <v>45459</v>
      </c>
      <c r="Y72">
        <f t="shared" ca="1" si="9"/>
        <v>0</v>
      </c>
      <c r="AA72" s="63">
        <f t="shared" ca="1" si="4"/>
        <v>54.858870433489969</v>
      </c>
      <c r="AB72" s="63">
        <f t="shared" ca="1" si="5"/>
        <v>54.858870433489969</v>
      </c>
      <c r="AC72" s="3">
        <f t="shared" ca="1" si="6"/>
        <v>0</v>
      </c>
    </row>
    <row r="73" spans="8:29">
      <c r="H73" t="b">
        <f t="shared" ca="1" si="10"/>
        <v>1</v>
      </c>
      <c r="I73" t="b">
        <f t="shared" ca="1" si="7"/>
        <v>1</v>
      </c>
      <c r="J73" s="2">
        <f ca="1"/>
        <v>45460</v>
      </c>
      <c r="K73">
        <f ca="1"/>
        <v>47.756988093698872</v>
      </c>
      <c r="L73">
        <f ca="1"/>
        <v>3.3494986084058382</v>
      </c>
      <c r="M73">
        <f ca="1"/>
        <v>0.26841837509930855</v>
      </c>
      <c r="N73">
        <f ca="1"/>
        <v>0.69030767894500022</v>
      </c>
      <c r="O73">
        <f ca="1"/>
        <v>0</v>
      </c>
      <c r="P73">
        <f ca="1"/>
        <v>34.584052167856882</v>
      </c>
      <c r="Q73">
        <f ca="1"/>
        <v>31.159515990190968</v>
      </c>
      <c r="R73">
        <f ca="1"/>
        <v>1.2492951233206733</v>
      </c>
      <c r="S73">
        <f ca="1"/>
        <v>1</v>
      </c>
      <c r="T73">
        <f ca="1"/>
        <v>4.75</v>
      </c>
      <c r="U73">
        <f ca="1"/>
        <v>0</v>
      </c>
      <c r="V73">
        <f ca="1"/>
        <v>0.970891105292914</v>
      </c>
      <c r="X73" s="2">
        <f t="shared" ca="1" si="8"/>
        <v>45460</v>
      </c>
      <c r="Y73">
        <f t="shared" ca="1" si="9"/>
        <v>0</v>
      </c>
      <c r="AA73" s="63">
        <f t="shared" ref="AA73:AA136" ca="1" si="11">K72+M73+N73+O73</f>
        <v>52.355781825425382</v>
      </c>
      <c r="AB73" s="63">
        <f t="shared" ref="AB73:AB136" ca="1" si="12">K73+L73+R73</f>
        <v>52.355781825425382</v>
      </c>
      <c r="AC73" s="3">
        <f t="shared" ref="AC73:AC136" ca="1" si="13">AB73-AA73</f>
        <v>0</v>
      </c>
    </row>
    <row r="74" spans="8:29">
      <c r="H74" t="b">
        <f t="shared" ca="1" si="10"/>
        <v>1</v>
      </c>
      <c r="I74" t="b">
        <f t="shared" ca="1" si="7"/>
        <v>1</v>
      </c>
      <c r="J74" s="2">
        <f ca="1"/>
        <v>45461</v>
      </c>
      <c r="K74">
        <f ca="1"/>
        <v>42.228188112089555</v>
      </c>
      <c r="L74">
        <f ca="1"/>
        <v>3.9160866030650112</v>
      </c>
      <c r="M74">
        <f ca="1"/>
        <v>0.2686195869077217</v>
      </c>
      <c r="N74">
        <f ca="1"/>
        <v>0.71404819608056869</v>
      </c>
      <c r="O74">
        <f ca="1"/>
        <v>0</v>
      </c>
      <c r="P74">
        <f ca="1"/>
        <v>38.500138770921893</v>
      </c>
      <c r="Q74">
        <f ca="1"/>
        <v>34.687829055846933</v>
      </c>
      <c r="R74">
        <f ca="1"/>
        <v>2.5953811615325986</v>
      </c>
      <c r="S74">
        <f ca="1"/>
        <v>1</v>
      </c>
      <c r="T74">
        <f ca="1"/>
        <v>11.159999999999997</v>
      </c>
      <c r="U74">
        <f ca="1"/>
        <v>0</v>
      </c>
      <c r="V74">
        <f ca="1"/>
        <v>0.97953261498127753</v>
      </c>
      <c r="X74" s="2">
        <f t="shared" ca="1" si="8"/>
        <v>45461</v>
      </c>
      <c r="Y74">
        <f t="shared" ca="1" si="9"/>
        <v>0</v>
      </c>
      <c r="AA74" s="63">
        <f t="shared" ca="1" si="11"/>
        <v>48.739655876687166</v>
      </c>
      <c r="AB74" s="63">
        <f t="shared" ca="1" si="12"/>
        <v>48.739655876687166</v>
      </c>
      <c r="AC74" s="3">
        <f t="shared" ca="1" si="13"/>
        <v>0</v>
      </c>
    </row>
    <row r="75" spans="8:29">
      <c r="H75" t="b">
        <f t="shared" ca="1" si="10"/>
        <v>1</v>
      </c>
      <c r="I75" t="b">
        <f t="shared" ca="1" si="7"/>
        <v>1</v>
      </c>
      <c r="J75" s="2">
        <f ca="1"/>
        <v>45462</v>
      </c>
      <c r="K75">
        <f ca="1"/>
        <v>109.10919922273743</v>
      </c>
      <c r="L75">
        <f ca="1"/>
        <v>4.2568905087616216</v>
      </c>
      <c r="M75">
        <f ca="1"/>
        <v>0.26136865813016996</v>
      </c>
      <c r="N75">
        <f ca="1"/>
        <v>0.71062553014540031</v>
      </c>
      <c r="O75">
        <f ca="1"/>
        <v>75.011399614991646</v>
      </c>
      <c r="P75">
        <f ca="1"/>
        <v>42.757029279683515</v>
      </c>
      <c r="Q75">
        <f ca="1"/>
        <v>38.523199394535318</v>
      </c>
      <c r="R75">
        <f ca="1"/>
        <v>4.8454921838577283</v>
      </c>
      <c r="S75">
        <f ca="1"/>
        <v>1</v>
      </c>
      <c r="T75">
        <f ca="1"/>
        <v>8.1899999999999977</v>
      </c>
      <c r="U75">
        <f ca="1"/>
        <v>0</v>
      </c>
      <c r="V75">
        <f ca="1"/>
        <v>0.98560154416937262</v>
      </c>
      <c r="X75" s="2">
        <f t="shared" ca="1" si="8"/>
        <v>45462</v>
      </c>
      <c r="Y75">
        <f t="shared" ca="1" si="9"/>
        <v>75.011399614991646</v>
      </c>
      <c r="AA75" s="63">
        <f t="shared" ca="1" si="11"/>
        <v>118.21158191535676</v>
      </c>
      <c r="AB75" s="63">
        <f t="shared" ca="1" si="12"/>
        <v>118.21158191535677</v>
      </c>
      <c r="AC75" s="3">
        <f t="shared" ca="1" si="13"/>
        <v>0</v>
      </c>
    </row>
    <row r="76" spans="8:29">
      <c r="H76" t="b">
        <f t="shared" ca="1" si="10"/>
        <v>1</v>
      </c>
      <c r="I76" t="b">
        <f t="shared" ca="1" si="7"/>
        <v>1</v>
      </c>
      <c r="J76" s="2">
        <f ca="1"/>
        <v>45463</v>
      </c>
      <c r="K76">
        <f ca="1"/>
        <v>105.30049891047264</v>
      </c>
      <c r="L76">
        <f ca="1"/>
        <v>4.1448705696382575</v>
      </c>
      <c r="M76">
        <f ca="1"/>
        <v>0.24506468296343797</v>
      </c>
      <c r="N76">
        <f ca="1"/>
        <v>0.67102136551119118</v>
      </c>
      <c r="O76">
        <f ca="1"/>
        <v>0</v>
      </c>
      <c r="P76">
        <f ca="1"/>
        <v>46.901899849321772</v>
      </c>
      <c r="Q76">
        <f ca="1"/>
        <v>42.257642084046168</v>
      </c>
      <c r="R76">
        <f ca="1"/>
        <v>0.57991579110115377</v>
      </c>
      <c r="S76">
        <f ca="1"/>
        <v>1</v>
      </c>
      <c r="T76">
        <f ca="1"/>
        <v>1</v>
      </c>
      <c r="U76">
        <f ca="1"/>
        <v>0</v>
      </c>
      <c r="V76">
        <f ca="1"/>
        <v>0.98950647171149719</v>
      </c>
      <c r="X76" s="2">
        <f t="shared" ca="1" si="8"/>
        <v>45463</v>
      </c>
      <c r="Y76">
        <f t="shared" ca="1" si="9"/>
        <v>0</v>
      </c>
      <c r="AA76" s="63">
        <f t="shared" ca="1" si="11"/>
        <v>110.02528527121206</v>
      </c>
      <c r="AB76" s="63">
        <f t="shared" ca="1" si="12"/>
        <v>110.02528527121206</v>
      </c>
      <c r="AC76" s="3">
        <f t="shared" ca="1" si="13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45464</v>
      </c>
      <c r="K77">
        <f ca="1"/>
        <v>102.02633762188589</v>
      </c>
      <c r="L77">
        <f ca="1"/>
        <v>3.5047014480133356</v>
      </c>
      <c r="M77">
        <f ca="1"/>
        <v>0.22267501763887765</v>
      </c>
      <c r="N77">
        <f ca="1"/>
        <v>0.60346237068763786</v>
      </c>
      <c r="O77">
        <f ca="1"/>
        <v>0</v>
      </c>
      <c r="P77">
        <f ca="1"/>
        <v>50.406601297335108</v>
      </c>
      <c r="Q77">
        <f ca="1"/>
        <v>45.415305630243161</v>
      </c>
      <c r="R77">
        <f ca="1"/>
        <v>0.59559722889992994</v>
      </c>
      <c r="S77">
        <f ca="1"/>
        <v>1</v>
      </c>
      <c r="T77">
        <f ca="1"/>
        <v>1.0599999999999881</v>
      </c>
      <c r="U77">
        <f ca="1"/>
        <v>0</v>
      </c>
      <c r="V77">
        <f ca="1"/>
        <v>0.99183145127661732</v>
      </c>
      <c r="X77" s="2">
        <f t="shared" ca="1" si="8"/>
        <v>45464</v>
      </c>
      <c r="Y77">
        <f t="shared" ca="1" si="9"/>
        <v>0</v>
      </c>
      <c r="AA77" s="63">
        <f t="shared" ca="1" si="11"/>
        <v>106.12663629879916</v>
      </c>
      <c r="AB77" s="63">
        <f t="shared" ca="1" si="12"/>
        <v>106.12663629879916</v>
      </c>
      <c r="AC77" s="3">
        <f t="shared" ca="1" si="13"/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45465</v>
      </c>
      <c r="K78">
        <f ca="1"/>
        <v>97.905008616718689</v>
      </c>
      <c r="L78">
        <f ca="1"/>
        <v>3.7657174241598597</v>
      </c>
      <c r="M78">
        <f ca="1"/>
        <v>0.2186616533096668</v>
      </c>
      <c r="N78">
        <f ca="1"/>
        <v>0.60654630439072499</v>
      </c>
      <c r="O78">
        <f ca="1"/>
        <v>0</v>
      </c>
      <c r="P78">
        <f ca="1"/>
        <v>54.172318721494968</v>
      </c>
      <c r="Q78">
        <f ca="1"/>
        <v>48.808139174535192</v>
      </c>
      <c r="R78">
        <f ca="1"/>
        <v>1.1808195387077276</v>
      </c>
      <c r="S78">
        <f ca="1"/>
        <v>1</v>
      </c>
      <c r="T78">
        <f ca="1"/>
        <v>2.1899999999999977</v>
      </c>
      <c r="U78">
        <f ca="1"/>
        <v>0</v>
      </c>
      <c r="V78">
        <f ca="1"/>
        <v>0.99366468529388408</v>
      </c>
      <c r="X78" s="2">
        <f t="shared" ca="1" si="8"/>
        <v>45465</v>
      </c>
      <c r="Y78">
        <f t="shared" ca="1" si="9"/>
        <v>0</v>
      </c>
      <c r="AA78" s="63">
        <f t="shared" ca="1" si="11"/>
        <v>102.85154557958627</v>
      </c>
      <c r="AB78" s="63">
        <f t="shared" ca="1" si="12"/>
        <v>102.85154557958627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45466</v>
      </c>
      <c r="K79">
        <f ca="1"/>
        <v>92.013027431042801</v>
      </c>
      <c r="L79">
        <f ca="1"/>
        <v>5.370228553039162</v>
      </c>
      <c r="M79">
        <f ca="1"/>
        <v>0.23452407159930999</v>
      </c>
      <c r="N79">
        <f ca="1"/>
        <v>0.69299515390972399</v>
      </c>
      <c r="O79">
        <f ca="1"/>
        <v>0</v>
      </c>
      <c r="P79">
        <f ca="1"/>
        <v>59.54254727453413</v>
      </c>
      <c r="Q79">
        <f ca="1"/>
        <v>53.646604073247296</v>
      </c>
      <c r="R79">
        <f ca="1"/>
        <v>1.4492718581457582</v>
      </c>
      <c r="S79">
        <f ca="1"/>
        <v>1</v>
      </c>
      <c r="T79">
        <f ca="1"/>
        <v>2.8599999999999994</v>
      </c>
      <c r="U79">
        <f ca="1"/>
        <v>0</v>
      </c>
      <c r="V79">
        <f ca="1"/>
        <v>0.99548844446555829</v>
      </c>
      <c r="X79" s="2">
        <f t="shared" ca="1" si="8"/>
        <v>45466</v>
      </c>
      <c r="Y79">
        <f t="shared" ca="1" si="9"/>
        <v>0</v>
      </c>
      <c r="AA79" s="63">
        <f t="shared" ca="1" si="11"/>
        <v>98.832527842227719</v>
      </c>
      <c r="AB79" s="63">
        <f t="shared" ca="1" si="12"/>
        <v>98.832527842227719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45467</v>
      </c>
      <c r="K80">
        <f ca="1"/>
        <v>87.010643207063879</v>
      </c>
      <c r="L80">
        <f ca="1"/>
        <v>4.8350227442945055</v>
      </c>
      <c r="M80">
        <f ca="1"/>
        <v>0.21600535265967835</v>
      </c>
      <c r="N80">
        <f ca="1"/>
        <v>0.63730584318919359</v>
      </c>
      <c r="O80">
        <f ca="1"/>
        <v>0</v>
      </c>
      <c r="P80">
        <f ca="1"/>
        <v>64.377570018828635</v>
      </c>
      <c r="Q80">
        <f ca="1"/>
        <v>58.002859603471279</v>
      </c>
      <c r="R80">
        <f ca="1"/>
        <v>1.0206726755332949</v>
      </c>
      <c r="S80">
        <f ca="1"/>
        <v>1</v>
      </c>
      <c r="T80">
        <f ca="1"/>
        <v>2.1299999999999955</v>
      </c>
      <c r="U80">
        <f ca="1"/>
        <v>0</v>
      </c>
      <c r="V80">
        <f ca="1"/>
        <v>0.99661089212712883</v>
      </c>
      <c r="X80" s="2">
        <f t="shared" ca="1" si="8"/>
        <v>45467</v>
      </c>
      <c r="Y80">
        <f t="shared" ca="1" si="9"/>
        <v>0</v>
      </c>
      <c r="AA80" s="63">
        <f t="shared" ca="1" si="11"/>
        <v>92.866338626891675</v>
      </c>
      <c r="AB80" s="63">
        <f t="shared" ca="1" si="12"/>
        <v>92.866338626891675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45468</v>
      </c>
      <c r="K81">
        <f ca="1"/>
        <v>83.030113612872256</v>
      </c>
      <c r="L81">
        <f ca="1"/>
        <v>4.6852985001192025</v>
      </c>
      <c r="M81">
        <f ca="1"/>
        <v>0.20571913730556446</v>
      </c>
      <c r="N81">
        <f ca="1"/>
        <v>0.6133665917122002</v>
      </c>
      <c r="O81">
        <f ca="1"/>
        <v>0</v>
      </c>
      <c r="P81">
        <f ca="1"/>
        <v>69.062868518947838</v>
      </c>
      <c r="Q81">
        <f ca="1"/>
        <v>62.224216685189127</v>
      </c>
      <c r="R81">
        <f ca="1"/>
        <v>0.11431682309018644</v>
      </c>
      <c r="S81">
        <f ca="1"/>
        <v>1</v>
      </c>
      <c r="T81">
        <f ca="1"/>
        <v>0.25</v>
      </c>
      <c r="U81">
        <f ca="1"/>
        <v>0</v>
      </c>
      <c r="V81">
        <f ca="1"/>
        <v>0.99739261586570338</v>
      </c>
      <c r="X81" s="2">
        <f t="shared" ca="1" si="8"/>
        <v>45468</v>
      </c>
      <c r="Y81">
        <f t="shared" ca="1" si="9"/>
        <v>0</v>
      </c>
      <c r="AA81" s="63">
        <f t="shared" ca="1" si="11"/>
        <v>87.829728936081636</v>
      </c>
      <c r="AB81" s="63">
        <f t="shared" ca="1" si="12"/>
        <v>87.829728936081651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45469</v>
      </c>
      <c r="K82">
        <f ca="1"/>
        <v>78.421573690457038</v>
      </c>
      <c r="L82">
        <f ca="1"/>
        <v>4.4934127643032866</v>
      </c>
      <c r="M82">
        <f ca="1"/>
        <v>0.19628888722942861</v>
      </c>
      <c r="N82">
        <f ca="1"/>
        <v>0.59122763328126904</v>
      </c>
      <c r="O82">
        <f ca="1"/>
        <v>0</v>
      </c>
      <c r="P82">
        <f ca="1"/>
        <v>73.556281283251124</v>
      </c>
      <c r="Q82">
        <f ca="1"/>
        <v>66.272688686106576</v>
      </c>
      <c r="R82">
        <f ca="1"/>
        <v>0.9026436786226244</v>
      </c>
      <c r="S82">
        <f ca="1"/>
        <v>1</v>
      </c>
      <c r="T82">
        <f ca="1"/>
        <v>2.0900000000000034</v>
      </c>
      <c r="U82">
        <f ca="1"/>
        <v>0</v>
      </c>
      <c r="V82">
        <f ca="1"/>
        <v>0.99794797721052186</v>
      </c>
      <c r="X82" s="2">
        <f t="shared" ca="1" si="8"/>
        <v>45469</v>
      </c>
      <c r="Y82">
        <f t="shared" ca="1" si="9"/>
        <v>0</v>
      </c>
      <c r="AA82" s="63">
        <f t="shared" ca="1" si="11"/>
        <v>83.817630133382949</v>
      </c>
      <c r="AB82" s="63">
        <f t="shared" ca="1" si="12"/>
        <v>83.817630133382949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45470</v>
      </c>
      <c r="K83">
        <f ca="1"/>
        <v>74.420856662793952</v>
      </c>
      <c r="L83">
        <f ca="1"/>
        <v>4.7891926705342911</v>
      </c>
      <c r="M83">
        <f ca="1"/>
        <v>0.19298421163432522</v>
      </c>
      <c r="N83">
        <f ca="1"/>
        <v>0.59549143123687776</v>
      </c>
      <c r="O83">
        <f ca="1"/>
        <v>0</v>
      </c>
      <c r="P83">
        <f ca="1"/>
        <v>78.345473953785415</v>
      </c>
      <c r="Q83">
        <f ca="1"/>
        <v>70.587652267393167</v>
      </c>
      <c r="R83">
        <f ca="1"/>
        <v>0</v>
      </c>
      <c r="S83">
        <f ca="1"/>
        <v>0.99942028985507236</v>
      </c>
      <c r="T83">
        <f ca="1"/>
        <v>0</v>
      </c>
      <c r="U83">
        <f ca="1"/>
        <v>0</v>
      </c>
      <c r="V83">
        <f ca="1"/>
        <v>0.99839241106282373</v>
      </c>
      <c r="X83" s="2">
        <f t="shared" ca="1" si="8"/>
        <v>45470</v>
      </c>
      <c r="Y83">
        <f t="shared" ca="1" si="9"/>
        <v>0</v>
      </c>
      <c r="AA83" s="63">
        <f t="shared" ca="1" si="11"/>
        <v>79.210049333328243</v>
      </c>
      <c r="AB83" s="63">
        <f t="shared" ca="1" si="12"/>
        <v>79.210049333328243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45471</v>
      </c>
      <c r="K84">
        <f ca="1"/>
        <v>70.053952440616598</v>
      </c>
      <c r="L84">
        <f ca="1"/>
        <v>4.8291077393009232</v>
      </c>
      <c r="M84">
        <f ca="1"/>
        <v>0.18711666572468744</v>
      </c>
      <c r="N84">
        <f ca="1"/>
        <v>0.58758865987009357</v>
      </c>
      <c r="O84">
        <f ca="1"/>
        <v>0</v>
      </c>
      <c r="P84">
        <f ca="1"/>
        <v>83.174581693086338</v>
      </c>
      <c r="Q84">
        <f ca="1"/>
        <v>74.938578500408582</v>
      </c>
      <c r="R84">
        <f ca="1"/>
        <v>0.31250180847120457</v>
      </c>
      <c r="S84">
        <f ca="1"/>
        <v>1</v>
      </c>
      <c r="T84">
        <f ca="1"/>
        <v>0.81000068455851704</v>
      </c>
      <c r="U84">
        <f ca="1"/>
        <v>0</v>
      </c>
      <c r="V84">
        <f ca="1"/>
        <v>0.99873025434691354</v>
      </c>
      <c r="X84" s="2">
        <f t="shared" ca="1" si="8"/>
        <v>45471</v>
      </c>
      <c r="Y84">
        <f t="shared" ca="1" si="9"/>
        <v>0</v>
      </c>
      <c r="AA84" s="63">
        <f t="shared" ca="1" si="11"/>
        <v>75.195561988388732</v>
      </c>
      <c r="AB84" s="63">
        <f t="shared" ca="1" si="12"/>
        <v>75.195561988388732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45472</v>
      </c>
      <c r="K85">
        <f ca="1"/>
        <v>65.404661061551863</v>
      </c>
      <c r="L85">
        <f ca="1"/>
        <v>4.776529214310429</v>
      </c>
      <c r="M85">
        <f ca="1"/>
        <v>0.18082853146243139</v>
      </c>
      <c r="N85">
        <f ca="1"/>
        <v>0.57675857343444648</v>
      </c>
      <c r="O85">
        <f ca="1"/>
        <v>0</v>
      </c>
      <c r="P85">
        <f ca="1"/>
        <v>87.951110907396767</v>
      </c>
      <c r="Q85">
        <f ca="1"/>
        <v>79.242132569449979</v>
      </c>
      <c r="R85">
        <f ca="1"/>
        <v>0.63034926965118832</v>
      </c>
      <c r="S85">
        <f ca="1"/>
        <v>1</v>
      </c>
      <c r="T85">
        <f ca="1"/>
        <v>1.75</v>
      </c>
      <c r="U85">
        <f ca="1"/>
        <v>0</v>
      </c>
      <c r="V85">
        <f ca="1"/>
        <v>0.99898561993273927</v>
      </c>
      <c r="X85" s="2">
        <f t="shared" ca="1" si="8"/>
        <v>45472</v>
      </c>
      <c r="Y85">
        <f t="shared" ca="1" si="9"/>
        <v>0</v>
      </c>
      <c r="AA85" s="63">
        <f t="shared" ca="1" si="11"/>
        <v>70.811539545513469</v>
      </c>
      <c r="AB85" s="63">
        <f t="shared" ca="1" si="12"/>
        <v>70.811539545513483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45473</v>
      </c>
      <c r="K86">
        <f ca="1"/>
        <v>60.376375937328405</v>
      </c>
      <c r="L86">
        <f ca="1"/>
        <v>5.3641569557319855</v>
      </c>
      <c r="M86">
        <f ca="1"/>
        <v>0.18051064635291425</v>
      </c>
      <c r="N86">
        <f ca="1"/>
        <v>0.59427118762176234</v>
      </c>
      <c r="O86">
        <f ca="1"/>
        <v>0</v>
      </c>
      <c r="P86">
        <f ca="1"/>
        <v>93.315267863128753</v>
      </c>
      <c r="Q86">
        <f ca="1"/>
        <v>84.075127084516438</v>
      </c>
      <c r="R86">
        <f ca="1"/>
        <v>0.43891000246614637</v>
      </c>
      <c r="S86">
        <f ca="1"/>
        <v>1</v>
      </c>
      <c r="T86">
        <f ca="1"/>
        <v>1.3200000000000074</v>
      </c>
      <c r="U86">
        <f ca="1"/>
        <v>0</v>
      </c>
      <c r="V86">
        <f ca="1"/>
        <v>0.99920448489079294</v>
      </c>
      <c r="X86" s="2">
        <f t="shared" ca="1" si="8"/>
        <v>45473</v>
      </c>
      <c r="Y86">
        <f t="shared" ca="1" si="9"/>
        <v>0</v>
      </c>
      <c r="AA86" s="63">
        <f t="shared" ca="1" si="11"/>
        <v>66.179442895526535</v>
      </c>
      <c r="AB86" s="63">
        <f t="shared" ca="1" si="12"/>
        <v>66.179442895526535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45474</v>
      </c>
      <c r="K87">
        <f ca="1"/>
        <v>56.415544843135244</v>
      </c>
      <c r="L87">
        <f ca="1"/>
        <v>4.6893843284965158</v>
      </c>
      <c r="M87">
        <f ca="1"/>
        <v>0.1695564122725699</v>
      </c>
      <c r="N87">
        <f ca="1"/>
        <v>0.55899682203078382</v>
      </c>
      <c r="O87">
        <f ca="1"/>
        <v>0</v>
      </c>
      <c r="P87">
        <f ca="1"/>
        <v>98.004652191625269</v>
      </c>
      <c r="Q87">
        <f ca="1"/>
        <v>88.300165413129193</v>
      </c>
      <c r="R87">
        <f ca="1"/>
        <v>0</v>
      </c>
      <c r="S87">
        <f ca="1"/>
        <v>0.99739130434782597</v>
      </c>
      <c r="T87">
        <f ca="1"/>
        <v>0</v>
      </c>
      <c r="U87">
        <f ca="1"/>
        <v>0</v>
      </c>
      <c r="V87">
        <f ca="1"/>
        <v>0.9993522871291447</v>
      </c>
      <c r="X87" s="2">
        <f t="shared" ca="1" si="8"/>
        <v>45474</v>
      </c>
      <c r="Y87">
        <f t="shared" ca="1" si="9"/>
        <v>0</v>
      </c>
      <c r="AA87" s="63">
        <f t="shared" ca="1" si="11"/>
        <v>61.10492917163176</v>
      </c>
      <c r="AB87" s="63">
        <f t="shared" ca="1" si="12"/>
        <v>61.10492917163176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45475</v>
      </c>
      <c r="K88">
        <f ca="1"/>
        <v>131.02739482527522</v>
      </c>
      <c r="L88">
        <f ca="1"/>
        <v>5.7358795775477063</v>
      </c>
      <c r="M88">
        <f ca="1"/>
        <v>0.17294884496349994</v>
      </c>
      <c r="N88">
        <f ca="1"/>
        <v>0.59488110778745396</v>
      </c>
      <c r="O88">
        <f ca="1"/>
        <v>81.374280821524877</v>
      </c>
      <c r="P88">
        <f ca="1"/>
        <v>103.74053176917297</v>
      </c>
      <c r="Q88">
        <f ca="1"/>
        <v>93.468074325217884</v>
      </c>
      <c r="R88">
        <f ca="1"/>
        <v>1.794381214588131</v>
      </c>
      <c r="S88">
        <f ca="1"/>
        <v>1</v>
      </c>
      <c r="T88">
        <f ca="1"/>
        <v>2.5000011785088674</v>
      </c>
      <c r="U88">
        <f ca="1"/>
        <v>0</v>
      </c>
      <c r="V88">
        <f ca="1"/>
        <v>0.99949240254292182</v>
      </c>
      <c r="X88" s="2">
        <f t="shared" ca="1" si="8"/>
        <v>45475</v>
      </c>
      <c r="Y88">
        <f t="shared" ca="1" si="9"/>
        <v>81.374280821524877</v>
      </c>
      <c r="AA88" s="63">
        <f t="shared" ca="1" si="11"/>
        <v>138.55765561741106</v>
      </c>
      <c r="AB88" s="63">
        <f t="shared" ca="1" si="12"/>
        <v>138.55765561741106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45476</v>
      </c>
      <c r="K89">
        <f ca="1"/>
        <v>126.21830741859343</v>
      </c>
      <c r="L89">
        <f ca="1"/>
        <v>5.556531628323583</v>
      </c>
      <c r="M89">
        <f ca="1"/>
        <v>0.16648940768899223</v>
      </c>
      <c r="N89">
        <f ca="1"/>
        <v>0.58095481395279547</v>
      </c>
      <c r="O89">
        <f ca="1"/>
        <v>0</v>
      </c>
      <c r="P89">
        <f ca="1"/>
        <v>109.29706339749656</v>
      </c>
      <c r="Q89">
        <f ca="1"/>
        <v>98.47439444301105</v>
      </c>
      <c r="R89">
        <f ca="1"/>
        <v>0</v>
      </c>
      <c r="S89">
        <f ca="1"/>
        <v>0.99797101449275361</v>
      </c>
      <c r="T89">
        <f ca="1"/>
        <v>0</v>
      </c>
      <c r="U89">
        <f ca="1"/>
        <v>0</v>
      </c>
      <c r="V89">
        <f ca="1"/>
        <v>0.99959635312235151</v>
      </c>
      <c r="X89" s="2">
        <f t="shared" ca="1" si="8"/>
        <v>45476</v>
      </c>
      <c r="Y89">
        <f t="shared" ca="1" si="9"/>
        <v>0</v>
      </c>
      <c r="AA89" s="63">
        <f t="shared" ca="1" si="11"/>
        <v>131.77483904691701</v>
      </c>
      <c r="AB89" s="63">
        <f t="shared" ca="1" si="12"/>
        <v>131.77483904691701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45477</v>
      </c>
      <c r="K90">
        <f ca="1"/>
        <v>120.02661231799746</v>
      </c>
      <c r="L90">
        <f ca="1"/>
        <v>6.9940548349252509</v>
      </c>
      <c r="M90">
        <f ca="1"/>
        <v>0.172044150501236</v>
      </c>
      <c r="N90">
        <f ca="1"/>
        <v>0.63031558382804642</v>
      </c>
      <c r="O90">
        <f ca="1"/>
        <v>0</v>
      </c>
      <c r="P90">
        <f ca="1"/>
        <v>116.29111823242181</v>
      </c>
      <c r="Q90">
        <f ca="1"/>
        <v>104.7758932496684</v>
      </c>
      <c r="R90">
        <f ca="1"/>
        <v>0</v>
      </c>
      <c r="S90">
        <f ca="1"/>
        <v>0.985362327541354</v>
      </c>
      <c r="T90">
        <f ca="1"/>
        <v>0</v>
      </c>
      <c r="U90">
        <f ca="1"/>
        <v>0</v>
      </c>
      <c r="V90">
        <f ca="1"/>
        <v>0.9996949603326688</v>
      </c>
      <c r="X90" s="2">
        <f t="shared" ca="1" si="8"/>
        <v>45477</v>
      </c>
      <c r="Y90">
        <f t="shared" ca="1" si="9"/>
        <v>0</v>
      </c>
      <c r="AA90" s="63">
        <f t="shared" ca="1" si="11"/>
        <v>127.02066715292271</v>
      </c>
      <c r="AB90" s="63">
        <f t="shared" ca="1" si="12"/>
        <v>127.02066715292271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45478</v>
      </c>
      <c r="K91">
        <f ca="1"/>
        <v>113.86965828039165</v>
      </c>
      <c r="L91">
        <f ca="1"/>
        <v>6.733905430253273</v>
      </c>
      <c r="M91">
        <f ca="1"/>
        <v>0.16488370518482753</v>
      </c>
      <c r="N91">
        <f ca="1"/>
        <v>0.61274453905525339</v>
      </c>
      <c r="O91">
        <f ca="1"/>
        <v>0</v>
      </c>
      <c r="P91">
        <f ca="1"/>
        <v>123.02502366267508</v>
      </c>
      <c r="Q91">
        <f ca="1"/>
        <v>110.84300282121325</v>
      </c>
      <c r="R91">
        <f ca="1"/>
        <v>0.20067685159261953</v>
      </c>
      <c r="S91">
        <f ca="1"/>
        <v>1</v>
      </c>
      <c r="T91">
        <f ca="1"/>
        <v>0.3200035200217286</v>
      </c>
      <c r="U91">
        <f ca="1"/>
        <v>0</v>
      </c>
      <c r="V91">
        <f ca="1"/>
        <v>0.99976533811098134</v>
      </c>
      <c r="X91" s="2">
        <f t="shared" ca="1" si="8"/>
        <v>45478</v>
      </c>
      <c r="Y91">
        <f t="shared" ca="1" si="9"/>
        <v>0</v>
      </c>
      <c r="AA91" s="63">
        <f t="shared" ca="1" si="11"/>
        <v>120.80424056223754</v>
      </c>
      <c r="AB91" s="63">
        <f t="shared" ca="1" si="12"/>
        <v>120.80424056223754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45479</v>
      </c>
      <c r="K92">
        <f ca="1"/>
        <v>104.70843290647132</v>
      </c>
      <c r="L92">
        <f ca="1"/>
        <v>7.8071372788313482</v>
      </c>
      <c r="M92">
        <f ca="1"/>
        <v>0.16721754035230418</v>
      </c>
      <c r="N92">
        <f ca="1"/>
        <v>0.64691768248284565</v>
      </c>
      <c r="O92">
        <f ca="1"/>
        <v>0</v>
      </c>
      <c r="P92">
        <f ca="1"/>
        <v>130.83216094150643</v>
      </c>
      <c r="Q92">
        <f ca="1"/>
        <v>117.87707209963801</v>
      </c>
      <c r="R92">
        <f ca="1"/>
        <v>2.1682233179241508</v>
      </c>
      <c r="S92">
        <f ca="1"/>
        <v>1</v>
      </c>
      <c r="T92">
        <f ca="1"/>
        <v>3.7600000000000051</v>
      </c>
      <c r="U92">
        <f ca="1"/>
        <v>0</v>
      </c>
      <c r="V92">
        <f ca="1"/>
        <v>0.99982558254247622</v>
      </c>
      <c r="X92" s="2">
        <f t="shared" ca="1" si="8"/>
        <v>45479</v>
      </c>
      <c r="Y92">
        <f t="shared" ca="1" si="9"/>
        <v>0</v>
      </c>
      <c r="AA92" s="63">
        <f t="shared" ca="1" si="11"/>
        <v>114.68379350322679</v>
      </c>
      <c r="AB92" s="63">
        <f t="shared" ca="1" si="12"/>
        <v>114.68379350322681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45480</v>
      </c>
      <c r="K93">
        <f ca="1"/>
        <v>97.954759637505617</v>
      </c>
      <c r="L93">
        <f ca="1"/>
        <v>6.0303893424228932</v>
      </c>
      <c r="M93">
        <f ca="1"/>
        <v>0.15110757685548037</v>
      </c>
      <c r="N93">
        <f ca="1"/>
        <v>0.57675857343444648</v>
      </c>
      <c r="O93">
        <f ca="1"/>
        <v>0</v>
      </c>
      <c r="P93">
        <f ca="1"/>
        <v>136.86255028392932</v>
      </c>
      <c r="Q93">
        <f ca="1"/>
        <v>123.31032822099399</v>
      </c>
      <c r="R93">
        <f ca="1"/>
        <v>1.451150076832727</v>
      </c>
      <c r="S93">
        <f ca="1"/>
        <v>1</v>
      </c>
      <c r="T93">
        <f ca="1"/>
        <v>2.6899999999999977</v>
      </c>
      <c r="U93">
        <f ca="1"/>
        <v>0</v>
      </c>
      <c r="V93">
        <f ca="1"/>
        <v>0.9998606913310405</v>
      </c>
      <c r="X93" s="2">
        <f t="shared" ca="1" si="8"/>
        <v>45480</v>
      </c>
      <c r="Y93">
        <f t="shared" ca="1" si="9"/>
        <v>0</v>
      </c>
      <c r="AA93" s="63">
        <f t="shared" ca="1" si="11"/>
        <v>105.43629905676124</v>
      </c>
      <c r="AB93" s="63">
        <f t="shared" ca="1" si="12"/>
        <v>105.43629905676124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45481</v>
      </c>
      <c r="K94">
        <f ca="1"/>
        <v>91.525388247320564</v>
      </c>
      <c r="L94">
        <f ca="1"/>
        <v>5.4700401246290653</v>
      </c>
      <c r="M94">
        <f ca="1"/>
        <v>0.1440985651757245</v>
      </c>
      <c r="N94">
        <f ca="1"/>
        <v>0.55490408791756807</v>
      </c>
      <c r="O94">
        <f ca="1"/>
        <v>0</v>
      </c>
      <c r="P94">
        <f ca="1"/>
        <v>142.33259040855839</v>
      </c>
      <c r="Q94">
        <f ca="1"/>
        <v>128.23872128213969</v>
      </c>
      <c r="R94">
        <f ca="1"/>
        <v>1.6583339186492809</v>
      </c>
      <c r="S94">
        <f ca="1"/>
        <v>1</v>
      </c>
      <c r="T94">
        <f ca="1"/>
        <v>3.2900000000000063</v>
      </c>
      <c r="U94">
        <f ca="1"/>
        <v>0</v>
      </c>
      <c r="V94">
        <f ca="1"/>
        <v>0.99988608131145362</v>
      </c>
      <c r="X94" s="2">
        <f t="shared" ca="1" si="8"/>
        <v>45481</v>
      </c>
      <c r="Y94">
        <f t="shared" ca="1" si="9"/>
        <v>0</v>
      </c>
      <c r="AA94" s="63">
        <f t="shared" ca="1" si="11"/>
        <v>98.653762290598905</v>
      </c>
      <c r="AB94" s="63">
        <f t="shared" ca="1" si="12"/>
        <v>98.653762290598905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45482</v>
      </c>
      <c r="K95">
        <f ca="1"/>
        <v>85.987103692230448</v>
      </c>
      <c r="L95">
        <f ca="1"/>
        <v>5.6666626558782127</v>
      </c>
      <c r="M95">
        <f ca="1"/>
        <v>0.14179312952933998</v>
      </c>
      <c r="N95">
        <f ca="1"/>
        <v>0.55958309122524053</v>
      </c>
      <c r="O95">
        <f ca="1"/>
        <v>0</v>
      </c>
      <c r="P95">
        <f ca="1"/>
        <v>147.9992530644366</v>
      </c>
      <c r="Q95">
        <f ca="1"/>
        <v>133.34426717883952</v>
      </c>
      <c r="R95">
        <f ca="1"/>
        <v>0.57299811996648342</v>
      </c>
      <c r="S95">
        <f ca="1"/>
        <v>1</v>
      </c>
      <c r="T95">
        <f ca="1"/>
        <v>1.2099999999999937</v>
      </c>
      <c r="U95">
        <f ca="1"/>
        <v>0</v>
      </c>
      <c r="V95">
        <f ca="1"/>
        <v>0.99990731755227136</v>
      </c>
      <c r="X95" s="2">
        <f t="shared" ca="1" si="8"/>
        <v>45482</v>
      </c>
      <c r="Y95">
        <f t="shared" ca="1" si="9"/>
        <v>0</v>
      </c>
      <c r="AA95" s="63">
        <f t="shared" ca="1" si="11"/>
        <v>92.226764468075132</v>
      </c>
      <c r="AB95" s="63">
        <f t="shared" ca="1" si="12"/>
        <v>92.226764468075146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45483</v>
      </c>
      <c r="K96">
        <f ca="1"/>
        <v>79.739957155826971</v>
      </c>
      <c r="L96">
        <f ca="1"/>
        <v>5.3415423057371072</v>
      </c>
      <c r="M96">
        <f ca="1"/>
        <v>0.13675505766857299</v>
      </c>
      <c r="N96">
        <f ca="1"/>
        <v>0.54735498794846438</v>
      </c>
      <c r="O96">
        <f ca="1"/>
        <v>0</v>
      </c>
      <c r="P96">
        <f ca="1"/>
        <v>153.34079537017371</v>
      </c>
      <c r="Q96">
        <f ca="1"/>
        <v>138.15688636181045</v>
      </c>
      <c r="R96">
        <f ca="1"/>
        <v>1.5897142762834162</v>
      </c>
      <c r="S96">
        <f ca="1"/>
        <v>1</v>
      </c>
      <c r="T96">
        <f ca="1"/>
        <v>3.6200000000000045</v>
      </c>
      <c r="U96">
        <f ca="1"/>
        <v>0</v>
      </c>
      <c r="V96">
        <f ca="1"/>
        <v>0.99992358023552363</v>
      </c>
      <c r="X96" s="2">
        <f t="shared" ca="1" si="8"/>
        <v>45483</v>
      </c>
      <c r="Y96">
        <f t="shared" ca="1" si="9"/>
        <v>0</v>
      </c>
      <c r="AA96" s="63">
        <f t="shared" ca="1" si="11"/>
        <v>86.671213737847495</v>
      </c>
      <c r="AB96" s="63">
        <f t="shared" ca="1" si="12"/>
        <v>86.671213737847495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45484</v>
      </c>
      <c r="K97">
        <f ca="1"/>
        <v>74.215321714348747</v>
      </c>
      <c r="L97">
        <f ca="1"/>
        <v>5.9754708466308841</v>
      </c>
      <c r="M97">
        <f ca="1"/>
        <v>0.13700220082384362</v>
      </c>
      <c r="N97">
        <f ca="1"/>
        <v>0.56724088253026428</v>
      </c>
      <c r="O97">
        <f ca="1"/>
        <v>0</v>
      </c>
      <c r="P97">
        <f ca="1"/>
        <v>159.31626621680459</v>
      </c>
      <c r="Q97">
        <f ca="1"/>
        <v>143.54066205387835</v>
      </c>
      <c r="R97">
        <f ca="1"/>
        <v>0.25340767820145926</v>
      </c>
      <c r="S97">
        <f ca="1"/>
        <v>1</v>
      </c>
      <c r="T97">
        <f ca="1"/>
        <v>0.62000000000000455</v>
      </c>
      <c r="U97">
        <f ca="1"/>
        <v>0</v>
      </c>
      <c r="V97">
        <f ca="1"/>
        <v>0.9999383390702723</v>
      </c>
      <c r="X97" s="2">
        <f t="shared" ca="1" si="8"/>
        <v>45484</v>
      </c>
      <c r="Y97">
        <f t="shared" ca="1" si="9"/>
        <v>0</v>
      </c>
      <c r="AA97" s="63">
        <f t="shared" ca="1" si="11"/>
        <v>80.444200239181086</v>
      </c>
      <c r="AB97" s="63">
        <f t="shared" ca="1" si="12"/>
        <v>80.444200239181086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45485</v>
      </c>
      <c r="K98">
        <f ca="1"/>
        <v>67.830132155391723</v>
      </c>
      <c r="L98">
        <f ca="1"/>
        <v>5.4985448884642949</v>
      </c>
      <c r="M98">
        <f ca="1"/>
        <v>0.13146493159838712</v>
      </c>
      <c r="N98">
        <f ca="1"/>
        <v>0.55083084602490195</v>
      </c>
      <c r="O98">
        <f ca="1"/>
        <v>0</v>
      </c>
      <c r="P98">
        <f ca="1"/>
        <v>164.81481110526889</v>
      </c>
      <c r="Q98">
        <f ca="1"/>
        <v>148.49473731791363</v>
      </c>
      <c r="R98">
        <f ca="1"/>
        <v>1.5689404481160185</v>
      </c>
      <c r="S98">
        <f ca="1"/>
        <v>1</v>
      </c>
      <c r="T98">
        <f ca="1"/>
        <v>4.2000000000000028</v>
      </c>
      <c r="U98">
        <f ca="1"/>
        <v>0</v>
      </c>
      <c r="V98">
        <f ca="1"/>
        <v>0.99994935266417906</v>
      </c>
      <c r="X98" s="2">
        <f t="shared" ca="1" si="8"/>
        <v>45485</v>
      </c>
      <c r="Y98">
        <f t="shared" ca="1" si="9"/>
        <v>0</v>
      </c>
      <c r="AA98" s="63">
        <f t="shared" ca="1" si="11"/>
        <v>74.897617491972042</v>
      </c>
      <c r="AB98" s="63">
        <f t="shared" ca="1" si="12"/>
        <v>74.897617491972042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45486</v>
      </c>
      <c r="K99">
        <f ca="1"/>
        <v>62.142693809062507</v>
      </c>
      <c r="L99">
        <f ca="1"/>
        <v>5.2022808740003654</v>
      </c>
      <c r="M99">
        <f ca="1"/>
        <v>0.12715524126067379</v>
      </c>
      <c r="N99">
        <f ca="1"/>
        <v>0.54101965875664937</v>
      </c>
      <c r="O99">
        <f ca="1"/>
        <v>0</v>
      </c>
      <c r="P99">
        <f ca="1"/>
        <v>170.01709197926925</v>
      </c>
      <c r="Q99">
        <f ca="1"/>
        <v>153.18188483007069</v>
      </c>
      <c r="R99">
        <f ca="1"/>
        <v>1.1533323723461675</v>
      </c>
      <c r="S99">
        <f ca="1"/>
        <v>1</v>
      </c>
      <c r="T99">
        <f ca="1"/>
        <v>3.3700000000000045</v>
      </c>
      <c r="U99">
        <f ca="1"/>
        <v>0</v>
      </c>
      <c r="V99">
        <f ca="1"/>
        <v>0.99995794635180979</v>
      </c>
      <c r="X99" s="2">
        <f t="shared" ca="1" si="8"/>
        <v>45486</v>
      </c>
      <c r="Y99">
        <f t="shared" ca="1" si="9"/>
        <v>0</v>
      </c>
      <c r="AA99" s="63">
        <f t="shared" ca="1" si="11"/>
        <v>68.498307055409043</v>
      </c>
      <c r="AB99" s="63">
        <f t="shared" ca="1" si="12"/>
        <v>68.498307055409043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45487</v>
      </c>
      <c r="K100">
        <f ca="1"/>
        <v>163.17090786793406</v>
      </c>
      <c r="L100">
        <f ca="1"/>
        <v>6.8690398569663387</v>
      </c>
      <c r="M100">
        <f ca="1"/>
        <v>0.13273939314200334</v>
      </c>
      <c r="N100">
        <f ca="1"/>
        <v>0.59671328830249049</v>
      </c>
      <c r="O100">
        <f ca="1"/>
        <v>108.14529362243525</v>
      </c>
      <c r="P100">
        <f ca="1"/>
        <v>176.88613183623559</v>
      </c>
      <c r="Q100">
        <f ca="1"/>
        <v>159.37074772622751</v>
      </c>
      <c r="R100">
        <f ca="1"/>
        <v>0.97749238804182825</v>
      </c>
      <c r="S100">
        <f ca="1"/>
        <v>1</v>
      </c>
      <c r="T100">
        <f ca="1"/>
        <v>1.0899999999999892</v>
      </c>
      <c r="U100">
        <f ca="1"/>
        <v>0</v>
      </c>
      <c r="V100">
        <f ca="1"/>
        <v>0.99996711074850486</v>
      </c>
      <c r="X100" s="2">
        <f t="shared" ca="1" si="8"/>
        <v>45487</v>
      </c>
      <c r="Y100">
        <f t="shared" ca="1" si="9"/>
        <v>108.14529362243525</v>
      </c>
      <c r="AA100" s="63">
        <f t="shared" ca="1" si="11"/>
        <v>171.01744011294224</v>
      </c>
      <c r="AB100" s="63">
        <f t="shared" ca="1" si="12"/>
        <v>171.01744011294224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45488</v>
      </c>
      <c r="K101">
        <f ca="1"/>
        <v>152.62049568629169</v>
      </c>
      <c r="L101">
        <f ca="1"/>
        <v>6.838915942857227</v>
      </c>
      <c r="M101">
        <f ca="1"/>
        <v>0.12972906052074507</v>
      </c>
      <c r="N101">
        <f ca="1"/>
        <v>0.59671328830249049</v>
      </c>
      <c r="O101">
        <f ca="1"/>
        <v>0</v>
      </c>
      <c r="P101">
        <f ca="1"/>
        <v>183.72504777909282</v>
      </c>
      <c r="Q101">
        <f ca="1"/>
        <v>165.5324695985733</v>
      </c>
      <c r="R101">
        <f ca="1"/>
        <v>4.4379385876083433</v>
      </c>
      <c r="S101">
        <f ca="1"/>
        <v>1</v>
      </c>
      <c r="T101">
        <f ca="1"/>
        <v>5.2800000000000011</v>
      </c>
      <c r="U101">
        <f ca="1"/>
        <v>0</v>
      </c>
      <c r="V101">
        <f ca="1"/>
        <v>0.99997427807693073</v>
      </c>
      <c r="X101" s="2">
        <f t="shared" ca="1" si="8"/>
        <v>45488</v>
      </c>
      <c r="Y101">
        <f t="shared" ca="1" si="9"/>
        <v>0</v>
      </c>
      <c r="AA101" s="63">
        <f t="shared" ca="1" si="11"/>
        <v>163.8973502167573</v>
      </c>
      <c r="AB101" s="63">
        <f t="shared" ca="1" si="12"/>
        <v>163.89735021675727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45489</v>
      </c>
      <c r="K102">
        <f ca="1"/>
        <v>142.46272014065275</v>
      </c>
      <c r="L102">
        <f ca="1"/>
        <v>8.0619266437858812</v>
      </c>
      <c r="M102">
        <f ca="1"/>
        <v>0.13328330854968584</v>
      </c>
      <c r="N102">
        <f ca="1"/>
        <v>0.64242070512796057</v>
      </c>
      <c r="O102">
        <f ca="1"/>
        <v>0</v>
      </c>
      <c r="P102">
        <f ca="1"/>
        <v>191.7869744228787</v>
      </c>
      <c r="Q102">
        <f ca="1"/>
        <v>172.79609882714209</v>
      </c>
      <c r="R102">
        <f ca="1"/>
        <v>2.8715529155307196</v>
      </c>
      <c r="S102">
        <f ca="1"/>
        <v>1</v>
      </c>
      <c r="T102">
        <f ca="1"/>
        <v>3.6599999999999966</v>
      </c>
      <c r="U102">
        <f ca="1"/>
        <v>0</v>
      </c>
      <c r="V102">
        <f ca="1"/>
        <v>0.99998079724974953</v>
      </c>
      <c r="X102" s="2">
        <f t="shared" ca="1" si="8"/>
        <v>45489</v>
      </c>
      <c r="Y102">
        <f t="shared" ca="1" si="9"/>
        <v>0</v>
      </c>
      <c r="AA102" s="63">
        <f t="shared" ca="1" si="11"/>
        <v>153.39619969996934</v>
      </c>
      <c r="AB102" s="63">
        <f t="shared" ca="1" si="12"/>
        <v>153.39619969996934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45490</v>
      </c>
      <c r="K103">
        <f ca="1"/>
        <v>136.44434558445298</v>
      </c>
      <c r="L103">
        <f ca="1"/>
        <v>6.6780275998169429</v>
      </c>
      <c r="M103">
        <f ca="1"/>
        <v>0.12366549579673602</v>
      </c>
      <c r="N103">
        <f ca="1"/>
        <v>0.59610215804894884</v>
      </c>
      <c r="O103">
        <f ca="1"/>
        <v>0</v>
      </c>
      <c r="P103">
        <f ca="1"/>
        <v>198.46500202269564</v>
      </c>
      <c r="Q103">
        <f ca="1"/>
        <v>178.81286362871816</v>
      </c>
      <c r="R103">
        <f ca="1"/>
        <v>6.0114610228511334E-2</v>
      </c>
      <c r="S103">
        <f ca="1"/>
        <v>1</v>
      </c>
      <c r="T103">
        <f ca="1"/>
        <v>7.9999999999998295E-2</v>
      </c>
      <c r="U103">
        <f ca="1"/>
        <v>0</v>
      </c>
      <c r="V103">
        <f ca="1"/>
        <v>0.999984972451332</v>
      </c>
      <c r="X103" s="2">
        <f t="shared" ca="1" si="8"/>
        <v>45490</v>
      </c>
      <c r="Y103">
        <f t="shared" ca="1" si="9"/>
        <v>0</v>
      </c>
      <c r="AA103" s="63">
        <f t="shared" ca="1" si="11"/>
        <v>143.18248779449843</v>
      </c>
      <c r="AB103" s="63">
        <f t="shared" ca="1" si="12"/>
        <v>143.18248779449843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45491</v>
      </c>
      <c r="K104">
        <f ca="1"/>
        <v>130.2182830114067</v>
      </c>
      <c r="L104">
        <f ca="1"/>
        <v>6.8165147790459173</v>
      </c>
      <c r="M104">
        <f ca="1"/>
        <v>0.12201486730516109</v>
      </c>
      <c r="N104">
        <f ca="1"/>
        <v>0.60469473048323752</v>
      </c>
      <c r="O104">
        <f ca="1"/>
        <v>0</v>
      </c>
      <c r="P104">
        <f ca="1"/>
        <v>205.28151680174156</v>
      </c>
      <c r="Q104">
        <f ca="1"/>
        <v>184.95440251560612</v>
      </c>
      <c r="R104">
        <f ca="1"/>
        <v>0.13625739178874569</v>
      </c>
      <c r="S104">
        <f ca="1"/>
        <v>1</v>
      </c>
      <c r="T104">
        <f ca="1"/>
        <v>0.18999999999999773</v>
      </c>
      <c r="U104">
        <f ca="1"/>
        <v>0</v>
      </c>
      <c r="V104">
        <f ca="1"/>
        <v>0.99998834423965943</v>
      </c>
      <c r="X104" s="2">
        <f t="shared" ca="1" si="8"/>
        <v>45491</v>
      </c>
      <c r="Y104">
        <f t="shared" ca="1" si="9"/>
        <v>0</v>
      </c>
      <c r="AA104" s="63">
        <f t="shared" ca="1" si="11"/>
        <v>137.17105518224136</v>
      </c>
      <c r="AB104" s="63">
        <f t="shared" ca="1" si="12"/>
        <v>137.17105518224136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45492</v>
      </c>
      <c r="K105">
        <f ca="1"/>
        <v>122.23274664944002</v>
      </c>
      <c r="L105">
        <f ca="1"/>
        <v>7.5339504911909501</v>
      </c>
      <c r="M105">
        <f ca="1"/>
        <v>0.12344433696816282</v>
      </c>
      <c r="N105">
        <f ca="1"/>
        <v>0.6366683242592589</v>
      </c>
      <c r="O105">
        <f ca="1"/>
        <v>0</v>
      </c>
      <c r="P105">
        <f ca="1"/>
        <v>212.81546729293251</v>
      </c>
      <c r="Q105">
        <f ca="1"/>
        <v>191.7423361464071</v>
      </c>
      <c r="R105">
        <f ca="1"/>
        <v>1.2116985320031524</v>
      </c>
      <c r="S105">
        <f ca="1"/>
        <v>1</v>
      </c>
      <c r="T105">
        <f ca="1"/>
        <v>1.8000000000000114</v>
      </c>
      <c r="U105">
        <f ca="1"/>
        <v>0</v>
      </c>
      <c r="V105">
        <f ca="1"/>
        <v>0.99999124838683717</v>
      </c>
      <c r="X105" s="2">
        <f t="shared" ca="1" si="8"/>
        <v>45492</v>
      </c>
      <c r="Y105">
        <f t="shared" ca="1" si="9"/>
        <v>0</v>
      </c>
      <c r="AA105" s="63">
        <f t="shared" ca="1" si="11"/>
        <v>130.97839567263412</v>
      </c>
      <c r="AB105" s="63">
        <f t="shared" ca="1" si="12"/>
        <v>130.97839567263412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45493</v>
      </c>
      <c r="K106">
        <f ca="1"/>
        <v>113.54510585926695</v>
      </c>
      <c r="L106">
        <f ca="1"/>
        <v>7.8742470484002069</v>
      </c>
      <c r="M106">
        <f ca="1"/>
        <v>0.12325197563394141</v>
      </c>
      <c r="N106">
        <f ca="1"/>
        <v>0.65792250835594379</v>
      </c>
      <c r="O106">
        <f ca="1"/>
        <v>0</v>
      </c>
      <c r="P106">
        <f ca="1"/>
        <v>220.68971434133272</v>
      </c>
      <c r="Q106">
        <f ca="1"/>
        <v>198.83686993974263</v>
      </c>
      <c r="R106">
        <f ca="1"/>
        <v>1.5945682257627469</v>
      </c>
      <c r="S106">
        <f ca="1"/>
        <v>1</v>
      </c>
      <c r="T106">
        <f ca="1"/>
        <v>2.5499999999999972</v>
      </c>
      <c r="U106">
        <f ca="1"/>
        <v>0</v>
      </c>
      <c r="V106">
        <f ca="1"/>
        <v>0.99999356558967334</v>
      </c>
      <c r="X106" s="2">
        <f t="shared" ca="1" si="8"/>
        <v>45493</v>
      </c>
      <c r="Y106">
        <f t="shared" ca="1" si="9"/>
        <v>0</v>
      </c>
      <c r="AA106" s="63">
        <f t="shared" ca="1" si="11"/>
        <v>123.0139211334299</v>
      </c>
      <c r="AB106" s="63">
        <f t="shared" ca="1" si="12"/>
        <v>123.0139211334299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45494</v>
      </c>
      <c r="K107">
        <f ca="1"/>
        <v>104.33503005489801</v>
      </c>
      <c r="L107">
        <f ca="1"/>
        <v>7.9344388814540707</v>
      </c>
      <c r="M107">
        <f ca="1"/>
        <v>0.12189709005365046</v>
      </c>
      <c r="N107">
        <f ca="1"/>
        <v>0.67102136551119118</v>
      </c>
      <c r="O107">
        <f ca="1"/>
        <v>0</v>
      </c>
      <c r="P107">
        <f ca="1"/>
        <v>228.62415322278679</v>
      </c>
      <c r="Q107">
        <f ca="1"/>
        <v>205.98563533021488</v>
      </c>
      <c r="R107">
        <f ca="1"/>
        <v>2.0685553784797217</v>
      </c>
      <c r="S107">
        <f ca="1"/>
        <v>1</v>
      </c>
      <c r="T107">
        <f ca="1"/>
        <v>3.6000000000000085</v>
      </c>
      <c r="U107">
        <f ca="1"/>
        <v>0</v>
      </c>
      <c r="V107">
        <f ca="1"/>
        <v>0.99999532912899036</v>
      </c>
      <c r="X107" s="2">
        <f t="shared" ca="1" si="8"/>
        <v>45494</v>
      </c>
      <c r="Y107">
        <f t="shared" ca="1" si="9"/>
        <v>0</v>
      </c>
      <c r="AA107" s="63">
        <f t="shared" ca="1" si="11"/>
        <v>114.3380243148318</v>
      </c>
      <c r="AB107" s="63">
        <f t="shared" ca="1" si="12"/>
        <v>114.3380243148318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45495</v>
      </c>
      <c r="K108">
        <f ca="1"/>
        <v>96.019895505289767</v>
      </c>
      <c r="L108">
        <f ca="1"/>
        <v>6.739985759706741</v>
      </c>
      <c r="M108">
        <f ca="1"/>
        <v>0.11408901070075927</v>
      </c>
      <c r="N108">
        <f ca="1"/>
        <v>0.63221712232418492</v>
      </c>
      <c r="O108">
        <f ca="1"/>
        <v>0</v>
      </c>
      <c r="P108">
        <f ca="1"/>
        <v>235.36413898249353</v>
      </c>
      <c r="Q108">
        <f ca="1"/>
        <v>212.05822315288862</v>
      </c>
      <c r="R108">
        <f ca="1"/>
        <v>2.3214549229264407</v>
      </c>
      <c r="S108">
        <f ca="1"/>
        <v>1</v>
      </c>
      <c r="T108">
        <f ca="1"/>
        <v>4.3900000000000006</v>
      </c>
      <c r="U108">
        <f ca="1"/>
        <v>0</v>
      </c>
      <c r="V108">
        <f ca="1"/>
        <v>0.99999647726023</v>
      </c>
      <c r="X108" s="2">
        <f t="shared" ca="1" si="8"/>
        <v>45495</v>
      </c>
      <c r="Y108">
        <f t="shared" ca="1" si="9"/>
        <v>0</v>
      </c>
      <c r="AA108" s="63">
        <f t="shared" ca="1" si="11"/>
        <v>105.08133618792296</v>
      </c>
      <c r="AB108" s="63">
        <f t="shared" ca="1" si="12"/>
        <v>105.08133618792294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45496</v>
      </c>
      <c r="K109">
        <f ca="1"/>
        <v>89.770505497031209</v>
      </c>
      <c r="L109">
        <f ca="1"/>
        <v>6.4470198880882776</v>
      </c>
      <c r="M109">
        <f ca="1"/>
        <v>0.11114141625904495</v>
      </c>
      <c r="N109">
        <f ca="1"/>
        <v>0.63031558382804642</v>
      </c>
      <c r="O109">
        <f ca="1"/>
        <v>0</v>
      </c>
      <c r="P109">
        <f ca="1"/>
        <v>241.81115887058181</v>
      </c>
      <c r="Q109">
        <f ca="1"/>
        <v>217.86685478219997</v>
      </c>
      <c r="R109">
        <f ca="1"/>
        <v>0.54382712025737456</v>
      </c>
      <c r="S109">
        <f ca="1"/>
        <v>1</v>
      </c>
      <c r="T109">
        <f ca="1"/>
        <v>1.0999999999999943</v>
      </c>
      <c r="U109">
        <f ca="1"/>
        <v>0</v>
      </c>
      <c r="V109">
        <f ca="1"/>
        <v>0.99999733809337121</v>
      </c>
      <c r="X109" s="2">
        <f t="shared" ca="1" si="8"/>
        <v>45496</v>
      </c>
      <c r="Y109">
        <f t="shared" ca="1" si="9"/>
        <v>0</v>
      </c>
      <c r="AA109" s="63">
        <f t="shared" ca="1" si="11"/>
        <v>96.761352505376863</v>
      </c>
      <c r="AB109" s="63">
        <f t="shared" ca="1" si="12"/>
        <v>96.761352505376863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45497</v>
      </c>
      <c r="K110">
        <f ca="1"/>
        <v>84.937420123560287</v>
      </c>
      <c r="L110">
        <f ca="1"/>
        <v>5.5391462815954355</v>
      </c>
      <c r="M110">
        <f ca="1"/>
        <v>0.10505840508245257</v>
      </c>
      <c r="N110">
        <f ca="1"/>
        <v>0.60100250304207381</v>
      </c>
      <c r="O110">
        <f ca="1"/>
        <v>0</v>
      </c>
      <c r="P110">
        <f ca="1"/>
        <v>247.35030515217724</v>
      </c>
      <c r="Q110">
        <f ca="1"/>
        <v>222.85751106202693</v>
      </c>
      <c r="R110">
        <f ca="1"/>
        <v>0</v>
      </c>
      <c r="S110">
        <f ca="1"/>
        <v>0.99855072463768124</v>
      </c>
      <c r="T110">
        <f ca="1"/>
        <v>0</v>
      </c>
      <c r="U110">
        <f ca="1"/>
        <v>0</v>
      </c>
      <c r="V110">
        <f ca="1"/>
        <v>0.99999792745743465</v>
      </c>
      <c r="X110" s="2">
        <f t="shared" ca="1" si="8"/>
        <v>45497</v>
      </c>
      <c r="Y110">
        <f t="shared" ca="1" si="9"/>
        <v>0</v>
      </c>
      <c r="AA110" s="63">
        <f t="shared" ca="1" si="11"/>
        <v>90.476566405155737</v>
      </c>
      <c r="AB110" s="63">
        <f t="shared" ca="1" si="12"/>
        <v>90.476566405155722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45498</v>
      </c>
      <c r="K111">
        <f ca="1"/>
        <v>80.53055795738463</v>
      </c>
      <c r="L111">
        <f ca="1"/>
        <v>5.0989284179913739</v>
      </c>
      <c r="M111">
        <f ca="1"/>
        <v>0.10144612065975878</v>
      </c>
      <c r="N111">
        <f ca="1"/>
        <v>0.59062013115596423</v>
      </c>
      <c r="O111">
        <f ca="1"/>
        <v>0</v>
      </c>
      <c r="P111">
        <f ca="1"/>
        <v>252.44923357016862</v>
      </c>
      <c r="Q111">
        <f ca="1"/>
        <v>227.45154014809535</v>
      </c>
      <c r="R111">
        <f ca="1"/>
        <v>0</v>
      </c>
      <c r="S111">
        <f ca="1"/>
        <v>0.98594202903073358</v>
      </c>
      <c r="T111">
        <f ca="1"/>
        <v>0</v>
      </c>
      <c r="U111">
        <f ca="1"/>
        <v>0</v>
      </c>
      <c r="V111">
        <f ca="1"/>
        <v>0.99999836876841541</v>
      </c>
      <c r="X111" s="2">
        <f t="shared" ca="1" si="8"/>
        <v>45498</v>
      </c>
      <c r="Y111">
        <f t="shared" ca="1" si="9"/>
        <v>0</v>
      </c>
      <c r="AA111" s="63">
        <f t="shared" ca="1" si="11"/>
        <v>85.629486375376004</v>
      </c>
      <c r="AB111" s="63">
        <f t="shared" ca="1" si="12"/>
        <v>85.629486375376004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45499</v>
      </c>
      <c r="K112">
        <f ca="1"/>
        <v>75.636697533762998</v>
      </c>
      <c r="L112">
        <f ca="1"/>
        <v>5.6228315659545558</v>
      </c>
      <c r="M112">
        <f ca="1"/>
        <v>0.10307821755143465</v>
      </c>
      <c r="N112">
        <f ca="1"/>
        <v>0.62589292478149161</v>
      </c>
      <c r="O112">
        <f ca="1"/>
        <v>0</v>
      </c>
      <c r="P112">
        <f ca="1"/>
        <v>258.07206513612317</v>
      </c>
      <c r="Q112">
        <f ca="1"/>
        <v>232.51759513896624</v>
      </c>
      <c r="R112">
        <f ca="1"/>
        <v>0</v>
      </c>
      <c r="S112">
        <f ca="1"/>
        <v>0.99898550757412696</v>
      </c>
      <c r="T112">
        <f ca="1"/>
        <v>0</v>
      </c>
      <c r="U112">
        <f ca="1"/>
        <v>0</v>
      </c>
      <c r="V112">
        <f ca="1"/>
        <v>0.9999987618774846</v>
      </c>
      <c r="X112" s="2">
        <f t="shared" ca="1" si="8"/>
        <v>45499</v>
      </c>
      <c r="Y112">
        <f t="shared" ca="1" si="9"/>
        <v>0</v>
      </c>
      <c r="AA112" s="63">
        <f t="shared" ca="1" si="11"/>
        <v>81.259529099717568</v>
      </c>
      <c r="AB112" s="63">
        <f t="shared" ca="1" si="12"/>
        <v>81.259529099717554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45500</v>
      </c>
      <c r="K113">
        <f ca="1"/>
        <v>71.398065890325256</v>
      </c>
      <c r="L113">
        <f ca="1"/>
        <v>4.9416404132153957</v>
      </c>
      <c r="M113">
        <f ca="1"/>
        <v>9.8314039294429278E-2</v>
      </c>
      <c r="N113">
        <f ca="1"/>
        <v>0.60469473048323752</v>
      </c>
      <c r="O113">
        <f ca="1"/>
        <v>0</v>
      </c>
      <c r="P113">
        <f ca="1"/>
        <v>263.01370554933857</v>
      </c>
      <c r="Q113">
        <f ca="1"/>
        <v>236.96991098460532</v>
      </c>
      <c r="R113">
        <f ca="1"/>
        <v>0</v>
      </c>
      <c r="S113">
        <f ca="1"/>
        <v>0.99869565251987724</v>
      </c>
      <c r="T113">
        <f ca="1"/>
        <v>0</v>
      </c>
      <c r="U113">
        <f ca="1"/>
        <v>0</v>
      </c>
      <c r="V113">
        <f ca="1"/>
        <v>0.99999903968271997</v>
      </c>
      <c r="X113" s="2">
        <f t="shared" ca="1" si="8"/>
        <v>45500</v>
      </c>
      <c r="Y113">
        <f t="shared" ca="1" si="9"/>
        <v>0</v>
      </c>
      <c r="AA113" s="63">
        <f t="shared" ca="1" si="11"/>
        <v>76.339706303540652</v>
      </c>
      <c r="AB113" s="63">
        <f t="shared" ca="1" si="12"/>
        <v>76.339706303540652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45501</v>
      </c>
      <c r="K114">
        <f ca="1"/>
        <v>66.779179001327861</v>
      </c>
      <c r="L114">
        <f ca="1"/>
        <v>4.7676990247599065</v>
      </c>
      <c r="M114">
        <f ca="1"/>
        <v>9.6361215578653514E-2</v>
      </c>
      <c r="N114">
        <f ca="1"/>
        <v>0.60778271070876377</v>
      </c>
      <c r="O114">
        <f ca="1"/>
        <v>0</v>
      </c>
      <c r="P114">
        <f ca="1"/>
        <v>267.78140457409847</v>
      </c>
      <c r="Q114">
        <f ca="1"/>
        <v>241.2655092354228</v>
      </c>
      <c r="R114">
        <f ca="1"/>
        <v>0.55533179052490345</v>
      </c>
      <c r="S114">
        <f ca="1"/>
        <v>1</v>
      </c>
      <c r="T114">
        <f ca="1"/>
        <v>1.510000025033662</v>
      </c>
      <c r="U114">
        <f ca="1"/>
        <v>0</v>
      </c>
      <c r="V114">
        <f ca="1"/>
        <v>0.99999925752297358</v>
      </c>
      <c r="X114" s="2">
        <f t="shared" ca="1" si="8"/>
        <v>45501</v>
      </c>
      <c r="Y114">
        <f t="shared" ca="1" si="9"/>
        <v>0</v>
      </c>
      <c r="AA114" s="63">
        <f t="shared" ca="1" si="11"/>
        <v>72.102209816612671</v>
      </c>
      <c r="AB114" s="63">
        <f t="shared" ca="1" si="12"/>
        <v>72.102209816612671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45502</v>
      </c>
      <c r="K115">
        <f ca="1"/>
        <v>63.774817049745771</v>
      </c>
      <c r="L115">
        <f ca="1"/>
        <v>3.5859424535770472</v>
      </c>
      <c r="M115">
        <f ca="1"/>
        <v>8.8729305169053418E-2</v>
      </c>
      <c r="N115">
        <f ca="1"/>
        <v>0.55607145024914084</v>
      </c>
      <c r="O115">
        <f ca="1"/>
        <v>0</v>
      </c>
      <c r="P115">
        <f ca="1"/>
        <v>271.36734702767552</v>
      </c>
      <c r="Q115">
        <f ca="1"/>
        <v>244.49636924800365</v>
      </c>
      <c r="R115">
        <f ca="1"/>
        <v>6.3220253423228637E-2</v>
      </c>
      <c r="S115">
        <f ca="1"/>
        <v>1</v>
      </c>
      <c r="T115">
        <f ca="1"/>
        <v>0.18000000000000682</v>
      </c>
      <c r="U115">
        <f ca="1"/>
        <v>0</v>
      </c>
      <c r="V115">
        <f ca="1"/>
        <v>0.99999939363272139</v>
      </c>
      <c r="X115" s="2">
        <f t="shared" ca="1" si="8"/>
        <v>45502</v>
      </c>
      <c r="Y115">
        <f t="shared" ca="1" si="9"/>
        <v>0</v>
      </c>
      <c r="AA115" s="63">
        <f t="shared" ca="1" si="11"/>
        <v>67.42397975674605</v>
      </c>
      <c r="AB115" s="63">
        <f t="shared" ca="1" si="12"/>
        <v>67.423979756746036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45503</v>
      </c>
      <c r="K116">
        <f ca="1"/>
        <v>59.902681301687508</v>
      </c>
      <c r="L116">
        <f ca="1"/>
        <v>4.0410412704761143</v>
      </c>
      <c r="M116">
        <f ca="1"/>
        <v>9.0235668726293738E-2</v>
      </c>
      <c r="N116">
        <f ca="1"/>
        <v>0.59001303175959041</v>
      </c>
      <c r="O116">
        <f ca="1"/>
        <v>0</v>
      </c>
      <c r="P116">
        <f ca="1"/>
        <v>275.40838829815164</v>
      </c>
      <c r="Q116">
        <f ca="1"/>
        <v>248.13726388560343</v>
      </c>
      <c r="R116">
        <f ca="1"/>
        <v>0.51134317806803198</v>
      </c>
      <c r="S116">
        <f ca="1"/>
        <v>1</v>
      </c>
      <c r="T116">
        <f ca="1"/>
        <v>1.5500000000000114</v>
      </c>
      <c r="U116">
        <f ca="1"/>
        <v>0</v>
      </c>
      <c r="V116">
        <f ca="1"/>
        <v>0.99999952244395285</v>
      </c>
      <c r="X116" s="2">
        <f t="shared" ca="1" si="8"/>
        <v>45503</v>
      </c>
      <c r="Y116">
        <f t="shared" ca="1" si="9"/>
        <v>0</v>
      </c>
      <c r="AA116" s="63">
        <f t="shared" ca="1" si="11"/>
        <v>64.455065750231654</v>
      </c>
      <c r="AB116" s="63">
        <f t="shared" ca="1" si="12"/>
        <v>64.455065750231654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45504</v>
      </c>
      <c r="K117">
        <f ca="1"/>
        <v>53.996393826960968</v>
      </c>
      <c r="L117">
        <f ca="1"/>
        <v>5.4086329519609535</v>
      </c>
      <c r="M117">
        <f ca="1"/>
        <v>9.8313242936320933E-2</v>
      </c>
      <c r="N117">
        <f ca="1"/>
        <v>0.69165058796304768</v>
      </c>
      <c r="O117">
        <f ca="1"/>
        <v>0</v>
      </c>
      <c r="P117">
        <f ca="1"/>
        <v>280.81702125011259</v>
      </c>
      <c r="Q117">
        <f ca="1"/>
        <v>253.01033035374672</v>
      </c>
      <c r="R117">
        <f ca="1"/>
        <v>1.2876183536649499</v>
      </c>
      <c r="S117">
        <f ca="1"/>
        <v>1</v>
      </c>
      <c r="T117">
        <f ca="1"/>
        <v>4.3299999999999983</v>
      </c>
      <c r="U117">
        <f ca="1"/>
        <v>0</v>
      </c>
      <c r="V117">
        <f ca="1"/>
        <v>0.99999966010929919</v>
      </c>
      <c r="X117" s="2">
        <f t="shared" ca="1" si="8"/>
        <v>45504</v>
      </c>
      <c r="Y117">
        <f t="shared" ca="1" si="9"/>
        <v>0</v>
      </c>
      <c r="AA117" s="63">
        <f t="shared" ca="1" si="11"/>
        <v>60.692645132586875</v>
      </c>
      <c r="AB117" s="63">
        <f t="shared" ca="1" si="12"/>
        <v>60.692645132586875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45505</v>
      </c>
      <c r="K118">
        <f ca="1"/>
        <v>48.6622359788946</v>
      </c>
      <c r="L118">
        <f ca="1"/>
        <v>5.2458390423538503</v>
      </c>
      <c r="M118">
        <f ca="1"/>
        <v>9.7524859815941056E-2</v>
      </c>
      <c r="N118">
        <f ca="1"/>
        <v>0.70925937656447946</v>
      </c>
      <c r="O118">
        <f ca="1"/>
        <v>0</v>
      </c>
      <c r="P118">
        <f ca="1"/>
        <v>286.06286029246644</v>
      </c>
      <c r="Q118">
        <f ca="1"/>
        <v>257.73672287504047</v>
      </c>
      <c r="R118">
        <f ca="1"/>
        <v>0.89510304209294334</v>
      </c>
      <c r="S118">
        <f ca="1"/>
        <v>1</v>
      </c>
      <c r="T118">
        <f ca="1"/>
        <v>3.3400000000000034</v>
      </c>
      <c r="U118">
        <f ca="1"/>
        <v>0</v>
      </c>
      <c r="V118">
        <f ca="1"/>
        <v>0.99999976206214614</v>
      </c>
      <c r="X118" s="2">
        <f t="shared" ca="1" si="8"/>
        <v>45505</v>
      </c>
      <c r="Y118">
        <f t="shared" ca="1" si="9"/>
        <v>0</v>
      </c>
      <c r="AA118" s="63">
        <f t="shared" ca="1" si="11"/>
        <v>54.803178063341392</v>
      </c>
      <c r="AB118" s="63">
        <f t="shared" ca="1" si="12"/>
        <v>54.803178063341392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45506</v>
      </c>
      <c r="K119">
        <f ca="1"/>
        <v>44.848465009342355</v>
      </c>
      <c r="L119">
        <f ca="1"/>
        <v>4.4107886289205567</v>
      </c>
      <c r="M119">
        <f ca="1"/>
        <v>9.1796941744782146E-2</v>
      </c>
      <c r="N119">
        <f ca="1"/>
        <v>0.67564488465902905</v>
      </c>
      <c r="O119">
        <f ca="1"/>
        <v>0</v>
      </c>
      <c r="P119">
        <f ca="1"/>
        <v>290.473648921387</v>
      </c>
      <c r="Q119">
        <f ca="1"/>
        <v>261.71075223820293</v>
      </c>
      <c r="R119">
        <f ca="1"/>
        <v>0.17042416703550037</v>
      </c>
      <c r="S119">
        <f ca="1"/>
        <v>1</v>
      </c>
      <c r="T119">
        <f ca="1"/>
        <v>0.68999999999999773</v>
      </c>
      <c r="U119">
        <f ca="1"/>
        <v>0</v>
      </c>
      <c r="V119">
        <f ca="1"/>
        <v>0.98628674405542005</v>
      </c>
      <c r="X119" s="2">
        <f t="shared" ca="1" si="8"/>
        <v>45506</v>
      </c>
      <c r="Y119">
        <f t="shared" ca="1" si="9"/>
        <v>0</v>
      </c>
      <c r="AA119" s="63">
        <f t="shared" ca="1" si="11"/>
        <v>49.429677805298411</v>
      </c>
      <c r="AB119" s="63">
        <f t="shared" ca="1" si="12"/>
        <v>49.429677805298411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45507</v>
      </c>
      <c r="K120">
        <f ca="1"/>
        <v>40.381571666053205</v>
      </c>
      <c r="L120">
        <f ca="1"/>
        <v>4.1369938298229272</v>
      </c>
      <c r="M120">
        <f ca="1"/>
        <v>8.9983579380785272E-2</v>
      </c>
      <c r="N120">
        <f ca="1"/>
        <v>0.68095366517974043</v>
      </c>
      <c r="O120">
        <f ca="1"/>
        <v>0</v>
      </c>
      <c r="P120">
        <f ca="1"/>
        <v>294.61064275120992</v>
      </c>
      <c r="Q120">
        <f ca="1"/>
        <v>265.43809814798891</v>
      </c>
      <c r="R120">
        <f ca="1"/>
        <v>1.1008367580267553</v>
      </c>
      <c r="S120">
        <f ca="1"/>
        <v>1</v>
      </c>
      <c r="T120">
        <f ca="1"/>
        <v>4.9500000000000028</v>
      </c>
      <c r="U120">
        <f ca="1"/>
        <v>0</v>
      </c>
      <c r="V120">
        <f ca="1"/>
        <v>0.95176360664237436</v>
      </c>
      <c r="X120" s="2">
        <f t="shared" ca="1" si="8"/>
        <v>45507</v>
      </c>
      <c r="Y120">
        <f t="shared" ca="1" si="9"/>
        <v>0</v>
      </c>
      <c r="AA120" s="63">
        <f t="shared" ca="1" si="11"/>
        <v>45.619402253902884</v>
      </c>
      <c r="AB120" s="63">
        <f t="shared" ca="1" si="12"/>
        <v>45.619402253902891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45508</v>
      </c>
      <c r="K121">
        <f ca="1"/>
        <v>37.266476203792102</v>
      </c>
      <c r="L121">
        <f ca="1"/>
        <v>3.5178184269403232</v>
      </c>
      <c r="M121">
        <f ca="1"/>
        <v>8.5284541720518803E-2</v>
      </c>
      <c r="N121">
        <f ca="1"/>
        <v>0.65402491528048512</v>
      </c>
      <c r="O121">
        <f ca="1"/>
        <v>0</v>
      </c>
      <c r="P121">
        <f ca="1"/>
        <v>298.12846117815025</v>
      </c>
      <c r="Q121">
        <f ca="1"/>
        <v>268.60757982101023</v>
      </c>
      <c r="R121">
        <f ca="1"/>
        <v>0.33658649232178617</v>
      </c>
      <c r="S121">
        <f ca="1"/>
        <v>1</v>
      </c>
      <c r="T121">
        <f ca="1"/>
        <v>1.6400000000000006</v>
      </c>
      <c r="U121">
        <f ca="1"/>
        <v>0</v>
      </c>
      <c r="V121">
        <f ca="1"/>
        <v>0.91997299554966638</v>
      </c>
      <c r="X121" s="2">
        <f t="shared" ca="1" si="8"/>
        <v>45508</v>
      </c>
      <c r="Y121">
        <f t="shared" ca="1" si="9"/>
        <v>0</v>
      </c>
      <c r="AA121" s="63">
        <f t="shared" ca="1" si="11"/>
        <v>41.120881123054211</v>
      </c>
      <c r="AB121" s="63">
        <f t="shared" ca="1" si="12"/>
        <v>41.120881123054211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45509</v>
      </c>
      <c r="K122">
        <f ca="1"/>
        <v>34.040611435800891</v>
      </c>
      <c r="L122">
        <f ca="1"/>
        <v>3.3240944843326474</v>
      </c>
      <c r="M122">
        <f ca="1"/>
        <v>8.3819536021827901E-2</v>
      </c>
      <c r="N122">
        <f ca="1"/>
        <v>0.66118179759982521</v>
      </c>
      <c r="O122">
        <f ca="1"/>
        <v>0</v>
      </c>
      <c r="P122">
        <f ca="1"/>
        <v>301.45255566248289</v>
      </c>
      <c r="Q122">
        <f ca="1"/>
        <v>271.60252022691606</v>
      </c>
      <c r="R122">
        <f ca="1"/>
        <v>0.64677161728021748</v>
      </c>
      <c r="S122">
        <f ca="1"/>
        <v>1</v>
      </c>
      <c r="T122">
        <f ca="1"/>
        <v>3.4500000000000028</v>
      </c>
      <c r="U122">
        <f ca="1"/>
        <v>0</v>
      </c>
      <c r="V122">
        <f ca="1"/>
        <v>0.88744926763930676</v>
      </c>
      <c r="X122" s="2">
        <f t="shared" ca="1" si="8"/>
        <v>45509</v>
      </c>
      <c r="Y122">
        <f t="shared" ca="1" si="9"/>
        <v>0</v>
      </c>
      <c r="AA122" s="63">
        <f t="shared" ca="1" si="11"/>
        <v>38.011477537413754</v>
      </c>
      <c r="AB122" s="63">
        <f t="shared" ca="1" si="12"/>
        <v>38.011477537413754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45510</v>
      </c>
      <c r="K123">
        <f ca="1"/>
        <v>31.473425173892874</v>
      </c>
      <c r="L123">
        <f ca="1"/>
        <v>3.1272735526600854</v>
      </c>
      <c r="M123">
        <f ca="1"/>
        <v>8.236396496667453E-2</v>
      </c>
      <c r="N123">
        <f ca="1"/>
        <v>0.66838842321564695</v>
      </c>
      <c r="O123">
        <f ca="1"/>
        <v>0</v>
      </c>
      <c r="P123">
        <f ca="1"/>
        <v>304.57982921514298</v>
      </c>
      <c r="Q123">
        <f ca="1"/>
        <v>274.42012904258803</v>
      </c>
      <c r="R123">
        <f ca="1"/>
        <v>0.19066509743025106</v>
      </c>
      <c r="S123">
        <f ca="1"/>
        <v>1</v>
      </c>
      <c r="T123">
        <f ca="1"/>
        <v>1.1000000000000085</v>
      </c>
      <c r="U123">
        <f ca="1"/>
        <v>0</v>
      </c>
      <c r="V123">
        <f ca="1"/>
        <v>0.8541924229112956</v>
      </c>
      <c r="X123" s="2">
        <f t="shared" ca="1" si="8"/>
        <v>45510</v>
      </c>
      <c r="Y123">
        <f t="shared" ca="1" si="9"/>
        <v>0</v>
      </c>
      <c r="AA123" s="63">
        <f t="shared" ca="1" si="11"/>
        <v>34.791363823983211</v>
      </c>
      <c r="AB123" s="63">
        <f t="shared" ca="1" si="12"/>
        <v>34.791363823983211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45511</v>
      </c>
      <c r="K124">
        <f ca="1"/>
        <v>29.205319527650964</v>
      </c>
      <c r="L124">
        <f ca="1"/>
        <v>2.5759669350770764</v>
      </c>
      <c r="M124">
        <f ca="1"/>
        <v>7.7449591495494019E-2</v>
      </c>
      <c r="N124">
        <f ca="1"/>
        <v>0.63412233162189835</v>
      </c>
      <c r="O124">
        <f ca="1"/>
        <v>0</v>
      </c>
      <c r="P124">
        <f ca="1"/>
        <v>307.15579615022006</v>
      </c>
      <c r="Q124">
        <f ca="1"/>
        <v>276.7410219938871</v>
      </c>
      <c r="R124">
        <f ca="1"/>
        <v>0.40371063428222537</v>
      </c>
      <c r="S124">
        <f ca="1"/>
        <v>1</v>
      </c>
      <c r="T124">
        <f ca="1"/>
        <v>2.5100000000000051</v>
      </c>
      <c r="U124">
        <f ca="1"/>
        <v>0</v>
      </c>
      <c r="V124">
        <f ca="1"/>
        <v>0.82446786830469654</v>
      </c>
      <c r="X124" s="2">
        <f t="shared" ca="1" si="8"/>
        <v>45511</v>
      </c>
      <c r="Y124">
        <f t="shared" ca="1" si="9"/>
        <v>0</v>
      </c>
      <c r="AA124" s="63">
        <f t="shared" ca="1" si="11"/>
        <v>32.184997097010267</v>
      </c>
      <c r="AB124" s="63">
        <f t="shared" ca="1" si="12"/>
        <v>32.184997097010267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45512</v>
      </c>
      <c r="K125">
        <f ca="1"/>
        <v>27.681353775533857</v>
      </c>
      <c r="L125">
        <f ca="1"/>
        <v>1.8481106463328274</v>
      </c>
      <c r="M125">
        <f ca="1"/>
        <v>7.0438795972378898E-2</v>
      </c>
      <c r="N125">
        <f ca="1"/>
        <v>0.57079801163728261</v>
      </c>
      <c r="O125">
        <f ca="1"/>
        <v>0</v>
      </c>
      <c r="P125">
        <f ca="1"/>
        <v>309.00390679655288</v>
      </c>
      <c r="Q125">
        <f ca="1"/>
        <v>278.40613147719887</v>
      </c>
      <c r="R125">
        <f ca="1"/>
        <v>0.31709191339394122</v>
      </c>
      <c r="S125">
        <f ca="1"/>
        <v>1</v>
      </c>
      <c r="T125">
        <f ca="1"/>
        <v>2.0799999999999983</v>
      </c>
      <c r="U125">
        <f ca="1"/>
        <v>0</v>
      </c>
      <c r="V125">
        <f ca="1"/>
        <v>0.80160795299065268</v>
      </c>
      <c r="X125" s="2">
        <f t="shared" ca="1" si="8"/>
        <v>45512</v>
      </c>
      <c r="Y125">
        <f t="shared" ca="1" si="9"/>
        <v>0</v>
      </c>
      <c r="AA125" s="63">
        <f t="shared" ca="1" si="11"/>
        <v>29.846556335260626</v>
      </c>
      <c r="AB125" s="63">
        <f t="shared" ca="1" si="12"/>
        <v>29.846556335260626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45513</v>
      </c>
      <c r="K126">
        <f ca="1"/>
        <v>26.823677305646509</v>
      </c>
      <c r="L126">
        <f ca="1"/>
        <v>1.4469557697773325</v>
      </c>
      <c r="M126">
        <f ca="1"/>
        <v>6.6132284248141104E-2</v>
      </c>
      <c r="N126">
        <f ca="1"/>
        <v>0.53644222961072929</v>
      </c>
      <c r="O126">
        <f ca="1"/>
        <v>0</v>
      </c>
      <c r="P126">
        <f ca="1"/>
        <v>310.45086256633022</v>
      </c>
      <c r="Q126">
        <f ca="1"/>
        <v>279.70980871046947</v>
      </c>
      <c r="R126">
        <f ca="1"/>
        <v>1.3295213968884067E-2</v>
      </c>
      <c r="S126">
        <f ca="1"/>
        <v>1</v>
      </c>
      <c r="T126">
        <f ca="1"/>
        <v>8.99999999999892E-2</v>
      </c>
      <c r="U126">
        <f ca="1"/>
        <v>0</v>
      </c>
      <c r="V126">
        <f ca="1"/>
        <v>0.78268020969855834</v>
      </c>
      <c r="X126" s="2">
        <f t="shared" ca="1" si="8"/>
        <v>45513</v>
      </c>
      <c r="Y126">
        <f t="shared" ca="1" si="9"/>
        <v>0</v>
      </c>
      <c r="AA126" s="63">
        <f t="shared" ca="1" si="11"/>
        <v>28.283928289392726</v>
      </c>
      <c r="AB126" s="63">
        <f t="shared" ca="1" si="12"/>
        <v>28.283928289392726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45514</v>
      </c>
      <c r="K127">
        <f ca="1"/>
        <v>25.190341186146853</v>
      </c>
      <c r="L127">
        <f ca="1"/>
        <v>1.8190023951017338</v>
      </c>
      <c r="M127">
        <f ca="1"/>
        <v>6.9064323797661586E-2</v>
      </c>
      <c r="N127">
        <f ca="1"/>
        <v>0.59244384603664579</v>
      </c>
      <c r="O127">
        <f ca="1"/>
        <v>0</v>
      </c>
      <c r="P127">
        <f ca="1"/>
        <v>312.26986496143195</v>
      </c>
      <c r="Q127">
        <f ca="1"/>
        <v>281.34869226122487</v>
      </c>
      <c r="R127">
        <f ca="1"/>
        <v>0.47584189423222994</v>
      </c>
      <c r="S127">
        <f ca="1"/>
        <v>1</v>
      </c>
      <c r="T127">
        <f ca="1"/>
        <v>3.4300000000000068</v>
      </c>
      <c r="U127">
        <f ca="1"/>
        <v>0</v>
      </c>
      <c r="V127">
        <f ca="1"/>
        <v>0.75742100298129122</v>
      </c>
      <c r="X127" s="2">
        <f t="shared" ca="1" si="8"/>
        <v>45514</v>
      </c>
      <c r="Y127">
        <f t="shared" ca="1" si="9"/>
        <v>0</v>
      </c>
      <c r="AA127" s="63">
        <f t="shared" ca="1" si="11"/>
        <v>27.485185475480815</v>
      </c>
      <c r="AB127" s="63">
        <f t="shared" ca="1" si="12"/>
        <v>27.485185475480815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45515</v>
      </c>
      <c r="K128">
        <f ca="1"/>
        <v>23.517752391608141</v>
      </c>
      <c r="L128">
        <f ca="1"/>
        <v>1.8740307797268088</v>
      </c>
      <c r="M128">
        <f ca="1"/>
        <v>6.9402375855823095E-2</v>
      </c>
      <c r="N128">
        <f ca="1"/>
        <v>0.61773232176766324</v>
      </c>
      <c r="O128">
        <f ca="1"/>
        <v>0</v>
      </c>
      <c r="P128">
        <f ca="1"/>
        <v>314.14389574115876</v>
      </c>
      <c r="Q128">
        <f ca="1"/>
        <v>283.03715524883506</v>
      </c>
      <c r="R128">
        <f ca="1"/>
        <v>0.48569271243538559</v>
      </c>
      <c r="S128">
        <f ca="1"/>
        <v>1</v>
      </c>
      <c r="T128">
        <f ca="1"/>
        <v>3.75</v>
      </c>
      <c r="U128">
        <f ca="1"/>
        <v>0</v>
      </c>
      <c r="V128">
        <f ca="1"/>
        <v>0.72942926994368662</v>
      </c>
      <c r="X128" s="2">
        <f t="shared" ca="1" si="8"/>
        <v>45515</v>
      </c>
      <c r="Y128">
        <f t="shared" ca="1" si="9"/>
        <v>0</v>
      </c>
      <c r="AA128" s="63">
        <f t="shared" ca="1" si="11"/>
        <v>25.877475883770337</v>
      </c>
      <c r="AB128" s="63">
        <f t="shared" ca="1" si="12"/>
        <v>25.877475883770337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45516</v>
      </c>
      <c r="K129">
        <f ca="1"/>
        <v>22.136791980822345</v>
      </c>
      <c r="L129">
        <f ca="1"/>
        <v>1.852728672410592</v>
      </c>
      <c r="M129">
        <f ca="1"/>
        <v>6.9172450832319043E-2</v>
      </c>
      <c r="N129">
        <f ca="1"/>
        <v>0.6366683242592589</v>
      </c>
      <c r="O129">
        <f ca="1"/>
        <v>0</v>
      </c>
      <c r="P129">
        <f ca="1"/>
        <v>315.99662441356935</v>
      </c>
      <c r="Q129">
        <f ca="1"/>
        <v>284.70642547816692</v>
      </c>
      <c r="R129">
        <f ca="1"/>
        <v>0.23407251346678254</v>
      </c>
      <c r="S129">
        <f ca="1"/>
        <v>1</v>
      </c>
      <c r="T129">
        <f ca="1"/>
        <v>1.9200000000000017</v>
      </c>
      <c r="U129">
        <f ca="1"/>
        <v>0</v>
      </c>
      <c r="V129">
        <f ca="1"/>
        <v>0.69943812740339606</v>
      </c>
      <c r="X129" s="2">
        <f t="shared" ca="1" si="8"/>
        <v>45516</v>
      </c>
      <c r="Y129">
        <f t="shared" ca="1" si="9"/>
        <v>0</v>
      </c>
      <c r="AA129" s="63">
        <f t="shared" ca="1" si="11"/>
        <v>24.223593166699718</v>
      </c>
      <c r="AB129" s="63">
        <f t="shared" ca="1" si="12"/>
        <v>24.223593166699718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45517</v>
      </c>
      <c r="K130">
        <f ca="1"/>
        <v>20.430432342182371</v>
      </c>
      <c r="L130">
        <f ca="1"/>
        <v>1.8042621992154295</v>
      </c>
      <c r="M130">
        <f ca="1"/>
        <v>6.8814832862791775E-2</v>
      </c>
      <c r="N130">
        <f ca="1"/>
        <v>0.65467348789473667</v>
      </c>
      <c r="O130">
        <f ca="1"/>
        <v>0</v>
      </c>
      <c r="P130">
        <f ca="1"/>
        <v>317.80088661278478</v>
      </c>
      <c r="Q130">
        <f ca="1"/>
        <v>286.33202841717713</v>
      </c>
      <c r="R130">
        <f ca="1"/>
        <v>0.62558576018207146</v>
      </c>
      <c r="S130">
        <f ca="1"/>
        <v>1</v>
      </c>
      <c r="T130">
        <f ca="1"/>
        <v>5.5600000000000023</v>
      </c>
      <c r="U130">
        <f ca="1"/>
        <v>0</v>
      </c>
      <c r="V130">
        <f ca="1"/>
        <v>0.66758086932726524</v>
      </c>
      <c r="X130" s="2">
        <f t="shared" ca="1" si="8"/>
        <v>45517</v>
      </c>
      <c r="Y130">
        <f t="shared" ca="1" si="9"/>
        <v>0</v>
      </c>
      <c r="AA130" s="63">
        <f t="shared" ca="1" si="11"/>
        <v>22.860280301579873</v>
      </c>
      <c r="AB130" s="63">
        <f t="shared" ca="1" si="12"/>
        <v>22.860280301579873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45518</v>
      </c>
      <c r="K131">
        <f ca="1"/>
        <v>19.375521917007994</v>
      </c>
      <c r="L131">
        <f ca="1"/>
        <v>1.5356657674929011</v>
      </c>
      <c r="M131">
        <f ca="1"/>
        <v>6.5583334861280207E-2</v>
      </c>
      <c r="N131">
        <f ca="1"/>
        <v>0.63285178412484966</v>
      </c>
      <c r="O131">
        <f ca="1"/>
        <v>0</v>
      </c>
      <c r="P131">
        <f ca="1"/>
        <v>319.33655238027768</v>
      </c>
      <c r="Q131">
        <f ca="1"/>
        <v>287.71563152434163</v>
      </c>
      <c r="R131">
        <f ca="1"/>
        <v>0.21767977666760355</v>
      </c>
      <c r="S131">
        <f ca="1"/>
        <v>1</v>
      </c>
      <c r="T131">
        <f ca="1"/>
        <v>2.0400000000000063</v>
      </c>
      <c r="U131">
        <f ca="1"/>
        <v>0</v>
      </c>
      <c r="V131">
        <f ca="1"/>
        <v>0.63798960868751187</v>
      </c>
      <c r="X131" s="2">
        <f t="shared" ca="1" si="8"/>
        <v>45518</v>
      </c>
      <c r="Y131">
        <f t="shared" ca="1" si="9"/>
        <v>0</v>
      </c>
      <c r="AA131" s="63">
        <f t="shared" ca="1" si="11"/>
        <v>21.1288674611685</v>
      </c>
      <c r="AB131" s="63">
        <f t="shared" ca="1" si="12"/>
        <v>21.1288674611685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45519</v>
      </c>
      <c r="K132">
        <f ca="1"/>
        <v>18.570086531951791</v>
      </c>
      <c r="L132">
        <f ca="1"/>
        <v>1.4894141296389307</v>
      </c>
      <c r="M132">
        <f ca="1"/>
        <v>6.516336494368602E-2</v>
      </c>
      <c r="N132">
        <f ca="1"/>
        <v>0.64949639217008948</v>
      </c>
      <c r="O132">
        <f ca="1"/>
        <v>0</v>
      </c>
      <c r="P132">
        <f ca="1"/>
        <v>320.82596650991661</v>
      </c>
      <c r="Q132">
        <f ca="1"/>
        <v>289.05756286203587</v>
      </c>
      <c r="R132">
        <f ca="1"/>
        <v>3.0681012531049042E-2</v>
      </c>
      <c r="S132">
        <f ca="1"/>
        <v>1</v>
      </c>
      <c r="T132">
        <f ca="1"/>
        <v>0.29999999999998295</v>
      </c>
      <c r="U132">
        <f ca="1"/>
        <v>0</v>
      </c>
      <c r="V132">
        <f ca="1"/>
        <v>0.60666552647876393</v>
      </c>
      <c r="X132" s="2">
        <f t="shared" ca="1" si="8"/>
        <v>45519</v>
      </c>
      <c r="Y132">
        <f t="shared" ca="1" si="9"/>
        <v>0</v>
      </c>
      <c r="AA132" s="63">
        <f t="shared" ca="1" si="11"/>
        <v>20.090181674121769</v>
      </c>
      <c r="AB132" s="63">
        <f t="shared" ca="1" si="12"/>
        <v>20.090181674121769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45520</v>
      </c>
      <c r="K133">
        <f ca="1"/>
        <v>17.43751518861691</v>
      </c>
      <c r="L133">
        <f ca="1"/>
        <v>1.3378952309228112</v>
      </c>
      <c r="M133">
        <f ca="1"/>
        <v>6.3229343073501809E-2</v>
      </c>
      <c r="N133">
        <f ca="1"/>
        <v>0.64434552546887836</v>
      </c>
      <c r="O133">
        <f ca="1"/>
        <v>0</v>
      </c>
      <c r="P133">
        <f ca="1"/>
        <v>322.16386174083942</v>
      </c>
      <c r="Q133">
        <f ca="1"/>
        <v>290.26297880458657</v>
      </c>
      <c r="R133">
        <f ca="1"/>
        <v>0.50225098095445186</v>
      </c>
      <c r="S133">
        <f ca="1"/>
        <v>1</v>
      </c>
      <c r="T133">
        <f ca="1"/>
        <v>5.2299999999999898</v>
      </c>
      <c r="U133">
        <f ca="1"/>
        <v>0</v>
      </c>
      <c r="V133">
        <f ca="1"/>
        <v>0.57587462013739876</v>
      </c>
      <c r="X133" s="2">
        <f t="shared" ca="1" si="8"/>
        <v>45520</v>
      </c>
      <c r="Y133">
        <f t="shared" ca="1" si="9"/>
        <v>0</v>
      </c>
      <c r="AA133" s="63">
        <f t="shared" ca="1" si="11"/>
        <v>19.277661400494171</v>
      </c>
      <c r="AB133" s="63">
        <f t="shared" ca="1" si="12"/>
        <v>19.277661400494171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45521</v>
      </c>
      <c r="K134">
        <f ca="1"/>
        <v>16.891854395817536</v>
      </c>
      <c r="L134">
        <f ca="1"/>
        <v>1.0213085745888861</v>
      </c>
      <c r="M134">
        <f ca="1"/>
        <v>5.8449397487336796E-2</v>
      </c>
      <c r="N134">
        <f ca="1"/>
        <v>0.59488110778745396</v>
      </c>
      <c r="O134">
        <f ca="1"/>
        <v>0</v>
      </c>
      <c r="P134">
        <f ca="1"/>
        <v>323.18517031542831</v>
      </c>
      <c r="Q134">
        <f ca="1"/>
        <v>291.18315671509748</v>
      </c>
      <c r="R134">
        <f ca="1"/>
        <v>0.17768272348528036</v>
      </c>
      <c r="S134">
        <f ca="1"/>
        <v>1</v>
      </c>
      <c r="T134">
        <f ca="1"/>
        <v>1.9099999999999966</v>
      </c>
      <c r="U134">
        <f ca="1"/>
        <v>0</v>
      </c>
      <c r="V134">
        <f ca="1"/>
        <v>0.55034882548644037</v>
      </c>
      <c r="X134" s="2">
        <f t="shared" ca="1" si="8"/>
        <v>45521</v>
      </c>
      <c r="Y134">
        <f t="shared" ca="1" si="9"/>
        <v>0</v>
      </c>
      <c r="AA134" s="63">
        <f t="shared" ca="1" si="11"/>
        <v>18.090845693891701</v>
      </c>
      <c r="AB134" s="63">
        <f t="shared" ca="1" si="12"/>
        <v>18.090845693891701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ref="I135:I198" ca="1" si="14">AND(IF(J135&gt;($J$3-1),TRUE,FALSE),IF(J135&lt;($J$4+1),TRUE,FALSE))</f>
        <v>1</v>
      </c>
      <c r="J135" s="2">
        <f ca="1"/>
        <v>45522</v>
      </c>
      <c r="K135">
        <f ca="1"/>
        <v>16.434267228603449</v>
      </c>
      <c r="L135">
        <f ca="1"/>
        <v>1.1011028753024448</v>
      </c>
      <c r="M135">
        <f ca="1"/>
        <v>5.9710505048258256E-2</v>
      </c>
      <c r="N135">
        <f ca="1"/>
        <v>0.63539451147076209</v>
      </c>
      <c r="O135">
        <f ca="1"/>
        <v>0</v>
      </c>
      <c r="P135">
        <f ca="1"/>
        <v>324.28627319073075</v>
      </c>
      <c r="Q135">
        <f ca="1"/>
        <v>292.17522764083247</v>
      </c>
      <c r="R135">
        <f ca="1"/>
        <v>5.1589308430658905E-2</v>
      </c>
      <c r="S135">
        <f ca="1"/>
        <v>1</v>
      </c>
      <c r="T135">
        <f ca="1"/>
        <v>0.56999999999999318</v>
      </c>
      <c r="U135">
        <f ca="1"/>
        <v>0</v>
      </c>
      <c r="V135">
        <f ca="1"/>
        <v>0.5204909769129954</v>
      </c>
      <c r="X135" s="2">
        <f t="shared" ref="X135:X198" ca="1" si="15">IFERROR(J135,$X$5)</f>
        <v>45522</v>
      </c>
      <c r="Y135">
        <f t="shared" ref="Y135:Y198" ca="1" si="16">IFERROR(O135,0)</f>
        <v>0</v>
      </c>
      <c r="AA135" s="63">
        <f t="shared" ca="1" si="11"/>
        <v>17.586959412336554</v>
      </c>
      <c r="AB135" s="63">
        <f t="shared" ca="1" si="12"/>
        <v>17.586959412336554</v>
      </c>
      <c r="AC135" s="3">
        <f t="shared" ca="1" si="13"/>
        <v>0</v>
      </c>
    </row>
    <row r="136" spans="8:29">
      <c r="H136" t="b">
        <f t="shared" ref="H136:H199" ca="1" si="17">IF(J136&lt;$J$4,TRUE,FALSE)</f>
        <v>1</v>
      </c>
      <c r="I136" t="b">
        <f t="shared" ca="1" si="14"/>
        <v>1</v>
      </c>
      <c r="J136" s="2">
        <f ca="1"/>
        <v>45523</v>
      </c>
      <c r="K136">
        <f ca="1"/>
        <v>15.958608164172588</v>
      </c>
      <c r="L136">
        <f ca="1"/>
        <v>0.96032670187378244</v>
      </c>
      <c r="M136">
        <f ca="1"/>
        <v>5.7409873877951156E-2</v>
      </c>
      <c r="N136">
        <f ca="1"/>
        <v>0.62149021481529321</v>
      </c>
      <c r="O136">
        <f ca="1"/>
        <v>0</v>
      </c>
      <c r="P136">
        <f ca="1"/>
        <v>325.24659989260454</v>
      </c>
      <c r="Q136">
        <f ca="1"/>
        <v>293.04046214480587</v>
      </c>
      <c r="R136">
        <f ca="1"/>
        <v>0.19423245125032157</v>
      </c>
      <c r="S136">
        <f ca="1"/>
        <v>1</v>
      </c>
      <c r="T136">
        <f ca="1"/>
        <v>2.210000000000008</v>
      </c>
      <c r="U136">
        <f ca="1"/>
        <v>0</v>
      </c>
      <c r="V136">
        <f ca="1"/>
        <v>0.49209936197485371</v>
      </c>
      <c r="X136" s="2">
        <f t="shared" ca="1" si="15"/>
        <v>45523</v>
      </c>
      <c r="Y136">
        <f t="shared" ca="1" si="16"/>
        <v>0</v>
      </c>
      <c r="AA136" s="63">
        <f t="shared" ca="1" si="11"/>
        <v>17.113167317296693</v>
      </c>
      <c r="AB136" s="63">
        <f t="shared" ca="1" si="12"/>
        <v>17.113167317296693</v>
      </c>
      <c r="AC136" s="3">
        <f t="shared" ca="1" si="13"/>
        <v>0</v>
      </c>
    </row>
    <row r="137" spans="8:29">
      <c r="H137" t="b">
        <f t="shared" ca="1" si="17"/>
        <v>1</v>
      </c>
      <c r="I137" t="b">
        <f t="shared" ca="1" si="14"/>
        <v>1</v>
      </c>
      <c r="J137" s="2">
        <f ca="1"/>
        <v>45524</v>
      </c>
      <c r="K137">
        <f ca="1"/>
        <v>15.630047220613463</v>
      </c>
      <c r="L137">
        <f ca="1"/>
        <v>0.98296308813047517</v>
      </c>
      <c r="M137">
        <f ca="1"/>
        <v>5.8049838310694213E-2</v>
      </c>
      <c r="N137">
        <f ca="1"/>
        <v>0.65402491528048512</v>
      </c>
      <c r="O137">
        <f ca="1"/>
        <v>0</v>
      </c>
      <c r="P137">
        <f ca="1"/>
        <v>326.22956298073501</v>
      </c>
      <c r="Q137">
        <f ca="1"/>
        <v>293.92609156479716</v>
      </c>
      <c r="R137">
        <f ca="1"/>
        <v>5.7672609019828958E-2</v>
      </c>
      <c r="S137">
        <f ca="1"/>
        <v>1</v>
      </c>
      <c r="T137">
        <f ca="1"/>
        <v>0.67000000000000171</v>
      </c>
      <c r="U137">
        <f ca="1"/>
        <v>0</v>
      </c>
      <c r="V137">
        <f ca="1"/>
        <v>0.46030875088214573</v>
      </c>
      <c r="X137" s="2">
        <f t="shared" ca="1" si="15"/>
        <v>45524</v>
      </c>
      <c r="Y137">
        <f t="shared" ca="1" si="16"/>
        <v>0</v>
      </c>
      <c r="AA137" s="63">
        <f t="shared" ref="AA137:AA200" ca="1" si="18">K136+M137+N137+O137</f>
        <v>16.670682917763767</v>
      </c>
      <c r="AB137" s="63">
        <f t="shared" ref="AB137:AB200" ca="1" si="19">K137+L137+R137</f>
        <v>16.670682917763767</v>
      </c>
      <c r="AC137" s="3">
        <f t="shared" ref="AC137:AC200" ca="1" si="20">AB137-AA137</f>
        <v>0</v>
      </c>
    </row>
    <row r="138" spans="8:29">
      <c r="H138" t="b">
        <f t="shared" ca="1" si="17"/>
        <v>1</v>
      </c>
      <c r="I138" t="b">
        <f t="shared" ca="1" si="14"/>
        <v>1</v>
      </c>
      <c r="J138" s="2">
        <f ca="1"/>
        <v>45525</v>
      </c>
      <c r="K138">
        <f ca="1"/>
        <v>15.2407835487051</v>
      </c>
      <c r="L138">
        <f ca="1"/>
        <v>0.84870340043477199</v>
      </c>
      <c r="M138">
        <f ca="1"/>
        <v>5.5673910392222581E-2</v>
      </c>
      <c r="N138">
        <f ca="1"/>
        <v>0.63794377057385421</v>
      </c>
      <c r="O138">
        <f ca="1"/>
        <v>0</v>
      </c>
      <c r="P138">
        <f ca="1"/>
        <v>327.07826638116978</v>
      </c>
      <c r="Q138">
        <f ca="1"/>
        <v>294.69075578194622</v>
      </c>
      <c r="R138">
        <f ca="1"/>
        <v>0.2341779524396693</v>
      </c>
      <c r="S138">
        <f ca="1"/>
        <v>1</v>
      </c>
      <c r="T138">
        <f ca="1"/>
        <v>2.7900000000000063</v>
      </c>
      <c r="U138">
        <f ca="1"/>
        <v>0</v>
      </c>
      <c r="V138">
        <f ca="1"/>
        <v>0.43018431437500948</v>
      </c>
      <c r="X138" s="2">
        <f t="shared" ca="1" si="15"/>
        <v>45525</v>
      </c>
      <c r="Y138">
        <f t="shared" ca="1" si="16"/>
        <v>0</v>
      </c>
      <c r="AA138" s="63">
        <f t="shared" ca="1" si="18"/>
        <v>16.323664901579541</v>
      </c>
      <c r="AB138" s="63">
        <f t="shared" ca="1" si="19"/>
        <v>16.323664901579541</v>
      </c>
      <c r="AC138" s="3">
        <f t="shared" ca="1" si="20"/>
        <v>0</v>
      </c>
    </row>
    <row r="139" spans="8:29">
      <c r="H139" t="b">
        <f t="shared" ca="1" si="17"/>
        <v>1</v>
      </c>
      <c r="I139" t="b">
        <f t="shared" ca="1" si="14"/>
        <v>1</v>
      </c>
      <c r="J139" s="2">
        <f ca="1"/>
        <v>45526</v>
      </c>
      <c r="K139">
        <f ca="1"/>
        <v>15.149078194246144</v>
      </c>
      <c r="L139">
        <f ca="1"/>
        <v>0.78471323596642151</v>
      </c>
      <c r="M139">
        <f ca="1"/>
        <v>5.4565153228999463E-2</v>
      </c>
      <c r="N139">
        <f ca="1"/>
        <v>0.64177991651835986</v>
      </c>
      <c r="O139">
        <f ca="1"/>
        <v>0</v>
      </c>
      <c r="P139">
        <f ca="1"/>
        <v>327.8629796171362</v>
      </c>
      <c r="Q139">
        <f ca="1"/>
        <v>295.39776618388328</v>
      </c>
      <c r="R139">
        <f ca="1"/>
        <v>3.3371882398924263E-3</v>
      </c>
      <c r="S139">
        <f ca="1"/>
        <v>1</v>
      </c>
      <c r="T139">
        <f ca="1"/>
        <v>4.0000000000006253E-2</v>
      </c>
      <c r="U139">
        <f ca="1"/>
        <v>0</v>
      </c>
      <c r="V139">
        <f ca="1"/>
        <v>0.39965999596733592</v>
      </c>
      <c r="X139" s="2">
        <f t="shared" ca="1" si="15"/>
        <v>45526</v>
      </c>
      <c r="Y139">
        <f t="shared" ca="1" si="16"/>
        <v>0</v>
      </c>
      <c r="AA139" s="63">
        <f t="shared" ca="1" si="18"/>
        <v>15.937128618452459</v>
      </c>
      <c r="AB139" s="63">
        <f t="shared" ca="1" si="19"/>
        <v>15.937128618452459</v>
      </c>
      <c r="AC139" s="3">
        <f t="shared" ca="1" si="20"/>
        <v>0</v>
      </c>
    </row>
    <row r="140" spans="8:29">
      <c r="H140" t="b">
        <f t="shared" ca="1" si="17"/>
        <v>1</v>
      </c>
      <c r="I140" t="b">
        <f t="shared" ca="1" si="14"/>
        <v>1</v>
      </c>
      <c r="J140" s="2">
        <f ca="1"/>
        <v>45527</v>
      </c>
      <c r="K140">
        <f ca="1"/>
        <v>15.103976563693545</v>
      </c>
      <c r="L140">
        <f ca="1"/>
        <v>0.76133412019260049</v>
      </c>
      <c r="M140">
        <f ca="1"/>
        <v>5.4397601164353659E-2</v>
      </c>
      <c r="N140">
        <f ca="1"/>
        <v>0.6618348884756482</v>
      </c>
      <c r="O140">
        <f ca="1"/>
        <v>0</v>
      </c>
      <c r="P140">
        <f ca="1"/>
        <v>328.62431373732881</v>
      </c>
      <c r="Q140">
        <f ca="1"/>
        <v>296.08371248586315</v>
      </c>
      <c r="R140">
        <f ca="1"/>
        <v>0</v>
      </c>
      <c r="S140">
        <f ca="1"/>
        <v>0.98304347826086935</v>
      </c>
      <c r="T140">
        <f ca="1"/>
        <v>0</v>
      </c>
      <c r="U140">
        <f ca="1"/>
        <v>0</v>
      </c>
      <c r="V140">
        <f ca="1"/>
        <v>0.36706962107355356</v>
      </c>
      <c r="X140" s="2">
        <f t="shared" ca="1" si="15"/>
        <v>45527</v>
      </c>
      <c r="Y140">
        <f t="shared" ca="1" si="16"/>
        <v>0</v>
      </c>
      <c r="AA140" s="63">
        <f t="shared" ca="1" si="18"/>
        <v>15.865310683886145</v>
      </c>
      <c r="AB140" s="63">
        <f t="shared" ca="1" si="19"/>
        <v>15.865310683886145</v>
      </c>
      <c r="AC140" s="3">
        <f t="shared" ca="1" si="20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45528</v>
      </c>
      <c r="K141">
        <f ca="1"/>
        <v>15.140737572114221</v>
      </c>
      <c r="L141">
        <f ca="1"/>
        <v>0.66647828086331629</v>
      </c>
      <c r="M141">
        <f ca="1"/>
        <v>5.2451083583186175E-2</v>
      </c>
      <c r="N141">
        <f ca="1"/>
        <v>0.65078820570080542</v>
      </c>
      <c r="O141">
        <f ca="1"/>
        <v>0</v>
      </c>
      <c r="P141">
        <f ca="1"/>
        <v>329.29079201819212</v>
      </c>
      <c r="Q141">
        <f ca="1"/>
        <v>296.68419563771823</v>
      </c>
      <c r="R141">
        <f ca="1"/>
        <v>0</v>
      </c>
      <c r="S141">
        <f ca="1"/>
        <v>0.99791953521597665</v>
      </c>
      <c r="T141">
        <f ca="1"/>
        <v>0</v>
      </c>
      <c r="U141">
        <f ca="1"/>
        <v>0</v>
      </c>
      <c r="V141">
        <f ca="1"/>
        <v>0.3356122448979596</v>
      </c>
      <c r="X141" s="2">
        <f t="shared" ca="1" si="15"/>
        <v>45528</v>
      </c>
      <c r="Y141">
        <f t="shared" ca="1" si="16"/>
        <v>0</v>
      </c>
      <c r="AA141" s="63">
        <f t="shared" ca="1" si="18"/>
        <v>15.807215852977537</v>
      </c>
      <c r="AB141" s="63">
        <f t="shared" ca="1" si="19"/>
        <v>15.807215852977537</v>
      </c>
      <c r="AC141" s="3">
        <f t="shared" ca="1" si="20"/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45529</v>
      </c>
      <c r="K142">
        <f ca="1"/>
        <v>15.067477343832852</v>
      </c>
      <c r="L142">
        <f ca="1"/>
        <v>0.72617215381779943</v>
      </c>
      <c r="M142">
        <f ca="1"/>
        <v>5.4808255511495929E-2</v>
      </c>
      <c r="N142">
        <f ca="1"/>
        <v>0.71748127119442984</v>
      </c>
      <c r="O142">
        <f ca="1"/>
        <v>0</v>
      </c>
      <c r="P142">
        <f ca="1"/>
        <v>330.01696417200992</v>
      </c>
      <c r="Q142">
        <f ca="1"/>
        <v>297.33846173495562</v>
      </c>
      <c r="R142">
        <f ca="1"/>
        <v>0.11937760116949533</v>
      </c>
      <c r="S142">
        <f ca="1"/>
        <v>1</v>
      </c>
      <c r="T142">
        <f ca="1"/>
        <v>1.4386256348741995</v>
      </c>
      <c r="U142">
        <f ca="1"/>
        <v>0</v>
      </c>
      <c r="V142">
        <f ca="1"/>
        <v>0.29749017038007886</v>
      </c>
      <c r="X142" s="2">
        <f t="shared" ca="1" si="15"/>
        <v>45529</v>
      </c>
      <c r="Y142">
        <f t="shared" ca="1" si="16"/>
        <v>0</v>
      </c>
      <c r="AA142" s="63">
        <f t="shared" ca="1" si="18"/>
        <v>15.913027098820146</v>
      </c>
      <c r="AB142" s="63">
        <f t="shared" ca="1" si="19"/>
        <v>15.913027098820146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45530</v>
      </c>
      <c r="K143">
        <f ca="1"/>
        <v>15.191509498738643</v>
      </c>
      <c r="L143">
        <f ca="1"/>
        <v>0.64901440946556477</v>
      </c>
      <c r="M143">
        <f ca="1"/>
        <v>5.3500448419271152E-2</v>
      </c>
      <c r="N143">
        <f ca="1"/>
        <v>0.71954611595208495</v>
      </c>
      <c r="O143">
        <f ca="1"/>
        <v>0</v>
      </c>
      <c r="P143">
        <f ca="1"/>
        <v>330.66597858147549</v>
      </c>
      <c r="Q143">
        <f ca="1"/>
        <v>297.92321029974067</v>
      </c>
      <c r="R143">
        <f ca="1"/>
        <v>0</v>
      </c>
      <c r="S143">
        <f ca="1"/>
        <v>0.9910144927536233</v>
      </c>
      <c r="T143">
        <f ca="1"/>
        <v>0</v>
      </c>
      <c r="U143">
        <f ca="1"/>
        <v>0</v>
      </c>
      <c r="V143">
        <f ca="1"/>
        <v>0.25916815491192979</v>
      </c>
      <c r="X143" s="2">
        <f t="shared" ca="1" si="15"/>
        <v>45530</v>
      </c>
      <c r="Y143">
        <f t="shared" ca="1" si="16"/>
        <v>0</v>
      </c>
      <c r="AA143" s="63">
        <f t="shared" ca="1" si="18"/>
        <v>15.840523908204208</v>
      </c>
      <c r="AB143" s="63">
        <f t="shared" ca="1" si="19"/>
        <v>15.840523908204208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45531</v>
      </c>
      <c r="K144">
        <f ca="1"/>
        <v>15.37968676559565</v>
      </c>
      <c r="L144">
        <f ca="1"/>
        <v>0.60763571738374367</v>
      </c>
      <c r="M144">
        <f ca="1"/>
        <v>5.3305586541476657E-2</v>
      </c>
      <c r="N144">
        <f ca="1"/>
        <v>0.74250739769927476</v>
      </c>
      <c r="O144">
        <f ca="1"/>
        <v>0</v>
      </c>
      <c r="P144">
        <f ca="1"/>
        <v>331.27361429885923</v>
      </c>
      <c r="Q144">
        <f ca="1"/>
        <v>298.47067751844986</v>
      </c>
      <c r="R144">
        <f ca="1"/>
        <v>0</v>
      </c>
      <c r="S144">
        <f ca="1"/>
        <v>0.9949494811898667</v>
      </c>
      <c r="T144">
        <f ca="1"/>
        <v>0</v>
      </c>
      <c r="U144">
        <f ca="1"/>
        <v>0</v>
      </c>
      <c r="V144">
        <f ca="1"/>
        <v>0.21864678899082601</v>
      </c>
      <c r="X144" s="2">
        <f t="shared" ca="1" si="15"/>
        <v>45531</v>
      </c>
      <c r="Y144">
        <f t="shared" ca="1" si="16"/>
        <v>0</v>
      </c>
      <c r="AA144" s="63">
        <f t="shared" ca="1" si="18"/>
        <v>15.987322482979394</v>
      </c>
      <c r="AB144" s="63">
        <f t="shared" ca="1" si="19"/>
        <v>15.987322482979394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45532</v>
      </c>
      <c r="K145">
        <f ca="1"/>
        <v>15.543431532398468</v>
      </c>
      <c r="L145">
        <f ca="1"/>
        <v>0.49433996851587381</v>
      </c>
      <c r="M145">
        <f ca="1"/>
        <v>5.0151576580944379E-2</v>
      </c>
      <c r="N145">
        <f ca="1"/>
        <v>0.70789488667172806</v>
      </c>
      <c r="O145">
        <f ca="1"/>
        <v>0</v>
      </c>
      <c r="P145">
        <f ca="1"/>
        <v>331.7679542673751</v>
      </c>
      <c r="Q145">
        <f ca="1"/>
        <v>298.91606760977874</v>
      </c>
      <c r="R145">
        <f ca="1"/>
        <v>9.9961727933980019E-2</v>
      </c>
      <c r="S145">
        <f ca="1"/>
        <v>1</v>
      </c>
      <c r="T145">
        <f ca="1"/>
        <v>1.1677566371072601</v>
      </c>
      <c r="U145">
        <f ca="1"/>
        <v>0</v>
      </c>
      <c r="V145">
        <f ca="1"/>
        <v>0.18145777224086579</v>
      </c>
      <c r="X145" s="2">
        <f t="shared" ca="1" si="15"/>
        <v>45532</v>
      </c>
      <c r="Y145">
        <f t="shared" ca="1" si="16"/>
        <v>0</v>
      </c>
      <c r="AA145" s="63">
        <f t="shared" ca="1" si="18"/>
        <v>16.137733228848322</v>
      </c>
      <c r="AB145" s="63">
        <f t="shared" ca="1" si="19"/>
        <v>16.137733228848322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45533</v>
      </c>
      <c r="K146">
        <f ca="1"/>
        <v>15.859133878150111</v>
      </c>
      <c r="L146">
        <f ca="1"/>
        <v>0.48033075032185479</v>
      </c>
      <c r="M146">
        <f ca="1"/>
        <v>5.071155798004412E-2</v>
      </c>
      <c r="N146">
        <f ca="1"/>
        <v>0.74532153809345358</v>
      </c>
      <c r="O146">
        <f ca="1"/>
        <v>0</v>
      </c>
      <c r="P146">
        <f ca="1"/>
        <v>332.24828501769696</v>
      </c>
      <c r="Q146">
        <f ca="1"/>
        <v>299.34883568515028</v>
      </c>
      <c r="R146">
        <f ca="1"/>
        <v>0</v>
      </c>
      <c r="S146">
        <f ca="1"/>
        <v>0.9969565217391303</v>
      </c>
      <c r="T146">
        <f ca="1"/>
        <v>0</v>
      </c>
      <c r="U146">
        <f ca="1"/>
        <v>0</v>
      </c>
      <c r="V146">
        <f ca="1"/>
        <v>0.14066981838607051</v>
      </c>
      <c r="X146" s="2">
        <f t="shared" ca="1" si="15"/>
        <v>45533</v>
      </c>
      <c r="Y146">
        <f t="shared" ca="1" si="16"/>
        <v>0</v>
      </c>
      <c r="AA146" s="63">
        <f t="shared" ca="1" si="18"/>
        <v>16.339464628471966</v>
      </c>
      <c r="AB146" s="63">
        <f t="shared" ca="1" si="19"/>
        <v>16.339464628471966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45534</v>
      </c>
      <c r="K147">
        <f ca="1"/>
        <v>16.227392308621681</v>
      </c>
      <c r="L147">
        <f ca="1"/>
        <v>0.39366477383623533</v>
      </c>
      <c r="M147">
        <f ca="1"/>
        <v>4.7875008227237004E-2</v>
      </c>
      <c r="N147">
        <f ca="1"/>
        <v>0.71404819608056869</v>
      </c>
      <c r="O147">
        <f ca="1"/>
        <v>0</v>
      </c>
      <c r="P147">
        <f ca="1"/>
        <v>332.64194979153319</v>
      </c>
      <c r="Q147">
        <f ca="1"/>
        <v>299.70351950749671</v>
      </c>
      <c r="R147">
        <f ca="1"/>
        <v>0</v>
      </c>
      <c r="S147">
        <f ca="1"/>
        <v>0.99586872399495152</v>
      </c>
      <c r="T147">
        <f ca="1"/>
        <v>0</v>
      </c>
      <c r="U147">
        <f ca="1"/>
        <v>0</v>
      </c>
      <c r="V147">
        <f ca="1"/>
        <v>0.10288097878530411</v>
      </c>
      <c r="X147" s="2">
        <f t="shared" ca="1" si="15"/>
        <v>45534</v>
      </c>
      <c r="Y147">
        <f t="shared" ca="1" si="16"/>
        <v>0</v>
      </c>
      <c r="AA147" s="63">
        <f t="shared" ca="1" si="18"/>
        <v>16.621057082457916</v>
      </c>
      <c r="AB147" s="63">
        <f t="shared" ca="1" si="19"/>
        <v>16.621057082457916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45535</v>
      </c>
      <c r="K148">
        <f ca="1"/>
        <v>16.631631939009505</v>
      </c>
      <c r="L148">
        <f ca="1"/>
        <v>0.3176570310862985</v>
      </c>
      <c r="M148">
        <f ca="1"/>
        <v>4.4927058773694739E-2</v>
      </c>
      <c r="N148">
        <f ca="1"/>
        <v>0.67696960270042861</v>
      </c>
      <c r="O148">
        <f ca="1"/>
        <v>0</v>
      </c>
      <c r="P148">
        <f ca="1"/>
        <v>332.95960682261949</v>
      </c>
      <c r="Q148">
        <f ca="1"/>
        <v>299.98972192505869</v>
      </c>
      <c r="R148">
        <f ca="1"/>
        <v>0</v>
      </c>
      <c r="S148">
        <f ca="1"/>
        <v>0.98147633260322542</v>
      </c>
      <c r="T148">
        <f ca="1"/>
        <v>0</v>
      </c>
      <c r="U148">
        <f ca="1"/>
        <v>0</v>
      </c>
      <c r="V148">
        <f ca="1"/>
        <v>6.8757723272795612E-2</v>
      </c>
      <c r="X148" s="2">
        <f t="shared" ca="1" si="15"/>
        <v>45535</v>
      </c>
      <c r="Y148">
        <f t="shared" ca="1" si="16"/>
        <v>0</v>
      </c>
      <c r="AA148" s="63">
        <f t="shared" ca="1" si="18"/>
        <v>16.949288970095804</v>
      </c>
      <c r="AB148" s="63">
        <f t="shared" ca="1" si="19"/>
        <v>16.949288970095804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45536</v>
      </c>
      <c r="K149">
        <f ca="1"/>
        <v>17.024555769879097</v>
      </c>
      <c r="L149">
        <f ca="1"/>
        <v>0.26104340543105309</v>
      </c>
      <c r="M149">
        <f ca="1"/>
        <v>4.246339141654687E-2</v>
      </c>
      <c r="N149">
        <f ca="1"/>
        <v>0.64691768248284565</v>
      </c>
      <c r="O149">
        <f ca="1"/>
        <v>0</v>
      </c>
      <c r="P149">
        <f ca="1"/>
        <v>333.22065022805054</v>
      </c>
      <c r="Q149">
        <f ca="1"/>
        <v>300.22491663637197</v>
      </c>
      <c r="R149">
        <f ca="1"/>
        <v>3.5413837598750046E-2</v>
      </c>
      <c r="S149">
        <f ca="1"/>
        <v>1</v>
      </c>
      <c r="T149">
        <f ca="1"/>
        <v>0.37771366491890035</v>
      </c>
      <c r="U149">
        <f ca="1"/>
        <v>0</v>
      </c>
      <c r="V149">
        <f ca="1"/>
        <v>3.7700228997738949E-2</v>
      </c>
      <c r="X149" s="2">
        <f t="shared" ca="1" si="15"/>
        <v>45536</v>
      </c>
      <c r="Y149">
        <f t="shared" ca="1" si="16"/>
        <v>0</v>
      </c>
      <c r="AA149" s="63">
        <f t="shared" ca="1" si="18"/>
        <v>17.321013012908899</v>
      </c>
      <c r="AB149" s="63">
        <f t="shared" ca="1" si="19"/>
        <v>17.321013012908899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45537</v>
      </c>
      <c r="K150">
        <f ca="1"/>
        <v>17.477832915247571</v>
      </c>
      <c r="L150">
        <f ca="1"/>
        <v>0.24116120170413069</v>
      </c>
      <c r="M150">
        <f ca="1"/>
        <v>4.1709346109158218E-2</v>
      </c>
      <c r="N150">
        <f ca="1"/>
        <v>0.65272900096344622</v>
      </c>
      <c r="O150">
        <f ca="1"/>
        <v>0</v>
      </c>
      <c r="P150">
        <f ca="1"/>
        <v>333.46181142975468</v>
      </c>
      <c r="Q150">
        <f ca="1"/>
        <v>300.44219789318487</v>
      </c>
      <c r="R150">
        <f ca="1"/>
        <v>0</v>
      </c>
      <c r="S150">
        <f ca="1"/>
        <v>0.99014492753623196</v>
      </c>
      <c r="T150">
        <f ca="1"/>
        <v>0</v>
      </c>
      <c r="U150">
        <f ca="1"/>
        <v>0</v>
      </c>
      <c r="V150">
        <f ca="1"/>
        <v>6.0429118718765551E-3</v>
      </c>
      <c r="X150" s="2">
        <f t="shared" ca="1" si="15"/>
        <v>45537</v>
      </c>
      <c r="Y150">
        <f t="shared" ca="1" si="16"/>
        <v>0</v>
      </c>
      <c r="AA150" s="63">
        <f t="shared" ca="1" si="18"/>
        <v>17.718994116951702</v>
      </c>
      <c r="AB150" s="63">
        <f t="shared" ca="1" si="19"/>
        <v>17.718994116951702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45538</v>
      </c>
      <c r="K151">
        <f ca="1"/>
        <v>17.960579995103153</v>
      </c>
      <c r="L151">
        <f ca="1"/>
        <v>0.23183925645889758</v>
      </c>
      <c r="M151">
        <f ca="1"/>
        <v>4.1585936824397152E-2</v>
      </c>
      <c r="N151">
        <f ca="1"/>
        <v>0.67300039949008261</v>
      </c>
      <c r="O151">
        <f ca="1"/>
        <v>0</v>
      </c>
      <c r="P151">
        <f ca="1"/>
        <v>333.69365068621357</v>
      </c>
      <c r="Q151">
        <f ca="1"/>
        <v>300.65108027005971</v>
      </c>
      <c r="R151">
        <f ca="1"/>
        <v>0</v>
      </c>
      <c r="S151">
        <f ca="1"/>
        <v>0.99982230623818535</v>
      </c>
      <c r="T151">
        <f ca="1"/>
        <v>0</v>
      </c>
      <c r="U151">
        <f ca="1"/>
        <v>0</v>
      </c>
      <c r="V151">
        <f ca="1"/>
        <v>0</v>
      </c>
      <c r="X151" s="2">
        <f t="shared" ca="1" si="15"/>
        <v>45538</v>
      </c>
      <c r="Y151">
        <f t="shared" ca="1" si="16"/>
        <v>0</v>
      </c>
      <c r="AA151" s="63">
        <f t="shared" ca="1" si="18"/>
        <v>18.19241925156205</v>
      </c>
      <c r="AB151" s="63">
        <f t="shared" ca="1" si="19"/>
        <v>18.19241925156205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45539</v>
      </c>
      <c r="K152">
        <f ca="1"/>
        <v>18.287514945829379</v>
      </c>
      <c r="L152">
        <f ca="1"/>
        <v>0.19753509386839596</v>
      </c>
      <c r="M152">
        <f ca="1"/>
        <v>3.9802107375543017E-2</v>
      </c>
      <c r="N152">
        <f ca="1"/>
        <v>0.65467348789473667</v>
      </c>
      <c r="O152">
        <f ca="1"/>
        <v>0</v>
      </c>
      <c r="P152">
        <f ca="1"/>
        <v>333.89118578008197</v>
      </c>
      <c r="Q152">
        <f ca="1"/>
        <v>300.82905530566688</v>
      </c>
      <c r="R152">
        <f ca="1"/>
        <v>0.17000555067565876</v>
      </c>
      <c r="S152">
        <f ca="1"/>
        <v>1</v>
      </c>
      <c r="T152">
        <f ca="1"/>
        <v>1.6880056710775193</v>
      </c>
      <c r="U152">
        <f ca="1"/>
        <v>0</v>
      </c>
      <c r="V152">
        <f ca="1"/>
        <v>0</v>
      </c>
      <c r="X152" s="2">
        <f t="shared" ca="1" si="15"/>
        <v>45539</v>
      </c>
      <c r="Y152">
        <f t="shared" ca="1" si="16"/>
        <v>0</v>
      </c>
      <c r="AA152" s="63">
        <f t="shared" ca="1" si="18"/>
        <v>18.655055590373433</v>
      </c>
      <c r="AB152" s="63">
        <f t="shared" ca="1" si="19"/>
        <v>18.655055590373433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45540</v>
      </c>
      <c r="K153">
        <f ca="1"/>
        <v>18.369530666038408</v>
      </c>
      <c r="L153">
        <f ca="1"/>
        <v>0.19810822309199239</v>
      </c>
      <c r="M153">
        <f ca="1"/>
        <v>4.0343286101062859E-2</v>
      </c>
      <c r="N153">
        <f ca="1"/>
        <v>0.690978926371002</v>
      </c>
      <c r="O153">
        <f ca="1"/>
        <v>0</v>
      </c>
      <c r="P153">
        <f ca="1"/>
        <v>334.08929400317396</v>
      </c>
      <c r="Q153">
        <f ca="1"/>
        <v>301.00754671885534</v>
      </c>
      <c r="R153">
        <f ca="1"/>
        <v>0.45119826917104283</v>
      </c>
      <c r="S153">
        <f ca="1"/>
        <v>1</v>
      </c>
      <c r="T153">
        <f ca="1"/>
        <v>4.460000000000008</v>
      </c>
      <c r="U153">
        <f ca="1"/>
        <v>0</v>
      </c>
      <c r="V153">
        <f ca="1"/>
        <v>0</v>
      </c>
      <c r="X153" s="2">
        <f t="shared" ca="1" si="15"/>
        <v>45540</v>
      </c>
      <c r="Y153">
        <f t="shared" ca="1" si="16"/>
        <v>0</v>
      </c>
      <c r="AA153" s="63">
        <f t="shared" ca="1" si="18"/>
        <v>19.018837158301444</v>
      </c>
      <c r="AB153" s="63">
        <f t="shared" ca="1" si="19"/>
        <v>19.018837158301444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45541</v>
      </c>
      <c r="K154">
        <f ca="1"/>
        <v>18.940136265076351</v>
      </c>
      <c r="L154">
        <f ca="1"/>
        <v>0.19086761486403248</v>
      </c>
      <c r="M154">
        <f ca="1"/>
        <v>4.0548450527047919E-2</v>
      </c>
      <c r="N154">
        <f ca="1"/>
        <v>0.72092476337492706</v>
      </c>
      <c r="O154">
        <f ca="1"/>
        <v>0</v>
      </c>
      <c r="P154">
        <f ca="1"/>
        <v>334.28016161803799</v>
      </c>
      <c r="Q154">
        <f ca="1"/>
        <v>301.17951449372731</v>
      </c>
      <c r="R154">
        <f ca="1"/>
        <v>0</v>
      </c>
      <c r="S154">
        <f ca="1"/>
        <v>0.9910144927536233</v>
      </c>
      <c r="T154">
        <f ca="1"/>
        <v>0</v>
      </c>
      <c r="U154">
        <f ca="1"/>
        <v>0</v>
      </c>
      <c r="V154">
        <f ca="1"/>
        <v>0</v>
      </c>
      <c r="X154" s="2">
        <f t="shared" ca="1" si="15"/>
        <v>45541</v>
      </c>
      <c r="Y154">
        <f t="shared" ca="1" si="16"/>
        <v>0</v>
      </c>
      <c r="AA154" s="63">
        <f t="shared" ca="1" si="18"/>
        <v>19.131003879940383</v>
      </c>
      <c r="AB154" s="63">
        <f t="shared" ca="1" si="19"/>
        <v>19.131003879940383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45542</v>
      </c>
      <c r="K155">
        <f ca="1"/>
        <v>19.523236617705983</v>
      </c>
      <c r="L155">
        <f ca="1"/>
        <v>0.16380123919799416</v>
      </c>
      <c r="M155">
        <f ca="1"/>
        <v>3.9006705155898658E-2</v>
      </c>
      <c r="N155">
        <f ca="1"/>
        <v>0.70789488667172806</v>
      </c>
      <c r="O155">
        <f ca="1"/>
        <v>0</v>
      </c>
      <c r="P155">
        <f ca="1"/>
        <v>334.44396285723599</v>
      </c>
      <c r="Q155">
        <f ca="1"/>
        <v>301.32709602371204</v>
      </c>
      <c r="R155">
        <f ca="1"/>
        <v>0</v>
      </c>
      <c r="S155">
        <f ca="1"/>
        <v>0.97676656164671294</v>
      </c>
      <c r="T155">
        <f ca="1"/>
        <v>0</v>
      </c>
      <c r="U155">
        <f ca="1"/>
        <v>0</v>
      </c>
      <c r="V155">
        <f ca="1"/>
        <v>0</v>
      </c>
      <c r="X155" s="2">
        <f t="shared" ca="1" si="15"/>
        <v>45542</v>
      </c>
      <c r="Y155">
        <f t="shared" ca="1" si="16"/>
        <v>0</v>
      </c>
      <c r="AA155" s="63">
        <f t="shared" ca="1" si="18"/>
        <v>19.687037856903977</v>
      </c>
      <c r="AB155" s="63">
        <f t="shared" ca="1" si="19"/>
        <v>19.687037856903977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45543</v>
      </c>
      <c r="K156">
        <f ca="1"/>
        <v>19.975394952947678</v>
      </c>
      <c r="L156">
        <f ca="1"/>
        <v>0.12153576857741655</v>
      </c>
      <c r="M156">
        <f ca="1"/>
        <v>3.5585845331191024E-2</v>
      </c>
      <c r="N156">
        <f ca="1"/>
        <v>0.64370350953085254</v>
      </c>
      <c r="O156">
        <f ca="1"/>
        <v>0</v>
      </c>
      <c r="P156">
        <f ca="1"/>
        <v>334.5654986258134</v>
      </c>
      <c r="Q156">
        <f ca="1"/>
        <v>301.43659723849134</v>
      </c>
      <c r="R156">
        <f ca="1"/>
        <v>0.10559525104293077</v>
      </c>
      <c r="S156">
        <f ca="1"/>
        <v>1</v>
      </c>
      <c r="T156">
        <f ca="1"/>
        <v>0.95987461457677625</v>
      </c>
      <c r="U156">
        <f ca="1"/>
        <v>0</v>
      </c>
      <c r="V156">
        <f ca="1"/>
        <v>0</v>
      </c>
      <c r="X156" s="2">
        <f t="shared" ca="1" si="15"/>
        <v>45543</v>
      </c>
      <c r="Y156">
        <f t="shared" ca="1" si="16"/>
        <v>0</v>
      </c>
      <c r="AA156" s="63">
        <f t="shared" ca="1" si="18"/>
        <v>20.202525972568026</v>
      </c>
      <c r="AB156" s="63">
        <f t="shared" ca="1" si="19"/>
        <v>20.202525972568026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45544</v>
      </c>
      <c r="K157">
        <f ca="1"/>
        <v>20.366601776613429</v>
      </c>
      <c r="L157">
        <f ca="1"/>
        <v>0.12116098683378596</v>
      </c>
      <c r="M157">
        <f ca="1"/>
        <v>3.5914757995428204E-2</v>
      </c>
      <c r="N157">
        <f ca="1"/>
        <v>0.67498314460483333</v>
      </c>
      <c r="O157">
        <f ca="1"/>
        <v>0</v>
      </c>
      <c r="P157">
        <f ca="1"/>
        <v>334.68665961264719</v>
      </c>
      <c r="Q157">
        <f ca="1"/>
        <v>301.54576078266797</v>
      </c>
      <c r="R157">
        <f ca="1"/>
        <v>0.19853009210072692</v>
      </c>
      <c r="S157">
        <f ca="1"/>
        <v>1</v>
      </c>
      <c r="T157">
        <f ca="1"/>
        <v>1.769999999999996</v>
      </c>
      <c r="U157">
        <f ca="1"/>
        <v>0</v>
      </c>
      <c r="V157">
        <f ca="1"/>
        <v>0</v>
      </c>
      <c r="X157" s="2">
        <f t="shared" ca="1" si="15"/>
        <v>45544</v>
      </c>
      <c r="Y157">
        <f t="shared" ca="1" si="16"/>
        <v>0</v>
      </c>
      <c r="AA157" s="63">
        <f t="shared" ca="1" si="18"/>
        <v>20.68629285554794</v>
      </c>
      <c r="AB157" s="63">
        <f t="shared" ca="1" si="19"/>
        <v>20.68629285554794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45545</v>
      </c>
      <c r="K158">
        <f ca="1"/>
        <v>20.458770016002717</v>
      </c>
      <c r="L158">
        <f ca="1"/>
        <v>0.11990193568630048</v>
      </c>
      <c r="M158">
        <f ca="1"/>
        <v>3.639310548309993E-2</v>
      </c>
      <c r="N158">
        <f ca="1"/>
        <v>0.71199334792503333</v>
      </c>
      <c r="O158">
        <f ca="1"/>
        <v>0</v>
      </c>
      <c r="P158">
        <f ca="1"/>
        <v>334.80656154833349</v>
      </c>
      <c r="Q158">
        <f ca="1"/>
        <v>301.65378994779127</v>
      </c>
      <c r="R158">
        <f ca="1"/>
        <v>0.53631627833254714</v>
      </c>
      <c r="S158">
        <f ca="1"/>
        <v>1</v>
      </c>
      <c r="T158">
        <f ca="1"/>
        <v>4.7600000000000051</v>
      </c>
      <c r="U158">
        <f ca="1"/>
        <v>0</v>
      </c>
      <c r="V158">
        <f ca="1"/>
        <v>0</v>
      </c>
      <c r="X158" s="2">
        <f t="shared" ca="1" si="15"/>
        <v>45545</v>
      </c>
      <c r="Y158">
        <f t="shared" ca="1" si="16"/>
        <v>0</v>
      </c>
      <c r="AA158" s="63">
        <f t="shared" ca="1" si="18"/>
        <v>21.114988230021563</v>
      </c>
      <c r="AB158" s="63">
        <f t="shared" ca="1" si="19"/>
        <v>21.114988230021563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45546</v>
      </c>
      <c r="K159">
        <f ca="1"/>
        <v>21.078191284206575</v>
      </c>
      <c r="L159">
        <f ca="1"/>
        <v>0.10306172617504217</v>
      </c>
      <c r="M159">
        <f ca="1"/>
        <v>3.502505434853731E-2</v>
      </c>
      <c r="N159">
        <f ca="1"/>
        <v>0.69906621928832946</v>
      </c>
      <c r="O159">
        <f ca="1"/>
        <v>0</v>
      </c>
      <c r="P159">
        <f ca="1"/>
        <v>334.90962327450853</v>
      </c>
      <c r="Q159">
        <f ca="1"/>
        <v>301.74664643231023</v>
      </c>
      <c r="R159">
        <f ca="1"/>
        <v>1.1608279257968179E-2</v>
      </c>
      <c r="S159">
        <f ca="1"/>
        <v>1</v>
      </c>
      <c r="T159">
        <f ca="1"/>
        <v>9.9999999999994316E-2</v>
      </c>
      <c r="U159">
        <f ca="1"/>
        <v>0</v>
      </c>
      <c r="V159">
        <f ca="1"/>
        <v>0</v>
      </c>
      <c r="X159" s="2">
        <f t="shared" ca="1" si="15"/>
        <v>45546</v>
      </c>
      <c r="Y159">
        <f t="shared" ca="1" si="16"/>
        <v>0</v>
      </c>
      <c r="AA159" s="63">
        <f t="shared" ca="1" si="18"/>
        <v>21.192861289639584</v>
      </c>
      <c r="AB159" s="63">
        <f t="shared" ca="1" si="19"/>
        <v>21.192861289639584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45547</v>
      </c>
      <c r="K160">
        <f ca="1"/>
        <v>21.762587013049149</v>
      </c>
      <c r="L160">
        <f ca="1"/>
        <v>0.10400192403415076</v>
      </c>
      <c r="M160">
        <f ca="1"/>
        <v>3.6011416282796915E-2</v>
      </c>
      <c r="N160">
        <f ca="1"/>
        <v>0.75238623659392923</v>
      </c>
      <c r="O160">
        <f ca="1"/>
        <v>0</v>
      </c>
      <c r="P160">
        <f ca="1"/>
        <v>335.01362519854268</v>
      </c>
      <c r="Q160">
        <f ca="1"/>
        <v>301.84035001566201</v>
      </c>
      <c r="R160">
        <f ca="1"/>
        <v>0</v>
      </c>
      <c r="S160">
        <f ca="1"/>
        <v>0.99449275362318845</v>
      </c>
      <c r="T160">
        <f ca="1"/>
        <v>0</v>
      </c>
      <c r="U160">
        <f ca="1"/>
        <v>0</v>
      </c>
      <c r="V160">
        <f ca="1"/>
        <v>0</v>
      </c>
      <c r="X160" s="2">
        <f t="shared" ca="1" si="15"/>
        <v>45547</v>
      </c>
      <c r="Y160">
        <f t="shared" ca="1" si="16"/>
        <v>0</v>
      </c>
      <c r="AA160" s="63">
        <f t="shared" ca="1" si="18"/>
        <v>21.8665889370833</v>
      </c>
      <c r="AB160" s="63">
        <f t="shared" ca="1" si="19"/>
        <v>21.8665889370833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45548</v>
      </c>
      <c r="K161">
        <f ca="1"/>
        <v>22.402512410019032</v>
      </c>
      <c r="L161">
        <f ca="1"/>
        <v>8.9543051769624071E-2</v>
      </c>
      <c r="M161">
        <f ca="1"/>
        <v>3.4792633194484779E-2</v>
      </c>
      <c r="N161">
        <f ca="1"/>
        <v>0.74391362987167331</v>
      </c>
      <c r="O161">
        <f ca="1"/>
        <v>0</v>
      </c>
      <c r="P161">
        <f ca="1"/>
        <v>335.10316825031231</v>
      </c>
      <c r="Q161">
        <f ca="1"/>
        <v>301.92102645403543</v>
      </c>
      <c r="R161">
        <f ca="1"/>
        <v>4.9237814326651051E-2</v>
      </c>
      <c r="S161">
        <f ca="1"/>
        <v>1</v>
      </c>
      <c r="T161">
        <f ca="1"/>
        <v>0.39908695652174231</v>
      </c>
      <c r="U161">
        <f ca="1"/>
        <v>0</v>
      </c>
      <c r="V161">
        <f ca="1"/>
        <v>0</v>
      </c>
      <c r="X161" s="2">
        <f t="shared" ca="1" si="15"/>
        <v>45548</v>
      </c>
      <c r="Y161">
        <f t="shared" ca="1" si="16"/>
        <v>0</v>
      </c>
      <c r="AA161" s="63">
        <f t="shared" ca="1" si="18"/>
        <v>22.541293276115308</v>
      </c>
      <c r="AB161" s="63">
        <f t="shared" ca="1" si="19"/>
        <v>22.541293276115308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45549</v>
      </c>
      <c r="K162">
        <f ca="1"/>
        <v>23.118146391764419</v>
      </c>
      <c r="L162">
        <f ca="1"/>
        <v>8.1961898322902016E-2</v>
      </c>
      <c r="M162">
        <f ca="1"/>
        <v>3.4533879541896795E-2</v>
      </c>
      <c r="N162">
        <f ca="1"/>
        <v>0.76306200052639228</v>
      </c>
      <c r="O162">
        <f ca="1"/>
        <v>0</v>
      </c>
      <c r="P162">
        <f ca="1"/>
        <v>335.18513014863521</v>
      </c>
      <c r="Q162">
        <f ca="1"/>
        <v>301.99487242989119</v>
      </c>
      <c r="R162">
        <f ca="1"/>
        <v>0</v>
      </c>
      <c r="S162">
        <f ca="1"/>
        <v>0.99275362318840576</v>
      </c>
      <c r="T162">
        <f ca="1"/>
        <v>0</v>
      </c>
      <c r="U162">
        <f ca="1"/>
        <v>0</v>
      </c>
      <c r="V162">
        <f ca="1"/>
        <v>0</v>
      </c>
      <c r="X162" s="2">
        <f t="shared" ca="1" si="15"/>
        <v>45549</v>
      </c>
      <c r="Y162">
        <f t="shared" ca="1" si="16"/>
        <v>0</v>
      </c>
      <c r="AA162" s="63">
        <f t="shared" ca="1" si="18"/>
        <v>23.200108290087321</v>
      </c>
      <c r="AB162" s="63">
        <f t="shared" ca="1" si="19"/>
        <v>23.200108290087321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45550</v>
      </c>
      <c r="K163">
        <f ca="1"/>
        <v>23.808835990818373</v>
      </c>
      <c r="L163">
        <f ca="1"/>
        <v>7.0787716150789493E-2</v>
      </c>
      <c r="M163">
        <f ca="1"/>
        <v>3.3452045406910713E-2</v>
      </c>
      <c r="N163">
        <f ca="1"/>
        <v>0.75735649553547946</v>
      </c>
      <c r="O163">
        <f ca="1"/>
        <v>0</v>
      </c>
      <c r="P163">
        <f ca="1"/>
        <v>335.255917864786</v>
      </c>
      <c r="Q163">
        <f ca="1"/>
        <v>302.05865069863199</v>
      </c>
      <c r="R163">
        <f ca="1"/>
        <v>2.9331225737647543E-2</v>
      </c>
      <c r="S163">
        <f ca="1"/>
        <v>1</v>
      </c>
      <c r="T163">
        <f ca="1"/>
        <v>0.22369565217390175</v>
      </c>
      <c r="U163">
        <f ca="1"/>
        <v>0</v>
      </c>
      <c r="V163">
        <f ca="1"/>
        <v>0</v>
      </c>
      <c r="X163" s="2">
        <f t="shared" ca="1" si="15"/>
        <v>45550</v>
      </c>
      <c r="Y163">
        <f t="shared" ca="1" si="16"/>
        <v>0</v>
      </c>
      <c r="AA163" s="63">
        <f t="shared" ca="1" si="18"/>
        <v>23.908954932706809</v>
      </c>
      <c r="AB163" s="63">
        <f t="shared" ca="1" si="19"/>
        <v>23.908954932706809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45551</v>
      </c>
      <c r="K164">
        <f ca="1"/>
        <v>24.25581404307524</v>
      </c>
      <c r="L164">
        <f ca="1"/>
        <v>7.0355768956801512E-2</v>
      </c>
      <c r="M164">
        <f ca="1"/>
        <v>3.4705211569068695E-2</v>
      </c>
      <c r="N164">
        <f ca="1"/>
        <v>0.8246004342982739</v>
      </c>
      <c r="O164">
        <f ca="1"/>
        <v>0</v>
      </c>
      <c r="P164">
        <f ca="1"/>
        <v>335.3262736337428</v>
      </c>
      <c r="Q164">
        <f ca="1"/>
        <v>302.12203979188143</v>
      </c>
      <c r="R164">
        <f ca="1"/>
        <v>0.34197182465367365</v>
      </c>
      <c r="S164">
        <f ca="1"/>
        <v>1</v>
      </c>
      <c r="T164">
        <f ca="1"/>
        <v>2.5599999999999881</v>
      </c>
      <c r="U164">
        <f ca="1"/>
        <v>0</v>
      </c>
      <c r="V164">
        <f ca="1"/>
        <v>0</v>
      </c>
      <c r="X164" s="2">
        <f t="shared" ca="1" si="15"/>
        <v>45551</v>
      </c>
      <c r="Y164">
        <f t="shared" ca="1" si="16"/>
        <v>0</v>
      </c>
      <c r="AA164" s="63">
        <f t="shared" ca="1" si="18"/>
        <v>24.668141636685714</v>
      </c>
      <c r="AB164" s="63">
        <f t="shared" ca="1" si="19"/>
        <v>24.668141636685714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45552</v>
      </c>
      <c r="K165">
        <f ca="1"/>
        <v>24.734071686326313</v>
      </c>
      <c r="L165">
        <f ca="1"/>
        <v>5.3666133886395073E-2</v>
      </c>
      <c r="M165">
        <f ca="1"/>
        <v>3.1826598494731684E-2</v>
      </c>
      <c r="N165">
        <f ca="1"/>
        <v>0.76163310186510647</v>
      </c>
      <c r="O165">
        <f ca="1"/>
        <v>0</v>
      </c>
      <c r="P165">
        <f ca="1"/>
        <v>335.3799397676292</v>
      </c>
      <c r="Q165">
        <f ca="1"/>
        <v>302.17039186898467</v>
      </c>
      <c r="R165">
        <f ca="1"/>
        <v>0.26153592322237235</v>
      </c>
      <c r="S165">
        <f ca="1"/>
        <v>1</v>
      </c>
      <c r="T165">
        <f ca="1"/>
        <v>1.9200000000000017</v>
      </c>
      <c r="U165">
        <f ca="1"/>
        <v>0</v>
      </c>
      <c r="V165">
        <f ca="1"/>
        <v>0</v>
      </c>
      <c r="X165" s="2">
        <f t="shared" ca="1" si="15"/>
        <v>45552</v>
      </c>
      <c r="Y165">
        <f t="shared" ca="1" si="16"/>
        <v>0</v>
      </c>
      <c r="AA165" s="63">
        <f t="shared" ca="1" si="18"/>
        <v>25.04927374343508</v>
      </c>
      <c r="AB165" s="63">
        <f t="shared" ca="1" si="19"/>
        <v>25.04927374343508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45553</v>
      </c>
      <c r="K166">
        <f ca="1"/>
        <v>24.508317879196685</v>
      </c>
      <c r="L166">
        <f ca="1"/>
        <v>4.0992874781238697E-2</v>
      </c>
      <c r="M166">
        <f ca="1"/>
        <v>2.9254525403857201E-2</v>
      </c>
      <c r="N166">
        <f ca="1"/>
        <v>0.70245355372461293</v>
      </c>
      <c r="O166">
        <f ca="1"/>
        <v>0</v>
      </c>
      <c r="P166">
        <f ca="1"/>
        <v>335.42093264241043</v>
      </c>
      <c r="Q166">
        <f ca="1"/>
        <v>302.20732560164942</v>
      </c>
      <c r="R166">
        <f ca="1"/>
        <v>0.91646901147686011</v>
      </c>
      <c r="S166">
        <f ca="1"/>
        <v>1</v>
      </c>
      <c r="T166">
        <f ca="1"/>
        <v>6.7900000000000063</v>
      </c>
      <c r="U166">
        <f ca="1"/>
        <v>0</v>
      </c>
      <c r="V166">
        <f ca="1"/>
        <v>0</v>
      </c>
      <c r="X166" s="2">
        <f t="shared" ca="1" si="15"/>
        <v>45553</v>
      </c>
      <c r="Y166">
        <f t="shared" ca="1" si="16"/>
        <v>0</v>
      </c>
      <c r="AA166" s="63">
        <f t="shared" ca="1" si="18"/>
        <v>25.465779765454784</v>
      </c>
      <c r="AB166" s="63">
        <f t="shared" ca="1" si="19"/>
        <v>25.465779765454784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45554</v>
      </c>
      <c r="K167">
        <f ca="1"/>
        <v>24.953996019782192</v>
      </c>
      <c r="L167">
        <f ca="1"/>
        <v>3.5795444681866684E-2</v>
      </c>
      <c r="M167">
        <f ca="1"/>
        <v>2.8331409875484326E-2</v>
      </c>
      <c r="N167">
        <f ca="1"/>
        <v>0.69501511072565969</v>
      </c>
      <c r="O167">
        <f ca="1"/>
        <v>0</v>
      </c>
      <c r="P167">
        <f ca="1"/>
        <v>335.4567280870923</v>
      </c>
      <c r="Q167">
        <f ca="1"/>
        <v>302.23957655724962</v>
      </c>
      <c r="R167">
        <f ca="1"/>
        <v>0.2418729353337716</v>
      </c>
      <c r="S167">
        <f ca="1"/>
        <v>1</v>
      </c>
      <c r="T167">
        <f ca="1"/>
        <v>1.7599999999999909</v>
      </c>
      <c r="U167">
        <f ca="1"/>
        <v>0</v>
      </c>
      <c r="V167">
        <f ca="1"/>
        <v>0</v>
      </c>
      <c r="X167" s="2">
        <f t="shared" ca="1" si="15"/>
        <v>45554</v>
      </c>
      <c r="Y167">
        <f t="shared" ca="1" si="16"/>
        <v>0</v>
      </c>
      <c r="AA167" s="63">
        <f t="shared" ca="1" si="18"/>
        <v>25.231664399797829</v>
      </c>
      <c r="AB167" s="63">
        <f t="shared" ca="1" si="19"/>
        <v>25.231664399797829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45555</v>
      </c>
      <c r="K168">
        <f ca="1"/>
        <v>25.610974086724678</v>
      </c>
      <c r="L168">
        <f ca="1"/>
        <v>2.8894765152926993E-2</v>
      </c>
      <c r="M168">
        <f ca="1"/>
        <v>2.6647840788420751E-2</v>
      </c>
      <c r="N168">
        <f ca="1"/>
        <v>0.65922499130699241</v>
      </c>
      <c r="O168">
        <f ca="1"/>
        <v>0</v>
      </c>
      <c r="P168">
        <f ca="1"/>
        <v>335.48562285224523</v>
      </c>
      <c r="Q168">
        <f ca="1"/>
        <v>302.26561014326342</v>
      </c>
      <c r="R168">
        <f ca="1"/>
        <v>0</v>
      </c>
      <c r="S168">
        <f ca="1"/>
        <v>0.99507246376811587</v>
      </c>
      <c r="T168">
        <f ca="1"/>
        <v>0</v>
      </c>
      <c r="U168">
        <f ca="1"/>
        <v>0</v>
      </c>
      <c r="V168">
        <f ca="1"/>
        <v>0</v>
      </c>
      <c r="X168" s="2">
        <f t="shared" ca="1" si="15"/>
        <v>45555</v>
      </c>
      <c r="Y168">
        <f t="shared" ca="1" si="16"/>
        <v>0</v>
      </c>
      <c r="AA168" s="63">
        <f t="shared" ca="1" si="18"/>
        <v>25.639868851877605</v>
      </c>
      <c r="AB168" s="63">
        <f t="shared" ca="1" si="19"/>
        <v>25.639868851877605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45556</v>
      </c>
      <c r="K169">
        <f ca="1"/>
        <v>26.103891165423263</v>
      </c>
      <c r="L169">
        <f ca="1"/>
        <v>2.7649389633381816E-2</v>
      </c>
      <c r="M169">
        <f ca="1"/>
        <v>2.6592362967328143E-2</v>
      </c>
      <c r="N169">
        <f ca="1"/>
        <v>0.67962399241853055</v>
      </c>
      <c r="O169">
        <f ca="1"/>
        <v>0</v>
      </c>
      <c r="P169">
        <f ca="1"/>
        <v>335.51327224187861</v>
      </c>
      <c r="Q169">
        <f ca="1"/>
        <v>302.29052167168169</v>
      </c>
      <c r="R169">
        <f ca="1"/>
        <v>0.18564988705389099</v>
      </c>
      <c r="S169">
        <f ca="1"/>
        <v>1</v>
      </c>
      <c r="T169">
        <f ca="1"/>
        <v>1.2913826086956561</v>
      </c>
      <c r="U169">
        <f ca="1"/>
        <v>0</v>
      </c>
      <c r="V169">
        <f ca="1"/>
        <v>0</v>
      </c>
      <c r="X169" s="2">
        <f t="shared" ca="1" si="15"/>
        <v>45556</v>
      </c>
      <c r="Y169">
        <f t="shared" ca="1" si="16"/>
        <v>0</v>
      </c>
      <c r="AA169" s="63">
        <f t="shared" ca="1" si="18"/>
        <v>26.317190442110537</v>
      </c>
      <c r="AB169" s="63">
        <f t="shared" ca="1" si="19"/>
        <v>26.317190442110537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45557</v>
      </c>
      <c r="K170">
        <f ca="1"/>
        <v>26.837036202689852</v>
      </c>
      <c r="L170">
        <f ca="1"/>
        <v>2.8390343884325375E-2</v>
      </c>
      <c r="M170">
        <f ca="1"/>
        <v>2.7430206332816454E-2</v>
      </c>
      <c r="N170">
        <f ca="1"/>
        <v>0.73410517481809712</v>
      </c>
      <c r="O170">
        <f ca="1"/>
        <v>0</v>
      </c>
      <c r="P170">
        <f ca="1"/>
        <v>335.54166258576294</v>
      </c>
      <c r="Q170">
        <f ca="1"/>
        <v>302.31610078456117</v>
      </c>
      <c r="R170">
        <f ca="1"/>
        <v>0</v>
      </c>
      <c r="S170">
        <f ca="1"/>
        <v>0.99507246376811609</v>
      </c>
      <c r="T170">
        <f ca="1"/>
        <v>0</v>
      </c>
      <c r="U170">
        <f ca="1"/>
        <v>0</v>
      </c>
      <c r="V170">
        <f ca="1"/>
        <v>0</v>
      </c>
      <c r="X170" s="2">
        <f t="shared" ca="1" si="15"/>
        <v>45557</v>
      </c>
      <c r="Y170">
        <f t="shared" ca="1" si="16"/>
        <v>0</v>
      </c>
      <c r="AA170" s="63">
        <f t="shared" ca="1" si="18"/>
        <v>26.865426546574177</v>
      </c>
      <c r="AB170" s="63">
        <f t="shared" ca="1" si="19"/>
        <v>26.865426546574177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45558</v>
      </c>
      <c r="K171">
        <f ca="1"/>
        <v>27.097065806668134</v>
      </c>
      <c r="L171">
        <f ca="1"/>
        <v>2.7718202884159382E-2</v>
      </c>
      <c r="M171">
        <f ca="1"/>
        <v>2.8045496209905707E-2</v>
      </c>
      <c r="N171">
        <f ca="1"/>
        <v>0.78324343852350387</v>
      </c>
      <c r="O171">
        <f ca="1"/>
        <v>0</v>
      </c>
      <c r="P171">
        <f ca="1"/>
        <v>335.56938078864709</v>
      </c>
      <c r="Q171">
        <f ca="1"/>
        <v>302.34107431229575</v>
      </c>
      <c r="R171">
        <f ca="1"/>
        <v>0.52354112787096685</v>
      </c>
      <c r="S171">
        <f ca="1"/>
        <v>1</v>
      </c>
      <c r="T171">
        <f ca="1"/>
        <v>3.5082782608695737</v>
      </c>
      <c r="U171">
        <f ca="1"/>
        <v>0</v>
      </c>
      <c r="V171">
        <f ca="1"/>
        <v>0</v>
      </c>
      <c r="X171" s="2">
        <f t="shared" ca="1" si="15"/>
        <v>45558</v>
      </c>
      <c r="Y171">
        <f t="shared" ca="1" si="16"/>
        <v>0</v>
      </c>
      <c r="AA171" s="63">
        <f t="shared" ca="1" si="18"/>
        <v>27.64832513742326</v>
      </c>
      <c r="AB171" s="63">
        <f t="shared" ca="1" si="19"/>
        <v>27.64832513742326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45559</v>
      </c>
      <c r="K172">
        <f ca="1"/>
        <v>27.9167619580302</v>
      </c>
      <c r="L172">
        <f ca="1"/>
        <v>2.561582328979739E-2</v>
      </c>
      <c r="M172">
        <f ca="1"/>
        <v>2.8194236590707078E-2</v>
      </c>
      <c r="N172">
        <f ca="1"/>
        <v>0.81711773806115839</v>
      </c>
      <c r="O172">
        <f ca="1"/>
        <v>0</v>
      </c>
      <c r="P172">
        <f ca="1"/>
        <v>335.59499661193689</v>
      </c>
      <c r="Q172">
        <f ca="1"/>
        <v>302.36415363948174</v>
      </c>
      <c r="R172">
        <f ca="1"/>
        <v>0</v>
      </c>
      <c r="S172">
        <f ca="1"/>
        <v>0.99130434782608678</v>
      </c>
      <c r="T172">
        <f ca="1"/>
        <v>0</v>
      </c>
      <c r="U172">
        <f ca="1"/>
        <v>0</v>
      </c>
      <c r="V172">
        <f ca="1"/>
        <v>0</v>
      </c>
      <c r="X172" s="2">
        <f t="shared" ca="1" si="15"/>
        <v>45559</v>
      </c>
      <c r="Y172">
        <f t="shared" ca="1" si="16"/>
        <v>0</v>
      </c>
      <c r="AA172" s="63">
        <f t="shared" ca="1" si="18"/>
        <v>27.942377781319998</v>
      </c>
      <c r="AB172" s="63">
        <f t="shared" ca="1" si="19"/>
        <v>27.942377781319998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45560</v>
      </c>
      <c r="K173">
        <f ca="1"/>
        <v>28.708763977592596</v>
      </c>
      <c r="L173">
        <f ca="1"/>
        <v>2.0819389389316711E-2</v>
      </c>
      <c r="M173">
        <f ca="1"/>
        <v>2.6667917441258737E-2</v>
      </c>
      <c r="N173">
        <f ca="1"/>
        <v>0.78615349151045522</v>
      </c>
      <c r="O173">
        <f ca="1"/>
        <v>0</v>
      </c>
      <c r="P173">
        <f ca="1"/>
        <v>335.61581600132621</v>
      </c>
      <c r="Q173">
        <f ca="1"/>
        <v>302.38291147888805</v>
      </c>
      <c r="R173">
        <f ca="1"/>
        <v>0</v>
      </c>
      <c r="S173">
        <f ca="1"/>
        <v>0.97477504725897912</v>
      </c>
      <c r="T173">
        <f ca="1"/>
        <v>0</v>
      </c>
      <c r="U173">
        <f ca="1"/>
        <v>0</v>
      </c>
      <c r="V173">
        <f ca="1"/>
        <v>0</v>
      </c>
      <c r="X173" s="2">
        <f t="shared" ca="1" si="15"/>
        <v>45560</v>
      </c>
      <c r="Y173">
        <f t="shared" ca="1" si="16"/>
        <v>0</v>
      </c>
      <c r="AA173" s="63">
        <f t="shared" ca="1" si="18"/>
        <v>28.729583366981913</v>
      </c>
      <c r="AB173" s="63">
        <f t="shared" ca="1" si="19"/>
        <v>28.729583366981913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1</v>
      </c>
      <c r="J174" s="2">
        <f ca="1"/>
        <v>45561</v>
      </c>
      <c r="K174">
        <f ca="1"/>
        <v>29.523855084532467</v>
      </c>
      <c r="L174">
        <f ca="1"/>
        <v>1.8966607369350186E-2</v>
      </c>
      <c r="M174">
        <f ca="1"/>
        <v>2.6629577590753684E-2</v>
      </c>
      <c r="N174">
        <f ca="1"/>
        <v>0.80742813671846669</v>
      </c>
      <c r="O174">
        <f ca="1"/>
        <v>0</v>
      </c>
      <c r="P174">
        <f ca="1"/>
        <v>335.63478260869556</v>
      </c>
      <c r="Q174">
        <f ca="1"/>
        <v>302.39999999999992</v>
      </c>
      <c r="R174">
        <f ca="1"/>
        <v>0</v>
      </c>
      <c r="S174">
        <f ca="1"/>
        <v>0.95538086079833406</v>
      </c>
      <c r="T174">
        <f ca="1"/>
        <v>0</v>
      </c>
      <c r="U174">
        <f ca="1"/>
        <v>0</v>
      </c>
      <c r="V174">
        <f ca="1"/>
        <v>0</v>
      </c>
      <c r="X174" s="2">
        <f t="shared" ca="1" si="15"/>
        <v>45561</v>
      </c>
      <c r="Y174">
        <f t="shared" ca="1" si="16"/>
        <v>0</v>
      </c>
      <c r="AA174" s="63">
        <f t="shared" ca="1" si="18"/>
        <v>29.542821691901818</v>
      </c>
      <c r="AB174" s="63">
        <f t="shared" ca="1" si="19"/>
        <v>29.542821691901818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45562</v>
      </c>
      <c r="K175">
        <f ca="1"/>
        <v>29.623130030991092</v>
      </c>
      <c r="L175">
        <f ca="1"/>
        <v>0</v>
      </c>
      <c r="M175">
        <f ca="1"/>
        <v>-0.72843583203867723</v>
      </c>
      <c r="N175">
        <f ca="1"/>
        <v>0.83363579149412448</v>
      </c>
      <c r="O175">
        <f ca="1"/>
        <v>0</v>
      </c>
      <c r="P175">
        <f ca="1"/>
        <v>0</v>
      </c>
      <c r="Q175">
        <f ca="1"/>
        <v>0</v>
      </c>
      <c r="R175">
        <f ca="1"/>
        <v>5.925012996822499E-3</v>
      </c>
      <c r="S175">
        <f ca="1"/>
        <v>1</v>
      </c>
      <c r="T175">
        <f ca="1"/>
        <v>3.6318161584603104E-2</v>
      </c>
      <c r="U175">
        <f ca="1"/>
        <v>0</v>
      </c>
      <c r="V175">
        <f ca="1"/>
        <v>0</v>
      </c>
      <c r="X175" s="2">
        <f t="shared" ca="1" si="15"/>
        <v>45562</v>
      </c>
      <c r="Y175">
        <f t="shared" ca="1" si="16"/>
        <v>0</v>
      </c>
      <c r="AA175" s="63">
        <f t="shared" ca="1" si="18"/>
        <v>29.629055043987915</v>
      </c>
      <c r="AB175" s="63">
        <f t="shared" ca="1" si="19"/>
        <v>29.629055043987915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45563</v>
      </c>
      <c r="K176">
        <f ca="1"/>
        <v>29.770471271023322</v>
      </c>
      <c r="L176">
        <f ca="1"/>
        <v>0</v>
      </c>
      <c r="M176">
        <f ca="1"/>
        <v>-0.7106887821908856</v>
      </c>
      <c r="N176">
        <f ca="1"/>
        <v>0.85803002222311442</v>
      </c>
      <c r="O176">
        <f ca="1"/>
        <v>0</v>
      </c>
      <c r="P176">
        <f ca="1"/>
        <v>0</v>
      </c>
      <c r="Q176">
        <f ca="1"/>
        <v>0</v>
      </c>
      <c r="R176">
        <f ca="1"/>
        <v>0</v>
      </c>
      <c r="S176">
        <f ca="1"/>
        <v>0.9976811594202899</v>
      </c>
      <c r="T176">
        <f ca="1"/>
        <v>0</v>
      </c>
      <c r="U176">
        <f ca="1"/>
        <v>0</v>
      </c>
      <c r="V176">
        <f ca="1"/>
        <v>0</v>
      </c>
      <c r="X176" s="2">
        <f t="shared" ca="1" si="15"/>
        <v>45563</v>
      </c>
      <c r="Y176">
        <f t="shared" ca="1" si="16"/>
        <v>0</v>
      </c>
      <c r="AA176" s="63">
        <f t="shared" ca="1" si="18"/>
        <v>29.770471271023322</v>
      </c>
      <c r="AB176" s="63">
        <f t="shared" ca="1" si="19"/>
        <v>29.770471271023322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45564</v>
      </c>
      <c r="K177">
        <f ca="1"/>
        <v>29.45768497093724</v>
      </c>
      <c r="L177">
        <f ca="1"/>
        <v>0</v>
      </c>
      <c r="M177">
        <f ca="1"/>
        <v>-0.67161733321386663</v>
      </c>
      <c r="N177">
        <f ca="1"/>
        <v>0.84806718552572091</v>
      </c>
      <c r="O177">
        <f ca="1"/>
        <v>0</v>
      </c>
      <c r="P177">
        <f ca="1"/>
        <v>0</v>
      </c>
      <c r="Q177">
        <f ca="1"/>
        <v>0</v>
      </c>
      <c r="R177">
        <f ca="1"/>
        <v>0.48923615239793722</v>
      </c>
      <c r="S177">
        <f ca="1"/>
        <v>1</v>
      </c>
      <c r="T177">
        <f ca="1"/>
        <v>3.0156811594202964</v>
      </c>
      <c r="U177">
        <f ca="1"/>
        <v>0</v>
      </c>
      <c r="V177">
        <f ca="1"/>
        <v>0</v>
      </c>
      <c r="X177" s="2">
        <f t="shared" ca="1" si="15"/>
        <v>45564</v>
      </c>
      <c r="Y177">
        <f t="shared" ca="1" si="16"/>
        <v>0</v>
      </c>
      <c r="AA177" s="63">
        <f t="shared" ca="1" si="18"/>
        <v>29.946921123335176</v>
      </c>
      <c r="AB177" s="63">
        <f t="shared" ca="1" si="19"/>
        <v>29.946921123335176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45565</v>
      </c>
      <c r="K178">
        <f ca="1"/>
        <v>29.637235774292144</v>
      </c>
      <c r="L178">
        <f ca="1"/>
        <v>0</v>
      </c>
      <c r="M178">
        <f ca="1"/>
        <v>-0.60369263516859917</v>
      </c>
      <c r="N178">
        <f ca="1"/>
        <v>0.78324343852350387</v>
      </c>
      <c r="O178">
        <f ca="1"/>
        <v>0</v>
      </c>
      <c r="P178">
        <f ca="1"/>
        <v>0</v>
      </c>
      <c r="Q178">
        <f ca="1"/>
        <v>0</v>
      </c>
      <c r="R178">
        <f ca="1"/>
        <v>0</v>
      </c>
      <c r="S178">
        <f ca="1"/>
        <v>0.99826086956521731</v>
      </c>
      <c r="T178">
        <f ca="1"/>
        <v>0</v>
      </c>
      <c r="U178">
        <f ca="1"/>
        <v>0</v>
      </c>
      <c r="V178">
        <f ca="1"/>
        <v>0</v>
      </c>
      <c r="X178" s="2">
        <f t="shared" ca="1" si="15"/>
        <v>45565</v>
      </c>
      <c r="Y178">
        <f t="shared" ca="1" si="16"/>
        <v>0</v>
      </c>
      <c r="AA178" s="63">
        <f t="shared" ca="1" si="18"/>
        <v>29.637235774292144</v>
      </c>
      <c r="AB178" s="63">
        <f t="shared" ca="1" si="19"/>
        <v>29.637235774292144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45566</v>
      </c>
      <c r="K179">
        <f ca="1"/>
        <v>29.848867951974473</v>
      </c>
      <c r="L179">
        <f ca="1"/>
        <v>0</v>
      </c>
      <c r="M179">
        <f ca="1"/>
        <v>-0.59160595693786888</v>
      </c>
      <c r="N179">
        <f ca="1"/>
        <v>0.81041961802088636</v>
      </c>
      <c r="O179">
        <f ca="1"/>
        <v>0</v>
      </c>
      <c r="P179">
        <f ca="1"/>
        <v>0</v>
      </c>
      <c r="Q179">
        <f ca="1"/>
        <v>0</v>
      </c>
      <c r="R179">
        <f ca="1"/>
        <v>7.1814834006898145E-3</v>
      </c>
      <c r="S179">
        <f ca="1"/>
        <v>1</v>
      </c>
      <c r="T179">
        <f ca="1"/>
        <v>4.3686956521739262E-2</v>
      </c>
      <c r="U179">
        <f ca="1"/>
        <v>0</v>
      </c>
      <c r="V179">
        <f ca="1"/>
        <v>0</v>
      </c>
      <c r="X179" s="2">
        <f t="shared" ca="1" si="15"/>
        <v>45566</v>
      </c>
      <c r="Y179">
        <f t="shared" ca="1" si="16"/>
        <v>0</v>
      </c>
      <c r="AA179" s="63">
        <f t="shared" ca="1" si="18"/>
        <v>29.856049435375162</v>
      </c>
      <c r="AB179" s="63">
        <f t="shared" ca="1" si="19"/>
        <v>29.856049435375162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45567</v>
      </c>
      <c r="K180">
        <f ca="1"/>
        <v>29.858931563851268</v>
      </c>
      <c r="L180">
        <f ca="1"/>
        <v>0</v>
      </c>
      <c r="M180">
        <f ca="1"/>
        <v>-0.60076915468174974</v>
      </c>
      <c r="N180">
        <f ca="1"/>
        <v>0.88051517453813799</v>
      </c>
      <c r="O180">
        <f ca="1"/>
        <v>0</v>
      </c>
      <c r="P180">
        <f ca="1"/>
        <v>0</v>
      </c>
      <c r="Q180">
        <f ca="1"/>
        <v>0</v>
      </c>
      <c r="R180">
        <f ca="1"/>
        <v>0.26968240797959586</v>
      </c>
      <c r="S180">
        <f ca="1"/>
        <v>1</v>
      </c>
      <c r="T180">
        <f ca="1"/>
        <v>1.6400000000000006</v>
      </c>
      <c r="U180">
        <f ca="1"/>
        <v>0</v>
      </c>
      <c r="V180">
        <f ca="1"/>
        <v>0</v>
      </c>
      <c r="X180" s="2">
        <f t="shared" ca="1" si="15"/>
        <v>45567</v>
      </c>
      <c r="Y180">
        <f t="shared" ca="1" si="16"/>
        <v>0</v>
      </c>
      <c r="AA180" s="63">
        <f t="shared" ca="1" si="18"/>
        <v>30.128613971830863</v>
      </c>
      <c r="AB180" s="63">
        <f t="shared" ca="1" si="19"/>
        <v>30.128613971830863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45568</v>
      </c>
      <c r="K181">
        <f ca="1"/>
        <v>30.129929854821746</v>
      </c>
      <c r="L181">
        <f ca="1"/>
        <v>0</v>
      </c>
      <c r="M181">
        <f ca="1"/>
        <v>-0.53423543278400842</v>
      </c>
      <c r="N181">
        <f ca="1"/>
        <v>0.8052337237544851</v>
      </c>
      <c r="O181">
        <f ca="1"/>
        <v>0</v>
      </c>
      <c r="P181">
        <f ca="1"/>
        <v>0</v>
      </c>
      <c r="Q181">
        <f ca="1"/>
        <v>0</v>
      </c>
      <c r="R181">
        <f ca="1"/>
        <v>0</v>
      </c>
      <c r="S181">
        <f ca="1"/>
        <v>0.98405797101449266</v>
      </c>
      <c r="T181">
        <f ca="1"/>
        <v>0</v>
      </c>
      <c r="U181">
        <f ca="1"/>
        <v>0</v>
      </c>
      <c r="V181">
        <f ca="1"/>
        <v>0</v>
      </c>
      <c r="X181" s="2">
        <f t="shared" ca="1" si="15"/>
        <v>45568</v>
      </c>
      <c r="Y181">
        <f t="shared" ca="1" si="16"/>
        <v>0</v>
      </c>
      <c r="AA181" s="63">
        <f t="shared" ca="1" si="18"/>
        <v>30.129929854821746</v>
      </c>
      <c r="AB181" s="63">
        <f t="shared" ca="1" si="19"/>
        <v>30.129929854821746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45569</v>
      </c>
      <c r="K182">
        <f ca="1"/>
        <v>30.423746790548993</v>
      </c>
      <c r="L182">
        <f ca="1"/>
        <v>0</v>
      </c>
      <c r="M182">
        <f ca="1"/>
        <v>-0.50772529255520737</v>
      </c>
      <c r="N182">
        <f ca="1"/>
        <v>0.80154222828245403</v>
      </c>
      <c r="O182">
        <f ca="1"/>
        <v>0</v>
      </c>
      <c r="P182">
        <f ca="1"/>
        <v>0</v>
      </c>
      <c r="Q182">
        <f ca="1"/>
        <v>0</v>
      </c>
      <c r="R182">
        <f ca="1"/>
        <v>0</v>
      </c>
      <c r="S182">
        <f ca="1"/>
        <v>0.98253959252257905</v>
      </c>
      <c r="T182">
        <f ca="1"/>
        <v>0</v>
      </c>
      <c r="U182">
        <f ca="1"/>
        <v>0</v>
      </c>
      <c r="V182">
        <f ca="1"/>
        <v>0</v>
      </c>
      <c r="X182" s="2">
        <f t="shared" ca="1" si="15"/>
        <v>45569</v>
      </c>
      <c r="Y182">
        <f t="shared" ca="1" si="16"/>
        <v>0</v>
      </c>
      <c r="AA182" s="63">
        <f t="shared" ca="1" si="18"/>
        <v>30.423746790548993</v>
      </c>
      <c r="AB182" s="63">
        <f t="shared" ca="1" si="19"/>
        <v>30.423746790548993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45570</v>
      </c>
      <c r="K183">
        <f ca="1"/>
        <v>30.738399279913377</v>
      </c>
      <c r="L183">
        <f ca="1"/>
        <v>0</v>
      </c>
      <c r="M183">
        <f ca="1"/>
        <v>-0.48173943179089918</v>
      </c>
      <c r="N183">
        <f ca="1"/>
        <v>0.79639192115528268</v>
      </c>
      <c r="O183">
        <f ca="1"/>
        <v>0</v>
      </c>
      <c r="P183">
        <f ca="1"/>
        <v>0</v>
      </c>
      <c r="Q183">
        <f ca="1"/>
        <v>0</v>
      </c>
      <c r="R183">
        <f ca="1"/>
        <v>0</v>
      </c>
      <c r="S183">
        <f ca="1"/>
        <v>0.9673801755203052</v>
      </c>
      <c r="T183">
        <f ca="1"/>
        <v>0</v>
      </c>
      <c r="U183">
        <f ca="1"/>
        <v>0</v>
      </c>
      <c r="V183">
        <f ca="1"/>
        <v>0</v>
      </c>
      <c r="X183" s="2">
        <f t="shared" ca="1" si="15"/>
        <v>45570</v>
      </c>
      <c r="Y183">
        <f t="shared" ca="1" si="16"/>
        <v>0</v>
      </c>
      <c r="AA183" s="63">
        <f t="shared" ca="1" si="18"/>
        <v>30.738399279913377</v>
      </c>
      <c r="AB183" s="63">
        <f t="shared" ca="1" si="19"/>
        <v>30.738399279913377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45571</v>
      </c>
      <c r="K184">
        <f ca="1"/>
        <v>31.082008479070481</v>
      </c>
      <c r="L184">
        <f ca="1"/>
        <v>0</v>
      </c>
      <c r="M184">
        <f ca="1"/>
        <v>-0.46855545725771464</v>
      </c>
      <c r="N184">
        <f ca="1"/>
        <v>0.81216465641481972</v>
      </c>
      <c r="O184">
        <f ca="1"/>
        <v>0</v>
      </c>
      <c r="P184">
        <f ca="1"/>
        <v>0</v>
      </c>
      <c r="Q184">
        <f ca="1"/>
        <v>0</v>
      </c>
      <c r="R184">
        <f ca="1"/>
        <v>0</v>
      </c>
      <c r="S184">
        <f ca="1"/>
        <v>0.95420949962109414</v>
      </c>
      <c r="T184">
        <f ca="1"/>
        <v>0</v>
      </c>
      <c r="U184">
        <f ca="1"/>
        <v>0</v>
      </c>
      <c r="V184">
        <f ca="1"/>
        <v>0</v>
      </c>
      <c r="X184" s="2">
        <f t="shared" ca="1" si="15"/>
        <v>45571</v>
      </c>
      <c r="Y184">
        <f t="shared" ca="1" si="16"/>
        <v>0</v>
      </c>
      <c r="AA184" s="63">
        <f t="shared" ca="1" si="18"/>
        <v>31.082008479070481</v>
      </c>
      <c r="AB184" s="63">
        <f t="shared" ca="1" si="19"/>
        <v>31.082008479070481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45572</v>
      </c>
      <c r="K185">
        <f ca="1"/>
        <v>31.443212678917696</v>
      </c>
      <c r="L185">
        <f ca="1"/>
        <v>0</v>
      </c>
      <c r="M185">
        <f ca="1"/>
        <v>-0.43812821387012946</v>
      </c>
      <c r="N185">
        <f ca="1"/>
        <v>0.79933241371734298</v>
      </c>
      <c r="O185">
        <f ca="1"/>
        <v>0</v>
      </c>
      <c r="P185">
        <f ca="1"/>
        <v>0</v>
      </c>
      <c r="Q185">
        <f ca="1"/>
        <v>0</v>
      </c>
      <c r="R185">
        <f ca="1"/>
        <v>0</v>
      </c>
      <c r="S185">
        <f ca="1"/>
        <v>0.98588634231373051</v>
      </c>
      <c r="T185">
        <f ca="1"/>
        <v>0</v>
      </c>
      <c r="U185">
        <f ca="1"/>
        <v>0</v>
      </c>
      <c r="V185">
        <f ca="1"/>
        <v>0</v>
      </c>
      <c r="X185" s="2">
        <f t="shared" ca="1" si="15"/>
        <v>45572</v>
      </c>
      <c r="Y185">
        <f t="shared" ca="1" si="16"/>
        <v>0</v>
      </c>
      <c r="AA185" s="63">
        <f t="shared" ca="1" si="18"/>
        <v>31.443212678917696</v>
      </c>
      <c r="AB185" s="63">
        <f t="shared" ca="1" si="19"/>
        <v>31.443212678917696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45573</v>
      </c>
      <c r="K186">
        <f ca="1"/>
        <v>31.810153749556335</v>
      </c>
      <c r="L186">
        <f ca="1"/>
        <v>0</v>
      </c>
      <c r="M186">
        <f ca="1"/>
        <v>-0.40761272317000419</v>
      </c>
      <c r="N186">
        <f ca="1"/>
        <v>0.77455379380864642</v>
      </c>
      <c r="O186">
        <f ca="1"/>
        <v>0</v>
      </c>
      <c r="P186">
        <f ca="1"/>
        <v>0</v>
      </c>
      <c r="Q186">
        <f ca="1"/>
        <v>0</v>
      </c>
      <c r="R186">
        <f ca="1"/>
        <v>0</v>
      </c>
      <c r="S186">
        <f ca="1"/>
        <v>0.9849116131228921</v>
      </c>
      <c r="T186">
        <f ca="1"/>
        <v>0</v>
      </c>
      <c r="U186">
        <f ca="1"/>
        <v>0</v>
      </c>
      <c r="V186">
        <f ca="1"/>
        <v>0</v>
      </c>
      <c r="X186" s="2">
        <f t="shared" ca="1" si="15"/>
        <v>45573</v>
      </c>
      <c r="Y186">
        <f t="shared" ca="1" si="16"/>
        <v>0</v>
      </c>
      <c r="AA186" s="63">
        <f t="shared" ca="1" si="18"/>
        <v>31.810153749556338</v>
      </c>
      <c r="AB186" s="63">
        <f t="shared" ca="1" si="19"/>
        <v>31.810153749556335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45574</v>
      </c>
      <c r="K187">
        <f ca="1"/>
        <v>32.186837869867006</v>
      </c>
      <c r="L187">
        <f ca="1"/>
        <v>0</v>
      </c>
      <c r="M187">
        <f ca="1"/>
        <v>-0.38280878701283427</v>
      </c>
      <c r="N187">
        <f ca="1"/>
        <v>0.7594929073235045</v>
      </c>
      <c r="O187">
        <f ca="1"/>
        <v>0</v>
      </c>
      <c r="P187">
        <f ca="1"/>
        <v>0</v>
      </c>
      <c r="Q187">
        <f ca="1"/>
        <v>0</v>
      </c>
      <c r="R187">
        <f ca="1"/>
        <v>0</v>
      </c>
      <c r="S187">
        <f ca="1"/>
        <v>0.99141562985150322</v>
      </c>
      <c r="T187">
        <f ca="1"/>
        <v>0</v>
      </c>
      <c r="U187">
        <f ca="1"/>
        <v>0</v>
      </c>
      <c r="V187">
        <f ca="1"/>
        <v>0</v>
      </c>
      <c r="X187" s="2">
        <f t="shared" ca="1" si="15"/>
        <v>45574</v>
      </c>
      <c r="Y187">
        <f t="shared" ca="1" si="16"/>
        <v>0</v>
      </c>
      <c r="AA187" s="63">
        <f t="shared" ca="1" si="18"/>
        <v>32.186837869867006</v>
      </c>
      <c r="AB187" s="63">
        <f t="shared" ca="1" si="19"/>
        <v>32.186837869867006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45575</v>
      </c>
      <c r="K188">
        <f ca="1"/>
        <v>32.545723056224027</v>
      </c>
      <c r="L188">
        <f ca="1"/>
        <v>0</v>
      </c>
      <c r="M188">
        <f ca="1"/>
        <v>-0.39418949977938667</v>
      </c>
      <c r="N188">
        <f ca="1"/>
        <v>0.84425453070851975</v>
      </c>
      <c r="O188">
        <f ca="1"/>
        <v>0</v>
      </c>
      <c r="P188">
        <f ca="1"/>
        <v>0</v>
      </c>
      <c r="Q188">
        <f ca="1"/>
        <v>0</v>
      </c>
      <c r="R188">
        <f ca="1"/>
        <v>9.1179844572111618E-2</v>
      </c>
      <c r="S188">
        <f ca="1"/>
        <v>1</v>
      </c>
      <c r="T188">
        <f ca="1"/>
        <v>0.50871016661754709</v>
      </c>
      <c r="U188">
        <f ca="1"/>
        <v>0</v>
      </c>
      <c r="V188">
        <f ca="1"/>
        <v>0</v>
      </c>
      <c r="X188" s="2">
        <f t="shared" ca="1" si="15"/>
        <v>45575</v>
      </c>
      <c r="Y188">
        <f t="shared" ca="1" si="16"/>
        <v>0</v>
      </c>
      <c r="AA188" s="63">
        <f t="shared" ca="1" si="18"/>
        <v>32.636902900796137</v>
      </c>
      <c r="AB188" s="63">
        <f t="shared" ca="1" si="19"/>
        <v>32.636902900796137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45576</v>
      </c>
      <c r="K189">
        <f ca="1"/>
        <v>33.021273470218276</v>
      </c>
      <c r="L189">
        <f ca="1"/>
        <v>0</v>
      </c>
      <c r="M189">
        <f ca="1"/>
        <v>-0.37634009285681458</v>
      </c>
      <c r="N189">
        <f ca="1"/>
        <v>0.85189050685106671</v>
      </c>
      <c r="O189">
        <f ca="1"/>
        <v>0</v>
      </c>
      <c r="P189">
        <f ca="1"/>
        <v>1.5298380824423061</v>
      </c>
      <c r="Q189">
        <f ca="1"/>
        <v>1.4155969269352506</v>
      </c>
      <c r="R189">
        <f ca="1"/>
        <v>0</v>
      </c>
      <c r="S189">
        <f ca="1"/>
        <v>0.98855072463768123</v>
      </c>
      <c r="T189">
        <f ca="1"/>
        <v>0</v>
      </c>
      <c r="U189">
        <f ca="1"/>
        <v>0</v>
      </c>
      <c r="V189">
        <f ca="1"/>
        <v>7.3626618597610795E-3</v>
      </c>
      <c r="X189" s="2">
        <f t="shared" ca="1" si="15"/>
        <v>45576</v>
      </c>
      <c r="Y189">
        <f t="shared" ca="1" si="16"/>
        <v>0</v>
      </c>
      <c r="AA189" s="63">
        <f t="shared" ca="1" si="18"/>
        <v>33.021273470218276</v>
      </c>
      <c r="AB189" s="63">
        <f t="shared" ca="1" si="19"/>
        <v>33.021273470218276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45577</v>
      </c>
      <c r="K190">
        <f ca="1"/>
        <v>33.436442459188243</v>
      </c>
      <c r="L190">
        <f ca="1"/>
        <v>5.7370416883085085E-2</v>
      </c>
      <c r="M190">
        <f ca="1"/>
        <v>-0.34607147284360451</v>
      </c>
      <c r="N190">
        <f ca="1"/>
        <v>0.81861087869665961</v>
      </c>
      <c r="O190">
        <f ca="1"/>
        <v>0</v>
      </c>
      <c r="P190">
        <f ca="1"/>
        <v>1.5872084993253912</v>
      </c>
      <c r="Q190">
        <f ca="1"/>
        <v>1.4686831893108325</v>
      </c>
      <c r="R190">
        <f ca="1"/>
        <v>0</v>
      </c>
      <c r="S190">
        <f ca="1"/>
        <v>0.99959302512735682</v>
      </c>
      <c r="T190">
        <f ca="1"/>
        <v>0</v>
      </c>
      <c r="U190">
        <f ca="1"/>
        <v>0</v>
      </c>
      <c r="V190">
        <f ca="1"/>
        <v>8.0719936085081722E-3</v>
      </c>
      <c r="X190" s="2">
        <f t="shared" ca="1" si="15"/>
        <v>45577</v>
      </c>
      <c r="Y190">
        <f t="shared" ca="1" si="16"/>
        <v>0</v>
      </c>
      <c r="AA190" s="63">
        <f t="shared" ca="1" si="18"/>
        <v>33.493812876071331</v>
      </c>
      <c r="AB190" s="63">
        <f t="shared" ca="1" si="19"/>
        <v>33.493812876071331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45578</v>
      </c>
      <c r="K191">
        <f ca="1"/>
        <v>33.641737208381841</v>
      </c>
      <c r="L191">
        <f ca="1"/>
        <v>6.2655992346524414E-2</v>
      </c>
      <c r="M191">
        <f ca="1"/>
        <v>-0.34236717358646018</v>
      </c>
      <c r="N191">
        <f ca="1"/>
        <v>0.86651651131153773</v>
      </c>
      <c r="O191">
        <f ca="1"/>
        <v>0</v>
      </c>
      <c r="P191">
        <f ca="1"/>
        <v>1.6498644916719156</v>
      </c>
      <c r="Q191">
        <f ca="1"/>
        <v>1.526660325086026</v>
      </c>
      <c r="R191">
        <f ca="1"/>
        <v>0.25619859618495189</v>
      </c>
      <c r="S191">
        <f ca="1"/>
        <v>1</v>
      </c>
      <c r="T191">
        <f ca="1"/>
        <v>1.382814184784138</v>
      </c>
      <c r="U191">
        <f ca="1"/>
        <v>0</v>
      </c>
      <c r="V191">
        <f ca="1"/>
        <v>8.8913791576256743E-3</v>
      </c>
      <c r="X191" s="2">
        <f t="shared" ca="1" si="15"/>
        <v>45578</v>
      </c>
      <c r="Y191">
        <f t="shared" ca="1" si="16"/>
        <v>0</v>
      </c>
      <c r="AA191" s="63">
        <f t="shared" ca="1" si="18"/>
        <v>33.96059179691332</v>
      </c>
      <c r="AB191" s="63">
        <f t="shared" ca="1" si="19"/>
        <v>33.960591796913313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45579</v>
      </c>
      <c r="K192">
        <f ca="1"/>
        <v>33.773304659640836</v>
      </c>
      <c r="L192">
        <f ca="1"/>
        <v>6.469390414491305E-2</v>
      </c>
      <c r="M192">
        <f ca="1"/>
        <v>-0.32184187999670044</v>
      </c>
      <c r="N192">
        <f ca="1"/>
        <v>0.86033938928496634</v>
      </c>
      <c r="O192">
        <f ca="1"/>
        <v>0</v>
      </c>
      <c r="P192">
        <f ca="1"/>
        <v>1.7145583958168287</v>
      </c>
      <c r="Q192">
        <f ca="1"/>
        <v>1.5865231909344033</v>
      </c>
      <c r="R192">
        <f ca="1"/>
        <v>0.34223615388436118</v>
      </c>
      <c r="S192">
        <f ca="1"/>
        <v>1</v>
      </c>
      <c r="T192">
        <f ca="1"/>
        <v>1.8400000000000034</v>
      </c>
      <c r="U192">
        <f ca="1"/>
        <v>0</v>
      </c>
      <c r="V192">
        <f ca="1"/>
        <v>9.7871926221974256E-3</v>
      </c>
      <c r="X192" s="2">
        <f t="shared" ca="1" si="15"/>
        <v>45579</v>
      </c>
      <c r="Y192">
        <f t="shared" ca="1" si="16"/>
        <v>0</v>
      </c>
      <c r="AA192" s="63">
        <f t="shared" ca="1" si="18"/>
        <v>34.18023471767011</v>
      </c>
      <c r="AB192" s="63">
        <f t="shared" ca="1" si="19"/>
        <v>34.18023471767011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45580</v>
      </c>
      <c r="K193">
        <f ca="1"/>
        <v>34.243185428394391</v>
      </c>
      <c r="L193">
        <f ca="1"/>
        <v>6.5158300710726813E-2</v>
      </c>
      <c r="M193">
        <f ca="1"/>
        <v>-0.29633213870523889</v>
      </c>
      <c r="N193">
        <f ca="1"/>
        <v>0.83137120816951871</v>
      </c>
      <c r="O193">
        <f ca="1"/>
        <v>0</v>
      </c>
      <c r="P193">
        <f ca="1"/>
        <v>1.7797166965275555</v>
      </c>
      <c r="Q193">
        <f ca="1"/>
        <v>1.6468157743842642</v>
      </c>
      <c r="R193">
        <f ca="1"/>
        <v>0</v>
      </c>
      <c r="S193">
        <f ca="1"/>
        <v>0.98101449275362318</v>
      </c>
      <c r="T193">
        <f ca="1"/>
        <v>0</v>
      </c>
      <c r="U193">
        <f ca="1"/>
        <v>0</v>
      </c>
      <c r="V193">
        <f ca="1"/>
        <v>1.0741378890819093E-2</v>
      </c>
      <c r="X193" s="2">
        <f t="shared" ca="1" si="15"/>
        <v>45580</v>
      </c>
      <c r="Y193">
        <f t="shared" ca="1" si="16"/>
        <v>0</v>
      </c>
      <c r="AA193" s="63">
        <f t="shared" ca="1" si="18"/>
        <v>34.308343729105118</v>
      </c>
      <c r="AB193" s="63">
        <f t="shared" ca="1" si="19"/>
        <v>34.308343729105118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45581</v>
      </c>
      <c r="K194">
        <f ca="1"/>
        <v>34.762726305747208</v>
      </c>
      <c r="L194">
        <f ca="1"/>
        <v>7.1481070953676618E-2</v>
      </c>
      <c r="M194">
        <f ca="1"/>
        <v>-0.29340637753757548</v>
      </c>
      <c r="N194">
        <f ca="1"/>
        <v>0.88442832584407161</v>
      </c>
      <c r="O194">
        <f ca="1"/>
        <v>0</v>
      </c>
      <c r="P194">
        <f ca="1"/>
        <v>1.8511977674812321</v>
      </c>
      <c r="Q194">
        <f ca="1"/>
        <v>1.7129589731563351</v>
      </c>
      <c r="R194">
        <f ca="1"/>
        <v>0</v>
      </c>
      <c r="S194">
        <f ca="1"/>
        <v>0.98318428186884621</v>
      </c>
      <c r="T194">
        <f ca="1"/>
        <v>0</v>
      </c>
      <c r="U194">
        <f ca="1"/>
        <v>0</v>
      </c>
      <c r="V194">
        <f ca="1"/>
        <v>1.1849063063227677E-2</v>
      </c>
      <c r="X194" s="2">
        <f t="shared" ca="1" si="15"/>
        <v>45581</v>
      </c>
      <c r="Y194">
        <f t="shared" ca="1" si="16"/>
        <v>0</v>
      </c>
      <c r="AA194" s="63">
        <f t="shared" ca="1" si="18"/>
        <v>34.834207376700888</v>
      </c>
      <c r="AB194" s="63">
        <f t="shared" ca="1" si="19"/>
        <v>34.834207376700881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45582</v>
      </c>
      <c r="K195">
        <f ca="1"/>
        <v>35.283153834773017</v>
      </c>
      <c r="L195">
        <f ca="1"/>
        <v>7.2868724250704231E-2</v>
      </c>
      <c r="M195">
        <f ca="1"/>
        <v>-0.27167341170924075</v>
      </c>
      <c r="N195">
        <f ca="1"/>
        <v>0.86496966498575589</v>
      </c>
      <c r="O195">
        <f ca="1"/>
        <v>0</v>
      </c>
      <c r="P195">
        <f ca="1"/>
        <v>1.9240664917319363</v>
      </c>
      <c r="Q195">
        <f ca="1"/>
        <v>1.780386201764941</v>
      </c>
      <c r="R195">
        <f ca="1"/>
        <v>0</v>
      </c>
      <c r="S195">
        <f ca="1"/>
        <v>0.99589457001444093</v>
      </c>
      <c r="T195">
        <f ca="1"/>
        <v>0</v>
      </c>
      <c r="U195">
        <f ca="1"/>
        <v>0</v>
      </c>
      <c r="V195">
        <f ca="1"/>
        <v>1.3044846942835499E-2</v>
      </c>
      <c r="X195" s="2">
        <f t="shared" ca="1" si="15"/>
        <v>45582</v>
      </c>
      <c r="Y195">
        <f t="shared" ca="1" si="16"/>
        <v>0</v>
      </c>
      <c r="AA195" s="63">
        <f t="shared" ca="1" si="18"/>
        <v>35.356022559023721</v>
      </c>
      <c r="AB195" s="63">
        <f t="shared" ca="1" si="19"/>
        <v>35.356022559023721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45583</v>
      </c>
      <c r="K196">
        <f ca="1"/>
        <v>35.7852631284658</v>
      </c>
      <c r="L196">
        <f ca="1"/>
        <v>7.2140226690195819E-2</v>
      </c>
      <c r="M196">
        <f ca="1"/>
        <v>-0.24585619784662427</v>
      </c>
      <c r="N196">
        <f ca="1"/>
        <v>0.82010571822960532</v>
      </c>
      <c r="O196">
        <f ca="1"/>
        <v>0</v>
      </c>
      <c r="P196">
        <f ca="1"/>
        <v>1.9962067184221322</v>
      </c>
      <c r="Q196">
        <f ca="1"/>
        <v>1.8471393336048949</v>
      </c>
      <c r="R196">
        <f ca="1"/>
        <v>0</v>
      </c>
      <c r="S196">
        <f ca="1"/>
        <v>0.96867862436732199</v>
      </c>
      <c r="T196">
        <f ca="1"/>
        <v>0</v>
      </c>
      <c r="U196">
        <f ca="1"/>
        <v>0</v>
      </c>
      <c r="V196">
        <f ca="1"/>
        <v>1.4295880985520293E-2</v>
      </c>
      <c r="X196" s="2">
        <f t="shared" ca="1" si="15"/>
        <v>45583</v>
      </c>
      <c r="Y196">
        <f t="shared" ca="1" si="16"/>
        <v>0</v>
      </c>
      <c r="AA196" s="63">
        <f t="shared" ca="1" si="18"/>
        <v>35.857403355156002</v>
      </c>
      <c r="AB196" s="63">
        <f t="shared" ca="1" si="19"/>
        <v>35.857403355155995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45584</v>
      </c>
      <c r="K197">
        <f ca="1"/>
        <v>36.31225948117779</v>
      </c>
      <c r="L197">
        <f ca="1"/>
        <v>7.8082739573569482E-2</v>
      </c>
      <c r="M197">
        <f ca="1"/>
        <v>-0.24006644436413538</v>
      </c>
      <c r="N197">
        <f ca="1"/>
        <v>0.84514553664969538</v>
      </c>
      <c r="O197">
        <f ca="1"/>
        <v>0</v>
      </c>
      <c r="P197">
        <f ca="1"/>
        <v>2.0742894579957016</v>
      </c>
      <c r="Q197">
        <f ca="1"/>
        <v>1.9193912192492697</v>
      </c>
      <c r="R197">
        <f ca="1"/>
        <v>0</v>
      </c>
      <c r="S197">
        <f ca="1"/>
        <v>0.94699088608242321</v>
      </c>
      <c r="T197">
        <f ca="1"/>
        <v>0</v>
      </c>
      <c r="U197">
        <f ca="1"/>
        <v>0</v>
      </c>
      <c r="V197">
        <f ca="1"/>
        <v>1.5726378758705216E-2</v>
      </c>
      <c r="X197" s="2">
        <f t="shared" ca="1" si="15"/>
        <v>45584</v>
      </c>
      <c r="Y197">
        <f t="shared" ca="1" si="16"/>
        <v>0</v>
      </c>
      <c r="AA197" s="63">
        <f t="shared" ca="1" si="18"/>
        <v>36.390342220751364</v>
      </c>
      <c r="AB197" s="63">
        <f t="shared" ca="1" si="19"/>
        <v>36.390342220751357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45585</v>
      </c>
      <c r="K198">
        <f ca="1"/>
        <v>36.816419906483688</v>
      </c>
      <c r="L198">
        <f ca="1"/>
        <v>7.9932825175119238E-2</v>
      </c>
      <c r="M198">
        <f ca="1"/>
        <v>-0.22288990036071255</v>
      </c>
      <c r="N198">
        <f ca="1"/>
        <v>0.80698315084173056</v>
      </c>
      <c r="O198">
        <f ca="1"/>
        <v>0</v>
      </c>
      <c r="P198">
        <f ca="1"/>
        <v>2.1542222831708209</v>
      </c>
      <c r="Q198">
        <f ca="1"/>
        <v>1.9933550347522206</v>
      </c>
      <c r="R198">
        <f ca="1"/>
        <v>0</v>
      </c>
      <c r="S198">
        <f ca="1"/>
        <v>0.92306760996661685</v>
      </c>
      <c r="T198">
        <f ca="1"/>
        <v>0</v>
      </c>
      <c r="U198">
        <f ca="1"/>
        <v>0</v>
      </c>
      <c r="V198">
        <f ca="1"/>
        <v>1.7274139701258927E-2</v>
      </c>
      <c r="X198" s="2">
        <f t="shared" ca="1" si="15"/>
        <v>45585</v>
      </c>
      <c r="Y198">
        <f t="shared" ca="1" si="16"/>
        <v>0</v>
      </c>
      <c r="AA198" s="63">
        <f t="shared" ca="1" si="18"/>
        <v>36.896352731658808</v>
      </c>
      <c r="AB198" s="63">
        <f t="shared" ca="1" si="19"/>
        <v>36.896352731658808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ref="I199:I262" ca="1" si="21">AND(IF(J199&gt;($J$3-1),TRUE,FALSE),IF(J199&lt;($J$4+1),TRUE,FALSE))</f>
        <v>0</v>
      </c>
      <c r="J199" s="2">
        <f ca="1"/>
        <v>45586</v>
      </c>
      <c r="K199">
        <f ca="1"/>
        <v>37.378613740840478</v>
      </c>
      <c r="L199">
        <f ca="1"/>
        <v>8.5961691697577169E-2</v>
      </c>
      <c r="M199">
        <f ca="1"/>
        <v>-0.21563142951302083</v>
      </c>
      <c r="N199">
        <f ca="1"/>
        <v>0.86378695556739193</v>
      </c>
      <c r="O199">
        <f ca="1"/>
        <v>0</v>
      </c>
      <c r="P199">
        <f ca="1"/>
        <v>2.240183974868398</v>
      </c>
      <c r="Q199">
        <f ca="1"/>
        <v>2.0728975092126412</v>
      </c>
      <c r="R199">
        <f ca="1"/>
        <v>0</v>
      </c>
      <c r="S199">
        <f ca="1"/>
        <v>0.94589494187622458</v>
      </c>
      <c r="T199">
        <f ca="1"/>
        <v>0</v>
      </c>
      <c r="U199">
        <f ca="1"/>
        <v>0</v>
      </c>
      <c r="V199">
        <f ca="1"/>
        <v>1.9033971621452327E-2</v>
      </c>
      <c r="X199" s="2">
        <f t="shared" ref="X199:X262" ca="1" si="22">IFERROR(J199,$X$5)</f>
        <v>45586</v>
      </c>
      <c r="Y199">
        <f t="shared" ref="Y199:Y262" ca="1" si="23">IFERROR(O199,0)</f>
        <v>0</v>
      </c>
      <c r="AA199" s="63">
        <f t="shared" ca="1" si="18"/>
        <v>37.464575432538055</v>
      </c>
      <c r="AB199" s="63">
        <f t="shared" ca="1" si="19"/>
        <v>37.464575432538055</v>
      </c>
      <c r="AC199" s="3">
        <f t="shared" ca="1" si="20"/>
        <v>0</v>
      </c>
    </row>
    <row r="200" spans="8:29">
      <c r="H200" t="b">
        <f t="shared" ref="H200:H263" ca="1" si="24">IF(J200&lt;$J$4,TRUE,FALSE)</f>
        <v>0</v>
      </c>
      <c r="I200" t="b">
        <f t="shared" ca="1" si="21"/>
        <v>0</v>
      </c>
      <c r="J200" s="2">
        <f ca="1"/>
        <v>45587</v>
      </c>
      <c r="K200">
        <f ca="1"/>
        <v>37.916457172784021</v>
      </c>
      <c r="L200">
        <f ca="1"/>
        <v>8.4428691013669788E-2</v>
      </c>
      <c r="M200">
        <f ca="1"/>
        <v>-0.19259838959801456</v>
      </c>
      <c r="N200">
        <f ca="1"/>
        <v>0.81487051255522258</v>
      </c>
      <c r="O200">
        <f ca="1"/>
        <v>0</v>
      </c>
      <c r="P200">
        <f ca="1"/>
        <v>2.3246126658820678</v>
      </c>
      <c r="Q200">
        <f ca="1"/>
        <v>2.1510214603129523</v>
      </c>
      <c r="R200">
        <f ca="1"/>
        <v>0</v>
      </c>
      <c r="S200">
        <f ca="1"/>
        <v>0.94957749144685111</v>
      </c>
      <c r="T200">
        <f ca="1"/>
        <v>0</v>
      </c>
      <c r="U200">
        <f ca="1"/>
        <v>0</v>
      </c>
      <c r="V200">
        <f ca="1"/>
        <v>2.0859728262507954E-2</v>
      </c>
      <c r="X200" s="2">
        <f t="shared" ca="1" si="22"/>
        <v>45587</v>
      </c>
      <c r="Y200">
        <f t="shared" ca="1" si="23"/>
        <v>0</v>
      </c>
      <c r="AA200" s="63">
        <f t="shared" ca="1" si="18"/>
        <v>38.000885863797684</v>
      </c>
      <c r="AB200" s="63">
        <f t="shared" ca="1" si="19"/>
        <v>38.000885863797691</v>
      </c>
      <c r="AC200" s="3">
        <f t="shared" ca="1" si="20"/>
        <v>0</v>
      </c>
    </row>
    <row r="201" spans="8:29">
      <c r="H201" t="b">
        <f t="shared" ca="1" si="24"/>
        <v>0</v>
      </c>
      <c r="I201" t="b">
        <f t="shared" ca="1" si="21"/>
        <v>0</v>
      </c>
      <c r="J201" s="2">
        <f ca="1"/>
        <v>45588</v>
      </c>
      <c r="K201">
        <f ca="1"/>
        <v>38.436769493076326</v>
      </c>
      <c r="L201">
        <f ca="1"/>
        <v>8.7867134495108523E-2</v>
      </c>
      <c r="M201">
        <f ca="1"/>
        <v>-0.18108924974649554</v>
      </c>
      <c r="N201">
        <f ca="1"/>
        <v>0.78926870453390474</v>
      </c>
      <c r="O201">
        <f ca="1"/>
        <v>0</v>
      </c>
      <c r="P201">
        <f ca="1"/>
        <v>2.4124798003771764</v>
      </c>
      <c r="Q201">
        <f ca="1"/>
        <v>2.2323270880113482</v>
      </c>
      <c r="R201">
        <f ca="1"/>
        <v>0</v>
      </c>
      <c r="S201">
        <f ca="1"/>
        <v>0.92124916619546537</v>
      </c>
      <c r="T201">
        <f ca="1"/>
        <v>0</v>
      </c>
      <c r="U201">
        <f ca="1"/>
        <v>0</v>
      </c>
      <c r="V201">
        <f ca="1"/>
        <v>2.2863360539078888E-2</v>
      </c>
      <c r="X201" s="2">
        <f t="shared" ca="1" si="22"/>
        <v>45588</v>
      </c>
      <c r="Y201">
        <f t="shared" ca="1" si="23"/>
        <v>0</v>
      </c>
      <c r="AA201" s="63">
        <f ca="1">K200+M201+N201+O201</f>
        <v>38.524636627571432</v>
      </c>
      <c r="AB201" s="63">
        <f ca="1">K201+L201+R201</f>
        <v>38.524636627571432</v>
      </c>
      <c r="AC201" s="3">
        <f ca="1">AB201-AA201</f>
        <v>0</v>
      </c>
    </row>
    <row r="202" spans="8:29">
      <c r="H202" t="b">
        <f t="shared" ca="1" si="24"/>
        <v>0</v>
      </c>
      <c r="I202" t="b">
        <f t="shared" ca="1" si="21"/>
        <v>0</v>
      </c>
      <c r="J202" s="2">
        <f ca="1"/>
        <v>45589</v>
      </c>
      <c r="K202">
        <f ca="1"/>
        <v>38.975318369427171</v>
      </c>
      <c r="L202">
        <f ca="1"/>
        <v>9.561789986710334E-2</v>
      </c>
      <c r="M202">
        <f ca="1"/>
        <v>-0.17635205663466991</v>
      </c>
      <c r="N202">
        <f ca="1"/>
        <v>0.81051883285261606</v>
      </c>
      <c r="O202">
        <f ca="1"/>
        <v>0</v>
      </c>
      <c r="P202">
        <f ca="1"/>
        <v>2.5080977002442797</v>
      </c>
      <c r="Q202">
        <f ca="1"/>
        <v>2.3208046901611032</v>
      </c>
      <c r="R202">
        <f ca="1"/>
        <v>0</v>
      </c>
      <c r="S202">
        <f ca="1"/>
        <v>0.90031787820241216</v>
      </c>
      <c r="T202">
        <f ca="1"/>
        <v>0</v>
      </c>
      <c r="U202">
        <f ca="1"/>
        <v>0</v>
      </c>
      <c r="V202">
        <f ca="1"/>
        <v>2.5164889284332553E-2</v>
      </c>
      <c r="X202" s="2">
        <f t="shared" ca="1" si="22"/>
        <v>45589</v>
      </c>
      <c r="Y202">
        <f t="shared" ca="1" si="23"/>
        <v>0</v>
      </c>
      <c r="AA202" s="63">
        <f ca="1">K201+M202+N202+O202</f>
        <v>39.070936269294272</v>
      </c>
      <c r="AB202" s="63">
        <f ca="1">K202+L202+R202</f>
        <v>39.070936269294272</v>
      </c>
      <c r="AC202" s="3">
        <f ca="1">AB202-AA202</f>
        <v>0</v>
      </c>
    </row>
    <row r="203" spans="8:29">
      <c r="H203" t="b">
        <f t="shared" ca="1" si="24"/>
        <v>0</v>
      </c>
      <c r="I203" t="b">
        <f t="shared" ca="1" si="21"/>
        <v>0</v>
      </c>
      <c r="J203" s="2">
        <f ca="1"/>
        <v>45590</v>
      </c>
      <c r="K203">
        <f ca="1"/>
        <v>39.586455427606964</v>
      </c>
      <c r="L203">
        <f ca="1"/>
        <v>0.10653891577171271</v>
      </c>
      <c r="M203">
        <f ca="1"/>
        <v>-0.17462723479101072</v>
      </c>
      <c r="N203">
        <f ca="1"/>
        <v>0.89230320874251756</v>
      </c>
      <c r="O203">
        <f ca="1"/>
        <v>0</v>
      </c>
      <c r="P203">
        <f ca="1"/>
        <v>2.6146366160159924</v>
      </c>
      <c r="Q203">
        <f ca="1"/>
        <v>2.4193877778070059</v>
      </c>
      <c r="R203">
        <f ca="1"/>
        <v>0</v>
      </c>
      <c r="S203">
        <f ca="1"/>
        <v>0.9132452385343981</v>
      </c>
      <c r="T203">
        <f ca="1"/>
        <v>0</v>
      </c>
      <c r="U203">
        <f ca="1"/>
        <v>0</v>
      </c>
      <c r="V203">
        <f ca="1"/>
        <v>2.7879383734529601E-2</v>
      </c>
      <c r="X203" s="2">
        <f t="shared" ca="1" si="22"/>
        <v>45590</v>
      </c>
      <c r="Y203">
        <f t="shared" ca="1" si="23"/>
        <v>0</v>
      </c>
      <c r="AA203" s="63">
        <f ca="1">K202+M203+N203+O203</f>
        <v>39.692994343378679</v>
      </c>
      <c r="AB203" s="63">
        <f ca="1">K203+L203+R203</f>
        <v>39.692994343378679</v>
      </c>
      <c r="AC203" s="3">
        <f ca="1">AB203-AA203</f>
        <v>0</v>
      </c>
    </row>
    <row r="204" spans="8:29">
      <c r="H204" t="b">
        <f t="shared" ca="1" si="24"/>
        <v>0</v>
      </c>
      <c r="I204" t="b">
        <f t="shared" ca="1" si="21"/>
        <v>0</v>
      </c>
      <c r="J204" s="2">
        <f ca="1"/>
        <v>45591</v>
      </c>
      <c r="K204">
        <f ca="1"/>
        <v>40.255851604826631</v>
      </c>
      <c r="L204">
        <f ca="1"/>
        <v>0.11207763806031545</v>
      </c>
      <c r="M204">
        <f ca="1"/>
        <v>-0.16301776153301262</v>
      </c>
      <c r="N204">
        <f ca="1"/>
        <v>0.94449157681299178</v>
      </c>
      <c r="O204">
        <f ca="1"/>
        <v>0</v>
      </c>
      <c r="P204">
        <f ca="1"/>
        <v>2.7267142540763079</v>
      </c>
      <c r="Q204">
        <f ca="1"/>
        <v>2.5230959818563239</v>
      </c>
      <c r="R204">
        <f ca="1"/>
        <v>0</v>
      </c>
      <c r="S204">
        <f ca="1"/>
        <v>0.94956378746334225</v>
      </c>
      <c r="T204">
        <f ca="1"/>
        <v>0</v>
      </c>
      <c r="U204">
        <f ca="1"/>
        <v>0</v>
      </c>
      <c r="V204">
        <f ca="1"/>
        <v>3.0907152589005712E-2</v>
      </c>
      <c r="X204" s="2">
        <f t="shared" ca="1" si="22"/>
        <v>45591</v>
      </c>
      <c r="Y204">
        <f t="shared" ca="1" si="23"/>
        <v>0</v>
      </c>
      <c r="AA204" s="63">
        <f t="shared" ref="AA204:AA267" ca="1" si="25">K203+M204+N204+O204</f>
        <v>40.367929242886945</v>
      </c>
      <c r="AB204" s="63">
        <f t="shared" ref="AB204:AB267" ca="1" si="26">K204+L204+R204</f>
        <v>40.367929242886945</v>
      </c>
      <c r="AC204" s="3">
        <f t="shared" ref="AC204:AC267" ca="1" si="27">AB204-AA204</f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45592</v>
      </c>
      <c r="K205">
        <f ca="1"/>
        <v>40.916640315137847</v>
      </c>
      <c r="L205">
        <f ca="1"/>
        <v>0.11278954681571962</v>
      </c>
      <c r="M205">
        <f ca="1"/>
        <v>-0.145748688150519</v>
      </c>
      <c r="N205">
        <f ca="1"/>
        <v>0.91932694527745284</v>
      </c>
      <c r="O205">
        <f ca="1"/>
        <v>0</v>
      </c>
      <c r="P205">
        <f ca="1"/>
        <v>2.8395038008920275</v>
      </c>
      <c r="Q205">
        <f ca="1"/>
        <v>2.6274629326435965</v>
      </c>
      <c r="R205">
        <f ca="1"/>
        <v>0</v>
      </c>
      <c r="S205">
        <f ca="1"/>
        <v>0.99558819015062017</v>
      </c>
      <c r="T205">
        <f ca="1"/>
        <v>0</v>
      </c>
      <c r="U205">
        <f ca="1"/>
        <v>0</v>
      </c>
      <c r="V205">
        <f ca="1"/>
        <v>3.413355082785028E-2</v>
      </c>
      <c r="X205" s="2">
        <f t="shared" ca="1" si="22"/>
        <v>45592</v>
      </c>
      <c r="Y205">
        <f t="shared" ca="1" si="23"/>
        <v>0</v>
      </c>
      <c r="AA205" s="63">
        <f t="shared" ca="1" si="25"/>
        <v>41.029429861953567</v>
      </c>
      <c r="AB205" s="63">
        <f t="shared" ca="1" si="26"/>
        <v>41.029429861953567</v>
      </c>
      <c r="AC205" s="3">
        <f t="shared" ca="1" si="27"/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45593</v>
      </c>
      <c r="K206">
        <f ca="1"/>
        <v>41.485689839306666</v>
      </c>
      <c r="L206">
        <f ca="1"/>
        <v>0.12212119649612951</v>
      </c>
      <c r="M206">
        <f ca="1"/>
        <v>-0.13925803800071535</v>
      </c>
      <c r="N206">
        <f ca="1"/>
        <v>0.96247131492161553</v>
      </c>
      <c r="O206">
        <f ca="1"/>
        <v>0</v>
      </c>
      <c r="P206">
        <f ca="1"/>
        <v>2.961624997388157</v>
      </c>
      <c r="Q206">
        <f ca="1"/>
        <v>2.7404646891416391</v>
      </c>
      <c r="R206">
        <f ca="1"/>
        <v>0.13204255625594952</v>
      </c>
      <c r="S206">
        <f ca="1"/>
        <v>1</v>
      </c>
      <c r="T206">
        <f ca="1"/>
        <v>0.57793780133972916</v>
      </c>
      <c r="U206">
        <f ca="1"/>
        <v>0</v>
      </c>
      <c r="V206">
        <f ca="1"/>
        <v>3.7830802590024429E-2</v>
      </c>
      <c r="X206" s="2">
        <f t="shared" ca="1" si="22"/>
        <v>45593</v>
      </c>
      <c r="Y206">
        <f t="shared" ca="1" si="23"/>
        <v>0</v>
      </c>
      <c r="AA206" s="63">
        <f t="shared" ca="1" si="25"/>
        <v>41.739853592058751</v>
      </c>
      <c r="AB206" s="63">
        <f t="shared" ca="1" si="26"/>
        <v>41.739853592058743</v>
      </c>
      <c r="AC206" s="3">
        <f t="shared" ca="1" si="27"/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45594</v>
      </c>
      <c r="K207">
        <f ca="1"/>
        <v>42.134719724457995</v>
      </c>
      <c r="L207">
        <f ca="1"/>
        <v>0.11883866080051719</v>
      </c>
      <c r="M207">
        <f ca="1"/>
        <v>-0.12017701958245297</v>
      </c>
      <c r="N207">
        <f ca="1"/>
        <v>0.88804556553429637</v>
      </c>
      <c r="O207">
        <f ca="1"/>
        <v>0</v>
      </c>
      <c r="P207">
        <f ca="1"/>
        <v>3.0804636581886742</v>
      </c>
      <c r="Q207">
        <f ca="1"/>
        <v>2.8504290343628966</v>
      </c>
      <c r="R207">
        <f ca="1"/>
        <v>0</v>
      </c>
      <c r="S207">
        <f ca="1"/>
        <v>0.95956521739130451</v>
      </c>
      <c r="T207">
        <f ca="1"/>
        <v>0</v>
      </c>
      <c r="U207">
        <f ca="1"/>
        <v>0</v>
      </c>
      <c r="V207">
        <f ca="1"/>
        <v>4.1632807682356159E-2</v>
      </c>
      <c r="X207" s="2">
        <f t="shared" ca="1" si="22"/>
        <v>45594</v>
      </c>
      <c r="Y207">
        <f t="shared" ca="1" si="23"/>
        <v>0</v>
      </c>
      <c r="AA207" s="63">
        <f t="shared" ca="1" si="25"/>
        <v>42.253558385258515</v>
      </c>
      <c r="AB207" s="63">
        <f t="shared" ca="1" si="26"/>
        <v>42.253558385258515</v>
      </c>
      <c r="AC207" s="3">
        <f t="shared" ca="1" si="27"/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45595</v>
      </c>
      <c r="K208">
        <f ca="1"/>
        <v>42.763756237036219</v>
      </c>
      <c r="L208">
        <f ca="1"/>
        <v>0.11938953548680553</v>
      </c>
      <c r="M208">
        <f ca="1"/>
        <v>-0.10729845260246051</v>
      </c>
      <c r="N208">
        <f ca="1"/>
        <v>0.85572450066749473</v>
      </c>
      <c r="O208">
        <f ca="1"/>
        <v>0</v>
      </c>
      <c r="P208">
        <f ca="1"/>
        <v>3.1998531936754797</v>
      </c>
      <c r="Q208">
        <f ca="1"/>
        <v>2.9609031175243881</v>
      </c>
      <c r="R208">
        <f ca="1"/>
        <v>0</v>
      </c>
      <c r="S208">
        <f ca="1"/>
        <v>0.96554655254597344</v>
      </c>
      <c r="T208">
        <f ca="1"/>
        <v>0</v>
      </c>
      <c r="U208">
        <f ca="1"/>
        <v>0</v>
      </c>
      <c r="V208">
        <f ca="1"/>
        <v>4.5655342375189631E-2</v>
      </c>
      <c r="X208" s="2">
        <f t="shared" ca="1" si="22"/>
        <v>45595</v>
      </c>
      <c r="Y208">
        <f t="shared" ca="1" si="23"/>
        <v>0</v>
      </c>
      <c r="AA208" s="63">
        <f t="shared" ca="1" si="25"/>
        <v>42.883145772523022</v>
      </c>
      <c r="AB208" s="63">
        <f t="shared" ca="1" si="26"/>
        <v>42.883145772523022</v>
      </c>
      <c r="AC208" s="3">
        <f t="shared" ca="1" si="27"/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45596</v>
      </c>
      <c r="K209">
        <f ca="1"/>
        <v>43.388646306391884</v>
      </c>
      <c r="L209">
        <f ca="1"/>
        <v>0.12254522910136334</v>
      </c>
      <c r="M209">
        <f ca="1"/>
        <v>-9.7580910183154401E-2</v>
      </c>
      <c r="N209">
        <f ca="1"/>
        <v>0.84501620864018312</v>
      </c>
      <c r="O209">
        <f ca="1"/>
        <v>0</v>
      </c>
      <c r="P209">
        <f ca="1"/>
        <v>3.3223984227768431</v>
      </c>
      <c r="Q209">
        <f ca="1"/>
        <v>3.0742972418551955</v>
      </c>
      <c r="R209">
        <f ca="1"/>
        <v>0</v>
      </c>
      <c r="S209">
        <f ca="1"/>
        <v>0.96093011622993174</v>
      </c>
      <c r="T209">
        <f ca="1"/>
        <v>0</v>
      </c>
      <c r="U209">
        <f ca="1"/>
        <v>0</v>
      </c>
      <c r="V209">
        <f ca="1"/>
        <v>4.9995398737433541E-2</v>
      </c>
      <c r="X209" s="2">
        <f t="shared" ca="1" si="22"/>
        <v>45596</v>
      </c>
      <c r="Y209">
        <f t="shared" ca="1" si="23"/>
        <v>0</v>
      </c>
      <c r="AA209" s="63">
        <f t="shared" ca="1" si="25"/>
        <v>43.511191535493246</v>
      </c>
      <c r="AB209" s="63">
        <f t="shared" ca="1" si="26"/>
        <v>43.511191535493246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45597</v>
      </c>
      <c r="K210">
        <f ca="1"/>
        <v>44.041205834156287</v>
      </c>
      <c r="L210">
        <f ca="1"/>
        <v>0.13578876572683019</v>
      </c>
      <c r="M210">
        <f ca="1"/>
        <v>-9.4353315860242759E-2</v>
      </c>
      <c r="N210">
        <f ca="1"/>
        <v>0.88270160935147723</v>
      </c>
      <c r="O210">
        <f ca="1"/>
        <v>0</v>
      </c>
      <c r="P210">
        <f ca="1"/>
        <v>3.4581871885036732</v>
      </c>
      <c r="Q210">
        <f ca="1"/>
        <v>3.1999459374141126</v>
      </c>
      <c r="R210">
        <f ca="1"/>
        <v>0</v>
      </c>
      <c r="S210">
        <f ca="1"/>
        <v>0.93642600519712782</v>
      </c>
      <c r="T210">
        <f ca="1"/>
        <v>0</v>
      </c>
      <c r="U210">
        <f ca="1"/>
        <v>0</v>
      </c>
      <c r="V210">
        <f ca="1"/>
        <v>5.5053397599177011E-2</v>
      </c>
      <c r="X210" s="2">
        <f t="shared" ca="1" si="22"/>
        <v>45597</v>
      </c>
      <c r="Y210">
        <f t="shared" ca="1" si="23"/>
        <v>0</v>
      </c>
      <c r="AA210" s="63">
        <f t="shared" ca="1" si="25"/>
        <v>44.176994599883123</v>
      </c>
      <c r="AB210" s="63">
        <f t="shared" ca="1" si="26"/>
        <v>44.176994599883116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45598</v>
      </c>
      <c r="K211">
        <f ca="1"/>
        <v>44.792128742513732</v>
      </c>
      <c r="L211">
        <f ca="1"/>
        <v>0.1525188999629119</v>
      </c>
      <c r="M211">
        <f ca="1"/>
        <v>-9.155328158002618E-2</v>
      </c>
      <c r="N211">
        <f ca="1"/>
        <v>0.99499508990038266</v>
      </c>
      <c r="O211">
        <f ca="1"/>
        <v>0</v>
      </c>
      <c r="P211">
        <f ca="1"/>
        <v>3.6107060884665851</v>
      </c>
      <c r="Q211">
        <f ca="1"/>
        <v>3.3410754390031716</v>
      </c>
      <c r="R211">
        <f ca="1"/>
        <v>0</v>
      </c>
      <c r="S211">
        <f ca="1"/>
        <v>0.97506942653901751</v>
      </c>
      <c r="T211">
        <f ca="1"/>
        <v>0</v>
      </c>
      <c r="U211">
        <f ca="1"/>
        <v>0</v>
      </c>
      <c r="V211">
        <f ca="1"/>
        <v>6.1044415057669929E-2</v>
      </c>
      <c r="X211" s="2">
        <f t="shared" ca="1" si="22"/>
        <v>45598</v>
      </c>
      <c r="Y211">
        <f t="shared" ca="1" si="23"/>
        <v>0</v>
      </c>
      <c r="AA211" s="63">
        <f t="shared" ca="1" si="25"/>
        <v>44.944647642476646</v>
      </c>
      <c r="AB211" s="63">
        <f t="shared" ca="1" si="26"/>
        <v>44.944647642476646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45599</v>
      </c>
      <c r="K212">
        <f ca="1"/>
        <v>45.51483840636304</v>
      </c>
      <c r="L212">
        <f ca="1"/>
        <v>0.15380904913601556</v>
      </c>
      <c r="M212">
        <f ca="1"/>
        <v>-7.9362486218784056E-2</v>
      </c>
      <c r="N212">
        <f ca="1"/>
        <v>0.95588119920410863</v>
      </c>
      <c r="O212">
        <f ca="1"/>
        <v>0</v>
      </c>
      <c r="P212">
        <f ca="1"/>
        <v>3.7645151376026007</v>
      </c>
      <c r="Q212">
        <f ca="1"/>
        <v>3.4833987474569517</v>
      </c>
      <c r="R212">
        <f ca="1"/>
        <v>0</v>
      </c>
      <c r="S212">
        <f ca="1"/>
        <v>0.96338398737678188</v>
      </c>
      <c r="T212">
        <f ca="1"/>
        <v>0</v>
      </c>
      <c r="U212">
        <f ca="1"/>
        <v>0</v>
      </c>
      <c r="V212">
        <f ca="1"/>
        <v>6.7414564429891341E-2</v>
      </c>
      <c r="X212" s="2">
        <f t="shared" ca="1" si="22"/>
        <v>45599</v>
      </c>
      <c r="Y212">
        <f t="shared" ca="1" si="23"/>
        <v>0</v>
      </c>
      <c r="AA212" s="63">
        <f t="shared" ca="1" si="25"/>
        <v>45.668647455499055</v>
      </c>
      <c r="AB212" s="63">
        <f t="shared" ca="1" si="26"/>
        <v>45.668647455499055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45600</v>
      </c>
      <c r="K213">
        <f ca="1"/>
        <v>46.171622076323082</v>
      </c>
      <c r="L213">
        <f ca="1"/>
        <v>0.15364930659064191</v>
      </c>
      <c r="M213">
        <f ca="1"/>
        <v>-6.8163807438509139E-2</v>
      </c>
      <c r="N213">
        <f ca="1"/>
        <v>0.87859678398919394</v>
      </c>
      <c r="O213">
        <f ca="1"/>
        <v>0</v>
      </c>
      <c r="P213">
        <f ca="1"/>
        <v>3.9181644441932426</v>
      </c>
      <c r="Q213">
        <f ca="1"/>
        <v>3.6255742421917994</v>
      </c>
      <c r="R213">
        <f ca="1"/>
        <v>0</v>
      </c>
      <c r="S213">
        <f ca="1"/>
        <v>0.93201598886906023</v>
      </c>
      <c r="T213">
        <f ca="1"/>
        <v>0</v>
      </c>
      <c r="U213">
        <f ca="1"/>
        <v>0</v>
      </c>
      <c r="V213">
        <f ca="1"/>
        <v>7.4102638080543681E-2</v>
      </c>
      <c r="X213" s="2">
        <f t="shared" ca="1" si="22"/>
        <v>45600</v>
      </c>
      <c r="Y213">
        <f t="shared" ca="1" si="23"/>
        <v>0</v>
      </c>
      <c r="AA213" s="63">
        <f t="shared" ca="1" si="25"/>
        <v>46.325271382913726</v>
      </c>
      <c r="AB213" s="63">
        <f t="shared" ca="1" si="26"/>
        <v>46.325271382913726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45601</v>
      </c>
      <c r="K214">
        <f ca="1"/>
        <v>46.778986856376029</v>
      </c>
      <c r="L214">
        <f ca="1"/>
        <v>0.15772301037230685</v>
      </c>
      <c r="M214">
        <f ca="1"/>
        <v>-5.9859969579882488E-2</v>
      </c>
      <c r="N214">
        <f ca="1"/>
        <v>0.8249477600051357</v>
      </c>
      <c r="O214">
        <f ca="1"/>
        <v>0</v>
      </c>
      <c r="P214">
        <f ca="1"/>
        <v>4.0758874545655495</v>
      </c>
      <c r="Q214">
        <f ca="1"/>
        <v>3.7715192355557847</v>
      </c>
      <c r="R214">
        <f ca="1"/>
        <v>0</v>
      </c>
      <c r="S214">
        <f ca="1"/>
        <v>0.89398856827569295</v>
      </c>
      <c r="T214">
        <f ca="1"/>
        <v>0</v>
      </c>
      <c r="U214">
        <f ca="1"/>
        <v>0</v>
      </c>
      <c r="V214">
        <f ca="1"/>
        <v>8.1299230336511125E-2</v>
      </c>
      <c r="X214" s="2">
        <f t="shared" ca="1" si="22"/>
        <v>45601</v>
      </c>
      <c r="Y214">
        <f t="shared" ca="1" si="23"/>
        <v>0</v>
      </c>
      <c r="AA214" s="63">
        <f t="shared" ca="1" si="25"/>
        <v>46.936709866748338</v>
      </c>
      <c r="AB214" s="63">
        <f t="shared" ca="1" si="26"/>
        <v>46.936709866748338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45602</v>
      </c>
      <c r="K215">
        <f ca="1"/>
        <v>47.391056622926648</v>
      </c>
      <c r="L215">
        <f ca="1"/>
        <v>0.16738055859279299</v>
      </c>
      <c r="M215">
        <f ca="1"/>
        <v>-5.3678679266418783E-2</v>
      </c>
      <c r="N215">
        <f ca="1"/>
        <v>0.83312900440982951</v>
      </c>
      <c r="O215">
        <f ca="1"/>
        <v>0</v>
      </c>
      <c r="P215">
        <f ca="1"/>
        <v>4.2432680131583425</v>
      </c>
      <c r="Q215">
        <f ca="1"/>
        <v>3.926400596591324</v>
      </c>
      <c r="R215">
        <f ca="1"/>
        <v>0</v>
      </c>
      <c r="S215">
        <f ca="1"/>
        <v>0.88313566679076405</v>
      </c>
      <c r="T215">
        <f ca="1"/>
        <v>0</v>
      </c>
      <c r="U215">
        <f ca="1"/>
        <v>0</v>
      </c>
      <c r="V215">
        <f ca="1"/>
        <v>8.9295098577831536E-2</v>
      </c>
      <c r="X215" s="2">
        <f t="shared" ca="1" si="22"/>
        <v>45602</v>
      </c>
      <c r="Y215">
        <f t="shared" ca="1" si="23"/>
        <v>0</v>
      </c>
      <c r="AA215" s="63">
        <f t="shared" ca="1" si="25"/>
        <v>47.558437181519437</v>
      </c>
      <c r="AB215" s="63">
        <f t="shared" ca="1" si="26"/>
        <v>47.558437181519437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45603</v>
      </c>
      <c r="K216">
        <f ca="1"/>
        <v>48.030784678938375</v>
      </c>
      <c r="L216">
        <f ca="1"/>
        <v>0.18007168105010418</v>
      </c>
      <c r="M216">
        <f ca="1"/>
        <v>-4.8016307756370225E-2</v>
      </c>
      <c r="N216">
        <f ca="1"/>
        <v>0.86781604481819841</v>
      </c>
      <c r="O216">
        <f ca="1"/>
        <v>0</v>
      </c>
      <c r="P216">
        <f ca="1"/>
        <v>4.4233396942084466</v>
      </c>
      <c r="Q216">
        <f ca="1"/>
        <v>4.0930253663941798</v>
      </c>
      <c r="R216">
        <f ca="1"/>
        <v>0</v>
      </c>
      <c r="S216">
        <f ca="1"/>
        <v>0.88453665431154194</v>
      </c>
      <c r="T216">
        <f ca="1"/>
        <v>0</v>
      </c>
      <c r="U216">
        <f ca="1"/>
        <v>0</v>
      </c>
      <c r="V216">
        <f ca="1"/>
        <v>9.8297862854417759E-2</v>
      </c>
      <c r="X216" s="2">
        <f t="shared" ca="1" si="22"/>
        <v>45603</v>
      </c>
      <c r="Y216">
        <f t="shared" ca="1" si="23"/>
        <v>0</v>
      </c>
      <c r="AA216" s="63">
        <f t="shared" ca="1" si="25"/>
        <v>48.210856359988476</v>
      </c>
      <c r="AB216" s="63">
        <f t="shared" ca="1" si="26"/>
        <v>48.210856359988476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45604</v>
      </c>
      <c r="K217">
        <f ca="1"/>
        <v>48.691473953655525</v>
      </c>
      <c r="L217">
        <f ca="1"/>
        <v>0.19155340124044518</v>
      </c>
      <c r="M217">
        <f ca="1"/>
        <v>-4.1666113194857246E-2</v>
      </c>
      <c r="N217">
        <f ca="1"/>
        <v>0.89390878915245442</v>
      </c>
      <c r="O217">
        <f ca="1"/>
        <v>0</v>
      </c>
      <c r="P217">
        <f ca="1"/>
        <v>4.6148930954488918</v>
      </c>
      <c r="Q217">
        <f ca="1"/>
        <v>4.2702744552043317</v>
      </c>
      <c r="R217">
        <f ca="1"/>
        <v>0</v>
      </c>
      <c r="S217">
        <f ca="1"/>
        <v>0.88830126458700598</v>
      </c>
      <c r="T217">
        <f ca="1"/>
        <v>0</v>
      </c>
      <c r="U217">
        <f ca="1"/>
        <v>0</v>
      </c>
      <c r="V217">
        <f ca="1"/>
        <v>0.10831439955675171</v>
      </c>
      <c r="X217" s="2">
        <f t="shared" ca="1" si="22"/>
        <v>45604</v>
      </c>
      <c r="Y217">
        <f t="shared" ca="1" si="23"/>
        <v>0</v>
      </c>
      <c r="AA217" s="63">
        <f t="shared" ca="1" si="25"/>
        <v>48.883027354895972</v>
      </c>
      <c r="AB217" s="63">
        <f t="shared" ca="1" si="26"/>
        <v>48.883027354895972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45605</v>
      </c>
      <c r="K218">
        <f ca="1"/>
        <v>49.316833831664511</v>
      </c>
      <c r="L218">
        <f ca="1"/>
        <v>0.19261513892102755</v>
      </c>
      <c r="M218">
        <f ca="1"/>
        <v>-3.359590368987142E-2</v>
      </c>
      <c r="N218">
        <f ca="1"/>
        <v>0.85157092061988415</v>
      </c>
      <c r="O218">
        <f ca="1"/>
        <v>0</v>
      </c>
      <c r="P218">
        <f ca="1"/>
        <v>4.8075082343699194</v>
      </c>
      <c r="Q218">
        <f ca="1"/>
        <v>4.4485059960890494</v>
      </c>
      <c r="R218">
        <f ca="1"/>
        <v>0</v>
      </c>
      <c r="S218">
        <f ca="1"/>
        <v>0.88325508771677474</v>
      </c>
      <c r="T218">
        <f ca="1"/>
        <v>0</v>
      </c>
      <c r="U218">
        <f ca="1"/>
        <v>0</v>
      </c>
      <c r="V218">
        <f ca="1"/>
        <v>0.11882405188789698</v>
      </c>
      <c r="X218" s="2">
        <f t="shared" ca="1" si="22"/>
        <v>45605</v>
      </c>
      <c r="Y218">
        <f t="shared" ca="1" si="23"/>
        <v>0</v>
      </c>
      <c r="AA218" s="63">
        <f t="shared" ca="1" si="25"/>
        <v>49.509448970585538</v>
      </c>
      <c r="AB218" s="63">
        <f t="shared" ca="1" si="26"/>
        <v>49.509448970585538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45606</v>
      </c>
      <c r="K219">
        <f ca="1"/>
        <v>49.975894304431726</v>
      </c>
      <c r="L219">
        <f ca="1"/>
        <v>0.20390935434715107</v>
      </c>
      <c r="M219">
        <f ca="1"/>
        <v>-2.7752399267015448E-2</v>
      </c>
      <c r="N219">
        <f ca="1"/>
        <v>0.89072222638138632</v>
      </c>
      <c r="O219">
        <f ca="1"/>
        <v>0</v>
      </c>
      <c r="P219">
        <f ca="1"/>
        <v>5.0114175887170704</v>
      </c>
      <c r="Q219">
        <f ca="1"/>
        <v>4.6371883531959899</v>
      </c>
      <c r="R219">
        <f ca="1"/>
        <v>0</v>
      </c>
      <c r="S219">
        <f ca="1"/>
        <v>0.90299972989977784</v>
      </c>
      <c r="T219">
        <f ca="1"/>
        <v>0</v>
      </c>
      <c r="U219">
        <f ca="1"/>
        <v>0</v>
      </c>
      <c r="V219">
        <f ca="1"/>
        <v>0.13040372205931719</v>
      </c>
      <c r="X219" s="2">
        <f t="shared" ca="1" si="22"/>
        <v>45606</v>
      </c>
      <c r="Y219">
        <f t="shared" ca="1" si="23"/>
        <v>0</v>
      </c>
      <c r="AA219" s="63">
        <f t="shared" ca="1" si="25"/>
        <v>50.17980365877888</v>
      </c>
      <c r="AB219" s="63">
        <f t="shared" ca="1" si="26"/>
        <v>50.17980365877888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45607</v>
      </c>
      <c r="K220">
        <f ca="1"/>
        <v>50.590297937766337</v>
      </c>
      <c r="L220">
        <f ca="1"/>
        <v>0.19927004201615972</v>
      </c>
      <c r="M220">
        <f ca="1"/>
        <v>-2.057855473235648E-2</v>
      </c>
      <c r="N220">
        <f ca="1"/>
        <v>0.83425223008313254</v>
      </c>
      <c r="O220">
        <f ca="1"/>
        <v>0</v>
      </c>
      <c r="P220">
        <f ca="1"/>
        <v>5.2106876307332302</v>
      </c>
      <c r="Q220">
        <f ca="1"/>
        <v>4.821577840126527</v>
      </c>
      <c r="R220">
        <f ca="1"/>
        <v>0</v>
      </c>
      <c r="S220">
        <f ca="1"/>
        <v>0.909093691665536</v>
      </c>
      <c r="T220">
        <f ca="1"/>
        <v>0</v>
      </c>
      <c r="U220">
        <f ca="1"/>
        <v>0</v>
      </c>
      <c r="V220">
        <f ca="1"/>
        <v>0.14214428636235765</v>
      </c>
      <c r="X220" s="2">
        <f t="shared" ca="1" si="22"/>
        <v>45607</v>
      </c>
      <c r="Y220">
        <f t="shared" ca="1" si="23"/>
        <v>0</v>
      </c>
      <c r="AA220" s="63">
        <f t="shared" ca="1" si="25"/>
        <v>50.789567979782497</v>
      </c>
      <c r="AB220" s="63">
        <f t="shared" ca="1" si="26"/>
        <v>50.789567979782497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45608</v>
      </c>
      <c r="K221">
        <f ca="1"/>
        <v>51.147488785511342</v>
      </c>
      <c r="L221">
        <f ca="1"/>
        <v>0.19876240763953845</v>
      </c>
      <c r="M221">
        <f ca="1"/>
        <v>-1.4956650720169051E-2</v>
      </c>
      <c r="N221">
        <f ca="1"/>
        <v>0.77090990610470533</v>
      </c>
      <c r="O221">
        <f ca="1"/>
        <v>0</v>
      </c>
      <c r="P221">
        <f ca="1"/>
        <v>5.4094500383727686</v>
      </c>
      <c r="Q221">
        <f ca="1"/>
        <v>5.005497600442335</v>
      </c>
      <c r="R221">
        <f ca="1"/>
        <v>0</v>
      </c>
      <c r="S221">
        <f ca="1"/>
        <v>0.88273734813290361</v>
      </c>
      <c r="T221">
        <f ca="1"/>
        <v>0</v>
      </c>
      <c r="U221">
        <f ca="1"/>
        <v>0</v>
      </c>
      <c r="V221">
        <f ca="1"/>
        <v>0.15424467592855451</v>
      </c>
      <c r="X221" s="2">
        <f t="shared" ca="1" si="22"/>
        <v>45608</v>
      </c>
      <c r="Y221">
        <f t="shared" ca="1" si="23"/>
        <v>0</v>
      </c>
      <c r="AA221" s="63">
        <f t="shared" ca="1" si="25"/>
        <v>51.346251193150877</v>
      </c>
      <c r="AB221" s="63">
        <f t="shared" ca="1" si="26"/>
        <v>51.346251193150877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45609</v>
      </c>
      <c r="K222">
        <f ca="1"/>
        <v>51.680194327926571</v>
      </c>
      <c r="L222">
        <f ca="1"/>
        <v>0.20681513904029547</v>
      </c>
      <c r="M222">
        <f ca="1"/>
        <v>-1.0390561921177266E-2</v>
      </c>
      <c r="N222">
        <f ca="1"/>
        <v>0.74991124337670034</v>
      </c>
      <c r="O222">
        <f ca="1"/>
        <v>0</v>
      </c>
      <c r="P222">
        <f ca="1"/>
        <v>5.6162651774130641</v>
      </c>
      <c r="Q222">
        <f ca="1"/>
        <v>5.1968687518270231</v>
      </c>
      <c r="R222">
        <f ca="1"/>
        <v>0</v>
      </c>
      <c r="S222">
        <f ca="1"/>
        <v>0.85835150215059752</v>
      </c>
      <c r="T222">
        <f ca="1"/>
        <v>0</v>
      </c>
      <c r="U222">
        <f ca="1"/>
        <v>0</v>
      </c>
      <c r="V222">
        <f ca="1"/>
        <v>0.16721696736081573</v>
      </c>
      <c r="X222" s="2">
        <f t="shared" ca="1" si="22"/>
        <v>45609</v>
      </c>
      <c r="Y222">
        <f t="shared" ca="1" si="23"/>
        <v>0</v>
      </c>
      <c r="AA222" s="63">
        <f t="shared" ca="1" si="25"/>
        <v>51.887009466966866</v>
      </c>
      <c r="AB222" s="63">
        <f t="shared" ca="1" si="26"/>
        <v>51.887009466966866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45610</v>
      </c>
      <c r="K223">
        <f ca="1"/>
        <v>52.240398199446524</v>
      </c>
      <c r="L223">
        <f ca="1"/>
        <v>0.22962124753646673</v>
      </c>
      <c r="M223">
        <f ca="1"/>
        <v>-6.230909281484287E-3</v>
      </c>
      <c r="N223">
        <f ca="1"/>
        <v>0.79605602833790345</v>
      </c>
      <c r="O223">
        <f ca="1"/>
        <v>0</v>
      </c>
      <c r="P223">
        <f ca="1"/>
        <v>5.8458864249495308</v>
      </c>
      <c r="Q223">
        <f ca="1"/>
        <v>5.4093429581513517</v>
      </c>
      <c r="R223">
        <f ca="1"/>
        <v>0</v>
      </c>
      <c r="S223">
        <f ca="1"/>
        <v>0.84491349540727034</v>
      </c>
      <c r="T223">
        <f ca="1"/>
        <v>0</v>
      </c>
      <c r="U223">
        <f ca="1"/>
        <v>0</v>
      </c>
      <c r="V223">
        <f ca="1"/>
        <v>0.18203453393638491</v>
      </c>
      <c r="X223" s="2">
        <f t="shared" ca="1" si="22"/>
        <v>45610</v>
      </c>
      <c r="Y223">
        <f t="shared" ca="1" si="23"/>
        <v>0</v>
      </c>
      <c r="AA223" s="63">
        <f t="shared" ca="1" si="25"/>
        <v>52.470019446982988</v>
      </c>
      <c r="AB223" s="63">
        <f t="shared" ca="1" si="26"/>
        <v>52.470019446982988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45611</v>
      </c>
      <c r="K224">
        <f ca="1"/>
        <v>52.903561237342998</v>
      </c>
      <c r="L224">
        <f ca="1"/>
        <v>0.26211529038099357</v>
      </c>
      <c r="M224">
        <f ca="1"/>
        <v>-1.4421223705767261E-3</v>
      </c>
      <c r="N224">
        <f ca="1"/>
        <v>0.92672045064803943</v>
      </c>
      <c r="O224">
        <f ca="1"/>
        <v>0</v>
      </c>
      <c r="P224">
        <f ca="1"/>
        <v>6.1080017153305244</v>
      </c>
      <c r="Q224">
        <f ca="1"/>
        <v>5.6518847041207776</v>
      </c>
      <c r="R224">
        <f ca="1"/>
        <v>0</v>
      </c>
      <c r="S224">
        <f ca="1"/>
        <v>0.87753520990661438</v>
      </c>
      <c r="T224">
        <f ca="1"/>
        <v>0</v>
      </c>
      <c r="U224">
        <f ca="1"/>
        <v>0</v>
      </c>
      <c r="V224">
        <f ca="1"/>
        <v>0.1994223416108086</v>
      </c>
      <c r="X224" s="2">
        <f t="shared" ca="1" si="22"/>
        <v>45611</v>
      </c>
      <c r="Y224">
        <f t="shared" ca="1" si="23"/>
        <v>0</v>
      </c>
      <c r="AA224" s="63">
        <f t="shared" ca="1" si="25"/>
        <v>53.165676527723988</v>
      </c>
      <c r="AB224" s="63">
        <f t="shared" ca="1" si="26"/>
        <v>53.165676527723988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45612</v>
      </c>
      <c r="K225">
        <f ca="1"/>
        <v>53.621296410362028</v>
      </c>
      <c r="L225">
        <f ca="1"/>
        <v>0.27730690985976025</v>
      </c>
      <c r="M225">
        <f ca="1"/>
        <v>3.9496636137812402E-3</v>
      </c>
      <c r="N225">
        <f ca="1"/>
        <v>0.99109241926500846</v>
      </c>
      <c r="O225">
        <f ca="1"/>
        <v>0</v>
      </c>
      <c r="P225">
        <f ca="1"/>
        <v>6.3853086251902846</v>
      </c>
      <c r="Q225">
        <f ca="1"/>
        <v>5.9084836304520492</v>
      </c>
      <c r="R225">
        <f ca="1"/>
        <v>0</v>
      </c>
      <c r="S225">
        <f ca="1"/>
        <v>0.91730033644403541</v>
      </c>
      <c r="T225">
        <f ca="1"/>
        <v>0</v>
      </c>
      <c r="U225">
        <f ca="1"/>
        <v>0</v>
      </c>
      <c r="V225">
        <f ca="1"/>
        <v>0.21828899774449181</v>
      </c>
      <c r="X225" s="2">
        <f t="shared" ca="1" si="22"/>
        <v>45612</v>
      </c>
      <c r="Y225">
        <f t="shared" ca="1" si="23"/>
        <v>0</v>
      </c>
      <c r="AA225" s="63">
        <f t="shared" ca="1" si="25"/>
        <v>53.898603320221788</v>
      </c>
      <c r="AB225" s="63">
        <f t="shared" ca="1" si="26"/>
        <v>53.898603320221788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45613</v>
      </c>
      <c r="K226">
        <f ca="1"/>
        <v>54.353810622259395</v>
      </c>
      <c r="L226">
        <f ca="1"/>
        <v>0.27961915700618345</v>
      </c>
      <c r="M226">
        <f ca="1"/>
        <v>8.6925698677191576E-3</v>
      </c>
      <c r="N226">
        <f ca="1"/>
        <v>1.0034407990358307</v>
      </c>
      <c r="O226">
        <f ca="1"/>
        <v>0</v>
      </c>
      <c r="P226">
        <f ca="1"/>
        <v>6.6649277821964681</v>
      </c>
      <c r="Q226">
        <f ca="1"/>
        <v>6.1672221361233559</v>
      </c>
      <c r="R226">
        <f ca="1"/>
        <v>0</v>
      </c>
      <c r="S226">
        <f ca="1"/>
        <v>0.96101255196112312</v>
      </c>
      <c r="T226">
        <f ca="1"/>
        <v>0</v>
      </c>
      <c r="U226">
        <f ca="1"/>
        <v>0</v>
      </c>
      <c r="V226">
        <f ca="1"/>
        <v>0.23771596492017491</v>
      </c>
      <c r="X226" s="2">
        <f t="shared" ca="1" si="22"/>
        <v>45613</v>
      </c>
      <c r="Y226">
        <f t="shared" ca="1" si="23"/>
        <v>0</v>
      </c>
      <c r="AA226" s="63">
        <f t="shared" ca="1" si="25"/>
        <v>54.633429779265576</v>
      </c>
      <c r="AB226" s="63">
        <f t="shared" ca="1" si="26"/>
        <v>54.633429779265576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45614</v>
      </c>
      <c r="K227">
        <f ca="1"/>
        <v>55.003981473540293</v>
      </c>
      <c r="L227">
        <f ca="1"/>
        <v>0.28097141252276359</v>
      </c>
      <c r="M227">
        <f ca="1"/>
        <v>1.2677466378431035E-2</v>
      </c>
      <c r="N227">
        <f ca="1"/>
        <v>0.9184647974252268</v>
      </c>
      <c r="O227">
        <f ca="1"/>
        <v>0</v>
      </c>
      <c r="P227">
        <f ca="1"/>
        <v>6.9458991947192317</v>
      </c>
      <c r="Q227">
        <f ca="1"/>
        <v>6.4272119171914976</v>
      </c>
      <c r="R227">
        <f ca="1"/>
        <v>0</v>
      </c>
      <c r="S227">
        <f ca="1"/>
        <v>0.92455176617055601</v>
      </c>
      <c r="T227">
        <f ca="1"/>
        <v>0</v>
      </c>
      <c r="U227">
        <f ca="1"/>
        <v>0</v>
      </c>
      <c r="V227">
        <f ca="1"/>
        <v>0.25755463408691304</v>
      </c>
      <c r="X227" s="2">
        <f t="shared" ca="1" si="22"/>
        <v>45614</v>
      </c>
      <c r="Y227">
        <f t="shared" ca="1" si="23"/>
        <v>0</v>
      </c>
      <c r="AA227" s="63">
        <f t="shared" ca="1" si="25"/>
        <v>55.284952886063053</v>
      </c>
      <c r="AB227" s="63">
        <f t="shared" ca="1" si="26"/>
        <v>55.284952886063053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45615</v>
      </c>
      <c r="K228">
        <f ca="1"/>
        <v>55.6452464546012</v>
      </c>
      <c r="L228">
        <f ca="1"/>
        <v>0.2962668997356035</v>
      </c>
      <c r="M228">
        <f ca="1"/>
        <v>1.6884142659147727E-2</v>
      </c>
      <c r="N228">
        <f ca="1"/>
        <v>0.92064773813736733</v>
      </c>
      <c r="O228">
        <f ca="1"/>
        <v>0</v>
      </c>
      <c r="P228">
        <f ca="1"/>
        <v>7.2421660944548352</v>
      </c>
      <c r="Q228">
        <f ca="1"/>
        <v>6.7013549899987916</v>
      </c>
      <c r="R228">
        <f ca="1"/>
        <v>0</v>
      </c>
      <c r="S228">
        <f ca="1"/>
        <v>0.91422432808627363</v>
      </c>
      <c r="T228">
        <f ca="1"/>
        <v>0</v>
      </c>
      <c r="U228">
        <f ca="1"/>
        <v>0</v>
      </c>
      <c r="V228">
        <f ca="1"/>
        <v>0.27872062062656366</v>
      </c>
      <c r="X228" s="2">
        <f t="shared" ca="1" si="22"/>
        <v>45615</v>
      </c>
      <c r="Y228">
        <f t="shared" ca="1" si="23"/>
        <v>0</v>
      </c>
      <c r="AA228" s="63">
        <f t="shared" ca="1" si="25"/>
        <v>55.941513354336813</v>
      </c>
      <c r="AB228" s="63">
        <f t="shared" ca="1" si="26"/>
        <v>55.941513354336806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45616</v>
      </c>
      <c r="K229">
        <f ca="1"/>
        <v>56.255828409093013</v>
      </c>
      <c r="L229">
        <f ca="1"/>
        <v>0.31023913820092996</v>
      </c>
      <c r="M229">
        <f ca="1"/>
        <v>2.0850363019558671E-2</v>
      </c>
      <c r="N229">
        <f ca="1"/>
        <v>0.89997072967317659</v>
      </c>
      <c r="O229">
        <f ca="1"/>
        <v>0</v>
      </c>
      <c r="P229">
        <f ca="1"/>
        <v>7.5524052326557651</v>
      </c>
      <c r="Q229">
        <f ca="1"/>
        <v>6.9884269198275755</v>
      </c>
      <c r="R229">
        <f ca="1"/>
        <v>0</v>
      </c>
      <c r="S229">
        <f ca="1"/>
        <v>0.89093517523931209</v>
      </c>
      <c r="T229">
        <f ca="1"/>
        <v>0</v>
      </c>
      <c r="U229">
        <f ca="1"/>
        <v>0</v>
      </c>
      <c r="V229">
        <f ca="1"/>
        <v>0.30104965020391394</v>
      </c>
      <c r="X229" s="2">
        <f t="shared" ca="1" si="22"/>
        <v>45616</v>
      </c>
      <c r="Y229">
        <f t="shared" ca="1" si="23"/>
        <v>0</v>
      </c>
      <c r="AA229" s="63">
        <f t="shared" ca="1" si="25"/>
        <v>56.566067547293933</v>
      </c>
      <c r="AB229" s="63">
        <f t="shared" ca="1" si="26"/>
        <v>56.56606754729394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45617</v>
      </c>
      <c r="K230">
        <f ca="1"/>
        <v>56.833152030114363</v>
      </c>
      <c r="L230">
        <f ca="1"/>
        <v>0.3251264928338351</v>
      </c>
      <c r="M230">
        <f ca="1"/>
        <v>2.4671764386862804E-2</v>
      </c>
      <c r="N230">
        <f ca="1"/>
        <v>0.87777834946831668</v>
      </c>
      <c r="O230">
        <f ca="1"/>
        <v>0</v>
      </c>
      <c r="P230">
        <f ca="1"/>
        <v>7.8775317254896002</v>
      </c>
      <c r="Q230">
        <f ca="1"/>
        <v>7.2892744862484937</v>
      </c>
      <c r="R230">
        <f ca="1"/>
        <v>0</v>
      </c>
      <c r="S230">
        <f ca="1"/>
        <v>0.86539836161272232</v>
      </c>
      <c r="T230">
        <f ca="1"/>
        <v>0</v>
      </c>
      <c r="U230">
        <f ca="1"/>
        <v>0</v>
      </c>
      <c r="V230">
        <f ca="1"/>
        <v>0.32451380753853321</v>
      </c>
      <c r="X230" s="2">
        <f t="shared" ca="1" si="22"/>
        <v>45617</v>
      </c>
      <c r="Y230">
        <f t="shared" ca="1" si="23"/>
        <v>0</v>
      </c>
      <c r="AA230" s="63">
        <f t="shared" ca="1" si="25"/>
        <v>57.158278522948194</v>
      </c>
      <c r="AB230" s="63">
        <f t="shared" ca="1" si="26"/>
        <v>57.158278522948194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45618</v>
      </c>
      <c r="K231">
        <f ca="1"/>
        <v>57.375907214729096</v>
      </c>
      <c r="L231">
        <f ca="1"/>
        <v>0.3526154518189486</v>
      </c>
      <c r="M231">
        <f ca="1"/>
        <v>2.9380380183308574E-2</v>
      </c>
      <c r="N231">
        <f ca="1"/>
        <v>0.86599025625036763</v>
      </c>
      <c r="O231">
        <f ca="1"/>
        <v>0</v>
      </c>
      <c r="P231">
        <f ca="1"/>
        <v>8.2301471773085488</v>
      </c>
      <c r="Q231">
        <f ca="1"/>
        <v>7.6155582647173263</v>
      </c>
      <c r="R231">
        <f ca="1"/>
        <v>0</v>
      </c>
      <c r="S231">
        <f ca="1"/>
        <v>0.81714317119137347</v>
      </c>
      <c r="T231">
        <f ca="1"/>
        <v>0</v>
      </c>
      <c r="U231">
        <f ca="1"/>
        <v>0</v>
      </c>
      <c r="V231">
        <f ca="1"/>
        <v>0.34990141667704688</v>
      </c>
      <c r="X231" s="2">
        <f t="shared" ca="1" si="22"/>
        <v>45618</v>
      </c>
      <c r="Y231">
        <f t="shared" ca="1" si="23"/>
        <v>0</v>
      </c>
      <c r="AA231" s="63">
        <f t="shared" ca="1" si="25"/>
        <v>57.728522666548045</v>
      </c>
      <c r="AB231" s="63">
        <f t="shared" ca="1" si="26"/>
        <v>57.728522666548045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45619</v>
      </c>
      <c r="K232">
        <f ca="1"/>
        <v>57.889297007677996</v>
      </c>
      <c r="L232">
        <f ca="1"/>
        <v>0.3680121273242456</v>
      </c>
      <c r="M232">
        <f ca="1"/>
        <v>3.2941098985563855E-2</v>
      </c>
      <c r="N232">
        <f ca="1"/>
        <v>0.84846082128758915</v>
      </c>
      <c r="O232">
        <f ca="1"/>
        <v>0</v>
      </c>
      <c r="P232">
        <f ca="1"/>
        <v>8.5981593046327944</v>
      </c>
      <c r="Q232">
        <f ca="1"/>
        <v>7.9560889669491761</v>
      </c>
      <c r="R232">
        <f ca="1"/>
        <v>0</v>
      </c>
      <c r="S232">
        <f ca="1"/>
        <v>0.80078068788771473</v>
      </c>
      <c r="T232">
        <f ca="1"/>
        <v>0</v>
      </c>
      <c r="U232">
        <f ca="1"/>
        <v>0</v>
      </c>
      <c r="V232">
        <f ca="1"/>
        <v>0.37618704513216999</v>
      </c>
      <c r="X232" s="2">
        <f t="shared" ca="1" si="22"/>
        <v>45619</v>
      </c>
      <c r="Y232">
        <f t="shared" ca="1" si="23"/>
        <v>0</v>
      </c>
      <c r="AA232" s="63">
        <f t="shared" ca="1" si="25"/>
        <v>58.257309135002245</v>
      </c>
      <c r="AB232" s="63">
        <f t="shared" ca="1" si="26"/>
        <v>58.257309135002245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45620</v>
      </c>
      <c r="K233">
        <f ca="1"/>
        <v>58.420622947888695</v>
      </c>
      <c r="L233">
        <f ca="1"/>
        <v>0.40829264481012295</v>
      </c>
      <c r="M233">
        <f ca="1"/>
        <v>3.8782566449491185E-2</v>
      </c>
      <c r="N233">
        <f ca="1"/>
        <v>0.90083601857133599</v>
      </c>
      <c r="O233">
        <f ca="1"/>
        <v>0</v>
      </c>
      <c r="P233">
        <f ca="1"/>
        <v>9.0064519494429174</v>
      </c>
      <c r="Q233">
        <f ca="1"/>
        <v>8.3338922259455561</v>
      </c>
      <c r="R233">
        <f ca="1"/>
        <v>0</v>
      </c>
      <c r="S233">
        <f ca="1"/>
        <v>0.78828292186378313</v>
      </c>
      <c r="T233">
        <f ca="1"/>
        <v>0</v>
      </c>
      <c r="U233">
        <f ca="1"/>
        <v>0</v>
      </c>
      <c r="V233">
        <f ca="1"/>
        <v>0.40493385535970033</v>
      </c>
      <c r="X233" s="2">
        <f t="shared" ca="1" si="22"/>
        <v>45620</v>
      </c>
      <c r="Y233">
        <f t="shared" ca="1" si="23"/>
        <v>0</v>
      </c>
      <c r="AA233" s="63">
        <f t="shared" ca="1" si="25"/>
        <v>58.82891559269882</v>
      </c>
      <c r="AB233" s="63">
        <f t="shared" ca="1" si="26"/>
        <v>58.82891559269882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45621</v>
      </c>
      <c r="K234">
        <f ca="1"/>
        <v>58.996727050753321</v>
      </c>
      <c r="L234">
        <f ca="1"/>
        <v>0.43068028708421835</v>
      </c>
      <c r="M234">
        <f ca="1"/>
        <v>4.272102733281713E-2</v>
      </c>
      <c r="N234">
        <f ca="1"/>
        <v>0.96406336261602266</v>
      </c>
      <c r="O234">
        <f ca="1"/>
        <v>0</v>
      </c>
      <c r="P234">
        <f ca="1"/>
        <v>9.4371322365271357</v>
      </c>
      <c r="Q234">
        <f ca="1"/>
        <v>8.7324113227605</v>
      </c>
      <c r="R234">
        <f ca="1"/>
        <v>0</v>
      </c>
      <c r="S234">
        <f ca="1"/>
        <v>0.83178186953952538</v>
      </c>
      <c r="T234">
        <f ca="1"/>
        <v>0</v>
      </c>
      <c r="U234">
        <f ca="1"/>
        <v>0</v>
      </c>
      <c r="V234">
        <f ca="1"/>
        <v>0.43461072347734298</v>
      </c>
      <c r="X234" s="2">
        <f t="shared" ca="1" si="22"/>
        <v>45621</v>
      </c>
      <c r="Y234">
        <f t="shared" ca="1" si="23"/>
        <v>0</v>
      </c>
      <c r="AA234" s="63">
        <f t="shared" ca="1" si="25"/>
        <v>59.427407337837536</v>
      </c>
      <c r="AB234" s="63">
        <f t="shared" ca="1" si="26"/>
        <v>59.427407337837536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45622</v>
      </c>
      <c r="K235">
        <f ca="1"/>
        <v>59.547740532640631</v>
      </c>
      <c r="L235">
        <f ca="1"/>
        <v>0.45983969702116845</v>
      </c>
      <c r="M235">
        <f ca="1"/>
        <v>4.7146418876817364E-2</v>
      </c>
      <c r="N235">
        <f ca="1"/>
        <v>0.96370676003165379</v>
      </c>
      <c r="O235">
        <f ca="1"/>
        <v>0</v>
      </c>
      <c r="P235">
        <f ca="1"/>
        <v>9.8969719335483042</v>
      </c>
      <c r="Q235">
        <f ca="1"/>
        <v>9.157912341108009</v>
      </c>
      <c r="R235">
        <f ca="1"/>
        <v>0</v>
      </c>
      <c r="S235">
        <f ca="1"/>
        <v>0.81115693537475397</v>
      </c>
      <c r="T235">
        <f ca="1"/>
        <v>0</v>
      </c>
      <c r="U235">
        <f ca="1"/>
        <v>0</v>
      </c>
      <c r="V235">
        <f ca="1"/>
        <v>0.46539121044411585</v>
      </c>
      <c r="X235" s="2">
        <f t="shared" ca="1" si="22"/>
        <v>45622</v>
      </c>
      <c r="Y235">
        <f t="shared" ca="1" si="23"/>
        <v>0</v>
      </c>
      <c r="AA235" s="63">
        <f t="shared" ca="1" si="25"/>
        <v>60.007580229661798</v>
      </c>
      <c r="AB235" s="63">
        <f t="shared" ca="1" si="26"/>
        <v>60.007580229661798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45623</v>
      </c>
      <c r="K236">
        <f ca="1"/>
        <v>60.157331033136302</v>
      </c>
      <c r="L236">
        <f ca="1"/>
        <v>0.47479621729799071</v>
      </c>
      <c r="M236">
        <f ca="1"/>
        <v>4.9615427956236857E-2</v>
      </c>
      <c r="N236">
        <f ca="1"/>
        <v>1.0347712898374242</v>
      </c>
      <c r="O236">
        <f ca="1"/>
        <v>0</v>
      </c>
      <c r="P236">
        <f ca="1"/>
        <v>10.371768150846295</v>
      </c>
      <c r="Q236">
        <f ca="1"/>
        <v>9.5972529967246558</v>
      </c>
      <c r="R236">
        <f ca="1"/>
        <v>0</v>
      </c>
      <c r="S236">
        <f ca="1"/>
        <v>0.87936652666752979</v>
      </c>
      <c r="T236">
        <f ca="1"/>
        <v>0</v>
      </c>
      <c r="U236">
        <f ca="1"/>
        <v>0</v>
      </c>
      <c r="V236">
        <f ca="1"/>
        <v>0.49603638795959154</v>
      </c>
      <c r="X236" s="2">
        <f t="shared" ca="1" si="22"/>
        <v>45623</v>
      </c>
      <c r="Y236">
        <f t="shared" ca="1" si="23"/>
        <v>0</v>
      </c>
      <c r="AA236" s="63">
        <f t="shared" ca="1" si="25"/>
        <v>60.632127250434294</v>
      </c>
      <c r="AB236" s="63">
        <f t="shared" ca="1" si="26"/>
        <v>60.632127250434294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45624</v>
      </c>
      <c r="K237">
        <f ca="1"/>
        <v>60.637244892839227</v>
      </c>
      <c r="L237">
        <f ca="1"/>
        <v>0.46360020234422983</v>
      </c>
      <c r="M237">
        <f ca="1"/>
        <v>4.8765347660239655E-2</v>
      </c>
      <c r="N237">
        <f ca="1"/>
        <v>0.89474871438691683</v>
      </c>
      <c r="O237">
        <f ca="1"/>
        <v>0</v>
      </c>
      <c r="P237">
        <f ca="1"/>
        <v>10.835368353190525</v>
      </c>
      <c r="Q237">
        <f ca="1"/>
        <v>10.026233703439285</v>
      </c>
      <c r="R237">
        <f ca="1"/>
        <v>0</v>
      </c>
      <c r="S237">
        <f ca="1"/>
        <v>0.83210682634014987</v>
      </c>
      <c r="T237">
        <f ca="1"/>
        <v>0</v>
      </c>
      <c r="U237">
        <f ca="1"/>
        <v>0</v>
      </c>
      <c r="V237">
        <f ca="1"/>
        <v>0.52472979349644455</v>
      </c>
      <c r="X237" s="2">
        <f t="shared" ca="1" si="22"/>
        <v>45624</v>
      </c>
      <c r="Y237">
        <f t="shared" ca="1" si="23"/>
        <v>0</v>
      </c>
      <c r="AA237" s="63">
        <f t="shared" ca="1" si="25"/>
        <v>61.100845095183452</v>
      </c>
      <c r="AB237" s="63">
        <f t="shared" ca="1" si="26"/>
        <v>61.100845095183459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45625</v>
      </c>
      <c r="K238">
        <f ca="1"/>
        <v>61.183432983219284</v>
      </c>
      <c r="L238">
        <f ca="1"/>
        <v>0.51902809925204707</v>
      </c>
      <c r="M238">
        <f ca="1"/>
        <v>5.5189965033530797E-2</v>
      </c>
      <c r="N238">
        <f ca="1"/>
        <v>1.0100262245985654</v>
      </c>
      <c r="O238">
        <f ca="1"/>
        <v>0</v>
      </c>
      <c r="P238">
        <f ca="1"/>
        <v>11.354396452442572</v>
      </c>
      <c r="Q238">
        <f ca="1"/>
        <v>10.506503210864068</v>
      </c>
      <c r="R238">
        <f ca="1"/>
        <v>0</v>
      </c>
      <c r="S238">
        <f ca="1"/>
        <v>0.85734543924577455</v>
      </c>
      <c r="T238">
        <f ca="1"/>
        <v>0</v>
      </c>
      <c r="U238">
        <f ca="1"/>
        <v>0</v>
      </c>
      <c r="V238">
        <f ca="1"/>
        <v>0.55531865074246456</v>
      </c>
      <c r="X238" s="2">
        <f t="shared" ca="1" si="22"/>
        <v>45625</v>
      </c>
      <c r="Y238">
        <f t="shared" ca="1" si="23"/>
        <v>0</v>
      </c>
      <c r="AA238" s="63">
        <f t="shared" ca="1" si="25"/>
        <v>61.702461082471316</v>
      </c>
      <c r="AB238" s="63">
        <f t="shared" ca="1" si="26"/>
        <v>61.702461082471331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45626</v>
      </c>
      <c r="K239">
        <f ca="1"/>
        <v>61.767185627228017</v>
      </c>
      <c r="L239">
        <f ca="1"/>
        <v>0.53456703851771792</v>
      </c>
      <c r="M239">
        <f ca="1"/>
        <v>5.67457860509748E-2</v>
      </c>
      <c r="N239">
        <f ca="1"/>
        <v>1.0615738964754708</v>
      </c>
      <c r="O239">
        <f ca="1"/>
        <v>0</v>
      </c>
      <c r="P239">
        <f ca="1"/>
        <v>11.88896349096029</v>
      </c>
      <c r="Q239">
        <f ca="1"/>
        <v>11.001151282219748</v>
      </c>
      <c r="R239">
        <f ca="1"/>
        <v>0</v>
      </c>
      <c r="S239">
        <f ca="1"/>
        <v>0.91085810758829744</v>
      </c>
      <c r="T239">
        <f ca="1"/>
        <v>0</v>
      </c>
      <c r="U239">
        <f ca="1"/>
        <v>0</v>
      </c>
      <c r="V239">
        <f ca="1"/>
        <v>0.58506734543386152</v>
      </c>
      <c r="X239" s="2">
        <f t="shared" ca="1" si="22"/>
        <v>45626</v>
      </c>
      <c r="Y239">
        <f t="shared" ca="1" si="23"/>
        <v>0</v>
      </c>
      <c r="AA239" s="63">
        <f t="shared" ca="1" si="25"/>
        <v>62.301752665745731</v>
      </c>
      <c r="AB239" s="63">
        <f t="shared" ca="1" si="26"/>
        <v>62.301752665745738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45627</v>
      </c>
      <c r="K240">
        <f ca="1"/>
        <v>62.291965522947855</v>
      </c>
      <c r="L240">
        <f ca="1"/>
        <v>0.56756916973196603</v>
      </c>
      <c r="M240">
        <f ca="1"/>
        <v>6.0051673370438152E-2</v>
      </c>
      <c r="N240">
        <f ca="1"/>
        <v>1.0322973920813654</v>
      </c>
      <c r="O240">
        <f ca="1"/>
        <v>0</v>
      </c>
      <c r="P240">
        <f ca="1"/>
        <v>12.456532660692256</v>
      </c>
      <c r="Q240">
        <f ca="1"/>
        <v>11.526337039926275</v>
      </c>
      <c r="R240">
        <f ca="1"/>
        <v>0</v>
      </c>
      <c r="S240">
        <f ca="1"/>
        <v>0.87248976205341044</v>
      </c>
      <c r="T240">
        <f ca="1"/>
        <v>0</v>
      </c>
      <c r="U240">
        <f ca="1"/>
        <v>0</v>
      </c>
      <c r="V240">
        <f ca="1"/>
        <v>0.61467917545947859</v>
      </c>
      <c r="X240" s="2">
        <f t="shared" ca="1" si="22"/>
        <v>45627</v>
      </c>
      <c r="Y240">
        <f t="shared" ca="1" si="23"/>
        <v>0</v>
      </c>
      <c r="AA240" s="63">
        <f t="shared" ca="1" si="25"/>
        <v>62.859534692679823</v>
      </c>
      <c r="AB240" s="63">
        <f t="shared" ca="1" si="26"/>
        <v>62.859534692679823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45628</v>
      </c>
      <c r="K241">
        <f ca="1"/>
        <v>62.771346441006024</v>
      </c>
      <c r="L241">
        <f ca="1"/>
        <v>0.5895890100621628</v>
      </c>
      <c r="M241">
        <f ca="1"/>
        <v>6.1760781535195264E-2</v>
      </c>
      <c r="N241">
        <f ca="1"/>
        <v>1.0072091465851318</v>
      </c>
      <c r="O241">
        <f ca="1"/>
        <v>0</v>
      </c>
      <c r="P241">
        <f ca="1"/>
        <v>13.046121670754419</v>
      </c>
      <c r="Q241">
        <f ca="1"/>
        <v>12.071898299237043</v>
      </c>
      <c r="R241">
        <f ca="1"/>
        <v>0</v>
      </c>
      <c r="S241">
        <f ca="1"/>
        <v>0.85890743206587195</v>
      </c>
      <c r="T241">
        <f ca="1"/>
        <v>0</v>
      </c>
      <c r="U241">
        <f ca="1"/>
        <v>0</v>
      </c>
      <c r="V241">
        <f ca="1"/>
        <v>0.64330774784192846</v>
      </c>
      <c r="X241" s="2">
        <f t="shared" ca="1" si="22"/>
        <v>45628</v>
      </c>
      <c r="Y241">
        <f t="shared" ca="1" si="23"/>
        <v>0</v>
      </c>
      <c r="AA241" s="63">
        <f t="shared" ca="1" si="25"/>
        <v>63.36093545106818</v>
      </c>
      <c r="AB241" s="63">
        <f t="shared" ca="1" si="26"/>
        <v>63.360935451068187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45629</v>
      </c>
      <c r="K242">
        <f ca="1"/>
        <v>63.23936140513306</v>
      </c>
      <c r="L242">
        <f ca="1"/>
        <v>0.63643155376056804</v>
      </c>
      <c r="M242">
        <f ca="1"/>
        <v>6.6072837114187877E-2</v>
      </c>
      <c r="N242">
        <f ca="1"/>
        <v>1.0383736807734147</v>
      </c>
      <c r="O242">
        <f ca="1"/>
        <v>0</v>
      </c>
      <c r="P242">
        <f ca="1"/>
        <v>13.682553224514987</v>
      </c>
      <c r="Q242">
        <f ca="1"/>
        <v>12.660804120086919</v>
      </c>
      <c r="R242">
        <f ca="1"/>
        <v>0</v>
      </c>
      <c r="S242">
        <f ca="1"/>
        <v>0.84988325510112828</v>
      </c>
      <c r="T242">
        <f ca="1"/>
        <v>0</v>
      </c>
      <c r="U242">
        <f ca="1"/>
        <v>0</v>
      </c>
      <c r="V242">
        <f ca="1"/>
        <v>0.67184147975092379</v>
      </c>
      <c r="X242" s="2">
        <f t="shared" ca="1" si="22"/>
        <v>45629</v>
      </c>
      <c r="Y242">
        <f t="shared" ca="1" si="23"/>
        <v>0</v>
      </c>
      <c r="AA242" s="63">
        <f t="shared" ca="1" si="25"/>
        <v>63.875792958893626</v>
      </c>
      <c r="AB242" s="63">
        <f t="shared" ca="1" si="26"/>
        <v>63.875792958893626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45630</v>
      </c>
      <c r="K243">
        <f ca="1"/>
        <v>63.633096775499382</v>
      </c>
      <c r="L243">
        <f ca="1"/>
        <v>0.65917815350078968</v>
      </c>
      <c r="M243">
        <f ca="1"/>
        <v>6.7211358611892535E-2</v>
      </c>
      <c r="N243">
        <f ca="1"/>
        <v>0.98570216525523302</v>
      </c>
      <c r="O243">
        <f ca="1"/>
        <v>0</v>
      </c>
      <c r="P243">
        <f ca="1"/>
        <v>14.341731378015776</v>
      </c>
      <c r="Q243">
        <f ca="1"/>
        <v>13.270757930956155</v>
      </c>
      <c r="R243">
        <f ca="1"/>
        <v>0</v>
      </c>
      <c r="S243">
        <f ca="1"/>
        <v>0.81876393497727307</v>
      </c>
      <c r="T243">
        <f ca="1"/>
        <v>0</v>
      </c>
      <c r="U243">
        <f ca="1"/>
        <v>0</v>
      </c>
      <c r="V243">
        <f ca="1"/>
        <v>0.69891892399139444</v>
      </c>
      <c r="X243" s="2">
        <f t="shared" ca="1" si="22"/>
        <v>45630</v>
      </c>
      <c r="Y243">
        <f t="shared" ca="1" si="23"/>
        <v>0</v>
      </c>
      <c r="AA243" s="63">
        <f t="shared" ca="1" si="25"/>
        <v>64.292274929000186</v>
      </c>
      <c r="AB243" s="63">
        <f t="shared" ca="1" si="26"/>
        <v>64.292274929000172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45631</v>
      </c>
      <c r="K244">
        <f ca="1"/>
        <v>63.997270626439267</v>
      </c>
      <c r="L244">
        <f ca="1"/>
        <v>0.6890498388895967</v>
      </c>
      <c r="M244">
        <f ca="1"/>
        <v>6.8897350542563629E-2</v>
      </c>
      <c r="N244">
        <f ca="1"/>
        <v>0.98432633928692215</v>
      </c>
      <c r="O244">
        <f ca="1"/>
        <v>0</v>
      </c>
      <c r="P244">
        <f ca="1"/>
        <v>15.030781216905373</v>
      </c>
      <c r="Q244">
        <f ca="1"/>
        <v>13.908352749409193</v>
      </c>
      <c r="R244">
        <f ca="1"/>
        <v>0</v>
      </c>
      <c r="S244">
        <f ca="1"/>
        <v>0.81707841646794965</v>
      </c>
      <c r="T244">
        <f ca="1"/>
        <v>0</v>
      </c>
      <c r="U244">
        <f ca="1"/>
        <v>0</v>
      </c>
      <c r="V244">
        <f ca="1"/>
        <v>0.72469296612874146</v>
      </c>
      <c r="X244" s="2">
        <f t="shared" ca="1" si="22"/>
        <v>45631</v>
      </c>
      <c r="Y244">
        <f t="shared" ca="1" si="23"/>
        <v>0</v>
      </c>
      <c r="AA244" s="63">
        <f t="shared" ca="1" si="25"/>
        <v>64.686320465328862</v>
      </c>
      <c r="AB244" s="63">
        <f t="shared" ca="1" si="26"/>
        <v>64.686320465328862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45632</v>
      </c>
      <c r="K245">
        <f ca="1"/>
        <v>64.308416860963689</v>
      </c>
      <c r="L245">
        <f ca="1"/>
        <v>0.69416159846809222</v>
      </c>
      <c r="M245">
        <f ca="1"/>
        <v>6.7620869559494423E-2</v>
      </c>
      <c r="N245">
        <f ca="1"/>
        <v>0.93768696343302271</v>
      </c>
      <c r="O245">
        <f ca="1"/>
        <v>0</v>
      </c>
      <c r="P245">
        <f ca="1"/>
        <v>15.724942815373465</v>
      </c>
      <c r="Q245">
        <f ca="1"/>
        <v>14.550677605134538</v>
      </c>
      <c r="R245">
        <f ca="1"/>
        <v>0</v>
      </c>
      <c r="S245">
        <f ca="1"/>
        <v>0.81472339134854765</v>
      </c>
      <c r="T245">
        <f ca="1"/>
        <v>0</v>
      </c>
      <c r="U245">
        <f ca="1"/>
        <v>0</v>
      </c>
      <c r="V245">
        <f ca="1"/>
        <v>0.74823317247179388</v>
      </c>
      <c r="X245" s="2">
        <f t="shared" ca="1" si="22"/>
        <v>45632</v>
      </c>
      <c r="Y245">
        <f t="shared" ca="1" si="23"/>
        <v>0</v>
      </c>
      <c r="AA245" s="63">
        <f t="shared" ca="1" si="25"/>
        <v>65.002578459431788</v>
      </c>
      <c r="AB245" s="63">
        <f t="shared" ca="1" si="26"/>
        <v>65.002578459431788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45633</v>
      </c>
      <c r="K246">
        <f ca="1"/>
        <v>64.628294430998963</v>
      </c>
      <c r="L246">
        <f ca="1"/>
        <v>0.69482870511670392</v>
      </c>
      <c r="M246">
        <f ca="1"/>
        <v>6.5926759720760231E-2</v>
      </c>
      <c r="N246">
        <f ca="1"/>
        <v>0.94877951543121486</v>
      </c>
      <c r="O246">
        <f ca="1"/>
        <v>0</v>
      </c>
      <c r="P246">
        <f ca="1"/>
        <v>16.419771520490169</v>
      </c>
      <c r="Q246">
        <f ca="1"/>
        <v>15.193619751102917</v>
      </c>
      <c r="R246">
        <f ca="1"/>
        <v>0</v>
      </c>
      <c r="S246">
        <f ca="1"/>
        <v>0.86290083077132884</v>
      </c>
      <c r="T246">
        <f ca="1"/>
        <v>0</v>
      </c>
      <c r="U246">
        <f ca="1"/>
        <v>0</v>
      </c>
      <c r="V246">
        <f ca="1"/>
        <v>0.76955915083449511</v>
      </c>
      <c r="X246" s="2">
        <f t="shared" ca="1" si="22"/>
        <v>45633</v>
      </c>
      <c r="Y246">
        <f t="shared" ca="1" si="23"/>
        <v>0</v>
      </c>
      <c r="AA246" s="63">
        <f t="shared" ca="1" si="25"/>
        <v>65.323123136115655</v>
      </c>
      <c r="AB246" s="63">
        <f t="shared" ca="1" si="26"/>
        <v>65.323123136115669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45634</v>
      </c>
      <c r="K247">
        <f ca="1"/>
        <v>64.910765179142061</v>
      </c>
      <c r="L247">
        <f ca="1"/>
        <v>0.75438690411586151</v>
      </c>
      <c r="M247">
        <f ca="1"/>
        <v>7.0042762901483258E-2</v>
      </c>
      <c r="N247">
        <f ca="1"/>
        <v>0.96681488935747328</v>
      </c>
      <c r="O247">
        <f ca="1"/>
        <v>0</v>
      </c>
      <c r="P247">
        <f ca="1"/>
        <v>17.174158424606031</v>
      </c>
      <c r="Q247">
        <f ca="1"/>
        <v>15.891672568223111</v>
      </c>
      <c r="R247">
        <f ca="1"/>
        <v>0</v>
      </c>
      <c r="S247">
        <f ca="1"/>
        <v>0.83647481691069747</v>
      </c>
      <c r="T247">
        <f ca="1"/>
        <v>0</v>
      </c>
      <c r="U247">
        <f ca="1"/>
        <v>0</v>
      </c>
      <c r="V247">
        <f ca="1"/>
        <v>0.79041074234204922</v>
      </c>
      <c r="X247" s="2">
        <f t="shared" ca="1" si="22"/>
        <v>45634</v>
      </c>
      <c r="Y247">
        <f t="shared" ca="1" si="23"/>
        <v>0</v>
      </c>
      <c r="AA247" s="63">
        <f t="shared" ca="1" si="25"/>
        <v>65.665152083257922</v>
      </c>
      <c r="AB247" s="63">
        <f t="shared" ca="1" si="26"/>
        <v>65.665152083257922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45635</v>
      </c>
      <c r="K248">
        <f ca="1"/>
        <v>65.260010064263568</v>
      </c>
      <c r="L248">
        <f ca="1"/>
        <v>0.82686905826581025</v>
      </c>
      <c r="M248">
        <f ca="1"/>
        <v>7.515102910710425E-2</v>
      </c>
      <c r="N248">
        <f ca="1"/>
        <v>1.100962914280214</v>
      </c>
      <c r="O248">
        <f ca="1"/>
        <v>0</v>
      </c>
      <c r="P248">
        <f ca="1"/>
        <v>18.001027482871841</v>
      </c>
      <c r="Q248">
        <f ca="1"/>
        <v>16.656794911098945</v>
      </c>
      <c r="R248">
        <f ca="1"/>
        <v>0</v>
      </c>
      <c r="S248">
        <f ca="1"/>
        <v>0.88761538009197505</v>
      </c>
      <c r="T248">
        <f ca="1"/>
        <v>0</v>
      </c>
      <c r="U248">
        <f ca="1"/>
        <v>0</v>
      </c>
      <c r="V248">
        <f ca="1"/>
        <v>0.81079317102113335</v>
      </c>
      <c r="X248" s="2">
        <f t="shared" ca="1" si="22"/>
        <v>45635</v>
      </c>
      <c r="Y248">
        <f t="shared" ca="1" si="23"/>
        <v>0</v>
      </c>
      <c r="AA248" s="63">
        <f t="shared" ca="1" si="25"/>
        <v>66.086879122529382</v>
      </c>
      <c r="AB248" s="63">
        <f t="shared" ca="1" si="26"/>
        <v>66.086879122529382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45636</v>
      </c>
      <c r="K249">
        <f ca="1"/>
        <v>65.585913523868157</v>
      </c>
      <c r="L249">
        <f ca="1"/>
        <v>0.9057223086482864</v>
      </c>
      <c r="M249">
        <f ca="1"/>
        <v>8.05292705475118E-2</v>
      </c>
      <c r="N249">
        <f ca="1"/>
        <v>1.1510964977053604</v>
      </c>
      <c r="O249">
        <f ca="1"/>
        <v>0</v>
      </c>
      <c r="P249">
        <f ca="1"/>
        <v>18.906749791520127</v>
      </c>
      <c r="Q249">
        <f ca="1"/>
        <v>17.494882112283236</v>
      </c>
      <c r="R249">
        <f ca="1"/>
        <v>0</v>
      </c>
      <c r="S249">
        <f ca="1"/>
        <v>0.87339049819475167</v>
      </c>
      <c r="T249">
        <f ca="1"/>
        <v>0</v>
      </c>
      <c r="U249">
        <f ca="1"/>
        <v>0</v>
      </c>
      <c r="V249">
        <f ca="1"/>
        <v>0.83049383702881019</v>
      </c>
      <c r="X249" s="2">
        <f t="shared" ca="1" si="22"/>
        <v>45636</v>
      </c>
      <c r="Y249">
        <f t="shared" ca="1" si="23"/>
        <v>0</v>
      </c>
      <c r="AA249" s="63">
        <f t="shared" ca="1" si="25"/>
        <v>66.491635832516437</v>
      </c>
      <c r="AB249" s="63">
        <f t="shared" ca="1" si="26"/>
        <v>66.491635832516437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45637</v>
      </c>
      <c r="K250">
        <f ca="1"/>
        <v>65.830313011534813</v>
      </c>
      <c r="L250">
        <f ca="1"/>
        <v>0.91757332081520815</v>
      </c>
      <c r="M250">
        <f ca="1"/>
        <v>7.8492818280619048E-2</v>
      </c>
      <c r="N250">
        <f ca="1"/>
        <v>1.0834799902012358</v>
      </c>
      <c r="O250">
        <f ca="1"/>
        <v>0</v>
      </c>
      <c r="P250">
        <f ca="1"/>
        <v>19.824323112335335</v>
      </c>
      <c r="Q250">
        <f ca="1"/>
        <v>18.343935347453151</v>
      </c>
      <c r="R250">
        <f ca="1"/>
        <v>0</v>
      </c>
      <c r="S250">
        <f ca="1"/>
        <v>0.85801772095075279</v>
      </c>
      <c r="T250">
        <f ca="1"/>
        <v>0</v>
      </c>
      <c r="U250">
        <f ca="1"/>
        <v>0</v>
      </c>
      <c r="V250">
        <f ca="1"/>
        <v>0.84800515413253874</v>
      </c>
      <c r="X250" s="2">
        <f t="shared" ca="1" si="22"/>
        <v>45637</v>
      </c>
      <c r="Y250">
        <f t="shared" ca="1" si="23"/>
        <v>0</v>
      </c>
      <c r="AA250" s="63">
        <f t="shared" ca="1" si="25"/>
        <v>66.747886332350021</v>
      </c>
      <c r="AB250" s="63">
        <f t="shared" ca="1" si="26"/>
        <v>66.747886332350021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45638</v>
      </c>
      <c r="K251">
        <f ca="1"/>
        <v>65.985911248673119</v>
      </c>
      <c r="L251">
        <f ca="1"/>
        <v>0.9506011825899563</v>
      </c>
      <c r="M251">
        <f ca="1"/>
        <v>7.8554576560023293E-2</v>
      </c>
      <c r="N251">
        <f ca="1"/>
        <v>1.0276448431682261</v>
      </c>
      <c r="O251">
        <f ca="1"/>
        <v>0</v>
      </c>
      <c r="P251">
        <f ca="1"/>
        <v>20.774924294925292</v>
      </c>
      <c r="Q251">
        <f ca="1"/>
        <v>19.223550078096451</v>
      </c>
      <c r="R251">
        <f ca="1"/>
        <v>0</v>
      </c>
      <c r="S251">
        <f ca="1"/>
        <v>0.8242496472006885</v>
      </c>
      <c r="T251">
        <f ca="1"/>
        <v>0</v>
      </c>
      <c r="U251">
        <f ca="1"/>
        <v>0</v>
      </c>
      <c r="V251">
        <f ca="1"/>
        <v>0.86389586907324745</v>
      </c>
      <c r="X251" s="2">
        <f t="shared" ca="1" si="22"/>
        <v>45638</v>
      </c>
      <c r="Y251">
        <f t="shared" ca="1" si="23"/>
        <v>0</v>
      </c>
      <c r="AA251" s="63">
        <f t="shared" ca="1" si="25"/>
        <v>66.936512431263068</v>
      </c>
      <c r="AB251" s="63">
        <f t="shared" ca="1" si="26"/>
        <v>66.936512431263083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45639</v>
      </c>
      <c r="K252">
        <f ca="1"/>
        <v>66.045168326074659</v>
      </c>
      <c r="L252">
        <f ca="1"/>
        <v>0.94989707128910439</v>
      </c>
      <c r="M252">
        <f ca="1"/>
        <v>7.5436428509526365E-2</v>
      </c>
      <c r="N252">
        <f ca="1"/>
        <v>0.93371772018110932</v>
      </c>
      <c r="O252">
        <f ca="1"/>
        <v>0</v>
      </c>
      <c r="P252">
        <f ca="1"/>
        <v>21.724821366214396</v>
      </c>
      <c r="Q252">
        <f ca="1"/>
        <v>20.102513277178904</v>
      </c>
      <c r="R252">
        <f ca="1"/>
        <v>0</v>
      </c>
      <c r="S252">
        <f ca="1"/>
        <v>0.79239206491004599</v>
      </c>
      <c r="T252">
        <f ca="1"/>
        <v>0</v>
      </c>
      <c r="U252">
        <f ca="1"/>
        <v>0</v>
      </c>
      <c r="V252">
        <f ca="1"/>
        <v>0.87779907231115917</v>
      </c>
      <c r="X252" s="2">
        <f t="shared" ca="1" si="22"/>
        <v>45639</v>
      </c>
      <c r="Y252">
        <f t="shared" ca="1" si="23"/>
        <v>0</v>
      </c>
      <c r="AA252" s="63">
        <f t="shared" ca="1" si="25"/>
        <v>66.99506539736376</v>
      </c>
      <c r="AB252" s="63">
        <f t="shared" ca="1" si="26"/>
        <v>66.99506539736376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45640</v>
      </c>
      <c r="K253">
        <f ca="1"/>
        <v>66.072729422762947</v>
      </c>
      <c r="L253">
        <f ca="1"/>
        <v>0.96099859670191279</v>
      </c>
      <c r="M253">
        <f ca="1"/>
        <v>7.359037228907539E-2</v>
      </c>
      <c r="N253">
        <f ca="1"/>
        <v>0.91496932110112239</v>
      </c>
      <c r="O253">
        <f ca="1"/>
        <v>0</v>
      </c>
      <c r="P253">
        <f ca="1"/>
        <v>22.685819962916309</v>
      </c>
      <c r="Q253">
        <f ca="1"/>
        <v>20.991748991659573</v>
      </c>
      <c r="R253">
        <f ca="1"/>
        <v>0</v>
      </c>
      <c r="S253">
        <f ca="1"/>
        <v>0.80393198432336233</v>
      </c>
      <c r="T253">
        <f ca="1"/>
        <v>0</v>
      </c>
      <c r="U253">
        <f ca="1"/>
        <v>0</v>
      </c>
      <c r="V253">
        <f ca="1"/>
        <v>0.89013373269748042</v>
      </c>
      <c r="X253" s="2">
        <f t="shared" ca="1" si="22"/>
        <v>45640</v>
      </c>
      <c r="Y253">
        <f t="shared" ca="1" si="23"/>
        <v>0</v>
      </c>
      <c r="AA253" s="63">
        <f t="shared" ca="1" si="25"/>
        <v>67.03372801946486</v>
      </c>
      <c r="AB253" s="63">
        <f t="shared" ca="1" si="26"/>
        <v>67.03372801946486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45641</v>
      </c>
      <c r="K254">
        <f ca="1"/>
        <v>66.036194943699442</v>
      </c>
      <c r="L254">
        <f ca="1"/>
        <v>1.0644058696024281</v>
      </c>
      <c r="M254">
        <f ca="1"/>
        <v>7.9345698510934426E-2</v>
      </c>
      <c r="N254">
        <f ca="1"/>
        <v>0.94852569202797876</v>
      </c>
      <c r="O254">
        <f ca="1"/>
        <v>0</v>
      </c>
      <c r="P254">
        <f ca="1"/>
        <v>23.750225832518737</v>
      </c>
      <c r="Q254">
        <f ca="1"/>
        <v>21.976670007363118</v>
      </c>
      <c r="R254">
        <f ca="1"/>
        <v>0</v>
      </c>
      <c r="S254">
        <f ca="1"/>
        <v>0.76940978841550356</v>
      </c>
      <c r="T254">
        <f ca="1"/>
        <v>0</v>
      </c>
      <c r="U254">
        <f ca="1"/>
        <v>0</v>
      </c>
      <c r="V254">
        <f ca="1"/>
        <v>0.90205409266905201</v>
      </c>
      <c r="X254" s="2">
        <f t="shared" ca="1" si="22"/>
        <v>45641</v>
      </c>
      <c r="Y254">
        <f t="shared" ca="1" si="23"/>
        <v>0</v>
      </c>
      <c r="AA254" s="63">
        <f t="shared" ca="1" si="25"/>
        <v>67.100600813301867</v>
      </c>
      <c r="AB254" s="63">
        <f t="shared" ca="1" si="26"/>
        <v>67.100600813301867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45642</v>
      </c>
      <c r="K255">
        <f ca="1"/>
        <v>65.96549628579541</v>
      </c>
      <c r="L255">
        <f ca="1"/>
        <v>1.1080560489891234</v>
      </c>
      <c r="M255">
        <f ca="1"/>
        <v>7.9627983698930649E-2</v>
      </c>
      <c r="N255">
        <f ca="1"/>
        <v>0.95772940738616674</v>
      </c>
      <c r="O255">
        <f ca="1"/>
        <v>0</v>
      </c>
      <c r="P255">
        <f ca="1"/>
        <v>24.85828188150786</v>
      </c>
      <c r="Q255">
        <f ca="1"/>
        <v>23.001981611135516</v>
      </c>
      <c r="R255">
        <f ca="1"/>
        <v>0</v>
      </c>
      <c r="S255">
        <f ca="1"/>
        <v>0.77677516597275775</v>
      </c>
      <c r="T255">
        <f ca="1"/>
        <v>0</v>
      </c>
      <c r="U255">
        <f ca="1"/>
        <v>0</v>
      </c>
      <c r="V255">
        <f ca="1"/>
        <v>0.91280779606733664</v>
      </c>
      <c r="X255" s="2">
        <f t="shared" ca="1" si="22"/>
        <v>45642</v>
      </c>
      <c r="Y255">
        <f t="shared" ca="1" si="23"/>
        <v>0</v>
      </c>
      <c r="AA255" s="63">
        <f t="shared" ca="1" si="25"/>
        <v>67.073552334784537</v>
      </c>
      <c r="AB255" s="63">
        <f t="shared" ca="1" si="26"/>
        <v>67.073552334784537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45643</v>
      </c>
      <c r="K256">
        <f ca="1"/>
        <v>65.813701567354428</v>
      </c>
      <c r="L256">
        <f ca="1"/>
        <v>1.1823606651095702</v>
      </c>
      <c r="M256">
        <f ca="1"/>
        <v>8.2179264955332343E-2</v>
      </c>
      <c r="N256">
        <f ca="1"/>
        <v>0.94838668171326623</v>
      </c>
      <c r="O256">
        <f ca="1"/>
        <v>0</v>
      </c>
      <c r="P256">
        <f ca="1"/>
        <v>26.04064254661743</v>
      </c>
      <c r="Q256">
        <f ca="1"/>
        <v>24.0960491096947</v>
      </c>
      <c r="R256">
        <f ca="1"/>
        <v>0</v>
      </c>
      <c r="S256">
        <f ca="1"/>
        <v>0.74447189952672022</v>
      </c>
      <c r="T256">
        <f ca="1"/>
        <v>0</v>
      </c>
      <c r="U256">
        <f ca="1"/>
        <v>0</v>
      </c>
      <c r="V256">
        <f ca="1"/>
        <v>0.92271148396194336</v>
      </c>
      <c r="X256" s="2">
        <f t="shared" ca="1" si="22"/>
        <v>45643</v>
      </c>
      <c r="Y256">
        <f t="shared" ca="1" si="23"/>
        <v>0</v>
      </c>
      <c r="AA256" s="63">
        <f t="shared" ca="1" si="25"/>
        <v>66.996062232463998</v>
      </c>
      <c r="AB256" s="63">
        <f t="shared" ca="1" si="26"/>
        <v>66.996062232463998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45644</v>
      </c>
      <c r="K257">
        <f ca="1"/>
        <v>65.679026723314365</v>
      </c>
      <c r="L257">
        <f ca="1"/>
        <v>1.1971651230488973</v>
      </c>
      <c r="M257">
        <f ca="1"/>
        <v>7.9706157642640107E-2</v>
      </c>
      <c r="N257">
        <f ca="1"/>
        <v>0.98278412136621163</v>
      </c>
      <c r="O257">
        <f ca="1"/>
        <v>0</v>
      </c>
      <c r="P257">
        <f ca="1"/>
        <v>27.237807669666328</v>
      </c>
      <c r="Q257">
        <f ca="1"/>
        <v>25.203815538489948</v>
      </c>
      <c r="R257">
        <f ca="1"/>
        <v>0</v>
      </c>
      <c r="S257">
        <f ca="1"/>
        <v>0.79893152453454686</v>
      </c>
      <c r="T257">
        <f ca="1"/>
        <v>0</v>
      </c>
      <c r="U257">
        <f ca="1"/>
        <v>0</v>
      </c>
      <c r="V257">
        <f ca="1"/>
        <v>0.93135018071734943</v>
      </c>
      <c r="X257" s="2">
        <f t="shared" ca="1" si="22"/>
        <v>45644</v>
      </c>
      <c r="Y257">
        <f t="shared" ca="1" si="23"/>
        <v>0</v>
      </c>
      <c r="AA257" s="63">
        <f t="shared" ca="1" si="25"/>
        <v>66.876191846363284</v>
      </c>
      <c r="AB257" s="63">
        <f t="shared" ca="1" si="26"/>
        <v>66.87619184636327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45645</v>
      </c>
      <c r="K258">
        <f ca="1"/>
        <v>65.504684215170698</v>
      </c>
      <c r="L258">
        <f ca="1"/>
        <v>1.1858137687692398</v>
      </c>
      <c r="M258">
        <f ca="1"/>
        <v>7.5587294282279061E-2</v>
      </c>
      <c r="N258">
        <f ca="1"/>
        <v>0.93588396634328441</v>
      </c>
      <c r="O258">
        <f ca="1"/>
        <v>0</v>
      </c>
      <c r="P258">
        <f ca="1"/>
        <v>28.423621438435568</v>
      </c>
      <c r="Q258">
        <f ca="1"/>
        <v>26.301078279071877</v>
      </c>
      <c r="R258">
        <f ca="1"/>
        <v>0</v>
      </c>
      <c r="S258">
        <f ca="1"/>
        <v>0.80829292900452043</v>
      </c>
      <c r="T258">
        <f ca="1"/>
        <v>0</v>
      </c>
      <c r="U258">
        <f ca="1"/>
        <v>0</v>
      </c>
      <c r="V258">
        <f ca="1"/>
        <v>0.93874959752263698</v>
      </c>
      <c r="X258" s="2">
        <f t="shared" ca="1" si="22"/>
        <v>45645</v>
      </c>
      <c r="Y258">
        <f t="shared" ca="1" si="23"/>
        <v>0</v>
      </c>
      <c r="AA258" s="63">
        <f t="shared" ca="1" si="25"/>
        <v>66.690497983939935</v>
      </c>
      <c r="AB258" s="63">
        <f t="shared" ca="1" si="26"/>
        <v>66.690497983939935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45646</v>
      </c>
      <c r="K259">
        <f ca="1"/>
        <v>65.238905255575716</v>
      </c>
      <c r="L259">
        <f ca="1"/>
        <v>1.2389101950642036</v>
      </c>
      <c r="M259">
        <f ca="1"/>
        <v>7.6176862765812814E-2</v>
      </c>
      <c r="N259">
        <f ca="1"/>
        <v>0.89695437270341738</v>
      </c>
      <c r="O259">
        <f ca="1"/>
        <v>0</v>
      </c>
      <c r="P259">
        <f ca="1"/>
        <v>29.662531633499771</v>
      </c>
      <c r="Q259">
        <f ca="1"/>
        <v>27.447472453076088</v>
      </c>
      <c r="R259">
        <f ca="1"/>
        <v>0</v>
      </c>
      <c r="S259">
        <f ca="1"/>
        <v>0.76841744746185914</v>
      </c>
      <c r="T259">
        <f ca="1"/>
        <v>0</v>
      </c>
      <c r="U259">
        <f ca="1"/>
        <v>0</v>
      </c>
      <c r="V259">
        <f ca="1"/>
        <v>0.94544554270105396</v>
      </c>
      <c r="X259" s="2">
        <f t="shared" ca="1" si="22"/>
        <v>45646</v>
      </c>
      <c r="Y259">
        <f t="shared" ca="1" si="23"/>
        <v>0</v>
      </c>
      <c r="AA259" s="63">
        <f t="shared" ca="1" si="25"/>
        <v>66.477815450639923</v>
      </c>
      <c r="AB259" s="63">
        <f t="shared" ca="1" si="26"/>
        <v>66.477815450639923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45647</v>
      </c>
      <c r="K260">
        <f ca="1"/>
        <v>64.879869545080581</v>
      </c>
      <c r="L260">
        <f ca="1"/>
        <v>1.2898794309282771</v>
      </c>
      <c r="M260">
        <f ca="1"/>
        <v>7.6444258650411712E-2</v>
      </c>
      <c r="N260">
        <f ca="1"/>
        <v>0.8543994617827384</v>
      </c>
      <c r="O260">
        <f ca="1"/>
        <v>0</v>
      </c>
      <c r="P260">
        <f ca="1"/>
        <v>30.952411064428048</v>
      </c>
      <c r="Q260">
        <f ca="1"/>
        <v>28.64102971870777</v>
      </c>
      <c r="R260">
        <f ca="1"/>
        <v>0</v>
      </c>
      <c r="S260">
        <f ca="1"/>
        <v>0.72727443169952288</v>
      </c>
      <c r="T260">
        <f ca="1"/>
        <v>0</v>
      </c>
      <c r="U260">
        <f ca="1"/>
        <v>0</v>
      </c>
      <c r="V260">
        <f ca="1"/>
        <v>0.95147204610970793</v>
      </c>
      <c r="X260" s="2">
        <f t="shared" ca="1" si="22"/>
        <v>45647</v>
      </c>
      <c r="Y260">
        <f t="shared" ca="1" si="23"/>
        <v>0</v>
      </c>
      <c r="AA260" s="63">
        <f t="shared" ca="1" si="25"/>
        <v>66.169748976008862</v>
      </c>
      <c r="AB260" s="63">
        <f t="shared" ca="1" si="26"/>
        <v>66.169748976008862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45648</v>
      </c>
      <c r="K261">
        <f ca="1"/>
        <v>64.416072360717891</v>
      </c>
      <c r="L261">
        <f ca="1"/>
        <v>1.3929190179120141</v>
      </c>
      <c r="M261">
        <f ca="1"/>
        <v>7.9904814122599532E-2</v>
      </c>
      <c r="N261">
        <f ca="1"/>
        <v>0.84921701942671246</v>
      </c>
      <c r="O261">
        <f ca="1"/>
        <v>0</v>
      </c>
      <c r="P261">
        <f ca="1"/>
        <v>32.345330082340062</v>
      </c>
      <c r="Q261">
        <f ca="1"/>
        <v>29.929932056710769</v>
      </c>
      <c r="R261">
        <f ca="1"/>
        <v>0</v>
      </c>
      <c r="S261">
        <f ca="1"/>
        <v>0.68278491103142613</v>
      </c>
      <c r="T261">
        <f ca="1"/>
        <v>0</v>
      </c>
      <c r="U261">
        <f ca="1"/>
        <v>0</v>
      </c>
      <c r="V261">
        <f ca="1"/>
        <v>0.95707402754218551</v>
      </c>
      <c r="X261" s="2">
        <f t="shared" ca="1" si="22"/>
        <v>45648</v>
      </c>
      <c r="Y261">
        <f t="shared" ca="1" si="23"/>
        <v>0</v>
      </c>
      <c r="AA261" s="63">
        <f t="shared" ca="1" si="25"/>
        <v>65.808991378629898</v>
      </c>
      <c r="AB261" s="63">
        <f t="shared" ca="1" si="26"/>
        <v>65.808991378629912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45649</v>
      </c>
      <c r="K262">
        <f ca="1"/>
        <v>63.909271705072953</v>
      </c>
      <c r="L262">
        <f ca="1"/>
        <v>1.4496459968609372</v>
      </c>
      <c r="M262">
        <f ca="1"/>
        <v>7.9998225240942133E-2</v>
      </c>
      <c r="N262">
        <f ca="1"/>
        <v>0.86284711597505692</v>
      </c>
      <c r="O262">
        <f ca="1"/>
        <v>0</v>
      </c>
      <c r="P262">
        <f ca="1"/>
        <v>33.794976079201</v>
      </c>
      <c r="Q262">
        <f ca="1"/>
        <v>31.271325268091836</v>
      </c>
      <c r="R262">
        <f ca="1"/>
        <v>0</v>
      </c>
      <c r="S262">
        <f ca="1"/>
        <v>0.69124046591656629</v>
      </c>
      <c r="T262">
        <f ca="1"/>
        <v>0</v>
      </c>
      <c r="U262">
        <f ca="1"/>
        <v>0</v>
      </c>
      <c r="V262">
        <f ca="1"/>
        <v>0.96207185004897777</v>
      </c>
      <c r="X262" s="2">
        <f t="shared" ca="1" si="22"/>
        <v>45649</v>
      </c>
      <c r="Y262">
        <f t="shared" ca="1" si="23"/>
        <v>0</v>
      </c>
      <c r="AA262" s="63">
        <f t="shared" ca="1" si="25"/>
        <v>65.35891770193389</v>
      </c>
      <c r="AB262" s="63">
        <f t="shared" ca="1" si="26"/>
        <v>65.35891770193389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ref="I263:I326" ca="1" si="28">AND(IF(J263&gt;($J$3-1),TRUE,FALSE),IF(J263&lt;($J$4+1),TRUE,FALSE))</f>
        <v>0</v>
      </c>
      <c r="J263" s="2">
        <f ca="1"/>
        <v>45650</v>
      </c>
      <c r="K263">
        <f ca="1"/>
        <v>63.357582651969601</v>
      </c>
      <c r="L263">
        <f ca="1"/>
        <v>1.549525474313576</v>
      </c>
      <c r="M263">
        <f ca="1"/>
        <v>8.2618785850570475E-2</v>
      </c>
      <c r="N263">
        <f ca="1"/>
        <v>0.91521763535965717</v>
      </c>
      <c r="O263">
        <f ca="1"/>
        <v>0</v>
      </c>
      <c r="P263">
        <f ca="1"/>
        <v>35.344501553514576</v>
      </c>
      <c r="Q263">
        <f ca="1"/>
        <v>32.705139424518357</v>
      </c>
      <c r="R263">
        <f ca="1"/>
        <v>0</v>
      </c>
      <c r="S263">
        <f ca="1"/>
        <v>0.7053293393597424</v>
      </c>
      <c r="T263">
        <f ca="1"/>
        <v>0</v>
      </c>
      <c r="U263">
        <f ca="1"/>
        <v>0</v>
      </c>
      <c r="V263">
        <f ca="1"/>
        <v>0.96663653497455859</v>
      </c>
      <c r="X263" s="2">
        <f t="shared" ref="X263:X326" ca="1" si="29">IFERROR(J263,$X$5)</f>
        <v>45650</v>
      </c>
      <c r="Y263">
        <f t="shared" ref="Y263:Y326" ca="1" si="30">IFERROR(O263,0)</f>
        <v>0</v>
      </c>
      <c r="AA263" s="63">
        <f t="shared" ca="1" si="25"/>
        <v>64.907108126283177</v>
      </c>
      <c r="AB263" s="63">
        <f t="shared" ca="1" si="26"/>
        <v>64.907108126283177</v>
      </c>
      <c r="AC263" s="3">
        <f t="shared" ca="1" si="27"/>
        <v>0</v>
      </c>
    </row>
    <row r="264" spans="8:29">
      <c r="H264" t="b">
        <f t="shared" ref="H264:H327" ca="1" si="31">IF(J264&lt;$J$4,TRUE,FALSE)</f>
        <v>0</v>
      </c>
      <c r="I264" t="b">
        <f t="shared" ca="1" si="28"/>
        <v>0</v>
      </c>
      <c r="J264" s="2">
        <f ca="1"/>
        <v>45651</v>
      </c>
      <c r="K264">
        <f ca="1"/>
        <v>62.67725397893394</v>
      </c>
      <c r="L264">
        <f ca="1"/>
        <v>1.655369768967681</v>
      </c>
      <c r="M264">
        <f ca="1"/>
        <v>8.5248530995542637E-2</v>
      </c>
      <c r="N264">
        <f ca="1"/>
        <v>0.88979256493648295</v>
      </c>
      <c r="O264">
        <f ca="1"/>
        <v>0</v>
      </c>
      <c r="P264">
        <f ca="1"/>
        <v>36.999871322482257</v>
      </c>
      <c r="Q264">
        <f ca="1"/>
        <v>34.236893918530662</v>
      </c>
      <c r="R264">
        <f ca="1"/>
        <v>0</v>
      </c>
      <c r="S264">
        <f ca="1"/>
        <v>0.65439415796986244</v>
      </c>
      <c r="T264">
        <f ca="1"/>
        <v>0</v>
      </c>
      <c r="U264">
        <f ca="1"/>
        <v>0</v>
      </c>
      <c r="V264">
        <f ca="1"/>
        <v>0.97078152871161361</v>
      </c>
      <c r="X264" s="2">
        <f t="shared" ca="1" si="29"/>
        <v>45651</v>
      </c>
      <c r="Y264">
        <f t="shared" ca="1" si="30"/>
        <v>0</v>
      </c>
      <c r="AA264" s="63">
        <f t="shared" ca="1" si="25"/>
        <v>64.332623747901621</v>
      </c>
      <c r="AB264" s="63">
        <f t="shared" ca="1" si="26"/>
        <v>64.332623747901621</v>
      </c>
      <c r="AC264" s="3">
        <f t="shared" ca="1" si="27"/>
        <v>0</v>
      </c>
    </row>
    <row r="265" spans="8:29">
      <c r="H265" t="b">
        <f t="shared" ca="1" si="31"/>
        <v>0</v>
      </c>
      <c r="I265" t="b">
        <f t="shared" ca="1" si="28"/>
        <v>0</v>
      </c>
      <c r="J265" s="2">
        <f ca="1"/>
        <v>45652</v>
      </c>
      <c r="K265">
        <f ca="1"/>
        <v>61.895199851633954</v>
      </c>
      <c r="L265">
        <f ca="1"/>
        <v>1.679602301142701</v>
      </c>
      <c r="M265">
        <f ca="1"/>
        <v>8.2580267868646473E-2</v>
      </c>
      <c r="N265">
        <f ca="1"/>
        <v>0.81496790597406199</v>
      </c>
      <c r="O265">
        <f ca="1"/>
        <v>0</v>
      </c>
      <c r="P265">
        <f ca="1"/>
        <v>38.679473623624958</v>
      </c>
      <c r="Q265">
        <f ca="1"/>
        <v>35.791071372510103</v>
      </c>
      <c r="R265">
        <f ca="1"/>
        <v>0</v>
      </c>
      <c r="S265">
        <f ca="1"/>
        <v>0.61017292647969013</v>
      </c>
      <c r="T265">
        <f ca="1"/>
        <v>0</v>
      </c>
      <c r="U265">
        <f ca="1"/>
        <v>0</v>
      </c>
      <c r="V265">
        <f ca="1"/>
        <v>0.97435271764860254</v>
      </c>
      <c r="X265" s="2">
        <f t="shared" ca="1" si="29"/>
        <v>45652</v>
      </c>
      <c r="Y265">
        <f t="shared" ca="1" si="30"/>
        <v>0</v>
      </c>
      <c r="AA265" s="63">
        <f t="shared" ca="1" si="25"/>
        <v>63.574802152776648</v>
      </c>
      <c r="AB265" s="63">
        <f t="shared" ca="1" si="26"/>
        <v>63.574802152776655</v>
      </c>
      <c r="AC265" s="3">
        <f t="shared" ca="1" si="27"/>
        <v>0</v>
      </c>
    </row>
    <row r="266" spans="8:29">
      <c r="H266" t="b">
        <f t="shared" ca="1" si="31"/>
        <v>0</v>
      </c>
      <c r="I266" t="b">
        <f t="shared" ca="1" si="28"/>
        <v>0</v>
      </c>
      <c r="J266" s="2">
        <f ca="1"/>
        <v>45653</v>
      </c>
      <c r="K266">
        <f ca="1"/>
        <v>61.037735252271766</v>
      </c>
      <c r="L266">
        <f ca="1"/>
        <v>1.685586051674953</v>
      </c>
      <c r="M266">
        <f ca="1"/>
        <v>7.9129364737244856E-2</v>
      </c>
      <c r="N266">
        <f ca="1"/>
        <v>0.74899208757551372</v>
      </c>
      <c r="O266">
        <f ca="1"/>
        <v>0</v>
      </c>
      <c r="P266">
        <f ca="1"/>
        <v>40.365059675299911</v>
      </c>
      <c r="Q266">
        <f ca="1"/>
        <v>37.35078573850803</v>
      </c>
      <c r="R266">
        <f ca="1"/>
        <v>0</v>
      </c>
      <c r="S266">
        <f ca="1"/>
        <v>0.57747847085494597</v>
      </c>
      <c r="T266">
        <f ca="1"/>
        <v>0</v>
      </c>
      <c r="U266">
        <f ca="1"/>
        <v>0</v>
      </c>
      <c r="V266">
        <f ca="1"/>
        <v>0.97740828142431657</v>
      </c>
      <c r="X266" s="2">
        <f t="shared" ca="1" si="29"/>
        <v>45653</v>
      </c>
      <c r="Y266">
        <f t="shared" ca="1" si="30"/>
        <v>0</v>
      </c>
      <c r="AA266" s="63">
        <f t="shared" ca="1" si="25"/>
        <v>62.723321303946719</v>
      </c>
      <c r="AB266" s="63">
        <f t="shared" ca="1" si="26"/>
        <v>62.723321303946719</v>
      </c>
      <c r="AC266" s="3">
        <f t="shared" ca="1" si="27"/>
        <v>0</v>
      </c>
    </row>
    <row r="267" spans="8:29">
      <c r="H267" t="b">
        <f t="shared" ca="1" si="31"/>
        <v>0</v>
      </c>
      <c r="I267" t="b">
        <f t="shared" ca="1" si="28"/>
        <v>0</v>
      </c>
      <c r="J267" s="2">
        <f ca="1"/>
        <v>45654</v>
      </c>
      <c r="K267">
        <f ca="1"/>
        <v>60.129419693544094</v>
      </c>
      <c r="L267">
        <f ca="1"/>
        <v>1.7513524732355776</v>
      </c>
      <c r="M267">
        <f ca="1"/>
        <v>7.911193099478453E-2</v>
      </c>
      <c r="N267">
        <f ca="1"/>
        <v>0.76392498351312432</v>
      </c>
      <c r="O267">
        <f ca="1"/>
        <v>0</v>
      </c>
      <c r="P267">
        <f ca="1"/>
        <v>42.116412148535488</v>
      </c>
      <c r="Q267">
        <f ca="1"/>
        <v>38.971355397183814</v>
      </c>
      <c r="R267">
        <f ca="1"/>
        <v>0</v>
      </c>
      <c r="S267">
        <f ca="1"/>
        <v>0.58705322457713671</v>
      </c>
      <c r="T267">
        <f ca="1"/>
        <v>0</v>
      </c>
      <c r="U267">
        <f ca="1"/>
        <v>0</v>
      </c>
      <c r="V267">
        <f ca="1"/>
        <v>0.9801206486605768</v>
      </c>
      <c r="X267" s="2">
        <f t="shared" ca="1" si="29"/>
        <v>45654</v>
      </c>
      <c r="Y267">
        <f t="shared" ca="1" si="30"/>
        <v>0</v>
      </c>
      <c r="AA267" s="63">
        <f t="shared" ca="1" si="25"/>
        <v>61.880772166779671</v>
      </c>
      <c r="AB267" s="63">
        <f t="shared" ca="1" si="26"/>
        <v>61.880772166779671</v>
      </c>
      <c r="AC267" s="3">
        <f t="shared" ca="1" si="27"/>
        <v>0</v>
      </c>
    </row>
    <row r="268" spans="8:29">
      <c r="H268" t="b">
        <f t="shared" ca="1" si="31"/>
        <v>0</v>
      </c>
      <c r="I268" t="b">
        <f t="shared" ca="1" si="28"/>
        <v>0</v>
      </c>
      <c r="J268" s="2">
        <f ca="1"/>
        <v>45655</v>
      </c>
      <c r="K268">
        <f ca="1"/>
        <v>59.171102274550314</v>
      </c>
      <c r="L268">
        <f ca="1"/>
        <v>1.8033883413763263</v>
      </c>
      <c r="M268">
        <f ca="1"/>
        <v>7.8286021298261232E-2</v>
      </c>
      <c r="N268">
        <f ca="1"/>
        <v>0.76678490108428354</v>
      </c>
      <c r="O268">
        <f ca="1"/>
        <v>0</v>
      </c>
      <c r="P268">
        <f ca="1"/>
        <v>43.919800489911815</v>
      </c>
      <c r="Q268">
        <f ca="1"/>
        <v>40.640075128652164</v>
      </c>
      <c r="R268">
        <f ca="1"/>
        <v>0</v>
      </c>
      <c r="S268">
        <f ca="1"/>
        <v>0.59276207793097224</v>
      </c>
      <c r="T268">
        <f ca="1"/>
        <v>0</v>
      </c>
      <c r="U268">
        <f ca="1"/>
        <v>0</v>
      </c>
      <c r="V268">
        <f ca="1"/>
        <v>0.98250662876420602</v>
      </c>
      <c r="X268" s="2">
        <f t="shared" ca="1" si="29"/>
        <v>45655</v>
      </c>
      <c r="Y268">
        <f t="shared" ca="1" si="30"/>
        <v>0</v>
      </c>
      <c r="AA268" s="63">
        <f t="shared" ref="AA268:AA331" ca="1" si="32">K267+M268+N268+O268</f>
        <v>60.974490615926641</v>
      </c>
      <c r="AB268" s="63">
        <f t="shared" ref="AB268:AB331" ca="1" si="33">K268+L268+R268</f>
        <v>60.974490615926641</v>
      </c>
      <c r="AC268" s="3">
        <f t="shared" ref="AC268:AC331" ca="1" si="34">AB268-AA268</f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45656</v>
      </c>
      <c r="K269">
        <f ca="1"/>
        <v>58.186041948575642</v>
      </c>
      <c r="L269">
        <f ca="1"/>
        <v>1.8208545741813111</v>
      </c>
      <c r="M269">
        <f ca="1"/>
        <v>7.5789911382386776E-2</v>
      </c>
      <c r="N269">
        <f ca="1"/>
        <v>0.76000433682425583</v>
      </c>
      <c r="O269">
        <f ca="1"/>
        <v>0</v>
      </c>
      <c r="P269">
        <f ca="1"/>
        <v>45.740655064093126</v>
      </c>
      <c r="Q269">
        <f ca="1"/>
        <v>42.324956796319938</v>
      </c>
      <c r="R269">
        <f ca="1"/>
        <v>0</v>
      </c>
      <c r="S269">
        <f ca="1"/>
        <v>0.60715793270006901</v>
      </c>
      <c r="T269">
        <f ca="1"/>
        <v>0</v>
      </c>
      <c r="U269">
        <f ca="1"/>
        <v>0</v>
      </c>
      <c r="V269">
        <f ca="1"/>
        <v>0.98456899259042963</v>
      </c>
      <c r="X269" s="2">
        <f t="shared" ca="1" si="29"/>
        <v>45656</v>
      </c>
      <c r="Y269">
        <f t="shared" ca="1" si="30"/>
        <v>0</v>
      </c>
      <c r="AA269" s="63">
        <f t="shared" ca="1" si="32"/>
        <v>60.006896522756954</v>
      </c>
      <c r="AB269" s="63">
        <f t="shared" ca="1" si="33"/>
        <v>60.006896522756954</v>
      </c>
      <c r="AC269" s="3">
        <f t="shared" ca="1" si="34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45657</v>
      </c>
      <c r="K270">
        <f ca="1"/>
        <v>57.152890620709684</v>
      </c>
      <c r="L270">
        <f ca="1"/>
        <v>1.7380779103767168</v>
      </c>
      <c r="M270">
        <f ca="1"/>
        <v>6.917096277424406E-2</v>
      </c>
      <c r="N270">
        <f ca="1"/>
        <v>0.63575561973651507</v>
      </c>
      <c r="O270">
        <f ca="1"/>
        <v>0</v>
      </c>
      <c r="P270">
        <f ca="1"/>
        <v>47.478732974469843</v>
      </c>
      <c r="Q270">
        <f ca="1"/>
        <v>43.933243174428263</v>
      </c>
      <c r="R270">
        <f ca="1"/>
        <v>0</v>
      </c>
      <c r="S270">
        <f ca="1"/>
        <v>0.54581013132923228</v>
      </c>
      <c r="T270">
        <f ca="1"/>
        <v>0</v>
      </c>
      <c r="U270">
        <f ca="1"/>
        <v>0</v>
      </c>
      <c r="V270">
        <f ca="1"/>
        <v>0.98626690661636351</v>
      </c>
      <c r="X270" s="2">
        <f t="shared" ca="1" si="29"/>
        <v>45657</v>
      </c>
      <c r="Y270">
        <f t="shared" ca="1" si="30"/>
        <v>0</v>
      </c>
      <c r="AA270" s="63">
        <f t="shared" ca="1" si="32"/>
        <v>58.890968531086401</v>
      </c>
      <c r="AB270" s="63">
        <f t="shared" ca="1" si="33"/>
        <v>58.890968531086401</v>
      </c>
      <c r="AC270" s="3">
        <f t="shared" ca="1" si="34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45658</v>
      </c>
      <c r="K271">
        <f ca="1"/>
        <v>55.917576855235126</v>
      </c>
      <c r="L271">
        <f ca="1"/>
        <v>2.0700239682021646</v>
      </c>
      <c r="M271">
        <f ca="1"/>
        <v>8.1182608972362402E-2</v>
      </c>
      <c r="N271">
        <f ca="1"/>
        <v>0.75352759375524681</v>
      </c>
      <c r="O271">
        <f ca="1"/>
        <v>0</v>
      </c>
      <c r="P271">
        <f ca="1"/>
        <v>49.548756942672007</v>
      </c>
      <c r="Q271">
        <f ca="1"/>
        <v>45.848687430719231</v>
      </c>
      <c r="R271">
        <f ca="1"/>
        <v>0</v>
      </c>
      <c r="S271">
        <f ca="1"/>
        <v>0.5301563557000597</v>
      </c>
      <c r="T271">
        <f ca="1"/>
        <v>0</v>
      </c>
      <c r="U271">
        <f ca="1"/>
        <v>0</v>
      </c>
      <c r="V271">
        <f ca="1"/>
        <v>0.98800243375417574</v>
      </c>
      <c r="X271" s="2">
        <f t="shared" ca="1" si="29"/>
        <v>45658</v>
      </c>
      <c r="Y271">
        <f t="shared" ca="1" si="30"/>
        <v>0</v>
      </c>
      <c r="AA271" s="63">
        <f t="shared" ca="1" si="32"/>
        <v>57.98760082343729</v>
      </c>
      <c r="AB271" s="63">
        <f t="shared" ca="1" si="33"/>
        <v>57.98760082343729</v>
      </c>
      <c r="AC271" s="3">
        <f t="shared" ca="1" si="34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45659</v>
      </c>
      <c r="K272">
        <f ca="1"/>
        <v>54.576584970382413</v>
      </c>
      <c r="L272">
        <f ca="1"/>
        <v>2.198538530919798</v>
      </c>
      <c r="M272">
        <f ca="1"/>
        <v>8.3466419512234324E-2</v>
      </c>
      <c r="N272">
        <f ca="1"/>
        <v>0.77408022655485087</v>
      </c>
      <c r="O272">
        <f ca="1"/>
        <v>0</v>
      </c>
      <c r="P272">
        <f ca="1"/>
        <v>51.747295473591805</v>
      </c>
      <c r="Q272">
        <f ca="1"/>
        <v>47.883049383031377</v>
      </c>
      <c r="R272">
        <f ca="1"/>
        <v>0</v>
      </c>
      <c r="S272">
        <f ca="1"/>
        <v>0.51993760894753327</v>
      </c>
      <c r="T272">
        <f ca="1"/>
        <v>0</v>
      </c>
      <c r="U272">
        <f ca="1"/>
        <v>0</v>
      </c>
      <c r="V272">
        <f ca="1"/>
        <v>0.9895636655318879</v>
      </c>
      <c r="X272" s="2">
        <f t="shared" ca="1" si="29"/>
        <v>45659</v>
      </c>
      <c r="Y272">
        <f t="shared" ca="1" si="30"/>
        <v>0</v>
      </c>
      <c r="AA272" s="63">
        <f t="shared" ca="1" si="32"/>
        <v>56.775123501302211</v>
      </c>
      <c r="AB272" s="63">
        <f t="shared" ca="1" si="33"/>
        <v>56.775123501302211</v>
      </c>
      <c r="AC272" s="3">
        <f t="shared" ca="1" si="34"/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45660</v>
      </c>
      <c r="K273">
        <f ca="1"/>
        <v>53.213400005522494</v>
      </c>
      <c r="L273">
        <f ca="1"/>
        <v>2.270164671878689</v>
      </c>
      <c r="M273">
        <f ca="1"/>
        <v>8.2832290929218289E-2</v>
      </c>
      <c r="N273">
        <f ca="1"/>
        <v>0.82414741608955266</v>
      </c>
      <c r="O273">
        <f ca="1"/>
        <v>0</v>
      </c>
      <c r="P273">
        <f ca="1"/>
        <v>54.017460145470494</v>
      </c>
      <c r="Q273">
        <f ca="1"/>
        <v>49.983688770971078</v>
      </c>
      <c r="R273">
        <f ca="1"/>
        <v>0</v>
      </c>
      <c r="S273">
        <f ca="1"/>
        <v>0.56494369516018617</v>
      </c>
      <c r="T273">
        <f ca="1"/>
        <v>0</v>
      </c>
      <c r="U273">
        <f ca="1"/>
        <v>0</v>
      </c>
      <c r="V273">
        <f ca="1"/>
        <v>0.99092635085473013</v>
      </c>
      <c r="X273" s="2">
        <f t="shared" ca="1" si="29"/>
        <v>45660</v>
      </c>
      <c r="Y273">
        <f t="shared" ca="1" si="30"/>
        <v>0</v>
      </c>
      <c r="AA273" s="63">
        <f t="shared" ca="1" si="32"/>
        <v>55.483564677401183</v>
      </c>
      <c r="AB273" s="63">
        <f t="shared" ca="1" si="33"/>
        <v>55.483564677401183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45661</v>
      </c>
      <c r="K274">
        <f ca="1"/>
        <v>51.850008562389078</v>
      </c>
      <c r="L274">
        <f ca="1"/>
        <v>2.1456940350389502</v>
      </c>
      <c r="M274">
        <f ca="1"/>
        <v>7.3934378778183429E-2</v>
      </c>
      <c r="N274">
        <f ca="1"/>
        <v>0.70836821312735265</v>
      </c>
      <c r="O274">
        <f ca="1"/>
        <v>0</v>
      </c>
      <c r="P274">
        <f ca="1"/>
        <v>56.163154180509444</v>
      </c>
      <c r="Q274">
        <f ca="1"/>
        <v>51.969152407289577</v>
      </c>
      <c r="R274">
        <f ca="1"/>
        <v>0</v>
      </c>
      <c r="S274">
        <f ca="1"/>
        <v>0.53611402213363146</v>
      </c>
      <c r="T274">
        <f ca="1"/>
        <v>0</v>
      </c>
      <c r="U274">
        <f ca="1"/>
        <v>0</v>
      </c>
      <c r="V274">
        <f ca="1"/>
        <v>0.99202292630509703</v>
      </c>
      <c r="X274" s="2">
        <f t="shared" ca="1" si="29"/>
        <v>45661</v>
      </c>
      <c r="Y274">
        <f t="shared" ca="1" si="30"/>
        <v>0</v>
      </c>
      <c r="AA274" s="63">
        <f t="shared" ca="1" si="32"/>
        <v>53.995702597428028</v>
      </c>
      <c r="AB274" s="63">
        <f t="shared" ca="1" si="33"/>
        <v>53.995702597428028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45662</v>
      </c>
      <c r="K275">
        <f ca="1"/>
        <v>50.462751007036658</v>
      </c>
      <c r="L275">
        <f ca="1"/>
        <v>2.1249667240713919</v>
      </c>
      <c r="M275">
        <f ca="1"/>
        <v>7.0313018445496311E-2</v>
      </c>
      <c r="N275">
        <f ca="1"/>
        <v>0.66739615027347721</v>
      </c>
      <c r="O275">
        <f ca="1"/>
        <v>0</v>
      </c>
      <c r="P275">
        <f ca="1"/>
        <v>58.288120904580836</v>
      </c>
      <c r="Q275">
        <f ca="1"/>
        <v>53.935436551316677</v>
      </c>
      <c r="R275">
        <f ca="1"/>
        <v>0</v>
      </c>
      <c r="S275">
        <f ca="1"/>
        <v>0.52546666313629364</v>
      </c>
      <c r="T275">
        <f ca="1"/>
        <v>0</v>
      </c>
      <c r="U275">
        <f ca="1"/>
        <v>0</v>
      </c>
      <c r="V275">
        <f ca="1"/>
        <v>0.99295698691718537</v>
      </c>
      <c r="X275" s="2">
        <f t="shared" ca="1" si="29"/>
        <v>45662</v>
      </c>
      <c r="Y275">
        <f t="shared" ca="1" si="30"/>
        <v>0</v>
      </c>
      <c r="AA275" s="63">
        <f t="shared" ca="1" si="32"/>
        <v>52.58771773110805</v>
      </c>
      <c r="AB275" s="63">
        <f t="shared" ca="1" si="33"/>
        <v>52.58771773110805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45663</v>
      </c>
      <c r="K276">
        <f ca="1"/>
        <v>48.886858722540154</v>
      </c>
      <c r="L276">
        <f ca="1"/>
        <v>2.338007679760473</v>
      </c>
      <c r="M276">
        <f ca="1"/>
        <v>7.2490962440333817E-2</v>
      </c>
      <c r="N276">
        <f ca="1"/>
        <v>0.68962443282363606</v>
      </c>
      <c r="O276">
        <f ca="1"/>
        <v>0</v>
      </c>
      <c r="P276">
        <f ca="1"/>
        <v>60.626128584341309</v>
      </c>
      <c r="Q276">
        <f ca="1"/>
        <v>56.098852748497642</v>
      </c>
      <c r="R276">
        <f ca="1"/>
        <v>0</v>
      </c>
      <c r="S276">
        <f ca="1"/>
        <v>0.47896045929164355</v>
      </c>
      <c r="T276">
        <f ca="1"/>
        <v>0</v>
      </c>
      <c r="U276">
        <f ca="1"/>
        <v>0</v>
      </c>
      <c r="V276">
        <f ca="1"/>
        <v>0.99383923453234435</v>
      </c>
      <c r="X276" s="2">
        <f t="shared" ca="1" si="29"/>
        <v>45663</v>
      </c>
      <c r="Y276">
        <f t="shared" ca="1" si="30"/>
        <v>0</v>
      </c>
      <c r="AA276" s="63">
        <f t="shared" ca="1" si="32"/>
        <v>51.224866402300627</v>
      </c>
      <c r="AB276" s="63">
        <f t="shared" ca="1" si="33"/>
        <v>51.224866402300627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45664</v>
      </c>
      <c r="K277">
        <f ca="1"/>
        <v>47.296124744894549</v>
      </c>
      <c r="L277">
        <f ca="1"/>
        <v>2.3086818106999658</v>
      </c>
      <c r="M277">
        <f ca="1"/>
        <v>6.7551458670045861E-2</v>
      </c>
      <c r="N277">
        <f ca="1"/>
        <v>0.65039637438431119</v>
      </c>
      <c r="O277">
        <f ca="1"/>
        <v>0</v>
      </c>
      <c r="P277">
        <f ca="1"/>
        <v>62.934810395041275</v>
      </c>
      <c r="Q277">
        <f ca="1"/>
        <v>58.235132995411561</v>
      </c>
      <c r="R277">
        <f ca="1"/>
        <v>0</v>
      </c>
      <c r="S277">
        <f ca="1"/>
        <v>0.47121934510214697</v>
      </c>
      <c r="T277">
        <f ca="1"/>
        <v>0</v>
      </c>
      <c r="U277">
        <f ca="1"/>
        <v>0</v>
      </c>
      <c r="V277">
        <f ca="1"/>
        <v>0.99458570342780594</v>
      </c>
      <c r="X277" s="2">
        <f t="shared" ca="1" si="29"/>
        <v>45664</v>
      </c>
      <c r="Y277">
        <f t="shared" ca="1" si="30"/>
        <v>0</v>
      </c>
      <c r="AA277" s="63">
        <f t="shared" ca="1" si="32"/>
        <v>49.604806555594514</v>
      </c>
      <c r="AB277" s="63">
        <f t="shared" ca="1" si="33"/>
        <v>49.604806555594514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45665</v>
      </c>
      <c r="K278">
        <f ca="1"/>
        <v>45.603438151228268</v>
      </c>
      <c r="L278">
        <f ca="1"/>
        <v>2.4209521386606028</v>
      </c>
      <c r="M278">
        <f ca="1"/>
        <v>6.6995172262231506E-2</v>
      </c>
      <c r="N278">
        <f ca="1"/>
        <v>0.66127037273208733</v>
      </c>
      <c r="O278">
        <f ca="1"/>
        <v>0</v>
      </c>
      <c r="P278">
        <f ca="1"/>
        <v>65.355762533701878</v>
      </c>
      <c r="Q278">
        <f ca="1"/>
        <v>60.475299747094269</v>
      </c>
      <c r="R278">
        <f ca="1"/>
        <v>0</v>
      </c>
      <c r="S278">
        <f ca="1"/>
        <v>0.45845219785054414</v>
      </c>
      <c r="T278">
        <f ca="1"/>
        <v>0</v>
      </c>
      <c r="U278">
        <f ca="1"/>
        <v>0</v>
      </c>
      <c r="V278">
        <f ca="1"/>
        <v>0.99525769370098893</v>
      </c>
      <c r="X278" s="2">
        <f t="shared" ca="1" si="29"/>
        <v>45665</v>
      </c>
      <c r="Y278">
        <f t="shared" ca="1" si="30"/>
        <v>0</v>
      </c>
      <c r="AA278" s="63">
        <f t="shared" ca="1" si="32"/>
        <v>48.024390289888871</v>
      </c>
      <c r="AB278" s="63">
        <f t="shared" ca="1" si="33"/>
        <v>48.024390289888871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45666</v>
      </c>
      <c r="K279">
        <f ca="1"/>
        <v>43.854280987264119</v>
      </c>
      <c r="L279">
        <f ca="1"/>
        <v>2.4150814331136701</v>
      </c>
      <c r="M279">
        <f ca="1"/>
        <v>5.8603014883178872E-2</v>
      </c>
      <c r="N279">
        <f ca="1"/>
        <v>0.60732125426634809</v>
      </c>
      <c r="O279">
        <f ca="1"/>
        <v>0</v>
      </c>
      <c r="P279">
        <f ca="1"/>
        <v>67.770843966815548</v>
      </c>
      <c r="Q279">
        <f ca="1"/>
        <v>62.710034190072825</v>
      </c>
      <c r="R279">
        <f ca="1"/>
        <v>0</v>
      </c>
      <c r="S279">
        <f ca="1"/>
        <v>0.41683992298635109</v>
      </c>
      <c r="T279">
        <f ca="1"/>
        <v>0</v>
      </c>
      <c r="U279">
        <f ca="1"/>
        <v>0</v>
      </c>
      <c r="V279">
        <f ca="1"/>
        <v>0.99583364981323674</v>
      </c>
      <c r="X279" s="2">
        <f t="shared" ca="1" si="29"/>
        <v>45666</v>
      </c>
      <c r="Y279">
        <f t="shared" ca="1" si="30"/>
        <v>0</v>
      </c>
      <c r="AA279" s="63">
        <f t="shared" ca="1" si="32"/>
        <v>46.269362420377796</v>
      </c>
      <c r="AB279" s="63">
        <f t="shared" ca="1" si="33"/>
        <v>46.269362420377789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45667</v>
      </c>
      <c r="K280">
        <f ca="1"/>
        <v>41.974127272415615</v>
      </c>
      <c r="L280">
        <f ca="1"/>
        <v>2.5485947663044612</v>
      </c>
      <c r="M280">
        <f ca="1"/>
        <v>5.6214045139537205E-2</v>
      </c>
      <c r="N280">
        <f ca="1"/>
        <v>0.61222700631641835</v>
      </c>
      <c r="O280">
        <f ca="1"/>
        <v>0</v>
      </c>
      <c r="P280">
        <f ca="1"/>
        <v>70.319438733120009</v>
      </c>
      <c r="Q280">
        <f ca="1"/>
        <v>65.068311814737669</v>
      </c>
      <c r="R280">
        <f ca="1"/>
        <v>0</v>
      </c>
      <c r="S280">
        <f ca="1"/>
        <v>0.38783294606867852</v>
      </c>
      <c r="T280">
        <f ca="1"/>
        <v>0</v>
      </c>
      <c r="U280">
        <f ca="1"/>
        <v>0</v>
      </c>
      <c r="V280">
        <f ca="1"/>
        <v>0.99635604023885094</v>
      </c>
      <c r="X280" s="2">
        <f t="shared" ca="1" si="29"/>
        <v>45667</v>
      </c>
      <c r="Y280">
        <f t="shared" ca="1" si="30"/>
        <v>0</v>
      </c>
      <c r="AA280" s="63">
        <f t="shared" ca="1" si="32"/>
        <v>44.522722038720076</v>
      </c>
      <c r="AB280" s="63">
        <f t="shared" ca="1" si="33"/>
        <v>44.522722038720076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45668</v>
      </c>
      <c r="K281">
        <f ca="1"/>
        <v>40.00837463784044</v>
      </c>
      <c r="L281">
        <f ca="1"/>
        <v>2.6059856947911442</v>
      </c>
      <c r="M281">
        <f ca="1"/>
        <v>5.0975987173359272E-2</v>
      </c>
      <c r="N281">
        <f ca="1"/>
        <v>0.58925707304261266</v>
      </c>
      <c r="O281">
        <f ca="1"/>
        <v>0</v>
      </c>
      <c r="P281">
        <f ca="1"/>
        <v>72.925424427911153</v>
      </c>
      <c r="Q281">
        <f ca="1"/>
        <v>67.479694681671035</v>
      </c>
      <c r="R281">
        <f ca="1"/>
        <v>0</v>
      </c>
      <c r="S281">
        <f ca="1"/>
        <v>0.35375884649889278</v>
      </c>
      <c r="T281">
        <f ca="1"/>
        <v>0</v>
      </c>
      <c r="U281">
        <f ca="1"/>
        <v>0</v>
      </c>
      <c r="V281">
        <f ca="1"/>
        <v>0.99681435481707736</v>
      </c>
      <c r="X281" s="2">
        <f t="shared" ca="1" si="29"/>
        <v>45668</v>
      </c>
      <c r="Y281">
        <f t="shared" ca="1" si="30"/>
        <v>0</v>
      </c>
      <c r="AA281" s="63">
        <f t="shared" ca="1" si="32"/>
        <v>42.614360332631584</v>
      </c>
      <c r="AB281" s="63">
        <f t="shared" ca="1" si="33"/>
        <v>42.614360332631584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45669</v>
      </c>
      <c r="K282">
        <f ca="1"/>
        <v>37.921116700179411</v>
      </c>
      <c r="L282">
        <f ca="1"/>
        <v>2.7342050166276408</v>
      </c>
      <c r="M282">
        <f ca="1"/>
        <v>4.9245812033316128E-2</v>
      </c>
      <c r="N282">
        <f ca="1"/>
        <v>0.59770126693329428</v>
      </c>
      <c r="O282">
        <f ca="1"/>
        <v>0</v>
      </c>
      <c r="P282">
        <f ca="1"/>
        <v>75.659629444538794</v>
      </c>
      <c r="Q282">
        <f ca="1"/>
        <v>70.009722050953116</v>
      </c>
      <c r="R282">
        <f ca="1"/>
        <v>0</v>
      </c>
      <c r="S282">
        <f ca="1"/>
        <v>0.3323870389789591</v>
      </c>
      <c r="T282">
        <f ca="1"/>
        <v>0</v>
      </c>
      <c r="U282">
        <f ca="1"/>
        <v>0</v>
      </c>
      <c r="V282">
        <f ca="1"/>
        <v>0.99722641130030387</v>
      </c>
      <c r="X282" s="2">
        <f t="shared" ca="1" si="29"/>
        <v>45669</v>
      </c>
      <c r="Y282">
        <f t="shared" ca="1" si="30"/>
        <v>0</v>
      </c>
      <c r="AA282" s="63">
        <f t="shared" ca="1" si="32"/>
        <v>40.655321716807045</v>
      </c>
      <c r="AB282" s="63">
        <f t="shared" ca="1" si="33"/>
        <v>40.655321716807052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45670</v>
      </c>
      <c r="K283">
        <f ca="1"/>
        <v>35.826541402204143</v>
      </c>
      <c r="L283">
        <f ca="1"/>
        <v>2.7357706761233089</v>
      </c>
      <c r="M283">
        <f ca="1"/>
        <v>4.9327045273713566E-2</v>
      </c>
      <c r="N283">
        <f ca="1"/>
        <v>0.59186833287432461</v>
      </c>
      <c r="O283">
        <f ca="1"/>
        <v>0</v>
      </c>
      <c r="P283">
        <f ca="1"/>
        <v>78.395400120662103</v>
      </c>
      <c r="Q283">
        <f ca="1"/>
        <v>72.541198163599674</v>
      </c>
      <c r="R283">
        <f ca="1"/>
        <v>0</v>
      </c>
      <c r="S283">
        <f ca="1"/>
        <v>0.34301486017757571</v>
      </c>
      <c r="T283">
        <f ca="1"/>
        <v>0</v>
      </c>
      <c r="U283">
        <f ca="1"/>
        <v>0</v>
      </c>
      <c r="V283">
        <f ca="1"/>
        <v>0.99757976959427619</v>
      </c>
      <c r="X283" s="2">
        <f t="shared" ca="1" si="29"/>
        <v>45670</v>
      </c>
      <c r="Y283">
        <f t="shared" ca="1" si="30"/>
        <v>0</v>
      </c>
      <c r="AA283" s="63">
        <f t="shared" ca="1" si="32"/>
        <v>38.562312078327452</v>
      </c>
      <c r="AB283" s="63">
        <f t="shared" ca="1" si="33"/>
        <v>38.562312078327452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45671</v>
      </c>
      <c r="K284">
        <f ca="1"/>
        <v>33.759765942847473</v>
      </c>
      <c r="L284">
        <f ca="1"/>
        <v>2.685142576292904</v>
      </c>
      <c r="M284">
        <f ca="1"/>
        <v>4.7898052675485303E-2</v>
      </c>
      <c r="N284">
        <f ca="1"/>
        <v>0.57046906426075239</v>
      </c>
      <c r="O284">
        <f ca="1"/>
        <v>0</v>
      </c>
      <c r="P284">
        <f ca="1"/>
        <v>81.080542696955007</v>
      </c>
      <c r="Q284">
        <f ca="1"/>
        <v>75.025826846208375</v>
      </c>
      <c r="R284">
        <f ca="1"/>
        <v>0</v>
      </c>
      <c r="S284">
        <f ca="1"/>
        <v>0.35040620606914447</v>
      </c>
      <c r="T284">
        <f ca="1"/>
        <v>0</v>
      </c>
      <c r="U284">
        <f ca="1"/>
        <v>0</v>
      </c>
      <c r="V284">
        <f ca="1"/>
        <v>0.99787852071745597</v>
      </c>
      <c r="X284" s="2">
        <f t="shared" ca="1" si="29"/>
        <v>45671</v>
      </c>
      <c r="Y284">
        <f t="shared" ca="1" si="30"/>
        <v>0</v>
      </c>
      <c r="AA284" s="63">
        <f t="shared" ca="1" si="32"/>
        <v>36.444908519140384</v>
      </c>
      <c r="AB284" s="63">
        <f t="shared" ca="1" si="33"/>
        <v>36.444908519140377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45672</v>
      </c>
      <c r="K285">
        <f ca="1"/>
        <v>31.630283876398281</v>
      </c>
      <c r="L285">
        <f ca="1"/>
        <v>2.7607562253299847</v>
      </c>
      <c r="M285">
        <f ca="1"/>
        <v>4.8570014012376816E-2</v>
      </c>
      <c r="N285">
        <f ca="1"/>
        <v>0.58270414486841815</v>
      </c>
      <c r="O285">
        <f ca="1"/>
        <v>0</v>
      </c>
      <c r="P285">
        <f ca="1"/>
        <v>83.841298922284992</v>
      </c>
      <c r="Q285">
        <f ca="1"/>
        <v>77.580422704062414</v>
      </c>
      <c r="R285">
        <f ca="1"/>
        <v>0</v>
      </c>
      <c r="S285">
        <f ca="1"/>
        <v>0.35271720588710381</v>
      </c>
      <c r="T285">
        <f ca="1"/>
        <v>0</v>
      </c>
      <c r="U285">
        <f ca="1"/>
        <v>0</v>
      </c>
      <c r="V285">
        <f ca="1"/>
        <v>0.99814386396041543</v>
      </c>
      <c r="X285" s="2">
        <f t="shared" ca="1" si="29"/>
        <v>45672</v>
      </c>
      <c r="Y285">
        <f t="shared" ca="1" si="30"/>
        <v>0</v>
      </c>
      <c r="AA285" s="63">
        <f t="shared" ca="1" si="32"/>
        <v>34.391040101728265</v>
      </c>
      <c r="AB285" s="63">
        <f t="shared" ca="1" si="33"/>
        <v>34.391040101728265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45673</v>
      </c>
      <c r="K286">
        <f ca="1"/>
        <v>29.387783406209024</v>
      </c>
      <c r="L286">
        <f ca="1"/>
        <v>2.8683971469118745</v>
      </c>
      <c r="M286">
        <f ca="1"/>
        <v>4.522971515792662E-2</v>
      </c>
      <c r="N286">
        <f ca="1"/>
        <v>0.58066696156469144</v>
      </c>
      <c r="O286">
        <f ca="1"/>
        <v>0</v>
      </c>
      <c r="P286">
        <f ca="1"/>
        <v>86.709696069196866</v>
      </c>
      <c r="Q286">
        <f ca="1"/>
        <v>80.234621362730863</v>
      </c>
      <c r="R286">
        <f ca="1"/>
        <v>0</v>
      </c>
      <c r="S286">
        <f ca="1"/>
        <v>0.32132518936331367</v>
      </c>
      <c r="T286">
        <f ca="1"/>
        <v>0</v>
      </c>
      <c r="U286">
        <f ca="1"/>
        <v>0</v>
      </c>
      <c r="V286">
        <f ca="1"/>
        <v>0.99838163919187728</v>
      </c>
      <c r="X286" s="2">
        <f t="shared" ca="1" si="29"/>
        <v>45673</v>
      </c>
      <c r="Y286">
        <f t="shared" ca="1" si="30"/>
        <v>0</v>
      </c>
      <c r="AA286" s="63">
        <f t="shared" ca="1" si="32"/>
        <v>32.256180553120899</v>
      </c>
      <c r="AB286" s="63">
        <f t="shared" ca="1" si="33"/>
        <v>32.256180553120899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45674</v>
      </c>
      <c r="K287">
        <f ca="1"/>
        <v>27.071907138603027</v>
      </c>
      <c r="L287">
        <f ca="1"/>
        <v>2.9506642098812819</v>
      </c>
      <c r="M287">
        <f ca="1"/>
        <v>4.4939191232302278E-2</v>
      </c>
      <c r="N287">
        <f ca="1"/>
        <v>0.58984875104298262</v>
      </c>
      <c r="O287">
        <f ca="1"/>
        <v>0</v>
      </c>
      <c r="P287">
        <f ca="1"/>
        <v>89.660360279078148</v>
      </c>
      <c r="Q287">
        <f ca="1"/>
        <v>82.964943764731402</v>
      </c>
      <c r="R287">
        <f ca="1"/>
        <v>0</v>
      </c>
      <c r="S287">
        <f ca="1"/>
        <v>0.31554122630110187</v>
      </c>
      <c r="T287">
        <f ca="1"/>
        <v>0</v>
      </c>
      <c r="U287">
        <f ca="1"/>
        <v>0</v>
      </c>
      <c r="V287">
        <f ca="1"/>
        <v>0.99859222441822504</v>
      </c>
      <c r="X287" s="2">
        <f t="shared" ca="1" si="29"/>
        <v>45674</v>
      </c>
      <c r="Y287">
        <f t="shared" ca="1" si="30"/>
        <v>0</v>
      </c>
      <c r="AA287" s="63">
        <f t="shared" ca="1" si="32"/>
        <v>30.022571348484309</v>
      </c>
      <c r="AB287" s="63">
        <f t="shared" ca="1" si="33"/>
        <v>30.022571348484309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45675</v>
      </c>
      <c r="K288">
        <f ca="1"/>
        <v>24.786339293978816</v>
      </c>
      <c r="L288">
        <f ca="1"/>
        <v>2.9288382518525395</v>
      </c>
      <c r="M288">
        <f ca="1"/>
        <v>4.7479350448295321E-2</v>
      </c>
      <c r="N288">
        <f ca="1"/>
        <v>0.59579105678003219</v>
      </c>
      <c r="O288">
        <f ca="1"/>
        <v>0</v>
      </c>
      <c r="P288">
        <f ca="1"/>
        <v>92.589198530930688</v>
      </c>
      <c r="Q288">
        <f ca="1"/>
        <v>85.675070069205333</v>
      </c>
      <c r="R288">
        <f ca="1"/>
        <v>0</v>
      </c>
      <c r="S288">
        <f ca="1"/>
        <v>0.34411013787303985</v>
      </c>
      <c r="T288">
        <f ca="1"/>
        <v>0</v>
      </c>
      <c r="U288">
        <f ca="1"/>
        <v>0</v>
      </c>
      <c r="V288">
        <f ca="1"/>
        <v>0.99877244691817479</v>
      </c>
      <c r="X288" s="2">
        <f t="shared" ca="1" si="29"/>
        <v>45675</v>
      </c>
      <c r="Y288">
        <f t="shared" ca="1" si="30"/>
        <v>0</v>
      </c>
      <c r="AA288" s="63">
        <f t="shared" ca="1" si="32"/>
        <v>27.715177545831356</v>
      </c>
      <c r="AB288" s="63">
        <f t="shared" ca="1" si="33"/>
        <v>27.715177545831356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45676</v>
      </c>
      <c r="K289">
        <f ca="1"/>
        <v>22.418345952137063</v>
      </c>
      <c r="L289">
        <f ca="1"/>
        <v>3.0370109753914249</v>
      </c>
      <c r="M289">
        <f ca="1"/>
        <v>4.895301332079427E-2</v>
      </c>
      <c r="N289">
        <f ca="1"/>
        <v>0.62006462022887832</v>
      </c>
      <c r="O289">
        <f ca="1"/>
        <v>0</v>
      </c>
      <c r="P289">
        <f ca="1"/>
        <v>95.626209506322112</v>
      </c>
      <c r="Q289">
        <f ca="1"/>
        <v>88.485291263966886</v>
      </c>
      <c r="R289">
        <f ca="1"/>
        <v>0</v>
      </c>
      <c r="S289">
        <f ca="1"/>
        <v>0.3461991136207011</v>
      </c>
      <c r="T289">
        <f ca="1"/>
        <v>0</v>
      </c>
      <c r="U289">
        <f ca="1"/>
        <v>0</v>
      </c>
      <c r="V289">
        <f ca="1"/>
        <v>0.99893369977991953</v>
      </c>
      <c r="X289" s="2">
        <f t="shared" ca="1" si="29"/>
        <v>45676</v>
      </c>
      <c r="Y289">
        <f t="shared" ca="1" si="30"/>
        <v>0</v>
      </c>
      <c r="AA289" s="63">
        <f t="shared" ca="1" si="32"/>
        <v>25.455356927528488</v>
      </c>
      <c r="AB289" s="63">
        <f t="shared" ca="1" si="33"/>
        <v>25.455356927528488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45677</v>
      </c>
      <c r="K290">
        <f ca="1"/>
        <v>20.076887343342008</v>
      </c>
      <c r="L290">
        <f ca="1"/>
        <v>3.0062521613832729</v>
      </c>
      <c r="M290">
        <f ca="1"/>
        <v>4.9239756936078294E-2</v>
      </c>
      <c r="N290">
        <f ca="1"/>
        <v>0.61555379565213875</v>
      </c>
      <c r="O290">
        <f ca="1"/>
        <v>0</v>
      </c>
      <c r="P290">
        <f ca="1"/>
        <v>98.632461667705385</v>
      </c>
      <c r="Q290">
        <f ca="1"/>
        <v>91.267050569142967</v>
      </c>
      <c r="R290">
        <f ca="1"/>
        <v>0</v>
      </c>
      <c r="S290">
        <f ca="1"/>
        <v>0.35981929485253633</v>
      </c>
      <c r="T290">
        <f ca="1"/>
        <v>0</v>
      </c>
      <c r="U290">
        <f ca="1"/>
        <v>0</v>
      </c>
      <c r="V290">
        <f ca="1"/>
        <v>0.99907152434566149</v>
      </c>
      <c r="X290" s="2">
        <f t="shared" ca="1" si="29"/>
        <v>45677</v>
      </c>
      <c r="Y290">
        <f t="shared" ca="1" si="30"/>
        <v>0</v>
      </c>
      <c r="AA290" s="63">
        <f t="shared" ca="1" si="32"/>
        <v>23.083139504725281</v>
      </c>
      <c r="AB290" s="63">
        <f t="shared" ca="1" si="33"/>
        <v>23.083139504725281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45678</v>
      </c>
      <c r="K291">
        <f ca="1"/>
        <v>17.769749171597137</v>
      </c>
      <c r="L291">
        <f ca="1"/>
        <v>2.9483078225201922</v>
      </c>
      <c r="M291">
        <f ca="1"/>
        <v>4.7064811401266837E-2</v>
      </c>
      <c r="N291">
        <f ca="1"/>
        <v>0.59410483937405267</v>
      </c>
      <c r="O291">
        <f ca="1"/>
        <v>0</v>
      </c>
      <c r="P291">
        <f ca="1"/>
        <v>101.58076949022558</v>
      </c>
      <c r="Q291">
        <f ca="1"/>
        <v>93.995192547773669</v>
      </c>
      <c r="R291">
        <f ca="1"/>
        <v>0</v>
      </c>
      <c r="S291">
        <f ca="1"/>
        <v>0.35860347550490229</v>
      </c>
      <c r="T291">
        <f ca="1"/>
        <v>0</v>
      </c>
      <c r="U291">
        <f ca="1"/>
        <v>0</v>
      </c>
      <c r="V291">
        <f ca="1"/>
        <v>0.99918876622413444</v>
      </c>
      <c r="X291" s="2">
        <f t="shared" ca="1" si="29"/>
        <v>45678</v>
      </c>
      <c r="Y291">
        <f t="shared" ca="1" si="30"/>
        <v>0</v>
      </c>
      <c r="AA291" s="63">
        <f t="shared" ca="1" si="32"/>
        <v>20.718056994117326</v>
      </c>
      <c r="AB291" s="63">
        <f t="shared" ca="1" si="33"/>
        <v>20.71805699411733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45679</v>
      </c>
      <c r="K292">
        <f ca="1"/>
        <v>15.491261575920202</v>
      </c>
      <c r="L292">
        <f ca="1"/>
        <v>2.9051932003977043</v>
      </c>
      <c r="M292">
        <f ca="1"/>
        <v>4.580713657925628E-2</v>
      </c>
      <c r="N292">
        <f ca="1"/>
        <v>0.5808984681415128</v>
      </c>
      <c r="O292">
        <f ca="1"/>
        <v>0</v>
      </c>
      <c r="P292">
        <f ca="1"/>
        <v>104.48596269062328</v>
      </c>
      <c r="Q292">
        <f ca="1"/>
        <v>96.683439502687136</v>
      </c>
      <c r="R292">
        <f ca="1"/>
        <v>0</v>
      </c>
      <c r="S292">
        <f ca="1"/>
        <v>0.36084688320692249</v>
      </c>
      <c r="T292">
        <f ca="1"/>
        <v>0</v>
      </c>
      <c r="U292">
        <f ca="1"/>
        <v>0</v>
      </c>
      <c r="V292">
        <f ca="1"/>
        <v>0.99928942568990609</v>
      </c>
      <c r="X292" s="2">
        <f t="shared" ca="1" si="29"/>
        <v>45679</v>
      </c>
      <c r="Y292">
        <f t="shared" ca="1" si="30"/>
        <v>0</v>
      </c>
      <c r="AA292" s="63">
        <f t="shared" ca="1" si="32"/>
        <v>18.396454776317906</v>
      </c>
      <c r="AB292" s="63">
        <f t="shared" ca="1" si="33"/>
        <v>18.396454776317906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45680</v>
      </c>
      <c r="K293">
        <f ca="1"/>
        <v>13.225080499958818</v>
      </c>
      <c r="L293">
        <f ca="1"/>
        <v>2.9381438397443702</v>
      </c>
      <c r="M293">
        <f ca="1"/>
        <v>5.1340498232718801E-2</v>
      </c>
      <c r="N293">
        <f ca="1"/>
        <v>0.62062226555026834</v>
      </c>
      <c r="O293">
        <f ca="1"/>
        <v>0</v>
      </c>
      <c r="P293">
        <f ca="1"/>
        <v>107.42410653036765</v>
      </c>
      <c r="Q293">
        <f ca="1"/>
        <v>99.40217649725578</v>
      </c>
      <c r="R293">
        <f ca="1"/>
        <v>0</v>
      </c>
      <c r="S293">
        <f ca="1"/>
        <v>0.40475091321625278</v>
      </c>
      <c r="T293">
        <f ca="1"/>
        <v>0</v>
      </c>
      <c r="U293">
        <f ca="1"/>
        <v>0</v>
      </c>
      <c r="V293">
        <f ca="1"/>
        <v>0.99937831548698464</v>
      </c>
      <c r="X293" s="2">
        <f t="shared" ca="1" si="29"/>
        <v>45680</v>
      </c>
      <c r="Y293">
        <f t="shared" ca="1" si="30"/>
        <v>0</v>
      </c>
      <c r="AA293" s="63">
        <f t="shared" ca="1" si="32"/>
        <v>16.163224339703188</v>
      </c>
      <c r="AB293" s="63">
        <f t="shared" ca="1" si="33"/>
        <v>16.163224339703188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45681</v>
      </c>
      <c r="K294">
        <f ca="1"/>
        <v>10.911439958280527</v>
      </c>
      <c r="L294">
        <f ca="1"/>
        <v>2.9771468039370319</v>
      </c>
      <c r="M294">
        <f ca="1"/>
        <v>4.8876892399505323E-2</v>
      </c>
      <c r="N294">
        <f ca="1"/>
        <v>0.61462936985923511</v>
      </c>
      <c r="O294">
        <f ca="1"/>
        <v>0</v>
      </c>
      <c r="P294">
        <f ca="1"/>
        <v>110.40125333430468</v>
      </c>
      <c r="Q294">
        <f ca="1"/>
        <v>102.15700389700271</v>
      </c>
      <c r="R294">
        <f ca="1"/>
        <v>0</v>
      </c>
      <c r="S294">
        <f ca="1"/>
        <v>0.38426301646941735</v>
      </c>
      <c r="T294">
        <f ca="1"/>
        <v>0</v>
      </c>
      <c r="U294">
        <f ca="1"/>
        <v>0</v>
      </c>
      <c r="V294">
        <f ca="1"/>
        <v>0.99945696327138789</v>
      </c>
      <c r="X294" s="2">
        <f t="shared" ca="1" si="29"/>
        <v>45681</v>
      </c>
      <c r="Y294">
        <f t="shared" ca="1" si="30"/>
        <v>0</v>
      </c>
      <c r="AA294" s="63">
        <f t="shared" ca="1" si="32"/>
        <v>13.888586762217559</v>
      </c>
      <c r="AB294" s="63">
        <f t="shared" ca="1" si="33"/>
        <v>13.888586762217559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45682</v>
      </c>
      <c r="K295">
        <f ca="1"/>
        <v>8.5535859337701687</v>
      </c>
      <c r="L295">
        <f ca="1"/>
        <v>3.0000898844130006</v>
      </c>
      <c r="M295">
        <f ca="1"/>
        <v>4.4784449666096293E-2</v>
      </c>
      <c r="N295">
        <f ca="1"/>
        <v>0.5974514102365468</v>
      </c>
      <c r="O295">
        <f ca="1"/>
        <v>0</v>
      </c>
      <c r="P295">
        <f ca="1"/>
        <v>113.40134321871768</v>
      </c>
      <c r="Q295">
        <f ca="1"/>
        <v>104.93306109524201</v>
      </c>
      <c r="R295">
        <f ca="1"/>
        <v>0</v>
      </c>
      <c r="S295">
        <f ca="1"/>
        <v>0.35263735819062059</v>
      </c>
      <c r="T295">
        <f ca="1"/>
        <v>0</v>
      </c>
      <c r="U295">
        <f ca="1"/>
        <v>0</v>
      </c>
      <c r="V295">
        <f ca="1"/>
        <v>0.99952617318816794</v>
      </c>
      <c r="X295" s="2">
        <f t="shared" ca="1" si="29"/>
        <v>45682</v>
      </c>
      <c r="Y295">
        <f t="shared" ca="1" si="30"/>
        <v>0</v>
      </c>
      <c r="AA295" s="63">
        <f t="shared" ca="1" si="32"/>
        <v>11.553675818183169</v>
      </c>
      <c r="AB295" s="63">
        <f t="shared" ca="1" si="33"/>
        <v>11.553675818183169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45683</v>
      </c>
      <c r="K296">
        <f ca="1"/>
        <v>6.064328530734139</v>
      </c>
      <c r="L296">
        <f ca="1"/>
        <v>3.1760024377314693</v>
      </c>
      <c r="M296">
        <f ca="1"/>
        <v>4.648444832078269E-2</v>
      </c>
      <c r="N296">
        <f ca="1"/>
        <v>0.64026058637465655</v>
      </c>
      <c r="O296">
        <f ca="1"/>
        <v>0</v>
      </c>
      <c r="P296">
        <f ca="1"/>
        <v>116.57734565644915</v>
      </c>
      <c r="Q296">
        <f ca="1"/>
        <v>107.87189451976626</v>
      </c>
      <c r="R296">
        <f ca="1"/>
        <v>0</v>
      </c>
      <c r="S296">
        <f ca="1"/>
        <v>0.34345198704618746</v>
      </c>
      <c r="T296">
        <f ca="1"/>
        <v>0</v>
      </c>
      <c r="U296">
        <f ca="1"/>
        <v>0</v>
      </c>
      <c r="V296">
        <f ca="1"/>
        <v>0.99958996261516631</v>
      </c>
      <c r="X296" s="2">
        <f t="shared" ca="1" si="29"/>
        <v>45683</v>
      </c>
      <c r="Y296">
        <f t="shared" ca="1" si="30"/>
        <v>0</v>
      </c>
      <c r="AA296" s="63">
        <f t="shared" ca="1" si="32"/>
        <v>9.2403309684656083</v>
      </c>
      <c r="AB296" s="63">
        <f t="shared" ca="1" si="33"/>
        <v>9.2403309684656083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45684</v>
      </c>
      <c r="K297">
        <f ca="1"/>
        <v>3.6565389686927796</v>
      </c>
      <c r="L297">
        <f ca="1"/>
        <v>3.0983231095181196</v>
      </c>
      <c r="M297">
        <f ca="1"/>
        <v>4.8167157085870826E-2</v>
      </c>
      <c r="N297">
        <f ca="1"/>
        <v>0.64236639039088961</v>
      </c>
      <c r="O297">
        <f ca="1"/>
        <v>0</v>
      </c>
      <c r="P297">
        <f ca="1"/>
        <v>119.67566876596727</v>
      </c>
      <c r="Q297">
        <f ca="1"/>
        <v>110.73884934513205</v>
      </c>
      <c r="R297">
        <f ca="1"/>
        <v>0</v>
      </c>
      <c r="S297">
        <f ca="1"/>
        <v>0.37026038004266326</v>
      </c>
      <c r="T297">
        <f ca="1"/>
        <v>0</v>
      </c>
      <c r="U297">
        <f ca="1"/>
        <v>0</v>
      </c>
      <c r="V297">
        <f ca="1"/>
        <v>0.99964408149055894</v>
      </c>
      <c r="X297" s="2">
        <f t="shared" ca="1" si="29"/>
        <v>45684</v>
      </c>
      <c r="Y297">
        <f t="shared" ca="1" si="30"/>
        <v>0</v>
      </c>
      <c r="AA297" s="63">
        <f t="shared" ca="1" si="32"/>
        <v>6.7548620782108992</v>
      </c>
      <c r="AB297" s="63">
        <f t="shared" ca="1" si="33"/>
        <v>6.7548620782108992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45685</v>
      </c>
      <c r="K298">
        <f ca="1"/>
        <v>1.2720187975761998</v>
      </c>
      <c r="L298">
        <f ca="1"/>
        <v>3.041475914682124</v>
      </c>
      <c r="M298">
        <f ca="1"/>
        <v>4.3881859551355262E-2</v>
      </c>
      <c r="N298">
        <f ca="1"/>
        <v>0.61307388401418927</v>
      </c>
      <c r="O298">
        <f ca="1"/>
        <v>0</v>
      </c>
      <c r="P298">
        <f ca="1"/>
        <v>122.7171446806494</v>
      </c>
      <c r="Q298">
        <f ca="1"/>
        <v>113.55320205839311</v>
      </c>
      <c r="R298">
        <f ca="1"/>
        <v>0</v>
      </c>
      <c r="S298">
        <f ca="1"/>
        <v>0.34728606780017768</v>
      </c>
      <c r="T298">
        <f ca="1"/>
        <v>0</v>
      </c>
      <c r="U298">
        <f ca="1"/>
        <v>0</v>
      </c>
      <c r="V298">
        <f ca="1"/>
        <v>0.99969046909329773</v>
      </c>
      <c r="X298" s="2">
        <f t="shared" ca="1" si="29"/>
        <v>45685</v>
      </c>
      <c r="Y298">
        <f t="shared" ca="1" si="30"/>
        <v>0</v>
      </c>
      <c r="AA298" s="63">
        <f t="shared" ca="1" si="32"/>
        <v>4.3134947122583238</v>
      </c>
      <c r="AB298" s="63">
        <f t="shared" ca="1" si="33"/>
        <v>4.3134947122583238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45686</v>
      </c>
      <c r="K299">
        <f ca="1"/>
        <v>-1.1983901233986556</v>
      </c>
      <c r="L299">
        <f ca="1"/>
        <v>3.1322431721547019</v>
      </c>
      <c r="M299">
        <f ca="1"/>
        <v>4.1348295847491556E-2</v>
      </c>
      <c r="N299">
        <f ca="1"/>
        <v>0.62048595533235495</v>
      </c>
      <c r="O299">
        <f ca="1"/>
        <v>0</v>
      </c>
      <c r="P299">
        <f ca="1"/>
        <v>125.8493878528041</v>
      </c>
      <c r="Q299">
        <f ca="1"/>
        <v>116.45154395470509</v>
      </c>
      <c r="R299">
        <f ca="1"/>
        <v>0</v>
      </c>
      <c r="S299">
        <f ca="1"/>
        <v>0.31588475558807255</v>
      </c>
      <c r="T299">
        <f ca="1"/>
        <v>0</v>
      </c>
      <c r="U299">
        <f ca="1"/>
        <v>0</v>
      </c>
      <c r="V299">
        <f ca="1"/>
        <v>0.99973218686376342</v>
      </c>
      <c r="X299" s="2">
        <f t="shared" ca="1" si="29"/>
        <v>45686</v>
      </c>
      <c r="Y299">
        <f t="shared" ca="1" si="30"/>
        <v>0</v>
      </c>
      <c r="AA299" s="63">
        <f t="shared" ca="1" si="32"/>
        <v>1.9338530487560464</v>
      </c>
      <c r="AB299" s="63">
        <f t="shared" ca="1" si="33"/>
        <v>1.9338530487560464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45687</v>
      </c>
      <c r="K300">
        <f ca="1"/>
        <v>-3.6660822472457864</v>
      </c>
      <c r="L300">
        <f ca="1"/>
        <v>3.1258125748889398</v>
      </c>
      <c r="M300">
        <f ca="1"/>
        <v>3.9863869726787016E-2</v>
      </c>
      <c r="N300">
        <f ca="1"/>
        <v>0.61825658131502192</v>
      </c>
      <c r="O300">
        <f ca="1"/>
        <v>0</v>
      </c>
      <c r="P300">
        <f ca="1"/>
        <v>128.97520042769304</v>
      </c>
      <c r="Q300">
        <f ca="1"/>
        <v>119.34393546068998</v>
      </c>
      <c r="R300">
        <f ca="1"/>
        <v>0</v>
      </c>
      <c r="S300">
        <f ca="1"/>
        <v>0.30530637446308079</v>
      </c>
      <c r="T300">
        <f ca="1"/>
        <v>0</v>
      </c>
      <c r="U300">
        <f ca="1"/>
        <v>0</v>
      </c>
      <c r="V300">
        <f ca="1"/>
        <v>0.99976849566341808</v>
      </c>
      <c r="X300" s="2">
        <f t="shared" ca="1" si="29"/>
        <v>45687</v>
      </c>
      <c r="Y300">
        <f t="shared" ca="1" si="30"/>
        <v>0</v>
      </c>
      <c r="AA300" s="63">
        <f t="shared" ca="1" si="32"/>
        <v>-0.54026967235684664</v>
      </c>
      <c r="AB300" s="63">
        <f t="shared" ca="1" si="33"/>
        <v>-0.54026967235684653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45688</v>
      </c>
      <c r="K301">
        <f ca="1"/>
        <v>-6.0872782868019835</v>
      </c>
      <c r="L301">
        <f ca="1"/>
        <v>3.0380804624200834</v>
      </c>
      <c r="M301">
        <f ca="1"/>
        <v>3.4701576318710181E-2</v>
      </c>
      <c r="N301">
        <f ca="1"/>
        <v>0.58218284654517638</v>
      </c>
      <c r="O301">
        <f ca="1"/>
        <v>0</v>
      </c>
      <c r="P301">
        <f ca="1"/>
        <v>132.01328089011312</v>
      </c>
      <c r="Q301">
        <f ca="1"/>
        <v>122.15514627818909</v>
      </c>
      <c r="R301">
        <f ca="1"/>
        <v>0</v>
      </c>
      <c r="S301">
        <f ca="1"/>
        <v>0.27506212953196979</v>
      </c>
      <c r="T301">
        <f ca="1"/>
        <v>0</v>
      </c>
      <c r="U301">
        <f ca="1"/>
        <v>0</v>
      </c>
      <c r="V301">
        <f ca="1"/>
        <v>0.99979934703731044</v>
      </c>
      <c r="X301" s="2">
        <f t="shared" ca="1" si="29"/>
        <v>45688</v>
      </c>
      <c r="Y301">
        <f t="shared" ca="1" si="30"/>
        <v>0</v>
      </c>
      <c r="AA301" s="63">
        <f t="shared" ca="1" si="32"/>
        <v>-3.0491978243819</v>
      </c>
      <c r="AB301" s="63">
        <f t="shared" ca="1" si="33"/>
        <v>-3.0491978243819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45689</v>
      </c>
      <c r="K302">
        <f ca="1"/>
        <v>-8.436156311823888</v>
      </c>
      <c r="L302">
        <f ca="1"/>
        <v>3.003516912230765</v>
      </c>
      <c r="M302">
        <f ca="1"/>
        <v>4.0193368472550617E-2</v>
      </c>
      <c r="N302">
        <f ca="1"/>
        <v>0.61444551873630937</v>
      </c>
      <c r="O302">
        <f ca="1"/>
        <v>0</v>
      </c>
      <c r="P302">
        <f ca="1"/>
        <v>135.01679780234389</v>
      </c>
      <c r="Q302">
        <f ca="1"/>
        <v>124.93437458983121</v>
      </c>
      <c r="R302">
        <f ca="1"/>
        <v>0</v>
      </c>
      <c r="S302">
        <f ca="1"/>
        <v>0.32190142709306757</v>
      </c>
      <c r="T302">
        <f ca="1"/>
        <v>0</v>
      </c>
      <c r="U302">
        <f ca="1"/>
        <v>0</v>
      </c>
      <c r="V302">
        <f ca="1"/>
        <v>0.99982608772491566</v>
      </c>
      <c r="X302" s="2">
        <f t="shared" ca="1" si="29"/>
        <v>45689</v>
      </c>
      <c r="Y302">
        <f t="shared" ca="1" si="30"/>
        <v>0</v>
      </c>
      <c r="AA302" s="63">
        <f t="shared" ca="1" si="32"/>
        <v>-5.432639399593123</v>
      </c>
      <c r="AB302" s="63">
        <f t="shared" ca="1" si="33"/>
        <v>-5.432639399593123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45690</v>
      </c>
      <c r="K303">
        <f ca="1"/>
        <v>-10.691858163209636</v>
      </c>
      <c r="L303">
        <f ca="1"/>
        <v>2.9395488291258118</v>
      </c>
      <c r="M303">
        <f ca="1"/>
        <v>4.4494757552001829E-2</v>
      </c>
      <c r="N303">
        <f ca="1"/>
        <v>0.63935222018806181</v>
      </c>
      <c r="O303">
        <f ca="1"/>
        <v>0</v>
      </c>
      <c r="P303">
        <f ca="1"/>
        <v>137.9563466314697</v>
      </c>
      <c r="Q303">
        <f ca="1"/>
        <v>127.65441165574309</v>
      </c>
      <c r="R303">
        <f ca="1"/>
        <v>0</v>
      </c>
      <c r="S303">
        <f ca="1"/>
        <v>0.36463644788750937</v>
      </c>
      <c r="T303">
        <f ca="1"/>
        <v>0</v>
      </c>
      <c r="U303">
        <f ca="1"/>
        <v>0</v>
      </c>
      <c r="V303">
        <f ca="1"/>
        <v>0.99984908087870827</v>
      </c>
      <c r="X303" s="2">
        <f t="shared" ca="1" si="29"/>
        <v>45690</v>
      </c>
      <c r="Y303">
        <f t="shared" ca="1" si="30"/>
        <v>0</v>
      </c>
      <c r="AA303" s="63">
        <f t="shared" ca="1" si="32"/>
        <v>-7.7523093340838241</v>
      </c>
      <c r="AB303" s="63">
        <f t="shared" ca="1" si="33"/>
        <v>-7.7523093340838241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45691</v>
      </c>
      <c r="K304">
        <f ca="1"/>
        <v>-12.961821512935742</v>
      </c>
      <c r="L304">
        <f ca="1"/>
        <v>2.9408694923579333</v>
      </c>
      <c r="M304">
        <f ca="1"/>
        <v>4.1186895494448095E-2</v>
      </c>
      <c r="N304">
        <f ca="1"/>
        <v>0.62971924713737826</v>
      </c>
      <c r="O304">
        <f ca="1"/>
        <v>0</v>
      </c>
      <c r="P304">
        <f ca="1"/>
        <v>140.89721612382763</v>
      </c>
      <c r="Q304">
        <f ca="1"/>
        <v>130.3756707639314</v>
      </c>
      <c r="R304">
        <f ca="1"/>
        <v>0</v>
      </c>
      <c r="S304">
        <f ca="1"/>
        <v>0.33512618942535288</v>
      </c>
      <c r="T304">
        <f ca="1"/>
        <v>0</v>
      </c>
      <c r="U304">
        <f ca="1"/>
        <v>0</v>
      </c>
      <c r="V304">
        <f ca="1"/>
        <v>0.99986931436539916</v>
      </c>
      <c r="X304" s="2">
        <f t="shared" ca="1" si="29"/>
        <v>45691</v>
      </c>
      <c r="Y304">
        <f t="shared" ca="1" si="30"/>
        <v>0</v>
      </c>
      <c r="AA304" s="63">
        <f t="shared" ca="1" si="32"/>
        <v>-10.020952020577809</v>
      </c>
      <c r="AB304" s="63">
        <f t="shared" ca="1" si="33"/>
        <v>-10.020952020577809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45692</v>
      </c>
      <c r="K305">
        <f ca="1"/>
        <v>-15.111973518414043</v>
      </c>
      <c r="L305">
        <f ca="1"/>
        <v>2.8327903034798112</v>
      </c>
      <c r="M305">
        <f ca="1"/>
        <v>4.3822691635398314E-2</v>
      </c>
      <c r="N305">
        <f ca="1"/>
        <v>0.63881560636611256</v>
      </c>
      <c r="O305">
        <f ca="1"/>
        <v>0</v>
      </c>
      <c r="P305">
        <f ca="1"/>
        <v>143.73000642730744</v>
      </c>
      <c r="Q305">
        <f ca="1"/>
        <v>132.99692153176176</v>
      </c>
      <c r="R305">
        <f ca="1"/>
        <v>0</v>
      </c>
      <c r="S305">
        <f ca="1"/>
        <v>0.37117685277151174</v>
      </c>
      <c r="T305">
        <f ca="1"/>
        <v>0</v>
      </c>
      <c r="U305">
        <f ca="1"/>
        <v>0</v>
      </c>
      <c r="V305">
        <f ca="1"/>
        <v>0.99988648909018985</v>
      </c>
      <c r="X305" s="2">
        <f t="shared" ca="1" si="29"/>
        <v>45692</v>
      </c>
      <c r="Y305">
        <f t="shared" ca="1" si="30"/>
        <v>0</v>
      </c>
      <c r="AA305" s="63">
        <f t="shared" ca="1" si="32"/>
        <v>-12.279183214934232</v>
      </c>
      <c r="AB305" s="63">
        <f t="shared" ca="1" si="33"/>
        <v>-12.279183214934232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45693</v>
      </c>
      <c r="K306">
        <f ca="1"/>
        <v>-17.175104210814141</v>
      </c>
      <c r="L306">
        <f ca="1"/>
        <v>2.7154390865673861</v>
      </c>
      <c r="M306">
        <f ca="1"/>
        <v>4.1028879431109999E-2</v>
      </c>
      <c r="N306">
        <f ca="1"/>
        <v>0.61127951473617959</v>
      </c>
      <c r="O306">
        <f ca="1"/>
        <v>0</v>
      </c>
      <c r="P306">
        <f ca="1"/>
        <v>146.44544551387483</v>
      </c>
      <c r="Q306">
        <f ca="1"/>
        <v>135.50958432290366</v>
      </c>
      <c r="R306">
        <f ca="1"/>
        <v>0</v>
      </c>
      <c r="S306">
        <f ca="1"/>
        <v>0.36333251263690935</v>
      </c>
      <c r="T306">
        <f ca="1"/>
        <v>0</v>
      </c>
      <c r="U306">
        <f ca="1"/>
        <v>0</v>
      </c>
      <c r="V306">
        <f ca="1"/>
        <v>0.99990105978473787</v>
      </c>
      <c r="X306" s="2">
        <f t="shared" ca="1" si="29"/>
        <v>45693</v>
      </c>
      <c r="Y306">
        <f t="shared" ca="1" si="30"/>
        <v>0</v>
      </c>
      <c r="AA306" s="63">
        <f t="shared" ca="1" si="32"/>
        <v>-14.459665124246754</v>
      </c>
      <c r="AB306" s="63">
        <f t="shared" ca="1" si="33"/>
        <v>-14.459665124246754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45694</v>
      </c>
      <c r="K307">
        <f ca="1"/>
        <v>-19.157785816604097</v>
      </c>
      <c r="L307">
        <f ca="1"/>
        <v>2.5783058035710837</v>
      </c>
      <c r="M307">
        <f ca="1"/>
        <v>3.5247101672624126E-2</v>
      </c>
      <c r="N307">
        <f ca="1"/>
        <v>0.56037709610850162</v>
      </c>
      <c r="O307">
        <f ca="1"/>
        <v>0</v>
      </c>
      <c r="P307">
        <f ca="1"/>
        <v>149.02375131744591</v>
      </c>
      <c r="Q307">
        <f ca="1"/>
        <v>137.89535430348081</v>
      </c>
      <c r="R307">
        <f ca="1"/>
        <v>0</v>
      </c>
      <c r="S307">
        <f ca="1"/>
        <v>0.32917150016943603</v>
      </c>
      <c r="T307">
        <f ca="1"/>
        <v>0</v>
      </c>
      <c r="U307">
        <f ca="1"/>
        <v>0</v>
      </c>
      <c r="V307">
        <f ca="1"/>
        <v>0.99991336400625319</v>
      </c>
      <c r="X307" s="2">
        <f t="shared" ca="1" si="29"/>
        <v>45694</v>
      </c>
      <c r="Y307">
        <f t="shared" ca="1" si="30"/>
        <v>0</v>
      </c>
      <c r="AA307" s="63">
        <f t="shared" ca="1" si="32"/>
        <v>-16.579480013033013</v>
      </c>
      <c r="AB307" s="63">
        <f t="shared" ca="1" si="33"/>
        <v>-16.579480013033013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45695</v>
      </c>
      <c r="K308">
        <f ca="1"/>
        <v>-21.050782912903632</v>
      </c>
      <c r="L308">
        <f ca="1"/>
        <v>2.4811720705395999</v>
      </c>
      <c r="M308">
        <f ca="1"/>
        <v>3.5176597414356081E-2</v>
      </c>
      <c r="N308">
        <f ca="1"/>
        <v>0.55299837682570996</v>
      </c>
      <c r="O308">
        <f ca="1"/>
        <v>0</v>
      </c>
      <c r="P308">
        <f ca="1"/>
        <v>151.50492338798551</v>
      </c>
      <c r="Q308">
        <f ca="1"/>
        <v>140.19124404407751</v>
      </c>
      <c r="R308">
        <f ca="1"/>
        <v>0</v>
      </c>
      <c r="S308">
        <f ca="1"/>
        <v>0.34002105824461237</v>
      </c>
      <c r="T308">
        <f ca="1"/>
        <v>0</v>
      </c>
      <c r="U308">
        <f ca="1"/>
        <v>0</v>
      </c>
      <c r="V308">
        <f ca="1"/>
        <v>0.99992394084511738</v>
      </c>
      <c r="X308" s="2">
        <f t="shared" ca="1" si="29"/>
        <v>45695</v>
      </c>
      <c r="Y308">
        <f t="shared" ca="1" si="30"/>
        <v>0</v>
      </c>
      <c r="AA308" s="63">
        <f t="shared" ca="1" si="32"/>
        <v>-18.569610842364032</v>
      </c>
      <c r="AB308" s="63">
        <f t="shared" ca="1" si="33"/>
        <v>-18.569610842364032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45696</v>
      </c>
      <c r="K309">
        <f ca="1"/>
        <v>-22.93384077426634</v>
      </c>
      <c r="L309">
        <f ca="1"/>
        <v>2.4950766120144863</v>
      </c>
      <c r="M309">
        <f ca="1"/>
        <v>3.6401822438563158E-2</v>
      </c>
      <c r="N309">
        <f ca="1"/>
        <v>0.5756169282132142</v>
      </c>
      <c r="O309">
        <f ca="1"/>
        <v>0</v>
      </c>
      <c r="P309">
        <f ca="1"/>
        <v>154</v>
      </c>
      <c r="Q309">
        <f ca="1"/>
        <v>142.50000000000003</v>
      </c>
      <c r="R309">
        <f ca="1"/>
        <v>0</v>
      </c>
      <c r="S309">
        <f ca="1"/>
        <v>0.34514814101282892</v>
      </c>
      <c r="T309">
        <f ca="1"/>
        <v>0</v>
      </c>
      <c r="U309">
        <f ca="1"/>
        <v>0</v>
      </c>
      <c r="V309">
        <f ca="1"/>
        <v>0.99993345063478134</v>
      </c>
      <c r="X309" s="2">
        <f t="shared" ca="1" si="29"/>
        <v>45696</v>
      </c>
      <c r="Y309">
        <f t="shared" ca="1" si="30"/>
        <v>0</v>
      </c>
      <c r="AA309" s="63">
        <f t="shared" ca="1" si="32"/>
        <v>-20.438764162251854</v>
      </c>
      <c r="AB309" s="63">
        <f t="shared" ca="1" si="33"/>
        <v>-20.438764162251854</v>
      </c>
      <c r="AC309" s="3">
        <f t="shared" ca="1" si="34"/>
        <v>0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ref="I327:I390" ca="1" si="35">AND(IF(J327&gt;($J$3-1),TRUE,FALSE),IF(J327&lt;($J$4+1),TRUE,FALSE))</f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ref="X327:X390" ca="1" si="36">IFERROR(J327,$X$5)</f>
        <v>0</v>
      </c>
      <c r="Y327">
        <f t="shared" ref="Y327:Y390" ca="1" si="37">IFERROR(O327,0)</f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ref="H328:H391" ca="1" si="38">IF(J328&lt;$J$4,TRUE,FALSE)</f>
        <v>#N/A</v>
      </c>
      <c r="I328" t="e">
        <f t="shared" ca="1" si="35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36"/>
        <v>0</v>
      </c>
      <c r="Y328">
        <f t="shared" ca="1" si="37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8"/>
        <v>#N/A</v>
      </c>
      <c r="I329" t="e">
        <f t="shared" ca="1" si="35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36"/>
        <v>0</v>
      </c>
      <c r="Y329">
        <f t="shared" ca="1" si="37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8"/>
        <v>#N/A</v>
      </c>
      <c r="I330" t="e">
        <f t="shared" ca="1" si="35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36"/>
        <v>0</v>
      </c>
      <c r="Y330">
        <f t="shared" ca="1" si="37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8"/>
        <v>#N/A</v>
      </c>
      <c r="I331" t="e">
        <f t="shared" ca="1" si="35"/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ca="1" si="36"/>
        <v>0</v>
      </c>
      <c r="Y331">
        <f t="shared" ca="1" si="37"/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ca="1" si="38"/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ref="AA332:AA395" ca="1" si="39">K331+M332+N332+O332</f>
        <v>#N/A</v>
      </c>
      <c r="AB332" s="63" t="e">
        <f t="shared" ref="AB332:AB395" ca="1" si="40">K332+L332+R332</f>
        <v>#N/A</v>
      </c>
      <c r="AC332" s="3" t="e">
        <f t="shared" ref="AC332:AC395" ca="1" si="41">AB332-AA332</f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9"/>
        <v>#N/A</v>
      </c>
      <c r="AB333" s="63" t="e">
        <f t="shared" ca="1" si="40"/>
        <v>#N/A</v>
      </c>
      <c r="AC333" s="3" t="e">
        <f t="shared" ca="1" si="41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9"/>
        <v>#N/A</v>
      </c>
      <c r="AB334" s="63" t="e">
        <f t="shared" ca="1" si="40"/>
        <v>#N/A</v>
      </c>
      <c r="AC334" s="3" t="e">
        <f t="shared" ca="1" si="41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9"/>
        <v>#N/A</v>
      </c>
      <c r="AB335" s="63" t="e">
        <f t="shared" ca="1" si="40"/>
        <v>#N/A</v>
      </c>
      <c r="AC335" s="3" t="e">
        <f t="shared" ca="1" si="41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ca="1" si="39"/>
        <v>#N/A</v>
      </c>
      <c r="AB336" s="63" t="e">
        <f t="shared" ca="1" si="40"/>
        <v>#N/A</v>
      </c>
      <c r="AC336" s="3" t="e">
        <f t="shared" ca="1" si="41"/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ref="I391:I454" ca="1" si="42">AND(IF(J391&gt;($J$3-1),TRUE,FALSE),IF(J391&lt;($J$4+1),TRUE,FALSE))</f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ref="X391:X454" ca="1" si="43">IFERROR(J391,$X$5)</f>
        <v>0</v>
      </c>
      <c r="Y391">
        <f t="shared" ref="Y391:Y454" ca="1" si="44">IFERROR(O391,0)</f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ref="H392:H455" ca="1" si="45">IF(J392&lt;$J$4,TRUE,FALSE)</f>
        <v>#N/A</v>
      </c>
      <c r="I392" t="e">
        <f t="shared" ca="1" si="42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43"/>
        <v>0</v>
      </c>
      <c r="Y392">
        <f t="shared" ca="1" si="44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45"/>
        <v>#N/A</v>
      </c>
      <c r="I393" t="e">
        <f t="shared" ca="1" si="42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43"/>
        <v>0</v>
      </c>
      <c r="Y393">
        <f t="shared" ca="1" si="44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45"/>
        <v>#N/A</v>
      </c>
      <c r="I394" t="e">
        <f t="shared" ca="1" si="42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43"/>
        <v>0</v>
      </c>
      <c r="Y394">
        <f t="shared" ca="1" si="44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45"/>
        <v>#N/A</v>
      </c>
      <c r="I395" t="e">
        <f t="shared" ca="1" si="42"/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ca="1" si="43"/>
        <v>0</v>
      </c>
      <c r="Y395">
        <f t="shared" ca="1" si="44"/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ca="1" si="45"/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ref="AA396:AA459" ca="1" si="46">K395+M396+N396+O396</f>
        <v>#N/A</v>
      </c>
      <c r="AB396" s="63" t="e">
        <f t="shared" ref="AB396:AB459" ca="1" si="47">K396+L396+R396</f>
        <v>#N/A</v>
      </c>
      <c r="AC396" s="3" t="e">
        <f t="shared" ref="AC396:AC459" ca="1" si="48">AB396-AA396</f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46"/>
        <v>#N/A</v>
      </c>
      <c r="AB397" s="63" t="e">
        <f t="shared" ca="1" si="47"/>
        <v>#N/A</v>
      </c>
      <c r="AC397" s="3" t="e">
        <f t="shared" ca="1" si="48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46"/>
        <v>#N/A</v>
      </c>
      <c r="AB398" s="63" t="e">
        <f t="shared" ca="1" si="47"/>
        <v>#N/A</v>
      </c>
      <c r="AC398" s="3" t="e">
        <f t="shared" ca="1" si="48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46"/>
        <v>#N/A</v>
      </c>
      <c r="AB399" s="63" t="e">
        <f t="shared" ca="1" si="47"/>
        <v>#N/A</v>
      </c>
      <c r="AC399" s="3" t="e">
        <f t="shared" ca="1" si="48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ca="1" si="46"/>
        <v>#N/A</v>
      </c>
      <c r="AB400" s="63" t="e">
        <f t="shared" ca="1" si="47"/>
        <v>#N/A</v>
      </c>
      <c r="AC400" s="3" t="e">
        <f t="shared" ca="1" si="48"/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ref="I455:I496" ca="1" si="49">AND(IF(J455&gt;($J$3-1),TRUE,FALSE),IF(J455&lt;($J$4+1),TRUE,FALSE))</f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ref="X455:X496" ca="1" si="50">IFERROR(J455,$X$5)</f>
        <v>0</v>
      </c>
      <c r="Y455">
        <f t="shared" ref="Y455:Y496" ca="1" si="51">IFERROR(O455,0)</f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ref="H456:H496" ca="1" si="52">IF(J456&lt;$J$4,TRUE,FALSE)</f>
        <v>#N/A</v>
      </c>
      <c r="I456" t="e">
        <f t="shared" ca="1" si="49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50"/>
        <v>0</v>
      </c>
      <c r="Y456">
        <f t="shared" ca="1" si="51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52"/>
        <v>#N/A</v>
      </c>
      <c r="I457" t="e">
        <f t="shared" ca="1" si="49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50"/>
        <v>0</v>
      </c>
      <c r="Y457">
        <f t="shared" ca="1" si="51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52"/>
        <v>#N/A</v>
      </c>
      <c r="I458" t="e">
        <f t="shared" ca="1" si="49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50"/>
        <v>0</v>
      </c>
      <c r="Y458">
        <f t="shared" ca="1" si="51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52"/>
        <v>#N/A</v>
      </c>
      <c r="I459" t="e">
        <f t="shared" ca="1" si="49"/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ca="1" si="50"/>
        <v>0</v>
      </c>
      <c r="Y459">
        <f t="shared" ca="1" si="51"/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ca="1" si="52"/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ref="AA460:AA496" ca="1" si="53">K459+M460+N460+O460</f>
        <v>#N/A</v>
      </c>
      <c r="AB460" s="63" t="e">
        <f t="shared" ref="AB460:AB496" ca="1" si="54">K460+L460+R460</f>
        <v>#N/A</v>
      </c>
      <c r="AC460" s="3" t="e">
        <f t="shared" ref="AC460:AC496" ca="1" si="55">AB460-AA460</f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53"/>
        <v>#N/A</v>
      </c>
      <c r="AB461" s="63" t="e">
        <f t="shared" ca="1" si="54"/>
        <v>#N/A</v>
      </c>
      <c r="AC461" s="3" t="e">
        <f t="shared" ca="1" si="55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53"/>
        <v>#N/A</v>
      </c>
      <c r="AB462" s="63" t="e">
        <f t="shared" ca="1" si="54"/>
        <v>#N/A</v>
      </c>
      <c r="AC462" s="3" t="e">
        <f t="shared" ca="1" si="55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53"/>
        <v>#N/A</v>
      </c>
      <c r="AB463" s="63" t="e">
        <f t="shared" ca="1" si="54"/>
        <v>#N/A</v>
      </c>
      <c r="AC463" s="3" t="e">
        <f t="shared" ca="1" si="55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ca="1" si="53"/>
        <v>#N/A</v>
      </c>
      <c r="AB464" s="63" t="e">
        <f t="shared" ca="1" si="54"/>
        <v>#N/A</v>
      </c>
      <c r="AC464" s="3" t="e">
        <f t="shared" ca="1" si="55"/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ref="H497:H560" ca="1" si="56">IF(J497&lt;$J$4,TRUE,FALSE)</f>
        <v>#N/A</v>
      </c>
      <c r="I497" t="e">
        <f t="shared" ref="I497:I560" ca="1" si="57">AND(IF(J497&gt;($J$3-1),TRUE,FALSE),IF(J497&lt;($J$4+1),TRUE,FALSE))</f>
        <v>#N/A</v>
      </c>
      <c r="J497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ref="X497:X560" ca="1" si="58">IFERROR(J497,$X$5)</f>
        <v>0</v>
      </c>
      <c r="Y497">
        <f t="shared" ref="Y497:Y560" ca="1" si="59">IFERROR(O497,0)</f>
        <v>0</v>
      </c>
      <c r="AA497" s="63" t="e">
        <f t="shared" ref="AA497:AA560" ca="1" si="60">K496+M497+N497+O497</f>
        <v>#N/A</v>
      </c>
      <c r="AB497" s="63" t="e">
        <f t="shared" ref="AB497:AB560" ca="1" si="61">K497+L497+R497</f>
        <v>#N/A</v>
      </c>
      <c r="AC497" s="3" t="e">
        <f t="shared" ref="AC497:AC560" ca="1" si="62">AB497-AA497</f>
        <v>#N/A</v>
      </c>
    </row>
    <row r="498" spans="8:29">
      <c r="H498" t="e">
        <f t="shared" ca="1" si="56"/>
        <v>#N/A</v>
      </c>
      <c r="I498" t="e">
        <f t="shared" ca="1" si="57"/>
        <v>#N/A</v>
      </c>
      <c r="J498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8"/>
        <v>0</v>
      </c>
      <c r="Y498">
        <f t="shared" ca="1" si="59"/>
        <v>0</v>
      </c>
      <c r="AA498" s="63" t="e">
        <f t="shared" ca="1" si="60"/>
        <v>#N/A</v>
      </c>
      <c r="AB498" s="63" t="e">
        <f t="shared" ca="1" si="61"/>
        <v>#N/A</v>
      </c>
      <c r="AC498" s="3" t="e">
        <f t="shared" ca="1" si="62"/>
        <v>#N/A</v>
      </c>
    </row>
    <row r="499" spans="8:29">
      <c r="H499" t="e">
        <f t="shared" ca="1" si="56"/>
        <v>#N/A</v>
      </c>
      <c r="I499" t="e">
        <f t="shared" ca="1" si="57"/>
        <v>#N/A</v>
      </c>
      <c r="J499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8"/>
        <v>0</v>
      </c>
      <c r="Y499">
        <f t="shared" ca="1" si="59"/>
        <v>0</v>
      </c>
      <c r="AA499" s="63" t="e">
        <f t="shared" ca="1" si="60"/>
        <v>#N/A</v>
      </c>
      <c r="AB499" s="63" t="e">
        <f t="shared" ca="1" si="61"/>
        <v>#N/A</v>
      </c>
      <c r="AC499" s="3" t="e">
        <f t="shared" ca="1" si="62"/>
        <v>#N/A</v>
      </c>
    </row>
    <row r="500" spans="8:29">
      <c r="H500" t="e">
        <f t="shared" ca="1" si="56"/>
        <v>#N/A</v>
      </c>
      <c r="I500" t="e">
        <f t="shared" ca="1" si="57"/>
        <v>#N/A</v>
      </c>
      <c r="J500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8"/>
        <v>0</v>
      </c>
      <c r="Y500">
        <f t="shared" ca="1" si="59"/>
        <v>0</v>
      </c>
      <c r="AA500" s="63" t="e">
        <f t="shared" ca="1" si="60"/>
        <v>#N/A</v>
      </c>
      <c r="AB500" s="63" t="e">
        <f t="shared" ca="1" si="61"/>
        <v>#N/A</v>
      </c>
      <c r="AC500" s="3" t="e">
        <f t="shared" ca="1" si="62"/>
        <v>#N/A</v>
      </c>
    </row>
    <row r="501" spans="8:29">
      <c r="H501" t="e">
        <f t="shared" ca="1" si="56"/>
        <v>#N/A</v>
      </c>
      <c r="I501" t="e">
        <f t="shared" ca="1" si="57"/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ca="1" si="58"/>
        <v>0</v>
      </c>
      <c r="Y501">
        <f t="shared" ca="1" si="59"/>
        <v>0</v>
      </c>
      <c r="AA501" s="63" t="e">
        <f t="shared" ca="1" si="60"/>
        <v>#N/A</v>
      </c>
      <c r="AB501" s="63" t="e">
        <f t="shared" ca="1" si="61"/>
        <v>#N/A</v>
      </c>
      <c r="AC501" s="3" t="e">
        <f t="shared" ca="1" si="62"/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ref="H561:H624" ca="1" si="63">IF(J561&lt;$J$4,TRUE,FALSE)</f>
        <v>#N/A</v>
      </c>
      <c r="I561" t="e">
        <f t="shared" ref="I561:I624" ca="1" si="64">AND(IF(J561&gt;($J$3-1),TRUE,FALSE),IF(J561&lt;($J$4+1),TRUE,FALSE))</f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ref="X561:X624" ca="1" si="65">IFERROR(J561,$X$5)</f>
        <v>0</v>
      </c>
      <c r="Y561">
        <f t="shared" ref="Y561:Y624" ca="1" si="66">IFERROR(O561,0)</f>
        <v>0</v>
      </c>
      <c r="AA561" s="63" t="e">
        <f t="shared" ref="AA561:AA624" ca="1" si="67">K560+M561+N561+O561</f>
        <v>#N/A</v>
      </c>
      <c r="AB561" s="63" t="e">
        <f t="shared" ref="AB561:AB624" ca="1" si="68">K561+L561+R561</f>
        <v>#N/A</v>
      </c>
      <c r="AC561" s="3" t="e">
        <f t="shared" ref="AC561:AC624" ca="1" si="69">AB561-AA561</f>
        <v>#N/A</v>
      </c>
    </row>
    <row r="562" spans="8:29">
      <c r="H562" t="e">
        <f t="shared" ca="1" si="63"/>
        <v>#N/A</v>
      </c>
      <c r="I562" t="e">
        <f t="shared" ca="1" si="64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65"/>
        <v>0</v>
      </c>
      <c r="Y562">
        <f t="shared" ca="1" si="66"/>
        <v>0</v>
      </c>
      <c r="AA562" s="63" t="e">
        <f t="shared" ca="1" si="67"/>
        <v>#N/A</v>
      </c>
      <c r="AB562" s="63" t="e">
        <f t="shared" ca="1" si="68"/>
        <v>#N/A</v>
      </c>
      <c r="AC562" s="3" t="e">
        <f t="shared" ca="1" si="69"/>
        <v>#N/A</v>
      </c>
    </row>
    <row r="563" spans="8:29">
      <c r="H563" t="e">
        <f t="shared" ca="1" si="63"/>
        <v>#N/A</v>
      </c>
      <c r="I563" t="e">
        <f t="shared" ca="1" si="64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65"/>
        <v>0</v>
      </c>
      <c r="Y563">
        <f t="shared" ca="1" si="66"/>
        <v>0</v>
      </c>
      <c r="AA563" s="63" t="e">
        <f t="shared" ca="1" si="67"/>
        <v>#N/A</v>
      </c>
      <c r="AB563" s="63" t="e">
        <f t="shared" ca="1" si="68"/>
        <v>#N/A</v>
      </c>
      <c r="AC563" s="3" t="e">
        <f t="shared" ca="1" si="69"/>
        <v>#N/A</v>
      </c>
    </row>
    <row r="564" spans="8:29">
      <c r="H564" t="e">
        <f t="shared" ca="1" si="63"/>
        <v>#N/A</v>
      </c>
      <c r="I564" t="e">
        <f t="shared" ca="1" si="64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65"/>
        <v>0</v>
      </c>
      <c r="Y564">
        <f t="shared" ca="1" si="66"/>
        <v>0</v>
      </c>
      <c r="AA564" s="63" t="e">
        <f t="shared" ca="1" si="67"/>
        <v>#N/A</v>
      </c>
      <c r="AB564" s="63" t="e">
        <f t="shared" ca="1" si="68"/>
        <v>#N/A</v>
      </c>
      <c r="AC564" s="3" t="e">
        <f t="shared" ca="1" si="69"/>
        <v>#N/A</v>
      </c>
    </row>
    <row r="565" spans="8:29">
      <c r="H565" t="e">
        <f t="shared" ca="1" si="63"/>
        <v>#N/A</v>
      </c>
      <c r="I565" t="e">
        <f t="shared" ca="1" si="64"/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ca="1" si="65"/>
        <v>0</v>
      </c>
      <c r="Y565">
        <f t="shared" ca="1" si="66"/>
        <v>0</v>
      </c>
      <c r="AA565" s="63" t="e">
        <f t="shared" ca="1" si="67"/>
        <v>#N/A</v>
      </c>
      <c r="AB565" s="63" t="e">
        <f t="shared" ca="1" si="68"/>
        <v>#N/A</v>
      </c>
      <c r="AC565" s="3" t="e">
        <f t="shared" ca="1" si="69"/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ref="H625:H688" ca="1" si="70">IF(J625&lt;$J$4,TRUE,FALSE)</f>
        <v>#N/A</v>
      </c>
      <c r="I625" t="e">
        <f t="shared" ref="I625:I688" ca="1" si="71">AND(IF(J625&gt;($J$3-1),TRUE,FALSE),IF(J625&lt;($J$4+1),TRUE,FALSE))</f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ref="X625:X688" ca="1" si="72">IFERROR(J625,$X$5)</f>
        <v>0</v>
      </c>
      <c r="Y625">
        <f t="shared" ref="Y625:Y688" ca="1" si="73">IFERROR(O625,0)</f>
        <v>0</v>
      </c>
      <c r="AA625" s="63" t="e">
        <f t="shared" ref="AA625:AA688" ca="1" si="74">K624+M625+N625+O625</f>
        <v>#N/A</v>
      </c>
      <c r="AB625" s="63" t="e">
        <f t="shared" ref="AB625:AB688" ca="1" si="75">K625+L625+R625</f>
        <v>#N/A</v>
      </c>
      <c r="AC625" s="3" t="e">
        <f t="shared" ref="AC625:AC688" ca="1" si="76">AB625-AA625</f>
        <v>#N/A</v>
      </c>
    </row>
    <row r="626" spans="8:29">
      <c r="H626" t="e">
        <f t="shared" ca="1" si="70"/>
        <v>#N/A</v>
      </c>
      <c r="I626" t="e">
        <f t="shared" ca="1" si="71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72"/>
        <v>0</v>
      </c>
      <c r="Y626">
        <f t="shared" ca="1" si="73"/>
        <v>0</v>
      </c>
      <c r="AA626" s="63" t="e">
        <f t="shared" ca="1" si="74"/>
        <v>#N/A</v>
      </c>
      <c r="AB626" s="63" t="e">
        <f t="shared" ca="1" si="75"/>
        <v>#N/A</v>
      </c>
      <c r="AC626" s="3" t="e">
        <f t="shared" ca="1" si="76"/>
        <v>#N/A</v>
      </c>
    </row>
    <row r="627" spans="8:29">
      <c r="H627" t="e">
        <f t="shared" ca="1" si="70"/>
        <v>#N/A</v>
      </c>
      <c r="I627" t="e">
        <f t="shared" ca="1" si="71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72"/>
        <v>0</v>
      </c>
      <c r="Y627">
        <f t="shared" ca="1" si="73"/>
        <v>0</v>
      </c>
      <c r="AA627" s="63" t="e">
        <f t="shared" ca="1" si="74"/>
        <v>#N/A</v>
      </c>
      <c r="AB627" s="63" t="e">
        <f t="shared" ca="1" si="75"/>
        <v>#N/A</v>
      </c>
      <c r="AC627" s="3" t="e">
        <f t="shared" ca="1" si="76"/>
        <v>#N/A</v>
      </c>
    </row>
    <row r="628" spans="8:29">
      <c r="H628" t="e">
        <f t="shared" ca="1" si="70"/>
        <v>#N/A</v>
      </c>
      <c r="I628" t="e">
        <f t="shared" ca="1" si="71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72"/>
        <v>0</v>
      </c>
      <c r="Y628">
        <f t="shared" ca="1" si="73"/>
        <v>0</v>
      </c>
      <c r="AA628" s="63" t="e">
        <f t="shared" ca="1" si="74"/>
        <v>#N/A</v>
      </c>
      <c r="AB628" s="63" t="e">
        <f t="shared" ca="1" si="75"/>
        <v>#N/A</v>
      </c>
      <c r="AC628" s="3" t="e">
        <f t="shared" ca="1" si="76"/>
        <v>#N/A</v>
      </c>
    </row>
    <row r="629" spans="8:29">
      <c r="H629" t="e">
        <f t="shared" ca="1" si="70"/>
        <v>#N/A</v>
      </c>
      <c r="I629" t="e">
        <f t="shared" ca="1" si="71"/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ca="1" si="72"/>
        <v>0</v>
      </c>
      <c r="Y629">
        <f t="shared" ca="1" si="73"/>
        <v>0</v>
      </c>
      <c r="AA629" s="63" t="e">
        <f t="shared" ca="1" si="74"/>
        <v>#N/A</v>
      </c>
      <c r="AB629" s="63" t="e">
        <f t="shared" ca="1" si="75"/>
        <v>#N/A</v>
      </c>
      <c r="AC629" s="3" t="e">
        <f t="shared" ca="1" si="76"/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ref="H689:H752" ca="1" si="77">IF(J689&lt;$J$4,TRUE,FALSE)</f>
        <v>#N/A</v>
      </c>
      <c r="I689" t="e">
        <f t="shared" ref="I689:I752" ca="1" si="78">AND(IF(J689&gt;($J$3-1),TRUE,FALSE),IF(J689&lt;($J$4+1),TRUE,FALSE))</f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ref="X689:X752" ca="1" si="79">IFERROR(J689,$X$5)</f>
        <v>0</v>
      </c>
      <c r="Y689">
        <f t="shared" ref="Y689:Y752" ca="1" si="80">IFERROR(O689,0)</f>
        <v>0</v>
      </c>
      <c r="AA689" s="63" t="e">
        <f t="shared" ref="AA689:AA752" ca="1" si="81">K688+M689+N689+O689</f>
        <v>#N/A</v>
      </c>
      <c r="AB689" s="63" t="e">
        <f t="shared" ref="AB689:AB752" ca="1" si="82">K689+L689+R689</f>
        <v>#N/A</v>
      </c>
      <c r="AC689" s="3" t="e">
        <f t="shared" ref="AC689:AC752" ca="1" si="83">AB689-AA689</f>
        <v>#N/A</v>
      </c>
    </row>
    <row r="690" spans="8:29">
      <c r="H690" t="e">
        <f t="shared" ca="1" si="77"/>
        <v>#N/A</v>
      </c>
      <c r="I690" t="e">
        <f t="shared" ca="1" si="78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9"/>
        <v>0</v>
      </c>
      <c r="Y690">
        <f t="shared" ca="1" si="80"/>
        <v>0</v>
      </c>
      <c r="AA690" s="63" t="e">
        <f t="shared" ca="1" si="81"/>
        <v>#N/A</v>
      </c>
      <c r="AB690" s="63" t="e">
        <f t="shared" ca="1" si="82"/>
        <v>#N/A</v>
      </c>
      <c r="AC690" s="3" t="e">
        <f t="shared" ca="1" si="83"/>
        <v>#N/A</v>
      </c>
    </row>
    <row r="691" spans="8:29">
      <c r="H691" t="e">
        <f t="shared" ca="1" si="77"/>
        <v>#N/A</v>
      </c>
      <c r="I691" t="e">
        <f t="shared" ca="1" si="78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9"/>
        <v>0</v>
      </c>
      <c r="Y691">
        <f t="shared" ca="1" si="80"/>
        <v>0</v>
      </c>
      <c r="AA691" s="63" t="e">
        <f t="shared" ca="1" si="81"/>
        <v>#N/A</v>
      </c>
      <c r="AB691" s="63" t="e">
        <f t="shared" ca="1" si="82"/>
        <v>#N/A</v>
      </c>
      <c r="AC691" s="3" t="e">
        <f t="shared" ca="1" si="83"/>
        <v>#N/A</v>
      </c>
    </row>
    <row r="692" spans="8:29">
      <c r="H692" t="e">
        <f t="shared" ca="1" si="77"/>
        <v>#N/A</v>
      </c>
      <c r="I692" t="e">
        <f t="shared" ca="1" si="78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9"/>
        <v>0</v>
      </c>
      <c r="Y692">
        <f t="shared" ca="1" si="80"/>
        <v>0</v>
      </c>
      <c r="AA692" s="63" t="e">
        <f t="shared" ca="1" si="81"/>
        <v>#N/A</v>
      </c>
      <c r="AB692" s="63" t="e">
        <f t="shared" ca="1" si="82"/>
        <v>#N/A</v>
      </c>
      <c r="AC692" s="3" t="e">
        <f t="shared" ca="1" si="83"/>
        <v>#N/A</v>
      </c>
    </row>
    <row r="693" spans="8:29">
      <c r="H693" t="e">
        <f t="shared" ca="1" si="77"/>
        <v>#N/A</v>
      </c>
      <c r="I693" t="e">
        <f t="shared" ca="1" si="78"/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ca="1" si="79"/>
        <v>0</v>
      </c>
      <c r="Y693">
        <f t="shared" ca="1" si="80"/>
        <v>0</v>
      </c>
      <c r="AA693" s="63" t="e">
        <f t="shared" ca="1" si="81"/>
        <v>#N/A</v>
      </c>
      <c r="AB693" s="63" t="e">
        <f t="shared" ca="1" si="82"/>
        <v>#N/A</v>
      </c>
      <c r="AC693" s="3" t="e">
        <f t="shared" ca="1" si="83"/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ref="H753:H816" ca="1" si="84">IF(J753&lt;$J$4,TRUE,FALSE)</f>
        <v>#N/A</v>
      </c>
      <c r="I753" t="e">
        <f t="shared" ref="I753:I816" ca="1" si="85">AND(IF(J753&gt;($J$3-1),TRUE,FALSE),IF(J753&lt;($J$4+1),TRUE,FALSE))</f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ref="X753:X816" ca="1" si="86">IFERROR(J753,$X$5)</f>
        <v>0</v>
      </c>
      <c r="Y753">
        <f t="shared" ref="Y753:Y816" ca="1" si="87">IFERROR(O753,0)</f>
        <v>0</v>
      </c>
      <c r="AA753" s="63" t="e">
        <f t="shared" ref="AA753:AA816" ca="1" si="88">K752+M753+N753+O753</f>
        <v>#N/A</v>
      </c>
      <c r="AB753" s="63" t="e">
        <f t="shared" ref="AB753:AB816" ca="1" si="89">K753+L753+R753</f>
        <v>#N/A</v>
      </c>
      <c r="AC753" s="3" t="e">
        <f t="shared" ref="AC753:AC816" ca="1" si="90">AB753-AA753</f>
        <v>#N/A</v>
      </c>
    </row>
    <row r="754" spans="8:29">
      <c r="H754" t="e">
        <f t="shared" ca="1" si="84"/>
        <v>#N/A</v>
      </c>
      <c r="I754" t="e">
        <f t="shared" ca="1" si="85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86"/>
        <v>0</v>
      </c>
      <c r="Y754">
        <f t="shared" ca="1" si="87"/>
        <v>0</v>
      </c>
      <c r="AA754" s="63" t="e">
        <f t="shared" ca="1" si="88"/>
        <v>#N/A</v>
      </c>
      <c r="AB754" s="63" t="e">
        <f t="shared" ca="1" si="89"/>
        <v>#N/A</v>
      </c>
      <c r="AC754" s="3" t="e">
        <f t="shared" ca="1" si="90"/>
        <v>#N/A</v>
      </c>
    </row>
    <row r="755" spans="8:29">
      <c r="H755" t="e">
        <f t="shared" ca="1" si="84"/>
        <v>#N/A</v>
      </c>
      <c r="I755" t="e">
        <f t="shared" ca="1" si="85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86"/>
        <v>0</v>
      </c>
      <c r="Y755">
        <f t="shared" ca="1" si="87"/>
        <v>0</v>
      </c>
      <c r="AA755" s="63" t="e">
        <f t="shared" ca="1" si="88"/>
        <v>#N/A</v>
      </c>
      <c r="AB755" s="63" t="e">
        <f t="shared" ca="1" si="89"/>
        <v>#N/A</v>
      </c>
      <c r="AC755" s="3" t="e">
        <f t="shared" ca="1" si="90"/>
        <v>#N/A</v>
      </c>
    </row>
    <row r="756" spans="8:29">
      <c r="H756" t="e">
        <f t="shared" ca="1" si="84"/>
        <v>#N/A</v>
      </c>
      <c r="I756" t="e">
        <f t="shared" ca="1" si="85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86"/>
        <v>0</v>
      </c>
      <c r="Y756">
        <f t="shared" ca="1" si="87"/>
        <v>0</v>
      </c>
      <c r="AA756" s="63" t="e">
        <f t="shared" ca="1" si="88"/>
        <v>#N/A</v>
      </c>
      <c r="AB756" s="63" t="e">
        <f t="shared" ca="1" si="89"/>
        <v>#N/A</v>
      </c>
      <c r="AC756" s="3" t="e">
        <f t="shared" ca="1" si="90"/>
        <v>#N/A</v>
      </c>
    </row>
    <row r="757" spans="8:29">
      <c r="H757" t="e">
        <f t="shared" ca="1" si="84"/>
        <v>#N/A</v>
      </c>
      <c r="I757" t="e">
        <f t="shared" ca="1" si="85"/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ca="1" si="86"/>
        <v>0</v>
      </c>
      <c r="Y757">
        <f t="shared" ca="1" si="87"/>
        <v>0</v>
      </c>
      <c r="AA757" s="63" t="e">
        <f t="shared" ca="1" si="88"/>
        <v>#N/A</v>
      </c>
      <c r="AB757" s="63" t="e">
        <f t="shared" ca="1" si="89"/>
        <v>#N/A</v>
      </c>
      <c r="AC757" s="3" t="e">
        <f t="shared" ca="1" si="90"/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ref="H817:H880" ca="1" si="91">IF(J817&lt;$J$4,TRUE,FALSE)</f>
        <v>#N/A</v>
      </c>
      <c r="I817" t="e">
        <f t="shared" ref="I817:I880" ca="1" si="92">AND(IF(J817&gt;($J$3-1),TRUE,FALSE),IF(J817&lt;($J$4+1),TRUE,FALSE))</f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ref="X817:X880" ca="1" si="93">IFERROR(J817,$X$5)</f>
        <v>0</v>
      </c>
      <c r="Y817">
        <f t="shared" ref="Y817:Y880" ca="1" si="94">IFERROR(O817,0)</f>
        <v>0</v>
      </c>
      <c r="AA817" s="63" t="e">
        <f t="shared" ref="AA817:AA880" ca="1" si="95">K816+M817+N817+O817</f>
        <v>#N/A</v>
      </c>
      <c r="AB817" s="63" t="e">
        <f t="shared" ref="AB817:AB880" ca="1" si="96">K817+L817+R817</f>
        <v>#N/A</v>
      </c>
      <c r="AC817" s="3" t="e">
        <f t="shared" ref="AC817:AC880" ca="1" si="97">AB817-AA817</f>
        <v>#N/A</v>
      </c>
    </row>
    <row r="818" spans="8:29">
      <c r="H818" t="e">
        <f t="shared" ca="1" si="91"/>
        <v>#N/A</v>
      </c>
      <c r="I818" t="e">
        <f t="shared" ca="1" si="92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93"/>
        <v>0</v>
      </c>
      <c r="Y818">
        <f t="shared" ca="1" si="94"/>
        <v>0</v>
      </c>
      <c r="AA818" s="63" t="e">
        <f t="shared" ca="1" si="95"/>
        <v>#N/A</v>
      </c>
      <c r="AB818" s="63" t="e">
        <f t="shared" ca="1" si="96"/>
        <v>#N/A</v>
      </c>
      <c r="AC818" s="3" t="e">
        <f t="shared" ca="1" si="97"/>
        <v>#N/A</v>
      </c>
    </row>
    <row r="819" spans="8:29">
      <c r="H819" t="e">
        <f t="shared" ca="1" si="91"/>
        <v>#N/A</v>
      </c>
      <c r="I819" t="e">
        <f t="shared" ca="1" si="92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93"/>
        <v>0</v>
      </c>
      <c r="Y819">
        <f t="shared" ca="1" si="94"/>
        <v>0</v>
      </c>
      <c r="AA819" s="63" t="e">
        <f t="shared" ca="1" si="95"/>
        <v>#N/A</v>
      </c>
      <c r="AB819" s="63" t="e">
        <f t="shared" ca="1" si="96"/>
        <v>#N/A</v>
      </c>
      <c r="AC819" s="3" t="e">
        <f t="shared" ca="1" si="97"/>
        <v>#N/A</v>
      </c>
    </row>
    <row r="820" spans="8:29">
      <c r="H820" t="e">
        <f t="shared" ca="1" si="91"/>
        <v>#N/A</v>
      </c>
      <c r="I820" t="e">
        <f t="shared" ca="1" si="92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93"/>
        <v>0</v>
      </c>
      <c r="Y820">
        <f t="shared" ca="1" si="94"/>
        <v>0</v>
      </c>
      <c r="AA820" s="63" t="e">
        <f t="shared" ca="1" si="95"/>
        <v>#N/A</v>
      </c>
      <c r="AB820" s="63" t="e">
        <f t="shared" ca="1" si="96"/>
        <v>#N/A</v>
      </c>
      <c r="AC820" s="3" t="e">
        <f t="shared" ca="1" si="97"/>
        <v>#N/A</v>
      </c>
    </row>
    <row r="821" spans="8:29">
      <c r="H821" t="e">
        <f t="shared" ca="1" si="91"/>
        <v>#N/A</v>
      </c>
      <c r="I821" t="e">
        <f t="shared" ca="1" si="92"/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ca="1" si="93"/>
        <v>0</v>
      </c>
      <c r="Y821">
        <f t="shared" ca="1" si="94"/>
        <v>0</v>
      </c>
      <c r="AA821" s="63" t="e">
        <f t="shared" ca="1" si="95"/>
        <v>#N/A</v>
      </c>
      <c r="AB821" s="63" t="e">
        <f t="shared" ca="1" si="96"/>
        <v>#N/A</v>
      </c>
      <c r="AC821" s="3" t="e">
        <f t="shared" ca="1" si="97"/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ref="H881:H944" ca="1" si="98">IF(J881&lt;$J$4,TRUE,FALSE)</f>
        <v>#N/A</v>
      </c>
      <c r="I881" t="e">
        <f t="shared" ref="I881:I944" ca="1" si="99">AND(IF(J881&gt;($J$3-1),TRUE,FALSE),IF(J881&lt;($J$4+1),TRUE,FALSE))</f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ref="X881:X944" ca="1" si="100">IFERROR(J881,$X$5)</f>
        <v>0</v>
      </c>
      <c r="Y881">
        <f t="shared" ref="Y881:Y944" ca="1" si="101">IFERROR(O881,0)</f>
        <v>0</v>
      </c>
      <c r="AA881" s="63" t="e">
        <f t="shared" ref="AA881:AA944" ca="1" si="102">K880+M881+N881+O881</f>
        <v>#N/A</v>
      </c>
      <c r="AB881" s="63" t="e">
        <f t="shared" ref="AB881:AB944" ca="1" si="103">K881+L881+R881</f>
        <v>#N/A</v>
      </c>
      <c r="AC881" s="3" t="e">
        <f t="shared" ref="AC881:AC944" ca="1" si="104">AB881-AA881</f>
        <v>#N/A</v>
      </c>
    </row>
    <row r="882" spans="8:29">
      <c r="H882" t="e">
        <f t="shared" ca="1" si="98"/>
        <v>#N/A</v>
      </c>
      <c r="I882" t="e">
        <f t="shared" ca="1" si="99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100"/>
        <v>0</v>
      </c>
      <c r="Y882">
        <f t="shared" ca="1" si="101"/>
        <v>0</v>
      </c>
      <c r="AA882" s="63" t="e">
        <f t="shared" ca="1" si="102"/>
        <v>#N/A</v>
      </c>
      <c r="AB882" s="63" t="e">
        <f t="shared" ca="1" si="103"/>
        <v>#N/A</v>
      </c>
      <c r="AC882" s="3" t="e">
        <f t="shared" ca="1" si="104"/>
        <v>#N/A</v>
      </c>
    </row>
    <row r="883" spans="8:29">
      <c r="H883" t="e">
        <f t="shared" ca="1" si="98"/>
        <v>#N/A</v>
      </c>
      <c r="I883" t="e">
        <f t="shared" ca="1" si="99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100"/>
        <v>0</v>
      </c>
      <c r="Y883">
        <f t="shared" ca="1" si="101"/>
        <v>0</v>
      </c>
      <c r="AA883" s="63" t="e">
        <f t="shared" ca="1" si="102"/>
        <v>#N/A</v>
      </c>
      <c r="AB883" s="63" t="e">
        <f t="shared" ca="1" si="103"/>
        <v>#N/A</v>
      </c>
      <c r="AC883" s="3" t="e">
        <f t="shared" ca="1" si="104"/>
        <v>#N/A</v>
      </c>
    </row>
    <row r="884" spans="8:29">
      <c r="H884" t="e">
        <f t="shared" ca="1" si="98"/>
        <v>#N/A</v>
      </c>
      <c r="I884" t="e">
        <f t="shared" ca="1" si="99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100"/>
        <v>0</v>
      </c>
      <c r="Y884">
        <f t="shared" ca="1" si="101"/>
        <v>0</v>
      </c>
      <c r="AA884" s="63" t="e">
        <f t="shared" ca="1" si="102"/>
        <v>#N/A</v>
      </c>
      <c r="AB884" s="63" t="e">
        <f t="shared" ca="1" si="103"/>
        <v>#N/A</v>
      </c>
      <c r="AC884" s="3" t="e">
        <f t="shared" ca="1" si="104"/>
        <v>#N/A</v>
      </c>
    </row>
    <row r="885" spans="8:29">
      <c r="H885" t="e">
        <f t="shared" ca="1" si="98"/>
        <v>#N/A</v>
      </c>
      <c r="I885" t="e">
        <f t="shared" ca="1" si="99"/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ca="1" si="100"/>
        <v>0</v>
      </c>
      <c r="Y885">
        <f t="shared" ca="1" si="101"/>
        <v>0</v>
      </c>
      <c r="AA885" s="63" t="e">
        <f t="shared" ca="1" si="102"/>
        <v>#N/A</v>
      </c>
      <c r="AB885" s="63" t="e">
        <f t="shared" ca="1" si="103"/>
        <v>#N/A</v>
      </c>
      <c r="AC885" s="3" t="e">
        <f t="shared" ca="1" si="104"/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ref="H945:H1000" ca="1" si="105">IF(J945&lt;$J$4,TRUE,FALSE)</f>
        <v>#N/A</v>
      </c>
      <c r="I945" t="e">
        <f t="shared" ref="I945:I1000" ca="1" si="106">AND(IF(J945&gt;($J$3-1),TRUE,FALSE),IF(J945&lt;($J$4+1),TRUE,FALSE))</f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ref="X945:X1000" ca="1" si="107">IFERROR(J945,$X$5)</f>
        <v>0</v>
      </c>
      <c r="Y945">
        <f t="shared" ref="Y945:Y1000" ca="1" si="108">IFERROR(O945,0)</f>
        <v>0</v>
      </c>
      <c r="AA945" s="63" t="e">
        <f t="shared" ref="AA945:AA1000" ca="1" si="109">K944+M945+N945+O945</f>
        <v>#N/A</v>
      </c>
      <c r="AB945" s="63" t="e">
        <f t="shared" ref="AB945:AB1000" ca="1" si="110">K945+L945+R945</f>
        <v>#N/A</v>
      </c>
      <c r="AC945" s="3" t="e">
        <f t="shared" ref="AC945:AC1000" ca="1" si="111">AB945-AA945</f>
        <v>#N/A</v>
      </c>
    </row>
    <row r="946" spans="8:29">
      <c r="H946" t="e">
        <f t="shared" ca="1" si="105"/>
        <v>#N/A</v>
      </c>
      <c r="I946" t="e">
        <f t="shared" ca="1" si="106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7"/>
        <v>0</v>
      </c>
      <c r="Y946">
        <f t="shared" ca="1" si="108"/>
        <v>0</v>
      </c>
      <c r="AA946" s="63" t="e">
        <f t="shared" ca="1" si="109"/>
        <v>#N/A</v>
      </c>
      <c r="AB946" s="63" t="e">
        <f t="shared" ca="1" si="110"/>
        <v>#N/A</v>
      </c>
      <c r="AC946" s="3" t="e">
        <f t="shared" ca="1" si="111"/>
        <v>#N/A</v>
      </c>
    </row>
    <row r="947" spans="8:29">
      <c r="H947" t="e">
        <f t="shared" ca="1" si="105"/>
        <v>#N/A</v>
      </c>
      <c r="I947" t="e">
        <f t="shared" ca="1" si="106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7"/>
        <v>0</v>
      </c>
      <c r="Y947">
        <f t="shared" ca="1" si="108"/>
        <v>0</v>
      </c>
      <c r="AA947" s="63" t="e">
        <f t="shared" ca="1" si="109"/>
        <v>#N/A</v>
      </c>
      <c r="AB947" s="63" t="e">
        <f t="shared" ca="1" si="110"/>
        <v>#N/A</v>
      </c>
      <c r="AC947" s="3" t="e">
        <f t="shared" ca="1" si="111"/>
        <v>#N/A</v>
      </c>
    </row>
    <row r="948" spans="8:29">
      <c r="H948" t="e">
        <f t="shared" ca="1" si="105"/>
        <v>#N/A</v>
      </c>
      <c r="I948" t="e">
        <f t="shared" ca="1" si="106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7"/>
        <v>0</v>
      </c>
      <c r="Y948">
        <f t="shared" ca="1" si="108"/>
        <v>0</v>
      </c>
      <c r="AA948" s="63" t="e">
        <f t="shared" ca="1" si="109"/>
        <v>#N/A</v>
      </c>
      <c r="AB948" s="63" t="e">
        <f t="shared" ca="1" si="110"/>
        <v>#N/A</v>
      </c>
      <c r="AC948" s="3" t="e">
        <f t="shared" ca="1" si="111"/>
        <v>#N/A</v>
      </c>
    </row>
    <row r="949" spans="8:29">
      <c r="H949" t="e">
        <f t="shared" ca="1" si="105"/>
        <v>#N/A</v>
      </c>
      <c r="I949" t="e">
        <f t="shared" ca="1" si="106"/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ca="1" si="107"/>
        <v>0</v>
      </c>
      <c r="Y949">
        <f t="shared" ca="1" si="108"/>
        <v>0</v>
      </c>
      <c r="AA949" s="63" t="e">
        <f t="shared" ca="1" si="109"/>
        <v>#N/A</v>
      </c>
      <c r="AB949" s="63" t="e">
        <f t="shared" ca="1" si="110"/>
        <v>#N/A</v>
      </c>
      <c r="AC949" s="3" t="e">
        <f t="shared" ca="1" si="111"/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J1" workbookViewId="0">
      <selection activeCell="AR7" sqref="AR7:AR11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41</v>
      </c>
      <c r="AT1" s="52" t="s">
        <v>40</v>
      </c>
      <c r="AU1" s="52" t="s">
        <v>52</v>
      </c>
      <c r="AV1" s="52" t="s">
        <v>93</v>
      </c>
      <c r="AW1" s="52" t="s">
        <v>76</v>
      </c>
      <c r="AX1" s="52" t="s">
        <v>75</v>
      </c>
      <c r="AY1" s="52" t="s">
        <v>74</v>
      </c>
      <c r="AZ1" s="52" t="s">
        <v>47</v>
      </c>
      <c r="BA1" s="52" t="s">
        <v>60</v>
      </c>
      <c r="BB1" s="52" t="s">
        <v>11</v>
      </c>
      <c r="BC1" s="52" t="s">
        <v>72</v>
      </c>
      <c r="BD1" s="52" t="s">
        <v>48</v>
      </c>
      <c r="BE1" s="52" t="s">
        <v>79</v>
      </c>
      <c r="BF1" s="52" t="s">
        <v>59</v>
      </c>
      <c r="BG1" s="52" t="s">
        <v>81</v>
      </c>
      <c r="BH1" s="52" t="s">
        <v>34</v>
      </c>
      <c r="BI1" s="52" t="s">
        <v>71</v>
      </c>
      <c r="BJ1" s="52" t="s">
        <v>31</v>
      </c>
      <c r="BK1" s="52" t="s">
        <v>37</v>
      </c>
      <c r="BL1" s="52" t="s">
        <v>87</v>
      </c>
      <c r="BM1" s="52" t="s">
        <v>66</v>
      </c>
      <c r="BN1" s="52" t="s">
        <v>50</v>
      </c>
      <c r="BO1" s="52" t="s">
        <v>6</v>
      </c>
      <c r="BP1" s="52" t="s">
        <v>51</v>
      </c>
      <c r="BQ1" s="52" t="s">
        <v>54</v>
      </c>
      <c r="BR1" s="52" t="s">
        <v>45</v>
      </c>
      <c r="BS1" s="52" t="s">
        <v>56</v>
      </c>
      <c r="BT1" s="52" t="s">
        <v>33</v>
      </c>
      <c r="BU1" s="52" t="s">
        <v>7</v>
      </c>
      <c r="BV1" s="52" t="s">
        <v>58</v>
      </c>
      <c r="BW1" s="52" t="s">
        <v>90</v>
      </c>
      <c r="BX1" s="52" t="s">
        <v>53</v>
      </c>
      <c r="BY1" s="52" t="s">
        <v>55</v>
      </c>
      <c r="BZ1" s="52" t="s">
        <v>85</v>
      </c>
      <c r="CA1" s="52" t="s">
        <v>62</v>
      </c>
      <c r="CB1" s="52" t="s">
        <v>36</v>
      </c>
      <c r="CC1" s="52" t="s">
        <v>57</v>
      </c>
      <c r="CD1" s="52" t="s">
        <v>83</v>
      </c>
      <c r="CE1" s="52" t="s">
        <v>42</v>
      </c>
      <c r="CF1" s="52" t="s">
        <v>61</v>
      </c>
      <c r="CG1" s="52" t="s">
        <v>73</v>
      </c>
      <c r="CH1" s="52" t="s">
        <v>92</v>
      </c>
      <c r="CI1" s="52" t="s">
        <v>70</v>
      </c>
      <c r="CJ1" s="52" t="s">
        <v>84</v>
      </c>
      <c r="CK1" s="52" t="s">
        <v>49</v>
      </c>
      <c r="CL1" s="52" t="s">
        <v>35</v>
      </c>
      <c r="CM1" s="52" t="s">
        <v>94</v>
      </c>
      <c r="CN1" s="52" t="s">
        <v>91</v>
      </c>
      <c r="CO1" s="52" t="s">
        <v>44</v>
      </c>
      <c r="CP1" s="52" t="s">
        <v>28</v>
      </c>
      <c r="CQ1" s="53" t="s">
        <v>38</v>
      </c>
      <c r="CR1" s="1" t="s">
        <v>43</v>
      </c>
      <c r="CS1" t="s">
        <v>255</v>
      </c>
      <c r="CT1" t="s">
        <v>256</v>
      </c>
      <c r="CU1" t="s">
        <v>257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77</v>
      </c>
      <c r="AX2" t="s">
        <v>29</v>
      </c>
      <c r="AY2" t="s">
        <v>29</v>
      </c>
      <c r="AZ2" t="s">
        <v>29</v>
      </c>
      <c r="BA2" t="s">
        <v>262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88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67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63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261</v>
      </c>
      <c r="CS2" t="s">
        <v>254</v>
      </c>
      <c r="CT2" t="s">
        <v>254</v>
      </c>
      <c r="CU2" t="s">
        <v>254</v>
      </c>
    </row>
    <row r="3" spans="1:99">
      <c r="AS3" s="12"/>
      <c r="AW3" t="s">
        <v>78</v>
      </c>
      <c r="BA3" t="s">
        <v>258</v>
      </c>
      <c r="BO3" t="s">
        <v>89</v>
      </c>
      <c r="BU3" t="s">
        <v>68</v>
      </c>
      <c r="CQ3" s="13" t="s">
        <v>39</v>
      </c>
      <c r="CR3" t="s">
        <v>260</v>
      </c>
      <c r="CS3" t="s">
        <v>246</v>
      </c>
      <c r="CT3" t="s">
        <v>246</v>
      </c>
      <c r="CU3" t="s">
        <v>246</v>
      </c>
    </row>
    <row r="4" spans="1:99">
      <c r="AS4" s="12"/>
      <c r="BA4" t="s">
        <v>259</v>
      </c>
      <c r="BU4" t="s">
        <v>69</v>
      </c>
      <c r="CQ4" s="13" t="s">
        <v>29</v>
      </c>
      <c r="CR4" t="s">
        <v>29</v>
      </c>
      <c r="CS4" t="s">
        <v>247</v>
      </c>
      <c r="CT4" t="s">
        <v>247</v>
      </c>
      <c r="CU4" t="s">
        <v>247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248</v>
      </c>
      <c r="CT5" t="s">
        <v>248</v>
      </c>
      <c r="CU5" t="s">
        <v>248</v>
      </c>
    </row>
    <row r="6" spans="1:99" ht="15" thickBot="1">
      <c r="AI6" t="s">
        <v>217</v>
      </c>
      <c r="AJ6" t="s">
        <v>219</v>
      </c>
      <c r="AM6" s="116" t="s">
        <v>265</v>
      </c>
      <c r="AN6">
        <v>5</v>
      </c>
      <c r="CS6" t="s">
        <v>249</v>
      </c>
      <c r="CT6" t="s">
        <v>249</v>
      </c>
      <c r="CU6" t="s">
        <v>249</v>
      </c>
    </row>
    <row r="7" spans="1:99">
      <c r="A7" s="45" t="s">
        <v>27</v>
      </c>
      <c r="B7" s="46" t="s">
        <v>30</v>
      </c>
      <c r="C7" s="46" t="s">
        <v>32</v>
      </c>
      <c r="D7" s="46" t="s">
        <v>46</v>
      </c>
      <c r="E7" s="46" t="s">
        <v>274</v>
      </c>
      <c r="F7" s="46" t="s">
        <v>18</v>
      </c>
      <c r="G7" s="47" t="s">
        <v>65</v>
      </c>
      <c r="H7" s="119" t="s">
        <v>8</v>
      </c>
      <c r="J7" s="30" t="s">
        <v>102</v>
      </c>
      <c r="L7" s="44" t="s">
        <v>103</v>
      </c>
      <c r="N7" s="41" t="s">
        <v>161</v>
      </c>
      <c r="P7" s="41" t="s">
        <v>162</v>
      </c>
      <c r="R7" s="41" t="s">
        <v>1</v>
      </c>
      <c r="U7" s="41" t="s">
        <v>3</v>
      </c>
      <c r="X7" s="111" t="s">
        <v>188</v>
      </c>
      <c r="Z7" s="111" t="s">
        <v>204</v>
      </c>
      <c r="AA7">
        <v>1.7</v>
      </c>
      <c r="AC7" t="s">
        <v>207</v>
      </c>
      <c r="AE7" t="s">
        <v>263</v>
      </c>
      <c r="AF7">
        <v>2</v>
      </c>
      <c r="AH7" t="s">
        <v>212</v>
      </c>
      <c r="AI7">
        <v>0.7</v>
      </c>
      <c r="AJ7">
        <v>0.76</v>
      </c>
      <c r="AM7" s="114" t="s">
        <v>266</v>
      </c>
      <c r="AN7">
        <v>15</v>
      </c>
      <c r="AP7" t="s">
        <v>244</v>
      </c>
      <c r="AR7" t="s">
        <v>275</v>
      </c>
      <c r="CS7" t="s">
        <v>250</v>
      </c>
      <c r="CT7" t="s">
        <v>250</v>
      </c>
      <c r="CU7" t="s">
        <v>250</v>
      </c>
    </row>
    <row r="8" spans="1:99">
      <c r="A8" s="48" t="s">
        <v>28</v>
      </c>
      <c r="B8" s="49" t="s">
        <v>31</v>
      </c>
      <c r="C8" s="49" t="s">
        <v>41</v>
      </c>
      <c r="D8" s="49" t="s">
        <v>40</v>
      </c>
      <c r="E8" s="49" t="s">
        <v>54</v>
      </c>
      <c r="F8" s="49" t="s">
        <v>60</v>
      </c>
      <c r="G8" s="50" t="s">
        <v>52</v>
      </c>
      <c r="H8" t="s">
        <v>255</v>
      </c>
      <c r="J8" s="12" t="s">
        <v>18</v>
      </c>
      <c r="L8" s="42" t="s">
        <v>19</v>
      </c>
      <c r="N8" s="42" t="s">
        <v>160</v>
      </c>
      <c r="P8" s="42" t="s">
        <v>169</v>
      </c>
      <c r="R8" s="42" t="s">
        <v>2</v>
      </c>
      <c r="S8">
        <v>1000</v>
      </c>
      <c r="U8" s="42" t="s">
        <v>181</v>
      </c>
      <c r="V8">
        <v>1</v>
      </c>
      <c r="X8" s="42" t="s">
        <v>189</v>
      </c>
      <c r="Z8" s="42" t="s">
        <v>195</v>
      </c>
      <c r="AA8">
        <v>1.35</v>
      </c>
      <c r="AC8" t="s">
        <v>211</v>
      </c>
      <c r="AE8" t="s">
        <v>264</v>
      </c>
      <c r="AF8">
        <v>3</v>
      </c>
      <c r="AH8" t="s">
        <v>67</v>
      </c>
      <c r="AI8">
        <v>1.1499999999999999</v>
      </c>
      <c r="AJ8">
        <v>1.22</v>
      </c>
      <c r="AM8" s="114" t="s">
        <v>267</v>
      </c>
      <c r="AN8">
        <v>17</v>
      </c>
      <c r="AP8" t="s">
        <v>228</v>
      </c>
      <c r="AR8" t="s">
        <v>276</v>
      </c>
      <c r="CS8" t="s">
        <v>251</v>
      </c>
      <c r="CT8" t="s">
        <v>251</v>
      </c>
      <c r="CU8" t="s">
        <v>251</v>
      </c>
    </row>
    <row r="9" spans="1:99" ht="15" thickBot="1">
      <c r="A9" s="12"/>
      <c r="C9" s="49" t="s">
        <v>40</v>
      </c>
      <c r="D9" s="49" t="s">
        <v>52</v>
      </c>
      <c r="E9" s="49" t="s">
        <v>56</v>
      </c>
      <c r="F9" s="49" t="s">
        <v>59</v>
      </c>
      <c r="G9" s="50" t="s">
        <v>93</v>
      </c>
      <c r="H9" t="s">
        <v>256</v>
      </c>
      <c r="J9" s="14" t="s">
        <v>20</v>
      </c>
      <c r="L9" s="42" t="s">
        <v>21</v>
      </c>
      <c r="N9" s="42" t="s">
        <v>104</v>
      </c>
      <c r="P9" s="42" t="s">
        <v>171</v>
      </c>
      <c r="R9" s="42" t="s">
        <v>105</v>
      </c>
      <c r="S9">
        <v>1</v>
      </c>
      <c r="U9" s="42" t="s">
        <v>182</v>
      </c>
      <c r="V9">
        <v>2</v>
      </c>
      <c r="X9" s="42" t="s">
        <v>191</v>
      </c>
      <c r="Z9" s="42" t="s">
        <v>194</v>
      </c>
      <c r="AA9">
        <v>1</v>
      </c>
      <c r="AH9" t="s">
        <v>213</v>
      </c>
      <c r="AI9">
        <v>1.1499999999999999</v>
      </c>
      <c r="AJ9">
        <v>1.2</v>
      </c>
      <c r="AM9" s="114" t="s">
        <v>268</v>
      </c>
      <c r="AN9">
        <v>20</v>
      </c>
      <c r="AR9" t="s">
        <v>277</v>
      </c>
      <c r="CS9" t="s">
        <v>252</v>
      </c>
      <c r="CT9" t="s">
        <v>252</v>
      </c>
      <c r="CU9" t="s">
        <v>252</v>
      </c>
    </row>
    <row r="10" spans="1:99" ht="15" thickBot="1">
      <c r="A10" s="12"/>
      <c r="C10" s="49" t="s">
        <v>34</v>
      </c>
      <c r="D10" s="49" t="s">
        <v>47</v>
      </c>
      <c r="E10" s="49" t="s">
        <v>55</v>
      </c>
      <c r="F10" s="49" t="s">
        <v>58</v>
      </c>
      <c r="G10" s="50" t="s">
        <v>76</v>
      </c>
      <c r="H10" t="s">
        <v>257</v>
      </c>
      <c r="L10" s="42" t="s">
        <v>22</v>
      </c>
      <c r="N10" s="42" t="s">
        <v>106</v>
      </c>
      <c r="P10" s="43" t="s">
        <v>170</v>
      </c>
      <c r="R10" s="43" t="s">
        <v>16</v>
      </c>
      <c r="S10">
        <v>1</v>
      </c>
      <c r="U10" s="43" t="s">
        <v>183</v>
      </c>
      <c r="V10">
        <v>3</v>
      </c>
      <c r="X10" s="43" t="s">
        <v>190</v>
      </c>
      <c r="Z10" s="42" t="s">
        <v>196</v>
      </c>
      <c r="AA10">
        <v>0.65</v>
      </c>
      <c r="AH10" t="s">
        <v>214</v>
      </c>
      <c r="AI10">
        <v>0.8</v>
      </c>
      <c r="AJ10">
        <v>0.83</v>
      </c>
      <c r="AM10" s="114" t="s">
        <v>269</v>
      </c>
      <c r="AN10">
        <v>16</v>
      </c>
      <c r="AR10" t="s">
        <v>278</v>
      </c>
      <c r="CS10" t="s">
        <v>253</v>
      </c>
      <c r="CT10" t="s">
        <v>253</v>
      </c>
      <c r="CU10" t="s">
        <v>253</v>
      </c>
    </row>
    <row r="11" spans="1:99" ht="15" thickBot="1">
      <c r="A11" s="12"/>
      <c r="C11" s="49" t="s">
        <v>37</v>
      </c>
      <c r="D11" s="49" t="s">
        <v>48</v>
      </c>
      <c r="E11" s="49" t="s">
        <v>36</v>
      </c>
      <c r="F11" s="49" t="s">
        <v>62</v>
      </c>
      <c r="G11" s="50" t="s">
        <v>75</v>
      </c>
      <c r="L11" s="42" t="s">
        <v>23</v>
      </c>
      <c r="N11" s="42" t="s">
        <v>107</v>
      </c>
      <c r="Z11" s="43" t="s">
        <v>205</v>
      </c>
      <c r="AA11">
        <v>0.3</v>
      </c>
      <c r="AH11" t="s">
        <v>215</v>
      </c>
      <c r="AI11">
        <v>1.17</v>
      </c>
      <c r="AJ11">
        <v>1.24</v>
      </c>
      <c r="AM11" s="114" t="s">
        <v>239</v>
      </c>
      <c r="AN11">
        <v>32</v>
      </c>
      <c r="AR11" t="s">
        <v>279</v>
      </c>
    </row>
    <row r="12" spans="1:99">
      <c r="A12" s="12"/>
      <c r="C12" s="49" t="s">
        <v>45</v>
      </c>
      <c r="D12" s="49" t="s">
        <v>31</v>
      </c>
      <c r="E12" s="49" t="s">
        <v>38</v>
      </c>
      <c r="F12" s="49" t="s">
        <v>36</v>
      </c>
      <c r="G12" s="50" t="s">
        <v>74</v>
      </c>
      <c r="L12" s="42" t="s">
        <v>24</v>
      </c>
      <c r="N12" s="42" t="s">
        <v>148</v>
      </c>
      <c r="AH12" t="s">
        <v>216</v>
      </c>
      <c r="AI12">
        <v>1.1599999999999999</v>
      </c>
      <c r="AJ12">
        <v>1.19</v>
      </c>
      <c r="AM12" s="114" t="s">
        <v>270</v>
      </c>
      <c r="AN12">
        <v>35</v>
      </c>
    </row>
    <row r="13" spans="1:99" ht="15" thickBot="1">
      <c r="A13" s="12"/>
      <c r="C13" s="49" t="s">
        <v>33</v>
      </c>
      <c r="D13" s="49" t="s">
        <v>50</v>
      </c>
      <c r="F13" s="49" t="s">
        <v>57</v>
      </c>
      <c r="G13" s="50" t="s">
        <v>60</v>
      </c>
      <c r="L13" s="43" t="s">
        <v>108</v>
      </c>
      <c r="N13" s="43"/>
      <c r="AH13" t="s">
        <v>220</v>
      </c>
      <c r="AM13" s="114" t="s">
        <v>271</v>
      </c>
      <c r="AN13">
        <v>20</v>
      </c>
    </row>
    <row r="14" spans="1:99">
      <c r="A14" s="12"/>
      <c r="C14" s="49" t="s">
        <v>36</v>
      </c>
      <c r="D14" s="49" t="s">
        <v>51</v>
      </c>
      <c r="F14" s="49" t="s">
        <v>61</v>
      </c>
      <c r="G14" s="50" t="s">
        <v>11</v>
      </c>
      <c r="AM14" s="114" t="s">
        <v>272</v>
      </c>
      <c r="AN14">
        <v>18</v>
      </c>
    </row>
    <row r="15" spans="1:99">
      <c r="A15" s="12"/>
      <c r="C15" s="49" t="s">
        <v>42</v>
      </c>
      <c r="D15" s="49" t="s">
        <v>45</v>
      </c>
      <c r="F15" s="49" t="s">
        <v>64</v>
      </c>
      <c r="G15" s="50" t="s">
        <v>72</v>
      </c>
      <c r="AM15" s="114" t="s">
        <v>273</v>
      </c>
      <c r="AN15">
        <v>22</v>
      </c>
    </row>
    <row r="16" spans="1:99">
      <c r="A16" s="12"/>
      <c r="C16" s="49" t="s">
        <v>35</v>
      </c>
      <c r="D16" s="49" t="s">
        <v>33</v>
      </c>
      <c r="G16" s="50" t="s">
        <v>79</v>
      </c>
      <c r="AM16" s="114" t="s">
        <v>240</v>
      </c>
      <c r="AN16">
        <v>20</v>
      </c>
    </row>
    <row r="17" spans="1:40">
      <c r="A17" s="12"/>
      <c r="C17" s="49" t="s">
        <v>44</v>
      </c>
      <c r="D17" s="49" t="s">
        <v>53</v>
      </c>
      <c r="G17" s="50" t="s">
        <v>81</v>
      </c>
      <c r="AM17" s="114" t="s">
        <v>241</v>
      </c>
      <c r="AN17">
        <v>50</v>
      </c>
    </row>
    <row r="18" spans="1:40">
      <c r="A18" s="12"/>
      <c r="C18" s="49" t="s">
        <v>38</v>
      </c>
      <c r="D18" s="49" t="s">
        <v>49</v>
      </c>
      <c r="G18" s="50" t="s">
        <v>71</v>
      </c>
    </row>
    <row r="19" spans="1:40">
      <c r="A19" s="12"/>
      <c r="C19" s="49" t="s">
        <v>43</v>
      </c>
      <c r="D19" s="49" t="s">
        <v>43</v>
      </c>
      <c r="G19" s="50" t="s">
        <v>87</v>
      </c>
    </row>
    <row r="20" spans="1:40">
      <c r="A20" s="12"/>
      <c r="G20" s="50" t="s">
        <v>66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58</v>
      </c>
    </row>
    <row r="24" spans="1:40">
      <c r="A24" s="12"/>
      <c r="G24" s="50" t="s">
        <v>90</v>
      </c>
    </row>
    <row r="25" spans="1:40">
      <c r="A25" s="12"/>
      <c r="G25" s="50" t="s">
        <v>53</v>
      </c>
    </row>
    <row r="26" spans="1:40">
      <c r="A26" s="12"/>
      <c r="G26" s="50" t="s">
        <v>85</v>
      </c>
    </row>
    <row r="27" spans="1:40">
      <c r="A27" s="12"/>
      <c r="G27" s="50" t="s">
        <v>57</v>
      </c>
    </row>
    <row r="28" spans="1:40">
      <c r="A28" s="12"/>
      <c r="G28" s="50" t="s">
        <v>83</v>
      </c>
    </row>
    <row r="29" spans="1:40">
      <c r="A29" s="12"/>
      <c r="G29" s="50" t="s">
        <v>73</v>
      </c>
    </row>
    <row r="30" spans="1:40">
      <c r="A30" s="12"/>
      <c r="G30" s="50" t="s">
        <v>92</v>
      </c>
    </row>
    <row r="31" spans="1:40">
      <c r="A31" s="12"/>
      <c r="G31" s="50" t="s">
        <v>70</v>
      </c>
    </row>
    <row r="32" spans="1:40">
      <c r="A32" s="12"/>
      <c r="G32" s="50" t="s">
        <v>84</v>
      </c>
    </row>
    <row r="33" spans="1:7">
      <c r="A33" s="12"/>
      <c r="G33" s="50" t="s">
        <v>94</v>
      </c>
    </row>
    <row r="34" spans="1:7">
      <c r="A34" s="12"/>
      <c r="G34" s="50" t="s">
        <v>91</v>
      </c>
    </row>
    <row r="35" spans="1:7">
      <c r="A35" s="12"/>
      <c r="G35" s="50" t="s">
        <v>82</v>
      </c>
    </row>
    <row r="36" spans="1:7">
      <c r="A36" s="12"/>
      <c r="G36" s="50" t="s">
        <v>80</v>
      </c>
    </row>
    <row r="37" spans="1:7" ht="15" thickBot="1">
      <c r="A37" s="12"/>
      <c r="G37" s="51" t="s">
        <v>86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20" activePane="bottomRight" state="frozen"/>
      <selection pane="topRight" activeCell="G1" sqref="G1"/>
      <selection pane="bottomLeft" activeCell="A2" sqref="A2"/>
      <selection pane="bottomRight" activeCell="C32" sqref="C32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workbookViewId="0">
      <selection activeCell="P4" sqref="P4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197</v>
      </c>
      <c r="B1" s="140"/>
      <c r="C1" s="140"/>
      <c r="D1" s="140"/>
      <c r="E1" s="140"/>
      <c r="F1" s="140"/>
      <c r="H1" s="140" t="s">
        <v>198</v>
      </c>
      <c r="I1" s="140"/>
      <c r="J1" s="140"/>
      <c r="K1" s="140"/>
      <c r="L1" s="140"/>
      <c r="M1" s="140"/>
      <c r="O1" s="140" t="s">
        <v>199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97</v>
      </c>
      <c r="B2" t="s">
        <v>98</v>
      </c>
      <c r="C2" t="s">
        <v>9</v>
      </c>
      <c r="D2" t="s">
        <v>99</v>
      </c>
      <c r="E2" t="s">
        <v>100</v>
      </c>
      <c r="F2" t="s">
        <v>10</v>
      </c>
      <c r="H2" t="s">
        <v>97</v>
      </c>
      <c r="I2" t="s">
        <v>98</v>
      </c>
      <c r="J2" t="s">
        <v>9</v>
      </c>
      <c r="K2" t="s">
        <v>99</v>
      </c>
      <c r="L2" t="s">
        <v>100</v>
      </c>
      <c r="M2" t="s">
        <v>10</v>
      </c>
      <c r="O2" t="s">
        <v>97</v>
      </c>
      <c r="P2" t="s">
        <v>98</v>
      </c>
      <c r="Q2" t="s">
        <v>9</v>
      </c>
      <c r="R2" t="s">
        <v>99</v>
      </c>
      <c r="S2" t="s">
        <v>100</v>
      </c>
      <c r="T2" t="s">
        <v>10</v>
      </c>
    </row>
    <row r="3" spans="1:27">
      <c r="A3">
        <v>1</v>
      </c>
      <c r="B3">
        <v>16.18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5.67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16.809999999999999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5.51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5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16.05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1.56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5.15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16.2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0.44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17.399999999999999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0.93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17.100000000000001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2.3199999999999998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5.58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0.91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5.15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2.7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4.6500000000000004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2.75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16.829999999999998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5.16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16.84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0.94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17.34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1.0900000000000001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5.84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16.829999999999998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0.78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5.66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0.56999999999999995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3.49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5.0199999999999996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15.94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0.26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17.48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0.36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1.95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5.52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17.18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5.21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16.84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16.690000000000001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1.26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4.7300000000000004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16.329999999999998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1.03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5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0.06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5.2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18.010000000000002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5.3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18.13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5.63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17.559999999999999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0.27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4.8899999999999997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16.34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4.5999999999999996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17.920000000000002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5.28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16.079999999999998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2.21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4.2699999999999996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16.54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16.53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4.6900000000000004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16.86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5.0199999999999996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16.96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1.1399999999999999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4.6100000000000003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16.87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0.78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4.41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17.489999999999998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4.47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4.3600000000000003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16.399999999999999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15.89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3.67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2.2599999999999998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16.04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4.22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17.16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1.38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4.9000000000000004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16.989999999999998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16.66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4.66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16.7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4.47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1.53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1.79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3.91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1.68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4.83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16.190000000000001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4.4800000000000004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16.190000000000001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4.3899999999999997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16.21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1.17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4.0999999999999996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16.079999999999998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1.34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16.260000000000002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4.4800000000000004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4.33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15.22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3.53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15.77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4.1100000000000003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16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4.08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15.02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3.89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15.33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0.99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15.06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14.96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3.25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3.18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15.21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3.93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1.35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14.82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3.65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1.85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3.24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1.1599999999999999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3.55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15.36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3.28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2.97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3.17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14.4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2.09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3.16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0.37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14.47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14.93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3.22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14.87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1.06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3.25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14.94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2.79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3.41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1.88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3.06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1.0900000000000001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14.02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3.22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13.61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13.09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1.73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2.78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2.5499999999999998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3.51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11.36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2.0699999999999998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2.4300000000000002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1.38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2.31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11.45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2.13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11.9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2.17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2.65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1.1599999999999999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2.1800000000000002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1.69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11.6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0.88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2.3199999999999998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11.19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1.64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1.92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11.59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11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1.82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11.55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1.88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11.7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1.8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12.13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2.16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10.83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5.44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1.64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2.59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1.65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10.199999999999999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1.59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10.32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1.53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10.27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0.92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1.79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1.0900000000000001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1.93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11.14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1.1200000000000001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10.08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3.06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1.7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10.23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10.15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1.63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10.029999999999999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1.7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9.6199999999999992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10.18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2.0099999999999998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9.2799999999999994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9.0500000000000007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1.43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9.44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1.94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1.28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1.59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1.1599999999999999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1.39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8.7899999999999991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3.38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8.3699999999999992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1.91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4.38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1.34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8.4600000000000009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1.46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8.19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2.37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1.61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8.3800000000000008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1.53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1.22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8.07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1.1299999999999999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7.45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2.0499999999999998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1.24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7.2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1.35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1.1200000000000001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7.08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2.14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7.62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2.0699999999999998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1.27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7.83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1.48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1.24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7.83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1.0900000000000001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7.61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1.26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6.87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2.0299999999999998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1.1499999999999999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1.56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7.34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3.42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1.06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6.02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6.48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1.1299999999999999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1.1000000000000001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1.1000000000000001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2.0299999999999998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1.02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6.21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1.42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1.1200000000000001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1.31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1.1599999999999999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1.81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6.15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3.15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1.04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2.1800000000000002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1.22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1.36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1.0900000000000001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1.1000000000000001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1.1399999999999999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6.54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1.31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6.33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1.1499999999999999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1.1200000000000001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1.19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1.79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1.08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5.46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1.1599999999999999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1.1299999999999999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1.72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1.1399999999999999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5.82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1.24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5.9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1.45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6.16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1.0900000000000001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2.35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6.71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1.77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1.18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1.0900000000000001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6.58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2.5499999999999998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1.23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0.85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1.38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0.63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6.81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2.64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1.45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1.5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1.61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7.1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2.4300000000000002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1.56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7.03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7.45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0.8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1.54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1.78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1.58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1.51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6.77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0.77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1.34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1.76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7.46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0.61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1.5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1.52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7.33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3.24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1.72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1.46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7.07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7.74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2.02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1.68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2.0499999999999998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1.65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2.0299999999999998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1.72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2.4900000000000002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1.84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2.4700000000000002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1.66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7.52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2.04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7.57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1.28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1.87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7.26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7.51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3.63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7.64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2.08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8.3000000000000007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1.94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2.4700000000000002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1.71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8.25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1.93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8.56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1.87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2.0099999999999998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8.2100000000000009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8.8000000000000007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1.31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7.9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2.14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2.4300000000000002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9.0299999999999994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1.24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2.2799999999999998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8.75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1.07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8.7200000000000006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1.0900000000000001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2.2000000000000002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2.0099999999999998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8.91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1.42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2.44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8.9700000000000006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0.52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1.08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2.5099999999999998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1.0900000000000001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9.01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2.63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9.7100000000000009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2.04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2.8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9.6199999999999992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9.3800000000000008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1.52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2.31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9.86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2.72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2.88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10.48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0.27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9.8800000000000008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1.84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9.5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9.9700000000000006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9.6300000000000008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1.41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2.87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2.85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9.92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2.15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2.44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1.54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10.45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3.04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10.199999999999999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2.64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2.2200000000000002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0.34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3.46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3.42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2.93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3.02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11.08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0.87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1.1399999999999999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3.45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10.130000000000001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2.94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2.89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10.06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10.75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1.82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1.74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11.45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3.23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3.77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11.09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1.81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3.67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11.56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0.69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4.1399999999999997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0.92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1.08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3.89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1.58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11.61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3.95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1.04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4.07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13.21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12.87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1.45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4.22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4.4000000000000004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13.44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4.6100000000000003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12.76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4.74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13.02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1.71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12.32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2.31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4.3099999999999996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12.55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12.82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4.3899999999999997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0.52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5.19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4.8899999999999997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2.2599999999999998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4.53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4.3499999999999996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13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4.6399999999999997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0.47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5.05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1.8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4.8099999999999996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1.47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2.62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12.16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4.12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13.05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1.5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12.27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4.38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0.91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4.84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1.1000000000000001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4.9000000000000004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14.23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4.53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13.94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4.7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4.67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1.1299999999999999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4.5199999999999996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1.66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4.4000000000000004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14.52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1.1499999999999999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4.9000000000000004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14.79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15.43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4.87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0.99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4.1900000000000004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14.83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1.1200000000000001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4.79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14.88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14.22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0.68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4.3899999999999997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16.63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1.22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5.25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15.62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2.6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5.1100000000000003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15.56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1.93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4.59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2.41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4.7699999999999996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15.5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1.94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4.99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15.19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4.17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4.9800000000000004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14.99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15.32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5.28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0.45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15.14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4.92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16.899999999999999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1.1200000000000001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5.72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2.97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5.78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15.8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4.88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16.34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2.57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4.8099999999999996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5.38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2.4900000000000002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5.48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2024-06-22T06:22:49Z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