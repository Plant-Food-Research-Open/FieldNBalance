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6BC482D7-D5F9-4454-B75F-45084CAF6905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D8" i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10" i="3" a="1"/>
  <c r="AI9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I1" i="3" a="1"/>
  <c r="AH10" i="3" a="1"/>
  <c r="AG10" i="3" a="1"/>
  <c r="AH11" i="3" a="1"/>
  <c r="AG11" i="3" a="1"/>
  <c r="AH9" i="3" a="1"/>
  <c r="J10" i="3" a="1"/>
  <c r="AG9" i="3" a="1"/>
  <c r="AG5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M9" i="3" a="1"/>
  <c r="AL10" i="3" a="1"/>
  <c r="AO11" i="3" a="1"/>
  <c r="AO9" i="3" a="1"/>
  <c r="AL9" i="3" a="1"/>
  <c r="AK9" i="3" a="1"/>
  <c r="AJ11" i="3" a="1"/>
  <c r="AK10" i="3" a="1"/>
  <c r="AO10" i="3" a="1"/>
  <c r="AJ10" i="3" a="1"/>
  <c r="AK11" i="3" a="1"/>
  <c r="AM11" i="3" a="1"/>
  <c r="AJ9" i="3" a="1"/>
  <c r="AN9" i="3" a="1"/>
  <c r="AM10" i="3" a="1"/>
  <c r="AN10" i="3" a="1"/>
  <c r="AN11" i="3" a="1"/>
  <c r="AL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<sst xmlns="http://schemas.openxmlformats.org/spreadsheetml/2006/main" count="490" uniqueCount="284">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</sst>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</c:v>
                </c:pt>
                <c:pt idx="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69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83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55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v>Losses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3-4314-85AC-B47E0A9688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1.1933463491776881</c:v>
                </c:pt>
                <c:pt idx="16">
                  <c:v>1.1933463491776881</c:v>
                </c:pt>
                <c:pt idx="17">
                  <c:v>1.1933463491776881</c:v>
                </c:pt>
                <c:pt idx="18">
                  <c:v>1.1933463491776881</c:v>
                </c:pt>
                <c:pt idx="19">
                  <c:v>1.1933463491776881</c:v>
                </c:pt>
                <c:pt idx="20">
                  <c:v>1.1933463491776881</c:v>
                </c:pt>
                <c:pt idx="21">
                  <c:v>1.1933463491776881</c:v>
                </c:pt>
                <c:pt idx="22">
                  <c:v>1.2417541375782293</c:v>
                </c:pt>
                <c:pt idx="23">
                  <c:v>1.3051766035030938</c:v>
                </c:pt>
                <c:pt idx="24">
                  <c:v>1.3711304713170869</c:v>
                </c:pt>
                <c:pt idx="25">
                  <c:v>1.4479362745228936</c:v>
                </c:pt>
                <c:pt idx="26">
                  <c:v>1.5270311214352803</c:v>
                </c:pt>
                <c:pt idx="27">
                  <c:v>1.6093667162790248</c:v>
                </c:pt>
                <c:pt idx="28">
                  <c:v>1.6952564895252</c:v>
                </c:pt>
                <c:pt idx="29">
                  <c:v>1.7779839166601816</c:v>
                </c:pt>
                <c:pt idx="30">
                  <c:v>1.8637802222666306</c:v>
                </c:pt>
                <c:pt idx="31">
                  <c:v>1.9673874090591696</c:v>
                </c:pt>
                <c:pt idx="32">
                  <c:v>2.07668630981818</c:v>
                </c:pt>
                <c:pt idx="33">
                  <c:v>2.2022159755538451</c:v>
                </c:pt>
                <c:pt idx="34">
                  <c:v>2.3196745944380743</c:v>
                </c:pt>
                <c:pt idx="35">
                  <c:v>2.4389623683993809</c:v>
                </c:pt>
                <c:pt idx="36">
                  <c:v>2.5503838733834141</c:v>
                </c:pt>
                <c:pt idx="37">
                  <c:v>2.6813549562410182</c:v>
                </c:pt>
                <c:pt idx="38">
                  <c:v>2.8203362693781853</c:v>
                </c:pt>
                <c:pt idx="39">
                  <c:v>2.9677171166094389</c:v>
                </c:pt>
                <c:pt idx="40">
                  <c:v>3.1280544689698568</c:v>
                </c:pt>
                <c:pt idx="41">
                  <c:v>3.2960798465876056</c:v>
                </c:pt>
                <c:pt idx="42">
                  <c:v>3.4628860649353017</c:v>
                </c:pt>
                <c:pt idx="43">
                  <c:v>3.6190540947310361</c:v>
                </c:pt>
                <c:pt idx="44">
                  <c:v>3.7830413455931913</c:v>
                </c:pt>
                <c:pt idx="45">
                  <c:v>3.9803697888514789</c:v>
                </c:pt>
                <c:pt idx="46">
                  <c:v>4.1703400015708594</c:v>
                </c:pt>
                <c:pt idx="47">
                  <c:v>4.3610312374406863</c:v>
                </c:pt>
                <c:pt idx="48">
                  <c:v>4.5521945654298204</c:v>
                </c:pt>
                <c:pt idx="49">
                  <c:v>4.7531330632687574</c:v>
                </c:pt>
                <c:pt idx="50">
                  <c:v>4.9595420943060891</c:v>
                </c:pt>
                <c:pt idx="51">
                  <c:v>5.170111745137695</c:v>
                </c:pt>
                <c:pt idx="52">
                  <c:v>5.3969532495895338</c:v>
                </c:pt>
                <c:pt idx="53">
                  <c:v>5.617297299075239</c:v>
                </c:pt>
                <c:pt idx="54">
                  <c:v>5.8633793629193889</c:v>
                </c:pt>
                <c:pt idx="55">
                  <c:v>6.1130437754890963</c:v>
                </c:pt>
                <c:pt idx="56">
                  <c:v>6.397657106981586</c:v>
                </c:pt>
                <c:pt idx="57">
                  <c:v>6.6859601934879445</c:v>
                </c:pt>
                <c:pt idx="58">
                  <c:v>7.0049371974419712</c:v>
                </c:pt>
                <c:pt idx="59">
                  <c:v>7.2986926089227318</c:v>
                </c:pt>
                <c:pt idx="60">
                  <c:v>7.5907173385344784</c:v>
                </c:pt>
                <c:pt idx="61">
                  <c:v>7.8969154489643758</c:v>
                </c:pt>
                <c:pt idx="62">
                  <c:v>8.2066182523216789</c:v>
                </c:pt>
                <c:pt idx="63">
                  <c:v>8.541721244482396</c:v>
                </c:pt>
                <c:pt idx="64">
                  <c:v>8.8779341665950486</c:v>
                </c:pt>
                <c:pt idx="65">
                  <c:v>9.2192020846337108</c:v>
                </c:pt>
                <c:pt idx="66">
                  <c:v>9.6156600836331751</c:v>
                </c:pt>
                <c:pt idx="67">
                  <c:v>10.028155997360287</c:v>
                </c:pt>
                <c:pt idx="68">
                  <c:v>10.493362364861699</c:v>
                </c:pt>
                <c:pt idx="69">
                  <c:v>10.940552890570995</c:v>
                </c:pt>
                <c:pt idx="70">
                  <c:v>11.413006907988661</c:v>
                </c:pt>
                <c:pt idx="71">
                  <c:v>11.932870302976578</c:v>
                </c:pt>
                <c:pt idx="72">
                  <c:v>12.493865965760184</c:v>
                </c:pt>
                <c:pt idx="73">
                  <c:v>13.091328674370347</c:v>
                </c:pt>
                <c:pt idx="74">
                  <c:v>13.676937085591945</c:v>
                </c:pt>
                <c:pt idx="75">
                  <c:v>14.284498079587928</c:v>
                </c:pt>
                <c:pt idx="76">
                  <c:v>14.884402797806279</c:v>
                </c:pt>
                <c:pt idx="77">
                  <c:v>15.495047927343164</c:v>
                </c:pt>
                <c:pt idx="78">
                  <c:v>16.170273207229567</c:v>
                </c:pt>
                <c:pt idx="79">
                  <c:v>16.845834166328608</c:v>
                </c:pt>
                <c:pt idx="80">
                  <c:v>17.550533133634605</c:v>
                </c:pt>
                <c:pt idx="81">
                  <c:v>18.210702538349317</c:v>
                </c:pt>
                <c:pt idx="82">
                  <c:v>18.94114471496502</c:v>
                </c:pt>
                <c:pt idx="83">
                  <c:v>19.837487818225327</c:v>
                </c:pt>
                <c:pt idx="84">
                  <c:v>20.794669866206121</c:v>
                </c:pt>
                <c:pt idx="85">
                  <c:v>21.743746229300694</c:v>
                </c:pt>
                <c:pt idx="86">
                  <c:v>22.737849142027446</c:v>
                </c:pt>
                <c:pt idx="87">
                  <c:v>23.728154704576575</c:v>
                </c:pt>
                <c:pt idx="88">
                  <c:v>24.766495249899315</c:v>
                </c:pt>
                <c:pt idx="89">
                  <c:v>25.854874348331119</c:v>
                </c:pt>
                <c:pt idx="90">
                  <c:v>26.921842153486228</c:v>
                </c:pt>
                <c:pt idx="91">
                  <c:v>27.902902731768741</c:v>
                </c:pt>
                <c:pt idx="92">
                  <c:v>28.841250207145574</c:v>
                </c:pt>
                <c:pt idx="93">
                  <c:v>29.923400270285839</c:v>
                </c:pt>
                <c:pt idx="94">
                  <c:v>31.090488891337849</c:v>
                </c:pt>
                <c:pt idx="95">
                  <c:v>32.333011883996051</c:v>
                </c:pt>
                <c:pt idx="96">
                  <c:v>33.652188871207123</c:v>
                </c:pt>
                <c:pt idx="97">
                  <c:v>34.964305687987974</c:v>
                </c:pt>
                <c:pt idx="98">
                  <c:v>36.352476389893859</c:v>
                </c:pt>
                <c:pt idx="99">
                  <c:v>37.769284167892003</c:v>
                </c:pt>
                <c:pt idx="100">
                  <c:v>39.104915783619241</c:v>
                </c:pt>
                <c:pt idx="101">
                  <c:v>40.576297461687325</c:v>
                </c:pt>
                <c:pt idx="102">
                  <c:v>42.050824510204272</c:v>
                </c:pt>
                <c:pt idx="103">
                  <c:v>43.646273863673514</c:v>
                </c:pt>
                <c:pt idx="104">
                  <c:v>45.239778866545429</c:v>
                </c:pt>
                <c:pt idx="105">
                  <c:v>46.881612478151141</c:v>
                </c:pt>
                <c:pt idx="106">
                  <c:v>48.61626275968446</c:v>
                </c:pt>
                <c:pt idx="107">
                  <c:v>50.35965964765024</c:v>
                </c:pt>
                <c:pt idx="108">
                  <c:v>52.325730700127878</c:v>
                </c:pt>
                <c:pt idx="109">
                  <c:v>54.341646660986143</c:v>
                </c:pt>
                <c:pt idx="110">
                  <c:v>56.464318292312512</c:v>
                </c:pt>
                <c:pt idx="111">
                  <c:v>58.53201436454998</c:v>
                </c:pt>
                <c:pt idx="112">
                  <c:v>60.746204312139042</c:v>
                </c:pt>
                <c:pt idx="113">
                  <c:v>62.908146445762014</c:v>
                </c:pt>
                <c:pt idx="114">
                  <c:v>64.990407284609503</c:v>
                </c:pt>
                <c:pt idx="115">
                  <c:v>67.004957389969093</c:v>
                </c:pt>
                <c:pt idx="116">
                  <c:v>69.063008326597796</c:v>
                </c:pt>
                <c:pt idx="117">
                  <c:v>71.210375778539273</c:v>
                </c:pt>
                <c:pt idx="118">
                  <c:v>73.31900809158077</c:v>
                </c:pt>
                <c:pt idx="119">
                  <c:v>75.566212847301244</c:v>
                </c:pt>
                <c:pt idx="120">
                  <c:v>77.928060483701231</c:v>
                </c:pt>
                <c:pt idx="121">
                  <c:v>80.263952981302779</c:v>
                </c:pt>
                <c:pt idx="122">
                  <c:v>82.396508466878473</c:v>
                </c:pt>
                <c:pt idx="123">
                  <c:v>84.643933962864651</c:v>
                </c:pt>
                <c:pt idx="124">
                  <c:v>87.020045888323196</c:v>
                </c:pt>
                <c:pt idx="125">
                  <c:v>89.356698970090065</c:v>
                </c:pt>
                <c:pt idx="126">
                  <c:v>91.865123872331708</c:v>
                </c:pt>
                <c:pt idx="127">
                  <c:v>94.342508856859212</c:v>
                </c:pt>
                <c:pt idx="128">
                  <c:v>96.871808390030779</c:v>
                </c:pt>
                <c:pt idx="129">
                  <c:v>99.370990399836671</c:v>
                </c:pt>
                <c:pt idx="130">
                  <c:v>102.05550715050273</c:v>
                </c:pt>
                <c:pt idx="131">
                  <c:v>104.52979267790566</c:v>
                </c:pt>
                <c:pt idx="132">
                  <c:v>106.79732753233169</c:v>
                </c:pt>
                <c:pt idx="133">
                  <c:v>109.01796820779862</c:v>
                </c:pt>
                <c:pt idx="134">
                  <c:v>111.09955831819364</c:v>
                </c:pt>
                <c:pt idx="135">
                  <c:v>113.220269215979</c:v>
                </c:pt>
                <c:pt idx="136">
                  <c:v>115.47541041094067</c:v>
                </c:pt>
                <c:pt idx="137">
                  <c:v>117.83265663186418</c:v>
                </c:pt>
                <c:pt idx="138">
                  <c:v>120.23640485493819</c:v>
                </c:pt>
                <c:pt idx="139">
                  <c:v>122.50903107509895</c:v>
                </c:pt>
                <c:pt idx="140">
                  <c:v>124.8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64.950199094381503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50.852731365529124</c:v>
                </c:pt>
                <c:pt idx="2">
                  <c:v>51.56053273453152</c:v>
                </c:pt>
                <c:pt idx="3">
                  <c:v>51.399106020695584</c:v>
                </c:pt>
                <c:pt idx="4">
                  <c:v>51.317617003074702</c:v>
                </c:pt>
                <c:pt idx="5">
                  <c:v>50.236119267768856</c:v>
                </c:pt>
                <c:pt idx="6">
                  <c:v>50.226347572105055</c:v>
                </c:pt>
                <c:pt idx="7">
                  <c:v>50.515089467530011</c:v>
                </c:pt>
                <c:pt idx="8">
                  <c:v>51.073456470238519</c:v>
                </c:pt>
                <c:pt idx="9">
                  <c:v>51.734017084832161</c:v>
                </c:pt>
                <c:pt idx="10">
                  <c:v>52.694084160754649</c:v>
                </c:pt>
                <c:pt idx="11">
                  <c:v>53.650764358331863</c:v>
                </c:pt>
                <c:pt idx="12">
                  <c:v>53.95917214254019</c:v>
                </c:pt>
                <c:pt idx="13">
                  <c:v>54.307804347031933</c:v>
                </c:pt>
                <c:pt idx="14">
                  <c:v>53.854143112870382</c:v>
                </c:pt>
                <c:pt idx="15">
                  <c:v>55.117175463725779</c:v>
                </c:pt>
                <c:pt idx="16">
                  <c:v>57.495863786530315</c:v>
                </c:pt>
                <c:pt idx="17">
                  <c:v>57.8609568052564</c:v>
                </c:pt>
                <c:pt idx="18">
                  <c:v>58.183696515041255</c:v>
                </c:pt>
                <c:pt idx="19">
                  <c:v>58.430864608100627</c:v>
                </c:pt>
                <c:pt idx="20">
                  <c:v>58.997327858169619</c:v>
                </c:pt>
                <c:pt idx="21">
                  <c:v>58.686219795230564</c:v>
                </c:pt>
                <c:pt idx="22">
                  <c:v>59.081157824178355</c:v>
                </c:pt>
                <c:pt idx="23">
                  <c:v>59.323196189136098</c:v>
                </c:pt>
                <c:pt idx="24">
                  <c:v>59.860155965450311</c:v>
                </c:pt>
                <c:pt idx="25">
                  <c:v>60.24595385397734</c:v>
                </c:pt>
                <c:pt idx="26">
                  <c:v>60.014549695091468</c:v>
                </c:pt>
                <c:pt idx="27">
                  <c:v>59.426021587551752</c:v>
                </c:pt>
                <c:pt idx="28">
                  <c:v>59.777955644659329</c:v>
                </c:pt>
                <c:pt idx="29">
                  <c:v>60.323823523029226</c:v>
                </c:pt>
                <c:pt idx="30">
                  <c:v>60.872742074698735</c:v>
                </c:pt>
                <c:pt idx="31">
                  <c:v>60.365100866703187</c:v>
                </c:pt>
                <c:pt idx="32">
                  <c:v>59.125829167974672</c:v>
                </c:pt>
                <c:pt idx="33">
                  <c:v>60.027708003981665</c:v>
                </c:pt>
                <c:pt idx="34">
                  <c:v>59.329831620467097</c:v>
                </c:pt>
                <c:pt idx="35">
                  <c:v>60.052554835265248</c:v>
                </c:pt>
                <c:pt idx="36">
                  <c:v>60.304093645648564</c:v>
                </c:pt>
                <c:pt idx="37">
                  <c:v>60.438396607798296</c:v>
                </c:pt>
                <c:pt idx="38">
                  <c:v>60.641869532745943</c:v>
                </c:pt>
                <c:pt idx="39">
                  <c:v>59.814770978822196</c:v>
                </c:pt>
                <c:pt idx="40">
                  <c:v>57.058510492024439</c:v>
                </c:pt>
                <c:pt idx="41">
                  <c:v>55.300355171334772</c:v>
                </c:pt>
                <c:pt idx="42">
                  <c:v>55.681109881352334</c:v>
                </c:pt>
                <c:pt idx="43">
                  <c:v>55.969562588369762</c:v>
                </c:pt>
                <c:pt idx="44">
                  <c:v>55.904055486647835</c:v>
                </c:pt>
                <c:pt idx="45">
                  <c:v>55.702056720287572</c:v>
                </c:pt>
                <c:pt idx="46">
                  <c:v>55.663240322209262</c:v>
                </c:pt>
                <c:pt idx="47">
                  <c:v>56.168596718048974</c:v>
                </c:pt>
                <c:pt idx="48">
                  <c:v>56.076929383048409</c:v>
                </c:pt>
                <c:pt idx="49">
                  <c:v>56.623600627662356</c:v>
                </c:pt>
                <c:pt idx="50">
                  <c:v>56.899253658396191</c:v>
                </c:pt>
                <c:pt idx="51">
                  <c:v>56.861715814042284</c:v>
                </c:pt>
                <c:pt idx="52">
                  <c:v>56.959940853866357</c:v>
                </c:pt>
                <c:pt idx="53">
                  <c:v>57.435425380714065</c:v>
                </c:pt>
                <c:pt idx="54">
                  <c:v>57.137402841072436</c:v>
                </c:pt>
                <c:pt idx="55">
                  <c:v>57.60447509573337</c:v>
                </c:pt>
                <c:pt idx="56">
                  <c:v>58.091211916881257</c:v>
                </c:pt>
                <c:pt idx="57">
                  <c:v>58.445963204832708</c:v>
                </c:pt>
                <c:pt idx="58">
                  <c:v>57.717188771243904</c:v>
                </c:pt>
                <c:pt idx="59">
                  <c:v>57.277349839168714</c:v>
                </c:pt>
                <c:pt idx="60">
                  <c:v>56.634451917358369</c:v>
                </c:pt>
                <c:pt idx="61">
                  <c:v>56.629401963866435</c:v>
                </c:pt>
                <c:pt idx="62">
                  <c:v>55.868403299309108</c:v>
                </c:pt>
                <c:pt idx="63">
                  <c:v>56.025046259709761</c:v>
                </c:pt>
                <c:pt idx="64">
                  <c:v>55.077235667229807</c:v>
                </c:pt>
                <c:pt idx="65">
                  <c:v>54.376053902197334</c:v>
                </c:pt>
                <c:pt idx="66">
                  <c:v>54.363373986540289</c:v>
                </c:pt>
                <c:pt idx="67">
                  <c:v>53.114334956088634</c:v>
                </c:pt>
                <c:pt idx="68">
                  <c:v>52.350991261619853</c:v>
                </c:pt>
                <c:pt idx="69">
                  <c:v>52.583470277031125</c:v>
                </c:pt>
                <c:pt idx="70">
                  <c:v>52.766136592457045</c:v>
                </c:pt>
                <c:pt idx="71">
                  <c:v>52.470009353291402</c:v>
                </c:pt>
                <c:pt idx="72">
                  <c:v>51.944814727801578</c:v>
                </c:pt>
                <c:pt idx="73">
                  <c:v>51.111532432640672</c:v>
                </c:pt>
                <c:pt idx="74">
                  <c:v>50.048098096175238</c:v>
                </c:pt>
                <c:pt idx="75">
                  <c:v>49.866399553662696</c:v>
                </c:pt>
                <c:pt idx="76">
                  <c:v>49.960020697998729</c:v>
                </c:pt>
                <c:pt idx="77">
                  <c:v>50.029547935727123</c:v>
                </c:pt>
                <c:pt idx="78">
                  <c:v>50.07141693253439</c:v>
                </c:pt>
                <c:pt idx="79">
                  <c:v>50.087729472372203</c:v>
                </c:pt>
                <c:pt idx="80">
                  <c:v>49.662988971840889</c:v>
                </c:pt>
                <c:pt idx="81">
                  <c:v>49.588732943602764</c:v>
                </c:pt>
                <c:pt idx="82">
                  <c:v>49.109582897779873</c:v>
                </c:pt>
                <c:pt idx="83">
                  <c:v>47.851664633159849</c:v>
                </c:pt>
                <c:pt idx="84">
                  <c:v>46.829675292404183</c:v>
                </c:pt>
                <c:pt idx="85">
                  <c:v>46.462037417153908</c:v>
                </c:pt>
                <c:pt idx="86">
                  <c:v>45.002929854021154</c:v>
                </c:pt>
                <c:pt idx="87">
                  <c:v>44.342910086335429</c:v>
                </c:pt>
                <c:pt idx="88">
                  <c:v>43.220124508605551</c:v>
                </c:pt>
                <c:pt idx="89">
                  <c:v>42.616314965953386</c:v>
                </c:pt>
                <c:pt idx="90">
                  <c:v>41.677361670739018</c:v>
                </c:pt>
                <c:pt idx="91">
                  <c:v>40.862757983430576</c:v>
                </c:pt>
                <c:pt idx="92">
                  <c:v>40.500689243245333</c:v>
                </c:pt>
                <c:pt idx="93">
                  <c:v>39.330662541053883</c:v>
                </c:pt>
                <c:pt idx="94">
                  <c:v>38.058318180888101</c:v>
                </c:pt>
                <c:pt idx="95">
                  <c:v>37.122780149802402</c:v>
                </c:pt>
                <c:pt idx="96">
                  <c:v>35.435802853000624</c:v>
                </c:pt>
                <c:pt idx="97">
                  <c:v>34.429421928868855</c:v>
                </c:pt>
                <c:pt idx="98">
                  <c:v>33.694432188794622</c:v>
                </c:pt>
                <c:pt idx="99">
                  <c:v>32.05628775364918</c:v>
                </c:pt>
                <c:pt idx="100">
                  <c:v>31.04231544263909</c:v>
                </c:pt>
                <c:pt idx="101">
                  <c:v>30.166119911584854</c:v>
                </c:pt>
                <c:pt idx="102">
                  <c:v>29.012386129355072</c:v>
                </c:pt>
                <c:pt idx="103">
                  <c:v>28.020590076556736</c:v>
                </c:pt>
                <c:pt idx="104">
                  <c:v>26.70556123691194</c:v>
                </c:pt>
                <c:pt idx="105">
                  <c:v>25.749706576989244</c:v>
                </c:pt>
                <c:pt idx="106">
                  <c:v>24.726621926970275</c:v>
                </c:pt>
                <c:pt idx="107">
                  <c:v>23.681973586581805</c:v>
                </c:pt>
                <c:pt idx="108">
                  <c:v>22.309035981462458</c:v>
                </c:pt>
                <c:pt idx="109">
                  <c:v>21.061595860744596</c:v>
                </c:pt>
                <c:pt idx="110">
                  <c:v>84.68038232235449</c:v>
                </c:pt>
                <c:pt idx="111">
                  <c:v>82.841767754862587</c:v>
                </c:pt>
                <c:pt idx="112">
                  <c:v>81.419269347104361</c:v>
                </c:pt>
                <c:pt idx="113">
                  <c:v>80.015143003784416</c:v>
                </c:pt>
                <c:pt idx="114">
                  <c:v>78.650913890973399</c:v>
                </c:pt>
                <c:pt idx="115">
                  <c:v>77.177556259803453</c:v>
                </c:pt>
                <c:pt idx="116">
                  <c:v>75.81033053438891</c:v>
                </c:pt>
                <c:pt idx="117">
                  <c:v>74.373931279960644</c:v>
                </c:pt>
                <c:pt idx="118">
                  <c:v>72.291419549976865</c:v>
                </c:pt>
                <c:pt idx="119">
                  <c:v>69.075339806648756</c:v>
                </c:pt>
                <c:pt idx="120">
                  <c:v>67.471378365326373</c:v>
                </c:pt>
                <c:pt idx="121">
                  <c:v>65.87891312898202</c:v>
                </c:pt>
                <c:pt idx="122">
                  <c:v>64.104713098913336</c:v>
                </c:pt>
                <c:pt idx="123">
                  <c:v>61.96095518741847</c:v>
                </c:pt>
                <c:pt idx="124">
                  <c:v>58.788795348992693</c:v>
                </c:pt>
                <c:pt idx="125">
                  <c:v>57.151539497648706</c:v>
                </c:pt>
                <c:pt idx="126">
                  <c:v>55.428171092876056</c:v>
                </c:pt>
                <c:pt idx="127">
                  <c:v>53.611084065051621</c:v>
                </c:pt>
                <c:pt idx="128">
                  <c:v>51.876109585012301</c:v>
                </c:pt>
                <c:pt idx="129">
                  <c:v>50.106582837909421</c:v>
                </c:pt>
                <c:pt idx="130">
                  <c:v>47.606821398895157</c:v>
                </c:pt>
                <c:pt idx="131">
                  <c:v>45.442369675311788</c:v>
                </c:pt>
                <c:pt idx="132">
                  <c:v>42.321075726757698</c:v>
                </c:pt>
                <c:pt idx="133">
                  <c:v>40.429066519857749</c:v>
                </c:pt>
                <c:pt idx="134">
                  <c:v>39.030640442304005</c:v>
                </c:pt>
                <c:pt idx="135">
                  <c:v>37.350118801429275</c:v>
                </c:pt>
                <c:pt idx="136">
                  <c:v>35.853654974867503</c:v>
                </c:pt>
                <c:pt idx="137">
                  <c:v>33.65600377430868</c:v>
                </c:pt>
                <c:pt idx="138">
                  <c:v>32.094546324204153</c:v>
                </c:pt>
                <c:pt idx="139">
                  <c:v>30.631841584853007</c:v>
                </c:pt>
                <c:pt idx="140">
                  <c:v>29.170805712466013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-0.23964846975809456</c:v>
                </c:pt>
                <c:pt idx="3">
                  <c:v>-1.3237971495047658</c:v>
                </c:pt>
                <c:pt idx="4">
                  <c:v>-2.3638341874337483</c:v>
                </c:pt>
                <c:pt idx="5">
                  <c:v>-4.4692372265429361</c:v>
                </c:pt>
                <c:pt idx="6">
                  <c:v>-5.4733274271365868</c:v>
                </c:pt>
                <c:pt idx="7">
                  <c:v>-6.1437871218375131</c:v>
                </c:pt>
                <c:pt idx="8">
                  <c:v>-6.5066307212826002</c:v>
                </c:pt>
                <c:pt idx="9">
                  <c:v>-6.805788298338368</c:v>
                </c:pt>
                <c:pt idx="10">
                  <c:v>-6.805788298338368</c:v>
                </c:pt>
                <c:pt idx="11">
                  <c:v>-6.8071457381776028</c:v>
                </c:pt>
                <c:pt idx="12">
                  <c:v>-7.3479886867831237</c:v>
                </c:pt>
                <c:pt idx="13">
                  <c:v>-7.9012986354202734</c:v>
                </c:pt>
                <c:pt idx="14">
                  <c:v>-9.2833988763517397</c:v>
                </c:pt>
                <c:pt idx="15">
                  <c:v>-9.9373234984572356</c:v>
                </c:pt>
                <c:pt idx="16">
                  <c:v>-11.515179937445069</c:v>
                </c:pt>
                <c:pt idx="17">
                  <c:v>-12.060079208924133</c:v>
                </c:pt>
                <c:pt idx="18">
                  <c:v>-12.627243763649012</c:v>
                </c:pt>
                <c:pt idx="19">
                  <c:v>-13.315881141899846</c:v>
                </c:pt>
                <c:pt idx="20">
                  <c:v>-13.595306167175931</c:v>
                </c:pt>
                <c:pt idx="21">
                  <c:v>-14.758824263985723</c:v>
                </c:pt>
                <c:pt idx="22">
                  <c:v>-15.191572338831225</c:v>
                </c:pt>
                <c:pt idx="23">
                  <c:v>-15.763310389059855</c:v>
                </c:pt>
                <c:pt idx="24">
                  <c:v>-16.030338736975299</c:v>
                </c:pt>
                <c:pt idx="25">
                  <c:v>-16.524704810484316</c:v>
                </c:pt>
                <c:pt idx="26">
                  <c:v>-17.612098868872767</c:v>
                </c:pt>
                <c:pt idx="27">
                  <c:v>-19.042285121746513</c:v>
                </c:pt>
                <c:pt idx="28">
                  <c:v>-19.519642419720533</c:v>
                </c:pt>
                <c:pt idx="29">
                  <c:v>-19.73558422276674</c:v>
                </c:pt>
                <c:pt idx="30">
                  <c:v>-19.936728935709219</c:v>
                </c:pt>
                <c:pt idx="31">
                  <c:v>-21.289782051657667</c:v>
                </c:pt>
                <c:pt idx="32">
                  <c:v>-23.367240895640823</c:v>
                </c:pt>
                <c:pt idx="33">
                  <c:v>-23.367240895640823</c:v>
                </c:pt>
                <c:pt idx="34">
                  <c:v>-24.857227599411143</c:v>
                </c:pt>
                <c:pt idx="35">
                  <c:v>-24.893607263064968</c:v>
                </c:pt>
                <c:pt idx="36">
                  <c:v>-25.322028519660577</c:v>
                </c:pt>
                <c:pt idx="37">
                  <c:v>-25.931142447212213</c:v>
                </c:pt>
                <c:pt idx="38">
                  <c:v>-26.468833690402565</c:v>
                </c:pt>
                <c:pt idx="39">
                  <c:v>-28.033553423979001</c:v>
                </c:pt>
                <c:pt idx="40">
                  <c:v>-31.540419094914903</c:v>
                </c:pt>
                <c:pt idx="41">
                  <c:v>-34.034705549468931</c:v>
                </c:pt>
                <c:pt idx="42">
                  <c:v>-34.341355140119859</c:v>
                </c:pt>
                <c:pt idx="43">
                  <c:v>-34.668087601142979</c:v>
                </c:pt>
                <c:pt idx="44">
                  <c:v>-35.342339122534113</c:v>
                </c:pt>
                <c:pt idx="45">
                  <c:v>-36.219686879687863</c:v>
                </c:pt>
                <c:pt idx="46">
                  <c:v>-36.872640890076212</c:v>
                </c:pt>
                <c:pt idx="47">
                  <c:v>-36.949974465267729</c:v>
                </c:pt>
                <c:pt idx="48">
                  <c:v>-37.595428049557839</c:v>
                </c:pt>
                <c:pt idx="49">
                  <c:v>-37.595428049557839</c:v>
                </c:pt>
                <c:pt idx="50">
                  <c:v>-37.849372476353508</c:v>
                </c:pt>
                <c:pt idx="51">
                  <c:v>-38.397387563546815</c:v>
                </c:pt>
                <c:pt idx="52">
                  <c:v>-38.811461568362745</c:v>
                </c:pt>
                <c:pt idx="53">
                  <c:v>-38.811461568362745</c:v>
                </c:pt>
                <c:pt idx="54">
                  <c:v>-39.598599007337455</c:v>
                </c:pt>
                <c:pt idx="55">
                  <c:v>-39.598599007337455</c:v>
                </c:pt>
                <c:pt idx="56">
                  <c:v>-39.598599007337455</c:v>
                </c:pt>
                <c:pt idx="57">
                  <c:v>-39.704137533054222</c:v>
                </c:pt>
                <c:pt idx="58">
                  <c:v>-40.899301581117314</c:v>
                </c:pt>
                <c:pt idx="59">
                  <c:v>-41.74783646525642</c:v>
                </c:pt>
                <c:pt idx="60">
                  <c:v>-42.773987070866298</c:v>
                </c:pt>
                <c:pt idx="61">
                  <c:v>-43.151352274097974</c:v>
                </c:pt>
                <c:pt idx="62">
                  <c:v>-44.265157717265069</c:v>
                </c:pt>
                <c:pt idx="63">
                  <c:v>-44.456454831740253</c:v>
                </c:pt>
                <c:pt idx="64">
                  <c:v>-45.730415239347479</c:v>
                </c:pt>
                <c:pt idx="65">
                  <c:v>-46.739603277422177</c:v>
                </c:pt>
                <c:pt idx="66">
                  <c:v>-47.065941096338477</c:v>
                </c:pt>
                <c:pt idx="67">
                  <c:v>-48.610413584105089</c:v>
                </c:pt>
                <c:pt idx="68">
                  <c:v>-49.665627477534954</c:v>
                </c:pt>
                <c:pt idx="69">
                  <c:v>-49.688794687628025</c:v>
                </c:pt>
                <c:pt idx="70">
                  <c:v>-49.744007949395787</c:v>
                </c:pt>
                <c:pt idx="71">
                  <c:v>-50.264145433419721</c:v>
                </c:pt>
                <c:pt idx="72">
                  <c:v>-50.993631309814496</c:v>
                </c:pt>
                <c:pt idx="73">
                  <c:v>-52.006972996305116</c:v>
                </c:pt>
                <c:pt idx="74">
                  <c:v>-53.216976434624527</c:v>
                </c:pt>
                <c:pt idx="75">
                  <c:v>-53.519065637717731</c:v>
                </c:pt>
                <c:pt idx="76">
                  <c:v>-53.519065637717731</c:v>
                </c:pt>
                <c:pt idx="77">
                  <c:v>-53.519065637717731</c:v>
                </c:pt>
                <c:pt idx="78">
                  <c:v>-53.519065637717731</c:v>
                </c:pt>
                <c:pt idx="79">
                  <c:v>-53.519065637717731</c:v>
                </c:pt>
                <c:pt idx="80">
                  <c:v>-53.932516537463499</c:v>
                </c:pt>
                <c:pt idx="81">
                  <c:v>-53.981674064033683</c:v>
                </c:pt>
                <c:pt idx="82">
                  <c:v>-54.4008848513785</c:v>
                </c:pt>
                <c:pt idx="83">
                  <c:v>-55.541973677282861</c:v>
                </c:pt>
                <c:pt idx="84">
                  <c:v>-56.403368226284591</c:v>
                </c:pt>
                <c:pt idx="85">
                  <c:v>-56.579923968469778</c:v>
                </c:pt>
                <c:pt idx="86">
                  <c:v>-57.806742969272875</c:v>
                </c:pt>
                <c:pt idx="87">
                  <c:v>-58.207242991965693</c:v>
                </c:pt>
                <c:pt idx="88">
                  <c:v>-59.028425357629196</c:v>
                </c:pt>
                <c:pt idx="89">
                  <c:v>-59.286593758437434</c:v>
                </c:pt>
                <c:pt idx="90">
                  <c:v>-59.862707781068607</c:v>
                </c:pt>
                <c:pt idx="91">
                  <c:v>-60.330793634838223</c:v>
                </c:pt>
                <c:pt idx="92">
                  <c:v>-60.35086788950661</c:v>
                </c:pt>
                <c:pt idx="93">
                  <c:v>-61.093818404811095</c:v>
                </c:pt>
                <c:pt idx="94">
                  <c:v>-61.879805410720742</c:v>
                </c:pt>
                <c:pt idx="95">
                  <c:v>-62.27233845995692</c:v>
                </c:pt>
                <c:pt idx="96">
                  <c:v>-63.357393014563002</c:v>
                </c:pt>
                <c:pt idx="97">
                  <c:v>-63.744200085276901</c:v>
                </c:pt>
                <c:pt idx="98">
                  <c:v>-63.799869147154041</c:v>
                </c:pt>
                <c:pt idx="99">
                  <c:v>-64.723183151235233</c:v>
                </c:pt>
                <c:pt idx="100">
                  <c:v>-65.049712318601422</c:v>
                </c:pt>
                <c:pt idx="101">
                  <c:v>-65.144407703715174</c:v>
                </c:pt>
                <c:pt idx="102">
                  <c:v>-65.497517875764913</c:v>
                </c:pt>
                <c:pt idx="103">
                  <c:v>-65.600909792192326</c:v>
                </c:pt>
                <c:pt idx="104">
                  <c:v>-66.011246546154268</c:v>
                </c:pt>
                <c:pt idx="105">
                  <c:v>-66.016918945284274</c:v>
                </c:pt>
                <c:pt idx="106">
                  <c:v>-66.016918945284274</c:v>
                </c:pt>
                <c:pt idx="107">
                  <c:v>-66.016918945284274</c:v>
                </c:pt>
                <c:pt idx="108">
                  <c:v>-66.191389072353147</c:v>
                </c:pt>
                <c:pt idx="109">
                  <c:v>-66.191389072353147</c:v>
                </c:pt>
                <c:pt idx="110">
                  <c:v>-66.191389072353147</c:v>
                </c:pt>
                <c:pt idx="111">
                  <c:v>-66.716066496046366</c:v>
                </c:pt>
                <c:pt idx="112">
                  <c:v>-66.716066496046366</c:v>
                </c:pt>
                <c:pt idx="113">
                  <c:v>-66.716066496046366</c:v>
                </c:pt>
                <c:pt idx="114">
                  <c:v>-66.716066496046366</c:v>
                </c:pt>
                <c:pt idx="115">
                  <c:v>-66.860590353819319</c:v>
                </c:pt>
                <c:pt idx="116">
                  <c:v>-66.860590353819319</c:v>
                </c:pt>
                <c:pt idx="117">
                  <c:v>-66.860590353819319</c:v>
                </c:pt>
                <c:pt idx="118">
                  <c:v>-67.525465419212708</c:v>
                </c:pt>
                <c:pt idx="119">
                  <c:v>-69.222115939565001</c:v>
                </c:pt>
                <c:pt idx="120">
                  <c:v>-69.222115939565001</c:v>
                </c:pt>
                <c:pt idx="121">
                  <c:v>-69.222115939565001</c:v>
                </c:pt>
                <c:pt idx="122">
                  <c:v>-69.539857669338318</c:v>
                </c:pt>
                <c:pt idx="123">
                  <c:v>-70.143842284686983</c:v>
                </c:pt>
                <c:pt idx="124">
                  <c:v>-71.684960734357389</c:v>
                </c:pt>
                <c:pt idx="125">
                  <c:v>-71.716435495240148</c:v>
                </c:pt>
                <c:pt idx="126">
                  <c:v>-71.716435495240148</c:v>
                </c:pt>
                <c:pt idx="127">
                  <c:v>-71.831583088621827</c:v>
                </c:pt>
                <c:pt idx="128">
                  <c:v>-71.831583088621827</c:v>
                </c:pt>
                <c:pt idx="129">
                  <c:v>-71.889532758825453</c:v>
                </c:pt>
                <c:pt idx="130">
                  <c:v>-72.560719945156549</c:v>
                </c:pt>
                <c:pt idx="131">
                  <c:v>-73.041223610592894</c:v>
                </c:pt>
                <c:pt idx="132">
                  <c:v>-74.623786503204201</c:v>
                </c:pt>
                <c:pt idx="133">
                  <c:v>-75.015655484196671</c:v>
                </c:pt>
                <c:pt idx="134">
                  <c:v>-75.015655484196671</c:v>
                </c:pt>
                <c:pt idx="135">
                  <c:v>-75.278946837369844</c:v>
                </c:pt>
                <c:pt idx="136">
                  <c:v>-75.278946837369844</c:v>
                </c:pt>
                <c:pt idx="137">
                  <c:v>-75.927678543146357</c:v>
                </c:pt>
                <c:pt idx="138">
                  <c:v>-75.927678543146357</c:v>
                </c:pt>
                <c:pt idx="139">
                  <c:v>-75.927678543146357</c:v>
                </c:pt>
                <c:pt idx="140">
                  <c:v>-75.927678543146357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95.599318636101231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-1.7516252521725562E-2</c:v>
                </c:pt>
                <c:pt idx="2">
                  <c:v>-6.7216090829724795E-4</c:v>
                </c:pt>
                <c:pt idx="3">
                  <c:v>4.543706656629809E-2</c:v>
                </c:pt>
                <c:pt idx="4">
                  <c:v>0.11877284445434166</c:v>
                </c:pt>
                <c:pt idx="5">
                  <c:v>0.22013730708327378</c:v>
                </c:pt>
                <c:pt idx="6">
                  <c:v>0.33940104901605833</c:v>
                </c:pt>
                <c:pt idx="7">
                  <c:v>0.47174910821794735</c:v>
                </c:pt>
                <c:pt idx="8">
                  <c:v>0.61334433964534529</c:v>
                </c:pt>
                <c:pt idx="9">
                  <c:v>0.77152030301229291</c:v>
                </c:pt>
                <c:pt idx="10">
                  <c:v>0.9403250305331825</c:v>
                </c:pt>
                <c:pt idx="11">
                  <c:v>1.1180225276746927</c:v>
                </c:pt>
                <c:pt idx="12">
                  <c:v>1.2869846382376147</c:v>
                </c:pt>
                <c:pt idx="13">
                  <c:v>1.4700693737878372</c:v>
                </c:pt>
                <c:pt idx="14">
                  <c:v>1.6630070197704347</c:v>
                </c:pt>
                <c:pt idx="15">
                  <c:v>1.8590392293564044</c:v>
                </c:pt>
                <c:pt idx="16">
                  <c:v>2.0660286673296406</c:v>
                </c:pt>
                <c:pt idx="17">
                  <c:v>2.2688076920862845</c:v>
                </c:pt>
                <c:pt idx="18">
                  <c:v>2.4710851270202205</c:v>
                </c:pt>
                <c:pt idx="19">
                  <c:v>2.683894736193456</c:v>
                </c:pt>
                <c:pt idx="20">
                  <c:v>2.8828653290556856</c:v>
                </c:pt>
                <c:pt idx="21">
                  <c:v>3.0844871572256132</c:v>
                </c:pt>
                <c:pt idx="22">
                  <c:v>3.2915350086031205</c:v>
                </c:pt>
                <c:pt idx="23">
                  <c:v>3.4996878488980383</c:v>
                </c:pt>
                <c:pt idx="24">
                  <c:v>3.7071414504177955</c:v>
                </c:pt>
                <c:pt idx="25">
                  <c:v>3.9307035065435052</c:v>
                </c:pt>
                <c:pt idx="26">
                  <c:v>4.150368076376707</c:v>
                </c:pt>
                <c:pt idx="27">
                  <c:v>4.3678297565992139</c:v>
                </c:pt>
                <c:pt idx="28">
                  <c:v>4.5832680289197887</c:v>
                </c:pt>
                <c:pt idx="29">
                  <c:v>4.785384432342914</c:v>
                </c:pt>
                <c:pt idx="30">
                  <c:v>4.9852127888504771</c:v>
                </c:pt>
                <c:pt idx="31">
                  <c:v>5.2043052326024899</c:v>
                </c:pt>
                <c:pt idx="32">
                  <c:v>5.4218646276227114</c:v>
                </c:pt>
                <c:pt idx="33">
                  <c:v>5.6521467199297746</c:v>
                </c:pt>
                <c:pt idx="34">
                  <c:v>5.8599404025306958</c:v>
                </c:pt>
                <c:pt idx="35">
                  <c:v>6.060698474120267</c:v>
                </c:pt>
                <c:pt idx="36">
                  <c:v>6.2449157409563449</c:v>
                </c:pt>
                <c:pt idx="37">
                  <c:v>6.4416711326916101</c:v>
                </c:pt>
                <c:pt idx="38">
                  <c:v>6.6375315353376738</c:v>
                </c:pt>
                <c:pt idx="39">
                  <c:v>6.8322258832766254</c:v>
                </c:pt>
                <c:pt idx="40">
                  <c:v>7.0291202236946191</c:v>
                </c:pt>
                <c:pt idx="41">
                  <c:v>7.2226512050313314</c:v>
                </c:pt>
                <c:pt idx="42">
                  <c:v>7.4058403585363202</c:v>
                </c:pt>
                <c:pt idx="43">
                  <c:v>7.5737311856849665</c:v>
                </c:pt>
                <c:pt idx="44">
                  <c:v>7.7399165518256057</c:v>
                </c:pt>
                <c:pt idx="45">
                  <c:v>7.9195988319676545</c:v>
                </c:pt>
                <c:pt idx="46">
                  <c:v>8.0864008138078738</c:v>
                </c:pt>
                <c:pt idx="47">
                  <c:v>8.2464154289967304</c:v>
                </c:pt>
                <c:pt idx="48">
                  <c:v>8.4001373729941307</c:v>
                </c:pt>
                <c:pt idx="49">
                  <c:v>8.5522556842101398</c:v>
                </c:pt>
                <c:pt idx="50">
                  <c:v>8.7006735129068833</c:v>
                </c:pt>
                <c:pt idx="51">
                  <c:v>8.8449618331434454</c:v>
                </c:pt>
                <c:pt idx="52">
                  <c:v>8.9898311946135259</c:v>
                </c:pt>
                <c:pt idx="53">
                  <c:v>9.1266629489161506</c:v>
                </c:pt>
                <c:pt idx="54">
                  <c:v>9.2669788043059285</c:v>
                </c:pt>
                <c:pt idx="55">
                  <c:v>9.4027606575837783</c:v>
                </c:pt>
                <c:pt idx="56">
                  <c:v>9.5437952263961066</c:v>
                </c:pt>
                <c:pt idx="57">
                  <c:v>9.6796435875154305</c:v>
                </c:pt>
                <c:pt idx="58">
                  <c:v>9.8180925234608996</c:v>
                </c:pt>
                <c:pt idx="59">
                  <c:v>9.9437853135711283</c:v>
                </c:pt>
                <c:pt idx="60">
                  <c:v>10.064158639064839</c:v>
                </c:pt>
                <c:pt idx="61">
                  <c:v>10.183088908009232</c:v>
                </c:pt>
                <c:pt idx="62">
                  <c:v>10.298243502027836</c:v>
                </c:pt>
                <c:pt idx="63">
                  <c:v>10.41404568653412</c:v>
                </c:pt>
                <c:pt idx="64">
                  <c:v>10.525577577749143</c:v>
                </c:pt>
                <c:pt idx="65">
                  <c:v>10.633832110073381</c:v>
                </c:pt>
                <c:pt idx="66">
                  <c:v>10.747234724029616</c:v>
                </c:pt>
                <c:pt idx="67">
                  <c:v>10.858450806769195</c:v>
                </c:pt>
                <c:pt idx="68">
                  <c:v>10.973106668103725</c:v>
                </c:pt>
                <c:pt idx="69">
                  <c:v>11.079841261268413</c:v>
                </c:pt>
                <c:pt idx="70">
                  <c:v>11.185480125396523</c:v>
                </c:pt>
                <c:pt idx="71">
                  <c:v>11.292685440983471</c:v>
                </c:pt>
                <c:pt idx="72">
                  <c:v>11.400049846316085</c:v>
                </c:pt>
                <c:pt idx="73">
                  <c:v>11.506550580744772</c:v>
                </c:pt>
                <c:pt idx="74">
                  <c:v>11.606510971496164</c:v>
                </c:pt>
                <c:pt idx="75">
                  <c:v>11.70414704224476</c:v>
                </c:pt>
                <c:pt idx="76">
                  <c:v>11.796670401757076</c:v>
                </c:pt>
                <c:pt idx="77">
                  <c:v>11.886222637866389</c:v>
                </c:pt>
                <c:pt idx="78">
                  <c:v>11.977423989778568</c:v>
                </c:pt>
                <c:pt idx="79">
                  <c:v>12.06460275823218</c:v>
                </c:pt>
                <c:pt idx="80">
                  <c:v>12.150229414043874</c:v>
                </c:pt>
                <c:pt idx="81">
                  <c:v>12.229228866841495</c:v>
                </c:pt>
                <c:pt idx="82">
                  <c:v>12.309718753219531</c:v>
                </c:pt>
                <c:pt idx="83">
                  <c:v>12.39758182980113</c:v>
                </c:pt>
                <c:pt idx="84">
                  <c:v>12.484909709463505</c:v>
                </c:pt>
                <c:pt idx="85">
                  <c:v>12.567259054833968</c:v>
                </c:pt>
                <c:pt idx="86">
                  <c:v>12.648119740051321</c:v>
                </c:pt>
                <c:pt idx="87">
                  <c:v>12.724880642327047</c:v>
                </c:pt>
                <c:pt idx="88">
                  <c:v>12.800436177983585</c:v>
                </c:pt>
                <c:pt idx="89">
                  <c:v>12.874785711355814</c:v>
                </c:pt>
                <c:pt idx="90">
                  <c:v>12.944791912305833</c:v>
                </c:pt>
                <c:pt idx="91">
                  <c:v>13.008536645412233</c:v>
                </c:pt>
                <c:pt idx="92">
                  <c:v>13.068447405661479</c:v>
                </c:pt>
                <c:pt idx="93">
                  <c:v>13.131077435878137</c:v>
                </c:pt>
                <c:pt idx="94">
                  <c:v>13.194076380906345</c:v>
                </c:pt>
                <c:pt idx="95">
                  <c:v>13.256926067455764</c:v>
                </c:pt>
                <c:pt idx="96">
                  <c:v>13.319506824576404</c:v>
                </c:pt>
                <c:pt idx="97">
                  <c:v>13.379198003814537</c:v>
                </c:pt>
                <c:pt idx="98">
                  <c:v>13.438551635353237</c:v>
                </c:pt>
                <c:pt idx="99">
                  <c:v>13.496183456818253</c:v>
                </c:pt>
                <c:pt idx="100">
                  <c:v>13.549490821114144</c:v>
                </c:pt>
                <c:pt idx="101">
                  <c:v>13.603977841770991</c:v>
                </c:pt>
                <c:pt idx="102">
                  <c:v>13.656391065292611</c:v>
                </c:pt>
                <c:pt idx="103">
                  <c:v>13.709411367110446</c:v>
                </c:pt>
                <c:pt idx="104">
                  <c:v>13.760280513725652</c:v>
                </c:pt>
                <c:pt idx="105">
                  <c:v>13.810151948020311</c:v>
                </c:pt>
                <c:pt idx="106">
                  <c:v>13.859882691059013</c:v>
                </c:pt>
                <c:pt idx="107">
                  <c:v>13.907843032935515</c:v>
                </c:pt>
                <c:pt idx="108">
                  <c:v>13.957965336168252</c:v>
                </c:pt>
                <c:pt idx="109">
                  <c:v>14.006895060356573</c:v>
                </c:pt>
                <c:pt idx="110">
                  <c:v>14.055646661212055</c:v>
                </c:pt>
                <c:pt idx="111">
                  <c:v>14.101510702979116</c:v>
                </c:pt>
                <c:pt idx="112">
                  <c:v>14.147880704716506</c:v>
                </c:pt>
                <c:pt idx="113">
                  <c:v>14.191648298938969</c:v>
                </c:pt>
                <c:pt idx="114">
                  <c:v>14.232710422275009</c:v>
                </c:pt>
                <c:pt idx="115">
                  <c:v>14.271509071754757</c:v>
                </c:pt>
                <c:pt idx="116">
                  <c:v>14.309605282005473</c:v>
                </c:pt>
                <c:pt idx="117">
                  <c:v>14.347573080028601</c:v>
                </c:pt>
                <c:pt idx="118">
                  <c:v>14.38389524058497</c:v>
                </c:pt>
                <c:pt idx="119">
                  <c:v>14.420691846958622</c:v>
                </c:pt>
                <c:pt idx="120">
                  <c:v>14.457653278661297</c:v>
                </c:pt>
                <c:pt idx="121">
                  <c:v>14.493185653246762</c:v>
                </c:pt>
                <c:pt idx="122">
                  <c:v>14.525579328996239</c:v>
                </c:pt>
                <c:pt idx="123">
                  <c:v>14.558248384231376</c:v>
                </c:pt>
                <c:pt idx="124">
                  <c:v>14.591325573009511</c:v>
                </c:pt>
                <c:pt idx="125">
                  <c:v>14.623131345026824</c:v>
                </c:pt>
                <c:pt idx="126">
                  <c:v>14.655801605901885</c:v>
                </c:pt>
                <c:pt idx="127">
                  <c:v>14.687333526114958</c:v>
                </c:pt>
                <c:pt idx="128">
                  <c:v>14.71859657872082</c:v>
                </c:pt>
                <c:pt idx="129">
                  <c:v>14.748845016091982</c:v>
                </c:pt>
                <c:pt idx="130">
                  <c:v>14.780187079776592</c:v>
                </c:pt>
                <c:pt idx="131">
                  <c:v>14.808891447167376</c:v>
                </c:pt>
                <c:pt idx="132">
                  <c:v>14.835241691926015</c:v>
                </c:pt>
                <c:pt idx="133">
                  <c:v>14.860727030759806</c:v>
                </c:pt>
                <c:pt idx="134">
                  <c:v>14.884666072294099</c:v>
                </c:pt>
                <c:pt idx="135">
                  <c:v>14.908522689959367</c:v>
                </c:pt>
                <c:pt idx="136">
                  <c:v>14.933094883541164</c:v>
                </c:pt>
                <c:pt idx="137">
                  <c:v>14.958178171158856</c:v>
                </c:pt>
                <c:pt idx="138">
                  <c:v>14.983351206067175</c:v>
                </c:pt>
                <c:pt idx="139">
                  <c:v>15.007119195366331</c:v>
                </c:pt>
                <c:pt idx="140">
                  <c:v>15.030809634245516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2.8674377859788827</c:v>
                </c:pt>
                <c:pt idx="15">
                  <c:v>2.9751916906942575</c:v>
                </c:pt>
                <c:pt idx="16">
                  <c:v>3.0970385152357891</c:v>
                </c:pt>
                <c:pt idx="17">
                  <c:v>3.222503042812753</c:v>
                </c:pt>
                <c:pt idx="18">
                  <c:v>3.346429736527226</c:v>
                </c:pt>
                <c:pt idx="19">
                  <c:v>3.4874927423084374</c:v>
                </c:pt>
                <c:pt idx="20">
                  <c:v>3.6297593005645092</c:v>
                </c:pt>
                <c:pt idx="21">
                  <c:v>3.7662852751861182</c:v>
                </c:pt>
                <c:pt idx="22">
                  <c:v>3.9183996649875792</c:v>
                </c:pt>
                <c:pt idx="23">
                  <c:v>4.072812318315659</c:v>
                </c:pt>
                <c:pt idx="24">
                  <c:v>4.2428636463777636</c:v>
                </c:pt>
                <c:pt idx="25">
                  <c:v>4.4040175597646183</c:v>
                </c:pt>
                <c:pt idx="26">
                  <c:v>4.5721661654803576</c:v>
                </c:pt>
                <c:pt idx="27">
                  <c:v>4.7611065901902725</c:v>
                </c:pt>
                <c:pt idx="28">
                  <c:v>4.9810395509068677</c:v>
                </c:pt>
                <c:pt idx="29">
                  <c:v>5.2144884680411225</c:v>
                </c:pt>
                <c:pt idx="30">
                  <c:v>5.4455558059197502</c:v>
                </c:pt>
                <c:pt idx="31">
                  <c:v>5.7022283624505299</c:v>
                </c:pt>
                <c:pt idx="32">
                  <c:v>5.9429831773482551</c:v>
                </c:pt>
                <c:pt idx="33">
                  <c:v>6.1800934756039929</c:v>
                </c:pt>
                <c:pt idx="34">
                  <c:v>6.4219006977690087</c:v>
                </c:pt>
                <c:pt idx="35">
                  <c:v>6.7014660500973822</c:v>
                </c:pt>
                <c:pt idx="36">
                  <c:v>7.0303429675616096</c:v>
                </c:pt>
                <c:pt idx="37">
                  <c:v>7.3573480998819711</c:v>
                </c:pt>
                <c:pt idx="38">
                  <c:v>7.6772581114004987</c:v>
                </c:pt>
                <c:pt idx="39">
                  <c:v>8.003847639005464</c:v>
                </c:pt>
                <c:pt idx="40">
                  <c:v>8.3555528819437477</c:v>
                </c:pt>
                <c:pt idx="41">
                  <c:v>8.7424213029385385</c:v>
                </c:pt>
                <c:pt idx="42">
                  <c:v>9.1603209980476166</c:v>
                </c:pt>
                <c:pt idx="43">
                  <c:v>9.573815620322236</c:v>
                </c:pt>
                <c:pt idx="44">
                  <c:v>10.017218554221952</c:v>
                </c:pt>
                <c:pt idx="45">
                  <c:v>10.436007780226754</c:v>
                </c:pt>
                <c:pt idx="46">
                  <c:v>10.843737582078921</c:v>
                </c:pt>
                <c:pt idx="47">
                  <c:v>11.269234601095679</c:v>
                </c:pt>
                <c:pt idx="48">
                  <c:v>11.762631842987018</c:v>
                </c:pt>
                <c:pt idx="49">
                  <c:v>12.357288745671928</c:v>
                </c:pt>
                <c:pt idx="50">
                  <c:v>12.994141727439455</c:v>
                </c:pt>
                <c:pt idx="51">
                  <c:v>13.628319383118216</c:v>
                </c:pt>
                <c:pt idx="52">
                  <c:v>14.255720242628874</c:v>
                </c:pt>
                <c:pt idx="53">
                  <c:v>14.924408595169377</c:v>
                </c:pt>
                <c:pt idx="54">
                  <c:v>15.629497755163218</c:v>
                </c:pt>
                <c:pt idx="55">
                  <c:v>16.373897173955584</c:v>
                </c:pt>
                <c:pt idx="56">
                  <c:v>17.20196558651552</c:v>
                </c:pt>
                <c:pt idx="57">
                  <c:v>18.070898916286861</c:v>
                </c:pt>
                <c:pt idx="58">
                  <c:v>19.069555536312304</c:v>
                </c:pt>
                <c:pt idx="59">
                  <c:v>20.134548034927835</c:v>
                </c:pt>
                <c:pt idx="60">
                  <c:v>21.290491945864296</c:v>
                </c:pt>
                <c:pt idx="61">
                  <c:v>22.485713700710757</c:v>
                </c:pt>
                <c:pt idx="62">
                  <c:v>23.6229881055324</c:v>
                </c:pt>
                <c:pt idx="63">
                  <c:v>24.946899375708735</c:v>
                </c:pt>
                <c:pt idx="64">
                  <c:v>26.310440389999297</c:v>
                </c:pt>
                <c:pt idx="65">
                  <c:v>27.778243143535107</c:v>
                </c:pt>
                <c:pt idx="66">
                  <c:v>29.308935955265248</c:v>
                </c:pt>
                <c:pt idx="67">
                  <c:v>30.996258118876703</c:v>
                </c:pt>
                <c:pt idx="68">
                  <c:v>32.74883039766766</c:v>
                </c:pt>
                <c:pt idx="69">
                  <c:v>34.593149446842737</c:v>
                </c:pt>
                <c:pt idx="70">
                  <c:v>36.432567937166361</c:v>
                </c:pt>
                <c:pt idx="71">
                  <c:v>38.247609687137071</c:v>
                </c:pt>
                <c:pt idx="72">
                  <c:v>40.26629469922652</c:v>
                </c:pt>
                <c:pt idx="73">
                  <c:v>42.540184390144205</c:v>
                </c:pt>
                <c:pt idx="74">
                  <c:v>45.096188335953102</c:v>
                </c:pt>
                <c:pt idx="75">
                  <c:v>47.669363299434494</c:v>
                </c:pt>
                <c:pt idx="76">
                  <c:v>50.341566647708881</c:v>
                </c:pt>
                <c:pt idx="77">
                  <c:v>52.975514636679904</c:v>
                </c:pt>
                <c:pt idx="78">
                  <c:v>55.615647234686847</c:v>
                </c:pt>
                <c:pt idx="79">
                  <c:v>58.632738021661069</c:v>
                </c:pt>
                <c:pt idx="80">
                  <c:v>61.785125078720895</c:v>
                </c:pt>
                <c:pt idx="81">
                  <c:v>65.195798559314056</c:v>
                </c:pt>
                <c:pt idx="82">
                  <c:v>68.620587355317127</c:v>
                </c:pt>
                <c:pt idx="83">
                  <c:v>71.94925513710244</c:v>
                </c:pt>
                <c:pt idx="84">
                  <c:v>75.442458329502131</c:v>
                </c:pt>
                <c:pt idx="85">
                  <c:v>79.089130485768436</c:v>
                </c:pt>
                <c:pt idx="86">
                  <c:v>83.100026533332866</c:v>
                </c:pt>
                <c:pt idx="87">
                  <c:v>87.282514480010306</c:v>
                </c:pt>
                <c:pt idx="88">
                  <c:v>91.810052687614018</c:v>
                </c:pt>
                <c:pt idx="89">
                  <c:v>96.703020321844932</c:v>
                </c:pt>
                <c:pt idx="90">
                  <c:v>101.62220004130155</c:v>
                </c:pt>
                <c:pt idx="91">
                  <c:v>106.48869913783226</c:v>
                </c:pt>
                <c:pt idx="92">
                  <c:v>111.54265837914416</c:v>
                </c:pt>
                <c:pt idx="93">
                  <c:v>116.72301670241261</c:v>
                </c:pt>
                <c:pt idx="94">
                  <c:v>121.88516957362268</c:v>
                </c:pt>
                <c:pt idx="95">
                  <c:v>126.62362823889373</c:v>
                </c:pt>
                <c:pt idx="96">
                  <c:v>132.59883262306468</c:v>
                </c:pt>
                <c:pt idx="97">
                  <c:v>138.97794562107819</c:v>
                </c:pt>
                <c:pt idx="98">
                  <c:v>145.52372993346026</c:v>
                </c:pt>
                <c:pt idx="99">
                  <c:v>151.46154401207906</c:v>
                </c:pt>
                <c:pt idx="100">
                  <c:v>157.20450619171973</c:v>
                </c:pt>
                <c:pt idx="101">
                  <c:v>163.65049574738242</c:v>
                </c:pt>
                <c:pt idx="102">
                  <c:v>169.85643853755667</c:v>
                </c:pt>
                <c:pt idx="103">
                  <c:v>176.35675907697745</c:v>
                </c:pt>
                <c:pt idx="104">
                  <c:v>182.70065159725786</c:v>
                </c:pt>
                <c:pt idx="105">
                  <c:v>189.39882315671051</c:v>
                </c:pt>
                <c:pt idx="106">
                  <c:v>196.15926264437013</c:v>
                </c:pt>
                <c:pt idx="107">
                  <c:v>203.22537029281122</c:v>
                </c:pt>
                <c:pt idx="108">
                  <c:v>210.13704805060334</c:v>
                </c:pt>
                <c:pt idx="109">
                  <c:v>216.71828261664987</c:v>
                </c:pt>
                <c:pt idx="110">
                  <c:v>223.40550900213663</c:v>
                </c:pt>
                <c:pt idx="111">
                  <c:v>230.29413180914582</c:v>
                </c:pt>
                <c:pt idx="112">
                  <c:v>237.28535916414114</c:v>
                </c:pt>
                <c:pt idx="113">
                  <c:v>244.03769387058625</c:v>
                </c:pt>
                <c:pt idx="114">
                  <c:v>250.96202995604773</c:v>
                </c:pt>
                <c:pt idx="115">
                  <c:v>257.62034082720891</c:v>
                </c:pt>
                <c:pt idx="116">
                  <c:v>263.9431631761571</c:v>
                </c:pt>
                <c:pt idx="117">
                  <c:v>269.98960372795949</c:v>
                </c:pt>
                <c:pt idx="118">
                  <c:v>275.98759404202951</c:v>
                </c:pt>
                <c:pt idx="119">
                  <c:v>281.95171154349657</c:v>
                </c:pt>
                <c:pt idx="120">
                  <c:v>287.83524886713428</c:v>
                </c:pt>
                <c:pt idx="121">
                  <c:v>294.03863040101078</c:v>
                </c:pt>
                <c:pt idx="122">
                  <c:v>299.8825700391871</c:v>
                </c:pt>
                <c:pt idx="123">
                  <c:v>305.43888455772787</c:v>
                </c:pt>
                <c:pt idx="124">
                  <c:v>311.0788986795875</c:v>
                </c:pt>
                <c:pt idx="125">
                  <c:v>316.55949486472315</c:v>
                </c:pt>
                <c:pt idx="126">
                  <c:v>321.70015697088064</c:v>
                </c:pt>
                <c:pt idx="127">
                  <c:v>326.63851341106425</c:v>
                </c:pt>
                <c:pt idx="128">
                  <c:v>331.32033714422198</c:v>
                </c:pt>
                <c:pt idx="129">
                  <c:v>335.89573555743351</c:v>
                </c:pt>
                <c:pt idx="130">
                  <c:v>340.14422072796208</c:v>
                </c:pt>
                <c:pt idx="131">
                  <c:v>344.06749056374059</c:v>
                </c:pt>
                <c:pt idx="132">
                  <c:v>347.64736149473958</c:v>
                </c:pt>
                <c:pt idx="133">
                  <c:v>350.97990816745966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29.98786996076754</c:v>
                </c:pt>
                <c:pt idx="1">
                  <c:v>30.890350829991299</c:v>
                </c:pt>
                <c:pt idx="2">
                  <c:v>31.324865042257173</c:v>
                </c:pt>
                <c:pt idx="3">
                  <c:v>32.248373804210168</c:v>
                </c:pt>
                <c:pt idx="4">
                  <c:v>33.237113027096569</c:v>
                </c:pt>
                <c:pt idx="5">
                  <c:v>34.051534752461826</c:v>
                </c:pt>
                <c:pt idx="6">
                  <c:v>35.118285940992976</c:v>
                </c:pt>
                <c:pt idx="7">
                  <c:v>36.211653396956251</c:v>
                </c:pt>
                <c:pt idx="8">
                  <c:v>37.326294610026068</c:v>
                </c:pt>
                <c:pt idx="9">
                  <c:v>38.489065417651723</c:v>
                </c:pt>
                <c:pt idx="10">
                  <c:v>39.655260795561531</c:v>
                </c:pt>
                <c:pt idx="11">
                  <c:v>40.807263400010832</c:v>
                </c:pt>
                <c:pt idx="12">
                  <c:v>41.9551183261446</c:v>
                </c:pt>
                <c:pt idx="13">
                  <c:v>43.115245856462153</c:v>
                </c:pt>
                <c:pt idx="14">
                  <c:v>44.42148489837178</c:v>
                </c:pt>
                <c:pt idx="15">
                  <c:v>45.585053362894882</c:v>
                </c:pt>
                <c:pt idx="16">
                  <c:v>46.459475969144016</c:v>
                </c:pt>
                <c:pt idx="17">
                  <c:v>47.205812191915562</c:v>
                </c:pt>
                <c:pt idx="18">
                  <c:v>48.397241213411895</c:v>
                </c:pt>
                <c:pt idx="19">
                  <c:v>49.654003469137514</c:v>
                </c:pt>
                <c:pt idx="20">
                  <c:v>50.885486975401861</c:v>
                </c:pt>
                <c:pt idx="21">
                  <c:v>52.060112535704292</c:v>
                </c:pt>
                <c:pt idx="22">
                  <c:v>53.263756458232436</c:v>
                </c:pt>
                <c:pt idx="23">
                  <c:v>54.421070200998003</c:v>
                </c:pt>
                <c:pt idx="24">
                  <c:v>55.634606747627984</c:v>
                </c:pt>
                <c:pt idx="25">
                  <c:v>56.782074440100963</c:v>
                </c:pt>
                <c:pt idx="26">
                  <c:v>57.896122957753306</c:v>
                </c:pt>
                <c:pt idx="27">
                  <c:v>59.028097233008729</c:v>
                </c:pt>
                <c:pt idx="28">
                  <c:v>60.239782461155514</c:v>
                </c:pt>
                <c:pt idx="29">
                  <c:v>61.489738202726478</c:v>
                </c:pt>
                <c:pt idx="30">
                  <c:v>62.694136754018949</c:v>
                </c:pt>
                <c:pt idx="31">
                  <c:v>63.730363939651014</c:v>
                </c:pt>
                <c:pt idx="32">
                  <c:v>64.867694923250312</c:v>
                </c:pt>
                <c:pt idx="33">
                  <c:v>65.955491492909502</c:v>
                </c:pt>
                <c:pt idx="34">
                  <c:v>67.016744682886483</c:v>
                </c:pt>
                <c:pt idx="35">
                  <c:v>68.097389521173014</c:v>
                </c:pt>
                <c:pt idx="36">
                  <c:v>69.267998460053064</c:v>
                </c:pt>
                <c:pt idx="37">
                  <c:v>70.376134893605638</c:v>
                </c:pt>
                <c:pt idx="38">
                  <c:v>71.386785228582923</c:v>
                </c:pt>
                <c:pt idx="39">
                  <c:v>72.32315513090505</c:v>
                </c:pt>
                <c:pt idx="40">
                  <c:v>73.241690254624302</c:v>
                </c:pt>
                <c:pt idx="41">
                  <c:v>74.163730435108548</c:v>
                </c:pt>
                <c:pt idx="42">
                  <c:v>75.079299029034871</c:v>
                </c:pt>
                <c:pt idx="43">
                  <c:v>75.932253529666042</c:v>
                </c:pt>
                <c:pt idx="44">
                  <c:v>76.790796116136534</c:v>
                </c:pt>
                <c:pt idx="45">
                  <c:v>77.584826670326692</c:v>
                </c:pt>
                <c:pt idx="46">
                  <c:v>78.304817080959552</c:v>
                </c:pt>
                <c:pt idx="47">
                  <c:v>78.97832010963738</c:v>
                </c:pt>
                <c:pt idx="48">
                  <c:v>79.641858205688308</c:v>
                </c:pt>
                <c:pt idx="49">
                  <c:v>80.356375289030865</c:v>
                </c:pt>
                <c:pt idx="50">
                  <c:v>81.086048409435762</c:v>
                </c:pt>
                <c:pt idx="51">
                  <c:v>81.807065786170128</c:v>
                </c:pt>
                <c:pt idx="52">
                  <c:v>82.42777780779025</c:v>
                </c:pt>
                <c:pt idx="53">
                  <c:v>83.003429221179459</c:v>
                </c:pt>
                <c:pt idx="54">
                  <c:v>83.513700866949023</c:v>
                </c:pt>
                <c:pt idx="55">
                  <c:v>83.954050419138099</c:v>
                </c:pt>
                <c:pt idx="56">
                  <c:v>84.300154943801203</c:v>
                </c:pt>
                <c:pt idx="57">
                  <c:v>84.57592330545809</c:v>
                </c:pt>
                <c:pt idx="58">
                  <c:v>84.780467202980475</c:v>
                </c:pt>
                <c:pt idx="59">
                  <c:v>84.969413492406233</c:v>
                </c:pt>
                <c:pt idx="60">
                  <c:v>85.060615575160952</c:v>
                </c:pt>
                <c:pt idx="61">
                  <c:v>85.163821138362451</c:v>
                </c:pt>
                <c:pt idx="62">
                  <c:v>85.15714836521424</c:v>
                </c:pt>
                <c:pt idx="63">
                  <c:v>85.083408272158891</c:v>
                </c:pt>
                <c:pt idx="64">
                  <c:v>85.003946337073401</c:v>
                </c:pt>
                <c:pt idx="65">
                  <c:v>84.785587539621901</c:v>
                </c:pt>
                <c:pt idx="66">
                  <c:v>84.467538694753955</c:v>
                </c:pt>
                <c:pt idx="67">
                  <c:v>84.020225584585219</c:v>
                </c:pt>
                <c:pt idx="68">
                  <c:v>83.443476589842078</c:v>
                </c:pt>
                <c:pt idx="69">
                  <c:v>82.763135353078439</c:v>
                </c:pt>
                <c:pt idx="70">
                  <c:v>82.024458762427173</c:v>
                </c:pt>
                <c:pt idx="71">
                  <c:v>81.303492260313874</c:v>
                </c:pt>
                <c:pt idx="72">
                  <c:v>80.396004565905486</c:v>
                </c:pt>
                <c:pt idx="73">
                  <c:v>79.362838818570978</c:v>
                </c:pt>
                <c:pt idx="74">
                  <c:v>78.096919796167128</c:v>
                </c:pt>
                <c:pt idx="75">
                  <c:v>76.733488619437082</c:v>
                </c:pt>
                <c:pt idx="76">
                  <c:v>75.207846181816052</c:v>
                </c:pt>
                <c:pt idx="77">
                  <c:v>73.615646443204639</c:v>
                </c:pt>
                <c:pt idx="78">
                  <c:v>71.987519112667883</c:v>
                </c:pt>
                <c:pt idx="79">
                  <c:v>70.017423730147101</c:v>
                </c:pt>
                <c:pt idx="80">
                  <c:v>67.913264631700088</c:v>
                </c:pt>
                <c:pt idx="81">
                  <c:v>65.539123090981548</c:v>
                </c:pt>
                <c:pt idx="82">
                  <c:v>63.172122243291525</c:v>
                </c:pt>
                <c:pt idx="83">
                  <c:v>60.844466019006845</c:v>
                </c:pt>
                <c:pt idx="84">
                  <c:v>58.311231409038768</c:v>
                </c:pt>
                <c:pt idx="85">
                  <c:v>55.579901937126365</c:v>
                </c:pt>
                <c:pt idx="86">
                  <c:v>52.479475305091022</c:v>
                </c:pt>
                <c:pt idx="87">
                  <c:v>49.215162872051259</c:v>
                </c:pt>
                <c:pt idx="88">
                  <c:v>45.65318241096022</c:v>
                </c:pt>
                <c:pt idx="89">
                  <c:v>41.700754262004132</c:v>
                </c:pt>
                <c:pt idx="90">
                  <c:v>37.64822424835441</c:v>
                </c:pt>
                <c:pt idx="91">
                  <c:v>33.579050905682124</c:v>
                </c:pt>
                <c:pt idx="92">
                  <c:v>29.332969785365613</c:v>
                </c:pt>
                <c:pt idx="93">
                  <c:v>24.958576959985379</c:v>
                </c:pt>
                <c:pt idx="94">
                  <c:v>20.589828682641517</c:v>
                </c:pt>
                <c:pt idx="95">
                  <c:v>16.523974041143916</c:v>
                </c:pt>
                <c:pt idx="96">
                  <c:v>11.343008286175948</c:v>
                </c:pt>
                <c:pt idx="97">
                  <c:v>5.7751738157124723</c:v>
                </c:pt>
                <c:pt idx="98">
                  <c:v>9.2295279011144871E-2</c:v>
                </c:pt>
                <c:pt idx="99">
                  <c:v>-5.0994838969743661</c:v>
                </c:pt>
                <c:pt idx="100">
                  <c:v>-10.138328862901435</c:v>
                </c:pt>
                <c:pt idx="101">
                  <c:v>-15.858370441430209</c:v>
                </c:pt>
                <c:pt idx="102">
                  <c:v>-21.378879437739464</c:v>
                </c:pt>
                <c:pt idx="103">
                  <c:v>-27.182406998279717</c:v>
                </c:pt>
                <c:pt idx="104">
                  <c:v>-32.887602547504564</c:v>
                </c:pt>
                <c:pt idx="105">
                  <c:v>-38.943161811503764</c:v>
                </c:pt>
                <c:pt idx="106">
                  <c:v>-45.086593790618544</c:v>
                </c:pt>
                <c:pt idx="107">
                  <c:v>-51.527915309817637</c:v>
                </c:pt>
                <c:pt idx="108">
                  <c:v>-57.819908453139384</c:v>
                </c:pt>
                <c:pt idx="109">
                  <c:v>-63.803144954820681</c:v>
                </c:pt>
                <c:pt idx="110">
                  <c:v>-69.879443081304203</c:v>
                </c:pt>
                <c:pt idx="111">
                  <c:v>-76.161191184137209</c:v>
                </c:pt>
                <c:pt idx="112">
                  <c:v>-82.536394684054926</c:v>
                </c:pt>
                <c:pt idx="113">
                  <c:v>-88.664931053739423</c:v>
                </c:pt>
                <c:pt idx="114">
                  <c:v>-94.94031849650429</c:v>
                </c:pt>
                <c:pt idx="115">
                  <c:v>-100.95399502475394</c:v>
                </c:pt>
                <c:pt idx="116">
                  <c:v>-106.65500896723179</c:v>
                </c:pt>
                <c:pt idx="117">
                  <c:v>-112.09368546823708</c:v>
                </c:pt>
                <c:pt idx="118">
                  <c:v>-117.44098768008146</c:v>
                </c:pt>
                <c:pt idx="119">
                  <c:v>-122.76217237446636</c:v>
                </c:pt>
                <c:pt idx="120">
                  <c:v>-128.02262703410392</c:v>
                </c:pt>
                <c:pt idx="121">
                  <c:v>-133.55940466048651</c:v>
                </c:pt>
                <c:pt idx="122">
                  <c:v>-138.73387458319476</c:v>
                </c:pt>
                <c:pt idx="123">
                  <c:v>-143.65272110238777</c:v>
                </c:pt>
                <c:pt idx="124">
                  <c:v>-148.64954662568127</c:v>
                </c:pt>
                <c:pt idx="125">
                  <c:v>-153.49021263751158</c:v>
                </c:pt>
                <c:pt idx="126">
                  <c:v>-158.03002820464675</c:v>
                </c:pt>
                <c:pt idx="127">
                  <c:v>-162.33241389060532</c:v>
                </c:pt>
                <c:pt idx="128">
                  <c:v>-166.35126523767718</c:v>
                </c:pt>
                <c:pt idx="129">
                  <c:v>-170.27538080564557</c:v>
                </c:pt>
                <c:pt idx="130">
                  <c:v>-173.86234893041851</c:v>
                </c:pt>
                <c:pt idx="131">
                  <c:v>-177.15336113244717</c:v>
                </c:pt>
                <c:pt idx="132">
                  <c:v>-180.15505883281816</c:v>
                </c:pt>
                <c:pt idx="133">
                  <c:v>-182.91702021198796</c:v>
                </c:pt>
                <c:pt idx="134">
                  <c:v>-185.62584549767243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-0.51341960145918208</c:v>
                </c:pt>
                <c:pt idx="3">
                  <c:v>-0.51341960145918208</c:v>
                </c:pt>
                <c:pt idx="4">
                  <c:v>-0.52141627911794586</c:v>
                </c:pt>
                <c:pt idx="5">
                  <c:v>-0.82896579299815187</c:v>
                </c:pt>
                <c:pt idx="6">
                  <c:v>-0.82896579299815187</c:v>
                </c:pt>
                <c:pt idx="7">
                  <c:v>-0.82896579299815187</c:v>
                </c:pt>
                <c:pt idx="8">
                  <c:v>-0.82896579299815187</c:v>
                </c:pt>
                <c:pt idx="9">
                  <c:v>-0.82896579299815187</c:v>
                </c:pt>
                <c:pt idx="10">
                  <c:v>-0.82896579299815187</c:v>
                </c:pt>
                <c:pt idx="11">
                  <c:v>-0.82896579299815187</c:v>
                </c:pt>
                <c:pt idx="12">
                  <c:v>-0.82896579299815187</c:v>
                </c:pt>
                <c:pt idx="13">
                  <c:v>-0.94975713043715193</c:v>
                </c:pt>
                <c:pt idx="14">
                  <c:v>-0.94975713043715193</c:v>
                </c:pt>
                <c:pt idx="15">
                  <c:v>-0.94975713043715193</c:v>
                </c:pt>
                <c:pt idx="16">
                  <c:v>-1.303567223624764</c:v>
                </c:pt>
                <c:pt idx="17">
                  <c:v>-1.781919453836172</c:v>
                </c:pt>
                <c:pt idx="18">
                  <c:v>-1.781919453836172</c:v>
                </c:pt>
                <c:pt idx="19">
                  <c:v>-1.781919453836172</c:v>
                </c:pt>
                <c:pt idx="20">
                  <c:v>-1.781919453836172</c:v>
                </c:pt>
                <c:pt idx="21">
                  <c:v>-1.781919453836172</c:v>
                </c:pt>
                <c:pt idx="22">
                  <c:v>-1.781919453836172</c:v>
                </c:pt>
                <c:pt idx="23">
                  <c:v>-1.781919453836172</c:v>
                </c:pt>
                <c:pt idx="24">
                  <c:v>-1.781919453836172</c:v>
                </c:pt>
                <c:pt idx="25">
                  <c:v>-1.781919453836172</c:v>
                </c:pt>
                <c:pt idx="26">
                  <c:v>-1.781919453836172</c:v>
                </c:pt>
                <c:pt idx="27">
                  <c:v>-1.781919453836172</c:v>
                </c:pt>
                <c:pt idx="28">
                  <c:v>-1.781919453836172</c:v>
                </c:pt>
                <c:pt idx="29">
                  <c:v>-1.781919453836172</c:v>
                </c:pt>
                <c:pt idx="30">
                  <c:v>-1.781919453836172</c:v>
                </c:pt>
                <c:pt idx="31">
                  <c:v>-1.9804147441375335</c:v>
                </c:pt>
                <c:pt idx="32">
                  <c:v>-1.9804147441375335</c:v>
                </c:pt>
                <c:pt idx="33">
                  <c:v>-1.9804147441375335</c:v>
                </c:pt>
                <c:pt idx="34">
                  <c:v>-1.9804147441375335</c:v>
                </c:pt>
                <c:pt idx="35">
                  <c:v>-1.9804147441375335</c:v>
                </c:pt>
                <c:pt idx="36">
                  <c:v>-1.9804147441375335</c:v>
                </c:pt>
                <c:pt idx="37">
                  <c:v>-1.9804147441375335</c:v>
                </c:pt>
                <c:pt idx="38">
                  <c:v>-1.9804147441375335</c:v>
                </c:pt>
                <c:pt idx="39">
                  <c:v>-1.9804147441375335</c:v>
                </c:pt>
                <c:pt idx="40">
                  <c:v>-1.9804147441375335</c:v>
                </c:pt>
                <c:pt idx="41">
                  <c:v>-1.9804147441375335</c:v>
                </c:pt>
                <c:pt idx="42">
                  <c:v>-1.9804147441375335</c:v>
                </c:pt>
                <c:pt idx="43">
                  <c:v>-1.9804147441375335</c:v>
                </c:pt>
                <c:pt idx="44">
                  <c:v>-1.9804147441375335</c:v>
                </c:pt>
                <c:pt idx="45">
                  <c:v>-1.9804147441375335</c:v>
                </c:pt>
                <c:pt idx="46">
                  <c:v>-1.9804147441375335</c:v>
                </c:pt>
                <c:pt idx="47">
                  <c:v>-1.9804147441375335</c:v>
                </c:pt>
                <c:pt idx="48">
                  <c:v>-1.9804147441375335</c:v>
                </c:pt>
                <c:pt idx="49">
                  <c:v>-1.9804147441375335</c:v>
                </c:pt>
                <c:pt idx="50">
                  <c:v>-1.9804147441375335</c:v>
                </c:pt>
                <c:pt idx="51">
                  <c:v>-1.9804147441375335</c:v>
                </c:pt>
                <c:pt idx="52">
                  <c:v>-1.9804147441375335</c:v>
                </c:pt>
                <c:pt idx="53">
                  <c:v>-1.9804147441375335</c:v>
                </c:pt>
                <c:pt idx="54">
                  <c:v>-1.9804147441375335</c:v>
                </c:pt>
                <c:pt idx="55">
                  <c:v>-1.9804147441375335</c:v>
                </c:pt>
                <c:pt idx="56">
                  <c:v>-1.9804147441375335</c:v>
                </c:pt>
                <c:pt idx="57">
                  <c:v>-1.9804147441375335</c:v>
                </c:pt>
                <c:pt idx="58">
                  <c:v>-1.9804147441375335</c:v>
                </c:pt>
                <c:pt idx="59">
                  <c:v>-1.9804147441375335</c:v>
                </c:pt>
                <c:pt idx="60">
                  <c:v>-1.9804147441375335</c:v>
                </c:pt>
                <c:pt idx="61">
                  <c:v>-1.9804147441375335</c:v>
                </c:pt>
                <c:pt idx="62">
                  <c:v>-1.9804147441375335</c:v>
                </c:pt>
                <c:pt idx="63">
                  <c:v>-1.9804147441375335</c:v>
                </c:pt>
                <c:pt idx="64">
                  <c:v>-1.9804147441375335</c:v>
                </c:pt>
                <c:pt idx="65">
                  <c:v>-1.9804147441375335</c:v>
                </c:pt>
                <c:pt idx="66">
                  <c:v>-1.9804147441375335</c:v>
                </c:pt>
                <c:pt idx="67">
                  <c:v>-1.9804147441375335</c:v>
                </c:pt>
                <c:pt idx="68">
                  <c:v>-1.9804147441375335</c:v>
                </c:pt>
                <c:pt idx="69">
                  <c:v>-1.9804147441375335</c:v>
                </c:pt>
                <c:pt idx="70">
                  <c:v>-1.9804147441375335</c:v>
                </c:pt>
                <c:pt idx="71">
                  <c:v>-1.9804147441375335</c:v>
                </c:pt>
                <c:pt idx="72">
                  <c:v>-1.9804147441375335</c:v>
                </c:pt>
                <c:pt idx="73">
                  <c:v>-1.9804147441375335</c:v>
                </c:pt>
                <c:pt idx="74">
                  <c:v>-1.9804147441375335</c:v>
                </c:pt>
                <c:pt idx="75">
                  <c:v>-1.9804147441375335</c:v>
                </c:pt>
                <c:pt idx="76">
                  <c:v>-1.9804147441375335</c:v>
                </c:pt>
                <c:pt idx="77">
                  <c:v>-1.9804147441375335</c:v>
                </c:pt>
                <c:pt idx="78">
                  <c:v>-1.9804147441375335</c:v>
                </c:pt>
                <c:pt idx="79">
                  <c:v>-1.9804147441375335</c:v>
                </c:pt>
                <c:pt idx="80">
                  <c:v>-1.9804147441375335</c:v>
                </c:pt>
                <c:pt idx="81">
                  <c:v>-1.9804147441375335</c:v>
                </c:pt>
                <c:pt idx="82">
                  <c:v>-1.9804147441375335</c:v>
                </c:pt>
                <c:pt idx="83">
                  <c:v>-1.9804147441375335</c:v>
                </c:pt>
                <c:pt idx="84">
                  <c:v>-1.9804147441375335</c:v>
                </c:pt>
                <c:pt idx="85">
                  <c:v>-1.9804147441375335</c:v>
                </c:pt>
                <c:pt idx="86">
                  <c:v>-1.9804147441375335</c:v>
                </c:pt>
                <c:pt idx="87">
                  <c:v>-1.9804147441375335</c:v>
                </c:pt>
                <c:pt idx="88">
                  <c:v>-1.9804147441375335</c:v>
                </c:pt>
                <c:pt idx="89">
                  <c:v>-1.9804147441375335</c:v>
                </c:pt>
                <c:pt idx="90">
                  <c:v>-1.9804147441375335</c:v>
                </c:pt>
                <c:pt idx="91">
                  <c:v>-1.9804147441375335</c:v>
                </c:pt>
                <c:pt idx="92">
                  <c:v>-1.9804147441375335</c:v>
                </c:pt>
                <c:pt idx="93">
                  <c:v>-1.9804147441375335</c:v>
                </c:pt>
                <c:pt idx="94">
                  <c:v>-1.9804147441375335</c:v>
                </c:pt>
                <c:pt idx="95">
                  <c:v>-1.9804147441375335</c:v>
                </c:pt>
                <c:pt idx="96">
                  <c:v>-1.9804147441375335</c:v>
                </c:pt>
                <c:pt idx="97">
                  <c:v>-1.9804147441375335</c:v>
                </c:pt>
                <c:pt idx="98">
                  <c:v>-1.9804147441375335</c:v>
                </c:pt>
                <c:pt idx="99">
                  <c:v>-1.9804147441375335</c:v>
                </c:pt>
                <c:pt idx="100">
                  <c:v>-1.9804147441375335</c:v>
                </c:pt>
                <c:pt idx="101">
                  <c:v>-1.9804147441375335</c:v>
                </c:pt>
                <c:pt idx="102">
                  <c:v>-1.9804147441375335</c:v>
                </c:pt>
                <c:pt idx="103">
                  <c:v>-1.9804147441375335</c:v>
                </c:pt>
                <c:pt idx="104">
                  <c:v>-1.9804147441375335</c:v>
                </c:pt>
                <c:pt idx="105">
                  <c:v>-1.9804147441375335</c:v>
                </c:pt>
                <c:pt idx="106">
                  <c:v>-1.9804147441375335</c:v>
                </c:pt>
                <c:pt idx="107">
                  <c:v>-1.9804147441375335</c:v>
                </c:pt>
                <c:pt idx="108">
                  <c:v>-1.9804147441375335</c:v>
                </c:pt>
                <c:pt idx="109">
                  <c:v>-1.9804147441375335</c:v>
                </c:pt>
                <c:pt idx="110">
                  <c:v>-1.9804147441375335</c:v>
                </c:pt>
                <c:pt idx="111">
                  <c:v>-1.9804147441375335</c:v>
                </c:pt>
                <c:pt idx="112">
                  <c:v>-1.9804147441375335</c:v>
                </c:pt>
                <c:pt idx="113">
                  <c:v>-1.9804147441375335</c:v>
                </c:pt>
                <c:pt idx="114">
                  <c:v>-1.9804147441375335</c:v>
                </c:pt>
                <c:pt idx="115">
                  <c:v>-1.9804147441375335</c:v>
                </c:pt>
                <c:pt idx="116">
                  <c:v>-1.9804147441375335</c:v>
                </c:pt>
                <c:pt idx="117">
                  <c:v>-1.9804147441375335</c:v>
                </c:pt>
                <c:pt idx="118">
                  <c:v>-1.9804147441375335</c:v>
                </c:pt>
                <c:pt idx="119">
                  <c:v>-1.9804147441375335</c:v>
                </c:pt>
                <c:pt idx="120">
                  <c:v>-1.9804147441375335</c:v>
                </c:pt>
                <c:pt idx="121">
                  <c:v>-1.9804147441375335</c:v>
                </c:pt>
                <c:pt idx="122">
                  <c:v>-1.9804147441375335</c:v>
                </c:pt>
                <c:pt idx="123">
                  <c:v>-1.9804147441375335</c:v>
                </c:pt>
                <c:pt idx="124">
                  <c:v>-1.9804147441375335</c:v>
                </c:pt>
                <c:pt idx="125">
                  <c:v>-1.9804147441375335</c:v>
                </c:pt>
                <c:pt idx="126">
                  <c:v>-1.9804147441375335</c:v>
                </c:pt>
                <c:pt idx="127">
                  <c:v>-1.9804147441375335</c:v>
                </c:pt>
                <c:pt idx="128">
                  <c:v>-1.9804147441375335</c:v>
                </c:pt>
                <c:pt idx="129">
                  <c:v>-1.9804147441375335</c:v>
                </c:pt>
                <c:pt idx="130">
                  <c:v>-1.9804147441375335</c:v>
                </c:pt>
                <c:pt idx="131">
                  <c:v>-1.9804147441375335</c:v>
                </c:pt>
                <c:pt idx="132">
                  <c:v>-1.9804147441375335</c:v>
                </c:pt>
                <c:pt idx="133">
                  <c:v>-1.9804147441375335</c:v>
                </c:pt>
                <c:pt idx="134">
                  <c:v>-1.9804147441375335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19.050247922790899</c:v>
                </c:pt>
                <c:pt idx="23">
                  <c:v>19.857216869089669</c:v>
                </c:pt>
                <c:pt idx="24">
                  <c:v>20.720974732437092</c:v>
                </c:pt>
                <c:pt idx="25">
                  <c:v>21.535805466523211</c:v>
                </c:pt>
                <c:pt idx="26">
                  <c:v>22.325021179204079</c:v>
                </c:pt>
                <c:pt idx="27">
                  <c:v>23.135459482393216</c:v>
                </c:pt>
                <c:pt idx="28">
                  <c:v>24.027626136548793</c:v>
                </c:pt>
                <c:pt idx="29">
                  <c:v>24.971930814478412</c:v>
                </c:pt>
                <c:pt idx="30">
                  <c:v>25.891257759755867</c:v>
                </c:pt>
                <c:pt idx="31">
                  <c:v>26.853729074677481</c:v>
                </c:pt>
                <c:pt idx="32">
                  <c:v>27.741774640211776</c:v>
                </c:pt>
                <c:pt idx="33">
                  <c:v>28.597499140879272</c:v>
                </c:pt>
                <c:pt idx="34">
                  <c:v>29.442515349519454</c:v>
                </c:pt>
                <c:pt idx="35">
                  <c:v>30.32503916309301</c:v>
                </c:pt>
                <c:pt idx="36">
                  <c:v>31.320034252993391</c:v>
                </c:pt>
                <c:pt idx="37">
                  <c:v>32.275915452197502</c:v>
                </c:pt>
                <c:pt idx="38">
                  <c:v>33.154084503041751</c:v>
                </c:pt>
                <c:pt idx="39">
                  <c:v>33.978421124306216</c:v>
                </c:pt>
                <c:pt idx="40">
                  <c:v>34.810541675387405</c:v>
                </c:pt>
                <c:pt idx="41">
                  <c:v>35.676852863534158</c:v>
                </c:pt>
                <c:pt idx="42">
                  <c:v>36.568660528610927</c:v>
                </c:pt>
                <c:pt idx="43">
                  <c:v>37.417773296493209</c:v>
                </c:pt>
                <c:pt idx="44">
                  <c:v>38.305338909365894</c:v>
                </c:pt>
                <c:pt idx="45">
                  <c:v>39.136144348445988</c:v>
                </c:pt>
                <c:pt idx="46">
                  <c:v>39.903321233246075</c:v>
                </c:pt>
                <c:pt idx="47">
                  <c:v>40.648835457789545</c:v>
                </c:pt>
                <c:pt idx="48">
                  <c:v>41.439099666190366</c:v>
                </c:pt>
                <c:pt idx="49">
                  <c:v>42.357587710931092</c:v>
                </c:pt>
                <c:pt idx="50">
                  <c:v>43.338834192367173</c:v>
                </c:pt>
                <c:pt idx="51">
                  <c:v>44.332136125894337</c:v>
                </c:pt>
                <c:pt idx="52">
                  <c:v>45.240367831390827</c:v>
                </c:pt>
                <c:pt idx="53">
                  <c:v>46.149878446438336</c:v>
                </c:pt>
                <c:pt idx="54">
                  <c:v>47.037861674998112</c:v>
                </c:pt>
                <c:pt idx="55">
                  <c:v>47.902458032647267</c:v>
                </c:pt>
                <c:pt idx="56">
                  <c:v>48.75305371534192</c:v>
                </c:pt>
                <c:pt idx="57">
                  <c:v>49.583680022753178</c:v>
                </c:pt>
                <c:pt idx="58">
                  <c:v>50.462393962053504</c:v>
                </c:pt>
                <c:pt idx="59">
                  <c:v>51.399437633675234</c:v>
                </c:pt>
                <c:pt idx="60">
                  <c:v>52.333275479910881</c:v>
                </c:pt>
                <c:pt idx="61">
                  <c:v>53.333458574031489</c:v>
                </c:pt>
                <c:pt idx="62">
                  <c:v>54.195715289860154</c:v>
                </c:pt>
                <c:pt idx="63">
                  <c:v>55.166117401025694</c:v>
                </c:pt>
                <c:pt idx="64">
                  <c:v>56.184356007204308</c:v>
                </c:pt>
                <c:pt idx="65">
                  <c:v>57.172540717313836</c:v>
                </c:pt>
                <c:pt idx="66">
                  <c:v>58.134692687136365</c:v>
                </c:pt>
                <c:pt idx="67">
                  <c:v>59.124181765044362</c:v>
                </c:pt>
                <c:pt idx="68">
                  <c:v>60.061159786083714</c:v>
                </c:pt>
                <c:pt idx="69">
                  <c:v>60.994888060525739</c:v>
                </c:pt>
                <c:pt idx="70">
                  <c:v>61.882301600257222</c:v>
                </c:pt>
                <c:pt idx="71">
                  <c:v>62.779148390109569</c:v>
                </c:pt>
                <c:pt idx="72">
                  <c:v>63.69125761695998</c:v>
                </c:pt>
                <c:pt idx="73">
                  <c:v>64.729181432257207</c:v>
                </c:pt>
                <c:pt idx="74">
                  <c:v>65.813164993204836</c:v>
                </c:pt>
                <c:pt idx="75">
                  <c:v>66.83213352988183</c:v>
                </c:pt>
                <c:pt idx="76">
                  <c:v>67.796872699571551</c:v>
                </c:pt>
                <c:pt idx="77">
                  <c:v>68.671883286753214</c:v>
                </c:pt>
                <c:pt idx="78">
                  <c:v>69.528092351063535</c:v>
                </c:pt>
                <c:pt idx="79">
                  <c:v>70.414149219801999</c:v>
                </c:pt>
                <c:pt idx="80">
                  <c:v>71.307697871114627</c:v>
                </c:pt>
                <c:pt idx="81">
                  <c:v>72.191275401223123</c:v>
                </c:pt>
                <c:pt idx="82">
                  <c:v>73.106767311822836</c:v>
                </c:pt>
                <c:pt idx="83">
                  <c:v>73.978002746190583</c:v>
                </c:pt>
                <c:pt idx="84">
                  <c:v>74.811976281928708</c:v>
                </c:pt>
                <c:pt idx="85">
                  <c:v>75.605452830128854</c:v>
                </c:pt>
                <c:pt idx="86">
                  <c:v>76.39317011663276</c:v>
                </c:pt>
                <c:pt idx="87">
                  <c:v>77.192940990928832</c:v>
                </c:pt>
                <c:pt idx="88">
                  <c:v>78.040685563825022</c:v>
                </c:pt>
                <c:pt idx="89">
                  <c:v>78.864177611686173</c:v>
                </c:pt>
                <c:pt idx="90">
                  <c:v>79.621596366214789</c:v>
                </c:pt>
                <c:pt idx="91">
                  <c:v>80.317905339443456</c:v>
                </c:pt>
                <c:pt idx="92">
                  <c:v>81.028196628465764</c:v>
                </c:pt>
                <c:pt idx="93">
                  <c:v>81.740802132797953</c:v>
                </c:pt>
                <c:pt idx="94">
                  <c:v>82.446736485021319</c:v>
                </c:pt>
                <c:pt idx="95">
                  <c:v>83.042435788128472</c:v>
                </c:pt>
                <c:pt idx="96">
                  <c:v>83.751377896747613</c:v>
                </c:pt>
                <c:pt idx="97">
                  <c:v>84.479578352663552</c:v>
                </c:pt>
                <c:pt idx="98">
                  <c:v>85.2582438005836</c:v>
                </c:pt>
                <c:pt idx="99">
                  <c:v>85.931764313796037</c:v>
                </c:pt>
                <c:pt idx="100">
                  <c:v>86.569778660277962</c:v>
                </c:pt>
                <c:pt idx="101">
                  <c:v>87.232548158333287</c:v>
                </c:pt>
                <c:pt idx="102">
                  <c:v>87.860265484320081</c:v>
                </c:pt>
                <c:pt idx="103">
                  <c:v>88.500955295879976</c:v>
                </c:pt>
                <c:pt idx="104">
                  <c:v>89.091668578162199</c:v>
                </c:pt>
                <c:pt idx="105">
                  <c:v>89.68913325103965</c:v>
                </c:pt>
                <c:pt idx="106">
                  <c:v>90.2659694229487</c:v>
                </c:pt>
                <c:pt idx="107">
                  <c:v>90.85257241048518</c:v>
                </c:pt>
                <c:pt idx="108">
                  <c:v>91.434462352797496</c:v>
                </c:pt>
                <c:pt idx="109">
                  <c:v>91.996234745567847</c:v>
                </c:pt>
                <c:pt idx="110">
                  <c:v>92.570944117826699</c:v>
                </c:pt>
                <c:pt idx="111">
                  <c:v>93.144667351719676</c:v>
                </c:pt>
                <c:pt idx="112">
                  <c:v>93.728218716965785</c:v>
                </c:pt>
                <c:pt idx="113">
                  <c:v>94.318128916352407</c:v>
                </c:pt>
                <c:pt idx="114">
                  <c:v>94.932685758725327</c:v>
                </c:pt>
                <c:pt idx="115">
                  <c:v>95.54327194762368</c:v>
                </c:pt>
                <c:pt idx="116">
                  <c:v>96.133074853817789</c:v>
                </c:pt>
                <c:pt idx="117">
                  <c:v>96.710186829936916</c:v>
                </c:pt>
                <c:pt idx="118">
                  <c:v>97.327059615346343</c:v>
                </c:pt>
                <c:pt idx="119">
                  <c:v>97.938399686243002</c:v>
                </c:pt>
                <c:pt idx="120">
                  <c:v>98.533049925019938</c:v>
                </c:pt>
                <c:pt idx="121">
                  <c:v>99.170636058294704</c:v>
                </c:pt>
                <c:pt idx="122">
                  <c:v>99.810536587816003</c:v>
                </c:pt>
                <c:pt idx="123">
                  <c:v>100.42153600247622</c:v>
                </c:pt>
                <c:pt idx="124">
                  <c:v>101.04019301121312</c:v>
                </c:pt>
                <c:pt idx="125">
                  <c:v>101.65683108789956</c:v>
                </c:pt>
                <c:pt idx="126">
                  <c:v>102.23769454522522</c:v>
                </c:pt>
                <c:pt idx="127">
                  <c:v>102.85081686381294</c:v>
                </c:pt>
                <c:pt idx="128">
                  <c:v>103.48888266326213</c:v>
                </c:pt>
                <c:pt idx="129">
                  <c:v>104.11749255997194</c:v>
                </c:pt>
                <c:pt idx="130">
                  <c:v>104.75526516016247</c:v>
                </c:pt>
                <c:pt idx="131">
                  <c:v>105.36565327096157</c:v>
                </c:pt>
                <c:pt idx="132">
                  <c:v>105.92531787409155</c:v>
                </c:pt>
                <c:pt idx="133">
                  <c:v>106.47767774851776</c:v>
                </c:pt>
                <c:pt idx="134">
                  <c:v>107.05269454217883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-1.6571543192595684E-2</c:v>
                </c:pt>
                <c:pt idx="2">
                  <c:v>2.7879303808045819E-2</c:v>
                </c:pt>
                <c:pt idx="3">
                  <c:v>0.12774593200738238</c:v>
                </c:pt>
                <c:pt idx="4">
                  <c:v>0.26801125543687299</c:v>
                </c:pt>
                <c:pt idx="5">
                  <c:v>0.45432753796115044</c:v>
                </c:pt>
                <c:pt idx="6">
                  <c:v>0.69578360266847028</c:v>
                </c:pt>
                <c:pt idx="7">
                  <c:v>0.95730106744513499</c:v>
                </c:pt>
                <c:pt idx="8">
                  <c:v>1.2491262951259525</c:v>
                </c:pt>
                <c:pt idx="9">
                  <c:v>1.5673755870404857</c:v>
                </c:pt>
                <c:pt idx="10">
                  <c:v>1.9179817382513189</c:v>
                </c:pt>
                <c:pt idx="11">
                  <c:v>2.2848447024437792</c:v>
                </c:pt>
                <c:pt idx="12">
                  <c:v>2.6622935130844301</c:v>
                </c:pt>
                <c:pt idx="13">
                  <c:v>3.0506555318946891</c:v>
                </c:pt>
                <c:pt idx="14">
                  <c:v>3.4873198689427252</c:v>
                </c:pt>
                <c:pt idx="15">
                  <c:v>3.9416684040012893</c:v>
                </c:pt>
                <c:pt idx="16">
                  <c:v>4.3943798945431052</c:v>
                </c:pt>
                <c:pt idx="17">
                  <c:v>4.8779429072098406</c:v>
                </c:pt>
                <c:pt idx="18">
                  <c:v>5.3677564984847965</c:v>
                </c:pt>
                <c:pt idx="19">
                  <c:v>5.851741005526085</c:v>
                </c:pt>
                <c:pt idx="20">
                  <c:v>6.3651379411888467</c:v>
                </c:pt>
                <c:pt idx="21">
                  <c:v>6.8739183407235078</c:v>
                </c:pt>
                <c:pt idx="22">
                  <c:v>7.3649641574179352</c:v>
                </c:pt>
                <c:pt idx="23">
                  <c:v>7.8755841558203681</c:v>
                </c:pt>
                <c:pt idx="24">
                  <c:v>8.3803416056152447</c:v>
                </c:pt>
                <c:pt idx="25">
                  <c:v>8.9001716169599039</c:v>
                </c:pt>
                <c:pt idx="26">
                  <c:v>9.3939624887336226</c:v>
                </c:pt>
                <c:pt idx="27">
                  <c:v>9.8869438994208334</c:v>
                </c:pt>
                <c:pt idx="28">
                  <c:v>10.397420296197032</c:v>
                </c:pt>
                <c:pt idx="29">
                  <c:v>10.93687183090484</c:v>
                </c:pt>
                <c:pt idx="30">
                  <c:v>11.475971811680436</c:v>
                </c:pt>
                <c:pt idx="31">
                  <c:v>11.99211075557408</c:v>
                </c:pt>
                <c:pt idx="32">
                  <c:v>12.52103447311667</c:v>
                </c:pt>
                <c:pt idx="33">
                  <c:v>13.011074706079404</c:v>
                </c:pt>
                <c:pt idx="34">
                  <c:v>13.480257073326849</c:v>
                </c:pt>
                <c:pt idx="35">
                  <c:v>13.938301276828659</c:v>
                </c:pt>
                <c:pt idx="36">
                  <c:v>14.41598765387001</c:v>
                </c:pt>
                <c:pt idx="37">
                  <c:v>14.920478420313904</c:v>
                </c:pt>
                <c:pt idx="38">
                  <c:v>15.399738786982729</c:v>
                </c:pt>
                <c:pt idx="39">
                  <c:v>15.852130082634302</c:v>
                </c:pt>
                <c:pt idx="40">
                  <c:v>16.290752891296925</c:v>
                </c:pt>
                <c:pt idx="41">
                  <c:v>16.728872706873272</c:v>
                </c:pt>
                <c:pt idx="42">
                  <c:v>17.171470120205552</c:v>
                </c:pt>
                <c:pt idx="43">
                  <c:v>17.613130744164177</c:v>
                </c:pt>
                <c:pt idx="44">
                  <c:v>18.030467099187685</c:v>
                </c:pt>
                <c:pt idx="45">
                  <c:v>18.444847006685219</c:v>
                </c:pt>
                <c:pt idx="46">
                  <c:v>18.826861347800087</c:v>
                </c:pt>
                <c:pt idx="47">
                  <c:v>19.187404675485045</c:v>
                </c:pt>
                <c:pt idx="48">
                  <c:v>19.540890498636163</c:v>
                </c:pt>
                <c:pt idx="49">
                  <c:v>19.9075616281776</c:v>
                </c:pt>
                <c:pt idx="50">
                  <c:v>20.298247569464341</c:v>
                </c:pt>
                <c:pt idx="51">
                  <c:v>20.683527190200689</c:v>
                </c:pt>
                <c:pt idx="52">
                  <c:v>21.045420289086653</c:v>
                </c:pt>
                <c:pt idx="53">
                  <c:v>21.38530146472095</c:v>
                </c:pt>
                <c:pt idx="54">
                  <c:v>21.720130615603157</c:v>
                </c:pt>
                <c:pt idx="55">
                  <c:v>22.047508192806792</c:v>
                </c:pt>
                <c:pt idx="56">
                  <c:v>22.367660806139082</c:v>
                </c:pt>
                <c:pt idx="57">
                  <c:v>22.691238060667462</c:v>
                </c:pt>
                <c:pt idx="58">
                  <c:v>23.005313444684415</c:v>
                </c:pt>
                <c:pt idx="59">
                  <c:v>23.329800022931916</c:v>
                </c:pt>
                <c:pt idx="60">
                  <c:v>23.646695139351461</c:v>
                </c:pt>
                <c:pt idx="61">
                  <c:v>23.960003286806991</c:v>
                </c:pt>
                <c:pt idx="62">
                  <c:v>24.258247510734346</c:v>
                </c:pt>
                <c:pt idx="63">
                  <c:v>24.526592426579118</c:v>
                </c:pt>
                <c:pt idx="64">
                  <c:v>24.806361492534567</c:v>
                </c:pt>
                <c:pt idx="65">
                  <c:v>25.072201965561032</c:v>
                </c:pt>
                <c:pt idx="66">
                  <c:v>25.333461211535816</c:v>
                </c:pt>
                <c:pt idx="67">
                  <c:v>25.583953208575483</c:v>
                </c:pt>
                <c:pt idx="68">
                  <c:v>25.834473184110205</c:v>
                </c:pt>
                <c:pt idx="69">
                  <c:v>26.073318447118677</c:v>
                </c:pt>
                <c:pt idx="70">
                  <c:v>26.303567985088076</c:v>
                </c:pt>
                <c:pt idx="71">
                  <c:v>26.51689634502895</c:v>
                </c:pt>
                <c:pt idx="72">
                  <c:v>26.714124803034021</c:v>
                </c:pt>
                <c:pt idx="73">
                  <c:v>26.913212893864664</c:v>
                </c:pt>
                <c:pt idx="74">
                  <c:v>27.116013022150607</c:v>
                </c:pt>
                <c:pt idx="75">
                  <c:v>27.322114384608025</c:v>
                </c:pt>
                <c:pt idx="76">
                  <c:v>27.512889634682384</c:v>
                </c:pt>
                <c:pt idx="77">
                  <c:v>27.694711375646019</c:v>
                </c:pt>
                <c:pt idx="78">
                  <c:v>27.86144903882396</c:v>
                </c:pt>
                <c:pt idx="79">
                  <c:v>28.017245241983833</c:v>
                </c:pt>
                <c:pt idx="80">
                  <c:v>28.178183777698802</c:v>
                </c:pt>
                <c:pt idx="81">
                  <c:v>28.332863084998987</c:v>
                </c:pt>
                <c:pt idx="82">
                  <c:v>28.485817494765111</c:v>
                </c:pt>
                <c:pt idx="83">
                  <c:v>28.628113532478448</c:v>
                </c:pt>
                <c:pt idx="84">
                  <c:v>28.75788965561134</c:v>
                </c:pt>
                <c:pt idx="85">
                  <c:v>28.883884702304822</c:v>
                </c:pt>
                <c:pt idx="86">
                  <c:v>29.005750838458578</c:v>
                </c:pt>
                <c:pt idx="87">
                  <c:v>29.128502967483758</c:v>
                </c:pt>
                <c:pt idx="88">
                  <c:v>29.246907606825364</c:v>
                </c:pt>
                <c:pt idx="89">
                  <c:v>29.364720780441839</c:v>
                </c:pt>
                <c:pt idx="90">
                  <c:v>29.481768217855514</c:v>
                </c:pt>
                <c:pt idx="91">
                  <c:v>29.590999169133799</c:v>
                </c:pt>
                <c:pt idx="92">
                  <c:v>29.692015949763555</c:v>
                </c:pt>
                <c:pt idx="93">
                  <c:v>29.789602781736644</c:v>
                </c:pt>
                <c:pt idx="94">
                  <c:v>29.882962775292665</c:v>
                </c:pt>
                <c:pt idx="95">
                  <c:v>29.970433016935512</c:v>
                </c:pt>
                <c:pt idx="96">
                  <c:v>30.047337737601811</c:v>
                </c:pt>
                <c:pt idx="97">
                  <c:v>30.13263425818565</c:v>
                </c:pt>
                <c:pt idx="98">
                  <c:v>30.215712329819741</c:v>
                </c:pt>
                <c:pt idx="99">
                  <c:v>30.29995265758043</c:v>
                </c:pt>
                <c:pt idx="100">
                  <c:v>30.372467047001276</c:v>
                </c:pt>
                <c:pt idx="101">
                  <c:v>30.438569914232954</c:v>
                </c:pt>
                <c:pt idx="102">
                  <c:v>30.501748393311541</c:v>
                </c:pt>
                <c:pt idx="103">
                  <c:v>30.559464861189735</c:v>
                </c:pt>
                <c:pt idx="104">
                  <c:v>30.615568028510371</c:v>
                </c:pt>
                <c:pt idx="105">
                  <c:v>30.663551717283706</c:v>
                </c:pt>
                <c:pt idx="106">
                  <c:v>30.708699339859702</c:v>
                </c:pt>
                <c:pt idx="107">
                  <c:v>30.748870676495496</c:v>
                </c:pt>
                <c:pt idx="108">
                  <c:v>30.787053818201013</c:v>
                </c:pt>
                <c:pt idx="109">
                  <c:v>30.82484849035907</c:v>
                </c:pt>
                <c:pt idx="110">
                  <c:v>30.861074161953955</c:v>
                </c:pt>
                <c:pt idx="111">
                  <c:v>30.897293048698334</c:v>
                </c:pt>
                <c:pt idx="112">
                  <c:v>30.930444518981556</c:v>
                </c:pt>
                <c:pt idx="113">
                  <c:v>30.96291700881304</c:v>
                </c:pt>
                <c:pt idx="114">
                  <c:v>30.99680514618704</c:v>
                </c:pt>
                <c:pt idx="115">
                  <c:v>31.031196946510736</c:v>
                </c:pt>
                <c:pt idx="116">
                  <c:v>31.065245100523914</c:v>
                </c:pt>
                <c:pt idx="117">
                  <c:v>31.097250600800134</c:v>
                </c:pt>
                <c:pt idx="118">
                  <c:v>31.127902675478108</c:v>
                </c:pt>
                <c:pt idx="119">
                  <c:v>31.161717992294317</c:v>
                </c:pt>
                <c:pt idx="120">
                  <c:v>31.193310728479826</c:v>
                </c:pt>
                <c:pt idx="121">
                  <c:v>31.221743153703041</c:v>
                </c:pt>
                <c:pt idx="122">
                  <c:v>31.250760927922197</c:v>
                </c:pt>
                <c:pt idx="123">
                  <c:v>31.280330113868967</c:v>
                </c:pt>
                <c:pt idx="124">
                  <c:v>31.306798698556545</c:v>
                </c:pt>
                <c:pt idx="125">
                  <c:v>31.331330288385768</c:v>
                </c:pt>
                <c:pt idx="126">
                  <c:v>31.354622385004678</c:v>
                </c:pt>
                <c:pt idx="127">
                  <c:v>31.374605466701308</c:v>
                </c:pt>
                <c:pt idx="128">
                  <c:v>31.397453902338629</c:v>
                </c:pt>
                <c:pt idx="129">
                  <c:v>31.422360488975304</c:v>
                </c:pt>
                <c:pt idx="130">
                  <c:v>31.445033437508631</c:v>
                </c:pt>
                <c:pt idx="131">
                  <c:v>31.468777883073709</c:v>
                </c:pt>
                <c:pt idx="132">
                  <c:v>31.490647406024447</c:v>
                </c:pt>
                <c:pt idx="133">
                  <c:v>31.509156033522476</c:v>
                </c:pt>
                <c:pt idx="134">
                  <c:v>31.527381452646527</c:v>
                </c:pt>
                <c:pt idx="135">
                  <c:v>31.545984147017787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119.75652173913043</c:v>
                </c:pt>
                <c:pt idx="56">
                  <c:v>118.24544468768418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118.31335167638795</c:v>
                </c:pt>
                <c:pt idx="78">
                  <c:v>119.88082407218289</c:v>
                </c:pt>
                <c:pt idx="79">
                  <c:v>119.84620514801945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117.96521739130435</c:v>
                </c:pt>
                <c:pt idx="107">
                  <c:v>119.72182756264547</c:v>
                </c:pt>
                <c:pt idx="108">
                  <c:v>120</c:v>
                </c:pt>
                <c:pt idx="109">
                  <c:v>118.9217391304348</c:v>
                </c:pt>
                <c:pt idx="110">
                  <c:v>119.3739466628101</c:v>
                </c:pt>
                <c:pt idx="111">
                  <c:v>120</c:v>
                </c:pt>
                <c:pt idx="112">
                  <c:v>119.63478260869566</c:v>
                </c:pt>
                <c:pt idx="113">
                  <c:v>119.49566021832254</c:v>
                </c:pt>
                <c:pt idx="114">
                  <c:v>117.75653939231223</c:v>
                </c:pt>
                <c:pt idx="115">
                  <c:v>120</c:v>
                </c:pt>
                <c:pt idx="116">
                  <c:v>118.81739130434781</c:v>
                </c:pt>
                <c:pt idx="117">
                  <c:v>119.94784109438045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117.18261676309908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118.95652173913044</c:v>
                </c:pt>
                <c:pt idx="139">
                  <c:v>116.93913105197623</c:v>
                </c:pt>
                <c:pt idx="140">
                  <c:v>114.50435012014478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43.458555942029022</c:v>
                </c:pt>
                <c:pt idx="19">
                  <c:v>45.598555942029023</c:v>
                </c:pt>
                <c:pt idx="20">
                  <c:v>46.458555942029022</c:v>
                </c:pt>
                <c:pt idx="21">
                  <c:v>50.058555942029031</c:v>
                </c:pt>
                <c:pt idx="22">
                  <c:v>51.388555942029029</c:v>
                </c:pt>
                <c:pt idx="23">
                  <c:v>53.138555942029029</c:v>
                </c:pt>
                <c:pt idx="24">
                  <c:v>53.948555942029031</c:v>
                </c:pt>
                <c:pt idx="25">
                  <c:v>55.438555942029041</c:v>
                </c:pt>
                <c:pt idx="26">
                  <c:v>58.728555942029033</c:v>
                </c:pt>
                <c:pt idx="27">
                  <c:v>63.098555942029037</c:v>
                </c:pt>
                <c:pt idx="28">
                  <c:v>64.54855594202904</c:v>
                </c:pt>
                <c:pt idx="29">
                  <c:v>65.198555942029046</c:v>
                </c:pt>
                <c:pt idx="30">
                  <c:v>65.79855594202904</c:v>
                </c:pt>
                <c:pt idx="31">
                  <c:v>69.868555942029033</c:v>
                </c:pt>
                <c:pt idx="32">
                  <c:v>76.248555942029029</c:v>
                </c:pt>
                <c:pt idx="33">
                  <c:v>76.248555942029029</c:v>
                </c:pt>
                <c:pt idx="34">
                  <c:v>80.808660191005629</c:v>
                </c:pt>
                <c:pt idx="35">
                  <c:v>80.918660191005628</c:v>
                </c:pt>
                <c:pt idx="36">
                  <c:v>82.208660191005634</c:v>
                </c:pt>
                <c:pt idx="37">
                  <c:v>84.038660191005633</c:v>
                </c:pt>
                <c:pt idx="38">
                  <c:v>85.648660191005646</c:v>
                </c:pt>
                <c:pt idx="39">
                  <c:v>90.398660191005646</c:v>
                </c:pt>
                <c:pt idx="40">
                  <c:v>101.55866019100564</c:v>
                </c:pt>
                <c:pt idx="41">
                  <c:v>109.74866019100564</c:v>
                </c:pt>
                <c:pt idx="42">
                  <c:v>110.74866019100564</c:v>
                </c:pt>
                <c:pt idx="43">
                  <c:v>111.80866019100563</c:v>
                </c:pt>
                <c:pt idx="44">
                  <c:v>113.99866019100563</c:v>
                </c:pt>
                <c:pt idx="45">
                  <c:v>116.85866019100563</c:v>
                </c:pt>
                <c:pt idx="46">
                  <c:v>118.98866019100562</c:v>
                </c:pt>
                <c:pt idx="47">
                  <c:v>119.23866019100562</c:v>
                </c:pt>
                <c:pt idx="48">
                  <c:v>121.32866019100564</c:v>
                </c:pt>
                <c:pt idx="49">
                  <c:v>121.32866019100564</c:v>
                </c:pt>
                <c:pt idx="50">
                  <c:v>122.13905679101148</c:v>
                </c:pt>
                <c:pt idx="51">
                  <c:v>123.88905679101148</c:v>
                </c:pt>
                <c:pt idx="52">
                  <c:v>125.20905679101148</c:v>
                </c:pt>
                <c:pt idx="53">
                  <c:v>125.20905679101148</c:v>
                </c:pt>
                <c:pt idx="54">
                  <c:v>127.71052834023214</c:v>
                </c:pt>
                <c:pt idx="55">
                  <c:v>127.71052834023214</c:v>
                </c:pt>
                <c:pt idx="56">
                  <c:v>127.71052834023214</c:v>
                </c:pt>
                <c:pt idx="57">
                  <c:v>128.03841367834016</c:v>
                </c:pt>
                <c:pt idx="58">
                  <c:v>131.79841367834015</c:v>
                </c:pt>
                <c:pt idx="59">
                  <c:v>134.48841367834015</c:v>
                </c:pt>
                <c:pt idx="60">
                  <c:v>137.77841367834014</c:v>
                </c:pt>
                <c:pt idx="61">
                  <c:v>138.98841367834012</c:v>
                </c:pt>
                <c:pt idx="62">
                  <c:v>142.60841367834013</c:v>
                </c:pt>
                <c:pt idx="63">
                  <c:v>143.22841367834013</c:v>
                </c:pt>
                <c:pt idx="64">
                  <c:v>147.42841367834012</c:v>
                </c:pt>
                <c:pt idx="65">
                  <c:v>150.79841367834013</c:v>
                </c:pt>
                <c:pt idx="66">
                  <c:v>151.8884136783401</c:v>
                </c:pt>
                <c:pt idx="67">
                  <c:v>157.1684136783401</c:v>
                </c:pt>
                <c:pt idx="68">
                  <c:v>160.8284136783401</c:v>
                </c:pt>
                <c:pt idx="69">
                  <c:v>160.90841367834008</c:v>
                </c:pt>
                <c:pt idx="70">
                  <c:v>161.09841367834008</c:v>
                </c:pt>
                <c:pt idx="71">
                  <c:v>162.89841367834009</c:v>
                </c:pt>
                <c:pt idx="72">
                  <c:v>165.4484136783401</c:v>
                </c:pt>
                <c:pt idx="73">
                  <c:v>169.04841367834013</c:v>
                </c:pt>
                <c:pt idx="74">
                  <c:v>173.43841367834011</c:v>
                </c:pt>
                <c:pt idx="75">
                  <c:v>174.53841367834013</c:v>
                </c:pt>
                <c:pt idx="76">
                  <c:v>174.53841367834013</c:v>
                </c:pt>
                <c:pt idx="77">
                  <c:v>174.53841367834013</c:v>
                </c:pt>
                <c:pt idx="78">
                  <c:v>174.53841367834013</c:v>
                </c:pt>
                <c:pt idx="79">
                  <c:v>174.53841367834013</c:v>
                </c:pt>
                <c:pt idx="80">
                  <c:v>176.05008224115923</c:v>
                </c:pt>
                <c:pt idx="81">
                  <c:v>176.23008224115924</c:v>
                </c:pt>
                <c:pt idx="82">
                  <c:v>177.78008224115922</c:v>
                </c:pt>
                <c:pt idx="83">
                  <c:v>182.1100822411592</c:v>
                </c:pt>
                <c:pt idx="84">
                  <c:v>185.45008224115921</c:v>
                </c:pt>
                <c:pt idx="85">
                  <c:v>186.14008224115921</c:v>
                </c:pt>
                <c:pt idx="86">
                  <c:v>191.09008224115922</c:v>
                </c:pt>
                <c:pt idx="87">
                  <c:v>192.73008224115921</c:v>
                </c:pt>
                <c:pt idx="88">
                  <c:v>196.1800822411592</c:v>
                </c:pt>
                <c:pt idx="89">
                  <c:v>197.28008224115919</c:v>
                </c:pt>
                <c:pt idx="90">
                  <c:v>199.79008224115921</c:v>
                </c:pt>
                <c:pt idx="91">
                  <c:v>201.8700822411592</c:v>
                </c:pt>
                <c:pt idx="92">
                  <c:v>201.96008224115917</c:v>
                </c:pt>
                <c:pt idx="93">
                  <c:v>205.39008224115918</c:v>
                </c:pt>
                <c:pt idx="94">
                  <c:v>209.14008224115918</c:v>
                </c:pt>
                <c:pt idx="95">
                  <c:v>211.06008224115919</c:v>
                </c:pt>
                <c:pt idx="96">
                  <c:v>216.6200822411592</c:v>
                </c:pt>
                <c:pt idx="97">
                  <c:v>218.66008224115922</c:v>
                </c:pt>
                <c:pt idx="98">
                  <c:v>218.96008224115923</c:v>
                </c:pt>
                <c:pt idx="99">
                  <c:v>224.19008224115925</c:v>
                </c:pt>
                <c:pt idx="100">
                  <c:v>226.10008224115924</c:v>
                </c:pt>
                <c:pt idx="101">
                  <c:v>226.67008224115926</c:v>
                </c:pt>
                <c:pt idx="102">
                  <c:v>228.88008224115927</c:v>
                </c:pt>
                <c:pt idx="103">
                  <c:v>229.55008224115926</c:v>
                </c:pt>
                <c:pt idx="104">
                  <c:v>232.34008224115925</c:v>
                </c:pt>
                <c:pt idx="105">
                  <c:v>232.38008224115924</c:v>
                </c:pt>
                <c:pt idx="106">
                  <c:v>232.38008224115924</c:v>
                </c:pt>
                <c:pt idx="107">
                  <c:v>232.38008224115924</c:v>
                </c:pt>
                <c:pt idx="108">
                  <c:v>233.80013921030508</c:v>
                </c:pt>
                <c:pt idx="109">
                  <c:v>233.80013921030508</c:v>
                </c:pt>
                <c:pt idx="110">
                  <c:v>233.80013921030508</c:v>
                </c:pt>
                <c:pt idx="111">
                  <c:v>234.9501674736336</c:v>
                </c:pt>
                <c:pt idx="112">
                  <c:v>234.9501674736336</c:v>
                </c:pt>
                <c:pt idx="113">
                  <c:v>234.9501674736336</c:v>
                </c:pt>
                <c:pt idx="114">
                  <c:v>234.9501674736336</c:v>
                </c:pt>
                <c:pt idx="115">
                  <c:v>235.29019495358767</c:v>
                </c:pt>
                <c:pt idx="116">
                  <c:v>235.29019495358767</c:v>
                </c:pt>
                <c:pt idx="117">
                  <c:v>235.29019495358767</c:v>
                </c:pt>
                <c:pt idx="118">
                  <c:v>236.96020385999987</c:v>
                </c:pt>
                <c:pt idx="119">
                  <c:v>241.42020385999987</c:v>
                </c:pt>
                <c:pt idx="120">
                  <c:v>241.42020385999987</c:v>
                </c:pt>
                <c:pt idx="121">
                  <c:v>241.42020385999987</c:v>
                </c:pt>
                <c:pt idx="122">
                  <c:v>242.32021894529066</c:v>
                </c:pt>
                <c:pt idx="123">
                  <c:v>244.09021894529064</c:v>
                </c:pt>
                <c:pt idx="124">
                  <c:v>248.85021894529064</c:v>
                </c:pt>
                <c:pt idx="125">
                  <c:v>248.95021894529063</c:v>
                </c:pt>
                <c:pt idx="126">
                  <c:v>248.95021894529063</c:v>
                </c:pt>
                <c:pt idx="127">
                  <c:v>249.34021999009101</c:v>
                </c:pt>
                <c:pt idx="128">
                  <c:v>249.34021999009101</c:v>
                </c:pt>
                <c:pt idx="129">
                  <c:v>249.5502211420347</c:v>
                </c:pt>
                <c:pt idx="130">
                  <c:v>252.1102211420347</c:v>
                </c:pt>
                <c:pt idx="131">
                  <c:v>254.03022114203469</c:v>
                </c:pt>
                <c:pt idx="132">
                  <c:v>260.82022114203471</c:v>
                </c:pt>
                <c:pt idx="133">
                  <c:v>262.5802211420347</c:v>
                </c:pt>
                <c:pt idx="134">
                  <c:v>262.5802211420347</c:v>
                </c:pt>
                <c:pt idx="135">
                  <c:v>263.86022153546213</c:v>
                </c:pt>
                <c:pt idx="136">
                  <c:v>263.86022153546213</c:v>
                </c:pt>
                <c:pt idx="137">
                  <c:v>267.36022174491472</c:v>
                </c:pt>
                <c:pt idx="138">
                  <c:v>267.36022174491472</c:v>
                </c:pt>
                <c:pt idx="139">
                  <c:v>267.36022174491472</c:v>
                </c:pt>
                <c:pt idx="140">
                  <c:v>267.36022174491472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6.6928509242848554E-3</c:v>
                </c:pt>
                <c:pt idx="16">
                  <c:v>6.6928509242848554E-3</c:v>
                </c:pt>
                <c:pt idx="17">
                  <c:v>6.6928509242848554E-3</c:v>
                </c:pt>
                <c:pt idx="18">
                  <c:v>6.6928509242848554E-3</c:v>
                </c:pt>
                <c:pt idx="19">
                  <c:v>6.6928509242848554E-3</c:v>
                </c:pt>
                <c:pt idx="20">
                  <c:v>6.6928509242848554E-3</c:v>
                </c:pt>
                <c:pt idx="21">
                  <c:v>6.6928509242848554E-3</c:v>
                </c:pt>
                <c:pt idx="22">
                  <c:v>7.4660259159340138E-3</c:v>
                </c:pt>
                <c:pt idx="23">
                  <c:v>8.561118550482423E-3</c:v>
                </c:pt>
                <c:pt idx="24">
                  <c:v>9.8018471140296284E-3</c:v>
                </c:pt>
                <c:pt idx="25">
                  <c:v>1.1382223868066832E-2</c:v>
                </c:pt>
                <c:pt idx="26">
                  <c:v>1.3167314161149796E-2</c:v>
                </c:pt>
                <c:pt idx="27">
                  <c:v>1.5201176131025848E-2</c:v>
                </c:pt>
                <c:pt idx="28">
                  <c:v>1.7519844624628089E-2</c:v>
                </c:pt>
                <c:pt idx="29">
                  <c:v>1.9948897500208947E-2</c:v>
                </c:pt>
                <c:pt idx="30">
                  <c:v>2.2676347121945675E-2</c:v>
                </c:pt>
                <c:pt idx="31">
                  <c:v>2.625978033202981E-2</c:v>
                </c:pt>
                <c:pt idx="32">
                  <c:v>3.0391876717935952E-2</c:v>
                </c:pt>
                <c:pt idx="33">
                  <c:v>3.5593225169765187E-2</c:v>
                </c:pt>
                <c:pt idx="34">
                  <c:v>4.0909415252448067E-2</c:v>
                </c:pt>
                <c:pt idx="35">
                  <c:v>4.6759057647104127E-2</c:v>
                </c:pt>
                <c:pt idx="36">
                  <c:v>5.2636600584439808E-2</c:v>
                </c:pt>
                <c:pt idx="37">
                  <c:v>6.0058109218742994E-2</c:v>
                </c:pt>
                <c:pt idx="38">
                  <c:v>6.8538439218077757E-2</c:v>
                </c:pt>
                <c:pt idx="39">
                  <c:v>7.8206163245916907E-2</c:v>
                </c:pt>
                <c:pt idx="40">
                  <c:v>8.9499853242182986E-2</c:v>
                </c:pt>
                <c:pt idx="41">
                  <c:v>0.10218025369173379</c:v>
                </c:pt>
                <c:pt idx="42">
                  <c:v>0.11559268782888762</c:v>
                </c:pt>
                <c:pt idx="43">
                  <c:v>0.12885909851855257</c:v>
                </c:pt>
                <c:pt idx="44">
                  <c:v>0.14348596298578581</c:v>
                </c:pt>
                <c:pt idx="45">
                  <c:v>0.16196296933420759</c:v>
                </c:pt>
                <c:pt idx="46">
                  <c:v>0.18057106743727977</c:v>
                </c:pt>
                <c:pt idx="47">
                  <c:v>0.19996472153058853</c:v>
                </c:pt>
                <c:pt idx="48">
                  <c:v>0.22002623866318699</c:v>
                </c:pt>
                <c:pt idx="49">
                  <c:v>0.24166985518465361</c:v>
                </c:pt>
                <c:pt idx="50">
                  <c:v>0.26437095689734247</c:v>
                </c:pt>
                <c:pt idx="51">
                  <c:v>0.28788411201356784</c:v>
                </c:pt>
                <c:pt idx="52">
                  <c:v>0.31346028619954192</c:v>
                </c:pt>
                <c:pt idx="53">
                  <c:v>0.33839821416725246</c:v>
                </c:pt>
                <c:pt idx="54">
                  <c:v>0.36618666525129728</c:v>
                </c:pt>
                <c:pt idx="55">
                  <c:v>0.39413698182194101</c:v>
                </c:pt>
                <c:pt idx="56">
                  <c:v>0.4254934913790136</c:v>
                </c:pt>
                <c:pt idx="57">
                  <c:v>0.45650239219607991</c:v>
                </c:pt>
                <c:pt idx="58">
                  <c:v>0.48971383402625723</c:v>
                </c:pt>
                <c:pt idx="59">
                  <c:v>0.51912556291730094</c:v>
                </c:pt>
                <c:pt idx="60">
                  <c:v>0.54714074716020367</c:v>
                </c:pt>
                <c:pt idx="61">
                  <c:v>0.57513017510721143</c:v>
                </c:pt>
                <c:pt idx="62">
                  <c:v>0.60195198580097942</c:v>
                </c:pt>
                <c:pt idx="63">
                  <c:v>0.62927027520819967</c:v>
                </c:pt>
                <c:pt idx="64">
                  <c:v>0.65491323034539928</c:v>
                </c:pt>
                <c:pt idx="65">
                  <c:v>0.67917448064711861</c:v>
                </c:pt>
                <c:pt idx="66">
                  <c:v>0.70520820945610196</c:v>
                </c:pt>
                <c:pt idx="67">
                  <c:v>0.72996931909213636</c:v>
                </c:pt>
                <c:pt idx="68">
                  <c:v>0.75524454171206945</c:v>
                </c:pt>
                <c:pt idx="69">
                  <c:v>0.77710716695513926</c:v>
                </c:pt>
                <c:pt idx="70">
                  <c:v>0.79785215143830657</c:v>
                </c:pt>
                <c:pt idx="71">
                  <c:v>0.81816990221866004</c:v>
                </c:pt>
                <c:pt idx="72">
                  <c:v>0.83748372975819019</c:v>
                </c:pt>
                <c:pt idx="73">
                  <c:v>0.8554509143064164</c:v>
                </c:pt>
                <c:pt idx="74">
                  <c:v>0.87080746739530179</c:v>
                </c:pt>
                <c:pt idx="75">
                  <c:v>0.88471015526258279</c:v>
                </c:pt>
                <c:pt idx="76">
                  <c:v>0.89669404362083327</c:v>
                </c:pt>
                <c:pt idx="77">
                  <c:v>0.90736544930691265</c:v>
                </c:pt>
                <c:pt idx="78">
                  <c:v>0.91763286877738326</c:v>
                </c:pt>
                <c:pt idx="79">
                  <c:v>0.92653533876008576</c:v>
                </c:pt>
                <c:pt idx="80">
                  <c:v>0.93458642690755878</c:v>
                </c:pt>
                <c:pt idx="81">
                  <c:v>0.94115690525035012</c:v>
                </c:pt>
                <c:pt idx="82">
                  <c:v>0.94749736647342775</c:v>
                </c:pt>
                <c:pt idx="83">
                  <c:v>0.95415779175099857</c:v>
                </c:pt>
                <c:pt idx="84">
                  <c:v>0.96014643972799085</c:v>
                </c:pt>
                <c:pt idx="85">
                  <c:v>0.96514984322608333</c:v>
                </c:pt>
                <c:pt idx="86">
                  <c:v>0.96957759509923935</c:v>
                </c:pt>
                <c:pt idx="87">
                  <c:v>0.97331171663850635</c:v>
                </c:pt>
                <c:pt idx="88">
                  <c:v>0.9766332250195966</c:v>
                </c:pt>
                <c:pt idx="89">
                  <c:v>0.97958041815486541</c:v>
                </c:pt>
                <c:pt idx="90">
                  <c:v>0.9820341165933747</c:v>
                </c:pt>
                <c:pt idx="91">
                  <c:v>0.98397517842243953</c:v>
                </c:pt>
                <c:pt idx="92">
                  <c:v>0.98559445556349112</c:v>
                </c:pt>
                <c:pt idx="93">
                  <c:v>0.98721870896402031</c:v>
                </c:pt>
                <c:pt idx="94">
                  <c:v>0.98872516696497736</c:v>
                </c:pt>
                <c:pt idx="95">
                  <c:v>0.99009652438733986</c:v>
                </c:pt>
                <c:pt idx="96">
                  <c:v>0.99133579566577801</c:v>
                </c:pt>
                <c:pt idx="97">
                  <c:v>0.99238581301803586</c:v>
                </c:pt>
                <c:pt idx="98">
                  <c:v>0.99333323544005503</c:v>
                </c:pt>
                <c:pt idx="99">
                  <c:v>0.9941570566501694</c:v>
                </c:pt>
                <c:pt idx="100">
                  <c:v>0.99482377587429882</c:v>
                </c:pt>
                <c:pt idx="101">
                  <c:v>0.99545552010326355</c:v>
                </c:pt>
                <c:pt idx="102">
                  <c:v>0.99599839123943756</c:v>
                </c:pt>
                <c:pt idx="103">
                  <c:v>0.99650126089910773</c:v>
                </c:pt>
                <c:pt idx="104">
                  <c:v>0.99693059384981875</c:v>
                </c:pt>
                <c:pt idx="105">
                  <c:v>0.99730960749570996</c:v>
                </c:pt>
                <c:pt idx="106">
                  <c:v>0.99765197141913131</c:v>
                </c:pt>
                <c:pt idx="107">
                  <c:v>0.9979460555209112</c:v>
                </c:pt>
                <c:pt idx="108">
                  <c:v>0.99822794730048714</c:v>
                </c:pt>
                <c:pt idx="109">
                  <c:v>0.99847184205399397</c:v>
                </c:pt>
                <c:pt idx="110">
                  <c:v>0.99868819139491527</c:v>
                </c:pt>
                <c:pt idx="111">
                  <c:v>0.9988661593536633</c:v>
                </c:pt>
                <c:pt idx="112">
                  <c:v>0.99902727400210534</c:v>
                </c:pt>
                <c:pt idx="113">
                  <c:v>0.99916032111091568</c:v>
                </c:pt>
                <c:pt idx="114">
                  <c:v>0.99926966643303661</c:v>
                </c:pt>
                <c:pt idx="115">
                  <c:v>0.99936073977356132</c:v>
                </c:pt>
                <c:pt idx="116">
                  <c:v>0.99944115651990961</c:v>
                </c:pt>
                <c:pt idx="117">
                  <c:v>0.99951354612417642</c:v>
                </c:pt>
                <c:pt idx="118">
                  <c:v>0.99957492444185247</c:v>
                </c:pt>
                <c:pt idx="119">
                  <c:v>0.99963136817263798</c:v>
                </c:pt>
                <c:pt idx="120">
                  <c:v>0.99968225362215368</c:v>
                </c:pt>
                <c:pt idx="121">
                  <c:v>0.99972539811595629</c:v>
                </c:pt>
                <c:pt idx="122">
                  <c:v>0.99975948909805401</c:v>
                </c:pt>
                <c:pt idx="123">
                  <c:v>0.99979073885131586</c:v>
                </c:pt>
                <c:pt idx="124">
                  <c:v>0.99981930520113227</c:v>
                </c:pt>
                <c:pt idx="125">
                  <c:v>0.99984356305873323</c:v>
                </c:pt>
                <c:pt idx="126">
                  <c:v>0.99986599583040503</c:v>
                </c:pt>
                <c:pt idx="127">
                  <c:v>0.99988502196732698</c:v>
                </c:pt>
                <c:pt idx="128">
                  <c:v>0.9999017137945071</c:v>
                </c:pt>
                <c:pt idx="129">
                  <c:v>0.99991588982533586</c:v>
                </c:pt>
                <c:pt idx="130">
                  <c:v>0.99992892918011766</c:v>
                </c:pt>
                <c:pt idx="131">
                  <c:v>0.9999392304408341</c:v>
                </c:pt>
                <c:pt idx="132">
                  <c:v>0.99994742573982265</c:v>
                </c:pt>
                <c:pt idx="133">
                  <c:v>0.99995444680224266</c:v>
                </c:pt>
                <c:pt idx="134">
                  <c:v>0.99996023511441268</c:v>
                </c:pt>
                <c:pt idx="135">
                  <c:v>0.9999654360939324</c:v>
                </c:pt>
                <c:pt idx="136">
                  <c:v>0.99997028661660348</c:v>
                </c:pt>
                <c:pt idx="137">
                  <c:v>0.99997469847515486</c:v>
                </c:pt>
                <c:pt idx="138">
                  <c:v>0.99997859157497815</c:v>
                </c:pt>
                <c:pt idx="139">
                  <c:v>0.99998178038926211</c:v>
                </c:pt>
                <c:pt idx="140">
                  <c:v>0.99998457105749694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8</v>
    <v>8</v>
    <v>1</v>
  </rv>
  <rv s="0">
    <v>2</v>
    <v>8</v>
    <v>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D31" sqref="D31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282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55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Mustard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1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6</v>
      </c>
      <c r="E12" s="69"/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6</v>
      </c>
      <c r="C14" s="64" t="str">
        <f>"Yield "&amp;CurrentYield_tperHa&amp;" (t/ha)"</f>
        <v>Yield 6 (t/ha)</v>
      </c>
      <c r="D14" s="90" t="str">
        <f ca="1">"requires "&amp;ROUND(SUM('Model Interface'!P8:Q8),0)&amp;" kg N/ha from all sources"</f>
        <v>requires 125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5" thickBot="1">
      <c r="B15" s="55">
        <f ca="1">SUMIF(B29:B43,1,G29:G43)</f>
        <v>64.950199094381503</v>
      </c>
      <c r="C15" s="105" t="s">
        <v>220</v>
      </c>
      <c r="D15" s="106" t="str">
        <f ca="1">SUMIF(B29:B43,1,G29:G43)&amp;" Kg/ha"</f>
        <v>64.9501990943815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29.98786996076754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-1.6571543192595684E-2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95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50.852731365529124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-1.7516252521725562E-2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30.890350829991299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2.7879303808045819E-2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51.56053273453152</v>
      </c>
      <c r="U20" s="55">
        <f t="shared" ca="1" si="1"/>
        <v>0</v>
      </c>
      <c r="V20" s="55">
        <f t="shared" ca="1" si="2"/>
        <v>0</v>
      </c>
      <c r="W20" s="55">
        <f t="shared" ca="1" si="12"/>
        <v>-0.23964846975809456</v>
      </c>
      <c r="X20" s="55">
        <f t="shared" ca="1" si="13"/>
        <v>2.6760428234915148</v>
      </c>
      <c r="Y20" s="55">
        <f t="shared" ca="1" si="14"/>
        <v>-6.7216090829724795E-4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31.324865042257173</v>
      </c>
      <c r="AG20" s="55">
        <f t="shared" ca="1" si="7"/>
        <v>0</v>
      </c>
      <c r="AH20" s="55">
        <f t="shared" ca="1" si="8"/>
        <v>0</v>
      </c>
      <c r="AI20" s="55">
        <f t="shared" ca="1" si="17"/>
        <v>-0.51341960145918208</v>
      </c>
      <c r="AJ20" s="55">
        <f t="shared" ca="1" si="18"/>
        <v>2.5397329992429598</v>
      </c>
      <c r="AK20" s="55">
        <f t="shared" ca="1" si="19"/>
        <v>0.12774593200738238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51.399106020695584</v>
      </c>
      <c r="U21" s="55">
        <f t="shared" ca="1" si="1"/>
        <v>0</v>
      </c>
      <c r="V21" s="55">
        <f t="shared" ca="1" si="2"/>
        <v>0</v>
      </c>
      <c r="W21" s="55">
        <f t="shared" ca="1" si="12"/>
        <v>-1.3237971495047658</v>
      </c>
      <c r="X21" s="55">
        <f t="shared" ca="1" si="13"/>
        <v>3.5526555619276499</v>
      </c>
      <c r="Y21" s="55">
        <f t="shared" ca="1" si="14"/>
        <v>4.543706656629809E-2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32.248373804210168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-0.51341960145918208</v>
      </c>
      <c r="AJ21" s="55">
        <f t="shared" ca="1" si="18"/>
        <v>3.3229764377664637</v>
      </c>
      <c r="AK21" s="55">
        <f t="shared" ca="1" si="19"/>
        <v>0.26801125543687299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51.317617003074702</v>
      </c>
      <c r="U22" s="55">
        <f t="shared" ca="1" si="1"/>
        <v>0</v>
      </c>
      <c r="V22" s="55">
        <f t="shared" ca="1" si="2"/>
        <v>0</v>
      </c>
      <c r="W22" s="55">
        <f t="shared" ca="1" si="12"/>
        <v>-2.3638341874337483</v>
      </c>
      <c r="X22" s="55">
        <f t="shared" ca="1" si="13"/>
        <v>4.4378678043477082</v>
      </c>
      <c r="Y22" s="55">
        <f t="shared" ca="1" si="14"/>
        <v>0.11877284445434166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33.237113027096569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-0.52141627911794586</v>
      </c>
      <c r="AJ22" s="55">
        <f t="shared" ca="1" si="18"/>
        <v>4.1333960557873501</v>
      </c>
      <c r="AK22" s="55">
        <f t="shared" ca="1" si="19"/>
        <v>0.45432753796115044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50.236119267768856</v>
      </c>
      <c r="U23" s="55">
        <f t="shared" ca="1" si="1"/>
        <v>0</v>
      </c>
      <c r="V23" s="55">
        <f t="shared" ca="1" si="2"/>
        <v>0</v>
      </c>
      <c r="W23" s="55">
        <f t="shared" ca="1" si="12"/>
        <v>-4.4692372265429361</v>
      </c>
      <c r="X23" s="55">
        <f t="shared" ca="1" si="13"/>
        <v>5.3604086455221163</v>
      </c>
      <c r="Y23" s="55">
        <f t="shared" ca="1" si="14"/>
        <v>0.22013730708327378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34.051534752461826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-0.82896579299815187</v>
      </c>
      <c r="AJ23" s="55">
        <f t="shared" ca="1" si="18"/>
        <v>5.0139112303254878</v>
      </c>
      <c r="AK23" s="55">
        <f t="shared" ca="1" si="19"/>
        <v>0.69578360266847028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50.226347572105055</v>
      </c>
      <c r="U24" s="55">
        <f t="shared" ca="1" si="1"/>
        <v>0</v>
      </c>
      <c r="V24" s="55">
        <f t="shared" ca="1" si="2"/>
        <v>0</v>
      </c>
      <c r="W24" s="55">
        <f t="shared" ca="1" si="12"/>
        <v>-5.4733274271365868</v>
      </c>
      <c r="X24" s="55">
        <f t="shared" ca="1" si="13"/>
        <v>6.2354634085191813</v>
      </c>
      <c r="Y24" s="55">
        <f t="shared" ca="1" si="14"/>
        <v>0.33940104901605833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35.118285940992976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-0.82896579299815187</v>
      </c>
      <c r="AJ24" s="55">
        <f t="shared" ca="1" si="18"/>
        <v>5.8191449540799729</v>
      </c>
      <c r="AK24" s="55">
        <f t="shared" ca="1" si="19"/>
        <v>0.95730106744513499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1</v>
      </c>
      <c r="E25" s="98">
        <v>1</v>
      </c>
      <c r="R25" s="83">
        <f ca="1"/>
        <v>45428</v>
      </c>
      <c r="S25" s="55">
        <f t="shared" ca="1" si="11"/>
        <v>45428</v>
      </c>
      <c r="T25" s="55">
        <f t="shared" ca="1" si="0"/>
        <v>50.515089467530011</v>
      </c>
      <c r="U25" s="55">
        <f t="shared" ca="1" si="1"/>
        <v>0</v>
      </c>
      <c r="V25" s="55">
        <f t="shared" ca="1" si="2"/>
        <v>0</v>
      </c>
      <c r="W25" s="55">
        <f t="shared" ca="1" si="12"/>
        <v>-6.1437871218375131</v>
      </c>
      <c r="X25" s="55">
        <f t="shared" ca="1" si="13"/>
        <v>7.0623169394431713</v>
      </c>
      <c r="Y25" s="55">
        <f t="shared" ca="1" si="14"/>
        <v>0.47174910821794735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36.211653396956251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-0.82896579299815187</v>
      </c>
      <c r="AJ25" s="55">
        <f t="shared" ca="1" si="18"/>
        <v>6.6206871823624267</v>
      </c>
      <c r="AK25" s="55">
        <f t="shared" ca="1" si="19"/>
        <v>1.2491262951259525</v>
      </c>
    </row>
    <row r="26" spans="1:37" s="55" customFormat="1" ht="15.7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51.073456470238519</v>
      </c>
      <c r="U26" s="55">
        <f t="shared" ca="1" si="1"/>
        <v>0</v>
      </c>
      <c r="V26" s="55">
        <f t="shared" ca="1" si="2"/>
        <v>0</v>
      </c>
      <c r="W26" s="55">
        <f t="shared" ca="1" si="12"/>
        <v>-6.5066307212826002</v>
      </c>
      <c r="X26" s="55">
        <f t="shared" ca="1" si="13"/>
        <v>7.8419323101693674</v>
      </c>
      <c r="Y26" s="55">
        <f t="shared" ca="1" si="14"/>
        <v>0.61334433964534529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37.326294610026068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-0.82896579299815187</v>
      </c>
      <c r="AJ26" s="55">
        <f t="shared" ca="1" si="18"/>
        <v>7.4170791035177093</v>
      </c>
      <c r="AK26" s="55">
        <f t="shared" ca="1" si="19"/>
        <v>1.5673755870404857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45430</v>
      </c>
      <c r="S27" s="55">
        <f t="shared" ca="1" si="11"/>
        <v>45430</v>
      </c>
      <c r="T27" s="55">
        <f t="shared" ca="1" si="0"/>
        <v>51.734017084832161</v>
      </c>
      <c r="U27" s="55">
        <f t="shared" ca="1" si="1"/>
        <v>0</v>
      </c>
      <c r="V27" s="55">
        <f t="shared" ca="1" si="2"/>
        <v>0</v>
      </c>
      <c r="W27" s="55">
        <f t="shared" ca="1" si="12"/>
        <v>-6.805788298338368</v>
      </c>
      <c r="X27" s="55">
        <f t="shared" ca="1" si="13"/>
        <v>8.6434745384518212</v>
      </c>
      <c r="Y27" s="55">
        <f t="shared" ca="1" si="14"/>
        <v>0.77152030301229291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38.489065417651723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-0.82896579299815187</v>
      </c>
      <c r="AJ27" s="55">
        <f t="shared" ca="1" si="18"/>
        <v>8.2292437599325297</v>
      </c>
      <c r="AK27" s="55">
        <f t="shared" ca="1" si="19"/>
        <v>1.9179817382513189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45431</v>
      </c>
      <c r="S28" s="55">
        <f t="shared" ca="1" si="11"/>
        <v>45431</v>
      </c>
      <c r="T28" s="55">
        <f t="shared" ca="1" si="0"/>
        <v>52.694084160754649</v>
      </c>
      <c r="U28" s="55">
        <f t="shared" ca="1" si="1"/>
        <v>0</v>
      </c>
      <c r="V28" s="55">
        <f t="shared" ca="1" si="2"/>
        <v>0</v>
      </c>
      <c r="W28" s="55">
        <f t="shared" ca="1" si="12"/>
        <v>-6.805788298338368</v>
      </c>
      <c r="X28" s="55">
        <f t="shared" ca="1" si="13"/>
        <v>9.4347368868534147</v>
      </c>
      <c r="Y28" s="55">
        <f t="shared" ca="1" si="14"/>
        <v>0.9403250305331825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39.655260795561531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-0.82896579299815187</v>
      </c>
      <c r="AJ28" s="55">
        <f t="shared" ca="1" si="18"/>
        <v>9.0285761736498724</v>
      </c>
      <c r="AK28" s="55">
        <f t="shared" ca="1" si="19"/>
        <v>2.2848447024437792</v>
      </c>
    </row>
    <row r="29" spans="1:37" s="55" customFormat="1">
      <c r="A29" s="83">
        <f t="array" aca="1" ref="A29:A43" ca="1">_xlfn._xlws.FILTER('Model Interface'!X11:X500,'Model Interface'!Y11:Y500&gt;0,"")</f>
        <v>45436</v>
      </c>
      <c r="B29" s="55">
        <f t="shared" ref="B29:B43" ca="1" si="24">IF(AND(NOT(F29=""),F29&gt;=StartSchedullingDate),1,0)</f>
        <v>0</v>
      </c>
      <c r="C29" s="67">
        <v>45436</v>
      </c>
      <c r="D29" s="80">
        <v>1</v>
      </c>
      <c r="F29" s="74">
        <f ca="1">A29</f>
        <v>45436</v>
      </c>
      <c r="G29" s="76">
        <f ca="1">IFERROR(VLOOKUP(F29,'Model Interface'!$J$11:$O$500,6,FALSE),"")</f>
        <v>1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53.650764358331863</v>
      </c>
      <c r="U29" s="55">
        <f t="shared" ca="1" si="1"/>
        <v>0</v>
      </c>
      <c r="V29" s="55">
        <f t="shared" ca="1" si="2"/>
        <v>0</v>
      </c>
      <c r="W29" s="55">
        <f t="shared" ca="1" si="12"/>
        <v>-6.8071457381776028</v>
      </c>
      <c r="X29" s="55">
        <f t="shared" ca="1" si="13"/>
        <v>10.215077027128354</v>
      </c>
      <c r="Y29" s="55">
        <f t="shared" ca="1" si="14"/>
        <v>1.1180225276746927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40.807263400010832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-0.82896579299815187</v>
      </c>
      <c r="AJ29" s="55">
        <f t="shared" ca="1" si="18"/>
        <v>9.8031299674585188</v>
      </c>
      <c r="AK29" s="55">
        <f t="shared" ca="1" si="19"/>
        <v>2.6622935130844301</v>
      </c>
    </row>
    <row r="30" spans="1:37" s="55" customFormat="1">
      <c r="A30" s="83">
        <f ca="1"/>
        <v>45437</v>
      </c>
      <c r="B30" s="55">
        <f t="shared" ca="1" si="24"/>
        <v>0</v>
      </c>
      <c r="C30" s="67">
        <v>45437</v>
      </c>
      <c r="D30" s="81">
        <v>3</v>
      </c>
      <c r="F30" s="74">
        <f t="shared" ref="F30:F43" ca="1" si="25">IFERROR(IF(A30=A29,"",A30),"")</f>
        <v>45437</v>
      </c>
      <c r="G30" s="76">
        <f ca="1">IFERROR(VLOOKUP(F30,'Model Interface'!$J$11:$O$500,6,FALSE),"")</f>
        <v>3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45433</v>
      </c>
      <c r="S30" s="55">
        <f t="shared" ca="1" si="11"/>
        <v>45433</v>
      </c>
      <c r="T30" s="55">
        <f t="shared" ca="1" si="0"/>
        <v>53.95917214254019</v>
      </c>
      <c r="U30" s="55">
        <f t="shared" ca="1" si="1"/>
        <v>0</v>
      </c>
      <c r="V30" s="55">
        <f t="shared" ca="1" si="2"/>
        <v>0</v>
      </c>
      <c r="W30" s="55">
        <f t="shared" ca="1" si="12"/>
        <v>-7.3479886867831237</v>
      </c>
      <c r="X30" s="55">
        <f t="shared" ca="1" si="13"/>
        <v>10.895365649379281</v>
      </c>
      <c r="Y30" s="55">
        <f t="shared" ca="1" si="14"/>
        <v>1.2869846382376147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41.9551183261446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-0.82896579299815187</v>
      </c>
      <c r="AJ30" s="55">
        <f t="shared" ca="1" si="18"/>
        <v>10.562622874782024</v>
      </c>
      <c r="AK30" s="55">
        <f t="shared" ca="1" si="19"/>
        <v>3.0506555318946891</v>
      </c>
    </row>
    <row r="31" spans="1:37" s="55" customFormat="1">
      <c r="A31" s="83">
        <f ca="1"/>
        <v>45531</v>
      </c>
      <c r="B31" s="55">
        <f t="shared" ca="1" si="24"/>
        <v>1</v>
      </c>
      <c r="C31" s="67">
        <v>45438</v>
      </c>
      <c r="D31" s="81"/>
      <c r="F31" s="74">
        <f t="shared" ca="1" si="25"/>
        <v>45531</v>
      </c>
      <c r="G31" s="76">
        <f ca="1">IFERROR(VLOOKUP(F31,'Model Interface'!$J$11:$O$500,6,FALSE),"")</f>
        <v>64.950199094381503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54.307804347031933</v>
      </c>
      <c r="U31" s="55">
        <f t="shared" ca="1" si="1"/>
        <v>0</v>
      </c>
      <c r="V31" s="55">
        <f t="shared" ca="1" si="2"/>
        <v>0</v>
      </c>
      <c r="W31" s="55">
        <f t="shared" ca="1" si="12"/>
        <v>-7.9012986354202734</v>
      </c>
      <c r="X31" s="55">
        <f t="shared" ca="1" si="13"/>
        <v>11.614223066957951</v>
      </c>
      <c r="Y31" s="55">
        <f t="shared" ca="1" si="14"/>
        <v>1.4700693737878372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43.115245856462153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-0.94975713043715193</v>
      </c>
      <c r="AJ31" s="55">
        <f t="shared" ca="1" si="18"/>
        <v>11.406877405490544</v>
      </c>
      <c r="AK31" s="55">
        <f t="shared" ca="1" si="19"/>
        <v>3.4873198689427252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45435</v>
      </c>
      <c r="S32" s="55">
        <f t="shared" ca="1" si="11"/>
        <v>45435</v>
      </c>
      <c r="T32" s="55">
        <f t="shared" ca="1" si="0"/>
        <v>53.854143112870382</v>
      </c>
      <c r="U32" s="55">
        <f t="shared" ca="1" si="1"/>
        <v>0</v>
      </c>
      <c r="V32" s="55">
        <f t="shared" ca="1" si="2"/>
        <v>0</v>
      </c>
      <c r="W32" s="55">
        <f t="shared" ca="1" si="12"/>
        <v>-9.2833988763517397</v>
      </c>
      <c r="X32" s="55">
        <f t="shared" ca="1" si="13"/>
        <v>12.349724427745269</v>
      </c>
      <c r="Y32" s="55">
        <f t="shared" ca="1" si="14"/>
        <v>1.6630070197704347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44.42148489837178</v>
      </c>
      <c r="AG32" s="55">
        <f t="shared" ca="1" si="22"/>
        <v>2.8674377859788827</v>
      </c>
      <c r="AH32" s="55">
        <f t="shared" ca="1" si="23"/>
        <v>0</v>
      </c>
      <c r="AI32" s="55">
        <f t="shared" ca="1" si="17"/>
        <v>-0.94975713043715193</v>
      </c>
      <c r="AJ32" s="55">
        <f t="shared" ca="1" si="18"/>
        <v>12.258767912341611</v>
      </c>
      <c r="AK32" s="55">
        <f t="shared" ca="1" si="19"/>
        <v>3.9416684040012893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45436</v>
      </c>
      <c r="S33" s="55">
        <f t="shared" ca="1" si="11"/>
        <v>45436</v>
      </c>
      <c r="T33" s="55">
        <f t="shared" ca="1" si="0"/>
        <v>55.117175463725779</v>
      </c>
      <c r="U33" s="55">
        <f t="shared" ca="1" si="1"/>
        <v>1.1933463491776881</v>
      </c>
      <c r="V33" s="55">
        <f t="shared" ca="1" si="2"/>
        <v>1</v>
      </c>
      <c r="W33" s="55">
        <f t="shared" ca="1" si="12"/>
        <v>-9.9373234984572356</v>
      </c>
      <c r="X33" s="55">
        <f t="shared" ca="1" si="13"/>
        <v>13.070649191120197</v>
      </c>
      <c r="Y33" s="55">
        <f t="shared" ca="1" si="14"/>
        <v>1.8590392293564044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6.6928509242848554E-3</v>
      </c>
      <c r="AD33" s="83">
        <f ca="1"/>
        <v>45577</v>
      </c>
      <c r="AE33" s="55">
        <f t="shared" ca="1" si="20"/>
        <v>45577</v>
      </c>
      <c r="AF33" s="55">
        <f t="shared" ca="1" si="21"/>
        <v>45.585053362894882</v>
      </c>
      <c r="AG33" s="55">
        <f t="shared" ca="1" si="22"/>
        <v>2.9751916906942575</v>
      </c>
      <c r="AH33" s="55">
        <f t="shared" ca="1" si="23"/>
        <v>0</v>
      </c>
      <c r="AI33" s="55">
        <f t="shared" ca="1" si="17"/>
        <v>-0.94975713043715193</v>
      </c>
      <c r="AJ33" s="55">
        <f t="shared" ca="1" si="18"/>
        <v>13.077378791038271</v>
      </c>
      <c r="AK33" s="55">
        <f t="shared" ca="1" si="19"/>
        <v>4.3943798945431052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57.495863786530315</v>
      </c>
      <c r="U34" s="55">
        <f t="shared" ca="1" si="1"/>
        <v>1.1933463491776881</v>
      </c>
      <c r="V34" s="55">
        <f t="shared" ca="1" si="2"/>
        <v>3</v>
      </c>
      <c r="W34" s="55">
        <f t="shared" ca="1" si="12"/>
        <v>-11.515179937445069</v>
      </c>
      <c r="X34" s="55">
        <f t="shared" ca="1" si="13"/>
        <v>13.820204514939332</v>
      </c>
      <c r="Y34" s="55">
        <f t="shared" ca="1" si="14"/>
        <v>2.0660286673296406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6.6928509242848554E-3</v>
      </c>
      <c r="AD34" s="83">
        <f ca="1"/>
        <v>45578</v>
      </c>
      <c r="AE34" s="55">
        <f t="shared" ca="1" si="20"/>
        <v>45578</v>
      </c>
      <c r="AF34" s="55">
        <f t="shared" ca="1" si="21"/>
        <v>46.459475969144016</v>
      </c>
      <c r="AG34" s="55">
        <f t="shared" ca="1" si="22"/>
        <v>3.0970385152357891</v>
      </c>
      <c r="AH34" s="55">
        <f t="shared" ca="1" si="23"/>
        <v>0</v>
      </c>
      <c r="AI34" s="55">
        <f t="shared" ca="1" si="17"/>
        <v>-1.303567223624764</v>
      </c>
      <c r="AJ34" s="55">
        <f t="shared" ca="1" si="18"/>
        <v>13.943895302349809</v>
      </c>
      <c r="AK34" s="55">
        <f t="shared" ca="1" si="19"/>
        <v>4.8779429072098406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57.8609568052564</v>
      </c>
      <c r="U35" s="55">
        <f t="shared" ca="1" si="1"/>
        <v>1.1933463491776881</v>
      </c>
      <c r="V35" s="55">
        <f t="shared" ca="1" si="2"/>
        <v>0</v>
      </c>
      <c r="W35" s="55">
        <f t="shared" ca="1" si="12"/>
        <v>-12.060079208924133</v>
      </c>
      <c r="X35" s="55">
        <f t="shared" ca="1" si="13"/>
        <v>14.527417780387841</v>
      </c>
      <c r="Y35" s="55">
        <f t="shared" ca="1" si="14"/>
        <v>2.2688076920862845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6.6928509242848554E-3</v>
      </c>
      <c r="AD35" s="83">
        <f ca="1"/>
        <v>45579</v>
      </c>
      <c r="AE35" s="55">
        <f t="shared" ca="1" si="20"/>
        <v>45579</v>
      </c>
      <c r="AF35" s="55">
        <f t="shared" ca="1" si="21"/>
        <v>47.205812191915562</v>
      </c>
      <c r="AG35" s="55">
        <f t="shared" ca="1" si="22"/>
        <v>3.222503042812753</v>
      </c>
      <c r="AH35" s="55">
        <f t="shared" ca="1" si="23"/>
        <v>0</v>
      </c>
      <c r="AI35" s="55">
        <f t="shared" ca="1" si="17"/>
        <v>-1.781919453836172</v>
      </c>
      <c r="AJ35" s="55">
        <f t="shared" ca="1" si="18"/>
        <v>14.804234691634775</v>
      </c>
      <c r="AK35" s="55">
        <f t="shared" ca="1" si="19"/>
        <v>5.3677564984847965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58.183696515041255</v>
      </c>
      <c r="U36" s="55">
        <f t="shared" ca="1" si="1"/>
        <v>1.1933463491776881</v>
      </c>
      <c r="V36" s="55">
        <f t="shared" ca="1" si="2"/>
        <v>0</v>
      </c>
      <c r="W36" s="55">
        <f t="shared" ca="1" si="12"/>
        <v>-12.627243763649012</v>
      </c>
      <c r="X36" s="55">
        <f t="shared" ca="1" si="13"/>
        <v>15.215044609963639</v>
      </c>
      <c r="Y36" s="55">
        <f t="shared" ca="1" si="14"/>
        <v>2.4710851270202205</v>
      </c>
      <c r="Z36">
        <f t="shared" ca="1" si="3"/>
        <v>120</v>
      </c>
      <c r="AA36">
        <f t="shared" ca="1" si="15"/>
        <v>43.458555942029022</v>
      </c>
      <c r="AB36">
        <f t="shared" ca="1" si="4"/>
        <v>0</v>
      </c>
      <c r="AC36">
        <f t="shared" ca="1" si="5"/>
        <v>6.6928509242848554E-3</v>
      </c>
      <c r="AD36" s="83">
        <f ca="1"/>
        <v>45580</v>
      </c>
      <c r="AE36" s="55">
        <f t="shared" ca="1" si="20"/>
        <v>45580</v>
      </c>
      <c r="AF36" s="55">
        <f t="shared" ca="1" si="21"/>
        <v>48.397241213411895</v>
      </c>
      <c r="AG36" s="55">
        <f t="shared" ca="1" si="22"/>
        <v>3.346429736527226</v>
      </c>
      <c r="AH36" s="55">
        <f t="shared" ca="1" si="23"/>
        <v>0</v>
      </c>
      <c r="AI36" s="55">
        <f t="shared" ca="1" si="17"/>
        <v>-1.781919453836172</v>
      </c>
      <c r="AJ36" s="55">
        <f t="shared" ca="1" si="18"/>
        <v>15.635605899804293</v>
      </c>
      <c r="AK36" s="55">
        <f t="shared" ca="1" si="19"/>
        <v>5.851741005526085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58.430864608100627</v>
      </c>
      <c r="U37" s="55">
        <f t="shared" ca="1" si="1"/>
        <v>1.1933463491776881</v>
      </c>
      <c r="V37" s="55">
        <f t="shared" ca="1" si="2"/>
        <v>0</v>
      </c>
      <c r="W37" s="55">
        <f t="shared" ca="1" si="12"/>
        <v>-13.315881141899846</v>
      </c>
      <c r="X37" s="55">
        <f t="shared" ca="1" si="13"/>
        <v>15.93804047210061</v>
      </c>
      <c r="Y37" s="55">
        <f t="shared" ca="1" si="14"/>
        <v>2.683894736193456</v>
      </c>
      <c r="Z37">
        <f t="shared" ca="1" si="3"/>
        <v>120</v>
      </c>
      <c r="AA37">
        <f t="shared" ca="1" si="15"/>
        <v>45.598555942029023</v>
      </c>
      <c r="AB37">
        <f t="shared" ca="1" si="4"/>
        <v>0</v>
      </c>
      <c r="AC37">
        <f t="shared" ca="1" si="5"/>
        <v>6.6928509242848554E-3</v>
      </c>
      <c r="AD37" s="83">
        <f ca="1"/>
        <v>45581</v>
      </c>
      <c r="AE37" s="55">
        <f t="shared" ca="1" si="20"/>
        <v>45581</v>
      </c>
      <c r="AF37" s="55">
        <f t="shared" ca="1" si="21"/>
        <v>49.654003469137514</v>
      </c>
      <c r="AG37" s="55">
        <f t="shared" ca="1" si="22"/>
        <v>3.4874927423084374</v>
      </c>
      <c r="AH37" s="55">
        <f t="shared" ca="1" si="23"/>
        <v>0</v>
      </c>
      <c r="AI37" s="55">
        <f t="shared" ca="1" si="17"/>
        <v>-1.781919453836172</v>
      </c>
      <c r="AJ37" s="55">
        <f t="shared" ca="1" si="18"/>
        <v>16.520034225648367</v>
      </c>
      <c r="AK37" s="55">
        <f t="shared" ca="1" si="19"/>
        <v>6.3651379411888467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58.997327858169619</v>
      </c>
      <c r="U38" s="55">
        <f t="shared" ca="1" si="1"/>
        <v>1.1933463491776881</v>
      </c>
      <c r="V38" s="55">
        <f t="shared" ca="1" si="2"/>
        <v>0</v>
      </c>
      <c r="W38" s="55">
        <f t="shared" ca="1" si="12"/>
        <v>-13.595306167175931</v>
      </c>
      <c r="X38" s="55">
        <f t="shared" ca="1" si="13"/>
        <v>16.584958154583457</v>
      </c>
      <c r="Y38" s="55">
        <f t="shared" ca="1" si="14"/>
        <v>2.8828653290556856</v>
      </c>
      <c r="Z38">
        <f t="shared" ca="1" si="3"/>
        <v>120</v>
      </c>
      <c r="AA38">
        <f t="shared" ca="1" si="15"/>
        <v>46.458555942029022</v>
      </c>
      <c r="AB38">
        <f t="shared" ca="1" si="4"/>
        <v>0</v>
      </c>
      <c r="AC38">
        <f t="shared" ca="1" si="5"/>
        <v>6.6928509242848554E-3</v>
      </c>
      <c r="AD38" s="83">
        <f ca="1"/>
        <v>45582</v>
      </c>
      <c r="AE38" s="55">
        <f t="shared" ca="1" si="20"/>
        <v>45582</v>
      </c>
      <c r="AF38" s="55">
        <f t="shared" ca="1" si="21"/>
        <v>50.885486975401861</v>
      </c>
      <c r="AG38" s="55">
        <f t="shared" ca="1" si="22"/>
        <v>3.6297593005645092</v>
      </c>
      <c r="AH38" s="55">
        <f t="shared" ca="1" si="23"/>
        <v>0</v>
      </c>
      <c r="AI38" s="55">
        <f t="shared" ca="1" si="17"/>
        <v>-1.781919453836172</v>
      </c>
      <c r="AJ38" s="55">
        <f t="shared" ca="1" si="18"/>
        <v>17.385003890634124</v>
      </c>
      <c r="AK38" s="55">
        <f t="shared" ca="1" si="19"/>
        <v>6.8739183407235078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58.686219795230564</v>
      </c>
      <c r="U39" s="55">
        <f t="shared" ca="1" si="1"/>
        <v>1.1933463491776881</v>
      </c>
      <c r="V39" s="55">
        <f t="shared" ca="1" si="2"/>
        <v>0</v>
      </c>
      <c r="W39" s="55">
        <f t="shared" ca="1" si="12"/>
        <v>-14.758824263985723</v>
      </c>
      <c r="X39" s="55">
        <f t="shared" ca="1" si="13"/>
        <v>17.235746360284264</v>
      </c>
      <c r="Y39" s="55">
        <f t="shared" ca="1" si="14"/>
        <v>3.0844871572256132</v>
      </c>
      <c r="Z39">
        <f t="shared" ca="1" si="3"/>
        <v>120</v>
      </c>
      <c r="AA39">
        <f t="shared" ca="1" si="15"/>
        <v>50.058555942029031</v>
      </c>
      <c r="AB39">
        <f t="shared" ca="1" si="4"/>
        <v>0</v>
      </c>
      <c r="AC39">
        <f t="shared" ca="1" si="5"/>
        <v>6.6928509242848554E-3</v>
      </c>
      <c r="AD39" s="83">
        <f ca="1"/>
        <v>45583</v>
      </c>
      <c r="AE39" s="55">
        <f t="shared" ca="1" si="20"/>
        <v>45583</v>
      </c>
      <c r="AF39" s="55">
        <f t="shared" ca="1" si="21"/>
        <v>52.060112535704292</v>
      </c>
      <c r="AG39" s="55">
        <f t="shared" ca="1" si="22"/>
        <v>3.7662852751861182</v>
      </c>
      <c r="AH39" s="55">
        <f t="shared" ca="1" si="23"/>
        <v>0</v>
      </c>
      <c r="AI39" s="55">
        <f t="shared" ca="1" si="17"/>
        <v>-1.781919453836172</v>
      </c>
      <c r="AJ39" s="55">
        <f t="shared" ca="1" si="18"/>
        <v>18.205109608863729</v>
      </c>
      <c r="AK39" s="55">
        <f t="shared" ca="1" si="19"/>
        <v>7.3649641574179352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59.081157824178355</v>
      </c>
      <c r="U40" s="55">
        <f t="shared" ca="1" si="1"/>
        <v>1.2417541375782293</v>
      </c>
      <c r="V40" s="55">
        <f t="shared" ca="1" si="2"/>
        <v>0</v>
      </c>
      <c r="W40" s="55">
        <f t="shared" ca="1" si="12"/>
        <v>-15.191572338831225</v>
      </c>
      <c r="X40" s="55">
        <f t="shared" ca="1" si="13"/>
        <v>17.90479240110059</v>
      </c>
      <c r="Y40" s="55">
        <f t="shared" ca="1" si="14"/>
        <v>3.2915350086031205</v>
      </c>
      <c r="Z40">
        <f t="shared" ca="1" si="3"/>
        <v>120</v>
      </c>
      <c r="AA40">
        <f t="shared" ca="1" si="15"/>
        <v>51.388555942029029</v>
      </c>
      <c r="AB40">
        <f t="shared" ca="1" si="4"/>
        <v>0</v>
      </c>
      <c r="AC40">
        <f t="shared" ca="1" si="5"/>
        <v>7.4660259159340138E-3</v>
      </c>
      <c r="AD40" s="83">
        <f ca="1"/>
        <v>45584</v>
      </c>
      <c r="AE40" s="55">
        <f t="shared" ca="1" si="20"/>
        <v>45584</v>
      </c>
      <c r="AF40" s="55">
        <f t="shared" ca="1" si="21"/>
        <v>53.263756458232436</v>
      </c>
      <c r="AG40" s="55">
        <f t="shared" ca="1" si="22"/>
        <v>3.9183996649875792</v>
      </c>
      <c r="AH40" s="55">
        <f t="shared" ca="1" si="23"/>
        <v>0</v>
      </c>
      <c r="AI40" s="55">
        <f t="shared" ca="1" si="17"/>
        <v>-1.781919453836172</v>
      </c>
      <c r="AJ40" s="55">
        <f t="shared" ca="1" si="18"/>
        <v>19.050247922790899</v>
      </c>
      <c r="AK40" s="55">
        <f t="shared" ca="1" si="19"/>
        <v>7.8755841558203681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59.323196189136098</v>
      </c>
      <c r="U41" s="55">
        <f t="shared" ca="1" si="1"/>
        <v>1.3051766035030938</v>
      </c>
      <c r="V41" s="55">
        <f t="shared" ca="1" si="2"/>
        <v>0</v>
      </c>
      <c r="W41" s="55">
        <f t="shared" ca="1" si="12"/>
        <v>-15.763310389059855</v>
      </c>
      <c r="X41" s="55">
        <f t="shared" ca="1" si="13"/>
        <v>18.573838441916916</v>
      </c>
      <c r="Y41" s="55">
        <f t="shared" ca="1" si="14"/>
        <v>3.4996878488980383</v>
      </c>
      <c r="Z41">
        <f t="shared" ca="1" si="3"/>
        <v>120</v>
      </c>
      <c r="AA41">
        <f t="shared" ca="1" si="15"/>
        <v>53.138555942029029</v>
      </c>
      <c r="AB41">
        <f t="shared" ca="1" si="4"/>
        <v>0</v>
      </c>
      <c r="AC41">
        <f t="shared" ca="1" si="5"/>
        <v>8.561118550482423E-3</v>
      </c>
      <c r="AD41" s="83">
        <f ca="1"/>
        <v>45585</v>
      </c>
      <c r="AE41" s="55">
        <f t="shared" ca="1" si="20"/>
        <v>45585</v>
      </c>
      <c r="AF41" s="55">
        <f t="shared" ca="1" si="21"/>
        <v>54.421070200998003</v>
      </c>
      <c r="AG41" s="55">
        <f t="shared" ca="1" si="22"/>
        <v>4.072812318315659</v>
      </c>
      <c r="AH41" s="55">
        <f t="shared" ca="1" si="23"/>
        <v>0</v>
      </c>
      <c r="AI41" s="55">
        <f t="shared" ca="1" si="17"/>
        <v>-1.781919453836172</v>
      </c>
      <c r="AJ41" s="55">
        <f t="shared" ca="1" si="18"/>
        <v>19.857216869089669</v>
      </c>
      <c r="AK41" s="55">
        <f t="shared" ca="1" si="19"/>
        <v>8.3803416056152447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59.860155965450311</v>
      </c>
      <c r="U42" s="55">
        <f t="shared" ca="1" si="1"/>
        <v>1.3711304713170869</v>
      </c>
      <c r="V42" s="55">
        <f t="shared" ca="1" si="2"/>
        <v>0</v>
      </c>
      <c r="W42" s="55">
        <f t="shared" ca="1" si="12"/>
        <v>-16.030338736975299</v>
      </c>
      <c r="X42" s="55">
        <f t="shared" ca="1" si="13"/>
        <v>19.236326832440806</v>
      </c>
      <c r="Y42" s="55">
        <f t="shared" ca="1" si="14"/>
        <v>3.7071414504177955</v>
      </c>
      <c r="Z42">
        <f t="shared" ca="1" si="3"/>
        <v>120</v>
      </c>
      <c r="AA42">
        <f t="shared" ca="1" si="15"/>
        <v>53.948555942029031</v>
      </c>
      <c r="AB42">
        <f t="shared" ca="1" si="4"/>
        <v>0</v>
      </c>
      <c r="AC42">
        <f t="shared" ca="1" si="5"/>
        <v>9.8018471140296284E-3</v>
      </c>
      <c r="AD42" s="83">
        <f ca="1"/>
        <v>45586</v>
      </c>
      <c r="AE42" s="55">
        <f t="shared" ca="1" si="20"/>
        <v>45586</v>
      </c>
      <c r="AF42" s="55">
        <f t="shared" ca="1" si="21"/>
        <v>55.634606747627984</v>
      </c>
      <c r="AG42" s="55">
        <f t="shared" ca="1" si="22"/>
        <v>4.2428636463777636</v>
      </c>
      <c r="AH42" s="55">
        <f t="shared" ca="1" si="23"/>
        <v>0</v>
      </c>
      <c r="AI42" s="55">
        <f t="shared" ca="1" si="17"/>
        <v>-1.781919453836172</v>
      </c>
      <c r="AJ42" s="55">
        <f t="shared" ca="1" si="18"/>
        <v>20.720974732437092</v>
      </c>
      <c r="AK42" s="55">
        <f t="shared" ca="1" si="19"/>
        <v>8.9001716169599039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60.24595385397734</v>
      </c>
      <c r="U43" s="55">
        <f t="shared" ca="1" si="1"/>
        <v>1.4479362745228936</v>
      </c>
      <c r="V43" s="55">
        <f t="shared" ca="1" si="2"/>
        <v>0</v>
      </c>
      <c r="W43" s="55">
        <f t="shared" ca="1" si="12"/>
        <v>-16.524704810484316</v>
      </c>
      <c r="X43" s="55">
        <f t="shared" ca="1" si="13"/>
        <v>19.969734541556953</v>
      </c>
      <c r="Y43" s="55">
        <f t="shared" ca="1" si="14"/>
        <v>3.9307035065435052</v>
      </c>
      <c r="Z43">
        <f t="shared" ca="1" si="3"/>
        <v>120</v>
      </c>
      <c r="AA43">
        <f t="shared" ca="1" si="15"/>
        <v>55.438555942029041</v>
      </c>
      <c r="AB43">
        <f t="shared" ca="1" si="4"/>
        <v>0</v>
      </c>
      <c r="AC43">
        <f t="shared" ca="1" si="5"/>
        <v>1.1382223868066832E-2</v>
      </c>
      <c r="AD43" s="83">
        <f ca="1"/>
        <v>45587</v>
      </c>
      <c r="AE43" s="55">
        <f t="shared" ca="1" si="20"/>
        <v>45587</v>
      </c>
      <c r="AF43" s="55">
        <f t="shared" ca="1" si="21"/>
        <v>56.782074440100963</v>
      </c>
      <c r="AG43" s="55">
        <f t="shared" ca="1" si="22"/>
        <v>4.4040175597646183</v>
      </c>
      <c r="AH43" s="55">
        <f t="shared" ca="1" si="23"/>
        <v>0</v>
      </c>
      <c r="AI43" s="55">
        <f t="shared" ca="1" si="17"/>
        <v>-1.781919453836172</v>
      </c>
      <c r="AJ43" s="55">
        <f t="shared" ca="1" si="18"/>
        <v>21.535805466523211</v>
      </c>
      <c r="AK43" s="55">
        <f t="shared" ca="1" si="19"/>
        <v>9.3939624887336226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45439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60.014549695091468</v>
      </c>
      <c r="U44" s="55">
        <f t="shared" ca="1" si="1"/>
        <v>1.5270311214352803</v>
      </c>
      <c r="V44" s="55">
        <f t="shared" ca="1" si="2"/>
        <v>0</v>
      </c>
      <c r="W44" s="55">
        <f t="shared" ca="1" si="12"/>
        <v>-17.612098868872767</v>
      </c>
      <c r="X44" s="55">
        <f t="shared" ca="1" si="13"/>
        <v>20.685154718138723</v>
      </c>
      <c r="Y44" s="55">
        <f t="shared" ca="1" si="14"/>
        <v>4.150368076376707</v>
      </c>
      <c r="Z44">
        <f t="shared" ca="1" si="3"/>
        <v>120</v>
      </c>
      <c r="AA44">
        <f t="shared" ca="1" si="15"/>
        <v>58.728555942029033</v>
      </c>
      <c r="AB44">
        <f t="shared" ca="1" si="4"/>
        <v>0</v>
      </c>
      <c r="AC44">
        <f t="shared" ca="1" si="5"/>
        <v>1.3167314161149796E-2</v>
      </c>
      <c r="AD44" s="83">
        <f ca="1"/>
        <v>45588</v>
      </c>
      <c r="AE44" s="55">
        <f t="shared" ca="1" si="20"/>
        <v>45588</v>
      </c>
      <c r="AF44" s="55">
        <f t="shared" ca="1" si="21"/>
        <v>57.896122957753306</v>
      </c>
      <c r="AG44" s="55">
        <f t="shared" ca="1" si="22"/>
        <v>4.5721661654803576</v>
      </c>
      <c r="AH44" s="55">
        <f t="shared" ca="1" si="23"/>
        <v>0</v>
      </c>
      <c r="AI44" s="55">
        <f t="shared" ca="1" si="17"/>
        <v>-1.781919453836172</v>
      </c>
      <c r="AJ44" s="55">
        <f t="shared" ca="1" si="18"/>
        <v>22.325021179204079</v>
      </c>
      <c r="AK44" s="55">
        <f t="shared" ca="1" si="19"/>
        <v>9.8869438994208334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59.426021587551752</v>
      </c>
      <c r="U45" s="55">
        <f t="shared" ca="1" si="1"/>
        <v>1.6093667162790248</v>
      </c>
      <c r="V45" s="55">
        <f t="shared" ca="1" si="2"/>
        <v>0</v>
      </c>
      <c r="W45" s="55">
        <f t="shared" ca="1" si="12"/>
        <v>-19.042285121746513</v>
      </c>
      <c r="X45" s="55">
        <f t="shared" ca="1" si="13"/>
        <v>21.391686778093995</v>
      </c>
      <c r="Y45" s="55">
        <f t="shared" ca="1" si="14"/>
        <v>4.3678297565992139</v>
      </c>
      <c r="Z45">
        <f t="shared" ca="1" si="3"/>
        <v>120</v>
      </c>
      <c r="AA45">
        <f t="shared" ca="1" si="15"/>
        <v>63.098555942029037</v>
      </c>
      <c r="AB45">
        <f t="shared" ca="1" si="4"/>
        <v>0</v>
      </c>
      <c r="AC45">
        <f t="shared" ca="1" si="5"/>
        <v>1.5201176131025848E-2</v>
      </c>
      <c r="AD45" s="83">
        <f ca="1"/>
        <v>45589</v>
      </c>
      <c r="AE45" s="55">
        <f t="shared" ca="1" si="20"/>
        <v>45589</v>
      </c>
      <c r="AF45" s="55">
        <f t="shared" ca="1" si="21"/>
        <v>59.028097233008729</v>
      </c>
      <c r="AG45" s="55">
        <f t="shared" ca="1" si="22"/>
        <v>4.7611065901902725</v>
      </c>
      <c r="AH45" s="55">
        <f t="shared" ca="1" si="23"/>
        <v>0</v>
      </c>
      <c r="AI45" s="55">
        <f t="shared" ca="1" si="17"/>
        <v>-1.781919453836172</v>
      </c>
      <c r="AJ45" s="55">
        <f t="shared" ca="1" si="18"/>
        <v>23.135459482393216</v>
      </c>
      <c r="AK45" s="55">
        <f t="shared" ca="1" si="19"/>
        <v>10.397420296197032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45449</v>
      </c>
      <c r="S46" s="55">
        <f t="shared" ca="1" si="11"/>
        <v>45449</v>
      </c>
      <c r="T46" s="55">
        <f t="shared" ca="1" si="0"/>
        <v>59.777955644659329</v>
      </c>
      <c r="U46" s="55">
        <f t="shared" ca="1" si="1"/>
        <v>1.6952564895252</v>
      </c>
      <c r="V46" s="55">
        <f t="shared" ca="1" si="2"/>
        <v>0</v>
      </c>
      <c r="W46" s="55">
        <f t="shared" ca="1" si="12"/>
        <v>-19.519642419720533</v>
      </c>
      <c r="X46" s="55">
        <f t="shared" ca="1" si="13"/>
        <v>22.091429634101189</v>
      </c>
      <c r="Y46" s="55">
        <f t="shared" ca="1" si="14"/>
        <v>4.5832680289197887</v>
      </c>
      <c r="Z46">
        <f t="shared" ca="1" si="3"/>
        <v>120</v>
      </c>
      <c r="AA46">
        <f t="shared" ca="1" si="15"/>
        <v>64.54855594202904</v>
      </c>
      <c r="AB46">
        <f t="shared" ca="1" si="4"/>
        <v>0</v>
      </c>
      <c r="AC46">
        <f t="shared" ca="1" si="5"/>
        <v>1.7519844624628089E-2</v>
      </c>
      <c r="AD46" s="83">
        <f ca="1"/>
        <v>45590</v>
      </c>
      <c r="AE46" s="55">
        <f t="shared" ca="1" si="20"/>
        <v>45590</v>
      </c>
      <c r="AF46" s="55">
        <f t="shared" ca="1" si="21"/>
        <v>60.239782461155514</v>
      </c>
      <c r="AG46" s="55">
        <f t="shared" ca="1" si="22"/>
        <v>4.9810395509068677</v>
      </c>
      <c r="AH46" s="55">
        <f t="shared" ca="1" si="23"/>
        <v>0</v>
      </c>
      <c r="AI46" s="55">
        <f t="shared" ca="1" si="17"/>
        <v>-1.781919453836172</v>
      </c>
      <c r="AJ46" s="55">
        <f t="shared" ca="1" si="18"/>
        <v>24.027626136548793</v>
      </c>
      <c r="AK46" s="55">
        <f t="shared" ca="1" si="19"/>
        <v>10.93687183090484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60.323823523029226</v>
      </c>
      <c r="U47" s="55">
        <f t="shared" ca="1" si="1"/>
        <v>1.7779839166601816</v>
      </c>
      <c r="V47" s="55">
        <f t="shared" ca="1" si="2"/>
        <v>0</v>
      </c>
      <c r="W47" s="55">
        <f t="shared" ca="1" si="12"/>
        <v>-19.73558422276674</v>
      </c>
      <c r="X47" s="55">
        <f t="shared" ca="1" si="13"/>
        <v>22.73385033922915</v>
      </c>
      <c r="Y47" s="55">
        <f t="shared" ca="1" si="14"/>
        <v>4.785384432342914</v>
      </c>
      <c r="Z47">
        <f t="shared" ca="1" si="3"/>
        <v>120</v>
      </c>
      <c r="AA47">
        <f t="shared" ca="1" si="15"/>
        <v>65.198555942029046</v>
      </c>
      <c r="AB47">
        <f t="shared" ca="1" si="4"/>
        <v>0</v>
      </c>
      <c r="AC47">
        <f t="shared" ca="1" si="5"/>
        <v>1.9948897500208947E-2</v>
      </c>
      <c r="AD47" s="83">
        <f ca="1"/>
        <v>45591</v>
      </c>
      <c r="AE47" s="55">
        <f t="shared" ca="1" si="20"/>
        <v>45591</v>
      </c>
      <c r="AF47" s="55">
        <f t="shared" ca="1" si="21"/>
        <v>61.489738202726478</v>
      </c>
      <c r="AG47" s="55">
        <f t="shared" ca="1" si="22"/>
        <v>5.2144884680411225</v>
      </c>
      <c r="AH47" s="55">
        <f t="shared" ca="1" si="23"/>
        <v>0</v>
      </c>
      <c r="AI47" s="55">
        <f t="shared" ca="1" si="17"/>
        <v>-1.781919453836172</v>
      </c>
      <c r="AJ47" s="55">
        <f t="shared" ca="1" si="18"/>
        <v>24.971930814478412</v>
      </c>
      <c r="AK47" s="55">
        <f t="shared" ca="1" si="19"/>
        <v>11.475971811680436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60.872742074698735</v>
      </c>
      <c r="U48" s="55">
        <f t="shared" ca="1" si="1"/>
        <v>1.8637802222666306</v>
      </c>
      <c r="V48" s="55">
        <f t="shared" ca="1" si="2"/>
        <v>0</v>
      </c>
      <c r="W48" s="55">
        <f t="shared" ca="1" si="12"/>
        <v>-19.936728935709219</v>
      </c>
      <c r="X48" s="55">
        <f t="shared" ca="1" si="13"/>
        <v>23.369881552940019</v>
      </c>
      <c r="Y48" s="55">
        <f t="shared" ca="1" si="14"/>
        <v>4.9852127888504771</v>
      </c>
      <c r="Z48">
        <f t="shared" ca="1" si="3"/>
        <v>120</v>
      </c>
      <c r="AA48">
        <f t="shared" ca="1" si="15"/>
        <v>65.79855594202904</v>
      </c>
      <c r="AB48">
        <f t="shared" ca="1" si="4"/>
        <v>0</v>
      </c>
      <c r="AC48">
        <f t="shared" ca="1" si="5"/>
        <v>2.2676347121945675E-2</v>
      </c>
      <c r="AD48" s="83">
        <f ca="1"/>
        <v>45592</v>
      </c>
      <c r="AE48" s="55">
        <f t="shared" ca="1" si="20"/>
        <v>45592</v>
      </c>
      <c r="AF48" s="55">
        <f t="shared" ca="1" si="21"/>
        <v>62.694136754018949</v>
      </c>
      <c r="AG48" s="55">
        <f t="shared" ca="1" si="22"/>
        <v>5.4455558059197502</v>
      </c>
      <c r="AH48" s="55">
        <f t="shared" ca="1" si="23"/>
        <v>0</v>
      </c>
      <c r="AI48" s="55">
        <f t="shared" ca="1" si="17"/>
        <v>-1.781919453836172</v>
      </c>
      <c r="AJ48" s="55">
        <f t="shared" ca="1" si="18"/>
        <v>25.891257759755867</v>
      </c>
      <c r="AK48" s="55">
        <f t="shared" ca="1" si="19"/>
        <v>11.99211075557408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60.365100866703187</v>
      </c>
      <c r="U49" s="55">
        <f t="shared" ca="1" si="1"/>
        <v>1.9673874090591696</v>
      </c>
      <c r="V49" s="55">
        <f t="shared" ca="1" si="2"/>
        <v>0</v>
      </c>
      <c r="W49" s="55">
        <f t="shared" ca="1" si="12"/>
        <v>-21.289782051657667</v>
      </c>
      <c r="X49" s="55">
        <f t="shared" ca="1" si="13"/>
        <v>24.099808203933446</v>
      </c>
      <c r="Y49" s="55">
        <f t="shared" ca="1" si="14"/>
        <v>5.2043052326024899</v>
      </c>
      <c r="Z49">
        <f t="shared" ca="1" si="3"/>
        <v>120</v>
      </c>
      <c r="AA49">
        <f t="shared" ca="1" si="15"/>
        <v>69.868555942029033</v>
      </c>
      <c r="AB49">
        <f t="shared" ca="1" si="4"/>
        <v>0</v>
      </c>
      <c r="AC49">
        <f t="shared" ca="1" si="5"/>
        <v>2.625978033202981E-2</v>
      </c>
      <c r="AD49" s="83">
        <f ca="1"/>
        <v>45593</v>
      </c>
      <c r="AE49" s="55">
        <f t="shared" ca="1" si="20"/>
        <v>45593</v>
      </c>
      <c r="AF49" s="55">
        <f t="shared" ca="1" si="21"/>
        <v>63.730363939651014</v>
      </c>
      <c r="AG49" s="55">
        <f t="shared" ca="1" si="22"/>
        <v>5.7022283624505299</v>
      </c>
      <c r="AH49" s="55">
        <f t="shared" ca="1" si="23"/>
        <v>0</v>
      </c>
      <c r="AI49" s="55">
        <f t="shared" ca="1" si="17"/>
        <v>-1.9804147441375335</v>
      </c>
      <c r="AJ49" s="55">
        <f t="shared" ca="1" si="18"/>
        <v>26.853729074677481</v>
      </c>
      <c r="AK49" s="55">
        <f t="shared" ca="1" si="19"/>
        <v>12.52103447311667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59.125829167974672</v>
      </c>
      <c r="U50" s="55">
        <f t="shared" ca="1" si="1"/>
        <v>2.07668630981818</v>
      </c>
      <c r="V50" s="55">
        <f t="shared" ca="1" si="2"/>
        <v>0</v>
      </c>
      <c r="W50" s="55">
        <f t="shared" ca="1" si="12"/>
        <v>-23.367240895640823</v>
      </c>
      <c r="X50" s="55">
        <f t="shared" ca="1" si="13"/>
        <v>24.829734854926873</v>
      </c>
      <c r="Y50" s="55">
        <f t="shared" ca="1" si="14"/>
        <v>5.4218646276227114</v>
      </c>
      <c r="Z50">
        <f t="shared" ca="1" si="3"/>
        <v>120</v>
      </c>
      <c r="AA50">
        <f t="shared" ca="1" si="15"/>
        <v>76.248555942029029</v>
      </c>
      <c r="AB50">
        <f t="shared" ca="1" si="4"/>
        <v>0</v>
      </c>
      <c r="AC50">
        <f t="shared" ca="1" si="5"/>
        <v>3.0391876717935952E-2</v>
      </c>
      <c r="AD50" s="83">
        <f ca="1"/>
        <v>45594</v>
      </c>
      <c r="AE50" s="55">
        <f t="shared" ca="1" si="20"/>
        <v>45594</v>
      </c>
      <c r="AF50" s="55">
        <f t="shared" ca="1" si="21"/>
        <v>64.867694923250312</v>
      </c>
      <c r="AG50" s="55">
        <f t="shared" ca="1" si="22"/>
        <v>5.9429831773482551</v>
      </c>
      <c r="AH50" s="55">
        <f t="shared" ca="1" si="23"/>
        <v>0</v>
      </c>
      <c r="AI50" s="55">
        <f t="shared" ca="1" si="17"/>
        <v>-1.9804147441375335</v>
      </c>
      <c r="AJ50" s="55">
        <f t="shared" ca="1" si="18"/>
        <v>27.741774640211776</v>
      </c>
      <c r="AK50" s="55">
        <f t="shared" ca="1" si="19"/>
        <v>13.011074706079404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60.027708003981665</v>
      </c>
      <c r="U51" s="55">
        <f t="shared" ca="1" si="1"/>
        <v>2.2022159755538451</v>
      </c>
      <c r="V51" s="55">
        <f t="shared" ca="1" si="2"/>
        <v>0</v>
      </c>
      <c r="W51" s="55">
        <f t="shared" ca="1" si="12"/>
        <v>-23.367240895640823</v>
      </c>
      <c r="X51" s="55">
        <f t="shared" ca="1" si="13"/>
        <v>25.626861264362464</v>
      </c>
      <c r="Y51" s="55">
        <f t="shared" ca="1" si="14"/>
        <v>5.6521467199297746</v>
      </c>
      <c r="Z51">
        <f t="shared" ca="1" si="3"/>
        <v>119.98260869565216</v>
      </c>
      <c r="AA51">
        <f t="shared" ca="1" si="15"/>
        <v>76.248555942029029</v>
      </c>
      <c r="AB51">
        <f t="shared" ca="1" si="4"/>
        <v>0</v>
      </c>
      <c r="AC51">
        <f t="shared" ca="1" si="5"/>
        <v>3.5593225169765187E-2</v>
      </c>
      <c r="AD51" s="83">
        <f ca="1"/>
        <v>45595</v>
      </c>
      <c r="AE51" s="55">
        <f t="shared" ca="1" si="20"/>
        <v>45595</v>
      </c>
      <c r="AF51" s="55">
        <f t="shared" ca="1" si="21"/>
        <v>65.955491492909502</v>
      </c>
      <c r="AG51" s="55">
        <f t="shared" ca="1" si="22"/>
        <v>6.1800934756039929</v>
      </c>
      <c r="AH51" s="55">
        <f t="shared" ca="1" si="23"/>
        <v>0</v>
      </c>
      <c r="AI51" s="55">
        <f t="shared" ca="1" si="17"/>
        <v>-1.9804147441375335</v>
      </c>
      <c r="AJ51" s="55">
        <f t="shared" ca="1" si="18"/>
        <v>28.597499140879272</v>
      </c>
      <c r="AK51" s="55">
        <f t="shared" ca="1" si="19"/>
        <v>13.480257073326849</v>
      </c>
    </row>
    <row r="52" spans="2:37" s="55" customFormat="1">
      <c r="C52" s="61" t="s">
        <v>5</v>
      </c>
      <c r="D52" s="68">
        <f ca="1">IF(E52="",CurrentEstablishDate-15,E52)</f>
        <v>45421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59.329831620467097</v>
      </c>
      <c r="U52" s="55">
        <f t="shared" ca="1" si="1"/>
        <v>2.3196745944380743</v>
      </c>
      <c r="V52" s="55">
        <f t="shared" ca="1" si="2"/>
        <v>0</v>
      </c>
      <c r="W52" s="55">
        <f t="shared" ca="1" si="12"/>
        <v>-24.857227599411143</v>
      </c>
      <c r="X52" s="55">
        <f t="shared" ca="1" si="13"/>
        <v>26.328636520901522</v>
      </c>
      <c r="Y52" s="55">
        <f t="shared" ca="1" si="14"/>
        <v>5.8599404025306958</v>
      </c>
      <c r="Z52">
        <f t="shared" ca="1" si="3"/>
        <v>120</v>
      </c>
      <c r="AA52">
        <f t="shared" ca="1" si="15"/>
        <v>80.808660191005629</v>
      </c>
      <c r="AB52">
        <f t="shared" ca="1" si="4"/>
        <v>0</v>
      </c>
      <c r="AC52">
        <f t="shared" ca="1" si="5"/>
        <v>4.0909415252448067E-2</v>
      </c>
      <c r="AD52" s="83">
        <f ca="1"/>
        <v>45596</v>
      </c>
      <c r="AE52" s="55">
        <f t="shared" ca="1" si="20"/>
        <v>45596</v>
      </c>
      <c r="AF52" s="55">
        <f t="shared" ca="1" si="21"/>
        <v>67.016744682886483</v>
      </c>
      <c r="AG52" s="55">
        <f t="shared" ca="1" si="22"/>
        <v>6.4219006977690087</v>
      </c>
      <c r="AH52" s="55">
        <f t="shared" ca="1" si="23"/>
        <v>0</v>
      </c>
      <c r="AI52" s="55">
        <f t="shared" ca="1" si="17"/>
        <v>-1.9804147441375335</v>
      </c>
      <c r="AJ52" s="55">
        <f t="shared" ca="1" si="18"/>
        <v>29.442515349519454</v>
      </c>
      <c r="AK52" s="55">
        <f t="shared" ca="1" si="19"/>
        <v>13.938301276828659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60.052554835265248</v>
      </c>
      <c r="U53" s="55">
        <f t="shared" ca="1" si="1"/>
        <v>2.4389623683993809</v>
      </c>
      <c r="V53" s="55">
        <f t="shared" ca="1" si="2"/>
        <v>0</v>
      </c>
      <c r="W53" s="55">
        <f t="shared" ca="1" si="12"/>
        <v>-24.893607263064968</v>
      </c>
      <c r="X53" s="55">
        <f t="shared" ca="1" si="13"/>
        <v>27.006269101725231</v>
      </c>
      <c r="Y53" s="55">
        <f t="shared" ca="1" si="14"/>
        <v>6.060698474120267</v>
      </c>
      <c r="Z53">
        <f t="shared" ca="1" si="3"/>
        <v>120</v>
      </c>
      <c r="AA53">
        <f t="shared" ca="1" si="15"/>
        <v>80.918660191005628</v>
      </c>
      <c r="AB53">
        <f t="shared" ca="1" si="4"/>
        <v>0</v>
      </c>
      <c r="AC53">
        <f t="shared" ca="1" si="5"/>
        <v>4.6759057647104127E-2</v>
      </c>
      <c r="AD53" s="83">
        <f ca="1"/>
        <v>45597</v>
      </c>
      <c r="AE53" s="55">
        <f t="shared" ca="1" si="20"/>
        <v>45597</v>
      </c>
      <c r="AF53" s="55">
        <f t="shared" ca="1" si="21"/>
        <v>68.097389521173014</v>
      </c>
      <c r="AG53" s="55">
        <f t="shared" ca="1" si="22"/>
        <v>6.7014660500973822</v>
      </c>
      <c r="AH53" s="55">
        <f t="shared" ca="1" si="23"/>
        <v>0</v>
      </c>
      <c r="AI53" s="55">
        <f t="shared" ca="1" si="17"/>
        <v>-1.9804147441375335</v>
      </c>
      <c r="AJ53" s="55">
        <f t="shared" ca="1" si="18"/>
        <v>30.32503916309301</v>
      </c>
      <c r="AK53" s="55">
        <f t="shared" ca="1" si="19"/>
        <v>14.41598765387001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60.304093645648564</v>
      </c>
      <c r="U54" s="55">
        <f t="shared" ca="1" si="1"/>
        <v>2.5503838733834141</v>
      </c>
      <c r="V54" s="55">
        <f t="shared" ca="1" si="2"/>
        <v>0</v>
      </c>
      <c r="W54" s="55">
        <f t="shared" ca="1" si="12"/>
        <v>-25.322028519660577</v>
      </c>
      <c r="X54" s="55">
        <f t="shared" ca="1" si="13"/>
        <v>27.613433406852117</v>
      </c>
      <c r="Y54" s="55">
        <f t="shared" ca="1" si="14"/>
        <v>6.2449157409563449</v>
      </c>
      <c r="Z54">
        <f t="shared" ca="1" si="3"/>
        <v>120</v>
      </c>
      <c r="AA54">
        <f t="shared" ca="1" si="15"/>
        <v>82.208660191005634</v>
      </c>
      <c r="AB54">
        <f t="shared" ca="1" si="4"/>
        <v>0</v>
      </c>
      <c r="AC54">
        <f t="shared" ca="1" si="5"/>
        <v>5.2636600584439808E-2</v>
      </c>
      <c r="AD54" s="83">
        <f ca="1"/>
        <v>45598</v>
      </c>
      <c r="AE54" s="55">
        <f t="shared" ca="1" si="20"/>
        <v>45598</v>
      </c>
      <c r="AF54" s="55">
        <f t="shared" ca="1" si="21"/>
        <v>69.267998460053064</v>
      </c>
      <c r="AG54" s="55">
        <f t="shared" ca="1" si="22"/>
        <v>7.0303429675616096</v>
      </c>
      <c r="AH54" s="55">
        <f t="shared" ca="1" si="23"/>
        <v>0</v>
      </c>
      <c r="AI54" s="55">
        <f t="shared" ca="1" si="17"/>
        <v>-1.9804147441375335</v>
      </c>
      <c r="AJ54" s="55">
        <f t="shared" ca="1" si="18"/>
        <v>31.320034252993391</v>
      </c>
      <c r="AK54" s="55">
        <f t="shared" ca="1" si="19"/>
        <v>14.920478420313904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60.438396607798296</v>
      </c>
      <c r="U55" s="55">
        <f t="shared" ca="1" si="1"/>
        <v>2.6813549562410182</v>
      </c>
      <c r="V55" s="55">
        <f t="shared" ca="1" si="2"/>
        <v>0</v>
      </c>
      <c r="W55" s="55">
        <f t="shared" ca="1" si="12"/>
        <v>-25.931142447212213</v>
      </c>
      <c r="X55" s="55">
        <f t="shared" ca="1" si="13"/>
        <v>28.291065987675825</v>
      </c>
      <c r="Y55" s="55">
        <f t="shared" ca="1" si="14"/>
        <v>6.4416711326916101</v>
      </c>
      <c r="Z55">
        <f t="shared" ca="1" si="3"/>
        <v>120</v>
      </c>
      <c r="AA55">
        <f t="shared" ca="1" si="15"/>
        <v>84.038660191005633</v>
      </c>
      <c r="AB55">
        <f t="shared" ca="1" si="4"/>
        <v>0</v>
      </c>
      <c r="AC55">
        <f t="shared" ca="1" si="5"/>
        <v>6.0058109218742994E-2</v>
      </c>
      <c r="AD55" s="83">
        <f ca="1"/>
        <v>45599</v>
      </c>
      <c r="AE55" s="55">
        <f t="shared" ca="1" si="20"/>
        <v>45599</v>
      </c>
      <c r="AF55" s="55">
        <f t="shared" ca="1" si="21"/>
        <v>70.376134893605638</v>
      </c>
      <c r="AG55" s="55">
        <f t="shared" ca="1" si="22"/>
        <v>7.3573480998819711</v>
      </c>
      <c r="AH55" s="55">
        <f t="shared" ca="1" si="23"/>
        <v>0</v>
      </c>
      <c r="AI55" s="55">
        <f t="shared" ca="1" si="17"/>
        <v>-1.9804147441375335</v>
      </c>
      <c r="AJ55" s="55">
        <f t="shared" ca="1" si="18"/>
        <v>32.275915452197502</v>
      </c>
      <c r="AK55" s="55">
        <f t="shared" ca="1" si="19"/>
        <v>15.399738786982729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15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60.641869532745943</v>
      </c>
      <c r="U56" s="55">
        <f t="shared" ca="1" si="1"/>
        <v>2.8203362693781853</v>
      </c>
      <c r="V56" s="55">
        <f t="shared" ca="1" si="2"/>
        <v>0</v>
      </c>
      <c r="W56" s="55">
        <f t="shared" ca="1" si="12"/>
        <v>-26.468833690402565</v>
      </c>
      <c r="X56" s="55">
        <f t="shared" ca="1" si="13"/>
        <v>28.975351066304928</v>
      </c>
      <c r="Y56" s="55">
        <f t="shared" ca="1" si="14"/>
        <v>6.6375315353376738</v>
      </c>
      <c r="Z56">
        <f t="shared" ca="1" si="3"/>
        <v>120</v>
      </c>
      <c r="AA56">
        <f t="shared" ca="1" si="15"/>
        <v>85.648660191005646</v>
      </c>
      <c r="AB56">
        <f t="shared" ca="1" si="4"/>
        <v>0</v>
      </c>
      <c r="AC56">
        <f t="shared" ca="1" si="5"/>
        <v>6.8538439218077757E-2</v>
      </c>
      <c r="AD56" s="83">
        <f ca="1"/>
        <v>45600</v>
      </c>
      <c r="AE56" s="55">
        <f t="shared" ca="1" si="20"/>
        <v>45600</v>
      </c>
      <c r="AF56" s="55">
        <f t="shared" ca="1" si="21"/>
        <v>71.386785228582923</v>
      </c>
      <c r="AG56" s="55">
        <f t="shared" ca="1" si="22"/>
        <v>7.6772581114004987</v>
      </c>
      <c r="AH56" s="55">
        <f t="shared" ca="1" si="23"/>
        <v>0</v>
      </c>
      <c r="AI56" s="55">
        <f t="shared" ca="1" si="17"/>
        <v>-1.9804147441375335</v>
      </c>
      <c r="AJ56" s="55">
        <f t="shared" ca="1" si="18"/>
        <v>33.154084503041751</v>
      </c>
      <c r="AK56" s="55">
        <f t="shared" ca="1" si="19"/>
        <v>15.852130082634302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45460</v>
      </c>
      <c r="S57" s="55">
        <f t="shared" ca="1" si="11"/>
        <v>45460</v>
      </c>
      <c r="T57" s="55">
        <f t="shared" ca="1" si="0"/>
        <v>59.814770978822196</v>
      </c>
      <c r="U57" s="55">
        <f t="shared" ca="1" si="1"/>
        <v>2.9677171166094389</v>
      </c>
      <c r="V57" s="55">
        <f t="shared" ca="1" si="2"/>
        <v>0</v>
      </c>
      <c r="W57" s="55">
        <f t="shared" ca="1" si="12"/>
        <v>-28.033553423979001</v>
      </c>
      <c r="X57" s="55">
        <f t="shared" ca="1" si="13"/>
        <v>29.665658745249928</v>
      </c>
      <c r="Y57" s="55">
        <f t="shared" ca="1" si="14"/>
        <v>6.8322258832766254</v>
      </c>
      <c r="Z57">
        <f t="shared" ca="1" si="3"/>
        <v>120</v>
      </c>
      <c r="AA57">
        <f t="shared" ca="1" si="15"/>
        <v>90.398660191005646</v>
      </c>
      <c r="AB57">
        <f t="shared" ca="1" si="4"/>
        <v>0</v>
      </c>
      <c r="AC57">
        <f t="shared" ca="1" si="5"/>
        <v>7.8206163245916907E-2</v>
      </c>
      <c r="AD57" s="83">
        <f ca="1"/>
        <v>45601</v>
      </c>
      <c r="AE57" s="55">
        <f t="shared" ca="1" si="20"/>
        <v>45601</v>
      </c>
      <c r="AF57" s="55">
        <f t="shared" ca="1" si="21"/>
        <v>72.32315513090505</v>
      </c>
      <c r="AG57" s="55">
        <f t="shared" ca="1" si="22"/>
        <v>8.003847639005464</v>
      </c>
      <c r="AH57" s="55">
        <f t="shared" ca="1" si="23"/>
        <v>0</v>
      </c>
      <c r="AI57" s="55">
        <f t="shared" ca="1" si="17"/>
        <v>-1.9804147441375335</v>
      </c>
      <c r="AJ57" s="55">
        <f t="shared" ca="1" si="18"/>
        <v>33.978421124306216</v>
      </c>
      <c r="AK57" s="55">
        <f t="shared" ca="1" si="19"/>
        <v>16.290752891296925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57.058510492024439</v>
      </c>
      <c r="U58" s="55">
        <f t="shared" ca="1" si="1"/>
        <v>3.1280544689698568</v>
      </c>
      <c r="V58" s="55">
        <f t="shared" ca="1" si="2"/>
        <v>0</v>
      </c>
      <c r="W58" s="55">
        <f t="shared" ca="1" si="12"/>
        <v>-31.540419094914903</v>
      </c>
      <c r="X58" s="55">
        <f t="shared" ca="1" si="13"/>
        <v>30.379706941330497</v>
      </c>
      <c r="Y58" s="55">
        <f t="shared" ca="1" si="14"/>
        <v>7.0291202236946191</v>
      </c>
      <c r="Z58">
        <f t="shared" ca="1" si="3"/>
        <v>120</v>
      </c>
      <c r="AA58">
        <f t="shared" ca="1" si="15"/>
        <v>101.55866019100564</v>
      </c>
      <c r="AB58">
        <f t="shared" ca="1" si="4"/>
        <v>0</v>
      </c>
      <c r="AC58">
        <f t="shared" ca="1" si="5"/>
        <v>8.9499853242182986E-2</v>
      </c>
      <c r="AD58" s="83">
        <f ca="1"/>
        <v>45602</v>
      </c>
      <c r="AE58" s="55">
        <f t="shared" ca="1" si="20"/>
        <v>45602</v>
      </c>
      <c r="AF58" s="55">
        <f t="shared" ca="1" si="21"/>
        <v>73.241690254624302</v>
      </c>
      <c r="AG58" s="55">
        <f t="shared" ca="1" si="22"/>
        <v>8.3555528819437477</v>
      </c>
      <c r="AH58" s="55">
        <f t="shared" ca="1" si="23"/>
        <v>0</v>
      </c>
      <c r="AI58" s="55">
        <f t="shared" ca="1" si="17"/>
        <v>-1.9804147441375335</v>
      </c>
      <c r="AJ58" s="55">
        <f t="shared" ca="1" si="18"/>
        <v>34.810541675387405</v>
      </c>
      <c r="AK58" s="55">
        <f t="shared" ca="1" si="19"/>
        <v>16.728872706873272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55.300355171334772</v>
      </c>
      <c r="U59" s="55">
        <f t="shared" ca="1" si="1"/>
        <v>3.2960798465876056</v>
      </c>
      <c r="V59" s="55">
        <f t="shared" ca="1" si="2"/>
        <v>0</v>
      </c>
      <c r="W59" s="55">
        <f t="shared" ca="1" si="12"/>
        <v>-34.034705549468931</v>
      </c>
      <c r="X59" s="55">
        <f t="shared" ca="1" si="13"/>
        <v>31.090332471475897</v>
      </c>
      <c r="Y59" s="55">
        <f t="shared" ca="1" si="14"/>
        <v>7.2226512050313314</v>
      </c>
      <c r="Z59">
        <f t="shared" ca="1" si="3"/>
        <v>120</v>
      </c>
      <c r="AA59">
        <f t="shared" ca="1" si="15"/>
        <v>109.74866019100564</v>
      </c>
      <c r="AB59">
        <f t="shared" ca="1" si="4"/>
        <v>0</v>
      </c>
      <c r="AC59">
        <f t="shared" ca="1" si="5"/>
        <v>0.10218025369173379</v>
      </c>
      <c r="AD59" s="83">
        <f ca="1"/>
        <v>45603</v>
      </c>
      <c r="AE59" s="55">
        <f t="shared" ca="1" si="20"/>
        <v>45603</v>
      </c>
      <c r="AF59" s="55">
        <f t="shared" ca="1" si="21"/>
        <v>74.163730435108548</v>
      </c>
      <c r="AG59" s="55">
        <f t="shared" ca="1" si="22"/>
        <v>8.7424213029385385</v>
      </c>
      <c r="AH59" s="55">
        <f t="shared" ca="1" si="23"/>
        <v>0</v>
      </c>
      <c r="AI59" s="55">
        <f t="shared" ca="1" si="17"/>
        <v>-1.9804147441375335</v>
      </c>
      <c r="AJ59" s="55">
        <f t="shared" ca="1" si="18"/>
        <v>35.676852863534158</v>
      </c>
      <c r="AK59" s="55">
        <f t="shared" ca="1" si="19"/>
        <v>17.171470120205552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55.681109881352334</v>
      </c>
      <c r="U60" s="55">
        <f t="shared" ca="1" si="1"/>
        <v>3.4628860649353017</v>
      </c>
      <c r="V60" s="55">
        <f t="shared" ca="1" si="2"/>
        <v>0</v>
      </c>
      <c r="W60" s="55">
        <f t="shared" ca="1" si="12"/>
        <v>-34.341355140119859</v>
      </c>
      <c r="X60" s="55">
        <f t="shared" ca="1" si="13"/>
        <v>31.761353836987087</v>
      </c>
      <c r="Y60" s="55">
        <f t="shared" ca="1" si="14"/>
        <v>7.4058403585363202</v>
      </c>
      <c r="Z60">
        <f t="shared" ca="1" si="3"/>
        <v>120</v>
      </c>
      <c r="AA60">
        <f t="shared" ca="1" si="15"/>
        <v>110.74866019100564</v>
      </c>
      <c r="AB60">
        <f t="shared" ca="1" si="4"/>
        <v>0</v>
      </c>
      <c r="AC60">
        <f t="shared" ca="1" si="5"/>
        <v>0.11559268782888762</v>
      </c>
      <c r="AD60" s="83">
        <f ca="1"/>
        <v>45604</v>
      </c>
      <c r="AE60" s="55">
        <f t="shared" ca="1" si="20"/>
        <v>45604</v>
      </c>
      <c r="AF60" s="55">
        <f t="shared" ca="1" si="21"/>
        <v>75.079299029034871</v>
      </c>
      <c r="AG60" s="55">
        <f t="shared" ca="1" si="22"/>
        <v>9.1603209980476166</v>
      </c>
      <c r="AH60" s="55">
        <f t="shared" ca="1" si="23"/>
        <v>0</v>
      </c>
      <c r="AI60" s="55">
        <f t="shared" ca="1" si="17"/>
        <v>-1.9804147441375335</v>
      </c>
      <c r="AJ60" s="55">
        <f t="shared" ca="1" si="18"/>
        <v>36.568660528610927</v>
      </c>
      <c r="AK60" s="55">
        <f t="shared" ca="1" si="19"/>
        <v>17.613130744164177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55.969562588369762</v>
      </c>
      <c r="U61" s="55">
        <f t="shared" ca="1" si="1"/>
        <v>3.6190540947310361</v>
      </c>
      <c r="V61" s="55">
        <f t="shared" ca="1" si="2"/>
        <v>0</v>
      </c>
      <c r="W61" s="55">
        <f t="shared" ca="1" si="12"/>
        <v>-34.668087601142979</v>
      </c>
      <c r="X61" s="55">
        <f t="shared" ca="1" si="13"/>
        <v>32.364816207674728</v>
      </c>
      <c r="Y61" s="55">
        <f t="shared" ca="1" si="14"/>
        <v>7.5737311856849665</v>
      </c>
      <c r="Z61">
        <f t="shared" ca="1" si="3"/>
        <v>120</v>
      </c>
      <c r="AA61">
        <f t="shared" ca="1" si="15"/>
        <v>111.80866019100563</v>
      </c>
      <c r="AB61">
        <f t="shared" ca="1" si="4"/>
        <v>0</v>
      </c>
      <c r="AC61">
        <f t="shared" ca="1" si="5"/>
        <v>0.12885909851855257</v>
      </c>
      <c r="AD61" s="83">
        <f ca="1"/>
        <v>45605</v>
      </c>
      <c r="AE61" s="55">
        <f t="shared" ca="1" si="20"/>
        <v>45605</v>
      </c>
      <c r="AF61" s="55">
        <f t="shared" ca="1" si="21"/>
        <v>75.932253529666042</v>
      </c>
      <c r="AG61" s="55">
        <f t="shared" ca="1" si="22"/>
        <v>9.573815620322236</v>
      </c>
      <c r="AH61" s="55">
        <f t="shared" ca="1" si="23"/>
        <v>0</v>
      </c>
      <c r="AI61" s="55">
        <f t="shared" ca="1" si="17"/>
        <v>-1.9804147441375335</v>
      </c>
      <c r="AJ61" s="55">
        <f t="shared" ca="1" si="18"/>
        <v>37.417773296493209</v>
      </c>
      <c r="AK61" s="55">
        <f t="shared" ca="1" si="19"/>
        <v>18.030467099187685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55.904055486647835</v>
      </c>
      <c r="U62" s="55">
        <f t="shared" ca="1" si="1"/>
        <v>3.7830413455931913</v>
      </c>
      <c r="V62" s="55">
        <f t="shared" ca="1" si="2"/>
        <v>0</v>
      </c>
      <c r="W62" s="55">
        <f t="shared" ca="1" si="12"/>
        <v>-35.342339122534113</v>
      </c>
      <c r="X62" s="55">
        <f t="shared" ca="1" si="13"/>
        <v>32.971362512065454</v>
      </c>
      <c r="Y62" s="55">
        <f t="shared" ca="1" si="14"/>
        <v>7.7399165518256057</v>
      </c>
      <c r="Z62">
        <f t="shared" ca="1" si="3"/>
        <v>120</v>
      </c>
      <c r="AA62">
        <f t="shared" ca="1" si="15"/>
        <v>113.99866019100563</v>
      </c>
      <c r="AB62">
        <f t="shared" ca="1" si="4"/>
        <v>0</v>
      </c>
      <c r="AC62">
        <f t="shared" ca="1" si="5"/>
        <v>0.14348596298578581</v>
      </c>
      <c r="AD62" s="83">
        <f ca="1"/>
        <v>45606</v>
      </c>
      <c r="AE62" s="55">
        <f t="shared" ca="1" si="20"/>
        <v>45606</v>
      </c>
      <c r="AF62" s="55">
        <f t="shared" ca="1" si="21"/>
        <v>76.790796116136534</v>
      </c>
      <c r="AG62" s="55">
        <f t="shared" ca="1" si="22"/>
        <v>10.017218554221952</v>
      </c>
      <c r="AH62" s="55">
        <f t="shared" ca="1" si="23"/>
        <v>0</v>
      </c>
      <c r="AI62" s="55">
        <f t="shared" ca="1" si="17"/>
        <v>-1.9804147441375335</v>
      </c>
      <c r="AJ62" s="55">
        <f t="shared" ca="1" si="18"/>
        <v>38.305338909365894</v>
      </c>
      <c r="AK62" s="55">
        <f t="shared" ca="1" si="19"/>
        <v>18.444847006685219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55.702056720287572</v>
      </c>
      <c r="U63" s="55">
        <f t="shared" ca="1" si="1"/>
        <v>3.9803697888514789</v>
      </c>
      <c r="V63" s="55">
        <f t="shared" ca="1" si="2"/>
        <v>0</v>
      </c>
      <c r="W63" s="55">
        <f t="shared" ca="1" si="12"/>
        <v>-36.219686879687863</v>
      </c>
      <c r="X63" s="55">
        <f t="shared" ca="1" si="13"/>
        <v>33.664357665975182</v>
      </c>
      <c r="Y63" s="55">
        <f t="shared" ca="1" si="14"/>
        <v>7.9195988319676545</v>
      </c>
      <c r="Z63">
        <f t="shared" ca="1" si="3"/>
        <v>120</v>
      </c>
      <c r="AA63">
        <f t="shared" ca="1" si="15"/>
        <v>116.85866019100563</v>
      </c>
      <c r="AB63">
        <f t="shared" ca="1" si="4"/>
        <v>0</v>
      </c>
      <c r="AC63">
        <f t="shared" ca="1" si="5"/>
        <v>0.16196296933420759</v>
      </c>
      <c r="AD63" s="83">
        <f ca="1"/>
        <v>45607</v>
      </c>
      <c r="AE63" s="55">
        <f t="shared" ca="1" si="20"/>
        <v>45607</v>
      </c>
      <c r="AF63" s="55">
        <f t="shared" ca="1" si="21"/>
        <v>77.584826670326692</v>
      </c>
      <c r="AG63" s="55">
        <f t="shared" ca="1" si="22"/>
        <v>10.436007780226754</v>
      </c>
      <c r="AH63" s="55">
        <f t="shared" ca="1" si="23"/>
        <v>0</v>
      </c>
      <c r="AI63" s="55">
        <f t="shared" ca="1" si="17"/>
        <v>-1.9804147441375335</v>
      </c>
      <c r="AJ63" s="55">
        <f t="shared" ca="1" si="18"/>
        <v>39.136144348445988</v>
      </c>
      <c r="AK63" s="55">
        <f t="shared" ca="1" si="19"/>
        <v>18.826861347800087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55.663240322209262</v>
      </c>
      <c r="U64" s="55">
        <f t="shared" ca="1" si="1"/>
        <v>4.1703400015708594</v>
      </c>
      <c r="V64" s="55">
        <f t="shared" ca="1" si="2"/>
        <v>0</v>
      </c>
      <c r="W64" s="55">
        <f t="shared" ca="1" si="12"/>
        <v>-36.872640890076212</v>
      </c>
      <c r="X64" s="55">
        <f t="shared" ca="1" si="13"/>
        <v>34.301663509164378</v>
      </c>
      <c r="Y64" s="55">
        <f t="shared" ca="1" si="14"/>
        <v>8.0864008138078738</v>
      </c>
      <c r="Z64">
        <f t="shared" ca="1" si="3"/>
        <v>120</v>
      </c>
      <c r="AA64">
        <f t="shared" ca="1" si="15"/>
        <v>118.98866019100562</v>
      </c>
      <c r="AB64">
        <f t="shared" ca="1" si="4"/>
        <v>0</v>
      </c>
      <c r="AC64">
        <f t="shared" ca="1" si="5"/>
        <v>0.18057106743727977</v>
      </c>
      <c r="AD64" s="83">
        <f ca="1"/>
        <v>45608</v>
      </c>
      <c r="AE64" s="55">
        <f t="shared" ca="1" si="20"/>
        <v>45608</v>
      </c>
      <c r="AF64" s="55">
        <f t="shared" ca="1" si="21"/>
        <v>78.304817080959552</v>
      </c>
      <c r="AG64" s="55">
        <f t="shared" ca="1" si="22"/>
        <v>10.843737582078921</v>
      </c>
      <c r="AH64" s="55">
        <f t="shared" ca="1" si="23"/>
        <v>0</v>
      </c>
      <c r="AI64" s="55">
        <f t="shared" ca="1" si="17"/>
        <v>-1.9804147441375335</v>
      </c>
      <c r="AJ64" s="55">
        <f t="shared" ca="1" si="18"/>
        <v>39.903321233246075</v>
      </c>
      <c r="AK64" s="55">
        <f t="shared" ca="1" si="19"/>
        <v>19.187404675485045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56.168596718048974</v>
      </c>
      <c r="U65" s="55">
        <f t="shared" ca="1" si="1"/>
        <v>4.3610312374406863</v>
      </c>
      <c r="V65" s="55">
        <f t="shared" ca="1" si="2"/>
        <v>0</v>
      </c>
      <c r="W65" s="55">
        <f t="shared" ca="1" si="12"/>
        <v>-36.949974465267729</v>
      </c>
      <c r="X65" s="55">
        <f t="shared" ca="1" si="13"/>
        <v>34.915030100876578</v>
      </c>
      <c r="Y65" s="55">
        <f t="shared" ca="1" si="14"/>
        <v>8.2464154289967304</v>
      </c>
      <c r="Z65">
        <f t="shared" ca="1" si="3"/>
        <v>120</v>
      </c>
      <c r="AA65">
        <f t="shared" ca="1" si="15"/>
        <v>119.23866019100562</v>
      </c>
      <c r="AB65">
        <f t="shared" ca="1" si="4"/>
        <v>0</v>
      </c>
      <c r="AC65">
        <f t="shared" ca="1" si="5"/>
        <v>0.19996472153058853</v>
      </c>
      <c r="AD65" s="83">
        <f ca="1"/>
        <v>45609</v>
      </c>
      <c r="AE65" s="55">
        <f t="shared" ca="1" si="20"/>
        <v>45609</v>
      </c>
      <c r="AF65" s="55">
        <f t="shared" ca="1" si="21"/>
        <v>78.97832010963738</v>
      </c>
      <c r="AG65" s="55">
        <f t="shared" ca="1" si="22"/>
        <v>11.269234601095679</v>
      </c>
      <c r="AH65" s="55">
        <f t="shared" ca="1" si="23"/>
        <v>0</v>
      </c>
      <c r="AI65" s="55">
        <f t="shared" ca="1" si="17"/>
        <v>-1.9804147441375335</v>
      </c>
      <c r="AJ65" s="55">
        <f t="shared" ca="1" si="18"/>
        <v>40.648835457789545</v>
      </c>
      <c r="AK65" s="55">
        <f t="shared" ca="1" si="19"/>
        <v>19.540890498636163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56.076929383048409</v>
      </c>
      <c r="U66" s="55">
        <f t="shared" ca="1" si="1"/>
        <v>4.5521945654298204</v>
      </c>
      <c r="V66" s="55">
        <f t="shared" ca="1" si="2"/>
        <v>0</v>
      </c>
      <c r="W66" s="55">
        <f t="shared" ca="1" si="12"/>
        <v>-37.595428049557839</v>
      </c>
      <c r="X66" s="55">
        <f t="shared" ca="1" si="13"/>
        <v>35.506257734157849</v>
      </c>
      <c r="Y66" s="55">
        <f t="shared" ca="1" si="14"/>
        <v>8.4001373729941307</v>
      </c>
      <c r="Z66">
        <f t="shared" ca="1" si="3"/>
        <v>120</v>
      </c>
      <c r="AA66">
        <f t="shared" ca="1" si="15"/>
        <v>121.32866019100564</v>
      </c>
      <c r="AB66">
        <f t="shared" ca="1" si="4"/>
        <v>0</v>
      </c>
      <c r="AC66">
        <f t="shared" ca="1" si="5"/>
        <v>0.22002623866318699</v>
      </c>
      <c r="AD66" s="83">
        <f ca="1"/>
        <v>45610</v>
      </c>
      <c r="AE66" s="55">
        <f t="shared" ca="1" si="20"/>
        <v>45610</v>
      </c>
      <c r="AF66" s="55">
        <f t="shared" ca="1" si="21"/>
        <v>79.641858205688308</v>
      </c>
      <c r="AG66" s="55">
        <f t="shared" ca="1" si="22"/>
        <v>11.762631842987018</v>
      </c>
      <c r="AH66" s="55">
        <f t="shared" ca="1" si="23"/>
        <v>0</v>
      </c>
      <c r="AI66" s="55">
        <f t="shared" ca="1" si="17"/>
        <v>-1.9804147441375335</v>
      </c>
      <c r="AJ66" s="55">
        <f t="shared" ca="1" si="18"/>
        <v>41.439099666190366</v>
      </c>
      <c r="AK66" s="55">
        <f t="shared" ca="1" si="19"/>
        <v>19.9075616281776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354 kg N/ha</v>
      </c>
      <c r="R67" s="83">
        <f ca="1"/>
        <v>45470</v>
      </c>
      <c r="S67" s="55">
        <f t="shared" ca="1" si="11"/>
        <v>45470</v>
      </c>
      <c r="T67" s="55">
        <f t="shared" ca="1" si="0"/>
        <v>56.623600627662356</v>
      </c>
      <c r="U67" s="55">
        <f t="shared" ca="1" si="1"/>
        <v>4.7531330632687574</v>
      </c>
      <c r="V67" s="55">
        <f t="shared" ca="1" si="2"/>
        <v>0</v>
      </c>
      <c r="W67" s="55">
        <f t="shared" ca="1" si="12"/>
        <v>-37.595428049557839</v>
      </c>
      <c r="X67" s="55">
        <f t="shared" ca="1" si="13"/>
        <v>36.101749165394729</v>
      </c>
      <c r="Y67" s="55">
        <f t="shared" ca="1" si="14"/>
        <v>8.5522556842101398</v>
      </c>
      <c r="Z67">
        <f t="shared" ca="1" si="3"/>
        <v>119.93043478260869</v>
      </c>
      <c r="AA67">
        <f t="shared" ca="1" si="15"/>
        <v>121.32866019100564</v>
      </c>
      <c r="AB67">
        <f t="shared" ca="1" si="4"/>
        <v>0</v>
      </c>
      <c r="AC67">
        <f t="shared" ca="1" si="5"/>
        <v>0.24166985518465361</v>
      </c>
      <c r="AD67" s="83">
        <f ca="1"/>
        <v>45611</v>
      </c>
      <c r="AE67" s="55">
        <f t="shared" ca="1" si="20"/>
        <v>45611</v>
      </c>
      <c r="AF67" s="55">
        <f t="shared" ca="1" si="21"/>
        <v>80.356375289030865</v>
      </c>
      <c r="AG67" s="55">
        <f t="shared" ca="1" si="22"/>
        <v>12.357288745671928</v>
      </c>
      <c r="AH67" s="55">
        <f t="shared" ca="1" si="23"/>
        <v>0</v>
      </c>
      <c r="AI67" s="55">
        <f t="shared" ca="1" si="17"/>
        <v>-1.9804147441375335</v>
      </c>
      <c r="AJ67" s="55">
        <f t="shared" ca="1" si="18"/>
        <v>42.357587710931092</v>
      </c>
      <c r="AK67" s="55">
        <f t="shared" ca="1" si="19"/>
        <v>20.298247569464341</v>
      </c>
    </row>
    <row r="68" spans="2:37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45471</v>
      </c>
      <c r="S68" s="55">
        <f t="shared" ca="1" si="11"/>
        <v>45471</v>
      </c>
      <c r="T68" s="55">
        <f t="shared" ca="1" si="0"/>
        <v>56.899253658396191</v>
      </c>
      <c r="U68" s="55">
        <f t="shared" ca="1" si="1"/>
        <v>4.9595420943060891</v>
      </c>
      <c r="V68" s="55">
        <f t="shared" ca="1" si="2"/>
        <v>0</v>
      </c>
      <c r="W68" s="55">
        <f t="shared" ca="1" si="12"/>
        <v>-37.849372476353508</v>
      </c>
      <c r="X68" s="55">
        <f t="shared" ca="1" si="13"/>
        <v>36.689337825264822</v>
      </c>
      <c r="Y68" s="55">
        <f t="shared" ca="1" si="14"/>
        <v>8.7006735129068833</v>
      </c>
      <c r="Z68">
        <f t="shared" ca="1" si="3"/>
        <v>120</v>
      </c>
      <c r="AA68">
        <f t="shared" ca="1" si="15"/>
        <v>122.13905679101148</v>
      </c>
      <c r="AB68">
        <f t="shared" ca="1" si="4"/>
        <v>0</v>
      </c>
      <c r="AC68">
        <f t="shared" ca="1" si="5"/>
        <v>0.26437095689734247</v>
      </c>
      <c r="AD68" s="83">
        <f ca="1"/>
        <v>45612</v>
      </c>
      <c r="AE68" s="55">
        <f t="shared" ca="1" si="20"/>
        <v>45612</v>
      </c>
      <c r="AF68" s="55">
        <f t="shared" ca="1" si="21"/>
        <v>81.086048409435762</v>
      </c>
      <c r="AG68" s="55">
        <f t="shared" ca="1" si="22"/>
        <v>12.994141727439455</v>
      </c>
      <c r="AH68" s="55">
        <f t="shared" ca="1" si="23"/>
        <v>0</v>
      </c>
      <c r="AI68" s="55">
        <f t="shared" ca="1" si="17"/>
        <v>-1.9804147441375335</v>
      </c>
      <c r="AJ68" s="55">
        <f t="shared" ca="1" si="18"/>
        <v>43.338834192367173</v>
      </c>
      <c r="AK68" s="55">
        <f t="shared" ca="1" si="19"/>
        <v>20.683527190200689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56.861715814042284</v>
      </c>
      <c r="U69" s="55">
        <f t="shared" ca="1" si="1"/>
        <v>5.170111745137695</v>
      </c>
      <c r="V69" s="55">
        <f t="shared" ca="1" si="2"/>
        <v>0</v>
      </c>
      <c r="W69" s="55">
        <f t="shared" ca="1" si="12"/>
        <v>-38.397387563546815</v>
      </c>
      <c r="X69" s="55">
        <f t="shared" ca="1" si="13"/>
        <v>37.266096398699268</v>
      </c>
      <c r="Y69" s="55">
        <f t="shared" ca="1" si="14"/>
        <v>8.8449618331434454</v>
      </c>
      <c r="Z69">
        <f t="shared" ca="1" si="3"/>
        <v>120</v>
      </c>
      <c r="AA69">
        <f t="shared" ca="1" si="15"/>
        <v>123.88905679101148</v>
      </c>
      <c r="AB69">
        <f t="shared" ca="1" si="4"/>
        <v>0</v>
      </c>
      <c r="AC69">
        <f t="shared" ca="1" si="5"/>
        <v>0.28788411201356784</v>
      </c>
      <c r="AD69" s="83">
        <f ca="1"/>
        <v>45613</v>
      </c>
      <c r="AE69" s="55">
        <f t="shared" ca="1" si="20"/>
        <v>45613</v>
      </c>
      <c r="AF69" s="55">
        <f t="shared" ca="1" si="21"/>
        <v>81.807065786170128</v>
      </c>
      <c r="AG69" s="55">
        <f t="shared" ca="1" si="22"/>
        <v>13.628319383118216</v>
      </c>
      <c r="AH69" s="55">
        <f t="shared" ca="1" si="23"/>
        <v>0</v>
      </c>
      <c r="AI69" s="55">
        <f t="shared" ca="1" si="17"/>
        <v>-1.9804147441375335</v>
      </c>
      <c r="AJ69" s="55">
        <f t="shared" ca="1" si="18"/>
        <v>44.332136125894337</v>
      </c>
      <c r="AK69" s="55">
        <f t="shared" ca="1" si="19"/>
        <v>21.045420289086653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56.959940853866357</v>
      </c>
      <c r="U70" s="55">
        <f t="shared" ca="1" si="1"/>
        <v>5.3969532495895338</v>
      </c>
      <c r="V70" s="55">
        <f t="shared" ca="1" si="2"/>
        <v>0</v>
      </c>
      <c r="W70" s="55">
        <f t="shared" ca="1" si="12"/>
        <v>-38.811461568362745</v>
      </c>
      <c r="X70" s="55">
        <f t="shared" ca="1" si="13"/>
        <v>37.860367586321033</v>
      </c>
      <c r="Y70" s="55">
        <f t="shared" ca="1" si="14"/>
        <v>8.9898311946135259</v>
      </c>
      <c r="Z70">
        <f t="shared" ca="1" si="3"/>
        <v>120</v>
      </c>
      <c r="AA70">
        <f t="shared" ca="1" si="15"/>
        <v>125.20905679101148</v>
      </c>
      <c r="AB70">
        <f t="shared" ca="1" si="4"/>
        <v>0</v>
      </c>
      <c r="AC70">
        <f t="shared" ca="1" si="5"/>
        <v>0.31346028619954192</v>
      </c>
      <c r="AD70" s="83">
        <f ca="1"/>
        <v>45614</v>
      </c>
      <c r="AE70" s="55">
        <f t="shared" ca="1" si="20"/>
        <v>45614</v>
      </c>
      <c r="AF70" s="55">
        <f t="shared" ca="1" si="21"/>
        <v>82.42777780779025</v>
      </c>
      <c r="AG70" s="55">
        <f t="shared" ca="1" si="22"/>
        <v>14.255720242628874</v>
      </c>
      <c r="AH70" s="55">
        <f t="shared" ca="1" si="23"/>
        <v>0</v>
      </c>
      <c r="AI70" s="55">
        <f t="shared" ca="1" si="17"/>
        <v>-1.9804147441375335</v>
      </c>
      <c r="AJ70" s="55">
        <f t="shared" ca="1" si="18"/>
        <v>45.240367831390827</v>
      </c>
      <c r="AK70" s="55">
        <f t="shared" ca="1" si="19"/>
        <v>21.38530146472095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57.435425380714065</v>
      </c>
      <c r="U71" s="55">
        <f t="shared" ca="1" si="1"/>
        <v>5.617297299075239</v>
      </c>
      <c r="V71" s="55">
        <f t="shared" ca="1" si="2"/>
        <v>0</v>
      </c>
      <c r="W71" s="55">
        <f t="shared" ca="1" si="12"/>
        <v>-38.811461568362745</v>
      </c>
      <c r="X71" s="55">
        <f t="shared" ca="1" si="13"/>
        <v>38.419364408351818</v>
      </c>
      <c r="Y71" s="55">
        <f t="shared" ca="1" si="14"/>
        <v>9.1266629489161506</v>
      </c>
      <c r="Z71">
        <f t="shared" ca="1" si="3"/>
        <v>119.68695652173912</v>
      </c>
      <c r="AA71">
        <f t="shared" ca="1" si="15"/>
        <v>125.20905679101148</v>
      </c>
      <c r="AB71">
        <f t="shared" ca="1" si="4"/>
        <v>0</v>
      </c>
      <c r="AC71">
        <f t="shared" ca="1" si="5"/>
        <v>0.33839821416725246</v>
      </c>
      <c r="AD71" s="83">
        <f ca="1"/>
        <v>45615</v>
      </c>
      <c r="AE71" s="55">
        <f t="shared" ca="1" si="20"/>
        <v>45615</v>
      </c>
      <c r="AF71" s="55">
        <f t="shared" ca="1" si="21"/>
        <v>83.003429221179459</v>
      </c>
      <c r="AG71" s="55">
        <f t="shared" ca="1" si="22"/>
        <v>14.924408595169377</v>
      </c>
      <c r="AH71" s="55">
        <f t="shared" ca="1" si="23"/>
        <v>0</v>
      </c>
      <c r="AI71" s="55">
        <f t="shared" ca="1" si="17"/>
        <v>-1.9804147441375335</v>
      </c>
      <c r="AJ71" s="55">
        <f t="shared" ca="1" si="18"/>
        <v>46.149878446438336</v>
      </c>
      <c r="AK71" s="55">
        <f t="shared" ca="1" si="19"/>
        <v>21.720130615603157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57.137402841072436</v>
      </c>
      <c r="U72" s="55">
        <f t="shared" ca="1" si="1"/>
        <v>5.8633793629193889</v>
      </c>
      <c r="V72" s="55">
        <f t="shared" ca="1" si="2"/>
        <v>0</v>
      </c>
      <c r="W72" s="55">
        <f t="shared" ca="1" si="12"/>
        <v>-39.598599007337455</v>
      </c>
      <c r="X72" s="55">
        <f t="shared" ca="1" si="13"/>
        <v>39.014245516139269</v>
      </c>
      <c r="Y72" s="55">
        <f t="shared" ca="1" si="14"/>
        <v>9.2669788043059285</v>
      </c>
      <c r="Z72">
        <f t="shared" ca="1" si="3"/>
        <v>120</v>
      </c>
      <c r="AA72">
        <f t="shared" ca="1" si="15"/>
        <v>127.71052834023214</v>
      </c>
      <c r="AB72">
        <f t="shared" ca="1" si="4"/>
        <v>0</v>
      </c>
      <c r="AC72">
        <f t="shared" ca="1" si="5"/>
        <v>0.36618666525129728</v>
      </c>
      <c r="AD72" s="83">
        <f ca="1"/>
        <v>45616</v>
      </c>
      <c r="AE72" s="55">
        <f t="shared" ca="1" si="20"/>
        <v>45616</v>
      </c>
      <c r="AF72" s="55">
        <f t="shared" ca="1" si="21"/>
        <v>83.513700866949023</v>
      </c>
      <c r="AG72" s="55">
        <f t="shared" ca="1" si="22"/>
        <v>15.629497755163218</v>
      </c>
      <c r="AH72" s="55">
        <f t="shared" ca="1" si="23"/>
        <v>0</v>
      </c>
      <c r="AI72" s="55">
        <f t="shared" ca="1" si="17"/>
        <v>-1.9804147441375335</v>
      </c>
      <c r="AJ72" s="55">
        <f t="shared" ca="1" si="18"/>
        <v>47.037861674998112</v>
      </c>
      <c r="AK72" s="55">
        <f t="shared" ca="1" si="19"/>
        <v>22.047508192806792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57.60447509573337</v>
      </c>
      <c r="U73" s="55">
        <f t="shared" ca="1" si="1"/>
        <v>6.1130437754890963</v>
      </c>
      <c r="V73" s="55">
        <f t="shared" ca="1" si="2"/>
        <v>0</v>
      </c>
      <c r="W73" s="55">
        <f t="shared" ca="1" si="12"/>
        <v>-39.598599007337455</v>
      </c>
      <c r="X73" s="55">
        <f t="shared" ca="1" si="13"/>
        <v>39.595200330092062</v>
      </c>
      <c r="Y73" s="55">
        <f t="shared" ca="1" si="14"/>
        <v>9.4027606575837783</v>
      </c>
      <c r="Z73">
        <f t="shared" ca="1" si="3"/>
        <v>119.75652173913043</v>
      </c>
      <c r="AA73">
        <f t="shared" ca="1" si="15"/>
        <v>127.71052834023214</v>
      </c>
      <c r="AB73">
        <f t="shared" ca="1" si="4"/>
        <v>0</v>
      </c>
      <c r="AC73">
        <f t="shared" ca="1" si="5"/>
        <v>0.39413698182194101</v>
      </c>
      <c r="AD73" s="83">
        <f ca="1"/>
        <v>45617</v>
      </c>
      <c r="AE73" s="55">
        <f t="shared" ca="1" si="20"/>
        <v>45617</v>
      </c>
      <c r="AF73" s="55">
        <f t="shared" ca="1" si="21"/>
        <v>83.954050419138099</v>
      </c>
      <c r="AG73" s="55">
        <f t="shared" ca="1" si="22"/>
        <v>16.373897173955584</v>
      </c>
      <c r="AH73" s="55">
        <f t="shared" ca="1" si="23"/>
        <v>0</v>
      </c>
      <c r="AI73" s="55">
        <f t="shared" ca="1" si="17"/>
        <v>-1.9804147441375335</v>
      </c>
      <c r="AJ73" s="55">
        <f t="shared" ca="1" si="18"/>
        <v>47.902458032647267</v>
      </c>
      <c r="AK73" s="55">
        <f t="shared" ca="1" si="19"/>
        <v>22.367660806139082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58.091211916881257</v>
      </c>
      <c r="U74" s="55">
        <f t="shared" ca="1" si="1"/>
        <v>6.397657106981586</v>
      </c>
      <c r="V74" s="55">
        <f t="shared" ca="1" si="2"/>
        <v>0</v>
      </c>
      <c r="W74" s="55">
        <f t="shared" ca="1" si="12"/>
        <v>-39.598599007337455</v>
      </c>
      <c r="X74" s="55">
        <f t="shared" ca="1" si="13"/>
        <v>40.225515913920106</v>
      </c>
      <c r="Y74" s="55">
        <f t="shared" ca="1" si="14"/>
        <v>9.5437952263961066</v>
      </c>
      <c r="Z74">
        <f t="shared" ca="1" si="3"/>
        <v>118.24544468768418</v>
      </c>
      <c r="AA74">
        <f t="shared" ca="1" si="15"/>
        <v>127.71052834023214</v>
      </c>
      <c r="AB74">
        <f t="shared" ca="1" si="4"/>
        <v>0</v>
      </c>
      <c r="AC74">
        <f t="shared" ca="1" si="5"/>
        <v>0.4254934913790136</v>
      </c>
      <c r="AD74" s="83">
        <f ca="1"/>
        <v>45618</v>
      </c>
      <c r="AE74" s="55">
        <f t="shared" ca="1" si="20"/>
        <v>45618</v>
      </c>
      <c r="AF74" s="55">
        <f t="shared" ca="1" si="21"/>
        <v>84.300154943801203</v>
      </c>
      <c r="AG74" s="55">
        <f t="shared" ca="1" si="22"/>
        <v>17.20196558651552</v>
      </c>
      <c r="AH74" s="55">
        <f t="shared" ca="1" si="23"/>
        <v>0</v>
      </c>
      <c r="AI74" s="55">
        <f t="shared" ca="1" si="17"/>
        <v>-1.9804147441375335</v>
      </c>
      <c r="AJ74" s="55">
        <f t="shared" ca="1" si="18"/>
        <v>48.75305371534192</v>
      </c>
      <c r="AK74" s="55">
        <f t="shared" ca="1" si="19"/>
        <v>22.691238060667462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58.445963204832708</v>
      </c>
      <c r="U75" s="55">
        <f t="shared" ca="1" si="1"/>
        <v>6.6859601934879445</v>
      </c>
      <c r="V75" s="55">
        <f t="shared" ca="1" si="2"/>
        <v>0</v>
      </c>
      <c r="W75" s="55">
        <f t="shared" ca="1" si="12"/>
        <v>-39.704137533054222</v>
      </c>
      <c r="X75" s="55">
        <f t="shared" ca="1" si="13"/>
        <v>40.838260452975362</v>
      </c>
      <c r="Y75" s="55">
        <f t="shared" ca="1" si="14"/>
        <v>9.6796435875154305</v>
      </c>
      <c r="Z75">
        <f t="shared" ca="1" si="3"/>
        <v>120</v>
      </c>
      <c r="AA75">
        <f t="shared" ca="1" si="15"/>
        <v>128.03841367834016</v>
      </c>
      <c r="AB75">
        <f t="shared" ca="1" si="4"/>
        <v>0</v>
      </c>
      <c r="AC75">
        <f t="shared" ca="1" si="5"/>
        <v>0.45650239219607991</v>
      </c>
      <c r="AD75" s="83">
        <f ca="1"/>
        <v>45619</v>
      </c>
      <c r="AE75" s="55">
        <f t="shared" ca="1" si="20"/>
        <v>45619</v>
      </c>
      <c r="AF75" s="55">
        <f t="shared" ca="1" si="21"/>
        <v>84.57592330545809</v>
      </c>
      <c r="AG75" s="55">
        <f t="shared" ca="1" si="22"/>
        <v>18.070898916286861</v>
      </c>
      <c r="AH75" s="55">
        <f t="shared" ca="1" si="23"/>
        <v>0</v>
      </c>
      <c r="AI75" s="55">
        <f t="shared" ca="1" si="17"/>
        <v>-1.9804147441375335</v>
      </c>
      <c r="AJ75" s="55">
        <f t="shared" ca="1" si="18"/>
        <v>49.583680022753178</v>
      </c>
      <c r="AK75" s="55">
        <f t="shared" ca="1" si="19"/>
        <v>23.005313444684415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57.717188771243904</v>
      </c>
      <c r="U76" s="55">
        <f t="shared" ca="1" si="1"/>
        <v>7.0049371974419712</v>
      </c>
      <c r="V76" s="55">
        <f t="shared" ca="1" si="2"/>
        <v>0</v>
      </c>
      <c r="W76" s="55">
        <f t="shared" ca="1" si="12"/>
        <v>-40.899301581117314</v>
      </c>
      <c r="X76" s="55">
        <f t="shared" ca="1" si="13"/>
        <v>41.485178135458206</v>
      </c>
      <c r="Y76" s="55">
        <f t="shared" ca="1" si="14"/>
        <v>9.8180925234608996</v>
      </c>
      <c r="Z76">
        <f t="shared" ca="1" si="3"/>
        <v>120</v>
      </c>
      <c r="AA76">
        <f t="shared" ca="1" si="15"/>
        <v>131.79841367834015</v>
      </c>
      <c r="AB76">
        <f t="shared" ca="1" si="4"/>
        <v>0</v>
      </c>
      <c r="AC76">
        <f t="shared" ca="1" si="5"/>
        <v>0.48971383402625723</v>
      </c>
      <c r="AD76" s="83">
        <f ca="1"/>
        <v>45620</v>
      </c>
      <c r="AE76" s="55">
        <f t="shared" ca="1" si="20"/>
        <v>45620</v>
      </c>
      <c r="AF76" s="55">
        <f t="shared" ca="1" si="21"/>
        <v>84.780467202980475</v>
      </c>
      <c r="AG76" s="55">
        <f t="shared" ca="1" si="22"/>
        <v>19.069555536312304</v>
      </c>
      <c r="AH76" s="55">
        <f t="shared" ca="1" si="23"/>
        <v>0</v>
      </c>
      <c r="AI76" s="55">
        <f t="shared" ca="1" si="17"/>
        <v>-1.9804147441375335</v>
      </c>
      <c r="AJ76" s="55">
        <f t="shared" ca="1" si="18"/>
        <v>50.462393962053504</v>
      </c>
      <c r="AK76" s="55">
        <f t="shared" ca="1" si="19"/>
        <v>23.329800022931916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57.277349839168714</v>
      </c>
      <c r="U77" s="55">
        <f t="shared" ca="1" si="1"/>
        <v>7.2986926089227318</v>
      </c>
      <c r="V77" s="55">
        <f t="shared" ca="1" si="2"/>
        <v>0</v>
      </c>
      <c r="W77" s="55">
        <f t="shared" ca="1" si="12"/>
        <v>-41.74783646525642</v>
      </c>
      <c r="X77" s="55">
        <f t="shared" ca="1" si="13"/>
        <v>42.061936708892652</v>
      </c>
      <c r="Y77" s="55">
        <f t="shared" ca="1" si="14"/>
        <v>9.9437853135711283</v>
      </c>
      <c r="Z77">
        <f t="shared" ca="1" si="3"/>
        <v>120</v>
      </c>
      <c r="AA77">
        <f t="shared" ca="1" si="15"/>
        <v>134.48841367834015</v>
      </c>
      <c r="AB77">
        <f t="shared" ca="1" si="4"/>
        <v>0</v>
      </c>
      <c r="AC77">
        <f t="shared" ca="1" si="5"/>
        <v>0.51912556291730094</v>
      </c>
      <c r="AD77" s="83">
        <f ca="1"/>
        <v>45621</v>
      </c>
      <c r="AE77" s="55">
        <f t="shared" ca="1" si="20"/>
        <v>45621</v>
      </c>
      <c r="AF77" s="55">
        <f t="shared" ca="1" si="21"/>
        <v>84.969413492406233</v>
      </c>
      <c r="AG77" s="55">
        <f t="shared" ca="1" si="22"/>
        <v>20.134548034927835</v>
      </c>
      <c r="AH77" s="55">
        <f t="shared" ca="1" si="23"/>
        <v>0</v>
      </c>
      <c r="AI77" s="55">
        <f t="shared" ca="1" si="17"/>
        <v>-1.9804147441375335</v>
      </c>
      <c r="AJ77" s="55">
        <f t="shared" ca="1" si="18"/>
        <v>51.399437633675234</v>
      </c>
      <c r="AK77" s="55">
        <f t="shared" ca="1" si="19"/>
        <v>23.646695139351461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56.634451917358369</v>
      </c>
      <c r="U78" s="55">
        <f t="shared" ca="1" si="1"/>
        <v>7.5907173385344784</v>
      </c>
      <c r="V78" s="55">
        <f t="shared" ca="1" si="2"/>
        <v>0</v>
      </c>
      <c r="W78" s="55">
        <f t="shared" ca="1" si="12"/>
        <v>-42.773987070866298</v>
      </c>
      <c r="X78" s="55">
        <f t="shared" ca="1" si="13"/>
        <v>42.616840796810223</v>
      </c>
      <c r="Y78" s="55">
        <f t="shared" ca="1" si="14"/>
        <v>10.064158639064839</v>
      </c>
      <c r="Z78">
        <f t="shared" ca="1" si="3"/>
        <v>120</v>
      </c>
      <c r="AA78">
        <f t="shared" ca="1" si="15"/>
        <v>137.77841367834014</v>
      </c>
      <c r="AB78">
        <f t="shared" ca="1" si="4"/>
        <v>0</v>
      </c>
      <c r="AC78">
        <f t="shared" ca="1" si="5"/>
        <v>0.54714074716020367</v>
      </c>
      <c r="AD78" s="83">
        <f ca="1"/>
        <v>45622</v>
      </c>
      <c r="AE78" s="55">
        <f t="shared" ca="1" si="20"/>
        <v>45622</v>
      </c>
      <c r="AF78" s="55">
        <f t="shared" ca="1" si="21"/>
        <v>85.060615575160952</v>
      </c>
      <c r="AG78" s="55">
        <f t="shared" ca="1" si="22"/>
        <v>21.290491945864296</v>
      </c>
      <c r="AH78" s="55">
        <f t="shared" ca="1" si="23"/>
        <v>0</v>
      </c>
      <c r="AI78" s="55">
        <f t="shared" ca="1" si="17"/>
        <v>-1.9804147441375335</v>
      </c>
      <c r="AJ78" s="55">
        <f t="shared" ca="1" si="18"/>
        <v>52.333275479910881</v>
      </c>
      <c r="AK78" s="55">
        <f t="shared" ca="1" si="19"/>
        <v>23.960003286806991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56.629401963866435</v>
      </c>
      <c r="U79" s="55">
        <f t="shared" ca="1" si="1"/>
        <v>7.8969154489643758</v>
      </c>
      <c r="V79" s="55">
        <f t="shared" ca="1" si="2"/>
        <v>0</v>
      </c>
      <c r="W79" s="55">
        <f t="shared" ca="1" si="12"/>
        <v>-43.151352274097974</v>
      </c>
      <c r="X79" s="55">
        <f t="shared" ca="1" si="13"/>
        <v>43.176423888035465</v>
      </c>
      <c r="Y79" s="55">
        <f t="shared" ca="1" si="14"/>
        <v>10.183088908009232</v>
      </c>
      <c r="Z79">
        <f t="shared" ca="1" si="3"/>
        <v>120</v>
      </c>
      <c r="AA79">
        <f t="shared" ca="1" si="15"/>
        <v>138.98841367834012</v>
      </c>
      <c r="AB79">
        <f t="shared" ca="1" si="4"/>
        <v>0</v>
      </c>
      <c r="AC79">
        <f t="shared" ca="1" si="5"/>
        <v>0.57513017510721143</v>
      </c>
      <c r="AD79" s="83">
        <f ca="1"/>
        <v>45623</v>
      </c>
      <c r="AE79" s="55">
        <f t="shared" ca="1" si="20"/>
        <v>45623</v>
      </c>
      <c r="AF79" s="55">
        <f t="shared" ca="1" si="21"/>
        <v>85.163821138362451</v>
      </c>
      <c r="AG79" s="55">
        <f t="shared" ca="1" si="22"/>
        <v>22.485713700710757</v>
      </c>
      <c r="AH79" s="55">
        <f t="shared" ca="1" si="23"/>
        <v>0</v>
      </c>
      <c r="AI79" s="55">
        <f t="shared" ca="1" si="17"/>
        <v>-1.9804147441375335</v>
      </c>
      <c r="AJ79" s="55">
        <f t="shared" ca="1" si="18"/>
        <v>53.333458574031489</v>
      </c>
      <c r="AK79" s="55">
        <f t="shared" ca="1" si="19"/>
        <v>24.258247510734346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55.868403299309108</v>
      </c>
      <c r="U80" s="55">
        <f t="shared" ca="1" si="1"/>
        <v>8.2066182523216789</v>
      </c>
      <c r="V80" s="55">
        <f t="shared" ca="1" si="2"/>
        <v>0</v>
      </c>
      <c r="W80" s="55">
        <f t="shared" ca="1" si="12"/>
        <v>-44.265157717265069</v>
      </c>
      <c r="X80" s="55">
        <f t="shared" ca="1" si="13"/>
        <v>43.723778875983932</v>
      </c>
      <c r="Y80" s="55">
        <f t="shared" ca="1" si="14"/>
        <v>10.298243502027836</v>
      </c>
      <c r="Z80">
        <f t="shared" ca="1" si="3"/>
        <v>120</v>
      </c>
      <c r="AA80">
        <f t="shared" ca="1" si="15"/>
        <v>142.60841367834013</v>
      </c>
      <c r="AB80">
        <f t="shared" ca="1" si="4"/>
        <v>0</v>
      </c>
      <c r="AC80">
        <f t="shared" ca="1" si="5"/>
        <v>0.60195198580097942</v>
      </c>
      <c r="AD80" s="83">
        <f ca="1"/>
        <v>45624</v>
      </c>
      <c r="AE80" s="55">
        <f t="shared" ca="1" si="20"/>
        <v>45624</v>
      </c>
      <c r="AF80" s="55">
        <f t="shared" ca="1" si="21"/>
        <v>85.15714836521424</v>
      </c>
      <c r="AG80" s="55">
        <f t="shared" ca="1" si="22"/>
        <v>23.6229881055324</v>
      </c>
      <c r="AH80" s="55">
        <f t="shared" ca="1" si="23"/>
        <v>0</v>
      </c>
      <c r="AI80" s="55">
        <f t="shared" ca="1" si="17"/>
        <v>-1.9804147441375335</v>
      </c>
      <c r="AJ80" s="55">
        <f t="shared" ca="1" si="18"/>
        <v>54.195715289860154</v>
      </c>
      <c r="AK80" s="55">
        <f t="shared" ca="1" si="19"/>
        <v>24.526592426579118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56.025046259709761</v>
      </c>
      <c r="U81" s="55">
        <f t="shared" ca="1" si="1"/>
        <v>8.541721244482396</v>
      </c>
      <c r="V81" s="55">
        <f t="shared" ca="1" si="2"/>
        <v>0</v>
      </c>
      <c r="W81" s="55">
        <f t="shared" ca="1" si="12"/>
        <v>-44.456454831740253</v>
      </c>
      <c r="X81" s="55">
        <f t="shared" ca="1" si="13"/>
        <v>44.291019758514196</v>
      </c>
      <c r="Y81" s="55">
        <f t="shared" ca="1" si="14"/>
        <v>10.41404568653412</v>
      </c>
      <c r="Z81">
        <f t="shared" ca="1" si="3"/>
        <v>120</v>
      </c>
      <c r="AA81">
        <f t="shared" ca="1" si="15"/>
        <v>143.22841367834013</v>
      </c>
      <c r="AB81">
        <f t="shared" ca="1" si="4"/>
        <v>0</v>
      </c>
      <c r="AC81">
        <f t="shared" ca="1" si="5"/>
        <v>0.62927027520819967</v>
      </c>
      <c r="AD81" s="83">
        <f ca="1"/>
        <v>45625</v>
      </c>
      <c r="AE81" s="55">
        <f t="shared" ca="1" si="20"/>
        <v>45625</v>
      </c>
      <c r="AF81" s="55">
        <f t="shared" ca="1" si="21"/>
        <v>85.083408272158891</v>
      </c>
      <c r="AG81" s="55">
        <f t="shared" ca="1" si="22"/>
        <v>24.946899375708735</v>
      </c>
      <c r="AH81" s="55">
        <f t="shared" ca="1" si="23"/>
        <v>0</v>
      </c>
      <c r="AI81" s="55">
        <f t="shared" ca="1" si="17"/>
        <v>-1.9804147441375335</v>
      </c>
      <c r="AJ81" s="55">
        <f t="shared" ca="1" si="18"/>
        <v>55.166117401025694</v>
      </c>
      <c r="AK81" s="55">
        <f t="shared" ca="1" si="19"/>
        <v>24.806361492534567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55.077235667229807</v>
      </c>
      <c r="U82" s="55">
        <f t="shared" ref="U82:U145" ca="1" si="28">VLOOKUP(S82,ModelOutputs,7,FALSE)</f>
        <v>8.8779341665950486</v>
      </c>
      <c r="V82" s="55">
        <f t="shared" ref="V82:V145" ca="1" si="29">VLOOKUP(S82,ModelOutputs,6,FALSE)</f>
        <v>0</v>
      </c>
      <c r="W82" s="55">
        <f t="shared" ca="1" si="12"/>
        <v>-45.730415239347479</v>
      </c>
      <c r="X82" s="55">
        <f t="shared" ca="1" si="13"/>
        <v>44.841850604539097</v>
      </c>
      <c r="Y82" s="55">
        <f t="shared" ca="1" si="14"/>
        <v>10.525577577749143</v>
      </c>
      <c r="Z82">
        <f t="shared" ref="Z82:Z145" ca="1" si="30">VLOOKUP(S82,ModelOutputs,10,FALSE)*AWC</f>
        <v>120</v>
      </c>
      <c r="AA82">
        <f t="shared" ca="1" si="15"/>
        <v>147.42841367834012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0.65491323034539928</v>
      </c>
      <c r="AD82" s="83">
        <f ca="1"/>
        <v>45626</v>
      </c>
      <c r="AE82" s="55">
        <f t="shared" ca="1" si="20"/>
        <v>45626</v>
      </c>
      <c r="AF82" s="55">
        <f t="shared" ca="1" si="21"/>
        <v>85.003946337073401</v>
      </c>
      <c r="AG82" s="55">
        <f t="shared" ca="1" si="22"/>
        <v>26.310440389999297</v>
      </c>
      <c r="AH82" s="55">
        <f t="shared" ca="1" si="23"/>
        <v>0</v>
      </c>
      <c r="AI82" s="55">
        <f t="shared" ca="1" si="17"/>
        <v>-1.9804147441375335</v>
      </c>
      <c r="AJ82" s="55">
        <f t="shared" ca="1" si="18"/>
        <v>56.184356007204308</v>
      </c>
      <c r="AK82" s="55">
        <f t="shared" ca="1" si="19"/>
        <v>25.072201965561032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54.376053902197334</v>
      </c>
      <c r="U83" s="55">
        <f t="shared" ca="1" si="28"/>
        <v>9.2192020846337108</v>
      </c>
      <c r="V83" s="55">
        <f t="shared" ca="1" si="29"/>
        <v>0</v>
      </c>
      <c r="W83" s="55">
        <f t="shared" ref="W83:W146" ca="1" si="34">-VLOOKUP(S83,ModelOutputs,9,FALSE)+W82</f>
        <v>-46.739603277422177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10.633832110073381</v>
      </c>
      <c r="Z83">
        <f t="shared" ca="1" si="30"/>
        <v>120</v>
      </c>
      <c r="AA83">
        <f t="shared" ref="AA83:AA146" ca="1" si="37">VLOOKUP(S83,ModelOutputs,11,FALSE)+AA82</f>
        <v>150.79841367834013</v>
      </c>
      <c r="AB83">
        <f t="shared" ca="1" si="31"/>
        <v>0</v>
      </c>
      <c r="AC83">
        <f t="shared" ca="1" si="32"/>
        <v>0.67917448064711861</v>
      </c>
      <c r="AD83" s="83">
        <f ca="1"/>
        <v>45627</v>
      </c>
      <c r="AE83" s="55">
        <f t="shared" ca="1" si="20"/>
        <v>45627</v>
      </c>
      <c r="AF83" s="55">
        <f t="shared" ca="1" si="21"/>
        <v>84.785587539621901</v>
      </c>
      <c r="AG83" s="55">
        <f t="shared" ca="1" si="22"/>
        <v>27.778243143535107</v>
      </c>
      <c r="AH83" s="55">
        <f t="shared" ca="1" si="23"/>
        <v>0</v>
      </c>
      <c r="AI83" s="55">
        <f t="shared" ref="AI83:AI146" ca="1" si="38">-VLOOKUP(AE83,ModelOutputs,9,FALSE)+AI82</f>
        <v>-1.9804147441375335</v>
      </c>
      <c r="AJ83" s="55">
        <f t="shared" ref="AJ83:AJ146" ca="1" si="39">VLOOKUP(AE83,ModelOutputs,5,FALSE)+AJ82</f>
        <v>57.172540717313836</v>
      </c>
      <c r="AK83" s="55">
        <f t="shared" ref="AK83:AK146" ca="1" si="40">VLOOKUP(AE83,ModelOutputs,4,FALSE)+AK82</f>
        <v>25.333461211535816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54.363373986540289</v>
      </c>
      <c r="U84" s="55">
        <f t="shared" ca="1" si="28"/>
        <v>9.6156600836331751</v>
      </c>
      <c r="V84" s="55">
        <f t="shared" ca="1" si="29"/>
        <v>0</v>
      </c>
      <c r="W84" s="55">
        <f t="shared" ca="1" si="34"/>
        <v>-47.065941096338477</v>
      </c>
      <c r="X84" s="55">
        <f t="shared" ca="1" si="35"/>
        <v>45.979583551598232</v>
      </c>
      <c r="Y84" s="55">
        <f t="shared" ca="1" si="36"/>
        <v>10.747234724029616</v>
      </c>
      <c r="Z84">
        <f t="shared" ca="1" si="30"/>
        <v>120</v>
      </c>
      <c r="AA84">
        <f t="shared" ca="1" si="37"/>
        <v>151.8884136783401</v>
      </c>
      <c r="AB84">
        <f t="shared" ca="1" si="31"/>
        <v>0</v>
      </c>
      <c r="AC84">
        <f t="shared" ca="1" si="32"/>
        <v>0.70520820945610196</v>
      </c>
      <c r="AD84" s="83">
        <f ca="1"/>
        <v>45628</v>
      </c>
      <c r="AE84" s="55">
        <f t="shared" ca="1" si="20"/>
        <v>45628</v>
      </c>
      <c r="AF84" s="55">
        <f t="shared" ca="1" si="21"/>
        <v>84.467538694753955</v>
      </c>
      <c r="AG84" s="55">
        <f t="shared" ca="1" si="22"/>
        <v>29.308935955265248</v>
      </c>
      <c r="AH84" s="55">
        <f t="shared" ca="1" si="23"/>
        <v>0</v>
      </c>
      <c r="AI84" s="55">
        <f t="shared" ca="1" si="38"/>
        <v>-1.9804147441375335</v>
      </c>
      <c r="AJ84" s="55">
        <f t="shared" ca="1" si="39"/>
        <v>58.134692687136365</v>
      </c>
      <c r="AK84" s="55">
        <f t="shared" ca="1" si="40"/>
        <v>25.583953208575483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53.114334956088634</v>
      </c>
      <c r="U85" s="55">
        <f t="shared" ca="1" si="28"/>
        <v>10.028155997360287</v>
      </c>
      <c r="V85" s="55">
        <f t="shared" ca="1" si="29"/>
        <v>0</v>
      </c>
      <c r="W85" s="55">
        <f t="shared" ca="1" si="34"/>
        <v>-48.610413584105089</v>
      </c>
      <c r="X85" s="55">
        <f t="shared" ca="1" si="35"/>
        <v>46.576296839900721</v>
      </c>
      <c r="Y85" s="55">
        <f t="shared" ca="1" si="36"/>
        <v>10.858450806769195</v>
      </c>
      <c r="Z85">
        <f t="shared" ca="1" si="30"/>
        <v>120</v>
      </c>
      <c r="AA85">
        <f t="shared" ca="1" si="37"/>
        <v>157.1684136783401</v>
      </c>
      <c r="AB85">
        <f t="shared" ca="1" si="31"/>
        <v>0</v>
      </c>
      <c r="AC85">
        <f t="shared" ca="1" si="32"/>
        <v>0.72996931909213636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84.020225584585219</v>
      </c>
      <c r="AG85" s="55">
        <f t="shared" ref="AG85:AG148" ca="1" si="43">VLOOKUP(AE85,ModelOutputs,7,FALSE)</f>
        <v>30.996258118876703</v>
      </c>
      <c r="AH85" s="55">
        <f t="shared" ref="AH85:AH148" ca="1" si="44">VLOOKUP(AE85,ModelOutputs,6,FALSE)</f>
        <v>0</v>
      </c>
      <c r="AI85" s="55">
        <f t="shared" ca="1" si="38"/>
        <v>-1.9804147441375335</v>
      </c>
      <c r="AJ85" s="55">
        <f t="shared" ca="1" si="39"/>
        <v>59.124181765044362</v>
      </c>
      <c r="AK85" s="55">
        <f t="shared" ca="1" si="40"/>
        <v>25.834473184110205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52.350991261619853</v>
      </c>
      <c r="U86" s="55">
        <f t="shared" ca="1" si="28"/>
        <v>10.493362364861699</v>
      </c>
      <c r="V86" s="55">
        <f t="shared" ca="1" si="29"/>
        <v>0</v>
      </c>
      <c r="W86" s="55">
        <f t="shared" ca="1" si="34"/>
        <v>-49.665627477534954</v>
      </c>
      <c r="X86" s="55">
        <f t="shared" ca="1" si="35"/>
        <v>47.218717545028682</v>
      </c>
      <c r="Y86" s="55">
        <f t="shared" ca="1" si="36"/>
        <v>10.973106668103725</v>
      </c>
      <c r="Z86">
        <f t="shared" ca="1" si="30"/>
        <v>120</v>
      </c>
      <c r="AA86">
        <f t="shared" ca="1" si="37"/>
        <v>160.8284136783401</v>
      </c>
      <c r="AB86">
        <f t="shared" ca="1" si="31"/>
        <v>0</v>
      </c>
      <c r="AC86">
        <f t="shared" ca="1" si="32"/>
        <v>0.75524454171206945</v>
      </c>
      <c r="AD86" s="83">
        <f ca="1"/>
        <v>45630</v>
      </c>
      <c r="AE86" s="55">
        <f t="shared" ca="1" si="41"/>
        <v>45630</v>
      </c>
      <c r="AF86" s="55">
        <f t="shared" ca="1" si="42"/>
        <v>83.443476589842078</v>
      </c>
      <c r="AG86" s="55">
        <f t="shared" ca="1" si="43"/>
        <v>32.74883039766766</v>
      </c>
      <c r="AH86" s="55">
        <f t="shared" ca="1" si="44"/>
        <v>0</v>
      </c>
      <c r="AI86" s="55">
        <f t="shared" ca="1" si="38"/>
        <v>-1.9804147441375335</v>
      </c>
      <c r="AJ86" s="55">
        <f t="shared" ca="1" si="39"/>
        <v>60.061159786083714</v>
      </c>
      <c r="AK86" s="55">
        <f t="shared" ca="1" si="40"/>
        <v>26.073318447118677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52.583470277031125</v>
      </c>
      <c r="U87" s="55">
        <f t="shared" ca="1" si="28"/>
        <v>10.940552890570995</v>
      </c>
      <c r="V87" s="55">
        <f t="shared" ca="1" si="29"/>
        <v>0</v>
      </c>
      <c r="W87" s="55">
        <f t="shared" ca="1" si="34"/>
        <v>-49.688794687628025</v>
      </c>
      <c r="X87" s="55">
        <f t="shared" ca="1" si="35"/>
        <v>47.814819703077632</v>
      </c>
      <c r="Y87" s="55">
        <f t="shared" ca="1" si="36"/>
        <v>11.079841261268413</v>
      </c>
      <c r="Z87">
        <f t="shared" ca="1" si="30"/>
        <v>120</v>
      </c>
      <c r="AA87">
        <f t="shared" ca="1" si="37"/>
        <v>160.90841367834008</v>
      </c>
      <c r="AB87">
        <f t="shared" ca="1" si="31"/>
        <v>0</v>
      </c>
      <c r="AC87">
        <f t="shared" ca="1" si="32"/>
        <v>0.77710716695513926</v>
      </c>
      <c r="AD87" s="83">
        <f ca="1"/>
        <v>45631</v>
      </c>
      <c r="AE87" s="55">
        <f t="shared" ca="1" si="41"/>
        <v>45631</v>
      </c>
      <c r="AF87" s="55">
        <f t="shared" ca="1" si="42"/>
        <v>82.763135353078439</v>
      </c>
      <c r="AG87" s="55">
        <f t="shared" ca="1" si="43"/>
        <v>34.593149446842737</v>
      </c>
      <c r="AH87" s="55">
        <f t="shared" ca="1" si="44"/>
        <v>0</v>
      </c>
      <c r="AI87" s="55">
        <f t="shared" ca="1" si="38"/>
        <v>-1.9804147441375335</v>
      </c>
      <c r="AJ87" s="55">
        <f t="shared" ca="1" si="39"/>
        <v>60.994888060525739</v>
      </c>
      <c r="AK87" s="55">
        <f t="shared" ca="1" si="40"/>
        <v>26.303567985088076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52.766136592457045</v>
      </c>
      <c r="U88" s="55">
        <f t="shared" ca="1" si="28"/>
        <v>11.413006907988661</v>
      </c>
      <c r="V88" s="55">
        <f t="shared" ca="1" si="29"/>
        <v>0</v>
      </c>
      <c r="W88" s="55">
        <f t="shared" ca="1" si="34"/>
        <v>-49.744007949395787</v>
      </c>
      <c r="X88" s="55">
        <f t="shared" ca="1" si="35"/>
        <v>48.41951443356087</v>
      </c>
      <c r="Y88" s="55">
        <f t="shared" ca="1" si="36"/>
        <v>11.185480125396523</v>
      </c>
      <c r="Z88">
        <f t="shared" ca="1" si="30"/>
        <v>120</v>
      </c>
      <c r="AA88">
        <f t="shared" ca="1" si="37"/>
        <v>161.09841367834008</v>
      </c>
      <c r="AB88">
        <f t="shared" ca="1" si="31"/>
        <v>0</v>
      </c>
      <c r="AC88">
        <f t="shared" ca="1" si="32"/>
        <v>0.79785215143830657</v>
      </c>
      <c r="AD88" s="83">
        <f ca="1"/>
        <v>45632</v>
      </c>
      <c r="AE88" s="55">
        <f t="shared" ca="1" si="41"/>
        <v>45632</v>
      </c>
      <c r="AF88" s="55">
        <f t="shared" ca="1" si="42"/>
        <v>82.024458762427173</v>
      </c>
      <c r="AG88" s="55">
        <f t="shared" ca="1" si="43"/>
        <v>36.432567937166361</v>
      </c>
      <c r="AH88" s="55">
        <f t="shared" ca="1" si="44"/>
        <v>0</v>
      </c>
      <c r="AI88" s="55">
        <f t="shared" ca="1" si="38"/>
        <v>-1.9804147441375335</v>
      </c>
      <c r="AJ88" s="55">
        <f t="shared" ca="1" si="39"/>
        <v>61.882301600257222</v>
      </c>
      <c r="AK88" s="55">
        <f t="shared" ca="1" si="40"/>
        <v>26.51689634502895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52.470009353291402</v>
      </c>
      <c r="U89" s="55">
        <f t="shared" ca="1" si="28"/>
        <v>11.932870302976578</v>
      </c>
      <c r="V89" s="55">
        <f t="shared" ca="1" si="29"/>
        <v>0</v>
      </c>
      <c r="W89" s="55">
        <f t="shared" ca="1" si="34"/>
        <v>-50.264145433419721</v>
      </c>
      <c r="X89" s="55">
        <f t="shared" ca="1" si="35"/>
        <v>49.056182757820132</v>
      </c>
      <c r="Y89" s="55">
        <f t="shared" ca="1" si="36"/>
        <v>11.292685440983471</v>
      </c>
      <c r="Z89">
        <f t="shared" ca="1" si="30"/>
        <v>120</v>
      </c>
      <c r="AA89">
        <f t="shared" ca="1" si="37"/>
        <v>162.89841367834009</v>
      </c>
      <c r="AB89">
        <f t="shared" ca="1" si="31"/>
        <v>0</v>
      </c>
      <c r="AC89">
        <f t="shared" ca="1" si="32"/>
        <v>0.81816990221866004</v>
      </c>
      <c r="AD89" s="83">
        <f ca="1"/>
        <v>45633</v>
      </c>
      <c r="AE89" s="55">
        <f t="shared" ca="1" si="41"/>
        <v>45633</v>
      </c>
      <c r="AF89" s="55">
        <f t="shared" ca="1" si="42"/>
        <v>81.303492260313874</v>
      </c>
      <c r="AG89" s="55">
        <f t="shared" ca="1" si="43"/>
        <v>38.247609687137071</v>
      </c>
      <c r="AH89" s="55">
        <f t="shared" ca="1" si="44"/>
        <v>0</v>
      </c>
      <c r="AI89" s="55">
        <f t="shared" ca="1" si="38"/>
        <v>-1.9804147441375335</v>
      </c>
      <c r="AJ89" s="55">
        <f t="shared" ca="1" si="39"/>
        <v>62.779148390109569</v>
      </c>
      <c r="AK89" s="55">
        <f t="shared" ca="1" si="40"/>
        <v>26.714124803034021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51.944814727801578</v>
      </c>
      <c r="U90" s="55">
        <f t="shared" ca="1" si="28"/>
        <v>12.493865965760184</v>
      </c>
      <c r="V90" s="55">
        <f t="shared" ca="1" si="29"/>
        <v>0</v>
      </c>
      <c r="W90" s="55">
        <f t="shared" ca="1" si="34"/>
        <v>-50.993631309814496</v>
      </c>
      <c r="X90" s="55">
        <f t="shared" ca="1" si="35"/>
        <v>49.714105266176077</v>
      </c>
      <c r="Y90" s="55">
        <f t="shared" ca="1" si="36"/>
        <v>11.400049846316085</v>
      </c>
      <c r="Z90">
        <f t="shared" ca="1" si="30"/>
        <v>120</v>
      </c>
      <c r="AA90">
        <f t="shared" ca="1" si="37"/>
        <v>165.4484136783401</v>
      </c>
      <c r="AB90">
        <f t="shared" ca="1" si="31"/>
        <v>0</v>
      </c>
      <c r="AC90">
        <f t="shared" ca="1" si="32"/>
        <v>0.83748372975819019</v>
      </c>
      <c r="AD90" s="83">
        <f ca="1"/>
        <v>45634</v>
      </c>
      <c r="AE90" s="55">
        <f t="shared" ca="1" si="41"/>
        <v>45634</v>
      </c>
      <c r="AF90" s="55">
        <f t="shared" ca="1" si="42"/>
        <v>80.396004565905486</v>
      </c>
      <c r="AG90" s="55">
        <f t="shared" ca="1" si="43"/>
        <v>40.26629469922652</v>
      </c>
      <c r="AH90" s="55">
        <f t="shared" ca="1" si="44"/>
        <v>0</v>
      </c>
      <c r="AI90" s="55">
        <f t="shared" ca="1" si="38"/>
        <v>-1.9804147441375335</v>
      </c>
      <c r="AJ90" s="55">
        <f t="shared" ca="1" si="39"/>
        <v>63.69125761695998</v>
      </c>
      <c r="AK90" s="55">
        <f t="shared" ca="1" si="40"/>
        <v>26.913212893864664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51.111532432640672</v>
      </c>
      <c r="U91" s="55">
        <f t="shared" ca="1" si="28"/>
        <v>13.091328674370347</v>
      </c>
      <c r="V91" s="55">
        <f t="shared" ca="1" si="29"/>
        <v>0</v>
      </c>
      <c r="W91" s="55">
        <f t="shared" ca="1" si="34"/>
        <v>-52.006972996305116</v>
      </c>
      <c r="X91" s="55">
        <f t="shared" ca="1" si="35"/>
        <v>50.385126631687271</v>
      </c>
      <c r="Y91" s="55">
        <f t="shared" ca="1" si="36"/>
        <v>11.506550580744772</v>
      </c>
      <c r="Z91">
        <f t="shared" ca="1" si="30"/>
        <v>120</v>
      </c>
      <c r="AA91">
        <f t="shared" ca="1" si="37"/>
        <v>169.04841367834013</v>
      </c>
      <c r="AB91">
        <f t="shared" ca="1" si="31"/>
        <v>0</v>
      </c>
      <c r="AC91">
        <f t="shared" ca="1" si="32"/>
        <v>0.8554509143064164</v>
      </c>
      <c r="AD91" s="83">
        <f ca="1"/>
        <v>45635</v>
      </c>
      <c r="AE91" s="55">
        <f t="shared" ca="1" si="41"/>
        <v>45635</v>
      </c>
      <c r="AF91" s="55">
        <f t="shared" ca="1" si="42"/>
        <v>79.362838818570978</v>
      </c>
      <c r="AG91" s="55">
        <f t="shared" ca="1" si="43"/>
        <v>42.540184390144205</v>
      </c>
      <c r="AH91" s="55">
        <f t="shared" ca="1" si="44"/>
        <v>0</v>
      </c>
      <c r="AI91" s="55">
        <f t="shared" ca="1" si="38"/>
        <v>-1.9804147441375335</v>
      </c>
      <c r="AJ91" s="55">
        <f t="shared" ca="1" si="39"/>
        <v>64.729181432257207</v>
      </c>
      <c r="AK91" s="55">
        <f t="shared" ca="1" si="40"/>
        <v>27.116013022150607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50.048098096175238</v>
      </c>
      <c r="U92" s="55">
        <f t="shared" ca="1" si="28"/>
        <v>13.676937085591945</v>
      </c>
      <c r="V92" s="55">
        <f t="shared" ca="1" si="29"/>
        <v>0</v>
      </c>
      <c r="W92" s="55">
        <f t="shared" ca="1" si="34"/>
        <v>-53.216976434624527</v>
      </c>
      <c r="X92" s="55">
        <f t="shared" ca="1" si="35"/>
        <v>51.017343754011456</v>
      </c>
      <c r="Y92" s="55">
        <f t="shared" ca="1" si="36"/>
        <v>11.606510971496164</v>
      </c>
      <c r="Z92">
        <f t="shared" ca="1" si="30"/>
        <v>120</v>
      </c>
      <c r="AA92">
        <f t="shared" ca="1" si="37"/>
        <v>173.43841367834011</v>
      </c>
      <c r="AB92">
        <f t="shared" ca="1" si="31"/>
        <v>0</v>
      </c>
      <c r="AC92">
        <f t="shared" ca="1" si="32"/>
        <v>0.87080746739530179</v>
      </c>
      <c r="AD92" s="83">
        <f ca="1"/>
        <v>45636</v>
      </c>
      <c r="AE92" s="55">
        <f t="shared" ca="1" si="41"/>
        <v>45636</v>
      </c>
      <c r="AF92" s="55">
        <f t="shared" ca="1" si="42"/>
        <v>78.096919796167128</v>
      </c>
      <c r="AG92" s="55">
        <f t="shared" ca="1" si="43"/>
        <v>45.096188335953102</v>
      </c>
      <c r="AH92" s="55">
        <f t="shared" ca="1" si="44"/>
        <v>0</v>
      </c>
      <c r="AI92" s="55">
        <f t="shared" ca="1" si="38"/>
        <v>-1.9804147441375335</v>
      </c>
      <c r="AJ92" s="55">
        <f t="shared" ca="1" si="39"/>
        <v>65.813164993204836</v>
      </c>
      <c r="AK92" s="55">
        <f t="shared" ca="1" si="40"/>
        <v>27.322114384608025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49.866399553662696</v>
      </c>
      <c r="U93" s="55">
        <f t="shared" ca="1" si="28"/>
        <v>14.284498079587928</v>
      </c>
      <c r="V93" s="55">
        <f t="shared" ca="1" si="29"/>
        <v>0</v>
      </c>
      <c r="W93" s="55">
        <f t="shared" ca="1" si="34"/>
        <v>-53.519065637717731</v>
      </c>
      <c r="X93" s="55">
        <f t="shared" ca="1" si="35"/>
        <v>51.647659337839499</v>
      </c>
      <c r="Y93" s="55">
        <f t="shared" ca="1" si="36"/>
        <v>11.70414704224476</v>
      </c>
      <c r="Z93">
        <f t="shared" ca="1" si="30"/>
        <v>120</v>
      </c>
      <c r="AA93">
        <f t="shared" ca="1" si="37"/>
        <v>174.53841367834013</v>
      </c>
      <c r="AB93">
        <f t="shared" ca="1" si="31"/>
        <v>0</v>
      </c>
      <c r="AC93">
        <f t="shared" ca="1" si="32"/>
        <v>0.88471015526258279</v>
      </c>
      <c r="AD93" s="83">
        <f ca="1"/>
        <v>45637</v>
      </c>
      <c r="AE93" s="55">
        <f t="shared" ca="1" si="41"/>
        <v>45637</v>
      </c>
      <c r="AF93" s="55">
        <f t="shared" ca="1" si="42"/>
        <v>76.733488619437082</v>
      </c>
      <c r="AG93" s="55">
        <f t="shared" ca="1" si="43"/>
        <v>47.669363299434494</v>
      </c>
      <c r="AH93" s="55">
        <f t="shared" ca="1" si="44"/>
        <v>0</v>
      </c>
      <c r="AI93" s="55">
        <f t="shared" ca="1" si="38"/>
        <v>-1.9804147441375335</v>
      </c>
      <c r="AJ93" s="55">
        <f t="shared" ca="1" si="39"/>
        <v>66.83213352988183</v>
      </c>
      <c r="AK93" s="55">
        <f t="shared" ca="1" si="40"/>
        <v>27.512889634682384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49.960020697998729</v>
      </c>
      <c r="U94" s="55">
        <f t="shared" ca="1" si="28"/>
        <v>14.884402797806279</v>
      </c>
      <c r="V94" s="55">
        <f t="shared" ca="1" si="29"/>
        <v>0</v>
      </c>
      <c r="W94" s="55">
        <f t="shared" ca="1" si="34"/>
        <v>-53.519065637717731</v>
      </c>
      <c r="X94" s="55">
        <f t="shared" ca="1" si="35"/>
        <v>52.248661840881574</v>
      </c>
      <c r="Y94" s="55">
        <f t="shared" ca="1" si="36"/>
        <v>11.796670401757076</v>
      </c>
      <c r="Z94">
        <f t="shared" ca="1" si="30"/>
        <v>119.82608695652175</v>
      </c>
      <c r="AA94">
        <f t="shared" ca="1" si="37"/>
        <v>174.53841367834013</v>
      </c>
      <c r="AB94">
        <f t="shared" ca="1" si="31"/>
        <v>0</v>
      </c>
      <c r="AC94">
        <f t="shared" ca="1" si="32"/>
        <v>0.89669404362083327</v>
      </c>
      <c r="AD94" s="83">
        <f ca="1"/>
        <v>45638</v>
      </c>
      <c r="AE94" s="55">
        <f t="shared" ca="1" si="41"/>
        <v>45638</v>
      </c>
      <c r="AF94" s="55">
        <f t="shared" ca="1" si="42"/>
        <v>75.207846181816052</v>
      </c>
      <c r="AG94" s="55">
        <f t="shared" ca="1" si="43"/>
        <v>50.341566647708881</v>
      </c>
      <c r="AH94" s="55">
        <f t="shared" ca="1" si="44"/>
        <v>0</v>
      </c>
      <c r="AI94" s="55">
        <f t="shared" ca="1" si="38"/>
        <v>-1.9804147441375335</v>
      </c>
      <c r="AJ94" s="55">
        <f t="shared" ca="1" si="39"/>
        <v>67.796872699571551</v>
      </c>
      <c r="AK94" s="55">
        <f t="shared" ca="1" si="40"/>
        <v>27.694711375646019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50.029547935727123</v>
      </c>
      <c r="U95" s="55">
        <f t="shared" ca="1" si="28"/>
        <v>15.495047927343164</v>
      </c>
      <c r="V95" s="55">
        <f t="shared" ca="1" si="29"/>
        <v>0</v>
      </c>
      <c r="W95" s="55">
        <f t="shared" ca="1" si="34"/>
        <v>-53.519065637717731</v>
      </c>
      <c r="X95" s="55">
        <f t="shared" ca="1" si="35"/>
        <v>52.83928197203754</v>
      </c>
      <c r="Y95" s="55">
        <f t="shared" ca="1" si="36"/>
        <v>11.886222637866389</v>
      </c>
      <c r="Z95">
        <f t="shared" ca="1" si="30"/>
        <v>118.31335167638795</v>
      </c>
      <c r="AA95">
        <f t="shared" ca="1" si="37"/>
        <v>174.53841367834013</v>
      </c>
      <c r="AB95">
        <f t="shared" ca="1" si="31"/>
        <v>0</v>
      </c>
      <c r="AC95">
        <f t="shared" ca="1" si="32"/>
        <v>0.90736544930691265</v>
      </c>
      <c r="AD95" s="83">
        <f ca="1"/>
        <v>45639</v>
      </c>
      <c r="AE95" s="55">
        <f t="shared" ca="1" si="41"/>
        <v>45639</v>
      </c>
      <c r="AF95" s="55">
        <f t="shared" ca="1" si="42"/>
        <v>73.615646443204639</v>
      </c>
      <c r="AG95" s="55">
        <f t="shared" ca="1" si="43"/>
        <v>52.975514636679904</v>
      </c>
      <c r="AH95" s="55">
        <f t="shared" ca="1" si="44"/>
        <v>0</v>
      </c>
      <c r="AI95" s="55">
        <f t="shared" ca="1" si="38"/>
        <v>-1.9804147441375335</v>
      </c>
      <c r="AJ95" s="55">
        <f t="shared" ca="1" si="39"/>
        <v>68.671883286753214</v>
      </c>
      <c r="AK95" s="55">
        <f t="shared" ca="1" si="40"/>
        <v>27.86144903882396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50.07141693253439</v>
      </c>
      <c r="U96" s="55">
        <f t="shared" ca="1" si="28"/>
        <v>16.170273207229567</v>
      </c>
      <c r="V96" s="55">
        <f t="shared" ca="1" si="29"/>
        <v>0</v>
      </c>
      <c r="W96" s="55">
        <f t="shared" ca="1" si="34"/>
        <v>-53.519065637717731</v>
      </c>
      <c r="X96" s="55">
        <f t="shared" ca="1" si="35"/>
        <v>53.465174896819029</v>
      </c>
      <c r="Y96" s="55">
        <f t="shared" ca="1" si="36"/>
        <v>11.977423989778568</v>
      </c>
      <c r="Z96">
        <f t="shared" ca="1" si="30"/>
        <v>119.88082407218289</v>
      </c>
      <c r="AA96">
        <f t="shared" ca="1" si="37"/>
        <v>174.53841367834013</v>
      </c>
      <c r="AB96">
        <f t="shared" ca="1" si="31"/>
        <v>0</v>
      </c>
      <c r="AC96">
        <f t="shared" ca="1" si="32"/>
        <v>0.91763286877738326</v>
      </c>
      <c r="AD96" s="83">
        <f ca="1"/>
        <v>45640</v>
      </c>
      <c r="AE96" s="55">
        <f t="shared" ca="1" si="41"/>
        <v>45640</v>
      </c>
      <c r="AF96" s="55">
        <f t="shared" ca="1" si="42"/>
        <v>71.987519112667883</v>
      </c>
      <c r="AG96" s="55">
        <f t="shared" ca="1" si="43"/>
        <v>55.615647234686847</v>
      </c>
      <c r="AH96" s="55">
        <f t="shared" ca="1" si="44"/>
        <v>0</v>
      </c>
      <c r="AI96" s="55">
        <f t="shared" ca="1" si="38"/>
        <v>-1.9804147441375335</v>
      </c>
      <c r="AJ96" s="55">
        <f t="shared" ca="1" si="39"/>
        <v>69.528092351063535</v>
      </c>
      <c r="AK96" s="55">
        <f t="shared" ca="1" si="40"/>
        <v>28.017245241983833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50.087729472372203</v>
      </c>
      <c r="U97" s="55">
        <f t="shared" ca="1" si="28"/>
        <v>16.845834166328608</v>
      </c>
      <c r="V97" s="55">
        <f t="shared" ca="1" si="29"/>
        <v>0</v>
      </c>
      <c r="W97" s="55">
        <f t="shared" ca="1" si="34"/>
        <v>-53.519065637717731</v>
      </c>
      <c r="X97" s="55">
        <f t="shared" ca="1" si="35"/>
        <v>54.069869627302268</v>
      </c>
      <c r="Y97" s="55">
        <f t="shared" ca="1" si="36"/>
        <v>12.06460275823218</v>
      </c>
      <c r="Z97">
        <f t="shared" ca="1" si="30"/>
        <v>119.84620514801945</v>
      </c>
      <c r="AA97">
        <f t="shared" ca="1" si="37"/>
        <v>174.53841367834013</v>
      </c>
      <c r="AB97">
        <f t="shared" ca="1" si="31"/>
        <v>0</v>
      </c>
      <c r="AC97">
        <f t="shared" ca="1" si="32"/>
        <v>0.92653533876008576</v>
      </c>
      <c r="AD97" s="83">
        <f ca="1"/>
        <v>45641</v>
      </c>
      <c r="AE97" s="55">
        <f t="shared" ca="1" si="41"/>
        <v>45641</v>
      </c>
      <c r="AF97" s="55">
        <f t="shared" ca="1" si="42"/>
        <v>70.017423730147101</v>
      </c>
      <c r="AG97" s="55">
        <f t="shared" ca="1" si="43"/>
        <v>58.632738021661069</v>
      </c>
      <c r="AH97" s="55">
        <f t="shared" ca="1" si="44"/>
        <v>0</v>
      </c>
      <c r="AI97" s="55">
        <f t="shared" ca="1" si="38"/>
        <v>-1.9804147441375335</v>
      </c>
      <c r="AJ97" s="55">
        <f t="shared" ca="1" si="39"/>
        <v>70.414149219801999</v>
      </c>
      <c r="AK97" s="55">
        <f t="shared" ca="1" si="40"/>
        <v>28.178183777698802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49.662988971840889</v>
      </c>
      <c r="U98" s="55">
        <f t="shared" ca="1" si="28"/>
        <v>17.550533133634605</v>
      </c>
      <c r="V98" s="55">
        <f t="shared" ca="1" si="29"/>
        <v>0</v>
      </c>
      <c r="W98" s="55">
        <f t="shared" ca="1" si="34"/>
        <v>-53.932516537463499</v>
      </c>
      <c r="X98" s="55">
        <f t="shared" ca="1" si="35"/>
        <v>54.677652338011029</v>
      </c>
      <c r="Y98" s="55">
        <f t="shared" ca="1" si="36"/>
        <v>12.150229414043874</v>
      </c>
      <c r="Z98">
        <f t="shared" ca="1" si="30"/>
        <v>120</v>
      </c>
      <c r="AA98">
        <f t="shared" ca="1" si="37"/>
        <v>176.05008224115923</v>
      </c>
      <c r="AB98">
        <f t="shared" ca="1" si="31"/>
        <v>0</v>
      </c>
      <c r="AC98">
        <f t="shared" ca="1" si="32"/>
        <v>0.93458642690755878</v>
      </c>
      <c r="AD98" s="83">
        <f ca="1"/>
        <v>45642</v>
      </c>
      <c r="AE98" s="55">
        <f t="shared" ca="1" si="41"/>
        <v>45642</v>
      </c>
      <c r="AF98" s="55">
        <f t="shared" ca="1" si="42"/>
        <v>67.913264631700088</v>
      </c>
      <c r="AG98" s="55">
        <f t="shared" ca="1" si="43"/>
        <v>61.785125078720895</v>
      </c>
      <c r="AH98" s="55">
        <f t="shared" ca="1" si="44"/>
        <v>0</v>
      </c>
      <c r="AI98" s="55">
        <f t="shared" ca="1" si="38"/>
        <v>-1.9804147441375335</v>
      </c>
      <c r="AJ98" s="55">
        <f t="shared" ca="1" si="39"/>
        <v>71.307697871114627</v>
      </c>
      <c r="AK98" s="55">
        <f t="shared" ca="1" si="40"/>
        <v>28.332863084998987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49.588732943602764</v>
      </c>
      <c r="U99" s="55">
        <f t="shared" ca="1" si="28"/>
        <v>18.210702538349317</v>
      </c>
      <c r="V99" s="55">
        <f t="shared" ca="1" si="29"/>
        <v>0</v>
      </c>
      <c r="W99" s="55">
        <f t="shared" ca="1" si="34"/>
        <v>-53.981674064033683</v>
      </c>
      <c r="X99" s="55">
        <f t="shared" ca="1" si="35"/>
        <v>55.233723788260171</v>
      </c>
      <c r="Y99" s="55">
        <f t="shared" ca="1" si="36"/>
        <v>12.229228866841495</v>
      </c>
      <c r="Z99">
        <f t="shared" ca="1" si="30"/>
        <v>120</v>
      </c>
      <c r="AA99">
        <f t="shared" ca="1" si="37"/>
        <v>176.23008224115924</v>
      </c>
      <c r="AB99">
        <f t="shared" ca="1" si="31"/>
        <v>0</v>
      </c>
      <c r="AC99">
        <f t="shared" ca="1" si="32"/>
        <v>0.94115690525035012</v>
      </c>
      <c r="AD99" s="83">
        <f ca="1"/>
        <v>45643</v>
      </c>
      <c r="AE99" s="55">
        <f t="shared" ca="1" si="41"/>
        <v>45643</v>
      </c>
      <c r="AF99" s="55">
        <f t="shared" ca="1" si="42"/>
        <v>65.539123090981548</v>
      </c>
      <c r="AG99" s="55">
        <f t="shared" ca="1" si="43"/>
        <v>65.195798559314056</v>
      </c>
      <c r="AH99" s="55">
        <f t="shared" ca="1" si="44"/>
        <v>0</v>
      </c>
      <c r="AI99" s="55">
        <f t="shared" ca="1" si="38"/>
        <v>-1.9804147441375335</v>
      </c>
      <c r="AJ99" s="55">
        <f t="shared" ca="1" si="39"/>
        <v>72.191275401223123</v>
      </c>
      <c r="AK99" s="55">
        <f t="shared" ca="1" si="40"/>
        <v>28.485817494765111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49.109582897779873</v>
      </c>
      <c r="U100" s="55">
        <f t="shared" ca="1" si="28"/>
        <v>18.94114471496502</v>
      </c>
      <c r="V100" s="55">
        <f t="shared" ca="1" si="29"/>
        <v>0</v>
      </c>
      <c r="W100" s="55">
        <f t="shared" ca="1" si="34"/>
        <v>-54.4008848513785</v>
      </c>
      <c r="X100" s="55">
        <f t="shared" ca="1" si="35"/>
        <v>55.823736820019761</v>
      </c>
      <c r="Y100" s="55">
        <f t="shared" ca="1" si="36"/>
        <v>12.309718753219531</v>
      </c>
      <c r="Z100">
        <f t="shared" ca="1" si="30"/>
        <v>120</v>
      </c>
      <c r="AA100">
        <f t="shared" ca="1" si="37"/>
        <v>177.78008224115922</v>
      </c>
      <c r="AB100">
        <f t="shared" ca="1" si="31"/>
        <v>0</v>
      </c>
      <c r="AC100">
        <f t="shared" ca="1" si="32"/>
        <v>0.94749736647342775</v>
      </c>
      <c r="AD100" s="83">
        <f ca="1"/>
        <v>45644</v>
      </c>
      <c r="AE100" s="55">
        <f t="shared" ca="1" si="41"/>
        <v>45644</v>
      </c>
      <c r="AF100" s="55">
        <f t="shared" ca="1" si="42"/>
        <v>63.172122243291525</v>
      </c>
      <c r="AG100" s="55">
        <f t="shared" ca="1" si="43"/>
        <v>68.620587355317127</v>
      </c>
      <c r="AH100" s="55">
        <f t="shared" ca="1" si="44"/>
        <v>0</v>
      </c>
      <c r="AI100" s="55">
        <f t="shared" ca="1" si="38"/>
        <v>-1.9804147441375335</v>
      </c>
      <c r="AJ100" s="55">
        <f t="shared" ca="1" si="39"/>
        <v>73.106767311822836</v>
      </c>
      <c r="AK100" s="55">
        <f t="shared" ca="1" si="40"/>
        <v>28.628113532478448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47.851664633159849</v>
      </c>
      <c r="U101" s="55">
        <f t="shared" ca="1" si="28"/>
        <v>19.837487818225327</v>
      </c>
      <c r="V101" s="55">
        <f t="shared" ca="1" si="29"/>
        <v>0</v>
      </c>
      <c r="W101" s="55">
        <f t="shared" ca="1" si="34"/>
        <v>-55.541973677282861</v>
      </c>
      <c r="X101" s="55">
        <f t="shared" ca="1" si="35"/>
        <v>56.515387407982807</v>
      </c>
      <c r="Y101" s="55">
        <f t="shared" ca="1" si="36"/>
        <v>12.39758182980113</v>
      </c>
      <c r="Z101">
        <f t="shared" ca="1" si="30"/>
        <v>120</v>
      </c>
      <c r="AA101">
        <f t="shared" ca="1" si="37"/>
        <v>182.1100822411592</v>
      </c>
      <c r="AB101">
        <f t="shared" ca="1" si="31"/>
        <v>0</v>
      </c>
      <c r="AC101">
        <f t="shared" ca="1" si="32"/>
        <v>0.95415779175099857</v>
      </c>
      <c r="AD101" s="83">
        <f ca="1"/>
        <v>45645</v>
      </c>
      <c r="AE101" s="55">
        <f t="shared" ca="1" si="41"/>
        <v>45645</v>
      </c>
      <c r="AF101" s="55">
        <f t="shared" ca="1" si="42"/>
        <v>60.844466019006845</v>
      </c>
      <c r="AG101" s="55">
        <f t="shared" ca="1" si="43"/>
        <v>71.94925513710244</v>
      </c>
      <c r="AH101" s="55">
        <f t="shared" ca="1" si="44"/>
        <v>0</v>
      </c>
      <c r="AI101" s="55">
        <f t="shared" ca="1" si="38"/>
        <v>-1.9804147441375335</v>
      </c>
      <c r="AJ101" s="55">
        <f t="shared" ca="1" si="39"/>
        <v>73.978002746190583</v>
      </c>
      <c r="AK101" s="55">
        <f t="shared" ca="1" si="40"/>
        <v>28.75788965561134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46.829675292404183</v>
      </c>
      <c r="U102" s="55">
        <f t="shared" ca="1" si="28"/>
        <v>20.794669866206121</v>
      </c>
      <c r="V102" s="55">
        <f t="shared" ca="1" si="29"/>
        <v>0</v>
      </c>
      <c r="W102" s="55">
        <f t="shared" ca="1" si="34"/>
        <v>-56.403368226284591</v>
      </c>
      <c r="X102" s="55">
        <f t="shared" ca="1" si="35"/>
        <v>57.224646784547289</v>
      </c>
      <c r="Y102" s="55">
        <f t="shared" ca="1" si="36"/>
        <v>12.484909709463505</v>
      </c>
      <c r="Z102">
        <f t="shared" ca="1" si="30"/>
        <v>120</v>
      </c>
      <c r="AA102">
        <f t="shared" ca="1" si="37"/>
        <v>185.45008224115921</v>
      </c>
      <c r="AB102">
        <f t="shared" ca="1" si="31"/>
        <v>0</v>
      </c>
      <c r="AC102">
        <f t="shared" ca="1" si="32"/>
        <v>0.96014643972799085</v>
      </c>
      <c r="AD102" s="83">
        <f ca="1"/>
        <v>45646</v>
      </c>
      <c r="AE102" s="55">
        <f t="shared" ca="1" si="41"/>
        <v>45646</v>
      </c>
      <c r="AF102" s="55">
        <f t="shared" ca="1" si="42"/>
        <v>58.311231409038768</v>
      </c>
      <c r="AG102" s="55">
        <f t="shared" ca="1" si="43"/>
        <v>75.442458329502131</v>
      </c>
      <c r="AH102" s="55">
        <f t="shared" ca="1" si="44"/>
        <v>0</v>
      </c>
      <c r="AI102" s="55">
        <f t="shared" ca="1" si="38"/>
        <v>-1.9804147441375335</v>
      </c>
      <c r="AJ102" s="55">
        <f t="shared" ca="1" si="39"/>
        <v>74.811976281928708</v>
      </c>
      <c r="AK102" s="55">
        <f t="shared" ca="1" si="40"/>
        <v>28.883884702304822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46.462037417153908</v>
      </c>
      <c r="U103" s="55">
        <f t="shared" ca="1" si="28"/>
        <v>21.743746229300694</v>
      </c>
      <c r="V103" s="55">
        <f t="shared" ca="1" si="29"/>
        <v>0</v>
      </c>
      <c r="W103" s="55">
        <f t="shared" ca="1" si="34"/>
        <v>-56.579923968469778</v>
      </c>
      <c r="X103" s="55">
        <f t="shared" ca="1" si="35"/>
        <v>57.900291669206318</v>
      </c>
      <c r="Y103" s="55">
        <f t="shared" ca="1" si="36"/>
        <v>12.567259054833968</v>
      </c>
      <c r="Z103">
        <f t="shared" ca="1" si="30"/>
        <v>120</v>
      </c>
      <c r="AA103">
        <f t="shared" ca="1" si="37"/>
        <v>186.14008224115921</v>
      </c>
      <c r="AB103">
        <f t="shared" ca="1" si="31"/>
        <v>0</v>
      </c>
      <c r="AC103">
        <f t="shared" ca="1" si="32"/>
        <v>0.96514984322608333</v>
      </c>
      <c r="AD103" s="83">
        <f ca="1"/>
        <v>45647</v>
      </c>
      <c r="AE103" s="55">
        <f t="shared" ca="1" si="41"/>
        <v>45647</v>
      </c>
      <c r="AF103" s="55">
        <f t="shared" ca="1" si="42"/>
        <v>55.579901937126365</v>
      </c>
      <c r="AG103" s="55">
        <f t="shared" ca="1" si="43"/>
        <v>79.089130485768436</v>
      </c>
      <c r="AH103" s="55">
        <f t="shared" ca="1" si="44"/>
        <v>0</v>
      </c>
      <c r="AI103" s="55">
        <f t="shared" ca="1" si="38"/>
        <v>-1.9804147441375335</v>
      </c>
      <c r="AJ103" s="55">
        <f t="shared" ca="1" si="39"/>
        <v>75.605452830128854</v>
      </c>
      <c r="AK103" s="55">
        <f t="shared" ca="1" si="40"/>
        <v>29.005750838458578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45.002929854021154</v>
      </c>
      <c r="U104" s="55">
        <f t="shared" ca="1" si="28"/>
        <v>22.737849142027446</v>
      </c>
      <c r="V104" s="55">
        <f t="shared" ca="1" si="29"/>
        <v>0</v>
      </c>
      <c r="W104" s="55">
        <f t="shared" ca="1" si="34"/>
        <v>-57.806742969272875</v>
      </c>
      <c r="X104" s="55">
        <f t="shared" ca="1" si="35"/>
        <v>58.581245334386061</v>
      </c>
      <c r="Y104" s="55">
        <f t="shared" ca="1" si="36"/>
        <v>12.648119740051321</v>
      </c>
      <c r="Z104">
        <f t="shared" ca="1" si="30"/>
        <v>120</v>
      </c>
      <c r="AA104">
        <f t="shared" ca="1" si="37"/>
        <v>191.09008224115922</v>
      </c>
      <c r="AB104">
        <f t="shared" ca="1" si="31"/>
        <v>0</v>
      </c>
      <c r="AC104">
        <f t="shared" ca="1" si="32"/>
        <v>0.96957759509923935</v>
      </c>
      <c r="AD104" s="83">
        <f ca="1"/>
        <v>45648</v>
      </c>
      <c r="AE104" s="55">
        <f t="shared" ca="1" si="41"/>
        <v>45648</v>
      </c>
      <c r="AF104" s="55">
        <f t="shared" ca="1" si="42"/>
        <v>52.479475305091022</v>
      </c>
      <c r="AG104" s="55">
        <f t="shared" ca="1" si="43"/>
        <v>83.100026533332866</v>
      </c>
      <c r="AH104" s="55">
        <f t="shared" ca="1" si="44"/>
        <v>0</v>
      </c>
      <c r="AI104" s="55">
        <f t="shared" ca="1" si="38"/>
        <v>-1.9804147441375335</v>
      </c>
      <c r="AJ104" s="55">
        <f t="shared" ca="1" si="39"/>
        <v>76.39317011663276</v>
      </c>
      <c r="AK104" s="55">
        <f t="shared" ca="1" si="40"/>
        <v>29.128502967483758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44.342910086335429</v>
      </c>
      <c r="U105" s="55">
        <f t="shared" ca="1" si="28"/>
        <v>23.728154704576575</v>
      </c>
      <c r="V105" s="55">
        <f t="shared" ca="1" si="29"/>
        <v>0</v>
      </c>
      <c r="W105" s="55">
        <f t="shared" ca="1" si="34"/>
        <v>-58.207242991965693</v>
      </c>
      <c r="X105" s="55">
        <f t="shared" ca="1" si="35"/>
        <v>59.235270249666549</v>
      </c>
      <c r="Y105" s="55">
        <f t="shared" ca="1" si="36"/>
        <v>12.724880642327047</v>
      </c>
      <c r="Z105">
        <f t="shared" ca="1" si="30"/>
        <v>120</v>
      </c>
      <c r="AA105">
        <f t="shared" ca="1" si="37"/>
        <v>192.73008224115921</v>
      </c>
      <c r="AB105">
        <f t="shared" ca="1" si="31"/>
        <v>0</v>
      </c>
      <c r="AC105">
        <f t="shared" ca="1" si="32"/>
        <v>0.97331171663850635</v>
      </c>
      <c r="AD105" s="83">
        <f ca="1"/>
        <v>45649</v>
      </c>
      <c r="AE105" s="55">
        <f t="shared" ca="1" si="41"/>
        <v>45649</v>
      </c>
      <c r="AF105" s="55">
        <f t="shared" ca="1" si="42"/>
        <v>49.215162872051259</v>
      </c>
      <c r="AG105" s="55">
        <f t="shared" ca="1" si="43"/>
        <v>87.282514480010306</v>
      </c>
      <c r="AH105" s="55">
        <f t="shared" ca="1" si="44"/>
        <v>0</v>
      </c>
      <c r="AI105" s="55">
        <f t="shared" ca="1" si="38"/>
        <v>-1.9804147441375335</v>
      </c>
      <c r="AJ105" s="55">
        <f t="shared" ca="1" si="39"/>
        <v>77.192940990928832</v>
      </c>
      <c r="AK105" s="55">
        <f t="shared" ca="1" si="40"/>
        <v>29.246907606825364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43.220124508605551</v>
      </c>
      <c r="U106" s="55">
        <f t="shared" ca="1" si="28"/>
        <v>24.766495249899315</v>
      </c>
      <c r="V106" s="55">
        <f t="shared" ca="1" si="29"/>
        <v>0</v>
      </c>
      <c r="W106" s="55">
        <f t="shared" ca="1" si="34"/>
        <v>-59.028425357629196</v>
      </c>
      <c r="X106" s="55">
        <f t="shared" ca="1" si="35"/>
        <v>59.896452047266372</v>
      </c>
      <c r="Y106" s="55">
        <f t="shared" ca="1" si="36"/>
        <v>12.800436177983585</v>
      </c>
      <c r="Z106">
        <f t="shared" ca="1" si="30"/>
        <v>120</v>
      </c>
      <c r="AA106">
        <f t="shared" ca="1" si="37"/>
        <v>196.1800822411592</v>
      </c>
      <c r="AB106">
        <f t="shared" ca="1" si="31"/>
        <v>0</v>
      </c>
      <c r="AC106">
        <f t="shared" ca="1" si="32"/>
        <v>0.9766332250195966</v>
      </c>
      <c r="AD106" s="83">
        <f ca="1"/>
        <v>45650</v>
      </c>
      <c r="AE106" s="55">
        <f t="shared" ca="1" si="41"/>
        <v>45650</v>
      </c>
      <c r="AF106" s="55">
        <f t="shared" ca="1" si="42"/>
        <v>45.65318241096022</v>
      </c>
      <c r="AG106" s="55">
        <f t="shared" ca="1" si="43"/>
        <v>91.810052687614018</v>
      </c>
      <c r="AH106" s="55">
        <f t="shared" ca="1" si="44"/>
        <v>0</v>
      </c>
      <c r="AI106" s="55">
        <f t="shared" ca="1" si="38"/>
        <v>-1.9804147441375335</v>
      </c>
      <c r="AJ106" s="55">
        <f t="shared" ca="1" si="39"/>
        <v>78.040685563825022</v>
      </c>
      <c r="AK106" s="55">
        <f t="shared" ca="1" si="40"/>
        <v>29.364720780441839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42.616314965953386</v>
      </c>
      <c r="U107" s="55">
        <f t="shared" ca="1" si="28"/>
        <v>25.854874348331119</v>
      </c>
      <c r="V107" s="55">
        <f t="shared" ca="1" si="29"/>
        <v>0</v>
      </c>
      <c r="W107" s="55">
        <f t="shared" ca="1" si="34"/>
        <v>-59.286593758437434</v>
      </c>
      <c r="X107" s="55">
        <f t="shared" ca="1" si="35"/>
        <v>60.564840470482018</v>
      </c>
      <c r="Y107" s="55">
        <f t="shared" ca="1" si="36"/>
        <v>12.874785711355814</v>
      </c>
      <c r="Z107">
        <f t="shared" ca="1" si="30"/>
        <v>120</v>
      </c>
      <c r="AA107">
        <f t="shared" ca="1" si="37"/>
        <v>197.28008224115919</v>
      </c>
      <c r="AB107">
        <f t="shared" ca="1" si="31"/>
        <v>0</v>
      </c>
      <c r="AC107">
        <f t="shared" ca="1" si="32"/>
        <v>0.97958041815486541</v>
      </c>
      <c r="AD107" s="83">
        <f ca="1"/>
        <v>45651</v>
      </c>
      <c r="AE107" s="55">
        <f t="shared" ca="1" si="41"/>
        <v>45651</v>
      </c>
      <c r="AF107" s="55">
        <f t="shared" ca="1" si="42"/>
        <v>41.700754262004132</v>
      </c>
      <c r="AG107" s="55">
        <f t="shared" ca="1" si="43"/>
        <v>96.703020321844932</v>
      </c>
      <c r="AH107" s="55">
        <f t="shared" ca="1" si="44"/>
        <v>0</v>
      </c>
      <c r="AI107" s="55">
        <f t="shared" ca="1" si="38"/>
        <v>-1.9804147441375335</v>
      </c>
      <c r="AJ107" s="55">
        <f t="shared" ca="1" si="39"/>
        <v>78.864177611686173</v>
      </c>
      <c r="AK107" s="55">
        <f t="shared" ca="1" si="40"/>
        <v>29.481768217855514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41.677361670739018</v>
      </c>
      <c r="U108" s="55">
        <f t="shared" ca="1" si="28"/>
        <v>26.921842153486228</v>
      </c>
      <c r="V108" s="55">
        <f t="shared" ca="1" si="29"/>
        <v>0</v>
      </c>
      <c r="W108" s="55">
        <f t="shared" ca="1" si="34"/>
        <v>-59.862707781068607</v>
      </c>
      <c r="X108" s="55">
        <f t="shared" ca="1" si="35"/>
        <v>61.198962802103914</v>
      </c>
      <c r="Y108" s="55">
        <f t="shared" ca="1" si="36"/>
        <v>12.944791912305833</v>
      </c>
      <c r="Z108">
        <f t="shared" ca="1" si="30"/>
        <v>120</v>
      </c>
      <c r="AA108">
        <f t="shared" ca="1" si="37"/>
        <v>199.79008224115921</v>
      </c>
      <c r="AB108">
        <f t="shared" ca="1" si="31"/>
        <v>0</v>
      </c>
      <c r="AC108">
        <f t="shared" ca="1" si="32"/>
        <v>0.9820341165933747</v>
      </c>
      <c r="AD108" s="83">
        <f ca="1"/>
        <v>45652</v>
      </c>
      <c r="AE108" s="55">
        <f t="shared" ca="1" si="41"/>
        <v>45652</v>
      </c>
      <c r="AF108" s="55">
        <f t="shared" ca="1" si="42"/>
        <v>37.64822424835441</v>
      </c>
      <c r="AG108" s="55">
        <f t="shared" ca="1" si="43"/>
        <v>101.62220004130155</v>
      </c>
      <c r="AH108" s="55">
        <f t="shared" ca="1" si="44"/>
        <v>0</v>
      </c>
      <c r="AI108" s="55">
        <f t="shared" ca="1" si="38"/>
        <v>-1.9804147441375335</v>
      </c>
      <c r="AJ108" s="55">
        <f t="shared" ca="1" si="39"/>
        <v>79.621596366214789</v>
      </c>
      <c r="AK108" s="55">
        <f t="shared" ca="1" si="40"/>
        <v>29.590999169133799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40.862757983430576</v>
      </c>
      <c r="U109" s="55">
        <f t="shared" ca="1" si="28"/>
        <v>27.902902731768741</v>
      </c>
      <c r="V109" s="55">
        <f t="shared" ca="1" si="29"/>
        <v>0</v>
      </c>
      <c r="W109" s="55">
        <f t="shared" ca="1" si="34"/>
        <v>-60.330793634838223</v>
      </c>
      <c r="X109" s="55">
        <f t="shared" ca="1" si="35"/>
        <v>61.769760813741193</v>
      </c>
      <c r="Y109" s="55">
        <f t="shared" ca="1" si="36"/>
        <v>13.008536645412233</v>
      </c>
      <c r="Z109">
        <f t="shared" ca="1" si="30"/>
        <v>120</v>
      </c>
      <c r="AA109">
        <f t="shared" ca="1" si="37"/>
        <v>201.8700822411592</v>
      </c>
      <c r="AB109">
        <f t="shared" ca="1" si="31"/>
        <v>0</v>
      </c>
      <c r="AC109">
        <f t="shared" ca="1" si="32"/>
        <v>0.98397517842243953</v>
      </c>
      <c r="AD109" s="83">
        <f ca="1"/>
        <v>45653</v>
      </c>
      <c r="AE109" s="55">
        <f t="shared" ca="1" si="41"/>
        <v>45653</v>
      </c>
      <c r="AF109" s="55">
        <f t="shared" ca="1" si="42"/>
        <v>33.579050905682124</v>
      </c>
      <c r="AG109" s="55">
        <f t="shared" ca="1" si="43"/>
        <v>106.48869913783226</v>
      </c>
      <c r="AH109" s="55">
        <f t="shared" ca="1" si="44"/>
        <v>0</v>
      </c>
      <c r="AI109" s="55">
        <f t="shared" ca="1" si="38"/>
        <v>-1.9804147441375335</v>
      </c>
      <c r="AJ109" s="55">
        <f t="shared" ca="1" si="39"/>
        <v>80.317905339443456</v>
      </c>
      <c r="AK109" s="55">
        <f t="shared" ca="1" si="40"/>
        <v>29.692015949763555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40.500689243245333</v>
      </c>
      <c r="U110" s="55">
        <f t="shared" ca="1" si="28"/>
        <v>28.841250207145574</v>
      </c>
      <c r="V110" s="55">
        <f t="shared" ca="1" si="29"/>
        <v>0</v>
      </c>
      <c r="W110" s="55">
        <f t="shared" ca="1" si="34"/>
        <v>-60.35086788950661</v>
      </c>
      <c r="X110" s="55">
        <f t="shared" ca="1" si="35"/>
        <v>62.306203043351921</v>
      </c>
      <c r="Y110" s="55">
        <f t="shared" ca="1" si="36"/>
        <v>13.068447405661479</v>
      </c>
      <c r="Z110">
        <f t="shared" ca="1" si="30"/>
        <v>120</v>
      </c>
      <c r="AA110">
        <f t="shared" ca="1" si="37"/>
        <v>201.96008224115917</v>
      </c>
      <c r="AB110">
        <f t="shared" ca="1" si="31"/>
        <v>0</v>
      </c>
      <c r="AC110">
        <f t="shared" ca="1" si="32"/>
        <v>0.98559445556349112</v>
      </c>
      <c r="AD110" s="83">
        <f ca="1"/>
        <v>45654</v>
      </c>
      <c r="AE110" s="55">
        <f t="shared" ca="1" si="41"/>
        <v>45654</v>
      </c>
      <c r="AF110" s="55">
        <f t="shared" ca="1" si="42"/>
        <v>29.332969785365613</v>
      </c>
      <c r="AG110" s="55">
        <f t="shared" ca="1" si="43"/>
        <v>111.54265837914416</v>
      </c>
      <c r="AH110" s="55">
        <f t="shared" ca="1" si="44"/>
        <v>0</v>
      </c>
      <c r="AI110" s="55">
        <f t="shared" ca="1" si="38"/>
        <v>-1.9804147441375335</v>
      </c>
      <c r="AJ110" s="55">
        <f t="shared" ca="1" si="39"/>
        <v>81.028196628465764</v>
      </c>
      <c r="AK110" s="55">
        <f t="shared" ca="1" si="40"/>
        <v>29.789602781736644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39.330662541053883</v>
      </c>
      <c r="U111" s="55">
        <f t="shared" ca="1" si="28"/>
        <v>29.923400270285839</v>
      </c>
      <c r="V111" s="55">
        <f t="shared" ca="1" si="29"/>
        <v>0</v>
      </c>
      <c r="W111" s="55">
        <f t="shared" ca="1" si="34"/>
        <v>-61.093818404811095</v>
      </c>
      <c r="X111" s="55">
        <f t="shared" ca="1" si="35"/>
        <v>62.898646889388566</v>
      </c>
      <c r="Y111" s="55">
        <f t="shared" ca="1" si="36"/>
        <v>13.131077435878137</v>
      </c>
      <c r="Z111">
        <f t="shared" ca="1" si="30"/>
        <v>120</v>
      </c>
      <c r="AA111">
        <f t="shared" ca="1" si="37"/>
        <v>205.39008224115918</v>
      </c>
      <c r="AB111">
        <f t="shared" ca="1" si="31"/>
        <v>0</v>
      </c>
      <c r="AC111">
        <f t="shared" ca="1" si="32"/>
        <v>0.98721870896402031</v>
      </c>
      <c r="AD111" s="83">
        <f ca="1"/>
        <v>45655</v>
      </c>
      <c r="AE111" s="55">
        <f t="shared" ca="1" si="41"/>
        <v>45655</v>
      </c>
      <c r="AF111" s="55">
        <f t="shared" ca="1" si="42"/>
        <v>24.958576959985379</v>
      </c>
      <c r="AG111" s="55">
        <f t="shared" ca="1" si="43"/>
        <v>116.72301670241261</v>
      </c>
      <c r="AH111" s="55">
        <f t="shared" ca="1" si="44"/>
        <v>0</v>
      </c>
      <c r="AI111" s="55">
        <f t="shared" ca="1" si="38"/>
        <v>-1.9804147441375335</v>
      </c>
      <c r="AJ111" s="55">
        <f t="shared" ca="1" si="39"/>
        <v>81.740802132797953</v>
      </c>
      <c r="AK111" s="55">
        <f t="shared" ca="1" si="40"/>
        <v>29.882962775292665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38.058318180888101</v>
      </c>
      <c r="U112" s="55">
        <f t="shared" ca="1" si="28"/>
        <v>31.090488891337849</v>
      </c>
      <c r="V112" s="55">
        <f t="shared" ca="1" si="29"/>
        <v>0</v>
      </c>
      <c r="W112" s="55">
        <f t="shared" ca="1" si="34"/>
        <v>-61.879805410720742</v>
      </c>
      <c r="X112" s="55">
        <f t="shared" ca="1" si="35"/>
        <v>63.516379211156227</v>
      </c>
      <c r="Y112" s="55">
        <f t="shared" ca="1" si="36"/>
        <v>13.194076380906345</v>
      </c>
      <c r="Z112">
        <f t="shared" ca="1" si="30"/>
        <v>120</v>
      </c>
      <c r="AA112">
        <f t="shared" ca="1" si="37"/>
        <v>209.14008224115918</v>
      </c>
      <c r="AB112">
        <f t="shared" ca="1" si="31"/>
        <v>0</v>
      </c>
      <c r="AC112">
        <f t="shared" ca="1" si="32"/>
        <v>0.98872516696497736</v>
      </c>
      <c r="AD112" s="83">
        <f ca="1"/>
        <v>45656</v>
      </c>
      <c r="AE112" s="55">
        <f t="shared" ca="1" si="41"/>
        <v>45656</v>
      </c>
      <c r="AF112" s="55">
        <f t="shared" ca="1" si="42"/>
        <v>20.589828682641517</v>
      </c>
      <c r="AG112" s="55">
        <f t="shared" ca="1" si="43"/>
        <v>121.88516957362268</v>
      </c>
      <c r="AH112" s="55">
        <f t="shared" ca="1" si="44"/>
        <v>0</v>
      </c>
      <c r="AI112" s="55">
        <f t="shared" ca="1" si="38"/>
        <v>-1.9804147441375335</v>
      </c>
      <c r="AJ112" s="55">
        <f t="shared" ca="1" si="39"/>
        <v>82.446736485021319</v>
      </c>
      <c r="AK112" s="55">
        <f t="shared" ca="1" si="40"/>
        <v>29.970433016935512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37.122780149802402</v>
      </c>
      <c r="U113" s="55">
        <f t="shared" ca="1" si="28"/>
        <v>32.333011883996051</v>
      </c>
      <c r="V113" s="55">
        <f t="shared" ca="1" si="29"/>
        <v>0</v>
      </c>
      <c r="W113" s="55">
        <f t="shared" ca="1" si="34"/>
        <v>-62.27233845995692</v>
      </c>
      <c r="X113" s="55">
        <f t="shared" ca="1" si="35"/>
        <v>64.153047535415482</v>
      </c>
      <c r="Y113" s="55">
        <f t="shared" ca="1" si="36"/>
        <v>13.256926067455764</v>
      </c>
      <c r="Z113">
        <f t="shared" ca="1" si="30"/>
        <v>120</v>
      </c>
      <c r="AA113">
        <f t="shared" ca="1" si="37"/>
        <v>211.06008224115919</v>
      </c>
      <c r="AB113">
        <f t="shared" ca="1" si="31"/>
        <v>0</v>
      </c>
      <c r="AC113">
        <f t="shared" ca="1" si="32"/>
        <v>0.99009652438733986</v>
      </c>
      <c r="AD113" s="83">
        <f ca="1"/>
        <v>45657</v>
      </c>
      <c r="AE113" s="55">
        <f t="shared" ca="1" si="41"/>
        <v>45657</v>
      </c>
      <c r="AF113" s="55">
        <f t="shared" ca="1" si="42"/>
        <v>16.523974041143916</v>
      </c>
      <c r="AG113" s="55">
        <f t="shared" ca="1" si="43"/>
        <v>126.62362823889373</v>
      </c>
      <c r="AH113" s="55">
        <f t="shared" ca="1" si="44"/>
        <v>0</v>
      </c>
      <c r="AI113" s="55">
        <f t="shared" ca="1" si="38"/>
        <v>-1.9804147441375335</v>
      </c>
      <c r="AJ113" s="55">
        <f t="shared" ca="1" si="39"/>
        <v>83.042435788128472</v>
      </c>
      <c r="AK113" s="55">
        <f t="shared" ca="1" si="40"/>
        <v>30.047337737601811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35.435802853000624</v>
      </c>
      <c r="U114" s="55">
        <f t="shared" ca="1" si="28"/>
        <v>33.652188871207123</v>
      </c>
      <c r="V114" s="55">
        <f t="shared" ca="1" si="29"/>
        <v>0</v>
      </c>
      <c r="W114" s="55">
        <f t="shared" ca="1" si="34"/>
        <v>-63.357393014563002</v>
      </c>
      <c r="X114" s="55">
        <f t="shared" ca="1" si="35"/>
        <v>64.807721023310222</v>
      </c>
      <c r="Y114" s="55">
        <f t="shared" ca="1" si="36"/>
        <v>13.319506824576404</v>
      </c>
      <c r="Z114">
        <f t="shared" ca="1" si="30"/>
        <v>120</v>
      </c>
      <c r="AA114">
        <f t="shared" ca="1" si="37"/>
        <v>216.6200822411592</v>
      </c>
      <c r="AB114">
        <f t="shared" ca="1" si="31"/>
        <v>0</v>
      </c>
      <c r="AC114">
        <f t="shared" ca="1" si="32"/>
        <v>0.99133579566577801</v>
      </c>
      <c r="AD114" s="83">
        <f ca="1"/>
        <v>45658</v>
      </c>
      <c r="AE114" s="55">
        <f t="shared" ca="1" si="41"/>
        <v>45658</v>
      </c>
      <c r="AF114" s="55">
        <f t="shared" ca="1" si="42"/>
        <v>11.343008286175948</v>
      </c>
      <c r="AG114" s="55">
        <f t="shared" ca="1" si="43"/>
        <v>132.59883262306468</v>
      </c>
      <c r="AH114" s="55">
        <f t="shared" ca="1" si="44"/>
        <v>0</v>
      </c>
      <c r="AI114" s="55">
        <f t="shared" ca="1" si="38"/>
        <v>-1.9804147441375335</v>
      </c>
      <c r="AJ114" s="55">
        <f t="shared" ca="1" si="39"/>
        <v>83.751377896747613</v>
      </c>
      <c r="AK114" s="55">
        <f t="shared" ca="1" si="40"/>
        <v>30.13263425818565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34.429421928868855</v>
      </c>
      <c r="U115" s="55">
        <f t="shared" ca="1" si="28"/>
        <v>34.964305687987974</v>
      </c>
      <c r="V115" s="55">
        <f t="shared" ca="1" si="29"/>
        <v>0</v>
      </c>
      <c r="W115" s="55">
        <f t="shared" ca="1" si="34"/>
        <v>-63.744200085276901</v>
      </c>
      <c r="X115" s="55">
        <f t="shared" ca="1" si="35"/>
        <v>65.440572807435075</v>
      </c>
      <c r="Y115" s="55">
        <f t="shared" ca="1" si="36"/>
        <v>13.379198003814537</v>
      </c>
      <c r="Z115">
        <f t="shared" ca="1" si="30"/>
        <v>120</v>
      </c>
      <c r="AA115">
        <f t="shared" ca="1" si="37"/>
        <v>218.66008224115922</v>
      </c>
      <c r="AB115">
        <f t="shared" ca="1" si="31"/>
        <v>0</v>
      </c>
      <c r="AC115">
        <f t="shared" ca="1" si="32"/>
        <v>0.99238581301803586</v>
      </c>
      <c r="AD115" s="83">
        <f ca="1"/>
        <v>45659</v>
      </c>
      <c r="AE115" s="55">
        <f t="shared" ca="1" si="41"/>
        <v>45659</v>
      </c>
      <c r="AF115" s="55">
        <f t="shared" ca="1" si="42"/>
        <v>5.7751738157124723</v>
      </c>
      <c r="AG115" s="55">
        <f t="shared" ca="1" si="43"/>
        <v>138.97794562107819</v>
      </c>
      <c r="AH115" s="55">
        <f t="shared" ca="1" si="44"/>
        <v>0</v>
      </c>
      <c r="AI115" s="55">
        <f t="shared" ca="1" si="38"/>
        <v>-1.9804147441375335</v>
      </c>
      <c r="AJ115" s="55">
        <f t="shared" ca="1" si="39"/>
        <v>84.479578352663552</v>
      </c>
      <c r="AK115" s="55">
        <f t="shared" ca="1" si="40"/>
        <v>30.215712329819741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33.694432188794622</v>
      </c>
      <c r="U116" s="55">
        <f t="shared" ca="1" si="28"/>
        <v>36.352476389893859</v>
      </c>
      <c r="V116" s="55">
        <f t="shared" ca="1" si="29"/>
        <v>0</v>
      </c>
      <c r="W116" s="55">
        <f t="shared" ca="1" si="34"/>
        <v>-63.799869147154041</v>
      </c>
      <c r="X116" s="55">
        <f t="shared" ca="1" si="35"/>
        <v>66.090069199605168</v>
      </c>
      <c r="Y116" s="55">
        <f t="shared" ca="1" si="36"/>
        <v>13.438551635353237</v>
      </c>
      <c r="Z116">
        <f t="shared" ca="1" si="30"/>
        <v>120</v>
      </c>
      <c r="AA116">
        <f t="shared" ca="1" si="37"/>
        <v>218.96008224115923</v>
      </c>
      <c r="AB116">
        <f t="shared" ca="1" si="31"/>
        <v>0</v>
      </c>
      <c r="AC116">
        <f t="shared" ca="1" si="32"/>
        <v>0.99333323544005503</v>
      </c>
      <c r="AD116" s="83">
        <f ca="1"/>
        <v>45660</v>
      </c>
      <c r="AE116" s="55">
        <f t="shared" ca="1" si="41"/>
        <v>45660</v>
      </c>
      <c r="AF116" s="55">
        <f t="shared" ca="1" si="42"/>
        <v>9.2295279011144871E-2</v>
      </c>
      <c r="AG116" s="55">
        <f t="shared" ca="1" si="43"/>
        <v>145.52372993346026</v>
      </c>
      <c r="AH116" s="55">
        <f t="shared" ca="1" si="44"/>
        <v>0</v>
      </c>
      <c r="AI116" s="55">
        <f t="shared" ca="1" si="38"/>
        <v>-1.9804147441375335</v>
      </c>
      <c r="AJ116" s="55">
        <f t="shared" ca="1" si="39"/>
        <v>85.2582438005836</v>
      </c>
      <c r="AK116" s="55">
        <f t="shared" ca="1" si="40"/>
        <v>30.29995265758043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32.05628775364918</v>
      </c>
      <c r="U117" s="55">
        <f t="shared" ca="1" si="28"/>
        <v>37.769284167892003</v>
      </c>
      <c r="V117" s="55">
        <f t="shared" ca="1" si="29"/>
        <v>0</v>
      </c>
      <c r="W117" s="55">
        <f t="shared" ca="1" si="34"/>
        <v>-64.723183151235233</v>
      </c>
      <c r="X117" s="55">
        <f t="shared" ca="1" si="35"/>
        <v>66.734414725074046</v>
      </c>
      <c r="Y117" s="55">
        <f t="shared" ca="1" si="36"/>
        <v>13.496183456818253</v>
      </c>
      <c r="Z117">
        <f t="shared" ca="1" si="30"/>
        <v>120</v>
      </c>
      <c r="AA117">
        <f t="shared" ca="1" si="37"/>
        <v>224.19008224115925</v>
      </c>
      <c r="AB117">
        <f t="shared" ca="1" si="31"/>
        <v>0</v>
      </c>
      <c r="AC117">
        <f t="shared" ca="1" si="32"/>
        <v>0.9941570566501694</v>
      </c>
      <c r="AD117" s="83">
        <f ca="1"/>
        <v>45661</v>
      </c>
      <c r="AE117" s="55">
        <f t="shared" ca="1" si="41"/>
        <v>45661</v>
      </c>
      <c r="AF117" s="55">
        <f t="shared" ca="1" si="42"/>
        <v>-5.0994838969743661</v>
      </c>
      <c r="AG117" s="55">
        <f t="shared" ca="1" si="43"/>
        <v>151.46154401207906</v>
      </c>
      <c r="AH117" s="55">
        <f t="shared" ca="1" si="44"/>
        <v>0</v>
      </c>
      <c r="AI117" s="55">
        <f t="shared" ca="1" si="38"/>
        <v>-1.9804147441375335</v>
      </c>
      <c r="AJ117" s="55">
        <f t="shared" ca="1" si="39"/>
        <v>85.931764313796037</v>
      </c>
      <c r="AK117" s="55">
        <f t="shared" ca="1" si="40"/>
        <v>30.372467047001276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31.04231544263909</v>
      </c>
      <c r="U118" s="55">
        <f t="shared" ca="1" si="28"/>
        <v>39.104915783619241</v>
      </c>
      <c r="V118" s="55">
        <f t="shared" ca="1" si="29"/>
        <v>0</v>
      </c>
      <c r="W118" s="55">
        <f t="shared" ca="1" si="34"/>
        <v>-65.049712318601422</v>
      </c>
      <c r="X118" s="55">
        <f t="shared" ca="1" si="35"/>
        <v>67.329295832861504</v>
      </c>
      <c r="Y118" s="55">
        <f t="shared" ca="1" si="36"/>
        <v>13.549490821114144</v>
      </c>
      <c r="Z118">
        <f t="shared" ca="1" si="30"/>
        <v>120</v>
      </c>
      <c r="AA118">
        <f t="shared" ca="1" si="37"/>
        <v>226.10008224115924</v>
      </c>
      <c r="AB118">
        <f t="shared" ca="1" si="31"/>
        <v>0</v>
      </c>
      <c r="AC118">
        <f t="shared" ca="1" si="32"/>
        <v>0.99482377587429882</v>
      </c>
      <c r="AD118" s="83">
        <f ca="1"/>
        <v>45662</v>
      </c>
      <c r="AE118" s="55">
        <f t="shared" ca="1" si="41"/>
        <v>45662</v>
      </c>
      <c r="AF118" s="55">
        <f t="shared" ca="1" si="42"/>
        <v>-10.138328862901435</v>
      </c>
      <c r="AG118" s="55">
        <f t="shared" ca="1" si="43"/>
        <v>157.20450619171973</v>
      </c>
      <c r="AH118" s="55">
        <f t="shared" ca="1" si="44"/>
        <v>0</v>
      </c>
      <c r="AI118" s="55">
        <f t="shared" ca="1" si="38"/>
        <v>-1.9804147441375335</v>
      </c>
      <c r="AJ118" s="55">
        <f t="shared" ca="1" si="39"/>
        <v>86.569778660277962</v>
      </c>
      <c r="AK118" s="55">
        <f t="shared" ca="1" si="40"/>
        <v>30.438569914232954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30.166119911584854</v>
      </c>
      <c r="U119" s="55">
        <f t="shared" ca="1" si="28"/>
        <v>40.576297461687325</v>
      </c>
      <c r="V119" s="55">
        <f t="shared" ca="1" si="29"/>
        <v>0</v>
      </c>
      <c r="W119" s="55">
        <f t="shared" ca="1" si="34"/>
        <v>-65.144407703715174</v>
      </c>
      <c r="X119" s="55">
        <f t="shared" ca="1" si="35"/>
        <v>67.964690344332269</v>
      </c>
      <c r="Y119" s="55">
        <f t="shared" ca="1" si="36"/>
        <v>13.603977841770991</v>
      </c>
      <c r="Z119">
        <f t="shared" ca="1" si="30"/>
        <v>120</v>
      </c>
      <c r="AA119">
        <f t="shared" ca="1" si="37"/>
        <v>226.67008224115926</v>
      </c>
      <c r="AB119">
        <f t="shared" ca="1" si="31"/>
        <v>0</v>
      </c>
      <c r="AC119">
        <f t="shared" ca="1" si="32"/>
        <v>0.99545552010326355</v>
      </c>
      <c r="AD119" s="83">
        <f ca="1"/>
        <v>45663</v>
      </c>
      <c r="AE119" s="55">
        <f t="shared" ca="1" si="41"/>
        <v>45663</v>
      </c>
      <c r="AF119" s="55">
        <f t="shared" ca="1" si="42"/>
        <v>-15.858370441430209</v>
      </c>
      <c r="AG119" s="55">
        <f t="shared" ca="1" si="43"/>
        <v>163.65049574738242</v>
      </c>
      <c r="AH119" s="55">
        <f t="shared" ca="1" si="44"/>
        <v>0</v>
      </c>
      <c r="AI119" s="55">
        <f t="shared" ca="1" si="38"/>
        <v>-1.9804147441375335</v>
      </c>
      <c r="AJ119" s="55">
        <f t="shared" ca="1" si="39"/>
        <v>87.232548158333287</v>
      </c>
      <c r="AK119" s="55">
        <f t="shared" ca="1" si="40"/>
        <v>30.501748393311541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29.012386129355072</v>
      </c>
      <c r="U120" s="55">
        <f t="shared" ca="1" si="28"/>
        <v>42.050824510204272</v>
      </c>
      <c r="V120" s="55">
        <f t="shared" ca="1" si="29"/>
        <v>0</v>
      </c>
      <c r="W120" s="55">
        <f t="shared" ca="1" si="34"/>
        <v>-65.497517875764913</v>
      </c>
      <c r="X120" s="55">
        <f t="shared" ca="1" si="35"/>
        <v>68.586180559147564</v>
      </c>
      <c r="Y120" s="55">
        <f t="shared" ca="1" si="36"/>
        <v>13.656391065292611</v>
      </c>
      <c r="Z120">
        <f t="shared" ca="1" si="30"/>
        <v>120</v>
      </c>
      <c r="AA120">
        <f t="shared" ca="1" si="37"/>
        <v>228.88008224115927</v>
      </c>
      <c r="AB120">
        <f t="shared" ca="1" si="31"/>
        <v>0</v>
      </c>
      <c r="AC120">
        <f t="shared" ca="1" si="32"/>
        <v>0.99599839123943756</v>
      </c>
      <c r="AD120" s="83">
        <f ca="1"/>
        <v>45664</v>
      </c>
      <c r="AE120" s="55">
        <f t="shared" ca="1" si="41"/>
        <v>45664</v>
      </c>
      <c r="AF120" s="55">
        <f t="shared" ca="1" si="42"/>
        <v>-21.378879437739464</v>
      </c>
      <c r="AG120" s="55">
        <f t="shared" ca="1" si="43"/>
        <v>169.85643853755667</v>
      </c>
      <c r="AH120" s="55">
        <f t="shared" ca="1" si="44"/>
        <v>0</v>
      </c>
      <c r="AI120" s="55">
        <f t="shared" ca="1" si="38"/>
        <v>-1.9804147441375335</v>
      </c>
      <c r="AJ120" s="55">
        <f t="shared" ca="1" si="39"/>
        <v>87.860265484320081</v>
      </c>
      <c r="AK120" s="55">
        <f t="shared" ca="1" si="40"/>
        <v>30.559464861189735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28.020590076556736</v>
      </c>
      <c r="U121" s="55">
        <f t="shared" ca="1" si="28"/>
        <v>43.646273863673514</v>
      </c>
      <c r="V121" s="55">
        <f t="shared" ca="1" si="29"/>
        <v>0</v>
      </c>
      <c r="W121" s="55">
        <f t="shared" ca="1" si="34"/>
        <v>-65.600909792192326</v>
      </c>
      <c r="X121" s="55">
        <f t="shared" ca="1" si="35"/>
        <v>69.240205474428052</v>
      </c>
      <c r="Y121" s="55">
        <f t="shared" ca="1" si="36"/>
        <v>13.709411367110446</v>
      </c>
      <c r="Z121">
        <f t="shared" ca="1" si="30"/>
        <v>120</v>
      </c>
      <c r="AA121">
        <f t="shared" ca="1" si="37"/>
        <v>229.55008224115926</v>
      </c>
      <c r="AB121">
        <f t="shared" ca="1" si="31"/>
        <v>0</v>
      </c>
      <c r="AC121">
        <f t="shared" ca="1" si="32"/>
        <v>0.99650126089910773</v>
      </c>
      <c r="AD121" s="83">
        <f ca="1"/>
        <v>45665</v>
      </c>
      <c r="AE121" s="55">
        <f t="shared" ca="1" si="41"/>
        <v>45665</v>
      </c>
      <c r="AF121" s="55">
        <f t="shared" ca="1" si="42"/>
        <v>-27.182406998279717</v>
      </c>
      <c r="AG121" s="55">
        <f t="shared" ca="1" si="43"/>
        <v>176.35675907697745</v>
      </c>
      <c r="AH121" s="55">
        <f t="shared" ca="1" si="44"/>
        <v>0</v>
      </c>
      <c r="AI121" s="55">
        <f t="shared" ca="1" si="38"/>
        <v>-1.9804147441375335</v>
      </c>
      <c r="AJ121" s="55">
        <f t="shared" ca="1" si="39"/>
        <v>88.500955295879976</v>
      </c>
      <c r="AK121" s="55">
        <f t="shared" ca="1" si="40"/>
        <v>30.615568028510371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26.70556123691194</v>
      </c>
      <c r="U122" s="55">
        <f t="shared" ca="1" si="28"/>
        <v>45.239778866545429</v>
      </c>
      <c r="V122" s="55">
        <f t="shared" ca="1" si="29"/>
        <v>0</v>
      </c>
      <c r="W122" s="55">
        <f t="shared" ca="1" si="34"/>
        <v>-66.011246546154268</v>
      </c>
      <c r="X122" s="55">
        <f t="shared" ca="1" si="35"/>
        <v>69.878149245001907</v>
      </c>
      <c r="Y122" s="55">
        <f t="shared" ca="1" si="36"/>
        <v>13.760280513725652</v>
      </c>
      <c r="Z122">
        <f t="shared" ca="1" si="30"/>
        <v>120</v>
      </c>
      <c r="AA122">
        <f t="shared" ca="1" si="37"/>
        <v>232.34008224115925</v>
      </c>
      <c r="AB122">
        <f t="shared" ca="1" si="31"/>
        <v>0</v>
      </c>
      <c r="AC122">
        <f t="shared" ca="1" si="32"/>
        <v>0.99693059384981875</v>
      </c>
      <c r="AD122" s="83">
        <f ca="1"/>
        <v>45666</v>
      </c>
      <c r="AE122" s="55">
        <f t="shared" ca="1" si="41"/>
        <v>45666</v>
      </c>
      <c r="AF122" s="55">
        <f t="shared" ca="1" si="42"/>
        <v>-32.887602547504564</v>
      </c>
      <c r="AG122" s="55">
        <f t="shared" ca="1" si="43"/>
        <v>182.70065159725786</v>
      </c>
      <c r="AH122" s="55">
        <f t="shared" ca="1" si="44"/>
        <v>0</v>
      </c>
      <c r="AI122" s="55">
        <f t="shared" ca="1" si="38"/>
        <v>-1.9804147441375335</v>
      </c>
      <c r="AJ122" s="55">
        <f t="shared" ca="1" si="39"/>
        <v>89.091668578162199</v>
      </c>
      <c r="AK122" s="55">
        <f t="shared" ca="1" si="40"/>
        <v>30.663551717283706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25.749706576989244</v>
      </c>
      <c r="U123" s="55">
        <f t="shared" ca="1" si="28"/>
        <v>46.881612478151141</v>
      </c>
      <c r="V123" s="55">
        <f t="shared" ca="1" si="29"/>
        <v>0</v>
      </c>
      <c r="W123" s="55">
        <f t="shared" ca="1" si="34"/>
        <v>-66.016918945284274</v>
      </c>
      <c r="X123" s="55">
        <f t="shared" ca="1" si="35"/>
        <v>70.519929161520267</v>
      </c>
      <c r="Y123" s="55">
        <f t="shared" ca="1" si="36"/>
        <v>13.810151948020311</v>
      </c>
      <c r="Z123">
        <f t="shared" ca="1" si="30"/>
        <v>120</v>
      </c>
      <c r="AA123">
        <f t="shared" ca="1" si="37"/>
        <v>232.38008224115924</v>
      </c>
      <c r="AB123">
        <f t="shared" ca="1" si="31"/>
        <v>0</v>
      </c>
      <c r="AC123">
        <f t="shared" ca="1" si="32"/>
        <v>0.99730960749570996</v>
      </c>
      <c r="AD123" s="83">
        <f ca="1"/>
        <v>45667</v>
      </c>
      <c r="AE123" s="55">
        <f t="shared" ca="1" si="41"/>
        <v>45667</v>
      </c>
      <c r="AF123" s="55">
        <f t="shared" ca="1" si="42"/>
        <v>-38.943161811503764</v>
      </c>
      <c r="AG123" s="55">
        <f t="shared" ca="1" si="43"/>
        <v>189.39882315671051</v>
      </c>
      <c r="AH123" s="55">
        <f t="shared" ca="1" si="44"/>
        <v>0</v>
      </c>
      <c r="AI123" s="55">
        <f t="shared" ca="1" si="38"/>
        <v>-1.9804147441375335</v>
      </c>
      <c r="AJ123" s="55">
        <f t="shared" ca="1" si="39"/>
        <v>89.68913325103965</v>
      </c>
      <c r="AK123" s="55">
        <f t="shared" ca="1" si="40"/>
        <v>30.708699339859702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24.726621926970275</v>
      </c>
      <c r="U124" s="55">
        <f t="shared" ca="1" si="28"/>
        <v>48.61626275968446</v>
      </c>
      <c r="V124" s="55">
        <f t="shared" ca="1" si="29"/>
        <v>0</v>
      </c>
      <c r="W124" s="55">
        <f t="shared" ca="1" si="34"/>
        <v>-66.016918945284274</v>
      </c>
      <c r="X124" s="55">
        <f t="shared" ca="1" si="35"/>
        <v>71.18176404999592</v>
      </c>
      <c r="Y124" s="55">
        <f t="shared" ca="1" si="36"/>
        <v>13.859882691059013</v>
      </c>
      <c r="Z124">
        <f t="shared" ca="1" si="30"/>
        <v>117.96521739130435</v>
      </c>
      <c r="AA124">
        <f t="shared" ca="1" si="37"/>
        <v>232.38008224115924</v>
      </c>
      <c r="AB124">
        <f t="shared" ca="1" si="31"/>
        <v>0</v>
      </c>
      <c r="AC124">
        <f t="shared" ca="1" si="32"/>
        <v>0.99765197141913131</v>
      </c>
      <c r="AD124" s="83">
        <f ca="1"/>
        <v>45668</v>
      </c>
      <c r="AE124" s="55">
        <f t="shared" ca="1" si="41"/>
        <v>45668</v>
      </c>
      <c r="AF124" s="55">
        <f t="shared" ca="1" si="42"/>
        <v>-45.086593790618544</v>
      </c>
      <c r="AG124" s="55">
        <f t="shared" ca="1" si="43"/>
        <v>196.15926264437013</v>
      </c>
      <c r="AH124" s="55">
        <f t="shared" ca="1" si="44"/>
        <v>0</v>
      </c>
      <c r="AI124" s="55">
        <f t="shared" ca="1" si="38"/>
        <v>-1.9804147441375335</v>
      </c>
      <c r="AJ124" s="55">
        <f t="shared" ca="1" si="39"/>
        <v>90.2659694229487</v>
      </c>
      <c r="AK124" s="55">
        <f t="shared" ca="1" si="40"/>
        <v>30.748870676495496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23.681973586581805</v>
      </c>
      <c r="U125" s="55">
        <f t="shared" ca="1" si="28"/>
        <v>50.35965964765024</v>
      </c>
      <c r="V125" s="55">
        <f t="shared" ca="1" si="29"/>
        <v>0</v>
      </c>
      <c r="W125" s="55">
        <f t="shared" ca="1" si="34"/>
        <v>-66.016918945284274</v>
      </c>
      <c r="X125" s="55">
        <f t="shared" ca="1" si="35"/>
        <v>71.832552255696726</v>
      </c>
      <c r="Y125" s="55">
        <f t="shared" ca="1" si="36"/>
        <v>13.907843032935515</v>
      </c>
      <c r="Z125">
        <f t="shared" ca="1" si="30"/>
        <v>119.72182756264547</v>
      </c>
      <c r="AA125">
        <f t="shared" ca="1" si="37"/>
        <v>232.38008224115924</v>
      </c>
      <c r="AB125">
        <f t="shared" ca="1" si="31"/>
        <v>0</v>
      </c>
      <c r="AC125">
        <f t="shared" ca="1" si="32"/>
        <v>0.9979460555209112</v>
      </c>
      <c r="AD125" s="83">
        <f ca="1"/>
        <v>45669</v>
      </c>
      <c r="AE125" s="55">
        <f t="shared" ca="1" si="41"/>
        <v>45669</v>
      </c>
      <c r="AF125" s="55">
        <f t="shared" ca="1" si="42"/>
        <v>-51.527915309817637</v>
      </c>
      <c r="AG125" s="55">
        <f t="shared" ca="1" si="43"/>
        <v>203.22537029281122</v>
      </c>
      <c r="AH125" s="55">
        <f t="shared" ca="1" si="44"/>
        <v>0</v>
      </c>
      <c r="AI125" s="55">
        <f t="shared" ca="1" si="38"/>
        <v>-1.9804147441375335</v>
      </c>
      <c r="AJ125" s="55">
        <f t="shared" ca="1" si="39"/>
        <v>90.85257241048518</v>
      </c>
      <c r="AK125" s="55">
        <f t="shared" ca="1" si="40"/>
        <v>30.787053818201013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22.309035981462458</v>
      </c>
      <c r="U126" s="55">
        <f t="shared" ca="1" si="28"/>
        <v>52.325730700127878</v>
      </c>
      <c r="V126" s="55">
        <f t="shared" ca="1" si="29"/>
        <v>0</v>
      </c>
      <c r="W126" s="55">
        <f t="shared" ca="1" si="34"/>
        <v>-66.191389072353147</v>
      </c>
      <c r="X126" s="55">
        <f t="shared" ca="1" si="35"/>
        <v>72.550033526891156</v>
      </c>
      <c r="Y126" s="55">
        <f t="shared" ca="1" si="36"/>
        <v>13.957965336168252</v>
      </c>
      <c r="Z126">
        <f t="shared" ca="1" si="30"/>
        <v>120</v>
      </c>
      <c r="AA126">
        <f t="shared" ca="1" si="37"/>
        <v>233.80013921030508</v>
      </c>
      <c r="AB126">
        <f t="shared" ca="1" si="31"/>
        <v>0</v>
      </c>
      <c r="AC126">
        <f t="shared" ca="1" si="32"/>
        <v>0.99822794730048714</v>
      </c>
      <c r="AD126" s="83">
        <f ca="1"/>
        <v>45670</v>
      </c>
      <c r="AE126" s="55">
        <f t="shared" ca="1" si="41"/>
        <v>45670</v>
      </c>
      <c r="AF126" s="55">
        <f t="shared" ca="1" si="42"/>
        <v>-57.819908453139384</v>
      </c>
      <c r="AG126" s="55">
        <f t="shared" ca="1" si="43"/>
        <v>210.13704805060334</v>
      </c>
      <c r="AH126" s="55">
        <f t="shared" ca="1" si="44"/>
        <v>0</v>
      </c>
      <c r="AI126" s="55">
        <f t="shared" ca="1" si="38"/>
        <v>-1.9804147441375335</v>
      </c>
      <c r="AJ126" s="55">
        <f t="shared" ca="1" si="39"/>
        <v>91.434462352797496</v>
      </c>
      <c r="AK126" s="55">
        <f t="shared" ca="1" si="40"/>
        <v>30.82484849035907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21.061595860744596</v>
      </c>
      <c r="U127" s="55">
        <f t="shared" ca="1" si="28"/>
        <v>54.341646660986143</v>
      </c>
      <c r="V127" s="55">
        <f t="shared" ca="1" si="29"/>
        <v>0</v>
      </c>
      <c r="W127" s="55">
        <f t="shared" ca="1" si="34"/>
        <v>-66.191389072353147</v>
      </c>
      <c r="X127" s="55">
        <f t="shared" ca="1" si="35"/>
        <v>73.26957964284324</v>
      </c>
      <c r="Y127" s="55">
        <f t="shared" ca="1" si="36"/>
        <v>14.006895060356573</v>
      </c>
      <c r="Z127">
        <f t="shared" ca="1" si="30"/>
        <v>118.9217391304348</v>
      </c>
      <c r="AA127">
        <f t="shared" ca="1" si="37"/>
        <v>233.80013921030508</v>
      </c>
      <c r="AB127">
        <f t="shared" ca="1" si="31"/>
        <v>0</v>
      </c>
      <c r="AC127">
        <f t="shared" ca="1" si="32"/>
        <v>0.99847184205399397</v>
      </c>
      <c r="AD127" s="83">
        <f ca="1"/>
        <v>45671</v>
      </c>
      <c r="AE127" s="55">
        <f t="shared" ca="1" si="41"/>
        <v>45671</v>
      </c>
      <c r="AF127" s="55">
        <f t="shared" ca="1" si="42"/>
        <v>-63.803144954820681</v>
      </c>
      <c r="AG127" s="55">
        <f t="shared" ca="1" si="43"/>
        <v>216.71828261664987</v>
      </c>
      <c r="AH127" s="55">
        <f t="shared" ca="1" si="44"/>
        <v>0</v>
      </c>
      <c r="AI127" s="55">
        <f t="shared" ca="1" si="38"/>
        <v>-1.9804147441375335</v>
      </c>
      <c r="AJ127" s="55">
        <f t="shared" ca="1" si="39"/>
        <v>91.996234745567847</v>
      </c>
      <c r="AK127" s="55">
        <f t="shared" ca="1" si="40"/>
        <v>30.861074161953955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84.68038232235449</v>
      </c>
      <c r="U128" s="55">
        <f t="shared" ca="1" si="28"/>
        <v>56.464318292312512</v>
      </c>
      <c r="V128" s="55">
        <f t="shared" ca="1" si="29"/>
        <v>64.950199094381503</v>
      </c>
      <c r="W128" s="55">
        <f t="shared" ca="1" si="34"/>
        <v>-66.191389072353147</v>
      </c>
      <c r="X128" s="55">
        <f t="shared" ca="1" si="35"/>
        <v>74.012087040542511</v>
      </c>
      <c r="Y128" s="55">
        <f t="shared" ca="1" si="36"/>
        <v>14.055646661212055</v>
      </c>
      <c r="Z128">
        <f t="shared" ca="1" si="30"/>
        <v>119.3739466628101</v>
      </c>
      <c r="AA128">
        <f t="shared" ca="1" si="37"/>
        <v>233.80013921030508</v>
      </c>
      <c r="AB128">
        <f t="shared" ca="1" si="31"/>
        <v>0</v>
      </c>
      <c r="AC128">
        <f t="shared" ca="1" si="32"/>
        <v>0.99868819139491527</v>
      </c>
      <c r="AD128" s="83">
        <f ca="1"/>
        <v>45672</v>
      </c>
      <c r="AE128" s="55">
        <f t="shared" ca="1" si="41"/>
        <v>45672</v>
      </c>
      <c r="AF128" s="55">
        <f t="shared" ca="1" si="42"/>
        <v>-69.879443081304203</v>
      </c>
      <c r="AG128" s="55">
        <f t="shared" ca="1" si="43"/>
        <v>223.40550900213663</v>
      </c>
      <c r="AH128" s="55">
        <f t="shared" ca="1" si="44"/>
        <v>0</v>
      </c>
      <c r="AI128" s="55">
        <f t="shared" ca="1" si="38"/>
        <v>-1.9804147441375335</v>
      </c>
      <c r="AJ128" s="55">
        <f t="shared" ca="1" si="39"/>
        <v>92.570944117826699</v>
      </c>
      <c r="AK128" s="55">
        <f t="shared" ca="1" si="40"/>
        <v>30.897293048698334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82.841767754862587</v>
      </c>
      <c r="U129" s="55">
        <f t="shared" ca="1" si="28"/>
        <v>58.53201436454998</v>
      </c>
      <c r="V129" s="55">
        <f t="shared" ca="1" si="29"/>
        <v>0</v>
      </c>
      <c r="W129" s="55">
        <f t="shared" ca="1" si="34"/>
        <v>-66.716066496046366</v>
      </c>
      <c r="X129" s="55">
        <f t="shared" ca="1" si="35"/>
        <v>74.719981927214235</v>
      </c>
      <c r="Y129" s="55">
        <f t="shared" ca="1" si="36"/>
        <v>14.101510702979116</v>
      </c>
      <c r="Z129">
        <f t="shared" ca="1" si="30"/>
        <v>120</v>
      </c>
      <c r="AA129">
        <f t="shared" ca="1" si="37"/>
        <v>234.9501674736336</v>
      </c>
      <c r="AB129">
        <f t="shared" ca="1" si="31"/>
        <v>0</v>
      </c>
      <c r="AC129">
        <f t="shared" ca="1" si="32"/>
        <v>0.9988661593536633</v>
      </c>
      <c r="AD129" s="83">
        <f ca="1"/>
        <v>45673</v>
      </c>
      <c r="AE129" s="55">
        <f t="shared" ca="1" si="41"/>
        <v>45673</v>
      </c>
      <c r="AF129" s="55">
        <f t="shared" ca="1" si="42"/>
        <v>-76.161191184137209</v>
      </c>
      <c r="AG129" s="55">
        <f t="shared" ca="1" si="43"/>
        <v>230.29413180914582</v>
      </c>
      <c r="AH129" s="55">
        <f t="shared" ca="1" si="44"/>
        <v>0</v>
      </c>
      <c r="AI129" s="55">
        <f t="shared" ca="1" si="38"/>
        <v>-1.9804147441375335</v>
      </c>
      <c r="AJ129" s="55">
        <f t="shared" ca="1" si="39"/>
        <v>93.144667351719676</v>
      </c>
      <c r="AK129" s="55">
        <f t="shared" ca="1" si="40"/>
        <v>30.930444518981556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81.419269347104361</v>
      </c>
      <c r="U130" s="55">
        <f t="shared" ca="1" si="28"/>
        <v>60.746204312139042</v>
      </c>
      <c r="V130" s="55">
        <f t="shared" ca="1" si="29"/>
        <v>0</v>
      </c>
      <c r="W130" s="55">
        <f t="shared" ca="1" si="34"/>
        <v>-66.716066496046366</v>
      </c>
      <c r="X130" s="55">
        <f t="shared" ca="1" si="35"/>
        <v>75.465303465307684</v>
      </c>
      <c r="Y130" s="55">
        <f t="shared" ca="1" si="36"/>
        <v>14.147880704716506</v>
      </c>
      <c r="Z130">
        <f t="shared" ca="1" si="30"/>
        <v>119.63478260869566</v>
      </c>
      <c r="AA130">
        <f t="shared" ca="1" si="37"/>
        <v>234.9501674736336</v>
      </c>
      <c r="AB130">
        <f t="shared" ca="1" si="31"/>
        <v>0</v>
      </c>
      <c r="AC130">
        <f t="shared" ca="1" si="32"/>
        <v>0.99902727400210534</v>
      </c>
      <c r="AD130" s="83">
        <f ca="1"/>
        <v>45674</v>
      </c>
      <c r="AE130" s="55">
        <f t="shared" ca="1" si="41"/>
        <v>45674</v>
      </c>
      <c r="AF130" s="55">
        <f t="shared" ca="1" si="42"/>
        <v>-82.536394684054926</v>
      </c>
      <c r="AG130" s="55">
        <f t="shared" ca="1" si="43"/>
        <v>237.28535916414114</v>
      </c>
      <c r="AH130" s="55">
        <f t="shared" ca="1" si="44"/>
        <v>0</v>
      </c>
      <c r="AI130" s="55">
        <f t="shared" ca="1" si="38"/>
        <v>-1.9804147441375335</v>
      </c>
      <c r="AJ130" s="55">
        <f t="shared" ca="1" si="39"/>
        <v>93.728218716965785</v>
      </c>
      <c r="AK130" s="55">
        <f t="shared" ca="1" si="40"/>
        <v>30.96291700881304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80.015143003784416</v>
      </c>
      <c r="U131" s="55">
        <f t="shared" ca="1" si="28"/>
        <v>62.908146445762014</v>
      </c>
      <c r="V131" s="55">
        <f t="shared" ca="1" si="29"/>
        <v>0</v>
      </c>
      <c r="W131" s="55">
        <f t="shared" ca="1" si="34"/>
        <v>-66.716066496046366</v>
      </c>
      <c r="X131" s="55">
        <f t="shared" ca="1" si="35"/>
        <v>76.179351661388253</v>
      </c>
      <c r="Y131" s="55">
        <f t="shared" ca="1" si="36"/>
        <v>14.191648298938969</v>
      </c>
      <c r="Z131">
        <f t="shared" ca="1" si="30"/>
        <v>119.49566021832254</v>
      </c>
      <c r="AA131">
        <f t="shared" ca="1" si="37"/>
        <v>234.9501674736336</v>
      </c>
      <c r="AB131">
        <f t="shared" ca="1" si="31"/>
        <v>0</v>
      </c>
      <c r="AC131">
        <f t="shared" ca="1" si="32"/>
        <v>0.99916032111091568</v>
      </c>
      <c r="AD131" s="83">
        <f ca="1"/>
        <v>45675</v>
      </c>
      <c r="AE131" s="55">
        <f t="shared" ca="1" si="41"/>
        <v>45675</v>
      </c>
      <c r="AF131" s="55">
        <f t="shared" ca="1" si="42"/>
        <v>-88.664931053739423</v>
      </c>
      <c r="AG131" s="55">
        <f t="shared" ca="1" si="43"/>
        <v>244.03769387058625</v>
      </c>
      <c r="AH131" s="55">
        <f t="shared" ca="1" si="44"/>
        <v>0</v>
      </c>
      <c r="AI131" s="55">
        <f t="shared" ca="1" si="38"/>
        <v>-1.9804147441375335</v>
      </c>
      <c r="AJ131" s="55">
        <f t="shared" ca="1" si="39"/>
        <v>94.318128916352407</v>
      </c>
      <c r="AK131" s="55">
        <f t="shared" ca="1" si="40"/>
        <v>30.99680514618704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78.650913890973399</v>
      </c>
      <c r="U132" s="55">
        <f t="shared" ca="1" si="28"/>
        <v>64.990407284609503</v>
      </c>
      <c r="V132" s="55">
        <f t="shared" ca="1" si="29"/>
        <v>0</v>
      </c>
      <c r="W132" s="55">
        <f t="shared" ca="1" si="34"/>
        <v>-66.716066496046366</v>
      </c>
      <c r="X132" s="55">
        <f t="shared" ca="1" si="35"/>
        <v>76.856321264088677</v>
      </c>
      <c r="Y132" s="55">
        <f t="shared" ca="1" si="36"/>
        <v>14.232710422275009</v>
      </c>
      <c r="Z132">
        <f t="shared" ca="1" si="30"/>
        <v>117.75653939231223</v>
      </c>
      <c r="AA132">
        <f t="shared" ca="1" si="37"/>
        <v>234.9501674736336</v>
      </c>
      <c r="AB132">
        <f t="shared" ca="1" si="31"/>
        <v>0</v>
      </c>
      <c r="AC132">
        <f t="shared" ca="1" si="32"/>
        <v>0.99926966643303661</v>
      </c>
      <c r="AD132" s="83">
        <f ca="1"/>
        <v>45676</v>
      </c>
      <c r="AE132" s="55">
        <f t="shared" ca="1" si="41"/>
        <v>45676</v>
      </c>
      <c r="AF132" s="55">
        <f t="shared" ca="1" si="42"/>
        <v>-94.94031849650429</v>
      </c>
      <c r="AG132" s="55">
        <f t="shared" ca="1" si="43"/>
        <v>250.96202995604773</v>
      </c>
      <c r="AH132" s="55">
        <f t="shared" ca="1" si="44"/>
        <v>0</v>
      </c>
      <c r="AI132" s="55">
        <f t="shared" ca="1" si="38"/>
        <v>-1.9804147441375335</v>
      </c>
      <c r="AJ132" s="55">
        <f t="shared" ca="1" si="39"/>
        <v>94.932685758725327</v>
      </c>
      <c r="AK132" s="55">
        <f t="shared" ca="1" si="40"/>
        <v>31.031196946510736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77.177556259803453</v>
      </c>
      <c r="U133" s="55">
        <f t="shared" ca="1" si="28"/>
        <v>67.004957389969093</v>
      </c>
      <c r="V133" s="55">
        <f t="shared" ca="1" si="29"/>
        <v>0</v>
      </c>
      <c r="W133" s="55">
        <f t="shared" ca="1" si="34"/>
        <v>-66.860590353819319</v>
      </c>
      <c r="X133" s="55">
        <f t="shared" ca="1" si="35"/>
        <v>77.503238946571528</v>
      </c>
      <c r="Y133" s="55">
        <f t="shared" ca="1" si="36"/>
        <v>14.271509071754757</v>
      </c>
      <c r="Z133">
        <f t="shared" ca="1" si="30"/>
        <v>120</v>
      </c>
      <c r="AA133">
        <f t="shared" ca="1" si="37"/>
        <v>235.29019495358767</v>
      </c>
      <c r="AB133">
        <f t="shared" ca="1" si="31"/>
        <v>0</v>
      </c>
      <c r="AC133">
        <f t="shared" ca="1" si="32"/>
        <v>0.99936073977356132</v>
      </c>
      <c r="AD133" s="83">
        <f ca="1"/>
        <v>45677</v>
      </c>
      <c r="AE133" s="55">
        <f t="shared" ca="1" si="41"/>
        <v>45677</v>
      </c>
      <c r="AF133" s="55">
        <f t="shared" ca="1" si="42"/>
        <v>-100.95399502475394</v>
      </c>
      <c r="AG133" s="55">
        <f t="shared" ca="1" si="43"/>
        <v>257.62034082720891</v>
      </c>
      <c r="AH133" s="55">
        <f t="shared" ca="1" si="44"/>
        <v>0</v>
      </c>
      <c r="AI133" s="55">
        <f t="shared" ca="1" si="38"/>
        <v>-1.9804147441375335</v>
      </c>
      <c r="AJ133" s="55">
        <f t="shared" ca="1" si="39"/>
        <v>95.54327194762368</v>
      </c>
      <c r="AK133" s="55">
        <f t="shared" ca="1" si="40"/>
        <v>31.065245100523914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75.81033053438891</v>
      </c>
      <c r="U134" s="55">
        <f t="shared" ca="1" si="28"/>
        <v>69.063008326597796</v>
      </c>
      <c r="V134" s="55">
        <f t="shared" ca="1" si="29"/>
        <v>0</v>
      </c>
      <c r="W134" s="55">
        <f t="shared" ca="1" si="34"/>
        <v>-66.860590353819319</v>
      </c>
      <c r="X134" s="55">
        <f t="shared" ca="1" si="35"/>
        <v>78.155967947534975</v>
      </c>
      <c r="Y134" s="55">
        <f t="shared" ca="1" si="36"/>
        <v>14.309605282005473</v>
      </c>
      <c r="Z134">
        <f t="shared" ca="1" si="30"/>
        <v>118.81739130434781</v>
      </c>
      <c r="AA134">
        <f t="shared" ca="1" si="37"/>
        <v>235.29019495358767</v>
      </c>
      <c r="AB134">
        <f t="shared" ca="1" si="31"/>
        <v>0</v>
      </c>
      <c r="AC134">
        <f t="shared" ca="1" si="32"/>
        <v>0.99944115651990961</v>
      </c>
      <c r="AD134" s="83">
        <f ca="1"/>
        <v>45678</v>
      </c>
      <c r="AE134" s="55">
        <f t="shared" ca="1" si="41"/>
        <v>45678</v>
      </c>
      <c r="AF134" s="55">
        <f t="shared" ca="1" si="42"/>
        <v>-106.65500896723179</v>
      </c>
      <c r="AG134" s="55">
        <f t="shared" ca="1" si="43"/>
        <v>263.9431631761571</v>
      </c>
      <c r="AH134" s="55">
        <f t="shared" ca="1" si="44"/>
        <v>0</v>
      </c>
      <c r="AI134" s="55">
        <f t="shared" ca="1" si="38"/>
        <v>-1.9804147441375335</v>
      </c>
      <c r="AJ134" s="55">
        <f t="shared" ca="1" si="39"/>
        <v>96.133074853817789</v>
      </c>
      <c r="AK134" s="55">
        <f t="shared" ca="1" si="40"/>
        <v>31.097250600800134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74.373931279960644</v>
      </c>
      <c r="U135" s="55">
        <f t="shared" ca="1" si="28"/>
        <v>71.210375778539273</v>
      </c>
      <c r="V135" s="55">
        <f t="shared" ca="1" si="29"/>
        <v>0</v>
      </c>
      <c r="W135" s="55">
        <f t="shared" ca="1" si="34"/>
        <v>-66.860590353819319</v>
      </c>
      <c r="X135" s="55">
        <f t="shared" ca="1" si="35"/>
        <v>78.828968347025054</v>
      </c>
      <c r="Y135" s="55">
        <f t="shared" ca="1" si="36"/>
        <v>14.347573080028601</v>
      </c>
      <c r="Z135">
        <f t="shared" ca="1" si="30"/>
        <v>119.94784109438045</v>
      </c>
      <c r="AA135">
        <f t="shared" ca="1" si="37"/>
        <v>235.29019495358767</v>
      </c>
      <c r="AB135">
        <f t="shared" ca="1" si="31"/>
        <v>0</v>
      </c>
      <c r="AC135">
        <f t="shared" ca="1" si="32"/>
        <v>0.99951354612417642</v>
      </c>
      <c r="AD135" s="83">
        <f ca="1"/>
        <v>45679</v>
      </c>
      <c r="AE135" s="55">
        <f t="shared" ca="1" si="41"/>
        <v>45679</v>
      </c>
      <c r="AF135" s="55">
        <f t="shared" ca="1" si="42"/>
        <v>-112.09368546823708</v>
      </c>
      <c r="AG135" s="55">
        <f t="shared" ca="1" si="43"/>
        <v>269.98960372795949</v>
      </c>
      <c r="AH135" s="55">
        <f t="shared" ca="1" si="44"/>
        <v>0</v>
      </c>
      <c r="AI135" s="55">
        <f t="shared" ca="1" si="38"/>
        <v>-1.9804147441375335</v>
      </c>
      <c r="AJ135" s="55">
        <f t="shared" ca="1" si="39"/>
        <v>96.710186829936916</v>
      </c>
      <c r="AK135" s="55">
        <f t="shared" ca="1" si="40"/>
        <v>31.127902675478108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72.291419549976865</v>
      </c>
      <c r="U136" s="55">
        <f t="shared" ca="1" si="28"/>
        <v>73.31900809158077</v>
      </c>
      <c r="V136" s="55">
        <f t="shared" ca="1" si="29"/>
        <v>0</v>
      </c>
      <c r="W136" s="55">
        <f t="shared" ca="1" si="34"/>
        <v>-67.525465419212708</v>
      </c>
      <c r="X136" s="55">
        <f t="shared" ca="1" si="35"/>
        <v>79.483641834919794</v>
      </c>
      <c r="Y136" s="55">
        <f t="shared" ca="1" si="36"/>
        <v>14.38389524058497</v>
      </c>
      <c r="Z136">
        <f t="shared" ca="1" si="30"/>
        <v>120</v>
      </c>
      <c r="AA136">
        <f t="shared" ca="1" si="37"/>
        <v>236.96020385999987</v>
      </c>
      <c r="AB136">
        <f t="shared" ca="1" si="31"/>
        <v>0</v>
      </c>
      <c r="AC136">
        <f t="shared" ca="1" si="32"/>
        <v>0.99957492444185247</v>
      </c>
      <c r="AD136" s="83">
        <f ca="1"/>
        <v>45680</v>
      </c>
      <c r="AE136" s="55">
        <f t="shared" ca="1" si="41"/>
        <v>45680</v>
      </c>
      <c r="AF136" s="55">
        <f t="shared" ca="1" si="42"/>
        <v>-117.44098768008146</v>
      </c>
      <c r="AG136" s="55">
        <f t="shared" ca="1" si="43"/>
        <v>275.98759404202951</v>
      </c>
      <c r="AH136" s="55">
        <f t="shared" ca="1" si="44"/>
        <v>0</v>
      </c>
      <c r="AI136" s="55">
        <f t="shared" ca="1" si="38"/>
        <v>-1.9804147441375335</v>
      </c>
      <c r="AJ136" s="55">
        <f t="shared" ca="1" si="39"/>
        <v>97.327059615346343</v>
      </c>
      <c r="AK136" s="55">
        <f t="shared" ca="1" si="40"/>
        <v>31.161717992294317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69.075339806648756</v>
      </c>
      <c r="U137" s="55">
        <f t="shared" ca="1" si="28"/>
        <v>75.566212847301244</v>
      </c>
      <c r="V137" s="55">
        <f t="shared" ca="1" si="29"/>
        <v>0</v>
      </c>
      <c r="W137" s="55">
        <f t="shared" ca="1" si="34"/>
        <v>-69.222115939565001</v>
      </c>
      <c r="X137" s="55">
        <f t="shared" ca="1" si="35"/>
        <v>80.174620761290797</v>
      </c>
      <c r="Y137" s="55">
        <f t="shared" ca="1" si="36"/>
        <v>14.420691846958622</v>
      </c>
      <c r="Z137">
        <f t="shared" ca="1" si="30"/>
        <v>120</v>
      </c>
      <c r="AA137">
        <f t="shared" ca="1" si="37"/>
        <v>241.42020385999987</v>
      </c>
      <c r="AB137">
        <f t="shared" ca="1" si="31"/>
        <v>0</v>
      </c>
      <c r="AC137">
        <f t="shared" ca="1" si="32"/>
        <v>0.99963136817263798</v>
      </c>
      <c r="AD137" s="83">
        <f ca="1"/>
        <v>45681</v>
      </c>
      <c r="AE137" s="55">
        <f t="shared" ca="1" si="41"/>
        <v>45681</v>
      </c>
      <c r="AF137" s="55">
        <f t="shared" ca="1" si="42"/>
        <v>-122.76217237446636</v>
      </c>
      <c r="AG137" s="55">
        <f t="shared" ca="1" si="43"/>
        <v>281.95171154349657</v>
      </c>
      <c r="AH137" s="55">
        <f t="shared" ca="1" si="44"/>
        <v>0</v>
      </c>
      <c r="AI137" s="55">
        <f t="shared" ca="1" si="38"/>
        <v>-1.9804147441375335</v>
      </c>
      <c r="AJ137" s="55">
        <f t="shared" ca="1" si="39"/>
        <v>97.938399686243002</v>
      </c>
      <c r="AK137" s="55">
        <f t="shared" ca="1" si="40"/>
        <v>31.193310728479826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67.471378365326373</v>
      </c>
      <c r="U138" s="55">
        <f t="shared" ca="1" si="28"/>
        <v>77.928060483701231</v>
      </c>
      <c r="V138" s="55">
        <f t="shared" ca="1" si="29"/>
        <v>0</v>
      </c>
      <c r="W138" s="55">
        <f t="shared" ca="1" si="34"/>
        <v>-69.222115939565001</v>
      </c>
      <c r="X138" s="55">
        <f t="shared" ca="1" si="35"/>
        <v>80.895545524665721</v>
      </c>
      <c r="Y138" s="55">
        <f t="shared" ca="1" si="36"/>
        <v>14.457653278661297</v>
      </c>
      <c r="Z138">
        <f t="shared" ca="1" si="30"/>
        <v>118.9217391304348</v>
      </c>
      <c r="AA138">
        <f t="shared" ca="1" si="37"/>
        <v>241.42020385999987</v>
      </c>
      <c r="AB138">
        <f t="shared" ca="1" si="31"/>
        <v>0</v>
      </c>
      <c r="AC138">
        <f t="shared" ca="1" si="32"/>
        <v>0.99968225362215368</v>
      </c>
      <c r="AD138" s="83">
        <f ca="1"/>
        <v>45682</v>
      </c>
      <c r="AE138" s="55">
        <f t="shared" ca="1" si="41"/>
        <v>45682</v>
      </c>
      <c r="AF138" s="55">
        <f t="shared" ca="1" si="42"/>
        <v>-128.02262703410392</v>
      </c>
      <c r="AG138" s="55">
        <f t="shared" ca="1" si="43"/>
        <v>287.83524886713428</v>
      </c>
      <c r="AH138" s="55">
        <f t="shared" ca="1" si="44"/>
        <v>0</v>
      </c>
      <c r="AI138" s="55">
        <f t="shared" ca="1" si="38"/>
        <v>-1.9804147441375335</v>
      </c>
      <c r="AJ138" s="55">
        <f t="shared" ca="1" si="39"/>
        <v>98.533049925019938</v>
      </c>
      <c r="AK138" s="55">
        <f t="shared" ca="1" si="40"/>
        <v>31.221743153703041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65.87891312898202</v>
      </c>
      <c r="U139" s="55">
        <f t="shared" ca="1" si="28"/>
        <v>80.263952981302779</v>
      </c>
      <c r="V139" s="55">
        <f t="shared" ca="1" si="29"/>
        <v>0</v>
      </c>
      <c r="W139" s="55">
        <f t="shared" ca="1" si="34"/>
        <v>-69.222115939565001</v>
      </c>
      <c r="X139" s="55">
        <f t="shared" ca="1" si="35"/>
        <v>81.603440411337445</v>
      </c>
      <c r="Y139" s="55">
        <f t="shared" ca="1" si="36"/>
        <v>14.493185653246762</v>
      </c>
      <c r="Z139">
        <f t="shared" ca="1" si="30"/>
        <v>117.18261676309908</v>
      </c>
      <c r="AA139">
        <f t="shared" ca="1" si="37"/>
        <v>241.42020385999987</v>
      </c>
      <c r="AB139">
        <f t="shared" ca="1" si="31"/>
        <v>0</v>
      </c>
      <c r="AC139">
        <f t="shared" ca="1" si="32"/>
        <v>0.99972539811595629</v>
      </c>
      <c r="AD139" s="83">
        <f ca="1"/>
        <v>45683</v>
      </c>
      <c r="AE139" s="55">
        <f t="shared" ca="1" si="41"/>
        <v>45683</v>
      </c>
      <c r="AF139" s="55">
        <f t="shared" ca="1" si="42"/>
        <v>-133.55940466048651</v>
      </c>
      <c r="AG139" s="55">
        <f t="shared" ca="1" si="43"/>
        <v>294.03863040101078</v>
      </c>
      <c r="AH139" s="55">
        <f t="shared" ca="1" si="44"/>
        <v>0</v>
      </c>
      <c r="AI139" s="55">
        <f t="shared" ca="1" si="38"/>
        <v>-1.9804147441375335</v>
      </c>
      <c r="AJ139" s="55">
        <f t="shared" ca="1" si="39"/>
        <v>99.170636058294704</v>
      </c>
      <c r="AK139" s="55">
        <f t="shared" ca="1" si="40"/>
        <v>31.250760927922197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64.104713098913336</v>
      </c>
      <c r="U140" s="55">
        <f t="shared" ca="1" si="28"/>
        <v>82.396508466878473</v>
      </c>
      <c r="V140" s="55">
        <f t="shared" ca="1" si="29"/>
        <v>0</v>
      </c>
      <c r="W140" s="55">
        <f t="shared" ca="1" si="34"/>
        <v>-69.539857669338318</v>
      </c>
      <c r="X140" s="55">
        <f t="shared" ca="1" si="35"/>
        <v>82.247143920868297</v>
      </c>
      <c r="Y140" s="55">
        <f t="shared" ca="1" si="36"/>
        <v>14.525579328996239</v>
      </c>
      <c r="Z140">
        <f t="shared" ca="1" si="30"/>
        <v>120</v>
      </c>
      <c r="AA140">
        <f t="shared" ca="1" si="37"/>
        <v>242.32021894529066</v>
      </c>
      <c r="AB140">
        <f t="shared" ca="1" si="31"/>
        <v>0</v>
      </c>
      <c r="AC140">
        <f t="shared" ca="1" si="32"/>
        <v>0.99975948909805401</v>
      </c>
      <c r="AD140" s="83">
        <f ca="1"/>
        <v>45684</v>
      </c>
      <c r="AE140" s="55">
        <f t="shared" ca="1" si="41"/>
        <v>45684</v>
      </c>
      <c r="AF140" s="55">
        <f t="shared" ca="1" si="42"/>
        <v>-138.73387458319476</v>
      </c>
      <c r="AG140" s="55">
        <f t="shared" ca="1" si="43"/>
        <v>299.8825700391871</v>
      </c>
      <c r="AH140" s="55">
        <f t="shared" ca="1" si="44"/>
        <v>0</v>
      </c>
      <c r="AI140" s="55">
        <f t="shared" ca="1" si="38"/>
        <v>-1.9804147441375335</v>
      </c>
      <c r="AJ140" s="55">
        <f t="shared" ca="1" si="39"/>
        <v>99.810536587816003</v>
      </c>
      <c r="AK140" s="55">
        <f t="shared" ca="1" si="40"/>
        <v>31.280330113868967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61.96095518741847</v>
      </c>
      <c r="U141" s="55">
        <f t="shared" ca="1" si="28"/>
        <v>84.643933962864651</v>
      </c>
      <c r="V141" s="55">
        <f t="shared" ca="1" si="29"/>
        <v>0</v>
      </c>
      <c r="W141" s="55">
        <f t="shared" ca="1" si="34"/>
        <v>-70.143842284686983</v>
      </c>
      <c r="X141" s="55">
        <f t="shared" ca="1" si="35"/>
        <v>82.922127065473134</v>
      </c>
      <c r="Y141" s="55">
        <f t="shared" ca="1" si="36"/>
        <v>14.558248384231376</v>
      </c>
      <c r="Z141">
        <f t="shared" ca="1" si="30"/>
        <v>120</v>
      </c>
      <c r="AA141">
        <f t="shared" ca="1" si="37"/>
        <v>244.09021894529064</v>
      </c>
      <c r="AB141">
        <f t="shared" ca="1" si="31"/>
        <v>0</v>
      </c>
      <c r="AC141">
        <f t="shared" ca="1" si="32"/>
        <v>0.99979073885131586</v>
      </c>
      <c r="AD141" s="83">
        <f ca="1"/>
        <v>45685</v>
      </c>
      <c r="AE141" s="55">
        <f t="shared" ca="1" si="41"/>
        <v>45685</v>
      </c>
      <c r="AF141" s="55">
        <f t="shared" ca="1" si="42"/>
        <v>-143.65272110238777</v>
      </c>
      <c r="AG141" s="55">
        <f t="shared" ca="1" si="43"/>
        <v>305.43888455772787</v>
      </c>
      <c r="AH141" s="55">
        <f t="shared" ca="1" si="44"/>
        <v>0</v>
      </c>
      <c r="AI141" s="55">
        <f t="shared" ca="1" si="38"/>
        <v>-1.9804147441375335</v>
      </c>
      <c r="AJ141" s="55">
        <f t="shared" ca="1" si="39"/>
        <v>100.42153600247622</v>
      </c>
      <c r="AK141" s="55">
        <f t="shared" ca="1" si="40"/>
        <v>31.306798698556545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58.788795348992693</v>
      </c>
      <c r="U142" s="55">
        <f t="shared" ca="1" si="28"/>
        <v>87.020045888323196</v>
      </c>
      <c r="V142" s="55">
        <f t="shared" ca="1" si="29"/>
        <v>0</v>
      </c>
      <c r="W142" s="55">
        <f t="shared" ca="1" si="34"/>
        <v>-71.684960734357389</v>
      </c>
      <c r="X142" s="55">
        <f t="shared" ca="1" si="35"/>
        <v>83.634120413398165</v>
      </c>
      <c r="Y142" s="55">
        <f t="shared" ca="1" si="36"/>
        <v>14.591325573009511</v>
      </c>
      <c r="Z142">
        <f t="shared" ca="1" si="30"/>
        <v>120</v>
      </c>
      <c r="AA142">
        <f t="shared" ca="1" si="37"/>
        <v>248.85021894529064</v>
      </c>
      <c r="AB142">
        <f t="shared" ca="1" si="31"/>
        <v>0</v>
      </c>
      <c r="AC142">
        <f t="shared" ca="1" si="32"/>
        <v>0.99981930520113227</v>
      </c>
      <c r="AD142" s="83">
        <f ca="1"/>
        <v>45686</v>
      </c>
      <c r="AE142" s="55">
        <f t="shared" ca="1" si="41"/>
        <v>45686</v>
      </c>
      <c r="AF142" s="55">
        <f t="shared" ca="1" si="42"/>
        <v>-148.64954662568127</v>
      </c>
      <c r="AG142" s="55">
        <f t="shared" ca="1" si="43"/>
        <v>311.0788986795875</v>
      </c>
      <c r="AH142" s="55">
        <f t="shared" ca="1" si="44"/>
        <v>0</v>
      </c>
      <c r="AI142" s="55">
        <f t="shared" ca="1" si="38"/>
        <v>-1.9804147441375335</v>
      </c>
      <c r="AJ142" s="55">
        <f t="shared" ca="1" si="39"/>
        <v>101.04019301121312</v>
      </c>
      <c r="AK142" s="55">
        <f t="shared" ca="1" si="40"/>
        <v>31.331330288385768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57.151539497648706</v>
      </c>
      <c r="U143" s="55">
        <f t="shared" ca="1" si="28"/>
        <v>89.356698970090065</v>
      </c>
      <c r="V143" s="55">
        <f t="shared" ca="1" si="29"/>
        <v>0</v>
      </c>
      <c r="W143" s="55">
        <f t="shared" ca="1" si="34"/>
        <v>-71.716435495240148</v>
      </c>
      <c r="X143" s="55">
        <f t="shared" ca="1" si="35"/>
        <v>84.333186632686491</v>
      </c>
      <c r="Y143" s="55">
        <f t="shared" ca="1" si="36"/>
        <v>14.623131345026824</v>
      </c>
      <c r="Z143">
        <f t="shared" ca="1" si="30"/>
        <v>120</v>
      </c>
      <c r="AA143">
        <f t="shared" ca="1" si="37"/>
        <v>248.95021894529063</v>
      </c>
      <c r="AB143">
        <f t="shared" ca="1" si="31"/>
        <v>0</v>
      </c>
      <c r="AC143">
        <f t="shared" ca="1" si="32"/>
        <v>0.99984356305873323</v>
      </c>
      <c r="AD143" s="83">
        <f ca="1"/>
        <v>45687</v>
      </c>
      <c r="AE143" s="55">
        <f t="shared" ca="1" si="41"/>
        <v>45687</v>
      </c>
      <c r="AF143" s="55">
        <f t="shared" ca="1" si="42"/>
        <v>-153.49021263751158</v>
      </c>
      <c r="AG143" s="55">
        <f t="shared" ca="1" si="43"/>
        <v>316.55949486472315</v>
      </c>
      <c r="AH143" s="55">
        <f t="shared" ca="1" si="44"/>
        <v>0</v>
      </c>
      <c r="AI143" s="55">
        <f t="shared" ca="1" si="38"/>
        <v>-1.9804147441375335</v>
      </c>
      <c r="AJ143" s="55">
        <f t="shared" ca="1" si="39"/>
        <v>101.65683108789956</v>
      </c>
      <c r="AK143" s="55">
        <f t="shared" ca="1" si="40"/>
        <v>31.354622385004678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55.428171092876056</v>
      </c>
      <c r="U144" s="55">
        <f t="shared" ca="1" si="28"/>
        <v>91.865123872331708</v>
      </c>
      <c r="V144" s="55">
        <f t="shared" ca="1" si="29"/>
        <v>0</v>
      </c>
      <c r="W144" s="55">
        <f t="shared" ca="1" si="34"/>
        <v>-71.716435495240148</v>
      </c>
      <c r="X144" s="55">
        <f t="shared" ca="1" si="35"/>
        <v>85.085572869280426</v>
      </c>
      <c r="Y144" s="55">
        <f t="shared" ca="1" si="36"/>
        <v>14.655801605901885</v>
      </c>
      <c r="Z144">
        <f t="shared" ca="1" si="30"/>
        <v>119.33913043478262</v>
      </c>
      <c r="AA144">
        <f t="shared" ca="1" si="37"/>
        <v>248.95021894529063</v>
      </c>
      <c r="AB144">
        <f t="shared" ca="1" si="31"/>
        <v>0</v>
      </c>
      <c r="AC144">
        <f t="shared" ca="1" si="32"/>
        <v>0.99986599583040503</v>
      </c>
      <c r="AD144" s="83">
        <f ca="1"/>
        <v>45688</v>
      </c>
      <c r="AE144" s="55">
        <f t="shared" ca="1" si="41"/>
        <v>45688</v>
      </c>
      <c r="AF144" s="55">
        <f t="shared" ca="1" si="42"/>
        <v>-158.03002820464675</v>
      </c>
      <c r="AG144" s="55">
        <f t="shared" ca="1" si="43"/>
        <v>321.70015697088064</v>
      </c>
      <c r="AH144" s="55">
        <f t="shared" ca="1" si="44"/>
        <v>0</v>
      </c>
      <c r="AI144" s="55">
        <f t="shared" ca="1" si="38"/>
        <v>-1.9804147441375335</v>
      </c>
      <c r="AJ144" s="55">
        <f t="shared" ca="1" si="39"/>
        <v>102.23769454522522</v>
      </c>
      <c r="AK144" s="55">
        <f t="shared" ca="1" si="40"/>
        <v>31.374605466701308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53.611084065051621</v>
      </c>
      <c r="U145" s="55">
        <f t="shared" ca="1" si="28"/>
        <v>94.342508856859212</v>
      </c>
      <c r="V145" s="55">
        <f t="shared" ca="1" si="29"/>
        <v>0</v>
      </c>
      <c r="W145" s="55">
        <f t="shared" ca="1" si="34"/>
        <v>-71.831583088621827</v>
      </c>
      <c r="X145" s="55">
        <f t="shared" ca="1" si="35"/>
        <v>85.829486499152097</v>
      </c>
      <c r="Y145" s="55">
        <f t="shared" ca="1" si="36"/>
        <v>14.687333526114958</v>
      </c>
      <c r="Z145">
        <f t="shared" ca="1" si="30"/>
        <v>120</v>
      </c>
      <c r="AA145">
        <f t="shared" ca="1" si="37"/>
        <v>249.34021999009101</v>
      </c>
      <c r="AB145">
        <f t="shared" ca="1" si="31"/>
        <v>0</v>
      </c>
      <c r="AC145">
        <f t="shared" ca="1" si="32"/>
        <v>0.99988502196732698</v>
      </c>
      <c r="AD145" s="83">
        <f ca="1"/>
        <v>45689</v>
      </c>
      <c r="AE145" s="55">
        <f t="shared" ca="1" si="41"/>
        <v>45689</v>
      </c>
      <c r="AF145" s="55">
        <f t="shared" ca="1" si="42"/>
        <v>-162.33241389060532</v>
      </c>
      <c r="AG145" s="55">
        <f t="shared" ca="1" si="43"/>
        <v>326.63851341106425</v>
      </c>
      <c r="AH145" s="55">
        <f t="shared" ca="1" si="44"/>
        <v>0</v>
      </c>
      <c r="AI145" s="55">
        <f t="shared" ca="1" si="38"/>
        <v>-1.9804147441375335</v>
      </c>
      <c r="AJ145" s="55">
        <f t="shared" ca="1" si="39"/>
        <v>102.85081686381294</v>
      </c>
      <c r="AK145" s="55">
        <f t="shared" ca="1" si="40"/>
        <v>31.397453902338629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51.876109585012301</v>
      </c>
      <c r="U146" s="55">
        <f t="shared" ref="U146:U209" ca="1" si="46">VLOOKUP(S146,ModelOutputs,7,FALSE)</f>
        <v>96.871808390030779</v>
      </c>
      <c r="V146" s="55">
        <f t="shared" ref="V146:V209" ca="1" si="47">VLOOKUP(S146,ModelOutputs,6,FALSE)</f>
        <v>0</v>
      </c>
      <c r="W146" s="55">
        <f t="shared" ca="1" si="34"/>
        <v>-71.831583088621827</v>
      </c>
      <c r="X146" s="55">
        <f t="shared" ca="1" si="35"/>
        <v>86.592548499678486</v>
      </c>
      <c r="Y146" s="55">
        <f t="shared" ca="1" si="36"/>
        <v>14.71859657872082</v>
      </c>
      <c r="Z146">
        <f t="shared" ref="Z146:Z209" ca="1" si="48">VLOOKUP(S146,ModelOutputs,10,FALSE)*AWC</f>
        <v>119.13043478260869</v>
      </c>
      <c r="AA146">
        <f t="shared" ca="1" si="37"/>
        <v>249.34021999009101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0.9999017137945071</v>
      </c>
      <c r="AD146" s="83">
        <f ca="1"/>
        <v>45690</v>
      </c>
      <c r="AE146" s="55">
        <f t="shared" ca="1" si="41"/>
        <v>45690</v>
      </c>
      <c r="AF146" s="55">
        <f t="shared" ca="1" si="42"/>
        <v>-166.35126523767718</v>
      </c>
      <c r="AG146" s="55">
        <f t="shared" ca="1" si="43"/>
        <v>331.32033714422198</v>
      </c>
      <c r="AH146" s="55">
        <f t="shared" ca="1" si="44"/>
        <v>0</v>
      </c>
      <c r="AI146" s="55">
        <f t="shared" ca="1" si="38"/>
        <v>-1.9804147441375335</v>
      </c>
      <c r="AJ146" s="55">
        <f t="shared" ca="1" si="39"/>
        <v>103.48888266326213</v>
      </c>
      <c r="AK146" s="55">
        <f t="shared" ca="1" si="40"/>
        <v>31.422360488975304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50.106582837909421</v>
      </c>
      <c r="U147" s="55">
        <f t="shared" ca="1" si="46"/>
        <v>99.370990399836671</v>
      </c>
      <c r="V147" s="55">
        <f t="shared" ca="1" si="47"/>
        <v>0</v>
      </c>
      <c r="W147" s="55">
        <f t="shared" ref="W147:W210" ca="1" si="52">-VLOOKUP(S147,ModelOutputs,9,FALSE)+W146</f>
        <v>-71.889532758825453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14.748845016091982</v>
      </c>
      <c r="Z147">
        <f t="shared" ca="1" si="48"/>
        <v>120</v>
      </c>
      <c r="AA147">
        <f t="shared" ref="AA147:AA210" ca="1" si="55">VLOOKUP(S147,ModelOutputs,11,FALSE)+AA146</f>
        <v>249.5502211420347</v>
      </c>
      <c r="AB147">
        <f t="shared" ca="1" si="49"/>
        <v>0</v>
      </c>
      <c r="AC147">
        <f t="shared" ca="1" si="50"/>
        <v>0.99991588982533586</v>
      </c>
      <c r="AD147" s="83">
        <f ca="1"/>
        <v>45691</v>
      </c>
      <c r="AE147" s="55">
        <f t="shared" ca="1" si="41"/>
        <v>45691</v>
      </c>
      <c r="AF147" s="55">
        <f t="shared" ca="1" si="42"/>
        <v>-170.27538080564557</v>
      </c>
      <c r="AG147" s="55">
        <f t="shared" ca="1" si="43"/>
        <v>335.89573555743351</v>
      </c>
      <c r="AH147" s="55">
        <f t="shared" ca="1" si="44"/>
        <v>0</v>
      </c>
      <c r="AI147" s="55">
        <f t="shared" ref="AI147:AI210" ca="1" si="56">-VLOOKUP(AE147,ModelOutputs,9,FALSE)+AI146</f>
        <v>-1.9804147441375335</v>
      </c>
      <c r="AJ147" s="55">
        <f t="shared" ref="AJ147:AJ210" ca="1" si="57">VLOOKUP(AE147,ModelOutputs,5,FALSE)+AJ146</f>
        <v>104.11749255997194</v>
      </c>
      <c r="AK147" s="55">
        <f t="shared" ref="AK147:AK210" ca="1" si="58">VLOOKUP(AE147,ModelOutputs,4,FALSE)+AK146</f>
        <v>31.445033437508631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47.606821398895157</v>
      </c>
      <c r="U148" s="55">
        <f t="shared" ca="1" si="46"/>
        <v>102.05550715050273</v>
      </c>
      <c r="V148" s="55">
        <f t="shared" ca="1" si="47"/>
        <v>0</v>
      </c>
      <c r="W148" s="55">
        <f t="shared" ca="1" si="52"/>
        <v>-72.560719945156549</v>
      </c>
      <c r="X148" s="55">
        <f t="shared" ca="1" si="53"/>
        <v>88.174505429512237</v>
      </c>
      <c r="Y148" s="55">
        <f t="shared" ca="1" si="54"/>
        <v>14.780187079776592</v>
      </c>
      <c r="Z148">
        <f t="shared" ca="1" si="48"/>
        <v>120</v>
      </c>
      <c r="AA148">
        <f t="shared" ca="1" si="55"/>
        <v>252.1102211420347</v>
      </c>
      <c r="AB148">
        <f t="shared" ca="1" si="49"/>
        <v>0</v>
      </c>
      <c r="AC148">
        <f t="shared" ca="1" si="50"/>
        <v>0.99992892918011766</v>
      </c>
      <c r="AD148" s="83">
        <f ca="1"/>
        <v>45692</v>
      </c>
      <c r="AE148" s="55">
        <f t="shared" ca="1" si="41"/>
        <v>45692</v>
      </c>
      <c r="AF148" s="55">
        <f t="shared" ca="1" si="42"/>
        <v>-173.86234893041851</v>
      </c>
      <c r="AG148" s="55">
        <f t="shared" ca="1" si="43"/>
        <v>340.14422072796208</v>
      </c>
      <c r="AH148" s="55">
        <f t="shared" ca="1" si="44"/>
        <v>0</v>
      </c>
      <c r="AI148" s="55">
        <f t="shared" ca="1" si="56"/>
        <v>-1.9804147441375335</v>
      </c>
      <c r="AJ148" s="55">
        <f t="shared" ca="1" si="57"/>
        <v>104.75526516016247</v>
      </c>
      <c r="AK148" s="55">
        <f t="shared" ca="1" si="58"/>
        <v>31.468777883073709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45.442369675311788</v>
      </c>
      <c r="U149" s="55">
        <f t="shared" ca="1" si="46"/>
        <v>104.52979267790566</v>
      </c>
      <c r="V149" s="55">
        <f t="shared" ca="1" si="47"/>
        <v>0</v>
      </c>
      <c r="W149" s="55">
        <f t="shared" ca="1" si="52"/>
        <v>-73.041223610592894</v>
      </c>
      <c r="X149" s="55">
        <f t="shared" ca="1" si="53"/>
        <v>88.936138531377338</v>
      </c>
      <c r="Y149" s="55">
        <f t="shared" ca="1" si="54"/>
        <v>14.808891447167376</v>
      </c>
      <c r="Z149">
        <f t="shared" ca="1" si="48"/>
        <v>120</v>
      </c>
      <c r="AA149">
        <f t="shared" ca="1" si="55"/>
        <v>254.03022114203469</v>
      </c>
      <c r="AB149">
        <f t="shared" ca="1" si="49"/>
        <v>0</v>
      </c>
      <c r="AC149">
        <f t="shared" ca="1" si="50"/>
        <v>0.9999392304408341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-177.15336113244717</v>
      </c>
      <c r="AG149" s="55">
        <f t="shared" ref="AG149:AG212" ca="1" si="61">VLOOKUP(AE149,ModelOutputs,7,FALSE)</f>
        <v>344.06749056374059</v>
      </c>
      <c r="AH149" s="55">
        <f t="shared" ref="AH149:AH212" ca="1" si="62">VLOOKUP(AE149,ModelOutputs,6,FALSE)</f>
        <v>0</v>
      </c>
      <c r="AI149" s="55">
        <f t="shared" ca="1" si="56"/>
        <v>-1.9804147441375335</v>
      </c>
      <c r="AJ149" s="55">
        <f t="shared" ca="1" si="57"/>
        <v>105.36565327096157</v>
      </c>
      <c r="AK149" s="55">
        <f t="shared" ca="1" si="58"/>
        <v>31.490647406024447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42.321075726757698</v>
      </c>
      <c r="U150" s="55">
        <f t="shared" ca="1" si="46"/>
        <v>106.79732753233169</v>
      </c>
      <c r="V150" s="55">
        <f t="shared" ca="1" si="47"/>
        <v>0</v>
      </c>
      <c r="W150" s="55">
        <f t="shared" ca="1" si="52"/>
        <v>-74.623786503204201</v>
      </c>
      <c r="X150" s="55">
        <f t="shared" ca="1" si="53"/>
        <v>89.638592085101948</v>
      </c>
      <c r="Y150" s="55">
        <f t="shared" ca="1" si="54"/>
        <v>14.835241691926015</v>
      </c>
      <c r="Z150">
        <f t="shared" ca="1" si="48"/>
        <v>120</v>
      </c>
      <c r="AA150">
        <f t="shared" ca="1" si="55"/>
        <v>260.82022114203471</v>
      </c>
      <c r="AB150">
        <f t="shared" ca="1" si="49"/>
        <v>0</v>
      </c>
      <c r="AC150">
        <f t="shared" ca="1" si="50"/>
        <v>0.99994742573982265</v>
      </c>
      <c r="AD150" s="83">
        <f ca="1"/>
        <v>45694</v>
      </c>
      <c r="AE150" s="55">
        <f t="shared" ca="1" si="59"/>
        <v>45694</v>
      </c>
      <c r="AF150" s="55">
        <f t="shared" ca="1" si="60"/>
        <v>-180.15505883281816</v>
      </c>
      <c r="AG150" s="55">
        <f t="shared" ca="1" si="61"/>
        <v>347.64736149473958</v>
      </c>
      <c r="AH150" s="55">
        <f t="shared" ca="1" si="62"/>
        <v>0</v>
      </c>
      <c r="AI150" s="55">
        <f t="shared" ca="1" si="56"/>
        <v>-1.9804147441375335</v>
      </c>
      <c r="AJ150" s="55">
        <f t="shared" ca="1" si="57"/>
        <v>105.92531787409155</v>
      </c>
      <c r="AK150" s="55">
        <f t="shared" ca="1" si="58"/>
        <v>31.509156033522476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40.429066519857749</v>
      </c>
      <c r="U151" s="55">
        <f t="shared" ca="1" si="46"/>
        <v>109.01796820779862</v>
      </c>
      <c r="V151" s="55">
        <f t="shared" ca="1" si="47"/>
        <v>0</v>
      </c>
      <c r="W151" s="55">
        <f t="shared" ca="1" si="52"/>
        <v>-75.015655484196671</v>
      </c>
      <c r="X151" s="55">
        <f t="shared" ca="1" si="53"/>
        <v>90.333607195827611</v>
      </c>
      <c r="Y151" s="55">
        <f t="shared" ca="1" si="54"/>
        <v>14.860727030759806</v>
      </c>
      <c r="Z151">
        <f t="shared" ca="1" si="48"/>
        <v>120</v>
      </c>
      <c r="AA151">
        <f t="shared" ca="1" si="55"/>
        <v>262.5802211420347</v>
      </c>
      <c r="AB151">
        <f t="shared" ca="1" si="49"/>
        <v>0</v>
      </c>
      <c r="AC151">
        <f t="shared" ca="1" si="50"/>
        <v>0.99995444680224266</v>
      </c>
      <c r="AD151" s="83">
        <f ca="1"/>
        <v>45695</v>
      </c>
      <c r="AE151" s="55">
        <f t="shared" ca="1" si="59"/>
        <v>45695</v>
      </c>
      <c r="AF151" s="55">
        <f t="shared" ca="1" si="60"/>
        <v>-182.91702021198796</v>
      </c>
      <c r="AG151" s="55">
        <f t="shared" ca="1" si="61"/>
        <v>350.97990816745966</v>
      </c>
      <c r="AH151" s="55">
        <f t="shared" ca="1" si="62"/>
        <v>0</v>
      </c>
      <c r="AI151" s="55">
        <f t="shared" ca="1" si="56"/>
        <v>-1.9804147441375335</v>
      </c>
      <c r="AJ151" s="55">
        <f t="shared" ca="1" si="57"/>
        <v>106.47767774851776</v>
      </c>
      <c r="AK151" s="55">
        <f t="shared" ca="1" si="58"/>
        <v>31.527381452646527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39.030640442304005</v>
      </c>
      <c r="U152" s="55">
        <f t="shared" ca="1" si="46"/>
        <v>111.09955831819364</v>
      </c>
      <c r="V152" s="55">
        <f t="shared" ca="1" si="47"/>
        <v>0</v>
      </c>
      <c r="W152" s="55">
        <f t="shared" ca="1" si="52"/>
        <v>-75.015655484196671</v>
      </c>
      <c r="X152" s="55">
        <f t="shared" ca="1" si="53"/>
        <v>90.99283218713461</v>
      </c>
      <c r="Y152" s="55">
        <f t="shared" ca="1" si="54"/>
        <v>14.884666072294099</v>
      </c>
      <c r="Z152">
        <f t="shared" ca="1" si="48"/>
        <v>119.4086956521739</v>
      </c>
      <c r="AA152">
        <f t="shared" ca="1" si="55"/>
        <v>262.5802211420347</v>
      </c>
      <c r="AB152">
        <f t="shared" ca="1" si="49"/>
        <v>0</v>
      </c>
      <c r="AC152">
        <f t="shared" ca="1" si="50"/>
        <v>0.99996023511441268</v>
      </c>
      <c r="AD152" s="83">
        <f ca="1"/>
        <v>45696</v>
      </c>
      <c r="AE152" s="55">
        <f t="shared" ca="1" si="59"/>
        <v>45696</v>
      </c>
      <c r="AF152" s="55">
        <f t="shared" ca="1" si="60"/>
        <v>-185.62584549767243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-1.9804147441375335</v>
      </c>
      <c r="AJ152" s="55">
        <f t="shared" ca="1" si="57"/>
        <v>107.05269454217883</v>
      </c>
      <c r="AK152" s="55">
        <f t="shared" ca="1" si="58"/>
        <v>31.545984147017787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37.350118801429275</v>
      </c>
      <c r="U153" s="55">
        <f t="shared" ca="1" si="46"/>
        <v>113.220269215979</v>
      </c>
      <c r="V153" s="55">
        <f t="shared" ca="1" si="47"/>
        <v>0</v>
      </c>
      <c r="W153" s="55">
        <f t="shared" ca="1" si="52"/>
        <v>-75.278946837369844</v>
      </c>
      <c r="X153" s="55">
        <f t="shared" ca="1" si="53"/>
        <v>91.672456179553137</v>
      </c>
      <c r="Y153" s="55">
        <f t="shared" ca="1" si="54"/>
        <v>14.908522689959367</v>
      </c>
      <c r="Z153">
        <f t="shared" ca="1" si="48"/>
        <v>120</v>
      </c>
      <c r="AA153">
        <f t="shared" ca="1" si="55"/>
        <v>263.86022153546213</v>
      </c>
      <c r="AB153">
        <f t="shared" ca="1" si="49"/>
        <v>0</v>
      </c>
      <c r="AC153">
        <f t="shared" ca="1" si="50"/>
        <v>0.9999654360939324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35.853654974867503</v>
      </c>
      <c r="U154" s="55">
        <f t="shared" ca="1" si="46"/>
        <v>115.47541041094067</v>
      </c>
      <c r="V154" s="55">
        <f t="shared" ca="1" si="47"/>
        <v>0</v>
      </c>
      <c r="W154" s="55">
        <f t="shared" ca="1" si="52"/>
        <v>-75.278946837369844</v>
      </c>
      <c r="X154" s="55">
        <f t="shared" ca="1" si="53"/>
        <v>92.406561354371235</v>
      </c>
      <c r="Y154" s="55">
        <f t="shared" ca="1" si="54"/>
        <v>14.933094883541164</v>
      </c>
      <c r="Z154">
        <f t="shared" ca="1" si="48"/>
        <v>119.40869565217393</v>
      </c>
      <c r="AA154">
        <f t="shared" ca="1" si="55"/>
        <v>263.86022153546213</v>
      </c>
      <c r="AB154">
        <f t="shared" ca="1" si="49"/>
        <v>0</v>
      </c>
      <c r="AC154">
        <f t="shared" ca="1" si="50"/>
        <v>0.99997028661660348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33.65600377430868</v>
      </c>
      <c r="U155" s="55">
        <f t="shared" ca="1" si="46"/>
        <v>117.83265663186418</v>
      </c>
      <c r="V155" s="55">
        <f t="shared" ca="1" si="47"/>
        <v>0</v>
      </c>
      <c r="W155" s="55">
        <f t="shared" ca="1" si="52"/>
        <v>-75.927678543146357</v>
      </c>
      <c r="X155" s="55">
        <f t="shared" ca="1" si="53"/>
        <v>93.189804792894734</v>
      </c>
      <c r="Y155" s="55">
        <f t="shared" ca="1" si="54"/>
        <v>14.958178171158856</v>
      </c>
      <c r="Z155">
        <f t="shared" ca="1" si="48"/>
        <v>120</v>
      </c>
      <c r="AA155">
        <f t="shared" ca="1" si="55"/>
        <v>267.36022174491472</v>
      </c>
      <c r="AB155">
        <f t="shared" ca="1" si="49"/>
        <v>0</v>
      </c>
      <c r="AC155">
        <f t="shared" ca="1" si="50"/>
        <v>0.99997469847515486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32.094546324204153</v>
      </c>
      <c r="U156" s="55">
        <f t="shared" ca="1" si="46"/>
        <v>120.23640485493819</v>
      </c>
      <c r="V156" s="55">
        <f t="shared" ca="1" si="47"/>
        <v>0</v>
      </c>
      <c r="W156" s="55">
        <f t="shared" ca="1" si="52"/>
        <v>-75.927678543146357</v>
      </c>
      <c r="X156" s="55">
        <f t="shared" ca="1" si="53"/>
        <v>94.00692253095589</v>
      </c>
      <c r="Y156" s="55">
        <f t="shared" ca="1" si="54"/>
        <v>14.983351206067175</v>
      </c>
      <c r="Z156">
        <f t="shared" ca="1" si="48"/>
        <v>118.95652173913044</v>
      </c>
      <c r="AA156">
        <f t="shared" ca="1" si="55"/>
        <v>267.36022174491472</v>
      </c>
      <c r="AB156">
        <f t="shared" ca="1" si="49"/>
        <v>0</v>
      </c>
      <c r="AC156">
        <f t="shared" ca="1" si="50"/>
        <v>0.99997859157497815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30.631841584853007</v>
      </c>
      <c r="U157" s="55">
        <f t="shared" ca="1" si="46"/>
        <v>122.50903107509895</v>
      </c>
      <c r="V157" s="55">
        <f t="shared" ca="1" si="47"/>
        <v>0</v>
      </c>
      <c r="W157" s="55">
        <f t="shared" ca="1" si="52"/>
        <v>-75.927678543146357</v>
      </c>
      <c r="X157" s="55">
        <f t="shared" ca="1" si="53"/>
        <v>94.793076022466352</v>
      </c>
      <c r="Y157" s="55">
        <f t="shared" ca="1" si="54"/>
        <v>15.007119195366331</v>
      </c>
      <c r="Z157">
        <f t="shared" ca="1" si="48"/>
        <v>116.93913105197623</v>
      </c>
      <c r="AA157">
        <f t="shared" ca="1" si="55"/>
        <v>267.36022174491472</v>
      </c>
      <c r="AB157">
        <f t="shared" ca="1" si="49"/>
        <v>0</v>
      </c>
      <c r="AC157">
        <f t="shared" ca="1" si="50"/>
        <v>0.99998178038926211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29.170805712466013</v>
      </c>
      <c r="U158" s="55">
        <f t="shared" ca="1" si="46"/>
        <v>124.8</v>
      </c>
      <c r="V158" s="55">
        <f t="shared" ca="1" si="47"/>
        <v>0</v>
      </c>
      <c r="W158" s="55">
        <f t="shared" ca="1" si="52"/>
        <v>-75.927678543146357</v>
      </c>
      <c r="X158" s="55">
        <f t="shared" ca="1" si="53"/>
        <v>95.599318636101231</v>
      </c>
      <c r="Y158" s="55">
        <f t="shared" ca="1" si="54"/>
        <v>15.030809634245516</v>
      </c>
      <c r="Z158">
        <f t="shared" ca="1" si="48"/>
        <v>114.50435012014478</v>
      </c>
      <c r="AA158">
        <f t="shared" ca="1" si="55"/>
        <v>267.36022174491472</v>
      </c>
      <c r="AB158">
        <f t="shared" ca="1" si="49"/>
        <v>0</v>
      </c>
      <c r="AC158">
        <f t="shared" ca="1" si="50"/>
        <v>0.99998457105749694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28 C32:H45 D29:H31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G1" zoomScale="105" workbookViewId="0">
      <selection activeCell="Q3" sqref="Q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15" width="11.7109375" customWidth="1"/>
    <col min="16" max="16" width="17.140625" customWidth="1"/>
    <col min="17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279</v>
      </c>
    </row>
    <row r="2" spans="1:43">
      <c r="H2" t="s">
        <v>277</v>
      </c>
      <c r="I2">
        <f ca="1"/>
        <v>55</v>
      </c>
      <c r="J2">
        <f ca="1"/>
        <v>0</v>
      </c>
      <c r="K2">
        <f ca="1"/>
        <v>13</v>
      </c>
      <c r="L2">
        <f ca="1"/>
        <v>83</v>
      </c>
      <c r="M2">
        <f ca="1"/>
        <v>69</v>
      </c>
      <c r="N2">
        <f ca="1"/>
        <v>1</v>
      </c>
      <c r="O2">
        <f ca="1"/>
        <v>0</v>
      </c>
      <c r="P2">
        <f ca="1"/>
        <v>0</v>
      </c>
      <c r="Q2">
        <f ca="1">SUM(I2:P2)</f>
        <v>221</v>
      </c>
      <c r="R2">
        <f ca="1">Q2-P2</f>
        <v>221</v>
      </c>
    </row>
    <row r="3" spans="1:43">
      <c r="H3" t="s">
        <v>278</v>
      </c>
      <c r="I3">
        <f ca="1"/>
        <v>29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125</v>
      </c>
      <c r="O3">
        <f ca="1"/>
        <v>0</v>
      </c>
      <c r="P3">
        <f ca="1"/>
        <v>68</v>
      </c>
      <c r="Q3">
        <f ca="1">SUM(I3:P3)</f>
        <v>222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55</v>
      </c>
      <c r="AH6">
        <f ca="1"/>
        <v>0</v>
      </c>
      <c r="AI6">
        <f ca="1"/>
        <v>13</v>
      </c>
      <c r="AJ6">
        <f ca="1"/>
        <v>83</v>
      </c>
      <c r="AK6">
        <f ca="1"/>
        <v>69</v>
      </c>
      <c r="AL6">
        <f ca="1"/>
        <v>1</v>
      </c>
      <c r="AM6">
        <f ca="1"/>
        <v>0</v>
      </c>
      <c r="AN6">
        <f ca="1"/>
        <v>0</v>
      </c>
      <c r="AO6">
        <f ca="1"/>
        <v>222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15.030809634245516</v>
      </c>
      <c r="N7" s="3">
        <f ca="1">SUMIF($I$12:$I$1005,TRUE,N12:N1005)</f>
        <v>94.724129177807612</v>
      </c>
      <c r="O7" s="3">
        <f ca="1">SUMIF($I$12:$I$1005,TRUE,O12:O1005)</f>
        <v>68.950199094381503</v>
      </c>
      <c r="P7" s="3">
        <f ca="1">VLOOKUP(B36,ModelOutputs,P9,FALSE)-Q7</f>
        <v>1.1933463491776881</v>
      </c>
      <c r="Q7">
        <f ca="1">VLOOKUP(B36,ModelOutputs,Q9,FALSE)</f>
        <v>0</v>
      </c>
      <c r="R7" s="13"/>
      <c r="W7" s="3">
        <f ca="1">MAX(0,X8-X7)</f>
        <v>5.6843418860808015E-14</v>
      </c>
      <c r="X7" s="3">
        <f ca="1">SUM(K7:R7)</f>
        <v>229.89848425561232</v>
      </c>
      <c r="AA7" s="3"/>
      <c r="AG7">
        <f ca="1"/>
        <v>29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125</v>
      </c>
      <c r="AM7">
        <f ca="1"/>
        <v>0</v>
      </c>
      <c r="AN7">
        <f ca="1"/>
        <v>68</v>
      </c>
      <c r="AO7">
        <f ca="1"/>
        <v>221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29.170805712466013</v>
      </c>
      <c r="L8" s="27"/>
      <c r="M8" s="25"/>
      <c r="N8" s="25"/>
      <c r="O8" s="25"/>
      <c r="P8" s="24">
        <f ca="1">(VLOOKUP($J$8,ModelOutputs,P9,FALSE)-VLOOKUP($J$7+1,ModelOutputs,P9,FALSE))-Q8</f>
        <v>124.8</v>
      </c>
      <c r="Q8" s="26">
        <f ca="1">VLOOKUP($J$8,ModelOutputs,Q9,FALSE)-VLOOKUP($J$7+1,ModelOutputs,Q9,FALSE)</f>
        <v>0</v>
      </c>
      <c r="R8" s="27">
        <f ca="1">SUMIF($I$12:$I$1005,TRUE,R12:R1005)</f>
        <v>75.927678543146357</v>
      </c>
      <c r="S8" s="3"/>
      <c r="T8" s="3"/>
      <c r="U8" s="3"/>
      <c r="V8" s="3"/>
      <c r="W8" s="3">
        <f ca="1">MAX(0,X7-X8)</f>
        <v>0</v>
      </c>
      <c r="X8" s="3">
        <f ca="1">SUM(K8:R8)</f>
        <v>229.89848425561237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45436</v>
      </c>
      <c r="E9" s="38">
        <f>IF(ConceptDemo!D29="","",ConceptDemo!D29)</f>
        <v>1</v>
      </c>
      <c r="L9">
        <f ca="1">SUMIF(H11:H1004,FALSE,L11:L1004)</f>
        <v>353.7058840800986</v>
      </c>
      <c r="M9">
        <f ca="1">SUMIF(H11:H1004,TRUE,M11:M1004)</f>
        <v>15.007119195366331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2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>
        <f>IF(ConceptDemo!C30="","",ConceptDemo!C30)</f>
        <v>45437</v>
      </c>
      <c r="E10" s="17">
        <f>IF(ConceptDemo!D30="","",ConceptDemo!D30)</f>
        <v>3</v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1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1</v>
      </c>
      <c r="D11" s="18">
        <f>IF(ConceptDemo!C31="","",ConceptDemo!C31)</f>
        <v>45438</v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2.3462620520192417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1">
        <f t="array" aca="1" ref="AI11" ca="1">_xll.GetDailyNBalanceSummary(C12:D60,F23:G29,F14:G20)</f>
        <v>#VALUE!</v>
      </c>
      <c r="AJ11" t="e" cm="1" vm="1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50.852731365529124</v>
      </c>
      <c r="L12">
        <f ca="1"/>
        <v>0</v>
      </c>
      <c r="M12">
        <f ca="1"/>
        <v>-1.7516252521725562E-2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0.85273136552911821</v>
      </c>
      <c r="AB12" s="63">
        <f ca="1">K12+L12+R12</f>
        <v>50.852731365529124</v>
      </c>
      <c r="AC12" s="3">
        <f ca="1">AB12-AA12</f>
        <v>50.000000000000007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51.56053273453152</v>
      </c>
      <c r="L13">
        <f ca="1"/>
        <v>0</v>
      </c>
      <c r="M13">
        <f ca="1"/>
        <v>1.6844091613428314E-2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0.23964846975809456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51.800181204289615</v>
      </c>
      <c r="AB13" s="63">
        <f t="shared" ref="AB13:AB76" ca="1" si="5">K13+L13+R13</f>
        <v>51.800181204289615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51.399106020695584</v>
      </c>
      <c r="L14">
        <f ca="1"/>
        <v>0</v>
      </c>
      <c r="M14">
        <f ca="1"/>
        <v>4.6109227474595338E-2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1.0841486797466713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52.483254700442252</v>
      </c>
      <c r="AB14" s="63">
        <f t="shared" ca="1" si="5"/>
        <v>52.483254700442252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51.317617003074702</v>
      </c>
      <c r="L15">
        <f ca="1"/>
        <v>0</v>
      </c>
      <c r="M15">
        <f ca="1"/>
        <v>7.3335777888043574E-2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1.0400370379289825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52.357654041003684</v>
      </c>
      <c r="AB15" s="63">
        <f t="shared" ca="1" si="5"/>
        <v>52.357654041003684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50.236119267768856</v>
      </c>
      <c r="L16">
        <f ca="1"/>
        <v>0</v>
      </c>
      <c r="M16">
        <f ca="1"/>
        <v>0.10136446262893212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2.1054030391091878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52.341522306878041</v>
      </c>
      <c r="AB16" s="63">
        <f t="shared" ca="1" si="5"/>
        <v>52.341522306878048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50.226347572105055</v>
      </c>
      <c r="L17">
        <f ca="1"/>
        <v>0</v>
      </c>
      <c r="M17">
        <f ca="1"/>
        <v>0.11926374193278455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1.0040902005936507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51.230437772698707</v>
      </c>
      <c r="AB17" s="63">
        <f t="shared" ca="1" si="5"/>
        <v>51.230437772698707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50.515089467530011</v>
      </c>
      <c r="L18">
        <f ca="1"/>
        <v>0</v>
      </c>
      <c r="M18">
        <f ca="1"/>
        <v>0.13234805920188902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0.67045969470092637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51.185549162230934</v>
      </c>
      <c r="AB18" s="63">
        <f t="shared" ca="1" si="5"/>
        <v>51.185549162230934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51.073456470238519</v>
      </c>
      <c r="L19">
        <f ca="1"/>
        <v>0</v>
      </c>
      <c r="M19">
        <f ca="1"/>
        <v>0.14159523142739794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0.36284359944508754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51.436300069683604</v>
      </c>
      <c r="AB19" s="63">
        <f t="shared" ca="1" si="5"/>
        <v>51.436300069683604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51.734017084832161</v>
      </c>
      <c r="L20">
        <f ca="1"/>
        <v>0</v>
      </c>
      <c r="M20">
        <f ca="1"/>
        <v>0.15817596336694761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0.29915757705576779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52.033174661887927</v>
      </c>
      <c r="AB20" s="63">
        <f t="shared" ca="1" si="5"/>
        <v>52.033174661887927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52.694084160754649</v>
      </c>
      <c r="L21">
        <f ca="1"/>
        <v>0</v>
      </c>
      <c r="M21">
        <f ca="1"/>
        <v>0.1688047275208896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52.694084160754649</v>
      </c>
      <c r="AB21" s="63">
        <f t="shared" ca="1" si="5"/>
        <v>52.694084160754649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53.650764358331863</v>
      </c>
      <c r="L22">
        <f ca="1"/>
        <v>0</v>
      </c>
      <c r="M22">
        <f ca="1"/>
        <v>0.17769749714151017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1.35743983923476E-3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53.652121798171095</v>
      </c>
      <c r="AB22" s="63">
        <f t="shared" ca="1" si="5"/>
        <v>53.652121798171095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53.95917214254019</v>
      </c>
      <c r="L23">
        <f ca="1"/>
        <v>0</v>
      </c>
      <c r="M23">
        <f ca="1"/>
        <v>0.16896211056292199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0.54084294860552107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54.500015091145713</v>
      </c>
      <c r="AB23" s="63">
        <f t="shared" ca="1" si="5"/>
        <v>54.500015091145713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54.307804347031933</v>
      </c>
      <c r="L24">
        <f ca="1"/>
        <v>0</v>
      </c>
      <c r="M24">
        <f ca="1"/>
        <v>0.18308473555022253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0.55330994863714988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54.861114295669083</v>
      </c>
      <c r="AB24" s="63">
        <f t="shared" ca="1" si="5"/>
        <v>54.861114295669083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53.854143112870382</v>
      </c>
      <c r="L25">
        <f ca="1"/>
        <v>0</v>
      </c>
      <c r="M25">
        <f ca="1"/>
        <v>0.19293764598259755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1.3821002409314653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55.236243353801846</v>
      </c>
      <c r="AB25" s="63">
        <f t="shared" ca="1" si="5"/>
        <v>55.236243353801846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55.117175463725779</v>
      </c>
      <c r="L26">
        <f ca="1"/>
        <v>0</v>
      </c>
      <c r="M26">
        <f ca="1"/>
        <v>0.19603220958596967</v>
      </c>
      <c r="N26" s="4">
        <f ca="1"/>
        <v>0.72092476337492706</v>
      </c>
      <c r="O26">
        <f ca="1"/>
        <v>1</v>
      </c>
      <c r="P26">
        <f ca="1"/>
        <v>1.1933463491776881</v>
      </c>
      <c r="Q26">
        <f ca="1"/>
        <v>0</v>
      </c>
      <c r="R26">
        <f ca="1"/>
        <v>0.65392462210549673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6.6928509242848554E-3</v>
      </c>
      <c r="X26" s="2">
        <f t="shared" ca="1" si="1"/>
        <v>45436</v>
      </c>
      <c r="Y26">
        <f t="shared" ca="1" si="2"/>
        <v>1</v>
      </c>
      <c r="AA26" s="63">
        <f t="shared" ca="1" si="4"/>
        <v>55.771100085831279</v>
      </c>
      <c r="AB26" s="63">
        <f t="shared" ca="1" si="5"/>
        <v>55.771100085831279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57.495863786530315</v>
      </c>
      <c r="L27">
        <f ca="1"/>
        <v>0</v>
      </c>
      <c r="M27">
        <f ca="1"/>
        <v>0.20698943797323621</v>
      </c>
      <c r="N27" s="4">
        <f ca="1"/>
        <v>0.7495553238191357</v>
      </c>
      <c r="O27">
        <f ca="1"/>
        <v>3</v>
      </c>
      <c r="P27">
        <f ca="1"/>
        <v>1.1933463491776881</v>
      </c>
      <c r="Q27">
        <f ca="1"/>
        <v>0</v>
      </c>
      <c r="R27">
        <f ca="1"/>
        <v>1.5778564389878333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6.6928509242848554E-3</v>
      </c>
      <c r="X27" s="2">
        <f t="shared" ca="1" si="1"/>
        <v>45437</v>
      </c>
      <c r="Y27">
        <f t="shared" ca="1" si="2"/>
        <v>3</v>
      </c>
      <c r="AA27" s="63">
        <f t="shared" ca="1" si="4"/>
        <v>59.073720225518151</v>
      </c>
      <c r="AB27" s="63">
        <f t="shared" ca="1" si="5"/>
        <v>59.073720225518144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57.8609568052564</v>
      </c>
      <c r="L28">
        <f ca="1"/>
        <v>0</v>
      </c>
      <c r="M28">
        <f ca="1"/>
        <v>0.20277902475664389</v>
      </c>
      <c r="N28" s="4">
        <f ca="1"/>
        <v>0.70721326544850838</v>
      </c>
      <c r="O28">
        <f ca="1"/>
        <v>0</v>
      </c>
      <c r="P28">
        <f ca="1"/>
        <v>1.1933463491776881</v>
      </c>
      <c r="Q28">
        <f ca="1"/>
        <v>0</v>
      </c>
      <c r="R28">
        <f ca="1"/>
        <v>0.54489927147906481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6.6928509242848554E-3</v>
      </c>
      <c r="X28" s="2">
        <f t="shared" ca="1" si="1"/>
        <v>45438</v>
      </c>
      <c r="Y28">
        <f t="shared" ca="1" si="2"/>
        <v>0</v>
      </c>
      <c r="AA28" s="63">
        <f t="shared" ca="1" si="4"/>
        <v>58.405856076735468</v>
      </c>
      <c r="AB28" s="63">
        <f t="shared" ca="1" si="5"/>
        <v>58.405856076735468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Mustard Green manure General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58.183696515041255</v>
      </c>
      <c r="L29">
        <f ca="1"/>
        <v>0</v>
      </c>
      <c r="M29">
        <f ca="1"/>
        <v>0.20227743493393602</v>
      </c>
      <c r="N29" s="4">
        <f ca="1"/>
        <v>0.68762682957579846</v>
      </c>
      <c r="O29">
        <f ca="1"/>
        <v>0</v>
      </c>
      <c r="P29">
        <f ca="1"/>
        <v>1.1933463491776881</v>
      </c>
      <c r="Q29">
        <f ca="1"/>
        <v>0</v>
      </c>
      <c r="R29">
        <f ca="1"/>
        <v>0.56716455472487892</v>
      </c>
      <c r="S29">
        <f ca="1"/>
        <v>1</v>
      </c>
      <c r="T29">
        <f ca="1"/>
        <v>1.769999999999996</v>
      </c>
      <c r="U29">
        <f ca="1"/>
        <v>0</v>
      </c>
      <c r="V29">
        <f ca="1"/>
        <v>6.6928509242848554E-3</v>
      </c>
      <c r="X29" s="2">
        <f t="shared" ca="1" si="1"/>
        <v>45439</v>
      </c>
      <c r="Y29">
        <f t="shared" ca="1" si="2"/>
        <v>0</v>
      </c>
      <c r="AA29" s="63">
        <f t="shared" ca="1" si="4"/>
        <v>58.750861069766131</v>
      </c>
      <c r="AB29" s="63">
        <f t="shared" ca="1" si="5"/>
        <v>58.750861069766131</v>
      </c>
      <c r="AC29" s="3">
        <f t="shared" ca="1" si="6"/>
        <v>0</v>
      </c>
    </row>
    <row r="30" spans="1:29">
      <c r="A30" s="9" t="s">
        <v>236</v>
      </c>
      <c r="B30" s="11">
        <f>CurrentYield</f>
        <v>6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58.430864608100627</v>
      </c>
      <c r="L30">
        <f ca="1"/>
        <v>0</v>
      </c>
      <c r="M30">
        <f ca="1"/>
        <v>0.21280960917323544</v>
      </c>
      <c r="N30" s="4">
        <f ca="1"/>
        <v>0.72299586213697042</v>
      </c>
      <c r="O30">
        <f ca="1"/>
        <v>0</v>
      </c>
      <c r="P30">
        <f ca="1"/>
        <v>1.1933463491776881</v>
      </c>
      <c r="Q30">
        <f ca="1"/>
        <v>0</v>
      </c>
      <c r="R30">
        <f ca="1"/>
        <v>0.68863737825083249</v>
      </c>
      <c r="S30">
        <f ca="1"/>
        <v>1</v>
      </c>
      <c r="T30">
        <f ca="1"/>
        <v>2.1400000000000006</v>
      </c>
      <c r="U30">
        <f ca="1"/>
        <v>0</v>
      </c>
      <c r="V30">
        <f ca="1"/>
        <v>6.6928509242848554E-3</v>
      </c>
      <c r="X30" s="2">
        <f t="shared" ca="1" si="1"/>
        <v>45440</v>
      </c>
      <c r="Y30">
        <f t="shared" ca="1" si="2"/>
        <v>0</v>
      </c>
      <c r="AA30" s="63">
        <f t="shared" ca="1" si="4"/>
        <v>59.119501986351459</v>
      </c>
      <c r="AB30" s="63">
        <f t="shared" ca="1" si="5"/>
        <v>59.119501986351459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58.997327858169619</v>
      </c>
      <c r="L31">
        <f ca="1"/>
        <v>0</v>
      </c>
      <c r="M31">
        <f ca="1"/>
        <v>0.19897059286222962</v>
      </c>
      <c r="N31" s="4">
        <f ca="1"/>
        <v>0.64691768248284565</v>
      </c>
      <c r="O31">
        <f ca="1"/>
        <v>0</v>
      </c>
      <c r="P31">
        <f ca="1"/>
        <v>1.1933463491776881</v>
      </c>
      <c r="Q31">
        <f ca="1"/>
        <v>0</v>
      </c>
      <c r="R31">
        <f ca="1"/>
        <v>0.27942502527608432</v>
      </c>
      <c r="S31">
        <f ca="1"/>
        <v>1</v>
      </c>
      <c r="T31">
        <f ca="1"/>
        <v>0.85999999999999943</v>
      </c>
      <c r="U31">
        <f ca="1"/>
        <v>0</v>
      </c>
      <c r="V31">
        <f ca="1"/>
        <v>6.6928509242848554E-3</v>
      </c>
      <c r="X31" s="2">
        <f t="shared" ca="1" si="1"/>
        <v>45441</v>
      </c>
      <c r="Y31">
        <f t="shared" ca="1" si="2"/>
        <v>0</v>
      </c>
      <c r="AA31" s="63">
        <f t="shared" ca="1" si="4"/>
        <v>59.276752883445702</v>
      </c>
      <c r="AB31" s="63">
        <f t="shared" ca="1" si="5"/>
        <v>59.276752883445702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58.686219795230564</v>
      </c>
      <c r="L32">
        <f ca="1"/>
        <v>0</v>
      </c>
      <c r="M32">
        <f ca="1"/>
        <v>0.20162182816992757</v>
      </c>
      <c r="N32" s="4">
        <f ca="1"/>
        <v>0.65078820570080542</v>
      </c>
      <c r="O32">
        <f ca="1"/>
        <v>0</v>
      </c>
      <c r="P32">
        <f ca="1"/>
        <v>1.1933463491776881</v>
      </c>
      <c r="Q32">
        <f ca="1"/>
        <v>0</v>
      </c>
      <c r="R32">
        <f ca="1"/>
        <v>1.1635180968097911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6.6928509242848554E-3</v>
      </c>
      <c r="X32" s="2">
        <f t="shared" ca="1" si="1"/>
        <v>45442</v>
      </c>
      <c r="Y32">
        <f t="shared" ca="1" si="2"/>
        <v>0</v>
      </c>
      <c r="AA32" s="63">
        <f t="shared" ca="1" si="4"/>
        <v>59.849737892040352</v>
      </c>
      <c r="AB32" s="63">
        <f t="shared" ca="1" si="5"/>
        <v>59.849737892040352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59.081157824178355</v>
      </c>
      <c r="L33">
        <f ca="1"/>
        <v>4.8407788400541163E-2</v>
      </c>
      <c r="M33">
        <f ca="1"/>
        <v>0.20704785137750736</v>
      </c>
      <c r="N33" s="4">
        <f ca="1"/>
        <v>0.66904604081632513</v>
      </c>
      <c r="O33">
        <f ca="1"/>
        <v>0</v>
      </c>
      <c r="P33">
        <f ca="1"/>
        <v>1.2417541375782293</v>
      </c>
      <c r="Q33">
        <f ca="1"/>
        <v>0</v>
      </c>
      <c r="R33">
        <f ca="1"/>
        <v>0.43274807484550304</v>
      </c>
      <c r="S33">
        <f ca="1"/>
        <v>1</v>
      </c>
      <c r="T33">
        <f ca="1"/>
        <v>1.3299999999999983</v>
      </c>
      <c r="U33">
        <f ca="1"/>
        <v>0</v>
      </c>
      <c r="V33">
        <f ca="1"/>
        <v>7.4660259159340138E-3</v>
      </c>
      <c r="X33" s="2">
        <f t="shared" ca="1" si="1"/>
        <v>45443</v>
      </c>
      <c r="Y33">
        <f t="shared" ca="1" si="2"/>
        <v>0</v>
      </c>
      <c r="AA33" s="63">
        <f t="shared" ca="1" si="4"/>
        <v>59.5623136874244</v>
      </c>
      <c r="AB33" s="63">
        <f t="shared" ca="1" si="5"/>
        <v>59.5623136874244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59.323196189136098</v>
      </c>
      <c r="L34">
        <f ca="1"/>
        <v>6.3422465924864557E-2</v>
      </c>
      <c r="M34">
        <f ca="1"/>
        <v>0.20815284029491776</v>
      </c>
      <c r="N34" s="4">
        <f ca="1"/>
        <v>0.66904604081632513</v>
      </c>
      <c r="O34">
        <f ca="1"/>
        <v>0</v>
      </c>
      <c r="P34">
        <f ca="1"/>
        <v>1.3051766035030938</v>
      </c>
      <c r="Q34">
        <f ca="1"/>
        <v>0</v>
      </c>
      <c r="R34">
        <f ca="1"/>
        <v>0.57173805022863056</v>
      </c>
      <c r="S34">
        <f ca="1"/>
        <v>1</v>
      </c>
      <c r="T34">
        <f ca="1"/>
        <v>1.75</v>
      </c>
      <c r="U34">
        <f ca="1"/>
        <v>0</v>
      </c>
      <c r="V34">
        <f ca="1"/>
        <v>8.561118550482423E-3</v>
      </c>
      <c r="X34" s="2">
        <f t="shared" ca="1" si="1"/>
        <v>45444</v>
      </c>
      <c r="Y34">
        <f t="shared" ca="1" si="2"/>
        <v>0</v>
      </c>
      <c r="AA34" s="63">
        <f t="shared" ca="1" si="4"/>
        <v>59.958356705289596</v>
      </c>
      <c r="AB34" s="63">
        <f t="shared" ca="1" si="5"/>
        <v>59.958356705289596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59.860155965450311</v>
      </c>
      <c r="L35">
        <f ca="1"/>
        <v>6.5953867813993039E-2</v>
      </c>
      <c r="M35">
        <f ca="1"/>
        <v>0.20745360151975722</v>
      </c>
      <c r="N35" s="4">
        <f ca="1"/>
        <v>0.6624883905238893</v>
      </c>
      <c r="O35">
        <f ca="1"/>
        <v>0</v>
      </c>
      <c r="P35">
        <f ca="1"/>
        <v>1.3711304713170869</v>
      </c>
      <c r="Q35">
        <f ca="1"/>
        <v>0</v>
      </c>
      <c r="R35">
        <f ca="1"/>
        <v>0.26702834791544428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9.8018471140296284E-3</v>
      </c>
      <c r="X35" s="2">
        <f t="shared" ca="1" si="1"/>
        <v>45445</v>
      </c>
      <c r="Y35">
        <f t="shared" ca="1" si="2"/>
        <v>0</v>
      </c>
      <c r="AA35" s="63">
        <f t="shared" ca="1" si="4"/>
        <v>60.193138181179748</v>
      </c>
      <c r="AB35" s="63">
        <f t="shared" ca="1" si="5"/>
        <v>60.193138181179748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60.24595385397734</v>
      </c>
      <c r="L36">
        <f ca="1"/>
        <v>7.6805803205806766E-2</v>
      </c>
      <c r="M36">
        <f ca="1"/>
        <v>0.22356205612570967</v>
      </c>
      <c r="N36" s="4">
        <f ca="1"/>
        <v>0.73340770911614794</v>
      </c>
      <c r="O36">
        <f ca="1"/>
        <v>0</v>
      </c>
      <c r="P36">
        <f ca="1"/>
        <v>1.4479362745228936</v>
      </c>
      <c r="Q36">
        <f ca="1"/>
        <v>0</v>
      </c>
      <c r="R36">
        <f ca="1"/>
        <v>0.49436607350901707</v>
      </c>
      <c r="S36">
        <f ca="1"/>
        <v>1</v>
      </c>
      <c r="T36">
        <f ca="1"/>
        <v>1.4900000000000091</v>
      </c>
      <c r="U36">
        <f ca="1"/>
        <v>0</v>
      </c>
      <c r="V36">
        <f ca="1"/>
        <v>1.1382223868066832E-2</v>
      </c>
      <c r="X36" s="2">
        <f t="shared" ca="1" si="1"/>
        <v>45446</v>
      </c>
      <c r="Y36">
        <f t="shared" ca="1" si="2"/>
        <v>0</v>
      </c>
      <c r="AA36" s="63">
        <f t="shared" ca="1" si="4"/>
        <v>60.817125730692169</v>
      </c>
      <c r="AB36" s="63">
        <f t="shared" ca="1" si="5"/>
        <v>60.817125730692169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60.014549695091468</v>
      </c>
      <c r="L37">
        <f ca="1"/>
        <v>7.9094846912386663E-2</v>
      </c>
      <c r="M37">
        <f ca="1"/>
        <v>0.21966456983320182</v>
      </c>
      <c r="N37" s="4">
        <f ca="1"/>
        <v>0.7154201765817686</v>
      </c>
      <c r="O37">
        <f ca="1"/>
        <v>0</v>
      </c>
      <c r="P37">
        <f ca="1"/>
        <v>1.5270311214352803</v>
      </c>
      <c r="Q37">
        <f ca="1"/>
        <v>0</v>
      </c>
      <c r="R37">
        <f ca="1"/>
        <v>1.0873940583884518</v>
      </c>
      <c r="S37">
        <f ca="1"/>
        <v>1</v>
      </c>
      <c r="T37">
        <f ca="1"/>
        <v>3.289999999999992</v>
      </c>
      <c r="U37">
        <f ca="1"/>
        <v>0</v>
      </c>
      <c r="V37">
        <f ca="1"/>
        <v>1.3167314161149796E-2</v>
      </c>
      <c r="X37" s="2">
        <f t="shared" ca="1" si="1"/>
        <v>45447</v>
      </c>
      <c r="Y37">
        <f t="shared" ca="1" si="2"/>
        <v>0</v>
      </c>
      <c r="AA37" s="63">
        <f t="shared" ca="1" si="4"/>
        <v>61.181038600392306</v>
      </c>
      <c r="AB37" s="63">
        <f t="shared" ca="1" si="5"/>
        <v>61.181038600392306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59.426021587551752</v>
      </c>
      <c r="L38">
        <f ca="1"/>
        <v>8.2335594843744531E-2</v>
      </c>
      <c r="M38">
        <f ca="1"/>
        <v>0.21746168022250689</v>
      </c>
      <c r="N38" s="4">
        <f ca="1"/>
        <v>0.70653205995527057</v>
      </c>
      <c r="O38">
        <f ca="1"/>
        <v>0</v>
      </c>
      <c r="P38">
        <f ca="1"/>
        <v>1.6093667162790248</v>
      </c>
      <c r="Q38">
        <f ca="1"/>
        <v>0</v>
      </c>
      <c r="R38">
        <f ca="1"/>
        <v>1.430186252873747</v>
      </c>
      <c r="S38">
        <f ca="1"/>
        <v>1</v>
      </c>
      <c r="T38">
        <f ca="1"/>
        <v>4.3700000000000045</v>
      </c>
      <c r="U38">
        <f ca="1"/>
        <v>0</v>
      </c>
      <c r="V38">
        <f ca="1"/>
        <v>1.5201176131025848E-2</v>
      </c>
      <c r="X38" s="2">
        <f t="shared" ca="1" si="1"/>
        <v>45448</v>
      </c>
      <c r="Y38">
        <f t="shared" ca="1" si="2"/>
        <v>0</v>
      </c>
      <c r="AA38" s="63">
        <f t="shared" ca="1" si="4"/>
        <v>60.938543435269246</v>
      </c>
      <c r="AB38" s="63">
        <f t="shared" ca="1" si="5"/>
        <v>60.938543435269246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59.777955644659329</v>
      </c>
      <c r="L39">
        <f ca="1"/>
        <v>8.5889773246175194E-2</v>
      </c>
      <c r="M39">
        <f ca="1"/>
        <v>0.21543827232057478</v>
      </c>
      <c r="N39" s="4">
        <f ca="1"/>
        <v>0.69974285600719321</v>
      </c>
      <c r="O39">
        <f ca="1"/>
        <v>0</v>
      </c>
      <c r="P39">
        <f ca="1"/>
        <v>1.6952564895252</v>
      </c>
      <c r="Q39">
        <f ca="1"/>
        <v>0</v>
      </c>
      <c r="R39">
        <f ca="1"/>
        <v>0.47735729797401955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1.7519844624628089E-2</v>
      </c>
      <c r="X39" s="2">
        <f t="shared" ca="1" si="1"/>
        <v>45449</v>
      </c>
      <c r="Y39">
        <f t="shared" ca="1" si="2"/>
        <v>0</v>
      </c>
      <c r="AA39" s="63">
        <f t="shared" ca="1" si="4"/>
        <v>60.341202715879518</v>
      </c>
      <c r="AB39" s="63">
        <f t="shared" ca="1" si="5"/>
        <v>60.341202715879518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60.323823523029226</v>
      </c>
      <c r="L40">
        <f ca="1"/>
        <v>8.2727427134981601E-2</v>
      </c>
      <c r="M40">
        <f ca="1"/>
        <v>0.20211640342312531</v>
      </c>
      <c r="N40" s="4">
        <f ca="1"/>
        <v>0.64242070512796057</v>
      </c>
      <c r="O40">
        <f ca="1"/>
        <v>0</v>
      </c>
      <c r="P40">
        <f ca="1"/>
        <v>1.7779839166601816</v>
      </c>
      <c r="Q40">
        <f ca="1"/>
        <v>0</v>
      </c>
      <c r="R40">
        <f ca="1"/>
        <v>0.21594180304620794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1.9948897500208947E-2</v>
      </c>
      <c r="X40" s="2">
        <f t="shared" ca="1" si="1"/>
        <v>45450</v>
      </c>
      <c r="Y40">
        <f t="shared" ca="1" si="2"/>
        <v>0</v>
      </c>
      <c r="AA40" s="63">
        <f t="shared" ca="1" si="4"/>
        <v>60.622492753210416</v>
      </c>
      <c r="AB40" s="63">
        <f t="shared" ca="1" si="5"/>
        <v>60.622492753210416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60.872742074698735</v>
      </c>
      <c r="L41">
        <f ca="1"/>
        <v>8.5796305606449019E-2</v>
      </c>
      <c r="M41">
        <f ca="1"/>
        <v>0.19982835650756314</v>
      </c>
      <c r="N41">
        <f ca="1"/>
        <v>0.63603121371087012</v>
      </c>
      <c r="O41">
        <f ca="1"/>
        <v>0</v>
      </c>
      <c r="P41">
        <f ca="1"/>
        <v>1.8637802222666306</v>
      </c>
      <c r="Q41">
        <f ca="1"/>
        <v>0</v>
      </c>
      <c r="R41">
        <f ca="1"/>
        <v>0.20114471294248082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2.2676347121945675E-2</v>
      </c>
      <c r="X41" s="2">
        <f t="shared" ca="1" si="1"/>
        <v>45451</v>
      </c>
      <c r="Y41">
        <f t="shared" ca="1" si="2"/>
        <v>0</v>
      </c>
      <c r="AA41" s="63">
        <f t="shared" ca="1" si="4"/>
        <v>61.159683093247658</v>
      </c>
      <c r="AB41" s="63">
        <f t="shared" ca="1" si="5"/>
        <v>61.159683093247665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60.365100866703187</v>
      </c>
      <c r="L42">
        <f ca="1"/>
        <v>0.103607186792539</v>
      </c>
      <c r="M42">
        <f ca="1"/>
        <v>0.21909244375201276</v>
      </c>
      <c r="N42">
        <f ca="1"/>
        <v>0.72992665099342668</v>
      </c>
      <c r="O42">
        <f ca="1"/>
        <v>0</v>
      </c>
      <c r="P42">
        <f ca="1"/>
        <v>1.9673874090591696</v>
      </c>
      <c r="Q42">
        <f ca="1"/>
        <v>0</v>
      </c>
      <c r="R42">
        <f ca="1"/>
        <v>1.3530531159484491</v>
      </c>
      <c r="S42">
        <f ca="1"/>
        <v>1</v>
      </c>
      <c r="T42">
        <f ca="1"/>
        <v>4.0699999999999932</v>
      </c>
      <c r="U42">
        <f ca="1"/>
        <v>0</v>
      </c>
      <c r="V42">
        <f ca="1"/>
        <v>2.625978033202981E-2</v>
      </c>
      <c r="X42" s="2">
        <f t="shared" ca="1" si="1"/>
        <v>45452</v>
      </c>
      <c r="Y42">
        <f t="shared" ca="1" si="2"/>
        <v>0</v>
      </c>
      <c r="AA42" s="63">
        <f t="shared" ca="1" si="4"/>
        <v>61.821761169444173</v>
      </c>
      <c r="AB42" s="63">
        <f t="shared" ca="1" si="5"/>
        <v>61.821761169444173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59.125829167974672</v>
      </c>
      <c r="L43">
        <f ca="1"/>
        <v>0.10929890075901039</v>
      </c>
      <c r="M43">
        <f ca="1"/>
        <v>0.21755939502022148</v>
      </c>
      <c r="N43">
        <f ca="1"/>
        <v>0.72992665099342668</v>
      </c>
      <c r="O43">
        <f ca="1"/>
        <v>0</v>
      </c>
      <c r="P43">
        <f ca="1"/>
        <v>2.07668630981818</v>
      </c>
      <c r="Q43">
        <f ca="1"/>
        <v>0</v>
      </c>
      <c r="R43">
        <f ca="1"/>
        <v>2.0774588439831554</v>
      </c>
      <c r="S43">
        <f ca="1"/>
        <v>1</v>
      </c>
      <c r="T43">
        <f ca="1"/>
        <v>6.3799999999999955</v>
      </c>
      <c r="U43">
        <f ca="1"/>
        <v>0</v>
      </c>
      <c r="V43">
        <f ca="1"/>
        <v>3.0391876717935952E-2</v>
      </c>
      <c r="X43" s="2">
        <f t="shared" ca="1" si="1"/>
        <v>45453</v>
      </c>
      <c r="Y43">
        <f t="shared" ca="1" si="2"/>
        <v>0</v>
      </c>
      <c r="AA43" s="63">
        <f t="shared" ca="1" si="4"/>
        <v>61.312586912716839</v>
      </c>
      <c r="AB43" s="63">
        <f t="shared" ca="1" si="5"/>
        <v>61.312586912716839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60.027708003981665</v>
      </c>
      <c r="L44">
        <f ca="1"/>
        <v>0.12552966573566504</v>
      </c>
      <c r="M44">
        <f ca="1"/>
        <v>0.2302820923070632</v>
      </c>
      <c r="N44">
        <f ca="1"/>
        <v>0.79712640943559065</v>
      </c>
      <c r="O44">
        <f ca="1"/>
        <v>0</v>
      </c>
      <c r="P44">
        <f ca="1"/>
        <v>2.2022159755538451</v>
      </c>
      <c r="Q44">
        <f ca="1"/>
        <v>0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3.5593225169765187E-2</v>
      </c>
      <c r="X44" s="2">
        <f t="shared" ca="1" si="1"/>
        <v>45454</v>
      </c>
      <c r="Y44">
        <f t="shared" ca="1" si="2"/>
        <v>0</v>
      </c>
      <c r="AA44" s="63">
        <f t="shared" ca="1" si="4"/>
        <v>60.153237669717328</v>
      </c>
      <c r="AB44" s="63">
        <f t="shared" ca="1" si="5"/>
        <v>60.153237669717328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59.329831620467097</v>
      </c>
      <c r="L45">
        <f ca="1"/>
        <v>0.11745861888422926</v>
      </c>
      <c r="M45">
        <f ca="1"/>
        <v>0.20779368260092124</v>
      </c>
      <c r="N45">
        <f ca="1"/>
        <v>0.70177525653905748</v>
      </c>
      <c r="O45">
        <f ca="1"/>
        <v>0</v>
      </c>
      <c r="P45">
        <f ca="1"/>
        <v>2.3196745944380743</v>
      </c>
      <c r="Q45">
        <f ca="1"/>
        <v>0</v>
      </c>
      <c r="R45">
        <f ca="1"/>
        <v>1.4899867037703209</v>
      </c>
      <c r="S45">
        <f ca="1"/>
        <v>1</v>
      </c>
      <c r="T45">
        <f ca="1"/>
        <v>4.5601042489766002</v>
      </c>
      <c r="U45">
        <f ca="1"/>
        <v>0</v>
      </c>
      <c r="V45">
        <f ca="1"/>
        <v>4.0909415252448067E-2</v>
      </c>
      <c r="X45" s="2">
        <f t="shared" ca="1" si="1"/>
        <v>45455</v>
      </c>
      <c r="Y45">
        <f t="shared" ca="1" si="2"/>
        <v>0</v>
      </c>
      <c r="AA45" s="63">
        <f t="shared" ca="1" si="4"/>
        <v>60.937276943121645</v>
      </c>
      <c r="AB45" s="63">
        <f t="shared" ca="1" si="5"/>
        <v>60.937276943121645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60.052554835265248</v>
      </c>
      <c r="L46">
        <f ca="1"/>
        <v>0.11928777396130652</v>
      </c>
      <c r="M46">
        <f ca="1"/>
        <v>0.20075807158957115</v>
      </c>
      <c r="N46">
        <f ca="1"/>
        <v>0.67763258082370947</v>
      </c>
      <c r="O46">
        <f ca="1"/>
        <v>0</v>
      </c>
      <c r="P46">
        <f ca="1"/>
        <v>2.4389623683993809</v>
      </c>
      <c r="Q46">
        <f ca="1"/>
        <v>0</v>
      </c>
      <c r="R46">
        <f ca="1"/>
        <v>3.6379663653827159E-2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4.6759057647104127E-2</v>
      </c>
      <c r="X46" s="2">
        <f t="shared" ca="1" si="1"/>
        <v>45456</v>
      </c>
      <c r="Y46">
        <f t="shared" ca="1" si="2"/>
        <v>0</v>
      </c>
      <c r="AA46" s="63">
        <f t="shared" ca="1" si="4"/>
        <v>60.208222272880377</v>
      </c>
      <c r="AB46" s="63">
        <f t="shared" ca="1" si="5"/>
        <v>60.208222272880377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60.304093645648564</v>
      </c>
      <c r="L47">
        <f ca="1"/>
        <v>0.11142150498403325</v>
      </c>
      <c r="M47">
        <f ca="1"/>
        <v>0.18421726683607798</v>
      </c>
      <c r="N47">
        <f ca="1"/>
        <v>0.60716430512688691</v>
      </c>
      <c r="O47">
        <f ca="1"/>
        <v>0</v>
      </c>
      <c r="P47">
        <f ca="1"/>
        <v>2.5503838733834141</v>
      </c>
      <c r="Q47">
        <f ca="1"/>
        <v>0</v>
      </c>
      <c r="R47">
        <f ca="1"/>
        <v>0.4284212565956097</v>
      </c>
      <c r="S47">
        <f ca="1"/>
        <v>1</v>
      </c>
      <c r="T47">
        <f ca="1"/>
        <v>1.2900000000000063</v>
      </c>
      <c r="U47">
        <f ca="1"/>
        <v>0</v>
      </c>
      <c r="V47">
        <f ca="1"/>
        <v>5.2636600584439808E-2</v>
      </c>
      <c r="X47" s="2">
        <f t="shared" ca="1" si="1"/>
        <v>45457</v>
      </c>
      <c r="Y47">
        <f t="shared" ca="1" si="2"/>
        <v>0</v>
      </c>
      <c r="AA47" s="63">
        <f t="shared" ca="1" si="4"/>
        <v>60.843936407228213</v>
      </c>
      <c r="AB47" s="63">
        <f t="shared" ca="1" si="5"/>
        <v>60.843936407228213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60.438396607798296</v>
      </c>
      <c r="L48">
        <f ca="1"/>
        <v>0.13097108285760406</v>
      </c>
      <c r="M48">
        <f ca="1"/>
        <v>0.19675539173526513</v>
      </c>
      <c r="N48">
        <f ca="1"/>
        <v>0.67763258082370947</v>
      </c>
      <c r="O48">
        <f ca="1"/>
        <v>0</v>
      </c>
      <c r="P48">
        <f ca="1"/>
        <v>2.6813549562410182</v>
      </c>
      <c r="Q48">
        <f ca="1"/>
        <v>0</v>
      </c>
      <c r="R48">
        <f ca="1"/>
        <v>0.60911392755163618</v>
      </c>
      <c r="S48">
        <f ca="1"/>
        <v>1</v>
      </c>
      <c r="T48">
        <f ca="1"/>
        <v>1.8299999999999983</v>
      </c>
      <c r="U48">
        <f ca="1"/>
        <v>0</v>
      </c>
      <c r="V48">
        <f ca="1"/>
        <v>6.0058109218742994E-2</v>
      </c>
      <c r="X48" s="2">
        <f t="shared" ca="1" si="1"/>
        <v>45458</v>
      </c>
      <c r="Y48">
        <f t="shared" ca="1" si="2"/>
        <v>0</v>
      </c>
      <c r="AA48" s="63">
        <f t="shared" ca="1" si="4"/>
        <v>61.178481618207542</v>
      </c>
      <c r="AB48" s="63">
        <f t="shared" ca="1" si="5"/>
        <v>61.178481618207542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60.641869532745943</v>
      </c>
      <c r="L49">
        <f ca="1"/>
        <v>0.13898131313716711</v>
      </c>
      <c r="M49">
        <f ca="1"/>
        <v>0.19586040264606375</v>
      </c>
      <c r="N49">
        <f ca="1"/>
        <v>0.68428507862910293</v>
      </c>
      <c r="O49">
        <f ca="1"/>
        <v>0</v>
      </c>
      <c r="P49">
        <f ca="1"/>
        <v>2.8203362693781853</v>
      </c>
      <c r="Q49">
        <f ca="1"/>
        <v>0</v>
      </c>
      <c r="R49">
        <f ca="1"/>
        <v>0.537691243190352</v>
      </c>
      <c r="S49">
        <f ca="1"/>
        <v>1</v>
      </c>
      <c r="T49">
        <f ca="1"/>
        <v>1.6100000000000136</v>
      </c>
      <c r="U49">
        <f ca="1"/>
        <v>0</v>
      </c>
      <c r="V49">
        <f ca="1"/>
        <v>6.8538439218077757E-2</v>
      </c>
      <c r="X49" s="2">
        <f t="shared" ca="1" si="1"/>
        <v>45459</v>
      </c>
      <c r="Y49">
        <f t="shared" ca="1" si="2"/>
        <v>0</v>
      </c>
      <c r="AA49" s="63">
        <f t="shared" ca="1" si="4"/>
        <v>61.31854208907346</v>
      </c>
      <c r="AB49" s="63">
        <f t="shared" ca="1" si="5"/>
        <v>61.31854208907346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59.814770978822196</v>
      </c>
      <c r="L50">
        <f ca="1"/>
        <v>0.14738084723125366</v>
      </c>
      <c r="M50">
        <f ca="1"/>
        <v>0.19469434793895157</v>
      </c>
      <c r="N50">
        <f ca="1"/>
        <v>0.69030767894500022</v>
      </c>
      <c r="O50">
        <f ca="1"/>
        <v>0</v>
      </c>
      <c r="P50">
        <f ca="1"/>
        <v>2.9677171166094389</v>
      </c>
      <c r="Q50">
        <f ca="1"/>
        <v>0</v>
      </c>
      <c r="R50">
        <f ca="1"/>
        <v>1.5647197335764356</v>
      </c>
      <c r="S50">
        <f ca="1"/>
        <v>1</v>
      </c>
      <c r="T50">
        <f ca="1"/>
        <v>4.75</v>
      </c>
      <c r="U50">
        <f ca="1"/>
        <v>0</v>
      </c>
      <c r="V50">
        <f ca="1"/>
        <v>7.8206163245916907E-2</v>
      </c>
      <c r="X50" s="2">
        <f t="shared" ca="1" si="1"/>
        <v>45460</v>
      </c>
      <c r="Y50">
        <f t="shared" ca="1" si="2"/>
        <v>0</v>
      </c>
      <c r="AA50" s="63">
        <f t="shared" ca="1" si="4"/>
        <v>61.526871559629889</v>
      </c>
      <c r="AB50" s="63">
        <f t="shared" ca="1" si="5"/>
        <v>61.526871559629889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57.058510492024439</v>
      </c>
      <c r="L51">
        <f ca="1"/>
        <v>0.16033735236041791</v>
      </c>
      <c r="M51">
        <f ca="1"/>
        <v>0.1968943404179937</v>
      </c>
      <c r="N51">
        <f ca="1"/>
        <v>0.71404819608056869</v>
      </c>
      <c r="O51">
        <f ca="1"/>
        <v>0</v>
      </c>
      <c r="P51">
        <f ca="1"/>
        <v>3.1280544689698568</v>
      </c>
      <c r="Q51">
        <f ca="1"/>
        <v>0</v>
      </c>
      <c r="R51">
        <f ca="1"/>
        <v>3.5068656709359005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8.9499853242182986E-2</v>
      </c>
      <c r="X51" s="2">
        <f t="shared" ca="1" si="1"/>
        <v>45461</v>
      </c>
      <c r="Y51">
        <f t="shared" ca="1" si="2"/>
        <v>0</v>
      </c>
      <c r="AA51" s="63">
        <f t="shared" ca="1" si="4"/>
        <v>60.725713515320756</v>
      </c>
      <c r="AB51" s="63">
        <f t="shared" ca="1" si="5"/>
        <v>60.725713515320756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55.300355171334772</v>
      </c>
      <c r="L52">
        <f ca="1"/>
        <v>0.16802537761774872</v>
      </c>
      <c r="M52">
        <f ca="1"/>
        <v>0.19353098133671232</v>
      </c>
      <c r="N52">
        <f ca="1"/>
        <v>0.71062553014540031</v>
      </c>
      <c r="O52">
        <f ca="1"/>
        <v>0</v>
      </c>
      <c r="P52">
        <f ca="1"/>
        <v>3.2960798465876056</v>
      </c>
      <c r="Q52">
        <f ca="1"/>
        <v>0</v>
      </c>
      <c r="R52">
        <f ca="1"/>
        <v>2.4942864545540298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0.10218025369173379</v>
      </c>
      <c r="X52" s="2">
        <f t="shared" ca="1" si="1"/>
        <v>45462</v>
      </c>
      <c r="Y52">
        <f t="shared" ca="1" si="2"/>
        <v>0</v>
      </c>
      <c r="AA52" s="63">
        <f t="shared" ca="1" si="4"/>
        <v>57.962667003506553</v>
      </c>
      <c r="AB52" s="63">
        <f t="shared" ca="1" si="5"/>
        <v>57.962667003506553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55.681109881352334</v>
      </c>
      <c r="L53">
        <f ca="1"/>
        <v>0.16680621834769616</v>
      </c>
      <c r="M53">
        <f ca="1"/>
        <v>0.18318915350498877</v>
      </c>
      <c r="N53">
        <f ca="1"/>
        <v>0.67102136551119118</v>
      </c>
      <c r="O53">
        <f ca="1"/>
        <v>0</v>
      </c>
      <c r="P53">
        <f ca="1"/>
        <v>3.4628860649353017</v>
      </c>
      <c r="Q53">
        <f ca="1"/>
        <v>0</v>
      </c>
      <c r="R53">
        <f ca="1"/>
        <v>0.3066495906509259</v>
      </c>
      <c r="S53">
        <f ca="1"/>
        <v>1</v>
      </c>
      <c r="T53">
        <f ca="1"/>
        <v>1</v>
      </c>
      <c r="U53">
        <f ca="1"/>
        <v>0</v>
      </c>
      <c r="V53">
        <f ca="1"/>
        <v>0.11559268782888762</v>
      </c>
      <c r="X53" s="2">
        <f t="shared" ca="1" si="1"/>
        <v>45463</v>
      </c>
      <c r="Y53">
        <f t="shared" ca="1" si="2"/>
        <v>0</v>
      </c>
      <c r="AA53" s="63">
        <f t="shared" ca="1" si="4"/>
        <v>56.154565690350957</v>
      </c>
      <c r="AB53" s="63">
        <f t="shared" ca="1" si="5"/>
        <v>56.154565690350957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55.969562588369762</v>
      </c>
      <c r="L54">
        <f ca="1"/>
        <v>0.15616802979573441</v>
      </c>
      <c r="M54">
        <f ca="1"/>
        <v>0.16789082714864634</v>
      </c>
      <c r="N54">
        <f ca="1"/>
        <v>0.60346237068763786</v>
      </c>
      <c r="O54">
        <f ca="1"/>
        <v>0</v>
      </c>
      <c r="P54">
        <f ca="1"/>
        <v>3.6190540947310361</v>
      </c>
      <c r="Q54">
        <f ca="1"/>
        <v>0</v>
      </c>
      <c r="R54">
        <f ca="1"/>
        <v>0.32673246102311715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0.12885909851855257</v>
      </c>
      <c r="X54" s="2">
        <f t="shared" ca="1" si="1"/>
        <v>45464</v>
      </c>
      <c r="Y54">
        <f t="shared" ca="1" si="2"/>
        <v>0</v>
      </c>
      <c r="AA54" s="63">
        <f t="shared" ca="1" si="4"/>
        <v>56.452463079188618</v>
      </c>
      <c r="AB54" s="63">
        <f t="shared" ca="1" si="5"/>
        <v>56.452463079188618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55.904055486647835</v>
      </c>
      <c r="L55">
        <f ca="1"/>
        <v>0.16398725086215515</v>
      </c>
      <c r="M55">
        <f ca="1"/>
        <v>0.16618536614063917</v>
      </c>
      <c r="N55">
        <f ca="1"/>
        <v>0.60654630439072499</v>
      </c>
      <c r="O55">
        <f ca="1"/>
        <v>0</v>
      </c>
      <c r="P55">
        <f ca="1"/>
        <v>3.7830413455931913</v>
      </c>
      <c r="Q55">
        <f ca="1"/>
        <v>0</v>
      </c>
      <c r="R55">
        <f ca="1"/>
        <v>0.67425152139113442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0.14348596298578581</v>
      </c>
      <c r="X55" s="2">
        <f t="shared" ca="1" si="1"/>
        <v>45465</v>
      </c>
      <c r="Y55">
        <f t="shared" ca="1" si="2"/>
        <v>0</v>
      </c>
      <c r="AA55" s="63">
        <f t="shared" ca="1" si="4"/>
        <v>56.742294258901126</v>
      </c>
      <c r="AB55" s="63">
        <f t="shared" ca="1" si="5"/>
        <v>56.742294258901126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55.702056720287572</v>
      </c>
      <c r="L56">
        <f ca="1"/>
        <v>0.19732844325828758</v>
      </c>
      <c r="M56">
        <f ca="1"/>
        <v>0.17968228014204879</v>
      </c>
      <c r="N56">
        <f ca="1"/>
        <v>0.69299515390972399</v>
      </c>
      <c r="O56">
        <f ca="1"/>
        <v>0</v>
      </c>
      <c r="P56">
        <f ca="1"/>
        <v>3.9803697888514789</v>
      </c>
      <c r="Q56">
        <f ca="1"/>
        <v>0</v>
      </c>
      <c r="R56">
        <f ca="1"/>
        <v>0.8773477571537468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0.16196296933420759</v>
      </c>
      <c r="X56" s="2">
        <f t="shared" ca="1" si="1"/>
        <v>45466</v>
      </c>
      <c r="Y56">
        <f t="shared" ca="1" si="2"/>
        <v>0</v>
      </c>
      <c r="AA56" s="63">
        <f t="shared" ca="1" si="4"/>
        <v>56.776732920699608</v>
      </c>
      <c r="AB56" s="63">
        <f t="shared" ca="1" si="5"/>
        <v>56.776732920699608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55.663240322209262</v>
      </c>
      <c r="L57">
        <f ca="1"/>
        <v>0.18997021271938053</v>
      </c>
      <c r="M57">
        <f ca="1"/>
        <v>0.16680198184021933</v>
      </c>
      <c r="N57">
        <f ca="1"/>
        <v>0.63730584318919359</v>
      </c>
      <c r="O57">
        <f ca="1"/>
        <v>0</v>
      </c>
      <c r="P57">
        <f ca="1"/>
        <v>4.1703400015708594</v>
      </c>
      <c r="Q57">
        <f ca="1"/>
        <v>0</v>
      </c>
      <c r="R57">
        <f ca="1"/>
        <v>0.65295401038834899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0.18057106743727977</v>
      </c>
      <c r="X57" s="2">
        <f t="shared" ca="1" si="1"/>
        <v>45467</v>
      </c>
      <c r="Y57">
        <f t="shared" ca="1" si="2"/>
        <v>0</v>
      </c>
      <c r="AA57" s="63">
        <f t="shared" ca="1" si="4"/>
        <v>56.506164545316992</v>
      </c>
      <c r="AB57" s="63">
        <f t="shared" ca="1" si="5"/>
        <v>56.506164545316992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56.168596718048974</v>
      </c>
      <c r="L58">
        <f ca="1"/>
        <v>0.19069123586982695</v>
      </c>
      <c r="M58">
        <f ca="1"/>
        <v>0.16001461518885662</v>
      </c>
      <c r="N58">
        <f ca="1"/>
        <v>0.6133665917122002</v>
      </c>
      <c r="O58">
        <f ca="1"/>
        <v>0</v>
      </c>
      <c r="P58">
        <f ca="1"/>
        <v>4.3610312374406863</v>
      </c>
      <c r="Q58">
        <f ca="1"/>
        <v>0</v>
      </c>
      <c r="R58">
        <f ca="1"/>
        <v>7.7333575191516707E-2</v>
      </c>
      <c r="S58">
        <f ca="1"/>
        <v>1</v>
      </c>
      <c r="T58">
        <f ca="1"/>
        <v>0.25</v>
      </c>
      <c r="U58">
        <f ca="1"/>
        <v>0</v>
      </c>
      <c r="V58">
        <f ca="1"/>
        <v>0.19996472153058853</v>
      </c>
      <c r="X58" s="2">
        <f t="shared" ca="1" si="1"/>
        <v>45468</v>
      </c>
      <c r="Y58">
        <f t="shared" ca="1" si="2"/>
        <v>0</v>
      </c>
      <c r="AA58" s="63">
        <f t="shared" ca="1" si="4"/>
        <v>56.436621529110319</v>
      </c>
      <c r="AB58" s="63">
        <f t="shared" ca="1" si="5"/>
        <v>56.436621529110319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56.076929383048409</v>
      </c>
      <c r="L59">
        <f ca="1"/>
        <v>0.19116332798913405</v>
      </c>
      <c r="M59">
        <f ca="1"/>
        <v>0.15372194399740025</v>
      </c>
      <c r="N59">
        <f ca="1"/>
        <v>0.59122763328126904</v>
      </c>
      <c r="O59">
        <f ca="1"/>
        <v>0</v>
      </c>
      <c r="P59">
        <f ca="1"/>
        <v>4.5521945654298204</v>
      </c>
      <c r="Q59">
        <f ca="1"/>
        <v>0</v>
      </c>
      <c r="R59">
        <f ca="1"/>
        <v>0.64545358429010757</v>
      </c>
      <c r="S59">
        <f ca="1"/>
        <v>1</v>
      </c>
      <c r="T59">
        <f ca="1"/>
        <v>2.0900000000000176</v>
      </c>
      <c r="U59">
        <f ca="1"/>
        <v>0</v>
      </c>
      <c r="V59">
        <f ca="1"/>
        <v>0.22002623866318699</v>
      </c>
      <c r="X59" s="2">
        <f t="shared" ca="1" si="1"/>
        <v>45469</v>
      </c>
      <c r="Y59">
        <f t="shared" ca="1" si="2"/>
        <v>0</v>
      </c>
      <c r="AA59" s="63">
        <f t="shared" ca="1" si="4"/>
        <v>56.913546295327642</v>
      </c>
      <c r="AB59" s="63">
        <f t="shared" ca="1" si="5"/>
        <v>56.913546295327649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56.623600627662356</v>
      </c>
      <c r="L60">
        <f ca="1"/>
        <v>0.20093849783893702</v>
      </c>
      <c r="M60">
        <f ca="1"/>
        <v>0.15211831121600916</v>
      </c>
      <c r="N60">
        <f ca="1"/>
        <v>0.59549143123687776</v>
      </c>
      <c r="O60">
        <f ca="1"/>
        <v>0</v>
      </c>
      <c r="P60">
        <f ca="1"/>
        <v>4.7531330632687574</v>
      </c>
      <c r="Q60">
        <f ca="1"/>
        <v>0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0.24166985518465361</v>
      </c>
      <c r="X60" s="2">
        <f t="shared" ca="1" si="1"/>
        <v>45470</v>
      </c>
      <c r="Y60">
        <f t="shared" ca="1" si="2"/>
        <v>0</v>
      </c>
      <c r="AA60" s="63">
        <f t="shared" ca="1" si="4"/>
        <v>56.824539125501296</v>
      </c>
      <c r="AB60" s="63">
        <f t="shared" ca="1" si="5"/>
        <v>56.824539125501289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56.899253658396191</v>
      </c>
      <c r="L61">
        <f ca="1"/>
        <v>0.20640903103733166</v>
      </c>
      <c r="M61">
        <f ca="1"/>
        <v>0.14841782869674347</v>
      </c>
      <c r="N61">
        <f ca="1"/>
        <v>0.58758865987009357</v>
      </c>
      <c r="O61">
        <f ca="1"/>
        <v>0</v>
      </c>
      <c r="P61">
        <f ca="1"/>
        <v>4.9595420943060891</v>
      </c>
      <c r="Q61">
        <f ca="1"/>
        <v>0</v>
      </c>
      <c r="R61">
        <f ca="1"/>
        <v>0.25394442679566775</v>
      </c>
      <c r="S61">
        <f ca="1"/>
        <v>1</v>
      </c>
      <c r="T61">
        <f ca="1"/>
        <v>0.8103966000058449</v>
      </c>
      <c r="U61">
        <f ca="1"/>
        <v>0</v>
      </c>
      <c r="V61">
        <f ca="1"/>
        <v>0.26437095689734247</v>
      </c>
      <c r="X61" s="2">
        <f t="shared" ca="1" si="1"/>
        <v>45471</v>
      </c>
      <c r="Y61">
        <f t="shared" ca="1" si="2"/>
        <v>0</v>
      </c>
      <c r="AA61" s="63">
        <f t="shared" ca="1" si="4"/>
        <v>57.359607116229192</v>
      </c>
      <c r="AB61" s="63">
        <f t="shared" ca="1" si="5"/>
        <v>57.359607116229192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56.861715814042284</v>
      </c>
      <c r="L62">
        <f ca="1"/>
        <v>0.21056965083160595</v>
      </c>
      <c r="M62">
        <f ca="1"/>
        <v>0.14428832023656213</v>
      </c>
      <c r="N62">
        <f ca="1"/>
        <v>0.57675857343444648</v>
      </c>
      <c r="O62">
        <f ca="1"/>
        <v>0</v>
      </c>
      <c r="P62">
        <f ca="1"/>
        <v>5.170111745137695</v>
      </c>
      <c r="Q62">
        <f ca="1"/>
        <v>0</v>
      </c>
      <c r="R62">
        <f ca="1"/>
        <v>0.54801508719330605</v>
      </c>
      <c r="S62">
        <f ca="1"/>
        <v>1</v>
      </c>
      <c r="T62">
        <f ca="1"/>
        <v>1.75</v>
      </c>
      <c r="U62">
        <f ca="1"/>
        <v>0</v>
      </c>
      <c r="V62">
        <f ca="1"/>
        <v>0.28788411201356784</v>
      </c>
      <c r="X62" s="2">
        <f t="shared" ca="1" si="1"/>
        <v>45472</v>
      </c>
      <c r="Y62">
        <f t="shared" ca="1" si="2"/>
        <v>0</v>
      </c>
      <c r="AA62" s="63">
        <f t="shared" ca="1" si="4"/>
        <v>57.620300552067199</v>
      </c>
      <c r="AB62" s="63">
        <f t="shared" ca="1" si="5"/>
        <v>57.620300552067199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56.959940853866357</v>
      </c>
      <c r="L63">
        <f ca="1"/>
        <v>0.22684150445183882</v>
      </c>
      <c r="M63">
        <f ca="1"/>
        <v>0.14486936147008045</v>
      </c>
      <c r="N63">
        <f ca="1"/>
        <v>0.59427118762176234</v>
      </c>
      <c r="O63">
        <f ca="1"/>
        <v>0</v>
      </c>
      <c r="P63">
        <f ca="1"/>
        <v>5.3969532495895338</v>
      </c>
      <c r="Q63">
        <f ca="1"/>
        <v>0</v>
      </c>
      <c r="R63">
        <f ca="1"/>
        <v>0.41407400481593071</v>
      </c>
      <c r="S63">
        <f ca="1"/>
        <v>1</v>
      </c>
      <c r="T63">
        <f ca="1"/>
        <v>1.3199999999999932</v>
      </c>
      <c r="U63">
        <f ca="1"/>
        <v>0</v>
      </c>
      <c r="V63">
        <f ca="1"/>
        <v>0.31346028619954192</v>
      </c>
      <c r="X63" s="2">
        <f t="shared" ca="1" si="1"/>
        <v>45473</v>
      </c>
      <c r="Y63">
        <f t="shared" ca="1" si="2"/>
        <v>0</v>
      </c>
      <c r="AA63" s="63">
        <f t="shared" ca="1" si="4"/>
        <v>57.600856363134127</v>
      </c>
      <c r="AB63" s="63">
        <f t="shared" ca="1" si="5"/>
        <v>57.600856363134127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57.435425380714065</v>
      </c>
      <c r="L64">
        <f ca="1"/>
        <v>0.22034404948570518</v>
      </c>
      <c r="M64">
        <f ca="1"/>
        <v>0.13683175430262473</v>
      </c>
      <c r="N64">
        <f ca="1"/>
        <v>0.55899682203078382</v>
      </c>
      <c r="O64">
        <f ca="1"/>
        <v>0</v>
      </c>
      <c r="P64">
        <f ca="1"/>
        <v>5.617297299075239</v>
      </c>
      <c r="Q64">
        <f ca="1"/>
        <v>0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0.33839821416725246</v>
      </c>
      <c r="X64" s="2">
        <f t="shared" ca="1" si="1"/>
        <v>45474</v>
      </c>
      <c r="Y64">
        <f t="shared" ca="1" si="2"/>
        <v>0</v>
      </c>
      <c r="AA64" s="63">
        <f t="shared" ca="1" si="4"/>
        <v>57.655769430199769</v>
      </c>
      <c r="AB64" s="63">
        <f t="shared" ca="1" si="5"/>
        <v>57.655769430199769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57.137402841072436</v>
      </c>
      <c r="L65">
        <f ca="1"/>
        <v>0.24608206384414988</v>
      </c>
      <c r="M65">
        <f ca="1"/>
        <v>0.14031585538977787</v>
      </c>
      <c r="N65">
        <f ca="1"/>
        <v>0.59488110778745396</v>
      </c>
      <c r="O65">
        <f ca="1"/>
        <v>0</v>
      </c>
      <c r="P65">
        <f ca="1"/>
        <v>5.8633793629193889</v>
      </c>
      <c r="Q65">
        <f ca="1"/>
        <v>0</v>
      </c>
      <c r="R65">
        <f ca="1"/>
        <v>0.78713743897471122</v>
      </c>
      <c r="S65">
        <f ca="1"/>
        <v>1</v>
      </c>
      <c r="T65">
        <f ca="1"/>
        <v>2.5014715492206676</v>
      </c>
      <c r="U65">
        <f ca="1"/>
        <v>0</v>
      </c>
      <c r="V65">
        <f ca="1"/>
        <v>0.36618666525129728</v>
      </c>
      <c r="X65" s="2">
        <f t="shared" ca="1" si="1"/>
        <v>45475</v>
      </c>
      <c r="Y65">
        <f t="shared" ca="1" si="2"/>
        <v>0</v>
      </c>
      <c r="AA65" s="63">
        <f t="shared" ca="1" si="4"/>
        <v>58.170622343891296</v>
      </c>
      <c r="AB65" s="63">
        <f t="shared" ca="1" si="5"/>
        <v>58.170622343891296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57.60447509573337</v>
      </c>
      <c r="L66">
        <f ca="1"/>
        <v>0.24966441256970739</v>
      </c>
      <c r="M66">
        <f ca="1"/>
        <v>0.13578185327784986</v>
      </c>
      <c r="N66">
        <f ca="1"/>
        <v>0.58095481395279547</v>
      </c>
      <c r="O66">
        <f ca="1"/>
        <v>0</v>
      </c>
      <c r="P66">
        <f ca="1"/>
        <v>6.1130437754890963</v>
      </c>
      <c r="Q66">
        <f ca="1"/>
        <v>0</v>
      </c>
      <c r="R66">
        <f ca="1"/>
        <v>0</v>
      </c>
      <c r="S66">
        <f ca="1"/>
        <v>0.99797101449275361</v>
      </c>
      <c r="T66">
        <f ca="1"/>
        <v>0</v>
      </c>
      <c r="U66">
        <f ca="1"/>
        <v>0</v>
      </c>
      <c r="V66">
        <f ca="1"/>
        <v>0.39413698182194101</v>
      </c>
      <c r="X66" s="2">
        <f t="shared" ca="1" si="1"/>
        <v>45476</v>
      </c>
      <c r="Y66">
        <f t="shared" ca="1" si="2"/>
        <v>0</v>
      </c>
      <c r="AA66" s="63">
        <f t="shared" ca="1" si="4"/>
        <v>57.854139508303078</v>
      </c>
      <c r="AB66" s="63">
        <f t="shared" ca="1" si="5"/>
        <v>57.854139508303078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58.091211916881257</v>
      </c>
      <c r="L67">
        <f ca="1"/>
        <v>0.28461333149248969</v>
      </c>
      <c r="M67">
        <f ca="1"/>
        <v>0.14103456881232823</v>
      </c>
      <c r="N67">
        <f ca="1"/>
        <v>0.63031558382804642</v>
      </c>
      <c r="O67">
        <f ca="1"/>
        <v>0</v>
      </c>
      <c r="P67">
        <f ca="1"/>
        <v>6.397657106981586</v>
      </c>
      <c r="Q67">
        <f ca="1"/>
        <v>0</v>
      </c>
      <c r="R67">
        <f ca="1"/>
        <v>0</v>
      </c>
      <c r="S67">
        <f ca="1"/>
        <v>0.98537870573070152</v>
      </c>
      <c r="T67">
        <f ca="1"/>
        <v>0</v>
      </c>
      <c r="U67">
        <f ca="1"/>
        <v>0</v>
      </c>
      <c r="V67">
        <f ca="1"/>
        <v>0.4254934913790136</v>
      </c>
      <c r="X67" s="2">
        <f t="shared" ca="1" si="1"/>
        <v>45477</v>
      </c>
      <c r="Y67">
        <f t="shared" ca="1" si="2"/>
        <v>0</v>
      </c>
      <c r="AA67" s="63">
        <f t="shared" ca="1" si="4"/>
        <v>58.375825248373744</v>
      </c>
      <c r="AB67" s="63">
        <f t="shared" ca="1" si="5"/>
        <v>58.375825248373744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58.445963204832708</v>
      </c>
      <c r="L68">
        <f ca="1"/>
        <v>0.2883030865063585</v>
      </c>
      <c r="M68">
        <f ca="1"/>
        <v>0.13584836111932397</v>
      </c>
      <c r="N68">
        <f ca="1"/>
        <v>0.61274453905525339</v>
      </c>
      <c r="O68">
        <f ca="1"/>
        <v>0</v>
      </c>
      <c r="P68">
        <f ca="1"/>
        <v>6.6859601934879445</v>
      </c>
      <c r="Q68">
        <f ca="1"/>
        <v>0</v>
      </c>
      <c r="R68">
        <f ca="1"/>
        <v>0.10553852571676578</v>
      </c>
      <c r="S68">
        <f ca="1"/>
        <v>1</v>
      </c>
      <c r="T68">
        <f ca="1"/>
        <v>0.32788533810801823</v>
      </c>
      <c r="U68">
        <f ca="1"/>
        <v>0</v>
      </c>
      <c r="V68">
        <f ca="1"/>
        <v>0.45650239219607991</v>
      </c>
      <c r="X68" s="2">
        <f t="shared" ca="1" si="1"/>
        <v>45478</v>
      </c>
      <c r="Y68">
        <f t="shared" ca="1" si="2"/>
        <v>0</v>
      </c>
      <c r="AA68" s="63">
        <f t="shared" ca="1" si="4"/>
        <v>58.839804817055835</v>
      </c>
      <c r="AB68" s="63">
        <f t="shared" ca="1" si="5"/>
        <v>58.839804817055835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57.717188771243904</v>
      </c>
      <c r="L69">
        <f ca="1"/>
        <v>0.31897700395402673</v>
      </c>
      <c r="M69">
        <f ca="1"/>
        <v>0.13844893594546903</v>
      </c>
      <c r="N69">
        <f ca="1"/>
        <v>0.64691768248284565</v>
      </c>
      <c r="O69">
        <f ca="1"/>
        <v>0</v>
      </c>
      <c r="P69">
        <f ca="1"/>
        <v>7.0049371974419712</v>
      </c>
      <c r="Q69">
        <f ca="1"/>
        <v>0</v>
      </c>
      <c r="R69">
        <f ca="1"/>
        <v>1.1951640480630883</v>
      </c>
      <c r="S69">
        <f ca="1"/>
        <v>1</v>
      </c>
      <c r="T69">
        <f ca="1"/>
        <v>3.7599999999999909</v>
      </c>
      <c r="U69">
        <f ca="1"/>
        <v>0</v>
      </c>
      <c r="V69">
        <f ca="1"/>
        <v>0.48971383402625723</v>
      </c>
      <c r="X69" s="2">
        <f t="shared" ca="1" si="1"/>
        <v>45479</v>
      </c>
      <c r="Y69">
        <f t="shared" ca="1" si="2"/>
        <v>0</v>
      </c>
      <c r="AA69" s="63">
        <f t="shared" ca="1" si="4"/>
        <v>59.231329823261021</v>
      </c>
      <c r="AB69" s="63">
        <f t="shared" ca="1" si="5"/>
        <v>59.231329823261021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57.277349839168714</v>
      </c>
      <c r="L70">
        <f ca="1"/>
        <v>0.29375541148076056</v>
      </c>
      <c r="M70">
        <f ca="1"/>
        <v>0.12569279011022871</v>
      </c>
      <c r="N70">
        <f ca="1"/>
        <v>0.57675857343444648</v>
      </c>
      <c r="O70">
        <f ca="1"/>
        <v>0</v>
      </c>
      <c r="P70">
        <f ca="1"/>
        <v>7.2986926089227318</v>
      </c>
      <c r="Q70">
        <f ca="1"/>
        <v>0</v>
      </c>
      <c r="R70">
        <f ca="1"/>
        <v>0.84853488413910449</v>
      </c>
      <c r="S70">
        <f ca="1"/>
        <v>1</v>
      </c>
      <c r="T70">
        <f ca="1"/>
        <v>2.6899999999999977</v>
      </c>
      <c r="U70">
        <f ca="1"/>
        <v>0</v>
      </c>
      <c r="V70">
        <f ca="1"/>
        <v>0.51912556291730094</v>
      </c>
      <c r="X70" s="2">
        <f t="shared" ca="1" si="1"/>
        <v>45480</v>
      </c>
      <c r="Y70">
        <f t="shared" ca="1" si="2"/>
        <v>0</v>
      </c>
      <c r="AA70" s="63">
        <f t="shared" ca="1" si="4"/>
        <v>58.41964013478858</v>
      </c>
      <c r="AB70" s="63">
        <f t="shared" ca="1" si="5"/>
        <v>58.41964013478858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56.634451917358369</v>
      </c>
      <c r="L71">
        <f ca="1"/>
        <v>0.29202472961174664</v>
      </c>
      <c r="M71">
        <f ca="1"/>
        <v>0.12037332549371094</v>
      </c>
      <c r="N71">
        <f ca="1"/>
        <v>0.55490408791756807</v>
      </c>
      <c r="O71">
        <f ca="1"/>
        <v>0</v>
      </c>
      <c r="P71">
        <f ca="1"/>
        <v>7.5907173385344784</v>
      </c>
      <c r="Q71">
        <f ca="1"/>
        <v>0</v>
      </c>
      <c r="R71">
        <f ca="1"/>
        <v>1.0261506056098779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0.54714074716020367</v>
      </c>
      <c r="X71" s="2">
        <f t="shared" ca="1" si="1"/>
        <v>45481</v>
      </c>
      <c r="Y71">
        <f t="shared" ca="1" si="2"/>
        <v>0</v>
      </c>
      <c r="AA71" s="63">
        <f t="shared" ca="1" si="4"/>
        <v>57.952627252579994</v>
      </c>
      <c r="AB71" s="63">
        <f t="shared" ca="1" si="5"/>
        <v>57.952627252579994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56.629401963866435</v>
      </c>
      <c r="L72">
        <f ca="1"/>
        <v>0.30619811042989742</v>
      </c>
      <c r="M72">
        <f ca="1"/>
        <v>0.11893026894439274</v>
      </c>
      <c r="N72">
        <f ca="1"/>
        <v>0.55958309122524053</v>
      </c>
      <c r="O72">
        <f ca="1"/>
        <v>0</v>
      </c>
      <c r="P72">
        <f ca="1"/>
        <v>7.8969154489643758</v>
      </c>
      <c r="Q72">
        <f ca="1"/>
        <v>0</v>
      </c>
      <c r="R72">
        <f ca="1"/>
        <v>0.37736520323167616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0.57513017510721143</v>
      </c>
      <c r="X72" s="2">
        <f t="shared" ca="1" si="1"/>
        <v>45482</v>
      </c>
      <c r="Y72">
        <f t="shared" ca="1" si="2"/>
        <v>0</v>
      </c>
      <c r="AA72" s="63">
        <f t="shared" ca="1" si="4"/>
        <v>57.312965277528001</v>
      </c>
      <c r="AB72" s="63">
        <f t="shared" ca="1" si="5"/>
        <v>57.312965277528008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55.868403299309108</v>
      </c>
      <c r="L73">
        <f ca="1"/>
        <v>0.30970280335730305</v>
      </c>
      <c r="M73">
        <f ca="1"/>
        <v>0.11515459401860362</v>
      </c>
      <c r="N73">
        <f ca="1"/>
        <v>0.54735498794846438</v>
      </c>
      <c r="O73">
        <f ca="1"/>
        <v>0</v>
      </c>
      <c r="P73">
        <f ca="1"/>
        <v>8.2066182523216789</v>
      </c>
      <c r="Q73">
        <f ca="1"/>
        <v>0</v>
      </c>
      <c r="R73">
        <f ca="1"/>
        <v>1.1138054431670972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0.60195198580097942</v>
      </c>
      <c r="X73" s="2">
        <f t="shared" ca="1" si="1"/>
        <v>45483</v>
      </c>
      <c r="Y73">
        <f t="shared" ca="1" si="2"/>
        <v>0</v>
      </c>
      <c r="AA73" s="63">
        <f t="shared" ca="1" si="4"/>
        <v>57.291911545833507</v>
      </c>
      <c r="AB73" s="63">
        <f t="shared" ca="1" si="5"/>
        <v>57.291911545833507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56.025046259709761</v>
      </c>
      <c r="L74">
        <f ca="1"/>
        <v>0.33510299216071715</v>
      </c>
      <c r="M74">
        <f ca="1"/>
        <v>0.11580218450628443</v>
      </c>
      <c r="N74">
        <f ca="1"/>
        <v>0.56724088253026428</v>
      </c>
      <c r="O74">
        <f ca="1"/>
        <v>0</v>
      </c>
      <c r="P74">
        <f ca="1"/>
        <v>8.541721244482396</v>
      </c>
      <c r="Q74">
        <f ca="1"/>
        <v>0</v>
      </c>
      <c r="R74">
        <f ca="1"/>
        <v>0.19129711447518427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0.62927027520819967</v>
      </c>
      <c r="X74" s="2">
        <f t="shared" ca="1" si="1"/>
        <v>45484</v>
      </c>
      <c r="Y74">
        <f t="shared" ca="1" si="2"/>
        <v>0</v>
      </c>
      <c r="AA74" s="63">
        <f t="shared" ca="1" si="4"/>
        <v>56.551446366345658</v>
      </c>
      <c r="AB74" s="63">
        <f t="shared" ca="1" si="5"/>
        <v>56.551446366345665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55.077235667229807</v>
      </c>
      <c r="L75">
        <f ca="1"/>
        <v>0.33621292211265263</v>
      </c>
      <c r="M75">
        <f ca="1"/>
        <v>0.11153189121502294</v>
      </c>
      <c r="N75">
        <f ca="1"/>
        <v>0.55083084602490195</v>
      </c>
      <c r="O75">
        <f ca="1"/>
        <v>0</v>
      </c>
      <c r="P75">
        <f ca="1"/>
        <v>8.8779341665950486</v>
      </c>
      <c r="Q75">
        <f ca="1"/>
        <v>0</v>
      </c>
      <c r="R75">
        <f ca="1"/>
        <v>1.2739604076072295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0.65491323034539928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56.687408996949685</v>
      </c>
      <c r="AB75" s="63">
        <f t="shared" ca="1" si="5"/>
        <v>56.687408996949685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54.376053902197334</v>
      </c>
      <c r="L76">
        <f ca="1"/>
        <v>0.34126791803866219</v>
      </c>
      <c r="M76">
        <f ca="1"/>
        <v>0.10825453232423854</v>
      </c>
      <c r="N76">
        <f ca="1"/>
        <v>0.54101965875664937</v>
      </c>
      <c r="O76">
        <f ca="1"/>
        <v>0</v>
      </c>
      <c r="P76">
        <f ca="1"/>
        <v>9.2192020846337108</v>
      </c>
      <c r="Q76">
        <f ca="1"/>
        <v>0</v>
      </c>
      <c r="R76">
        <f ca="1"/>
        <v>1.0091880380746956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0.67917448064711861</v>
      </c>
      <c r="X76" s="2">
        <f t="shared" ca="1" si="8"/>
        <v>45486</v>
      </c>
      <c r="Y76">
        <f t="shared" ca="1" si="9"/>
        <v>0</v>
      </c>
      <c r="AA76" s="63">
        <f t="shared" ca="1" si="4"/>
        <v>55.726509858310692</v>
      </c>
      <c r="AB76" s="63">
        <f t="shared" ca="1" si="5"/>
        <v>55.726509858310692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54.363373986540289</v>
      </c>
      <c r="L77">
        <f ca="1"/>
        <v>0.39645799899946432</v>
      </c>
      <c r="M77">
        <f ca="1"/>
        <v>0.11340261395623408</v>
      </c>
      <c r="N77">
        <f ca="1"/>
        <v>0.59671328830249049</v>
      </c>
      <c r="O77">
        <f ca="1"/>
        <v>0</v>
      </c>
      <c r="P77">
        <f ca="1"/>
        <v>9.6156600836331751</v>
      </c>
      <c r="Q77">
        <f ca="1"/>
        <v>0</v>
      </c>
      <c r="R77">
        <f ca="1"/>
        <v>0.32633781891630093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0.70520820945610196</v>
      </c>
      <c r="X77" s="2">
        <f t="shared" ca="1" si="8"/>
        <v>45487</v>
      </c>
      <c r="Y77">
        <f t="shared" ca="1" si="9"/>
        <v>0</v>
      </c>
      <c r="AA77" s="63">
        <f t="shared" ref="AA77:AA140" ca="1" si="11">K76+M77+N77+O77</f>
        <v>55.086169804456055</v>
      </c>
      <c r="AB77" s="63">
        <f t="shared" ref="AB77:AB140" ca="1" si="12">K77+L77+R77</f>
        <v>55.086169804456055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53.114334956088634</v>
      </c>
      <c r="L78">
        <f ca="1"/>
        <v>0.41249591372711158</v>
      </c>
      <c r="M78">
        <f ca="1"/>
        <v>0.11121608273957939</v>
      </c>
      <c r="N78">
        <f ca="1"/>
        <v>0.59671328830249049</v>
      </c>
      <c r="O78">
        <f ca="1"/>
        <v>0</v>
      </c>
      <c r="P78">
        <f ca="1"/>
        <v>10.028155997360287</v>
      </c>
      <c r="Q78">
        <f ca="1"/>
        <v>0</v>
      </c>
      <c r="R78">
        <f ca="1"/>
        <v>1.5444724877666121</v>
      </c>
      <c r="S78">
        <f ca="1"/>
        <v>1</v>
      </c>
      <c r="T78">
        <f ca="1"/>
        <v>5.2800000000000011</v>
      </c>
      <c r="U78">
        <f ca="1"/>
        <v>0</v>
      </c>
      <c r="V78">
        <f ca="1"/>
        <v>0.72996931909213636</v>
      </c>
      <c r="X78" s="2">
        <f t="shared" ca="1" si="8"/>
        <v>45488</v>
      </c>
      <c r="Y78">
        <f t="shared" ca="1" si="9"/>
        <v>0</v>
      </c>
      <c r="AA78" s="63">
        <f t="shared" ca="1" si="11"/>
        <v>55.071303357582359</v>
      </c>
      <c r="AB78" s="63">
        <f t="shared" ca="1" si="12"/>
        <v>55.071303357582359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52.350991261619853</v>
      </c>
      <c r="L79">
        <f ca="1"/>
        <v>0.46520636750141264</v>
      </c>
      <c r="M79">
        <f ca="1"/>
        <v>0.11465586133452987</v>
      </c>
      <c r="N79">
        <f ca="1"/>
        <v>0.64242070512796057</v>
      </c>
      <c r="O79">
        <f ca="1"/>
        <v>0</v>
      </c>
      <c r="P79">
        <f ca="1"/>
        <v>10.493362364861699</v>
      </c>
      <c r="Q79">
        <f ca="1"/>
        <v>0</v>
      </c>
      <c r="R79">
        <f ca="1"/>
        <v>1.0552138934298669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0.75524454171206945</v>
      </c>
      <c r="X79" s="2">
        <f t="shared" ca="1" si="8"/>
        <v>45489</v>
      </c>
      <c r="Y79">
        <f t="shared" ca="1" si="9"/>
        <v>0</v>
      </c>
      <c r="AA79" s="63">
        <f t="shared" ca="1" si="11"/>
        <v>53.871411522551128</v>
      </c>
      <c r="AB79" s="63">
        <f t="shared" ca="1" si="12"/>
        <v>53.871411522551128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52.583470277031125</v>
      </c>
      <c r="L80">
        <f ca="1"/>
        <v>0.44719052570929563</v>
      </c>
      <c r="M80">
        <f ca="1"/>
        <v>0.10673459316468836</v>
      </c>
      <c r="N80">
        <f ca="1"/>
        <v>0.59610215804894884</v>
      </c>
      <c r="O80">
        <f ca="1"/>
        <v>0</v>
      </c>
      <c r="P80">
        <f ca="1"/>
        <v>10.940552890570995</v>
      </c>
      <c r="Q80">
        <f ca="1"/>
        <v>0</v>
      </c>
      <c r="R80">
        <f ca="1"/>
        <v>2.3167210093068293E-2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0.77710716695513926</v>
      </c>
      <c r="X80" s="2">
        <f t="shared" ca="1" si="8"/>
        <v>45490</v>
      </c>
      <c r="Y80">
        <f t="shared" ca="1" si="9"/>
        <v>0</v>
      </c>
      <c r="AA80" s="63">
        <f t="shared" ca="1" si="11"/>
        <v>53.053828012833492</v>
      </c>
      <c r="AB80" s="63">
        <f t="shared" ca="1" si="12"/>
        <v>53.053828012833492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52.766136592457045</v>
      </c>
      <c r="L81">
        <f ca="1"/>
        <v>0.47245401741766635</v>
      </c>
      <c r="M81">
        <f ca="1"/>
        <v>0.1056388641281103</v>
      </c>
      <c r="N81">
        <f ca="1"/>
        <v>0.60469473048323752</v>
      </c>
      <c r="O81">
        <f ca="1"/>
        <v>0</v>
      </c>
      <c r="P81">
        <f ca="1"/>
        <v>11.413006907988661</v>
      </c>
      <c r="Q81">
        <f ca="1"/>
        <v>0</v>
      </c>
      <c r="R81">
        <f ca="1"/>
        <v>5.5213261767758745E-2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0.79785215143830657</v>
      </c>
      <c r="X81" s="2">
        <f t="shared" ca="1" si="8"/>
        <v>45491</v>
      </c>
      <c r="Y81">
        <f t="shared" ca="1" si="9"/>
        <v>0</v>
      </c>
      <c r="AA81" s="63">
        <f t="shared" ca="1" si="11"/>
        <v>53.293803871642474</v>
      </c>
      <c r="AB81" s="63">
        <f t="shared" ca="1" si="12"/>
        <v>53.293803871642474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52.470009353291402</v>
      </c>
      <c r="L82">
        <f ca="1"/>
        <v>0.519863394987917</v>
      </c>
      <c r="M82">
        <f ca="1"/>
        <v>0.10720531558694724</v>
      </c>
      <c r="N82">
        <f ca="1"/>
        <v>0.6366683242592589</v>
      </c>
      <c r="O82">
        <f ca="1"/>
        <v>0</v>
      </c>
      <c r="P82">
        <f ca="1"/>
        <v>11.932870302976578</v>
      </c>
      <c r="Q82">
        <f ca="1"/>
        <v>0</v>
      </c>
      <c r="R82">
        <f ca="1"/>
        <v>0.52013748402393134</v>
      </c>
      <c r="S82">
        <f ca="1"/>
        <v>1</v>
      </c>
      <c r="T82">
        <f ca="1"/>
        <v>1.7999999999999972</v>
      </c>
      <c r="U82">
        <f ca="1"/>
        <v>0</v>
      </c>
      <c r="V82">
        <f ca="1"/>
        <v>0.81816990221866004</v>
      </c>
      <c r="X82" s="2">
        <f t="shared" ca="1" si="8"/>
        <v>45492</v>
      </c>
      <c r="Y82">
        <f t="shared" ca="1" si="9"/>
        <v>0</v>
      </c>
      <c r="AA82" s="63">
        <f t="shared" ca="1" si="11"/>
        <v>53.510010232303252</v>
      </c>
      <c r="AB82" s="63">
        <f t="shared" ca="1" si="12"/>
        <v>53.510010232303252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51.944814727801578</v>
      </c>
      <c r="L83">
        <f ca="1"/>
        <v>0.56099566278360591</v>
      </c>
      <c r="M83">
        <f ca="1"/>
        <v>0.10736440533261415</v>
      </c>
      <c r="N83">
        <f ca="1"/>
        <v>0.65792250835594379</v>
      </c>
      <c r="O83">
        <f ca="1"/>
        <v>0</v>
      </c>
      <c r="P83">
        <f ca="1"/>
        <v>12.493865965760184</v>
      </c>
      <c r="Q83">
        <f ca="1"/>
        <v>0</v>
      </c>
      <c r="R83">
        <f ca="1"/>
        <v>0.7294858763947778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0.83748372975819019</v>
      </c>
      <c r="X83" s="2">
        <f t="shared" ca="1" si="8"/>
        <v>45493</v>
      </c>
      <c r="Y83">
        <f t="shared" ca="1" si="9"/>
        <v>0</v>
      </c>
      <c r="AA83" s="63">
        <f t="shared" ca="1" si="11"/>
        <v>53.235296266979965</v>
      </c>
      <c r="AB83" s="63">
        <f t="shared" ca="1" si="12"/>
        <v>53.235296266979958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51.111532432640672</v>
      </c>
      <c r="L84">
        <f ca="1"/>
        <v>0.59746270861016271</v>
      </c>
      <c r="M84">
        <f ca="1"/>
        <v>0.10650073442868724</v>
      </c>
      <c r="N84">
        <f ca="1"/>
        <v>0.67102136551119118</v>
      </c>
      <c r="O84">
        <f ca="1"/>
        <v>0</v>
      </c>
      <c r="P84">
        <f ca="1"/>
        <v>13.091328674370347</v>
      </c>
      <c r="Q84">
        <f ca="1"/>
        <v>0</v>
      </c>
      <c r="R84">
        <f ca="1"/>
        <v>1.0133416864906175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0.8554509143064164</v>
      </c>
      <c r="X84" s="2">
        <f t="shared" ca="1" si="8"/>
        <v>45494</v>
      </c>
      <c r="Y84">
        <f t="shared" ca="1" si="9"/>
        <v>0</v>
      </c>
      <c r="AA84" s="63">
        <f t="shared" ca="1" si="11"/>
        <v>52.722336827741458</v>
      </c>
      <c r="AB84" s="63">
        <f t="shared" ca="1" si="12"/>
        <v>52.722336827741458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50.048098096175238</v>
      </c>
      <c r="L85">
        <f ca="1"/>
        <v>0.58560841122159779</v>
      </c>
      <c r="M85">
        <f ca="1"/>
        <v>9.9960390751391515E-2</v>
      </c>
      <c r="N85">
        <f ca="1"/>
        <v>0.63221712232418492</v>
      </c>
      <c r="O85">
        <f ca="1"/>
        <v>0</v>
      </c>
      <c r="P85">
        <f ca="1"/>
        <v>13.676937085591945</v>
      </c>
      <c r="Q85">
        <f ca="1"/>
        <v>0</v>
      </c>
      <c r="R85">
        <f ca="1"/>
        <v>1.2100034383194096</v>
      </c>
      <c r="S85">
        <f ca="1"/>
        <v>1</v>
      </c>
      <c r="T85">
        <f ca="1"/>
        <v>4.3899999999999864</v>
      </c>
      <c r="U85">
        <f ca="1"/>
        <v>0</v>
      </c>
      <c r="V85">
        <f ca="1"/>
        <v>0.87080746739530179</v>
      </c>
      <c r="X85" s="2">
        <f t="shared" ca="1" si="8"/>
        <v>45495</v>
      </c>
      <c r="Y85">
        <f t="shared" ca="1" si="9"/>
        <v>0</v>
      </c>
      <c r="AA85" s="63">
        <f t="shared" ca="1" si="11"/>
        <v>51.843709945716249</v>
      </c>
      <c r="AB85" s="63">
        <f t="shared" ca="1" si="12"/>
        <v>51.843709945716249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49.866399553662696</v>
      </c>
      <c r="L86">
        <f ca="1"/>
        <v>0.60756099399598362</v>
      </c>
      <c r="M86">
        <f ca="1"/>
        <v>9.7636070748595927E-2</v>
      </c>
      <c r="N86">
        <f ca="1"/>
        <v>0.63031558382804642</v>
      </c>
      <c r="O86">
        <f ca="1"/>
        <v>0</v>
      </c>
      <c r="P86">
        <f ca="1"/>
        <v>14.284498079587928</v>
      </c>
      <c r="Q86">
        <f ca="1"/>
        <v>0</v>
      </c>
      <c r="R86">
        <f ca="1"/>
        <v>0.30208920309320531</v>
      </c>
      <c r="S86">
        <f ca="1"/>
        <v>1</v>
      </c>
      <c r="T86">
        <f ca="1"/>
        <v>1.1000000000000085</v>
      </c>
      <c r="U86">
        <f ca="1"/>
        <v>0</v>
      </c>
      <c r="V86">
        <f ca="1"/>
        <v>0.88471015526258279</v>
      </c>
      <c r="X86" s="2">
        <f t="shared" ca="1" si="8"/>
        <v>45496</v>
      </c>
      <c r="Y86">
        <f t="shared" ca="1" si="9"/>
        <v>0</v>
      </c>
      <c r="AA86" s="63">
        <f t="shared" ca="1" si="11"/>
        <v>50.776049750751874</v>
      </c>
      <c r="AB86" s="63">
        <f t="shared" ca="1" si="12"/>
        <v>50.776049750751881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49.960020697998729</v>
      </c>
      <c r="L87">
        <f ca="1"/>
        <v>0.59990471821835101</v>
      </c>
      <c r="M87">
        <f ca="1"/>
        <v>9.2523359512316716E-2</v>
      </c>
      <c r="N87">
        <f ca="1"/>
        <v>0.60100250304207381</v>
      </c>
      <c r="O87">
        <f ca="1"/>
        <v>0</v>
      </c>
      <c r="P87">
        <f ca="1"/>
        <v>14.884402797806279</v>
      </c>
      <c r="Q87">
        <f ca="1"/>
        <v>0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0.89669404362083327</v>
      </c>
      <c r="X87" s="2">
        <f t="shared" ca="1" si="8"/>
        <v>45497</v>
      </c>
      <c r="Y87">
        <f t="shared" ca="1" si="9"/>
        <v>0</v>
      </c>
      <c r="AA87" s="63">
        <f t="shared" ca="1" si="11"/>
        <v>50.559925416217091</v>
      </c>
      <c r="AB87" s="63">
        <f t="shared" ca="1" si="12"/>
        <v>50.559925416217084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50.029547935727123</v>
      </c>
      <c r="L88">
        <f ca="1"/>
        <v>0.61064512953688421</v>
      </c>
      <c r="M88">
        <f ca="1"/>
        <v>8.9552236109312844E-2</v>
      </c>
      <c r="N88">
        <f ca="1"/>
        <v>0.59062013115596423</v>
      </c>
      <c r="O88">
        <f ca="1"/>
        <v>0</v>
      </c>
      <c r="P88">
        <f ca="1"/>
        <v>15.495047927343164</v>
      </c>
      <c r="Q88">
        <f ca="1"/>
        <v>0</v>
      </c>
      <c r="R88">
        <f ca="1"/>
        <v>0</v>
      </c>
      <c r="S88">
        <f ca="1"/>
        <v>0.98594459730323292</v>
      </c>
      <c r="T88">
        <f ca="1"/>
        <v>0</v>
      </c>
      <c r="U88">
        <f ca="1"/>
        <v>0</v>
      </c>
      <c r="V88">
        <f ca="1"/>
        <v>0.90736544930691265</v>
      </c>
      <c r="X88" s="2">
        <f t="shared" ca="1" si="8"/>
        <v>45498</v>
      </c>
      <c r="Y88">
        <f t="shared" ca="1" si="9"/>
        <v>0</v>
      </c>
      <c r="AA88" s="63">
        <f t="shared" ca="1" si="11"/>
        <v>50.640193065264008</v>
      </c>
      <c r="AB88" s="63">
        <f t="shared" ca="1" si="12"/>
        <v>50.640193065264008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50.07141693253439</v>
      </c>
      <c r="L89">
        <f ca="1"/>
        <v>0.67522527988640313</v>
      </c>
      <c r="M89">
        <f ca="1"/>
        <v>9.1201351912179263E-2</v>
      </c>
      <c r="N89">
        <f ca="1"/>
        <v>0.62589292478149161</v>
      </c>
      <c r="O89">
        <f ca="1"/>
        <v>0</v>
      </c>
      <c r="P89">
        <f ca="1"/>
        <v>16.170273207229567</v>
      </c>
      <c r="Q89">
        <f ca="1"/>
        <v>0</v>
      </c>
      <c r="R89">
        <f ca="1"/>
        <v>0</v>
      </c>
      <c r="S89">
        <f ca="1"/>
        <v>0.99900686726819077</v>
      </c>
      <c r="T89">
        <f ca="1"/>
        <v>0</v>
      </c>
      <c r="U89">
        <f ca="1"/>
        <v>0</v>
      </c>
      <c r="V89">
        <f ca="1"/>
        <v>0.91763286877738326</v>
      </c>
      <c r="X89" s="2">
        <f t="shared" ca="1" si="8"/>
        <v>45499</v>
      </c>
      <c r="Y89">
        <f t="shared" ca="1" si="9"/>
        <v>0</v>
      </c>
      <c r="AA89" s="63">
        <f t="shared" ca="1" si="11"/>
        <v>50.746642212420788</v>
      </c>
      <c r="AB89" s="63">
        <f t="shared" ca="1" si="12"/>
        <v>50.746642212420795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50.087729472372203</v>
      </c>
      <c r="L90">
        <f ca="1"/>
        <v>0.67556095909904101</v>
      </c>
      <c r="M90">
        <f ca="1"/>
        <v>8.717876845361161E-2</v>
      </c>
      <c r="N90">
        <f ca="1"/>
        <v>0.60469473048323752</v>
      </c>
      <c r="O90">
        <f ca="1"/>
        <v>0</v>
      </c>
      <c r="P90">
        <f ca="1"/>
        <v>16.845834166328608</v>
      </c>
      <c r="Q90">
        <f ca="1"/>
        <v>0</v>
      </c>
      <c r="R90">
        <f ca="1"/>
        <v>0</v>
      </c>
      <c r="S90">
        <f ca="1"/>
        <v>0.99871837623349546</v>
      </c>
      <c r="T90">
        <f ca="1"/>
        <v>0</v>
      </c>
      <c r="U90">
        <f ca="1"/>
        <v>0</v>
      </c>
      <c r="V90">
        <f ca="1"/>
        <v>0.92653533876008576</v>
      </c>
      <c r="X90" s="2">
        <f t="shared" ca="1" si="8"/>
        <v>45500</v>
      </c>
      <c r="Y90">
        <f t="shared" ca="1" si="9"/>
        <v>0</v>
      </c>
      <c r="AA90" s="63">
        <f t="shared" ca="1" si="11"/>
        <v>50.763290431471241</v>
      </c>
      <c r="AB90" s="63">
        <f t="shared" ca="1" si="12"/>
        <v>50.763290431471248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49.662988971840889</v>
      </c>
      <c r="L91">
        <f ca="1"/>
        <v>0.70469896730599757</v>
      </c>
      <c r="M91">
        <f ca="1"/>
        <v>8.5626655811694263E-2</v>
      </c>
      <c r="N91">
        <f ca="1"/>
        <v>0.60778271070876377</v>
      </c>
      <c r="O91">
        <f ca="1"/>
        <v>0</v>
      </c>
      <c r="P91">
        <f ca="1"/>
        <v>17.550533133634605</v>
      </c>
      <c r="Q91">
        <f ca="1"/>
        <v>0</v>
      </c>
      <c r="R91">
        <f ca="1"/>
        <v>0.41345089974576915</v>
      </c>
      <c r="S91">
        <f ca="1"/>
        <v>1</v>
      </c>
      <c r="T91">
        <f ca="1"/>
        <v>1.5116685628190965</v>
      </c>
      <c r="U91">
        <f ca="1"/>
        <v>0</v>
      </c>
      <c r="V91">
        <f ca="1"/>
        <v>0.93458642690755878</v>
      </c>
      <c r="X91" s="2">
        <f t="shared" ca="1" si="8"/>
        <v>45501</v>
      </c>
      <c r="Y91">
        <f t="shared" ca="1" si="9"/>
        <v>0</v>
      </c>
      <c r="AA91" s="63">
        <f t="shared" ca="1" si="11"/>
        <v>50.781138838892659</v>
      </c>
      <c r="AB91" s="63">
        <f t="shared" ca="1" si="12"/>
        <v>50.781138838892659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49.588732943602764</v>
      </c>
      <c r="L92">
        <f ca="1"/>
        <v>0.66016940471471131</v>
      </c>
      <c r="M92">
        <f ca="1"/>
        <v>7.8999452797621217E-2</v>
      </c>
      <c r="N92">
        <f ca="1"/>
        <v>0.55607145024914084</v>
      </c>
      <c r="O92">
        <f ca="1"/>
        <v>0</v>
      </c>
      <c r="P92">
        <f ca="1"/>
        <v>18.210702538349317</v>
      </c>
      <c r="Q92">
        <f ca="1"/>
        <v>0</v>
      </c>
      <c r="R92">
        <f ca="1"/>
        <v>4.9157526570181992E-2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0.94115690525035012</v>
      </c>
      <c r="X92" s="2">
        <f t="shared" ca="1" si="8"/>
        <v>45502</v>
      </c>
      <c r="Y92">
        <f t="shared" ca="1" si="9"/>
        <v>0</v>
      </c>
      <c r="AA92" s="63">
        <f t="shared" ca="1" si="11"/>
        <v>50.298059874887649</v>
      </c>
      <c r="AB92" s="63">
        <f t="shared" ca="1" si="12"/>
        <v>50.298059874887656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49.109582897779873</v>
      </c>
      <c r="L93">
        <f ca="1"/>
        <v>0.73044217661570343</v>
      </c>
      <c r="M93">
        <f ca="1"/>
        <v>8.0489886378035891E-2</v>
      </c>
      <c r="N93">
        <f ca="1"/>
        <v>0.59001303175959041</v>
      </c>
      <c r="O93">
        <f ca="1"/>
        <v>0</v>
      </c>
      <c r="P93">
        <f ca="1"/>
        <v>18.94114471496502</v>
      </c>
      <c r="Q93">
        <f ca="1"/>
        <v>0</v>
      </c>
      <c r="R93">
        <f ca="1"/>
        <v>0.41921078734481582</v>
      </c>
      <c r="S93">
        <f ca="1"/>
        <v>1</v>
      </c>
      <c r="T93">
        <f ca="1"/>
        <v>1.5499999999999972</v>
      </c>
      <c r="U93">
        <f ca="1"/>
        <v>0</v>
      </c>
      <c r="V93">
        <f ca="1"/>
        <v>0.94749736647342775</v>
      </c>
      <c r="X93" s="2">
        <f t="shared" ca="1" si="8"/>
        <v>45503</v>
      </c>
      <c r="Y93">
        <f t="shared" ca="1" si="9"/>
        <v>0</v>
      </c>
      <c r="AA93" s="63">
        <f t="shared" ca="1" si="11"/>
        <v>50.259235861740386</v>
      </c>
      <c r="AB93" s="63">
        <f t="shared" ca="1" si="12"/>
        <v>50.259235861740393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47.851664633159849</v>
      </c>
      <c r="L94">
        <f ca="1"/>
        <v>0.89634310326030686</v>
      </c>
      <c r="M94">
        <f ca="1"/>
        <v>8.786307658159842E-2</v>
      </c>
      <c r="N94">
        <f ca="1"/>
        <v>0.69165058796304768</v>
      </c>
      <c r="O94">
        <f ca="1"/>
        <v>0</v>
      </c>
      <c r="P94">
        <f ca="1"/>
        <v>19.837487818225327</v>
      </c>
      <c r="Q94">
        <f ca="1"/>
        <v>0</v>
      </c>
      <c r="R94">
        <f ca="1"/>
        <v>1.141088825904365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0.95415779175099857</v>
      </c>
      <c r="X94" s="2">
        <f t="shared" ca="1" si="8"/>
        <v>45504</v>
      </c>
      <c r="Y94">
        <f t="shared" ca="1" si="9"/>
        <v>0</v>
      </c>
      <c r="AA94" s="63">
        <f t="shared" ca="1" si="11"/>
        <v>49.889096562324518</v>
      </c>
      <c r="AB94" s="63">
        <f t="shared" ca="1" si="12"/>
        <v>49.889096562324518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46.829675292404183</v>
      </c>
      <c r="L95">
        <f ca="1"/>
        <v>0.95718204798079398</v>
      </c>
      <c r="M95">
        <f ca="1"/>
        <v>8.7327879662375096E-2</v>
      </c>
      <c r="N95">
        <f ca="1"/>
        <v>0.70925937656447946</v>
      </c>
      <c r="O95">
        <f ca="1"/>
        <v>0</v>
      </c>
      <c r="P95">
        <f ca="1"/>
        <v>20.794669866206121</v>
      </c>
      <c r="Q95">
        <f ca="1"/>
        <v>0</v>
      </c>
      <c r="R95">
        <f ca="1"/>
        <v>0.86139454900173118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0.96014643972799085</v>
      </c>
      <c r="X95" s="2">
        <f t="shared" ca="1" si="8"/>
        <v>45505</v>
      </c>
      <c r="Y95">
        <f t="shared" ca="1" si="9"/>
        <v>0</v>
      </c>
      <c r="AA95" s="63">
        <f t="shared" ca="1" si="11"/>
        <v>48.648251889386707</v>
      </c>
      <c r="AB95" s="63">
        <f t="shared" ca="1" si="12"/>
        <v>48.648251889386707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46.462037417153908</v>
      </c>
      <c r="L96">
        <f ca="1"/>
        <v>0.94907636309457288</v>
      </c>
      <c r="M96">
        <f ca="1"/>
        <v>8.2349345370463567E-2</v>
      </c>
      <c r="N96">
        <f ca="1"/>
        <v>0.67564488465902905</v>
      </c>
      <c r="O96">
        <f ca="1"/>
        <v>0</v>
      </c>
      <c r="P96">
        <f ca="1"/>
        <v>21.743746229300694</v>
      </c>
      <c r="Q96">
        <f ca="1"/>
        <v>0</v>
      </c>
      <c r="R96">
        <f ca="1"/>
        <v>0.17655574218518427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0.96514984322608333</v>
      </c>
      <c r="X96" s="2">
        <f t="shared" ca="1" si="8"/>
        <v>45506</v>
      </c>
      <c r="Y96">
        <f t="shared" ca="1" si="9"/>
        <v>0</v>
      </c>
      <c r="AA96" s="63">
        <f t="shared" ca="1" si="11"/>
        <v>47.587669522433679</v>
      </c>
      <c r="AB96" s="63">
        <f t="shared" ca="1" si="12"/>
        <v>47.587669522433671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45.002929854021154</v>
      </c>
      <c r="L97">
        <f ca="1"/>
        <v>0.99410291272675266</v>
      </c>
      <c r="M97">
        <f ca="1"/>
        <v>8.0860685217352568E-2</v>
      </c>
      <c r="N97">
        <f ca="1"/>
        <v>0.68095366517974043</v>
      </c>
      <c r="O97">
        <f ca="1"/>
        <v>0</v>
      </c>
      <c r="P97">
        <f ca="1"/>
        <v>22.737849142027446</v>
      </c>
      <c r="Q97">
        <f ca="1"/>
        <v>0</v>
      </c>
      <c r="R97">
        <f ca="1"/>
        <v>1.226819000803099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0.96957759509923935</v>
      </c>
      <c r="X97" s="2">
        <f t="shared" ca="1" si="8"/>
        <v>45507</v>
      </c>
      <c r="Y97">
        <f t="shared" ca="1" si="9"/>
        <v>0</v>
      </c>
      <c r="AA97" s="63">
        <f t="shared" ca="1" si="11"/>
        <v>47.223851767551004</v>
      </c>
      <c r="AB97" s="63">
        <f t="shared" ca="1" si="12"/>
        <v>47.223851767551004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44.342910086335429</v>
      </c>
      <c r="L98">
        <f ca="1"/>
        <v>0.99030556254912838</v>
      </c>
      <c r="M98">
        <f ca="1"/>
        <v>7.6760902275726295E-2</v>
      </c>
      <c r="N98">
        <f ca="1"/>
        <v>0.65402491528048512</v>
      </c>
      <c r="O98">
        <f ca="1"/>
        <v>0</v>
      </c>
      <c r="P98">
        <f ca="1"/>
        <v>23.728154704576575</v>
      </c>
      <c r="Q98">
        <f ca="1"/>
        <v>0</v>
      </c>
      <c r="R98">
        <f ca="1"/>
        <v>0.40050002269281521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0.97331171663850635</v>
      </c>
      <c r="X98" s="2">
        <f t="shared" ca="1" si="8"/>
        <v>45508</v>
      </c>
      <c r="Y98">
        <f t="shared" ca="1" si="9"/>
        <v>0</v>
      </c>
      <c r="AA98" s="63">
        <f t="shared" ca="1" si="11"/>
        <v>45.733715671577372</v>
      </c>
      <c r="AB98" s="63">
        <f t="shared" ca="1" si="12"/>
        <v>45.733715671577379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43.220124508605551</v>
      </c>
      <c r="L99">
        <f ca="1"/>
        <v>1.0383405453227397</v>
      </c>
      <c r="M99">
        <f ca="1"/>
        <v>7.5555535656537387E-2</v>
      </c>
      <c r="N99">
        <f ca="1"/>
        <v>0.66118179759982521</v>
      </c>
      <c r="O99">
        <f ca="1"/>
        <v>0</v>
      </c>
      <c r="P99">
        <f ca="1"/>
        <v>24.766495249899315</v>
      </c>
      <c r="Q99">
        <f ca="1"/>
        <v>0</v>
      </c>
      <c r="R99">
        <f ca="1"/>
        <v>0.82118236566350611</v>
      </c>
      <c r="S99">
        <f ca="1"/>
        <v>1</v>
      </c>
      <c r="T99">
        <f ca="1"/>
        <v>3.4500000000000028</v>
      </c>
      <c r="U99">
        <f ca="1"/>
        <v>0</v>
      </c>
      <c r="V99">
        <f ca="1"/>
        <v>0.9766332250195966</v>
      </c>
      <c r="X99" s="2">
        <f t="shared" ca="1" si="8"/>
        <v>45509</v>
      </c>
      <c r="Y99">
        <f t="shared" ca="1" si="9"/>
        <v>0</v>
      </c>
      <c r="AA99" s="63">
        <f t="shared" ca="1" si="11"/>
        <v>45.079647419591794</v>
      </c>
      <c r="AB99" s="63">
        <f t="shared" ca="1" si="12"/>
        <v>45.079647419591794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42.616314965953386</v>
      </c>
      <c r="L100">
        <f ca="1"/>
        <v>1.0883790984318047</v>
      </c>
      <c r="M100">
        <f ca="1"/>
        <v>7.4349533372229715E-2</v>
      </c>
      <c r="N100">
        <f ca="1"/>
        <v>0.66838842321564695</v>
      </c>
      <c r="O100">
        <f ca="1"/>
        <v>0</v>
      </c>
      <c r="P100">
        <f ca="1"/>
        <v>25.854874348331119</v>
      </c>
      <c r="Q100">
        <f ca="1"/>
        <v>0</v>
      </c>
      <c r="R100">
        <f ca="1"/>
        <v>0.258168400808238</v>
      </c>
      <c r="S100">
        <f ca="1"/>
        <v>1</v>
      </c>
      <c r="T100">
        <f ca="1"/>
        <v>1.0999999999999943</v>
      </c>
      <c r="U100">
        <f ca="1"/>
        <v>0</v>
      </c>
      <c r="V100">
        <f ca="1"/>
        <v>0.97958041815486541</v>
      </c>
      <c r="X100" s="2">
        <f t="shared" ca="1" si="8"/>
        <v>45510</v>
      </c>
      <c r="Y100">
        <f t="shared" ca="1" si="9"/>
        <v>0</v>
      </c>
      <c r="AA100" s="63">
        <f t="shared" ca="1" si="11"/>
        <v>43.962862465193425</v>
      </c>
      <c r="AB100" s="63">
        <f t="shared" ca="1" si="12"/>
        <v>43.962862465193432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41.677361670739018</v>
      </c>
      <c r="L101">
        <f ca="1"/>
        <v>1.0669678051551088</v>
      </c>
      <c r="M101">
        <f ca="1"/>
        <v>7.0006200950018638E-2</v>
      </c>
      <c r="N101">
        <f ca="1"/>
        <v>0.63412233162189835</v>
      </c>
      <c r="O101">
        <f ca="1"/>
        <v>0</v>
      </c>
      <c r="P101">
        <f ca="1"/>
        <v>26.921842153486228</v>
      </c>
      <c r="Q101">
        <f ca="1"/>
        <v>0</v>
      </c>
      <c r="R101">
        <f ca="1"/>
        <v>0.57611402263117328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0.9820341165933747</v>
      </c>
      <c r="X101" s="2">
        <f t="shared" ca="1" si="8"/>
        <v>45511</v>
      </c>
      <c r="Y101">
        <f t="shared" ca="1" si="9"/>
        <v>0</v>
      </c>
      <c r="AA101" s="63">
        <f t="shared" ca="1" si="11"/>
        <v>43.3204434985253</v>
      </c>
      <c r="AB101" s="63">
        <f t="shared" ca="1" si="12"/>
        <v>43.3204434985253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40.862757983430576</v>
      </c>
      <c r="L102">
        <f ca="1"/>
        <v>0.98106057828251281</v>
      </c>
      <c r="M102">
        <f ca="1"/>
        <v>6.3744733106400275E-2</v>
      </c>
      <c r="N102">
        <f ca="1"/>
        <v>0.57079801163728261</v>
      </c>
      <c r="O102">
        <f ca="1"/>
        <v>0</v>
      </c>
      <c r="P102">
        <f ca="1"/>
        <v>27.902902731768741</v>
      </c>
      <c r="Q102">
        <f ca="1"/>
        <v>0</v>
      </c>
      <c r="R102">
        <f ca="1"/>
        <v>0.46808585376961598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0.98397517842243953</v>
      </c>
      <c r="X102" s="2">
        <f t="shared" ca="1" si="8"/>
        <v>45512</v>
      </c>
      <c r="Y102">
        <f t="shared" ca="1" si="9"/>
        <v>0</v>
      </c>
      <c r="AA102" s="63">
        <f t="shared" ca="1" si="11"/>
        <v>42.311904415482701</v>
      </c>
      <c r="AB102" s="63">
        <f t="shared" ca="1" si="12"/>
        <v>42.311904415482708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40.500689243245333</v>
      </c>
      <c r="L103">
        <f ca="1"/>
        <v>0.93834747537683327</v>
      </c>
      <c r="M103">
        <f ca="1"/>
        <v>5.9910760249245243E-2</v>
      </c>
      <c r="N103">
        <f ca="1"/>
        <v>0.53644222961072929</v>
      </c>
      <c r="O103">
        <f ca="1"/>
        <v>0</v>
      </c>
      <c r="P103">
        <f ca="1"/>
        <v>28.841250207145574</v>
      </c>
      <c r="Q103">
        <f ca="1"/>
        <v>0</v>
      </c>
      <c r="R103">
        <f ca="1"/>
        <v>2.0074254668388757E-2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0.98559445556349112</v>
      </c>
      <c r="X103" s="2">
        <f t="shared" ca="1" si="8"/>
        <v>45513</v>
      </c>
      <c r="Y103">
        <f t="shared" ca="1" si="9"/>
        <v>0</v>
      </c>
      <c r="AA103" s="63">
        <f t="shared" ca="1" si="11"/>
        <v>41.459110973290549</v>
      </c>
      <c r="AB103" s="63">
        <f t="shared" ca="1" si="12"/>
        <v>41.459110973290549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39.330662541053883</v>
      </c>
      <c r="L104">
        <f ca="1"/>
        <v>1.082150063140265</v>
      </c>
      <c r="M104">
        <f ca="1"/>
        <v>6.2630030216658028E-2</v>
      </c>
      <c r="N104">
        <f ca="1"/>
        <v>0.59244384603664579</v>
      </c>
      <c r="O104">
        <f ca="1"/>
        <v>0</v>
      </c>
      <c r="P104">
        <f ca="1"/>
        <v>29.923400270285839</v>
      </c>
      <c r="Q104">
        <f ca="1"/>
        <v>0</v>
      </c>
      <c r="R104">
        <f ca="1"/>
        <v>0.74295051530448875</v>
      </c>
      <c r="S104">
        <f ca="1"/>
        <v>1</v>
      </c>
      <c r="T104">
        <f ca="1"/>
        <v>3.4300000000000068</v>
      </c>
      <c r="U104">
        <f ca="1"/>
        <v>0</v>
      </c>
      <c r="V104">
        <f ca="1"/>
        <v>0.98721870896402031</v>
      </c>
      <c r="X104" s="2">
        <f t="shared" ca="1" si="8"/>
        <v>45514</v>
      </c>
      <c r="Y104">
        <f t="shared" ca="1" si="9"/>
        <v>0</v>
      </c>
      <c r="AA104" s="63">
        <f t="shared" ca="1" si="11"/>
        <v>41.155763119498637</v>
      </c>
      <c r="AB104" s="63">
        <f t="shared" ca="1" si="12"/>
        <v>41.15576311949863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38.058318180888101</v>
      </c>
      <c r="L105">
        <f ca="1"/>
        <v>1.1670886210520095</v>
      </c>
      <c r="M105">
        <f ca="1"/>
        <v>6.2998945028208908E-2</v>
      </c>
      <c r="N105">
        <f ca="1"/>
        <v>0.61773232176766324</v>
      </c>
      <c r="O105">
        <f ca="1"/>
        <v>0</v>
      </c>
      <c r="P105">
        <f ca="1"/>
        <v>31.090488891337849</v>
      </c>
      <c r="Q105">
        <f ca="1"/>
        <v>0</v>
      </c>
      <c r="R105">
        <f ca="1"/>
        <v>0.78598700590964565</v>
      </c>
      <c r="S105">
        <f ca="1"/>
        <v>1</v>
      </c>
      <c r="T105">
        <f ca="1"/>
        <v>3.75</v>
      </c>
      <c r="U105">
        <f ca="1"/>
        <v>0</v>
      </c>
      <c r="V105">
        <f ca="1"/>
        <v>0.98872516696497736</v>
      </c>
      <c r="X105" s="2">
        <f t="shared" ca="1" si="8"/>
        <v>45515</v>
      </c>
      <c r="Y105">
        <f t="shared" ca="1" si="9"/>
        <v>0</v>
      </c>
      <c r="AA105" s="63">
        <f t="shared" ca="1" si="11"/>
        <v>40.011393807849757</v>
      </c>
      <c r="AB105" s="63">
        <f t="shared" ca="1" si="12"/>
        <v>40.011393807849757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37.122780149802402</v>
      </c>
      <c r="L106">
        <f ca="1"/>
        <v>1.242522992658202</v>
      </c>
      <c r="M106">
        <f ca="1"/>
        <v>6.2849686549418138E-2</v>
      </c>
      <c r="N106">
        <f ca="1"/>
        <v>0.6366683242592589</v>
      </c>
      <c r="O106">
        <f ca="1"/>
        <v>0</v>
      </c>
      <c r="P106">
        <f ca="1"/>
        <v>32.333011883996051</v>
      </c>
      <c r="Q106">
        <f ca="1"/>
        <v>0</v>
      </c>
      <c r="R106">
        <f ca="1"/>
        <v>0.39253304923617477</v>
      </c>
      <c r="S106">
        <f ca="1"/>
        <v>1</v>
      </c>
      <c r="T106">
        <f ca="1"/>
        <v>1.9200000000000159</v>
      </c>
      <c r="U106">
        <f ca="1"/>
        <v>0</v>
      </c>
      <c r="V106">
        <f ca="1"/>
        <v>0.99009652438733986</v>
      </c>
      <c r="X106" s="2">
        <f t="shared" ca="1" si="8"/>
        <v>45516</v>
      </c>
      <c r="Y106">
        <f t="shared" ca="1" si="9"/>
        <v>0</v>
      </c>
      <c r="AA106" s="63">
        <f t="shared" ca="1" si="11"/>
        <v>38.757836191696782</v>
      </c>
      <c r="AB106" s="63">
        <f t="shared" ca="1" si="12"/>
        <v>38.757836191696782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35.435802853000624</v>
      </c>
      <c r="L107">
        <f ca="1"/>
        <v>1.3191769872110726</v>
      </c>
      <c r="M107">
        <f ca="1"/>
        <v>6.2580757120640484E-2</v>
      </c>
      <c r="N107">
        <f ca="1"/>
        <v>0.65467348789473667</v>
      </c>
      <c r="O107">
        <f ca="1"/>
        <v>0</v>
      </c>
      <c r="P107">
        <f ca="1"/>
        <v>33.652188871207123</v>
      </c>
      <c r="Q107">
        <f ca="1"/>
        <v>0</v>
      </c>
      <c r="R107">
        <f ca="1"/>
        <v>1.0850545546060832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0.99133579566577801</v>
      </c>
      <c r="X107" s="2">
        <f t="shared" ca="1" si="8"/>
        <v>45517</v>
      </c>
      <c r="Y107">
        <f t="shared" ca="1" si="9"/>
        <v>0</v>
      </c>
      <c r="AA107" s="63">
        <f t="shared" ca="1" si="11"/>
        <v>37.840034394817778</v>
      </c>
      <c r="AB107" s="63">
        <f t="shared" ca="1" si="12"/>
        <v>37.840034394817778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34.429421928868855</v>
      </c>
      <c r="L108">
        <f ca="1"/>
        <v>1.3121168167808506</v>
      </c>
      <c r="M108">
        <f ca="1"/>
        <v>5.9691179238132719E-2</v>
      </c>
      <c r="N108">
        <f ca="1"/>
        <v>0.63285178412484966</v>
      </c>
      <c r="O108">
        <f ca="1"/>
        <v>0</v>
      </c>
      <c r="P108">
        <f ca="1"/>
        <v>34.964305687987974</v>
      </c>
      <c r="Q108">
        <f ca="1"/>
        <v>0</v>
      </c>
      <c r="R108">
        <f ca="1"/>
        <v>0.38680707071390169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0.99238581301803586</v>
      </c>
      <c r="X108" s="2">
        <f t="shared" ca="1" si="8"/>
        <v>45518</v>
      </c>
      <c r="Y108">
        <f t="shared" ca="1" si="9"/>
        <v>0</v>
      </c>
      <c r="AA108" s="63">
        <f t="shared" ca="1" si="11"/>
        <v>36.128345816363606</v>
      </c>
      <c r="AB108" s="63">
        <f t="shared" ca="1" si="12"/>
        <v>36.128345816363606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33.694432188794622</v>
      </c>
      <c r="L109">
        <f ca="1"/>
        <v>1.3881707019058851</v>
      </c>
      <c r="M109">
        <f ca="1"/>
        <v>5.9353631538700213E-2</v>
      </c>
      <c r="N109">
        <f ca="1"/>
        <v>0.64949639217008948</v>
      </c>
      <c r="O109">
        <f ca="1"/>
        <v>0</v>
      </c>
      <c r="P109">
        <f ca="1"/>
        <v>36.352476389893859</v>
      </c>
      <c r="Q109">
        <f ca="1"/>
        <v>0</v>
      </c>
      <c r="R109">
        <f ca="1"/>
        <v>5.5669061877138409E-2</v>
      </c>
      <c r="S109">
        <f ca="1"/>
        <v>1</v>
      </c>
      <c r="T109">
        <f ca="1"/>
        <v>0.29999999999999716</v>
      </c>
      <c r="U109">
        <f ca="1"/>
        <v>0</v>
      </c>
      <c r="V109">
        <f ca="1"/>
        <v>0.99333323544005503</v>
      </c>
      <c r="X109" s="2">
        <f t="shared" ca="1" si="8"/>
        <v>45519</v>
      </c>
      <c r="Y109">
        <f t="shared" ca="1" si="9"/>
        <v>0</v>
      </c>
      <c r="AA109" s="63">
        <f t="shared" ca="1" si="11"/>
        <v>35.138271952577647</v>
      </c>
      <c r="AB109" s="63">
        <f t="shared" ca="1" si="12"/>
        <v>35.138271952577647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32.05628775364918</v>
      </c>
      <c r="L110">
        <f ca="1"/>
        <v>1.4168077779981445</v>
      </c>
      <c r="M110">
        <f ca="1"/>
        <v>5.7631821465015776E-2</v>
      </c>
      <c r="N110">
        <f ca="1"/>
        <v>0.64434552546887836</v>
      </c>
      <c r="O110">
        <f ca="1"/>
        <v>0</v>
      </c>
      <c r="P110">
        <f ca="1"/>
        <v>37.769284167892003</v>
      </c>
      <c r="Q110">
        <f ca="1"/>
        <v>0</v>
      </c>
      <c r="R110">
        <f ca="1"/>
        <v>0.92331400408119446</v>
      </c>
      <c r="S110">
        <f ca="1"/>
        <v>1</v>
      </c>
      <c r="T110">
        <f ca="1"/>
        <v>5.230000000000004</v>
      </c>
      <c r="U110">
        <f ca="1"/>
        <v>0</v>
      </c>
      <c r="V110">
        <f ca="1"/>
        <v>0.9941570566501694</v>
      </c>
      <c r="X110" s="2">
        <f t="shared" ca="1" si="8"/>
        <v>45520</v>
      </c>
      <c r="Y110">
        <f t="shared" ca="1" si="9"/>
        <v>0</v>
      </c>
      <c r="AA110" s="63">
        <f t="shared" ca="1" si="11"/>
        <v>34.396409535728516</v>
      </c>
      <c r="AB110" s="63">
        <f t="shared" ca="1" si="12"/>
        <v>34.396409535728516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31.04231544263909</v>
      </c>
      <c r="L111">
        <f ca="1"/>
        <v>1.3356316157272374</v>
      </c>
      <c r="M111">
        <f ca="1"/>
        <v>5.3307364295891446E-2</v>
      </c>
      <c r="N111">
        <f ca="1"/>
        <v>0.59488110778745396</v>
      </c>
      <c r="O111">
        <f ca="1"/>
        <v>0</v>
      </c>
      <c r="P111">
        <f ca="1"/>
        <v>39.104915783619241</v>
      </c>
      <c r="Q111">
        <f ca="1"/>
        <v>0</v>
      </c>
      <c r="R111">
        <f ca="1"/>
        <v>0.32652916736619436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0.99482377587429882</v>
      </c>
      <c r="X111" s="2">
        <f t="shared" ca="1" si="8"/>
        <v>45521</v>
      </c>
      <c r="Y111">
        <f t="shared" ca="1" si="9"/>
        <v>0</v>
      </c>
      <c r="AA111" s="63">
        <f t="shared" ca="1" si="11"/>
        <v>32.70447622573252</v>
      </c>
      <c r="AB111" s="63">
        <f t="shared" ca="1" si="12"/>
        <v>32.704476225732527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30.166119911584854</v>
      </c>
      <c r="L112">
        <f ca="1"/>
        <v>1.4713816780680844</v>
      </c>
      <c r="M112">
        <f ca="1"/>
        <v>5.4487020656846852E-2</v>
      </c>
      <c r="N112">
        <f ca="1"/>
        <v>0.63539451147076209</v>
      </c>
      <c r="O112">
        <f ca="1"/>
        <v>0</v>
      </c>
      <c r="P112">
        <f ca="1"/>
        <v>40.576297461687325</v>
      </c>
      <c r="Q112">
        <f ca="1"/>
        <v>0</v>
      </c>
      <c r="R112">
        <f ca="1"/>
        <v>9.4695385113758884E-2</v>
      </c>
      <c r="S112">
        <f ca="1"/>
        <v>1</v>
      </c>
      <c r="T112">
        <f ca="1"/>
        <v>0.57000000000000739</v>
      </c>
      <c r="U112">
        <f ca="1"/>
        <v>0</v>
      </c>
      <c r="V112">
        <f ca="1"/>
        <v>0.99545552010326355</v>
      </c>
      <c r="X112" s="2">
        <f t="shared" ca="1" si="8"/>
        <v>45522</v>
      </c>
      <c r="Y112">
        <f t="shared" ca="1" si="9"/>
        <v>0</v>
      </c>
      <c r="AA112" s="63">
        <f t="shared" ca="1" si="11"/>
        <v>31.732196974766698</v>
      </c>
      <c r="AB112" s="63">
        <f t="shared" ca="1" si="12"/>
        <v>31.732196974766698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29.012386129355072</v>
      </c>
      <c r="L113">
        <f ca="1"/>
        <v>1.474527048516947</v>
      </c>
      <c r="M113">
        <f ca="1"/>
        <v>5.2413223521620367E-2</v>
      </c>
      <c r="N113">
        <f ca="1"/>
        <v>0.62149021481529321</v>
      </c>
      <c r="O113">
        <f ca="1"/>
        <v>0</v>
      </c>
      <c r="P113">
        <f ca="1"/>
        <v>42.050824510204272</v>
      </c>
      <c r="Q113">
        <f ca="1"/>
        <v>0</v>
      </c>
      <c r="R113">
        <f ca="1"/>
        <v>0.35311017204974604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0.99599839123943756</v>
      </c>
      <c r="X113" s="2">
        <f t="shared" ca="1" si="8"/>
        <v>45523</v>
      </c>
      <c r="Y113">
        <f t="shared" ca="1" si="9"/>
        <v>0</v>
      </c>
      <c r="AA113" s="63">
        <f t="shared" ca="1" si="11"/>
        <v>30.840023349921768</v>
      </c>
      <c r="AB113" s="63">
        <f t="shared" ca="1" si="12"/>
        <v>30.840023349921765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28.020590076556736</v>
      </c>
      <c r="L114">
        <f ca="1"/>
        <v>1.5954493534692418</v>
      </c>
      <c r="M114">
        <f ca="1"/>
        <v>5.3020301817834792E-2</v>
      </c>
      <c r="N114">
        <f ca="1"/>
        <v>0.65402491528048512</v>
      </c>
      <c r="O114">
        <f ca="1"/>
        <v>0</v>
      </c>
      <c r="P114">
        <f ca="1"/>
        <v>43.646273863673514</v>
      </c>
      <c r="Q114">
        <f ca="1"/>
        <v>0</v>
      </c>
      <c r="R114">
        <f ca="1"/>
        <v>0.10339191642741108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0.99650126089910773</v>
      </c>
      <c r="X114" s="2">
        <f t="shared" ca="1" si="8"/>
        <v>45524</v>
      </c>
      <c r="Y114">
        <f t="shared" ca="1" si="9"/>
        <v>0</v>
      </c>
      <c r="AA114" s="63">
        <f t="shared" ca="1" si="11"/>
        <v>29.719431346453391</v>
      </c>
      <c r="AB114" s="63">
        <f t="shared" ca="1" si="12"/>
        <v>29.719431346453391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26.70556123691194</v>
      </c>
      <c r="L115">
        <f ca="1"/>
        <v>1.5935050028719147</v>
      </c>
      <c r="M115">
        <f ca="1"/>
        <v>5.0869146615205807E-2</v>
      </c>
      <c r="N115">
        <f ca="1"/>
        <v>0.63794377057385421</v>
      </c>
      <c r="O115">
        <f ca="1"/>
        <v>0</v>
      </c>
      <c r="P115">
        <f ca="1"/>
        <v>45.239778866545429</v>
      </c>
      <c r="Q115">
        <f ca="1"/>
        <v>0</v>
      </c>
      <c r="R115">
        <f ca="1"/>
        <v>0.41033675396194141</v>
      </c>
      <c r="S115">
        <f ca="1"/>
        <v>1</v>
      </c>
      <c r="T115">
        <f ca="1"/>
        <v>2.789999999999992</v>
      </c>
      <c r="U115">
        <f ca="1"/>
        <v>0</v>
      </c>
      <c r="V115">
        <f ca="1"/>
        <v>0.99693059384981875</v>
      </c>
      <c r="X115" s="2">
        <f t="shared" ca="1" si="8"/>
        <v>45525</v>
      </c>
      <c r="Y115">
        <f t="shared" ca="1" si="9"/>
        <v>0</v>
      </c>
      <c r="AA115" s="63">
        <f t="shared" ca="1" si="11"/>
        <v>28.709402993745798</v>
      </c>
      <c r="AB115" s="63">
        <f t="shared" ca="1" si="12"/>
        <v>28.709402993745798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25.749706576989244</v>
      </c>
      <c r="L116">
        <f ca="1"/>
        <v>1.641833611605712</v>
      </c>
      <c r="M116">
        <f ca="1"/>
        <v>4.9871434294658457E-2</v>
      </c>
      <c r="N116">
        <f ca="1"/>
        <v>0.64177991651835986</v>
      </c>
      <c r="O116">
        <f ca="1"/>
        <v>0</v>
      </c>
      <c r="P116">
        <f ca="1"/>
        <v>46.881612478151141</v>
      </c>
      <c r="Q116">
        <f ca="1"/>
        <v>0</v>
      </c>
      <c r="R116">
        <f ca="1"/>
        <v>5.6723991300022987E-3</v>
      </c>
      <c r="S116">
        <f ca="1"/>
        <v>1</v>
      </c>
      <c r="T116">
        <f ca="1"/>
        <v>3.9999999999992042E-2</v>
      </c>
      <c r="U116">
        <f ca="1"/>
        <v>0</v>
      </c>
      <c r="V116">
        <f ca="1"/>
        <v>0.99730960749570996</v>
      </c>
      <c r="X116" s="2">
        <f t="shared" ca="1" si="8"/>
        <v>45526</v>
      </c>
      <c r="Y116">
        <f t="shared" ca="1" si="9"/>
        <v>0</v>
      </c>
      <c r="AA116" s="63">
        <f t="shared" ca="1" si="11"/>
        <v>27.397212587724958</v>
      </c>
      <c r="AB116" s="63">
        <f t="shared" ca="1" si="12"/>
        <v>27.397212587724958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24.726621926970275</v>
      </c>
      <c r="L117">
        <f ca="1"/>
        <v>1.7346502815333196</v>
      </c>
      <c r="M117">
        <f ca="1"/>
        <v>4.973074303870284E-2</v>
      </c>
      <c r="N117">
        <f ca="1"/>
        <v>0.6618348884756482</v>
      </c>
      <c r="O117">
        <f ca="1"/>
        <v>0</v>
      </c>
      <c r="P117">
        <f ca="1"/>
        <v>48.61626275968446</v>
      </c>
      <c r="Q117">
        <f ca="1"/>
        <v>0</v>
      </c>
      <c r="R117">
        <f ca="1"/>
        <v>0</v>
      </c>
      <c r="S117">
        <f ca="1"/>
        <v>0.98304347826086957</v>
      </c>
      <c r="T117">
        <f ca="1"/>
        <v>0</v>
      </c>
      <c r="U117">
        <f ca="1"/>
        <v>0</v>
      </c>
      <c r="V117">
        <f ca="1"/>
        <v>0.99765197141913131</v>
      </c>
      <c r="X117" s="2">
        <f t="shared" ca="1" si="8"/>
        <v>45527</v>
      </c>
      <c r="Y117">
        <f t="shared" ca="1" si="9"/>
        <v>0</v>
      </c>
      <c r="AA117" s="63">
        <f t="shared" ca="1" si="11"/>
        <v>26.461272208503598</v>
      </c>
      <c r="AB117" s="63">
        <f t="shared" ca="1" si="12"/>
        <v>26.461272208503594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23.681973586581805</v>
      </c>
      <c r="L118">
        <f ca="1"/>
        <v>1.7433968879657797</v>
      </c>
      <c r="M118">
        <f ca="1"/>
        <v>4.7960341876502E-2</v>
      </c>
      <c r="N118">
        <f ca="1"/>
        <v>0.65078820570080542</v>
      </c>
      <c r="O118">
        <f ca="1"/>
        <v>0</v>
      </c>
      <c r="P118">
        <f ca="1"/>
        <v>50.35965964765024</v>
      </c>
      <c r="Q118">
        <f ca="1"/>
        <v>0</v>
      </c>
      <c r="R118">
        <f ca="1"/>
        <v>0</v>
      </c>
      <c r="S118">
        <f ca="1"/>
        <v>0.99768189635537896</v>
      </c>
      <c r="T118">
        <f ca="1"/>
        <v>0</v>
      </c>
      <c r="U118">
        <f ca="1"/>
        <v>0</v>
      </c>
      <c r="V118">
        <f ca="1"/>
        <v>0.9979460555209112</v>
      </c>
      <c r="X118" s="2">
        <f t="shared" ca="1" si="8"/>
        <v>45528</v>
      </c>
      <c r="Y118">
        <f t="shared" ca="1" si="9"/>
        <v>0</v>
      </c>
      <c r="AA118" s="63">
        <f t="shared" ca="1" si="11"/>
        <v>25.425370474547584</v>
      </c>
      <c r="AB118" s="63">
        <f t="shared" ca="1" si="12"/>
        <v>25.425370474547584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22.309035981462458</v>
      </c>
      <c r="L119">
        <f ca="1"/>
        <v>1.9660710524776377</v>
      </c>
      <c r="M119">
        <f ca="1"/>
        <v>5.0122303232736698E-2</v>
      </c>
      <c r="N119">
        <f ca="1"/>
        <v>0.71748127119442984</v>
      </c>
      <c r="O119">
        <f ca="1"/>
        <v>0</v>
      </c>
      <c r="P119">
        <f ca="1"/>
        <v>52.325730700127878</v>
      </c>
      <c r="Q119">
        <f ca="1"/>
        <v>0</v>
      </c>
      <c r="R119">
        <f ca="1"/>
        <v>0.1744701270688763</v>
      </c>
      <c r="S119">
        <f ca="1"/>
        <v>1</v>
      </c>
      <c r="T119">
        <f ca="1"/>
        <v>1.4200569691458469</v>
      </c>
      <c r="U119">
        <f ca="1"/>
        <v>0</v>
      </c>
      <c r="V119">
        <f ca="1"/>
        <v>0.99822794730048714</v>
      </c>
      <c r="X119" s="2">
        <f t="shared" ca="1" si="8"/>
        <v>45529</v>
      </c>
      <c r="Y119">
        <f t="shared" ca="1" si="9"/>
        <v>0</v>
      </c>
      <c r="AA119" s="63">
        <f t="shared" ca="1" si="11"/>
        <v>24.449577161008971</v>
      </c>
      <c r="AB119" s="63">
        <f t="shared" ca="1" si="12"/>
        <v>24.449577161008971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21.061595860744596</v>
      </c>
      <c r="L120">
        <f ca="1"/>
        <v>2.0159159608582655</v>
      </c>
      <c r="M120">
        <f ca="1"/>
        <v>4.8929724188321089E-2</v>
      </c>
      <c r="N120">
        <f ca="1"/>
        <v>0.71954611595208495</v>
      </c>
      <c r="O120">
        <f ca="1"/>
        <v>0</v>
      </c>
      <c r="P120">
        <f ca="1"/>
        <v>54.341646660986143</v>
      </c>
      <c r="Q120">
        <f ca="1"/>
        <v>0</v>
      </c>
      <c r="R120">
        <f ca="1"/>
        <v>0</v>
      </c>
      <c r="S120">
        <f ca="1"/>
        <v>0.9910144927536233</v>
      </c>
      <c r="T120">
        <f ca="1"/>
        <v>0</v>
      </c>
      <c r="U120">
        <f ca="1"/>
        <v>0</v>
      </c>
      <c r="V120">
        <f ca="1"/>
        <v>0.99847184205399397</v>
      </c>
      <c r="X120" s="2">
        <f t="shared" ca="1" si="8"/>
        <v>45530</v>
      </c>
      <c r="Y120">
        <f t="shared" ca="1" si="9"/>
        <v>0</v>
      </c>
      <c r="AA120" s="63">
        <f t="shared" ca="1" si="11"/>
        <v>23.077511821602862</v>
      </c>
      <c r="AB120" s="63">
        <f t="shared" ca="1" si="12"/>
        <v>23.077511821602862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84.68038232235449</v>
      </c>
      <c r="L121">
        <f ca="1"/>
        <v>2.1226716313263694</v>
      </c>
      <c r="M121">
        <f ca="1"/>
        <v>4.8751600855482025E-2</v>
      </c>
      <c r="N121">
        <f ca="1"/>
        <v>0.74250739769927476</v>
      </c>
      <c r="O121">
        <f ca="1"/>
        <v>64.950199094381503</v>
      </c>
      <c r="P121">
        <f ca="1"/>
        <v>56.464318292312512</v>
      </c>
      <c r="Q121">
        <f ca="1"/>
        <v>0</v>
      </c>
      <c r="R121">
        <f ca="1"/>
        <v>0</v>
      </c>
      <c r="S121">
        <f ca="1"/>
        <v>0.99478288885675081</v>
      </c>
      <c r="T121">
        <f ca="1"/>
        <v>0</v>
      </c>
      <c r="U121">
        <f ca="1"/>
        <v>0</v>
      </c>
      <c r="V121">
        <f ca="1"/>
        <v>0.99868819139491527</v>
      </c>
      <c r="X121" s="2">
        <f t="shared" ca="1" si="8"/>
        <v>45531</v>
      </c>
      <c r="Y121">
        <f t="shared" ca="1" si="9"/>
        <v>64.950199094381503</v>
      </c>
      <c r="AA121" s="63">
        <f t="shared" ca="1" si="11"/>
        <v>86.803053953680859</v>
      </c>
      <c r="AB121" s="63">
        <f t="shared" ca="1" si="12"/>
        <v>86.803053953680859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82.841767754862587</v>
      </c>
      <c r="L122">
        <f ca="1"/>
        <v>2.0676960722374673</v>
      </c>
      <c r="M122">
        <f ca="1"/>
        <v>4.5864041767060826E-2</v>
      </c>
      <c r="N122">
        <f ca="1"/>
        <v>0.70789488667172806</v>
      </c>
      <c r="O122">
        <f ca="1"/>
        <v>0</v>
      </c>
      <c r="P122">
        <f ca="1"/>
        <v>58.53201436454998</v>
      </c>
      <c r="Q122">
        <f ca="1"/>
        <v>0</v>
      </c>
      <c r="R122">
        <f ca="1"/>
        <v>0.52467742369322345</v>
      </c>
      <c r="S122">
        <f ca="1"/>
        <v>1</v>
      </c>
      <c r="T122">
        <f ca="1"/>
        <v>1.1500282633285366</v>
      </c>
      <c r="U122">
        <f ca="1"/>
        <v>0</v>
      </c>
      <c r="V122">
        <f ca="1"/>
        <v>0.9988661593536633</v>
      </c>
      <c r="X122" s="2">
        <f t="shared" ca="1" si="8"/>
        <v>45532</v>
      </c>
      <c r="Y122">
        <f t="shared" ca="1" si="9"/>
        <v>0</v>
      </c>
      <c r="AA122" s="63">
        <f t="shared" ca="1" si="11"/>
        <v>85.434141250793274</v>
      </c>
      <c r="AB122" s="63">
        <f t="shared" ca="1" si="12"/>
        <v>85.434141250793274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81.419269347104361</v>
      </c>
      <c r="L123">
        <f ca="1"/>
        <v>2.2141899475890625</v>
      </c>
      <c r="M123">
        <f ca="1"/>
        <v>4.6370001737390254E-2</v>
      </c>
      <c r="N123">
        <f ca="1"/>
        <v>0.74532153809345358</v>
      </c>
      <c r="O123">
        <f ca="1"/>
        <v>0</v>
      </c>
      <c r="P123">
        <f ca="1"/>
        <v>60.746204312139042</v>
      </c>
      <c r="Q123">
        <f ca="1"/>
        <v>0</v>
      </c>
      <c r="R123">
        <f ca="1"/>
        <v>0</v>
      </c>
      <c r="S123">
        <f ca="1"/>
        <v>0.99695652173913052</v>
      </c>
      <c r="T123">
        <f ca="1"/>
        <v>0</v>
      </c>
      <c r="U123">
        <f ca="1"/>
        <v>0</v>
      </c>
      <c r="V123">
        <f ca="1"/>
        <v>0.99902727400210534</v>
      </c>
      <c r="X123" s="2">
        <f t="shared" ca="1" si="8"/>
        <v>45533</v>
      </c>
      <c r="Y123">
        <f t="shared" ca="1" si="9"/>
        <v>0</v>
      </c>
      <c r="AA123" s="63">
        <f t="shared" ca="1" si="11"/>
        <v>83.633459294693424</v>
      </c>
      <c r="AB123" s="63">
        <f t="shared" ca="1" si="12"/>
        <v>83.633459294693424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80.015143003784416</v>
      </c>
      <c r="L124">
        <f ca="1"/>
        <v>2.1619421336229721</v>
      </c>
      <c r="M124">
        <f ca="1"/>
        <v>4.3767594222462236E-2</v>
      </c>
      <c r="N124">
        <f ca="1"/>
        <v>0.71404819608056869</v>
      </c>
      <c r="O124">
        <f ca="1"/>
        <v>0</v>
      </c>
      <c r="P124">
        <f ca="1"/>
        <v>62.908146445762014</v>
      </c>
      <c r="Q124">
        <f ca="1"/>
        <v>0</v>
      </c>
      <c r="R124">
        <f ca="1"/>
        <v>0</v>
      </c>
      <c r="S124">
        <f ca="1"/>
        <v>0.99579716848602118</v>
      </c>
      <c r="T124">
        <f ca="1"/>
        <v>0</v>
      </c>
      <c r="U124">
        <f ca="1"/>
        <v>0</v>
      </c>
      <c r="V124">
        <f ca="1"/>
        <v>0.99916032111091568</v>
      </c>
      <c r="X124" s="2">
        <f t="shared" ca="1" si="8"/>
        <v>45534</v>
      </c>
      <c r="Y124">
        <f t="shared" ca="1" si="9"/>
        <v>0</v>
      </c>
      <c r="AA124" s="63">
        <f t="shared" ca="1" si="11"/>
        <v>82.177085137407389</v>
      </c>
      <c r="AB124" s="63">
        <f t="shared" ca="1" si="12"/>
        <v>82.177085137407389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78.650913890973399</v>
      </c>
      <c r="L125">
        <f ca="1"/>
        <v>2.082260838847489</v>
      </c>
      <c r="M125">
        <f ca="1"/>
        <v>4.1062123336040202E-2</v>
      </c>
      <c r="N125">
        <f ca="1"/>
        <v>0.67696960270042861</v>
      </c>
      <c r="O125">
        <f ca="1"/>
        <v>0</v>
      </c>
      <c r="P125">
        <f ca="1"/>
        <v>64.990407284609503</v>
      </c>
      <c r="Q125">
        <f ca="1"/>
        <v>0</v>
      </c>
      <c r="R125">
        <f ca="1"/>
        <v>0</v>
      </c>
      <c r="S125">
        <f ca="1"/>
        <v>0.9813044949359353</v>
      </c>
      <c r="T125">
        <f ca="1"/>
        <v>0</v>
      </c>
      <c r="U125">
        <f ca="1"/>
        <v>0</v>
      </c>
      <c r="V125">
        <f ca="1"/>
        <v>0.99926966643303661</v>
      </c>
      <c r="X125" s="2">
        <f t="shared" ca="1" si="8"/>
        <v>45535</v>
      </c>
      <c r="Y125">
        <f t="shared" ca="1" si="9"/>
        <v>0</v>
      </c>
      <c r="AA125" s="63">
        <f t="shared" ca="1" si="11"/>
        <v>80.733174729820874</v>
      </c>
      <c r="AB125" s="63">
        <f t="shared" ca="1" si="12"/>
        <v>80.733174729820888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77.177556259803453</v>
      </c>
      <c r="L126">
        <f ca="1"/>
        <v>2.0145501053595893</v>
      </c>
      <c r="M126">
        <f ca="1"/>
        <v>3.8798649479748093E-2</v>
      </c>
      <c r="N126">
        <f ca="1"/>
        <v>0.64691768248284565</v>
      </c>
      <c r="O126">
        <f ca="1"/>
        <v>0</v>
      </c>
      <c r="P126">
        <f ca="1"/>
        <v>67.004957389969093</v>
      </c>
      <c r="Q126">
        <f ca="1"/>
        <v>0</v>
      </c>
      <c r="R126">
        <f ca="1"/>
        <v>0.14452385777295093</v>
      </c>
      <c r="S126">
        <f ca="1"/>
        <v>1</v>
      </c>
      <c r="T126">
        <f ca="1"/>
        <v>0.34002747995408811</v>
      </c>
      <c r="U126">
        <f ca="1"/>
        <v>0</v>
      </c>
      <c r="V126">
        <f ca="1"/>
        <v>0.99936073977356132</v>
      </c>
      <c r="X126" s="2">
        <f t="shared" ca="1" si="8"/>
        <v>45536</v>
      </c>
      <c r="Y126">
        <f t="shared" ca="1" si="9"/>
        <v>0</v>
      </c>
      <c r="AA126" s="63">
        <f t="shared" ca="1" si="11"/>
        <v>79.336630222935995</v>
      </c>
      <c r="AB126" s="63">
        <f t="shared" ca="1" si="12"/>
        <v>79.336630222935995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75.81033053438891</v>
      </c>
      <c r="L127">
        <f ca="1"/>
        <v>2.0580509366287032</v>
      </c>
      <c r="M127">
        <f ca="1"/>
        <v>3.8096210250715856E-2</v>
      </c>
      <c r="N127">
        <f ca="1"/>
        <v>0.65272900096344622</v>
      </c>
      <c r="O127">
        <f ca="1"/>
        <v>0</v>
      </c>
      <c r="P127">
        <f ca="1"/>
        <v>69.063008326597796</v>
      </c>
      <c r="Q127">
        <f ca="1"/>
        <v>0</v>
      </c>
      <c r="R127">
        <f ca="1"/>
        <v>0</v>
      </c>
      <c r="S127">
        <f ca="1"/>
        <v>0.99014492753623173</v>
      </c>
      <c r="T127">
        <f ca="1"/>
        <v>0</v>
      </c>
      <c r="U127">
        <f ca="1"/>
        <v>0</v>
      </c>
      <c r="V127">
        <f ca="1"/>
        <v>0.99944115651990961</v>
      </c>
      <c r="X127" s="2">
        <f t="shared" ca="1" si="8"/>
        <v>45537</v>
      </c>
      <c r="Y127">
        <f t="shared" ca="1" si="9"/>
        <v>0</v>
      </c>
      <c r="AA127" s="63">
        <f t="shared" ca="1" si="11"/>
        <v>77.868381471017614</v>
      </c>
      <c r="AB127" s="63">
        <f t="shared" ca="1" si="12"/>
        <v>77.868381471017614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74.373931279960644</v>
      </c>
      <c r="L128">
        <f ca="1"/>
        <v>2.1473674519414772</v>
      </c>
      <c r="M128">
        <f ca="1"/>
        <v>3.7967798023128552E-2</v>
      </c>
      <c r="N128">
        <f ca="1"/>
        <v>0.67300039949008261</v>
      </c>
      <c r="O128">
        <f ca="1"/>
        <v>0</v>
      </c>
      <c r="P128">
        <f ca="1"/>
        <v>71.210375778539273</v>
      </c>
      <c r="Q128">
        <f ca="1"/>
        <v>0</v>
      </c>
      <c r="R128">
        <f ca="1"/>
        <v>0</v>
      </c>
      <c r="S128">
        <f ca="1"/>
        <v>0.99956534245317041</v>
      </c>
      <c r="T128">
        <f ca="1"/>
        <v>0</v>
      </c>
      <c r="U128">
        <f ca="1"/>
        <v>0</v>
      </c>
      <c r="V128">
        <f ca="1"/>
        <v>0.99951354612417642</v>
      </c>
      <c r="X128" s="2">
        <f t="shared" ca="1" si="8"/>
        <v>45538</v>
      </c>
      <c r="Y128">
        <f t="shared" ca="1" si="9"/>
        <v>0</v>
      </c>
      <c r="AA128" s="63">
        <f t="shared" ca="1" si="11"/>
        <v>76.521298731902121</v>
      </c>
      <c r="AB128" s="63">
        <f t="shared" ca="1" si="12"/>
        <v>76.521298731902121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72.291419549976865</v>
      </c>
      <c r="L129">
        <f ca="1"/>
        <v>2.1086323130414968</v>
      </c>
      <c r="M129">
        <f ca="1"/>
        <v>3.6322160556368388E-2</v>
      </c>
      <c r="N129">
        <f ca="1"/>
        <v>0.65467348789473667</v>
      </c>
      <c r="O129">
        <f ca="1"/>
        <v>0</v>
      </c>
      <c r="P129">
        <f ca="1"/>
        <v>73.31900809158077</v>
      </c>
      <c r="Q129">
        <f ca="1"/>
        <v>0</v>
      </c>
      <c r="R129">
        <f ca="1"/>
        <v>0.66487506539339558</v>
      </c>
      <c r="S129">
        <f ca="1"/>
        <v>1</v>
      </c>
      <c r="T129">
        <f ca="1"/>
        <v>1.6700089064122068</v>
      </c>
      <c r="U129">
        <f ca="1"/>
        <v>0</v>
      </c>
      <c r="V129">
        <f ca="1"/>
        <v>0.99957492444185247</v>
      </c>
      <c r="X129" s="2">
        <f t="shared" ca="1" si="8"/>
        <v>45539</v>
      </c>
      <c r="Y129">
        <f t="shared" ca="1" si="9"/>
        <v>0</v>
      </c>
      <c r="AA129" s="63">
        <f t="shared" ca="1" si="11"/>
        <v>75.064926928411751</v>
      </c>
      <c r="AB129" s="63">
        <f t="shared" ca="1" si="12"/>
        <v>75.064926928411751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69.075339806648756</v>
      </c>
      <c r="L130">
        <f ca="1"/>
        <v>2.2472047557204746</v>
      </c>
      <c r="M130">
        <f ca="1"/>
        <v>3.6796606373652452E-2</v>
      </c>
      <c r="N130">
        <f ca="1"/>
        <v>0.690978926371002</v>
      </c>
      <c r="O130">
        <f ca="1"/>
        <v>0</v>
      </c>
      <c r="P130">
        <f ca="1"/>
        <v>75.566212847301244</v>
      </c>
      <c r="Q130">
        <f ca="1"/>
        <v>0</v>
      </c>
      <c r="R130">
        <f ca="1"/>
        <v>1.6966505203522975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0.99963136817263798</v>
      </c>
      <c r="X130" s="2">
        <f t="shared" ca="1" si="8"/>
        <v>45540</v>
      </c>
      <c r="Y130">
        <f t="shared" ca="1" si="9"/>
        <v>0</v>
      </c>
      <c r="AA130" s="63">
        <f t="shared" ca="1" si="11"/>
        <v>73.019195082721524</v>
      </c>
      <c r="AB130" s="63">
        <f t="shared" ca="1" si="12"/>
        <v>73.019195082721524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67.471378365326373</v>
      </c>
      <c r="L131">
        <f ca="1"/>
        <v>2.3618476363999861</v>
      </c>
      <c r="M131">
        <f ca="1"/>
        <v>3.6961431702675185E-2</v>
      </c>
      <c r="N131">
        <f ca="1"/>
        <v>0.72092476337492706</v>
      </c>
      <c r="O131">
        <f ca="1"/>
        <v>0</v>
      </c>
      <c r="P131">
        <f ca="1"/>
        <v>77.928060483701231</v>
      </c>
      <c r="Q131">
        <f ca="1"/>
        <v>0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0.99968225362215368</v>
      </c>
      <c r="X131" s="2">
        <f t="shared" ca="1" si="8"/>
        <v>45541</v>
      </c>
      <c r="Y131">
        <f t="shared" ca="1" si="9"/>
        <v>0</v>
      </c>
      <c r="AA131" s="63">
        <f t="shared" ca="1" si="11"/>
        <v>69.833226001726359</v>
      </c>
      <c r="AB131" s="63">
        <f t="shared" ca="1" si="12"/>
        <v>69.833226001726359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65.87891312898202</v>
      </c>
      <c r="L132">
        <f ca="1"/>
        <v>2.3358924976015487</v>
      </c>
      <c r="M132">
        <f ca="1"/>
        <v>3.5532374585464765E-2</v>
      </c>
      <c r="N132">
        <f ca="1"/>
        <v>0.70789488667172806</v>
      </c>
      <c r="O132">
        <f ca="1"/>
        <v>0</v>
      </c>
      <c r="P132">
        <f ca="1"/>
        <v>80.263952981302779</v>
      </c>
      <c r="Q132">
        <f ca="1"/>
        <v>0</v>
      </c>
      <c r="R132">
        <f ca="1"/>
        <v>0</v>
      </c>
      <c r="S132">
        <f ca="1"/>
        <v>0.97652180635915897</v>
      </c>
      <c r="T132">
        <f ca="1"/>
        <v>0</v>
      </c>
      <c r="U132">
        <f ca="1"/>
        <v>0</v>
      </c>
      <c r="V132">
        <f ca="1"/>
        <v>0.99972539811595629</v>
      </c>
      <c r="X132" s="2">
        <f t="shared" ca="1" si="8"/>
        <v>45542</v>
      </c>
      <c r="Y132">
        <f t="shared" ca="1" si="9"/>
        <v>0</v>
      </c>
      <c r="AA132" s="63">
        <f t="shared" ca="1" si="11"/>
        <v>68.214805626583555</v>
      </c>
      <c r="AB132" s="63">
        <f t="shared" ca="1" si="12"/>
        <v>68.214805626583569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64.104713098913336</v>
      </c>
      <c r="L133">
        <f ca="1"/>
        <v>2.1325554855756934</v>
      </c>
      <c r="M133">
        <f ca="1"/>
        <v>3.2393675749476714E-2</v>
      </c>
      <c r="N133">
        <f ca="1"/>
        <v>0.64370350953085254</v>
      </c>
      <c r="O133">
        <f ca="1"/>
        <v>0</v>
      </c>
      <c r="P133">
        <f ca="1"/>
        <v>82.396508466878473</v>
      </c>
      <c r="Q133">
        <f ca="1"/>
        <v>0</v>
      </c>
      <c r="R133">
        <f ca="1"/>
        <v>0.31774172977332132</v>
      </c>
      <c r="S133">
        <f ca="1"/>
        <v>1</v>
      </c>
      <c r="T133">
        <f ca="1"/>
        <v>0.90001508529080354</v>
      </c>
      <c r="U133">
        <f ca="1"/>
        <v>0</v>
      </c>
      <c r="V133">
        <f ca="1"/>
        <v>0.99975948909805401</v>
      </c>
      <c r="X133" s="2">
        <f t="shared" ca="1" si="8"/>
        <v>45543</v>
      </c>
      <c r="Y133">
        <f t="shared" ca="1" si="9"/>
        <v>0</v>
      </c>
      <c r="AA133" s="63">
        <f t="shared" ca="1" si="11"/>
        <v>66.555010314262347</v>
      </c>
      <c r="AB133" s="63">
        <f t="shared" ca="1" si="12"/>
        <v>66.555010314262347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61.96095518741847</v>
      </c>
      <c r="L134">
        <f ca="1"/>
        <v>2.2474254959861781</v>
      </c>
      <c r="M134">
        <f ca="1"/>
        <v>3.2669055235137634E-2</v>
      </c>
      <c r="N134">
        <f ca="1"/>
        <v>0.67498314460483333</v>
      </c>
      <c r="O134">
        <f ca="1"/>
        <v>0</v>
      </c>
      <c r="P134">
        <f ca="1"/>
        <v>84.643933962864651</v>
      </c>
      <c r="Q134">
        <f ca="1"/>
        <v>0</v>
      </c>
      <c r="R134">
        <f ca="1"/>
        <v>0.60398461534866021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0.99979073885131586</v>
      </c>
      <c r="X134" s="2">
        <f t="shared" ca="1" si="8"/>
        <v>45544</v>
      </c>
      <c r="Y134">
        <f t="shared" ca="1" si="9"/>
        <v>0</v>
      </c>
      <c r="AA134" s="63">
        <f t="shared" ca="1" si="11"/>
        <v>64.812365298753306</v>
      </c>
      <c r="AB134" s="63">
        <f t="shared" ca="1" si="12"/>
        <v>64.812365298753306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58.788795348992693</v>
      </c>
      <c r="L135">
        <f ca="1"/>
        <v>2.3761119254585452</v>
      </c>
      <c r="M135">
        <f ca="1"/>
        <v>3.3077188778134925E-2</v>
      </c>
      <c r="N135">
        <f ca="1"/>
        <v>0.71199334792503333</v>
      </c>
      <c r="O135">
        <f ca="1"/>
        <v>0</v>
      </c>
      <c r="P135">
        <f ca="1"/>
        <v>87.020045888323196</v>
      </c>
      <c r="Q135">
        <f ca="1"/>
        <v>0</v>
      </c>
      <c r="R135">
        <f ca="1"/>
        <v>1.5411184496704027</v>
      </c>
      <c r="S135">
        <f ca="1"/>
        <v>1</v>
      </c>
      <c r="T135">
        <f ca="1"/>
        <v>4.7599999999999909</v>
      </c>
      <c r="U135">
        <f ca="1"/>
        <v>0</v>
      </c>
      <c r="V135">
        <f ca="1"/>
        <v>0.99981930520113227</v>
      </c>
      <c r="X135" s="2">
        <f t="shared" ca="1" si="8"/>
        <v>45545</v>
      </c>
      <c r="Y135">
        <f t="shared" ca="1" si="9"/>
        <v>0</v>
      </c>
      <c r="AA135" s="63">
        <f t="shared" ca="1" si="11"/>
        <v>62.706025724121638</v>
      </c>
      <c r="AB135" s="63">
        <f t="shared" ca="1" si="12"/>
        <v>62.706025724121638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57.151539497648706</v>
      </c>
      <c r="L136">
        <f ca="1"/>
        <v>2.3366530817668689</v>
      </c>
      <c r="M136">
        <f ca="1"/>
        <v>3.1805772017312606E-2</v>
      </c>
      <c r="N136">
        <f ca="1"/>
        <v>0.69906621928832946</v>
      </c>
      <c r="O136">
        <f ca="1"/>
        <v>0</v>
      </c>
      <c r="P136">
        <f ca="1"/>
        <v>89.356698970090065</v>
      </c>
      <c r="Q136">
        <f ca="1"/>
        <v>0</v>
      </c>
      <c r="R136">
        <f ca="1"/>
        <v>3.1474760882761264E-2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0.99984356305873323</v>
      </c>
      <c r="X136" s="2">
        <f t="shared" ca="1" si="8"/>
        <v>45546</v>
      </c>
      <c r="Y136">
        <f t="shared" ca="1" si="9"/>
        <v>0</v>
      </c>
      <c r="AA136" s="63">
        <f t="shared" ca="1" si="11"/>
        <v>59.519667340298334</v>
      </c>
      <c r="AB136" s="63">
        <f t="shared" ca="1" si="12"/>
        <v>59.519667340298334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55.428171092876056</v>
      </c>
      <c r="L137">
        <f ca="1"/>
        <v>2.5084249022416429</v>
      </c>
      <c r="M137">
        <f ca="1"/>
        <v>3.267026087506153E-2</v>
      </c>
      <c r="N137">
        <f ca="1"/>
        <v>0.75238623659392923</v>
      </c>
      <c r="O137">
        <f ca="1"/>
        <v>0</v>
      </c>
      <c r="P137">
        <f ca="1"/>
        <v>91.865123872331708</v>
      </c>
      <c r="Q137">
        <f ca="1"/>
        <v>0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0.99986599583040503</v>
      </c>
      <c r="X137" s="2">
        <f t="shared" ca="1" si="8"/>
        <v>45547</v>
      </c>
      <c r="Y137">
        <f t="shared" ca="1" si="9"/>
        <v>0</v>
      </c>
      <c r="AA137" s="63">
        <f t="shared" ca="1" si="11"/>
        <v>57.936595995117692</v>
      </c>
      <c r="AB137" s="63">
        <f t="shared" ca="1" si="12"/>
        <v>57.936595995117699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53.611084065051621</v>
      </c>
      <c r="L138">
        <f ca="1"/>
        <v>2.4773849845275038</v>
      </c>
      <c r="M138">
        <f ca="1"/>
        <v>3.153192021307305E-2</v>
      </c>
      <c r="N138">
        <f ca="1"/>
        <v>0.74391362987167331</v>
      </c>
      <c r="O138">
        <f ca="1"/>
        <v>0</v>
      </c>
      <c r="P138">
        <f ca="1"/>
        <v>94.342508856859212</v>
      </c>
      <c r="Q138">
        <f ca="1"/>
        <v>0</v>
      </c>
      <c r="R138">
        <f ca="1"/>
        <v>0.11514759338167453</v>
      </c>
      <c r="S138">
        <f ca="1"/>
        <v>1</v>
      </c>
      <c r="T138">
        <f ca="1"/>
        <v>0.39000104480038544</v>
      </c>
      <c r="U138">
        <f ca="1"/>
        <v>0</v>
      </c>
      <c r="V138">
        <f ca="1"/>
        <v>0.99988502196732698</v>
      </c>
      <c r="X138" s="2">
        <f t="shared" ca="1" si="8"/>
        <v>45548</v>
      </c>
      <c r="Y138">
        <f t="shared" ca="1" si="9"/>
        <v>0</v>
      </c>
      <c r="AA138" s="63">
        <f t="shared" ca="1" si="11"/>
        <v>56.203616642960796</v>
      </c>
      <c r="AB138" s="63">
        <f t="shared" ca="1" si="12"/>
        <v>56.203616642960796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51.876109585012301</v>
      </c>
      <c r="L139">
        <f ca="1"/>
        <v>2.5292995331715673</v>
      </c>
      <c r="M139">
        <f ca="1"/>
        <v>3.126305260586193E-2</v>
      </c>
      <c r="N139">
        <f ca="1"/>
        <v>0.76306200052639228</v>
      </c>
      <c r="O139">
        <f ca="1"/>
        <v>0</v>
      </c>
      <c r="P139">
        <f ca="1"/>
        <v>96.871808390030779</v>
      </c>
      <c r="Q139">
        <f ca="1"/>
        <v>0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0.9999017137945071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54.405409118183869</v>
      </c>
      <c r="AB139" s="63">
        <f t="shared" ca="1" si="12"/>
        <v>54.405409118183869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50.106582837909421</v>
      </c>
      <c r="L140">
        <f ca="1"/>
        <v>2.4991820098058923</v>
      </c>
      <c r="M140">
        <f ca="1"/>
        <v>3.0248437371161785E-2</v>
      </c>
      <c r="N140">
        <f ca="1"/>
        <v>0.75735649553547946</v>
      </c>
      <c r="O140">
        <f ca="1"/>
        <v>0</v>
      </c>
      <c r="P140">
        <f ca="1"/>
        <v>99.370990399836671</v>
      </c>
      <c r="Q140">
        <f ca="1"/>
        <v>0</v>
      </c>
      <c r="R140">
        <f ca="1"/>
        <v>5.7949670203632349E-2</v>
      </c>
      <c r="S140">
        <f ca="1"/>
        <v>1</v>
      </c>
      <c r="T140">
        <f ca="1"/>
        <v>0.21000115194368618</v>
      </c>
      <c r="U140">
        <f ca="1"/>
        <v>0</v>
      </c>
      <c r="V140">
        <f ca="1"/>
        <v>0.99991588982533586</v>
      </c>
      <c r="X140" s="2">
        <f t="shared" ca="1" si="15"/>
        <v>45550</v>
      </c>
      <c r="Y140">
        <f t="shared" ca="1" si="16"/>
        <v>0</v>
      </c>
      <c r="AA140" s="63">
        <f t="shared" ca="1" si="11"/>
        <v>52.663714517918947</v>
      </c>
      <c r="AB140" s="63">
        <f t="shared" ca="1" si="12"/>
        <v>52.663714517918947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47.606821398895157</v>
      </c>
      <c r="L141">
        <f ca="1"/>
        <v>2.684516750666063</v>
      </c>
      <c r="M141">
        <f ca="1"/>
        <v>3.1342063684610011E-2</v>
      </c>
      <c r="N141">
        <f ca="1"/>
        <v>0.8246004342982739</v>
      </c>
      <c r="O141">
        <f ca="1"/>
        <v>0</v>
      </c>
      <c r="P141">
        <f ca="1"/>
        <v>102.05550715050273</v>
      </c>
      <c r="Q141">
        <f ca="1"/>
        <v>0</v>
      </c>
      <c r="R141">
        <f ca="1"/>
        <v>0.67118718633109065</v>
      </c>
      <c r="S141">
        <f ca="1"/>
        <v>1</v>
      </c>
      <c r="T141">
        <f ca="1"/>
        <v>2.5600000000000023</v>
      </c>
      <c r="U141">
        <f ca="1"/>
        <v>0</v>
      </c>
      <c r="V141">
        <f ca="1"/>
        <v>0.99992892918011766</v>
      </c>
      <c r="X141" s="2">
        <f t="shared" ca="1" si="15"/>
        <v>45551</v>
      </c>
      <c r="Y141">
        <f t="shared" ca="1" si="16"/>
        <v>0</v>
      </c>
      <c r="AA141" s="63">
        <f t="shared" ref="AA141:AA204" ca="1" si="18">K140+M141+N141+O141</f>
        <v>50.962525335892309</v>
      </c>
      <c r="AB141" s="63">
        <f t="shared" ref="AB141:AB204" ca="1" si="19">K141+L141+R141</f>
        <v>50.962525335892309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45.442369675311788</v>
      </c>
      <c r="L142">
        <f ca="1"/>
        <v>2.4742855274029267</v>
      </c>
      <c r="M142">
        <f ca="1"/>
        <v>2.8704367390783858E-2</v>
      </c>
      <c r="N142">
        <f ca="1"/>
        <v>0.76163310186510647</v>
      </c>
      <c r="O142">
        <f ca="1"/>
        <v>0</v>
      </c>
      <c r="P142">
        <f ca="1"/>
        <v>104.52979267790566</v>
      </c>
      <c r="Q142">
        <f ca="1"/>
        <v>0</v>
      </c>
      <c r="R142">
        <f ca="1"/>
        <v>0.48050366543634065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0.9999392304408341</v>
      </c>
      <c r="X142" s="2">
        <f t="shared" ca="1" si="15"/>
        <v>45552</v>
      </c>
      <c r="Y142">
        <f t="shared" ca="1" si="16"/>
        <v>0</v>
      </c>
      <c r="AA142" s="63">
        <f t="shared" ca="1" si="18"/>
        <v>48.397158868151045</v>
      </c>
      <c r="AB142" s="63">
        <f t="shared" ca="1" si="19"/>
        <v>48.397158868151053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42.321075726757698</v>
      </c>
      <c r="L143">
        <f ca="1"/>
        <v>2.2675348544260316</v>
      </c>
      <c r="M143">
        <f ca="1"/>
        <v>2.6350244758639008E-2</v>
      </c>
      <c r="N143">
        <f ca="1"/>
        <v>0.70245355372461293</v>
      </c>
      <c r="O143">
        <f ca="1"/>
        <v>0</v>
      </c>
      <c r="P143">
        <f ca="1"/>
        <v>106.79732753233169</v>
      </c>
      <c r="Q143">
        <f ca="1"/>
        <v>0</v>
      </c>
      <c r="R143">
        <f ca="1"/>
        <v>1.5825628926113056</v>
      </c>
      <c r="S143">
        <f ca="1"/>
        <v>1</v>
      </c>
      <c r="T143">
        <f ca="1"/>
        <v>6.789999999999992</v>
      </c>
      <c r="U143">
        <f ca="1"/>
        <v>0</v>
      </c>
      <c r="V143">
        <f ca="1"/>
        <v>0.99994742573982265</v>
      </c>
      <c r="X143" s="2">
        <f t="shared" ca="1" si="15"/>
        <v>45553</v>
      </c>
      <c r="Y143">
        <f t="shared" ca="1" si="16"/>
        <v>0</v>
      </c>
      <c r="AA143" s="63">
        <f t="shared" ca="1" si="18"/>
        <v>46.171173473795037</v>
      </c>
      <c r="AB143" s="63">
        <f t="shared" ca="1" si="19"/>
        <v>46.171173473795037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40.429066519857749</v>
      </c>
      <c r="L144">
        <f ca="1"/>
        <v>2.2206406754669246</v>
      </c>
      <c r="M144">
        <f ca="1"/>
        <v>2.5485338833791005E-2</v>
      </c>
      <c r="N144">
        <f ca="1"/>
        <v>0.69501511072565969</v>
      </c>
      <c r="O144">
        <f ca="1"/>
        <v>0</v>
      </c>
      <c r="P144">
        <f ca="1"/>
        <v>109.01796820779862</v>
      </c>
      <c r="Q144">
        <f ca="1"/>
        <v>0</v>
      </c>
      <c r="R144">
        <f ca="1"/>
        <v>0.39186898099247425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0.99995444680224266</v>
      </c>
      <c r="X144" s="2">
        <f t="shared" ca="1" si="15"/>
        <v>45554</v>
      </c>
      <c r="Y144">
        <f t="shared" ca="1" si="16"/>
        <v>0</v>
      </c>
      <c r="AA144" s="63">
        <f t="shared" ca="1" si="18"/>
        <v>43.04157617631715</v>
      </c>
      <c r="AB144" s="63">
        <f t="shared" ca="1" si="19"/>
        <v>43.04157617631715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39.030640442304005</v>
      </c>
      <c r="L145">
        <f ca="1"/>
        <v>2.0815901103950267</v>
      </c>
      <c r="M145">
        <f ca="1"/>
        <v>2.3939041534292826E-2</v>
      </c>
      <c r="N145">
        <f ca="1"/>
        <v>0.65922499130699241</v>
      </c>
      <c r="O145">
        <f ca="1"/>
        <v>0</v>
      </c>
      <c r="P145">
        <f ca="1"/>
        <v>111.09955831819364</v>
      </c>
      <c r="Q145">
        <f ca="1"/>
        <v>0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0.99996023511441268</v>
      </c>
      <c r="X145" s="2">
        <f t="shared" ca="1" si="15"/>
        <v>45555</v>
      </c>
      <c r="Y145">
        <f t="shared" ca="1" si="16"/>
        <v>0</v>
      </c>
      <c r="AA145" s="63">
        <f t="shared" ca="1" si="18"/>
        <v>41.112230552699032</v>
      </c>
      <c r="AB145" s="63">
        <f t="shared" ca="1" si="19"/>
        <v>41.112230552699032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37.350118801429275</v>
      </c>
      <c r="L146">
        <f ca="1"/>
        <v>2.1207108977853579</v>
      </c>
      <c r="M146">
        <f ca="1"/>
        <v>2.3856617665268587E-2</v>
      </c>
      <c r="N146">
        <f ca="1"/>
        <v>0.67962399241853055</v>
      </c>
      <c r="O146">
        <f ca="1"/>
        <v>0</v>
      </c>
      <c r="P146">
        <f ca="1"/>
        <v>113.220269215979</v>
      </c>
      <c r="Q146">
        <f ca="1"/>
        <v>0</v>
      </c>
      <c r="R146">
        <f ca="1"/>
        <v>0.26329135317316604</v>
      </c>
      <c r="S146">
        <f ca="1"/>
        <v>1</v>
      </c>
      <c r="T146">
        <f ca="1"/>
        <v>1.2800003934274287</v>
      </c>
      <c r="U146">
        <f ca="1"/>
        <v>0</v>
      </c>
      <c r="V146">
        <f ca="1"/>
        <v>0.9999654360939324</v>
      </c>
      <c r="X146" s="2">
        <f t="shared" ca="1" si="15"/>
        <v>45556</v>
      </c>
      <c r="Y146">
        <f t="shared" ca="1" si="16"/>
        <v>0</v>
      </c>
      <c r="AA146" s="63">
        <f t="shared" ca="1" si="18"/>
        <v>39.734121052387799</v>
      </c>
      <c r="AB146" s="63">
        <f t="shared" ca="1" si="19"/>
        <v>39.734121052387799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35.853654974867503</v>
      </c>
      <c r="L147">
        <f ca="1"/>
        <v>2.2551411949616664</v>
      </c>
      <c r="M147">
        <f ca="1"/>
        <v>2.4572193581796853E-2</v>
      </c>
      <c r="N147">
        <f ca="1"/>
        <v>0.73410517481809712</v>
      </c>
      <c r="O147">
        <f ca="1"/>
        <v>0</v>
      </c>
      <c r="P147">
        <f ca="1"/>
        <v>115.47541041094067</v>
      </c>
      <c r="Q147">
        <f ca="1"/>
        <v>0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0.99997028661660348</v>
      </c>
      <c r="X147" s="2">
        <f t="shared" ca="1" si="15"/>
        <v>45557</v>
      </c>
      <c r="Y147">
        <f t="shared" ca="1" si="16"/>
        <v>0</v>
      </c>
      <c r="AA147" s="63">
        <f t="shared" ca="1" si="18"/>
        <v>38.108796169829169</v>
      </c>
      <c r="AB147" s="63">
        <f t="shared" ca="1" si="19"/>
        <v>38.108796169829169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33.65600377430868</v>
      </c>
      <c r="L148">
        <f ca="1"/>
        <v>2.3572462209235141</v>
      </c>
      <c r="M148">
        <f ca="1"/>
        <v>2.5083287617691852E-2</v>
      </c>
      <c r="N148">
        <f ca="1"/>
        <v>0.78324343852350387</v>
      </c>
      <c r="O148">
        <f ca="1"/>
        <v>0</v>
      </c>
      <c r="P148">
        <f ca="1"/>
        <v>117.83265663186418</v>
      </c>
      <c r="Q148">
        <f ca="1"/>
        <v>0</v>
      </c>
      <c r="R148">
        <f ca="1"/>
        <v>0.6487317057765084</v>
      </c>
      <c r="S148">
        <f ca="1"/>
        <v>1</v>
      </c>
      <c r="T148">
        <f ca="1"/>
        <v>3.5000002094526224</v>
      </c>
      <c r="U148">
        <f ca="1"/>
        <v>0</v>
      </c>
      <c r="V148">
        <f ca="1"/>
        <v>0.99997469847515486</v>
      </c>
      <c r="X148" s="2">
        <f t="shared" ca="1" si="15"/>
        <v>45558</v>
      </c>
      <c r="Y148">
        <f t="shared" ca="1" si="16"/>
        <v>0</v>
      </c>
      <c r="AA148" s="63">
        <f t="shared" ca="1" si="18"/>
        <v>36.661981701008699</v>
      </c>
      <c r="AB148" s="63">
        <f t="shared" ca="1" si="19"/>
        <v>36.661981701008699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32.094546324204153</v>
      </c>
      <c r="L149">
        <f ca="1"/>
        <v>2.4037482230740039</v>
      </c>
      <c r="M149">
        <f ca="1"/>
        <v>2.517303490831857E-2</v>
      </c>
      <c r="N149">
        <f ca="1"/>
        <v>0.81711773806115839</v>
      </c>
      <c r="O149">
        <f ca="1"/>
        <v>0</v>
      </c>
      <c r="P149">
        <f ca="1"/>
        <v>120.23640485493819</v>
      </c>
      <c r="Q149">
        <f ca="1"/>
        <v>0</v>
      </c>
      <c r="R149">
        <f ca="1"/>
        <v>0</v>
      </c>
      <c r="S149">
        <f ca="1"/>
        <v>0.99130434782608701</v>
      </c>
      <c r="T149">
        <f ca="1"/>
        <v>0</v>
      </c>
      <c r="U149">
        <f ca="1"/>
        <v>0</v>
      </c>
      <c r="V149">
        <f ca="1"/>
        <v>0.99997859157497815</v>
      </c>
      <c r="X149" s="2">
        <f t="shared" ca="1" si="15"/>
        <v>45559</v>
      </c>
      <c r="Y149">
        <f t="shared" ca="1" si="16"/>
        <v>0</v>
      </c>
      <c r="AA149" s="63">
        <f t="shared" ca="1" si="18"/>
        <v>34.498294547278157</v>
      </c>
      <c r="AB149" s="63">
        <f t="shared" ca="1" si="19"/>
        <v>34.498294547278157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30.631841584853007</v>
      </c>
      <c r="L150">
        <f ca="1"/>
        <v>2.2726262201607597</v>
      </c>
      <c r="M150">
        <f ca="1"/>
        <v>2.3767989299155801E-2</v>
      </c>
      <c r="N150">
        <f ca="1"/>
        <v>0.78615349151045522</v>
      </c>
      <c r="O150">
        <f ca="1"/>
        <v>0</v>
      </c>
      <c r="P150">
        <f ca="1"/>
        <v>122.50903107509895</v>
      </c>
      <c r="Q150">
        <f ca="1"/>
        <v>0</v>
      </c>
      <c r="R150">
        <f ca="1"/>
        <v>0</v>
      </c>
      <c r="S150">
        <f ca="1"/>
        <v>0.97449275876646857</v>
      </c>
      <c r="T150">
        <f ca="1"/>
        <v>0</v>
      </c>
      <c r="U150">
        <f ca="1"/>
        <v>0</v>
      </c>
      <c r="V150">
        <f ca="1"/>
        <v>0.99998178038926211</v>
      </c>
      <c r="X150" s="2">
        <f t="shared" ca="1" si="15"/>
        <v>45560</v>
      </c>
      <c r="Y150">
        <f t="shared" ca="1" si="16"/>
        <v>0</v>
      </c>
      <c r="AA150" s="63">
        <f t="shared" ca="1" si="18"/>
        <v>32.904467805013759</v>
      </c>
      <c r="AB150" s="63">
        <f t="shared" ca="1" si="19"/>
        <v>32.904467805013766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45561</v>
      </c>
      <c r="K151">
        <f ca="1"/>
        <v>29.170805712466013</v>
      </c>
      <c r="L151">
        <f ca="1"/>
        <v>2.2909689249010512</v>
      </c>
      <c r="M151">
        <f ca="1"/>
        <v>2.3690438879185649E-2</v>
      </c>
      <c r="N151">
        <f ca="1"/>
        <v>0.80624261363487215</v>
      </c>
      <c r="O151">
        <f ca="1"/>
        <v>0</v>
      </c>
      <c r="P151">
        <f ca="1"/>
        <v>124.8</v>
      </c>
      <c r="Q151">
        <f ca="1"/>
        <v>0</v>
      </c>
      <c r="R151">
        <f ca="1"/>
        <v>0</v>
      </c>
      <c r="S151">
        <f ca="1"/>
        <v>0.95420291766787313</v>
      </c>
      <c r="T151">
        <f ca="1"/>
        <v>0</v>
      </c>
      <c r="U151">
        <f ca="1"/>
        <v>0</v>
      </c>
      <c r="V151">
        <f ca="1"/>
        <v>0.99998457105749694</v>
      </c>
      <c r="X151" s="2">
        <f t="shared" ca="1" si="15"/>
        <v>45561</v>
      </c>
      <c r="Y151">
        <f t="shared" ca="1" si="16"/>
        <v>0</v>
      </c>
      <c r="AA151" s="63">
        <f t="shared" ca="1" si="18"/>
        <v>31.461774637367064</v>
      </c>
      <c r="AB151" s="63">
        <f t="shared" ca="1" si="19"/>
        <v>31.461774637367064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45562</v>
      </c>
      <c r="K152">
        <f ca="1"/>
        <v>29.98786996076754</v>
      </c>
      <c r="L152">
        <f ca="1"/>
        <v>0</v>
      </c>
      <c r="M152">
        <f ca="1"/>
        <v>-1.6571543192595684E-2</v>
      </c>
      <c r="N152">
        <f ca="1"/>
        <v>0.83363579149412448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0.99938476962972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45562</v>
      </c>
      <c r="Y152">
        <f t="shared" ca="1" si="16"/>
        <v>0</v>
      </c>
      <c r="AA152" s="63">
        <f t="shared" ca="1" si="18"/>
        <v>29.98786996076754</v>
      </c>
      <c r="AB152" s="63">
        <f t="shared" ca="1" si="19"/>
        <v>29.98786996076754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45563</v>
      </c>
      <c r="K153">
        <f ca="1"/>
        <v>30.890350829991299</v>
      </c>
      <c r="L153">
        <f ca="1"/>
        <v>0</v>
      </c>
      <c r="M153">
        <f ca="1"/>
        <v>4.4450847000641502E-2</v>
      </c>
      <c r="N153">
        <f ca="1"/>
        <v>0.85803002222311442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0.99708652589284108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45563</v>
      </c>
      <c r="Y153">
        <f t="shared" ca="1" si="16"/>
        <v>0</v>
      </c>
      <c r="AA153" s="63">
        <f t="shared" ca="1" si="18"/>
        <v>30.890350829991295</v>
      </c>
      <c r="AB153" s="63">
        <f t="shared" ca="1" si="19"/>
        <v>30.890350829991299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45564</v>
      </c>
      <c r="K154">
        <f ca="1"/>
        <v>31.324865042257173</v>
      </c>
      <c r="L154">
        <f ca="1"/>
        <v>0</v>
      </c>
      <c r="M154">
        <f ca="1"/>
        <v>9.986662819933656E-2</v>
      </c>
      <c r="N154">
        <f ca="1"/>
        <v>0.84806718552572091</v>
      </c>
      <c r="O154">
        <f ca="1"/>
        <v>0</v>
      </c>
      <c r="P154">
        <f ca="1"/>
        <v>0</v>
      </c>
      <c r="Q154">
        <f ca="1"/>
        <v>0</v>
      </c>
      <c r="R154">
        <f ca="1"/>
        <v>0.51341960145918208</v>
      </c>
      <c r="S154">
        <f ca="1"/>
        <v>1</v>
      </c>
      <c r="T154">
        <f ca="1"/>
        <v>2.9761082981685831</v>
      </c>
      <c r="U154">
        <f ca="1"/>
        <v>0</v>
      </c>
      <c r="V154">
        <f ca="1"/>
        <v>0</v>
      </c>
      <c r="X154" s="2">
        <f t="shared" ca="1" si="15"/>
        <v>45564</v>
      </c>
      <c r="Y154">
        <f t="shared" ca="1" si="16"/>
        <v>0</v>
      </c>
      <c r="AA154" s="63">
        <f t="shared" ca="1" si="18"/>
        <v>31.838284643716356</v>
      </c>
      <c r="AB154" s="63">
        <f t="shared" ca="1" si="19"/>
        <v>31.838284643716356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45565</v>
      </c>
      <c r="K155">
        <f ca="1"/>
        <v>32.248373804210168</v>
      </c>
      <c r="L155">
        <f ca="1"/>
        <v>0</v>
      </c>
      <c r="M155">
        <f ca="1"/>
        <v>0.14026532342949061</v>
      </c>
      <c r="N155">
        <f ca="1"/>
        <v>0.78324343852350387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45565</v>
      </c>
      <c r="Y155">
        <f t="shared" ca="1" si="16"/>
        <v>0</v>
      </c>
      <c r="AA155" s="63">
        <f t="shared" ca="1" si="18"/>
        <v>32.248373804210168</v>
      </c>
      <c r="AB155" s="63">
        <f t="shared" ca="1" si="19"/>
        <v>32.248373804210168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45566</v>
      </c>
      <c r="K156">
        <f ca="1"/>
        <v>33.237113027096569</v>
      </c>
      <c r="L156">
        <f ca="1"/>
        <v>0</v>
      </c>
      <c r="M156">
        <f ca="1"/>
        <v>0.18631628252427745</v>
      </c>
      <c r="N156">
        <f ca="1"/>
        <v>0.81041961802088636</v>
      </c>
      <c r="O156">
        <f ca="1"/>
        <v>0</v>
      </c>
      <c r="P156">
        <f ca="1"/>
        <v>0</v>
      </c>
      <c r="Q156">
        <f ca="1"/>
        <v>0</v>
      </c>
      <c r="R156">
        <f ca="1"/>
        <v>7.9966776587638063E-3</v>
      </c>
      <c r="S156">
        <f ca="1"/>
        <v>1</v>
      </c>
      <c r="T156">
        <f ca="1"/>
        <v>4.3686956521739262E-2</v>
      </c>
      <c r="U156">
        <f ca="1"/>
        <v>0</v>
      </c>
      <c r="V156">
        <f ca="1"/>
        <v>0</v>
      </c>
      <c r="X156" s="2">
        <f t="shared" ca="1" si="15"/>
        <v>45566</v>
      </c>
      <c r="Y156">
        <f t="shared" ca="1" si="16"/>
        <v>0</v>
      </c>
      <c r="AA156" s="63">
        <f t="shared" ca="1" si="18"/>
        <v>33.245109704755336</v>
      </c>
      <c r="AB156" s="63">
        <f t="shared" ca="1" si="19"/>
        <v>33.245109704755336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45567</v>
      </c>
      <c r="K157">
        <f ca="1"/>
        <v>34.051534752461826</v>
      </c>
      <c r="L157">
        <f ca="1"/>
        <v>0</v>
      </c>
      <c r="M157">
        <f ca="1"/>
        <v>0.24145606470731984</v>
      </c>
      <c r="N157">
        <f ca="1"/>
        <v>0.88051517453813799</v>
      </c>
      <c r="O157">
        <f ca="1"/>
        <v>0</v>
      </c>
      <c r="P157">
        <f ca="1"/>
        <v>0</v>
      </c>
      <c r="Q157">
        <f ca="1"/>
        <v>0</v>
      </c>
      <c r="R157">
        <f ca="1"/>
        <v>0.30754951388020602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</v>
      </c>
      <c r="X157" s="2">
        <f t="shared" ca="1" si="15"/>
        <v>45567</v>
      </c>
      <c r="Y157">
        <f t="shared" ca="1" si="16"/>
        <v>0</v>
      </c>
      <c r="AA157" s="63">
        <f t="shared" ca="1" si="18"/>
        <v>34.35908426634203</v>
      </c>
      <c r="AB157" s="63">
        <f t="shared" ca="1" si="19"/>
        <v>34.35908426634203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45568</v>
      </c>
      <c r="K158">
        <f ca="1"/>
        <v>35.118285940992976</v>
      </c>
      <c r="L158">
        <f ca="1"/>
        <v>0</v>
      </c>
      <c r="M158">
        <f ca="1"/>
        <v>0.26151746477666471</v>
      </c>
      <c r="N158">
        <f ca="1"/>
        <v>0.8052337237544851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45568</v>
      </c>
      <c r="Y158">
        <f t="shared" ca="1" si="16"/>
        <v>0</v>
      </c>
      <c r="AA158" s="63">
        <f t="shared" ca="1" si="18"/>
        <v>35.118285940992976</v>
      </c>
      <c r="AB158" s="63">
        <f t="shared" ca="1" si="19"/>
        <v>35.118285940992976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45569</v>
      </c>
      <c r="K159">
        <f ca="1"/>
        <v>36.211653396956251</v>
      </c>
      <c r="L159">
        <f ca="1"/>
        <v>0</v>
      </c>
      <c r="M159">
        <f ca="1"/>
        <v>0.29182522768081753</v>
      </c>
      <c r="N159">
        <f ca="1"/>
        <v>0.80154222828245403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0.98253959252257905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45569</v>
      </c>
      <c r="Y159">
        <f t="shared" ca="1" si="16"/>
        <v>0</v>
      </c>
      <c r="AA159" s="63">
        <f t="shared" ca="1" si="18"/>
        <v>36.211653396956251</v>
      </c>
      <c r="AB159" s="63">
        <f t="shared" ca="1" si="19"/>
        <v>36.211653396956251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45570</v>
      </c>
      <c r="K160">
        <f ca="1"/>
        <v>37.326294610026068</v>
      </c>
      <c r="L160">
        <f ca="1"/>
        <v>0</v>
      </c>
      <c r="M160">
        <f ca="1"/>
        <v>0.31824929191453322</v>
      </c>
      <c r="N160">
        <f ca="1"/>
        <v>0.79639192115528268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0.9673801755203052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45570</v>
      </c>
      <c r="Y160">
        <f t="shared" ca="1" si="16"/>
        <v>0</v>
      </c>
      <c r="AA160" s="63">
        <f t="shared" ca="1" si="18"/>
        <v>37.326294610026068</v>
      </c>
      <c r="AB160" s="63">
        <f t="shared" ca="1" si="19"/>
        <v>37.326294610026068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45571</v>
      </c>
      <c r="K161">
        <f ca="1"/>
        <v>38.489065417651723</v>
      </c>
      <c r="L161">
        <f ca="1"/>
        <v>0</v>
      </c>
      <c r="M161">
        <f ca="1"/>
        <v>0.35060615121083316</v>
      </c>
      <c r="N161">
        <f ca="1"/>
        <v>0.81216465641481972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0.95420949962109414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45571</v>
      </c>
      <c r="Y161">
        <f t="shared" ca="1" si="16"/>
        <v>0</v>
      </c>
      <c r="AA161" s="63">
        <f t="shared" ca="1" si="18"/>
        <v>38.489065417651723</v>
      </c>
      <c r="AB161" s="63">
        <f t="shared" ca="1" si="19"/>
        <v>38.489065417651723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45572</v>
      </c>
      <c r="K162">
        <f ca="1"/>
        <v>39.655260795561531</v>
      </c>
      <c r="L162">
        <f ca="1"/>
        <v>0</v>
      </c>
      <c r="M162">
        <f ca="1"/>
        <v>0.36686296419246034</v>
      </c>
      <c r="N162">
        <f ca="1"/>
        <v>0.79933241371734298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0.98588634231373051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45572</v>
      </c>
      <c r="Y162">
        <f t="shared" ca="1" si="16"/>
        <v>0</v>
      </c>
      <c r="AA162" s="63">
        <f t="shared" ca="1" si="18"/>
        <v>39.655260795561524</v>
      </c>
      <c r="AB162" s="63">
        <f t="shared" ca="1" si="19"/>
        <v>39.655260795561531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45573</v>
      </c>
      <c r="K163">
        <f ca="1"/>
        <v>40.807263400010832</v>
      </c>
      <c r="L163">
        <f ca="1"/>
        <v>0</v>
      </c>
      <c r="M163">
        <f ca="1"/>
        <v>0.37744881064065083</v>
      </c>
      <c r="N163">
        <f ca="1"/>
        <v>0.77455379380864642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0.9849116131228921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45573</v>
      </c>
      <c r="Y163">
        <f t="shared" ca="1" si="16"/>
        <v>0</v>
      </c>
      <c r="AA163" s="63">
        <f t="shared" ca="1" si="18"/>
        <v>40.807263400010825</v>
      </c>
      <c r="AB163" s="63">
        <f t="shared" ca="1" si="19"/>
        <v>40.807263400010832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45574</v>
      </c>
      <c r="K164">
        <f ca="1"/>
        <v>41.9551183261446</v>
      </c>
      <c r="L164">
        <f ca="1"/>
        <v>0</v>
      </c>
      <c r="M164">
        <f ca="1"/>
        <v>0.388362018810259</v>
      </c>
      <c r="N164">
        <f ca="1"/>
        <v>0.7594929073235045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0.99141562985150322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45574</v>
      </c>
      <c r="Y164">
        <f t="shared" ca="1" si="16"/>
        <v>0</v>
      </c>
      <c r="AA164" s="63">
        <f t="shared" ca="1" si="18"/>
        <v>41.9551183261446</v>
      </c>
      <c r="AB164" s="63">
        <f t="shared" ca="1" si="19"/>
        <v>41.9551183261446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45575</v>
      </c>
      <c r="K165">
        <f ca="1"/>
        <v>43.115245856462153</v>
      </c>
      <c r="L165">
        <f ca="1"/>
        <v>0</v>
      </c>
      <c r="M165">
        <f ca="1"/>
        <v>0.43666433704803609</v>
      </c>
      <c r="N165">
        <f ca="1"/>
        <v>0.84425453070851975</v>
      </c>
      <c r="O165">
        <f ca="1"/>
        <v>0</v>
      </c>
      <c r="P165">
        <f ca="1"/>
        <v>0</v>
      </c>
      <c r="Q165">
        <f ca="1"/>
        <v>0</v>
      </c>
      <c r="R165">
        <f ca="1"/>
        <v>0.120791337439</v>
      </c>
      <c r="S165">
        <f ca="1"/>
        <v>1</v>
      </c>
      <c r="T165">
        <f ca="1"/>
        <v>0.50871016661754709</v>
      </c>
      <c r="U165">
        <f ca="1"/>
        <v>0</v>
      </c>
      <c r="V165">
        <f ca="1"/>
        <v>0</v>
      </c>
      <c r="X165" s="2">
        <f t="shared" ca="1" si="15"/>
        <v>45575</v>
      </c>
      <c r="Y165">
        <f t="shared" ca="1" si="16"/>
        <v>0</v>
      </c>
      <c r="AA165" s="63">
        <f t="shared" ca="1" si="18"/>
        <v>43.236037193901154</v>
      </c>
      <c r="AB165" s="63">
        <f t="shared" ca="1" si="19"/>
        <v>43.236037193901154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45576</v>
      </c>
      <c r="K166">
        <f ca="1"/>
        <v>44.42148489837178</v>
      </c>
      <c r="L166">
        <f ca="1"/>
        <v>0</v>
      </c>
      <c r="M166">
        <f ca="1"/>
        <v>0.4543485350585641</v>
      </c>
      <c r="N166">
        <f ca="1"/>
        <v>0.85189050685106671</v>
      </c>
      <c r="O166">
        <f ca="1"/>
        <v>0</v>
      </c>
      <c r="P166">
        <f ca="1"/>
        <v>2.8674377859788827</v>
      </c>
      <c r="Q166">
        <f ca="1"/>
        <v>2.4475201185761173</v>
      </c>
      <c r="R166">
        <f ca="1"/>
        <v>0</v>
      </c>
      <c r="S166">
        <f ca="1"/>
        <v>0.98855072463768112</v>
      </c>
      <c r="T166">
        <f ca="1"/>
        <v>0</v>
      </c>
      <c r="U166">
        <f ca="1"/>
        <v>0</v>
      </c>
      <c r="V166">
        <f ca="1"/>
        <v>7.5273031088973043E-3</v>
      </c>
      <c r="X166" s="2">
        <f t="shared" ca="1" si="15"/>
        <v>45576</v>
      </c>
      <c r="Y166">
        <f t="shared" ca="1" si="16"/>
        <v>0</v>
      </c>
      <c r="AA166" s="63">
        <f t="shared" ca="1" si="18"/>
        <v>44.42148489837178</v>
      </c>
      <c r="AB166" s="63">
        <f t="shared" ca="1" si="19"/>
        <v>44.42148489837178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45577</v>
      </c>
      <c r="K167">
        <f ca="1"/>
        <v>45.585053362894882</v>
      </c>
      <c r="L167">
        <f ca="1"/>
        <v>0.10775390471537483</v>
      </c>
      <c r="M167">
        <f ca="1"/>
        <v>0.45271149054181592</v>
      </c>
      <c r="N167">
        <f ca="1"/>
        <v>0.81861087869665961</v>
      </c>
      <c r="O167">
        <f ca="1"/>
        <v>0</v>
      </c>
      <c r="P167">
        <f ca="1"/>
        <v>2.9751916906942575</v>
      </c>
      <c r="Q167">
        <f ca="1"/>
        <v>2.5394941627683201</v>
      </c>
      <c r="R167">
        <f ca="1"/>
        <v>0</v>
      </c>
      <c r="S167">
        <f ca="1"/>
        <v>0.99959291772365422</v>
      </c>
      <c r="T167">
        <f ca="1"/>
        <v>0</v>
      </c>
      <c r="U167">
        <f ca="1"/>
        <v>0</v>
      </c>
      <c r="V167">
        <f ca="1"/>
        <v>8.4073704210625311E-3</v>
      </c>
      <c r="X167" s="2">
        <f t="shared" ca="1" si="15"/>
        <v>45577</v>
      </c>
      <c r="Y167">
        <f t="shared" ca="1" si="16"/>
        <v>0</v>
      </c>
      <c r="AA167" s="63">
        <f t="shared" ca="1" si="18"/>
        <v>45.692807267610256</v>
      </c>
      <c r="AB167" s="63">
        <f t="shared" ca="1" si="19"/>
        <v>45.692807267610256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45578</v>
      </c>
      <c r="K168">
        <f ca="1"/>
        <v>46.459475969144016</v>
      </c>
      <c r="L168">
        <f ca="1"/>
        <v>0.12184682454153162</v>
      </c>
      <c r="M168">
        <f ca="1"/>
        <v>0.4835630126667354</v>
      </c>
      <c r="N168">
        <f ca="1"/>
        <v>0.86651651131153773</v>
      </c>
      <c r="O168">
        <f ca="1"/>
        <v>0</v>
      </c>
      <c r="P168">
        <f ca="1"/>
        <v>3.0970385152357891</v>
      </c>
      <c r="Q168">
        <f ca="1"/>
        <v>2.6434973100757362</v>
      </c>
      <c r="R168">
        <f ca="1"/>
        <v>0.35381009318761208</v>
      </c>
      <c r="S168">
        <f ca="1"/>
        <v>1</v>
      </c>
      <c r="T168">
        <f ca="1"/>
        <v>1.3828064770252126</v>
      </c>
      <c r="U168">
        <f ca="1"/>
        <v>0</v>
      </c>
      <c r="V168">
        <f ca="1"/>
        <v>9.4814049211180904E-3</v>
      </c>
      <c r="X168" s="2">
        <f t="shared" ca="1" si="15"/>
        <v>45578</v>
      </c>
      <c r="Y168">
        <f t="shared" ca="1" si="16"/>
        <v>0</v>
      </c>
      <c r="AA168" s="63">
        <f t="shared" ca="1" si="18"/>
        <v>46.935132886873156</v>
      </c>
      <c r="AB168" s="63">
        <f t="shared" ca="1" si="19"/>
        <v>46.935132886873156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45579</v>
      </c>
      <c r="K169">
        <f ca="1"/>
        <v>47.205812191915562</v>
      </c>
      <c r="L169">
        <f ca="1"/>
        <v>0.12546452757696391</v>
      </c>
      <c r="M169">
        <f ca="1"/>
        <v>0.48981359127495594</v>
      </c>
      <c r="N169">
        <f ca="1"/>
        <v>0.86033938928496634</v>
      </c>
      <c r="O169">
        <f ca="1"/>
        <v>0</v>
      </c>
      <c r="P169">
        <f ca="1"/>
        <v>3.222503042812753</v>
      </c>
      <c r="Q169">
        <f ca="1"/>
        <v>2.7505883712711361</v>
      </c>
      <c r="R169">
        <f ca="1"/>
        <v>0.47835223021140816</v>
      </c>
      <c r="S169">
        <f ca="1"/>
        <v>1</v>
      </c>
      <c r="T169">
        <f ca="1"/>
        <v>1.8399999999999892</v>
      </c>
      <c r="U169">
        <f ca="1"/>
        <v>0</v>
      </c>
      <c r="V169">
        <f ca="1"/>
        <v>1.0677947825690893E-2</v>
      </c>
      <c r="X169" s="2">
        <f t="shared" ca="1" si="15"/>
        <v>45579</v>
      </c>
      <c r="Y169">
        <f t="shared" ca="1" si="16"/>
        <v>0</v>
      </c>
      <c r="AA169" s="63">
        <f t="shared" ca="1" si="18"/>
        <v>47.809628949703942</v>
      </c>
      <c r="AB169" s="63">
        <f t="shared" ca="1" si="19"/>
        <v>47.809628949703935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45580</v>
      </c>
      <c r="K170">
        <f ca="1"/>
        <v>48.397241213411895</v>
      </c>
      <c r="L170">
        <f ca="1"/>
        <v>0.12392669371447296</v>
      </c>
      <c r="M170">
        <f ca="1"/>
        <v>0.48398450704128848</v>
      </c>
      <c r="N170">
        <f ca="1"/>
        <v>0.83137120816951871</v>
      </c>
      <c r="O170">
        <f ca="1"/>
        <v>0</v>
      </c>
      <c r="P170">
        <f ca="1"/>
        <v>3.346429736527226</v>
      </c>
      <c r="Q170">
        <f ca="1"/>
        <v>2.8563668043998081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1.1953298774263058E-2</v>
      </c>
      <c r="X170" s="2">
        <f t="shared" ca="1" si="15"/>
        <v>45580</v>
      </c>
      <c r="Y170">
        <f t="shared" ca="1" si="16"/>
        <v>0</v>
      </c>
      <c r="AA170" s="63">
        <f t="shared" ca="1" si="18"/>
        <v>48.521167907126376</v>
      </c>
      <c r="AB170" s="63">
        <f t="shared" ca="1" si="19"/>
        <v>48.521167907126369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45581</v>
      </c>
      <c r="K171">
        <f ca="1"/>
        <v>49.654003469137514</v>
      </c>
      <c r="L171">
        <f ca="1"/>
        <v>0.14106300578121145</v>
      </c>
      <c r="M171">
        <f ca="1"/>
        <v>0.51339693566276168</v>
      </c>
      <c r="N171">
        <f ca="1"/>
        <v>0.88442832584407161</v>
      </c>
      <c r="O171">
        <f ca="1"/>
        <v>0</v>
      </c>
      <c r="P171">
        <f ca="1"/>
        <v>3.4874927423084374</v>
      </c>
      <c r="Q171">
        <f ca="1"/>
        <v>2.9767720478281223</v>
      </c>
      <c r="R171">
        <f ca="1"/>
        <v>0</v>
      </c>
      <c r="S171">
        <f ca="1"/>
        <v>0.98318306200894112</v>
      </c>
      <c r="T171">
        <f ca="1"/>
        <v>0</v>
      </c>
      <c r="U171">
        <f ca="1"/>
        <v>0</v>
      </c>
      <c r="V171">
        <f ca="1"/>
        <v>1.3522043909604828E-2</v>
      </c>
      <c r="X171" s="2">
        <f t="shared" ca="1" si="15"/>
        <v>45581</v>
      </c>
      <c r="Y171">
        <f t="shared" ca="1" si="16"/>
        <v>0</v>
      </c>
      <c r="AA171" s="63">
        <f t="shared" ca="1" si="18"/>
        <v>49.795066474918727</v>
      </c>
      <c r="AB171" s="63">
        <f t="shared" ca="1" si="19"/>
        <v>49.795066474918727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45582</v>
      </c>
      <c r="K172">
        <f ca="1"/>
        <v>50.885486975401861</v>
      </c>
      <c r="L172">
        <f ca="1"/>
        <v>0.14226655825607182</v>
      </c>
      <c r="M172">
        <f ca="1"/>
        <v>0.50878039953466114</v>
      </c>
      <c r="N172">
        <f ca="1"/>
        <v>0.86496966498575589</v>
      </c>
      <c r="O172">
        <f ca="1"/>
        <v>0</v>
      </c>
      <c r="P172">
        <f ca="1"/>
        <v>3.6297593005645092</v>
      </c>
      <c r="Q172">
        <f ca="1"/>
        <v>3.0982045912768195</v>
      </c>
      <c r="R172">
        <f ca="1"/>
        <v>0</v>
      </c>
      <c r="S172">
        <f ca="1"/>
        <v>0.99589219884888691</v>
      </c>
      <c r="T172">
        <f ca="1"/>
        <v>0</v>
      </c>
      <c r="U172">
        <f ca="1"/>
        <v>0</v>
      </c>
      <c r="V172">
        <f ca="1"/>
        <v>1.5234740589182087E-2</v>
      </c>
      <c r="X172" s="2">
        <f t="shared" ca="1" si="15"/>
        <v>45582</v>
      </c>
      <c r="Y172">
        <f t="shared" ca="1" si="16"/>
        <v>0</v>
      </c>
      <c r="AA172" s="63">
        <f t="shared" ca="1" si="18"/>
        <v>51.027753533657936</v>
      </c>
      <c r="AB172" s="63">
        <f t="shared" ca="1" si="19"/>
        <v>51.027753533657929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45583</v>
      </c>
      <c r="K173">
        <f ca="1"/>
        <v>52.060112535704292</v>
      </c>
      <c r="L173">
        <f ca="1"/>
        <v>0.13652597462160898</v>
      </c>
      <c r="M173">
        <f ca="1"/>
        <v>0.49104581669442737</v>
      </c>
      <c r="N173">
        <f ca="1"/>
        <v>0.82010571822960532</v>
      </c>
      <c r="O173">
        <f ca="1"/>
        <v>0</v>
      </c>
      <c r="P173">
        <f ca="1"/>
        <v>3.7662852751861182</v>
      </c>
      <c r="Q173">
        <f ca="1"/>
        <v>3.2147372223345947</v>
      </c>
      <c r="R173">
        <f ca="1"/>
        <v>0</v>
      </c>
      <c r="S173">
        <f ca="1"/>
        <v>0.9686758721182237</v>
      </c>
      <c r="T173">
        <f ca="1"/>
        <v>0</v>
      </c>
      <c r="U173">
        <f ca="1"/>
        <v>0</v>
      </c>
      <c r="V173">
        <f ca="1"/>
        <v>1.7005725712784185E-2</v>
      </c>
      <c r="X173" s="2">
        <f t="shared" ca="1" si="15"/>
        <v>45583</v>
      </c>
      <c r="Y173">
        <f t="shared" ca="1" si="16"/>
        <v>0</v>
      </c>
      <c r="AA173" s="63">
        <f t="shared" ca="1" si="18"/>
        <v>52.19663851032589</v>
      </c>
      <c r="AB173" s="63">
        <f t="shared" ca="1" si="19"/>
        <v>52.196638510325897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45584</v>
      </c>
      <c r="K174">
        <f ca="1"/>
        <v>53.263756458232436</v>
      </c>
      <c r="L174">
        <f ca="1"/>
        <v>0.15211438980146097</v>
      </c>
      <c r="M174">
        <f ca="1"/>
        <v>0.51061999840243288</v>
      </c>
      <c r="N174">
        <f ca="1"/>
        <v>0.84513831392717065</v>
      </c>
      <c r="O174">
        <f ca="1"/>
        <v>0</v>
      </c>
      <c r="P174">
        <f ca="1"/>
        <v>3.9183996649875792</v>
      </c>
      <c r="Q174">
        <f ca="1"/>
        <v>3.3445754462655488</v>
      </c>
      <c r="R174">
        <f ca="1"/>
        <v>0</v>
      </c>
      <c r="S174">
        <f ca="1"/>
        <v>0.94698405218659687</v>
      </c>
      <c r="T174">
        <f ca="1"/>
        <v>0</v>
      </c>
      <c r="U174">
        <f ca="1"/>
        <v>0</v>
      </c>
      <c r="V174">
        <f ca="1"/>
        <v>1.9130553750369851E-2</v>
      </c>
      <c r="X174" s="2">
        <f t="shared" ca="1" si="15"/>
        <v>45584</v>
      </c>
      <c r="Y174">
        <f t="shared" ca="1" si="16"/>
        <v>0</v>
      </c>
      <c r="AA174" s="63">
        <f t="shared" ca="1" si="18"/>
        <v>53.415870848033897</v>
      </c>
      <c r="AB174" s="63">
        <f t="shared" ca="1" si="19"/>
        <v>53.415870848033897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45585</v>
      </c>
      <c r="K175">
        <f ca="1"/>
        <v>54.421070200998003</v>
      </c>
      <c r="L175">
        <f ca="1"/>
        <v>0.15441265332807985</v>
      </c>
      <c r="M175">
        <f ca="1"/>
        <v>0.50475744979487658</v>
      </c>
      <c r="N175">
        <f ca="1"/>
        <v>0.8069689462987707</v>
      </c>
      <c r="O175">
        <f ca="1"/>
        <v>0</v>
      </c>
      <c r="P175">
        <f ca="1"/>
        <v>4.072812318315659</v>
      </c>
      <c r="Q175">
        <f ca="1"/>
        <v>3.4763753679347049</v>
      </c>
      <c r="R175">
        <f ca="1"/>
        <v>0</v>
      </c>
      <c r="S175">
        <f ca="1"/>
        <v>0.92305364107958943</v>
      </c>
      <c r="T175">
        <f ca="1"/>
        <v>0</v>
      </c>
      <c r="U175">
        <f ca="1"/>
        <v>0</v>
      </c>
      <c r="V175">
        <f ca="1"/>
        <v>2.1455905874155731E-2</v>
      </c>
      <c r="X175" s="2">
        <f t="shared" ca="1" si="15"/>
        <v>45585</v>
      </c>
      <c r="Y175">
        <f t="shared" ca="1" si="16"/>
        <v>0</v>
      </c>
      <c r="AA175" s="63">
        <f t="shared" ca="1" si="18"/>
        <v>54.57548285432609</v>
      </c>
      <c r="AB175" s="63">
        <f t="shared" ca="1" si="19"/>
        <v>54.575482854326083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45586</v>
      </c>
      <c r="K176">
        <f ca="1"/>
        <v>55.634606747627984</v>
      </c>
      <c r="L176">
        <f ca="1"/>
        <v>0.17005132806210455</v>
      </c>
      <c r="M176">
        <f ca="1"/>
        <v>0.51983001134465923</v>
      </c>
      <c r="N176">
        <f ca="1"/>
        <v>0.86375786334742333</v>
      </c>
      <c r="O176">
        <f ca="1"/>
        <v>0</v>
      </c>
      <c r="P176">
        <f ca="1"/>
        <v>4.2428636463777636</v>
      </c>
      <c r="Q176">
        <f ca="1"/>
        <v>3.6215237818454549</v>
      </c>
      <c r="R176">
        <f ca="1"/>
        <v>0</v>
      </c>
      <c r="S176">
        <f ca="1"/>
        <v>0.94586801912802021</v>
      </c>
      <c r="T176">
        <f ca="1"/>
        <v>0</v>
      </c>
      <c r="U176">
        <f ca="1"/>
        <v>0</v>
      </c>
      <c r="V176">
        <f ca="1"/>
        <v>2.4218995422875027E-2</v>
      </c>
      <c r="X176" s="2">
        <f t="shared" ca="1" si="15"/>
        <v>45586</v>
      </c>
      <c r="Y176">
        <f t="shared" ca="1" si="16"/>
        <v>0</v>
      </c>
      <c r="AA176" s="63">
        <f t="shared" ca="1" si="18"/>
        <v>55.804658075690085</v>
      </c>
      <c r="AB176" s="63">
        <f t="shared" ca="1" si="19"/>
        <v>55.804658075690085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45587</v>
      </c>
      <c r="K177">
        <f ca="1"/>
        <v>56.782074440100963</v>
      </c>
      <c r="L177">
        <f ca="1"/>
        <v>0.1611539133868547</v>
      </c>
      <c r="M177">
        <f ca="1"/>
        <v>0.49379087177371872</v>
      </c>
      <c r="N177">
        <f ca="1"/>
        <v>0.8148307340861175</v>
      </c>
      <c r="O177">
        <f ca="1"/>
        <v>0</v>
      </c>
      <c r="P177">
        <f ca="1"/>
        <v>4.4040175597646183</v>
      </c>
      <c r="Q177">
        <f ca="1"/>
        <v>3.7590777497572478</v>
      </c>
      <c r="R177">
        <f ca="1"/>
        <v>0</v>
      </c>
      <c r="S177">
        <f ca="1"/>
        <v>0.94953842276044698</v>
      </c>
      <c r="T177">
        <f ca="1"/>
        <v>0</v>
      </c>
      <c r="U177">
        <f ca="1"/>
        <v>0</v>
      </c>
      <c r="V177">
        <f ca="1"/>
        <v>2.7038608381970697E-2</v>
      </c>
      <c r="X177" s="2">
        <f t="shared" ca="1" si="15"/>
        <v>45587</v>
      </c>
      <c r="Y177">
        <f t="shared" ca="1" si="16"/>
        <v>0</v>
      </c>
      <c r="AA177" s="63">
        <f t="shared" ca="1" si="18"/>
        <v>56.943228353487818</v>
      </c>
      <c r="AB177" s="63">
        <f t="shared" ca="1" si="19"/>
        <v>56.943228353487818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45588</v>
      </c>
      <c r="K178">
        <f ca="1"/>
        <v>57.896122957753306</v>
      </c>
      <c r="L178">
        <f ca="1"/>
        <v>0.16814860571573931</v>
      </c>
      <c r="M178">
        <f ca="1"/>
        <v>0.4929814106872108</v>
      </c>
      <c r="N178">
        <f ca="1"/>
        <v>0.78921571268086876</v>
      </c>
      <c r="O178">
        <f ca="1"/>
        <v>0</v>
      </c>
      <c r="P178">
        <f ca="1"/>
        <v>4.5721661654803576</v>
      </c>
      <c r="Q178">
        <f ca="1"/>
        <v>3.9026020826694268</v>
      </c>
      <c r="R178">
        <f ca="1"/>
        <v>0</v>
      </c>
      <c r="S178">
        <f ca="1"/>
        <v>0.92119591303667703</v>
      </c>
      <c r="T178">
        <f ca="1"/>
        <v>0</v>
      </c>
      <c r="U178">
        <f ca="1"/>
        <v>0</v>
      </c>
      <c r="V178">
        <f ca="1"/>
        <v>3.0194638515424334E-2</v>
      </c>
      <c r="X178" s="2">
        <f t="shared" ca="1" si="15"/>
        <v>45588</v>
      </c>
      <c r="Y178">
        <f t="shared" ca="1" si="16"/>
        <v>0</v>
      </c>
      <c r="AA178" s="63">
        <f t="shared" ca="1" si="18"/>
        <v>58.064271563469049</v>
      </c>
      <c r="AB178" s="63">
        <f t="shared" ca="1" si="19"/>
        <v>58.064271563469049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45589</v>
      </c>
      <c r="K179">
        <f ca="1"/>
        <v>59.028097233008729</v>
      </c>
      <c r="L179">
        <f ca="1"/>
        <v>0.1889404247099149</v>
      </c>
      <c r="M179">
        <f ca="1"/>
        <v>0.51047639677619827</v>
      </c>
      <c r="N179">
        <f ca="1"/>
        <v>0.81043830318913856</v>
      </c>
      <c r="O179">
        <f ca="1"/>
        <v>0</v>
      </c>
      <c r="P179">
        <f ca="1"/>
        <v>4.7611065901902725</v>
      </c>
      <c r="Q179">
        <f ca="1"/>
        <v>4.0638734075264251</v>
      </c>
      <c r="R179">
        <f ca="1"/>
        <v>0</v>
      </c>
      <c r="S179">
        <f ca="1"/>
        <v>0.90023957446874658</v>
      </c>
      <c r="T179">
        <f ca="1"/>
        <v>0</v>
      </c>
      <c r="U179">
        <f ca="1"/>
        <v>0</v>
      </c>
      <c r="V179">
        <f ca="1"/>
        <v>3.4007982410498988E-2</v>
      </c>
      <c r="X179" s="2">
        <f t="shared" ca="1" si="15"/>
        <v>45589</v>
      </c>
      <c r="Y179">
        <f t="shared" ca="1" si="16"/>
        <v>0</v>
      </c>
      <c r="AA179" s="63">
        <f t="shared" ca="1" si="18"/>
        <v>59.217037657718642</v>
      </c>
      <c r="AB179" s="63">
        <f t="shared" ca="1" si="19"/>
        <v>59.217037657718642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45590</v>
      </c>
      <c r="K180">
        <f ca="1"/>
        <v>60.239782461155514</v>
      </c>
      <c r="L180">
        <f ca="1"/>
        <v>0.21993296071659518</v>
      </c>
      <c r="M180">
        <f ca="1"/>
        <v>0.53945153470780838</v>
      </c>
      <c r="N180">
        <f ca="1"/>
        <v>0.89216665415557683</v>
      </c>
      <c r="O180">
        <f ca="1"/>
        <v>0</v>
      </c>
      <c r="P180">
        <f ca="1"/>
        <v>4.9810395509068677</v>
      </c>
      <c r="Q180">
        <f ca="1"/>
        <v>4.2515986124895448</v>
      </c>
      <c r="R180">
        <f ca="1"/>
        <v>0</v>
      </c>
      <c r="S180">
        <f ca="1"/>
        <v>0.91312415214287213</v>
      </c>
      <c r="T180">
        <f ca="1"/>
        <v>0</v>
      </c>
      <c r="U180">
        <f ca="1"/>
        <v>0</v>
      </c>
      <c r="V180">
        <f ca="1"/>
        <v>3.8811121680470934E-2</v>
      </c>
      <c r="X180" s="2">
        <f t="shared" ca="1" si="15"/>
        <v>45590</v>
      </c>
      <c r="Y180">
        <f t="shared" ca="1" si="16"/>
        <v>0</v>
      </c>
      <c r="AA180" s="63">
        <f t="shared" ca="1" si="18"/>
        <v>60.459715421872112</v>
      </c>
      <c r="AB180" s="63">
        <f t="shared" ca="1" si="19"/>
        <v>60.459715421872112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45591</v>
      </c>
      <c r="K181">
        <f ca="1"/>
        <v>61.489738202726478</v>
      </c>
      <c r="L181">
        <f ca="1"/>
        <v>0.23344891713425486</v>
      </c>
      <c r="M181">
        <f ca="1"/>
        <v>0.53909998077559607</v>
      </c>
      <c r="N181">
        <f ca="1"/>
        <v>0.94430467792961992</v>
      </c>
      <c r="O181">
        <f ca="1"/>
        <v>0</v>
      </c>
      <c r="P181">
        <f ca="1"/>
        <v>5.2144884680411225</v>
      </c>
      <c r="Q181">
        <f ca="1"/>
        <v>4.450860449708741</v>
      </c>
      <c r="R181">
        <f ca="1"/>
        <v>0</v>
      </c>
      <c r="S181">
        <f ca="1"/>
        <v>0.94940540758780401</v>
      </c>
      <c r="T181">
        <f ca="1"/>
        <v>0</v>
      </c>
      <c r="U181">
        <f ca="1"/>
        <v>0</v>
      </c>
      <c r="V181">
        <f ca="1"/>
        <v>4.4347599723322986E-2</v>
      </c>
      <c r="X181" s="2">
        <f t="shared" ca="1" si="15"/>
        <v>45591</v>
      </c>
      <c r="Y181">
        <f t="shared" ca="1" si="16"/>
        <v>0</v>
      </c>
      <c r="AA181" s="63">
        <f t="shared" ca="1" si="18"/>
        <v>61.723187119860732</v>
      </c>
      <c r="AB181" s="63">
        <f t="shared" ca="1" si="19"/>
        <v>61.723187119860732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45592</v>
      </c>
      <c r="K182">
        <f ca="1"/>
        <v>62.694136754018949</v>
      </c>
      <c r="L182">
        <f ca="1"/>
        <v>0.23106733787862765</v>
      </c>
      <c r="M182">
        <f ca="1"/>
        <v>0.5161389438936439</v>
      </c>
      <c r="N182">
        <f ca="1"/>
        <v>0.91932694527745284</v>
      </c>
      <c r="O182">
        <f ca="1"/>
        <v>0</v>
      </c>
      <c r="P182">
        <f ca="1"/>
        <v>5.4455558059197502</v>
      </c>
      <c r="Q182">
        <f ca="1"/>
        <v>4.6480894745089083</v>
      </c>
      <c r="R182">
        <f ca="1"/>
        <v>0</v>
      </c>
      <c r="S182">
        <f ca="1"/>
        <v>0.99540498386492315</v>
      </c>
      <c r="T182">
        <f ca="1"/>
        <v>0</v>
      </c>
      <c r="U182">
        <f ca="1"/>
        <v>0</v>
      </c>
      <c r="V182">
        <f ca="1"/>
        <v>5.0280255469813712E-2</v>
      </c>
      <c r="X182" s="2">
        <f t="shared" ca="1" si="15"/>
        <v>45592</v>
      </c>
      <c r="Y182">
        <f t="shared" ca="1" si="16"/>
        <v>0</v>
      </c>
      <c r="AA182" s="63">
        <f t="shared" ca="1" si="18"/>
        <v>62.925204091897577</v>
      </c>
      <c r="AB182" s="63">
        <f t="shared" ca="1" si="19"/>
        <v>62.925204091897577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45593</v>
      </c>
      <c r="K183">
        <f ca="1"/>
        <v>63.730363939651014</v>
      </c>
      <c r="L183">
        <f ca="1"/>
        <v>0.25667255653077969</v>
      </c>
      <c r="M183">
        <f ca="1"/>
        <v>0.5289237175425896</v>
      </c>
      <c r="N183">
        <f ca="1"/>
        <v>0.96247131492161553</v>
      </c>
      <c r="O183">
        <f ca="1"/>
        <v>0</v>
      </c>
      <c r="P183">
        <f ca="1"/>
        <v>5.7022283624505299</v>
      </c>
      <c r="Q183">
        <f ca="1"/>
        <v>4.8671739997485695</v>
      </c>
      <c r="R183">
        <f ca="1"/>
        <v>0.19849529030136157</v>
      </c>
      <c r="S183">
        <f ca="1"/>
        <v>1</v>
      </c>
      <c r="T183">
        <f ca="1"/>
        <v>0.56554778040559484</v>
      </c>
      <c r="U183">
        <f ca="1"/>
        <v>0</v>
      </c>
      <c r="V183">
        <f ca="1"/>
        <v>5.7405930679849171E-2</v>
      </c>
      <c r="X183" s="2">
        <f t="shared" ca="1" si="15"/>
        <v>45593</v>
      </c>
      <c r="Y183">
        <f t="shared" ca="1" si="16"/>
        <v>0</v>
      </c>
      <c r="AA183" s="63">
        <f t="shared" ca="1" si="18"/>
        <v>64.185531786483153</v>
      </c>
      <c r="AB183" s="63">
        <f t="shared" ca="1" si="19"/>
        <v>64.185531786483153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45594</v>
      </c>
      <c r="K184">
        <f ca="1"/>
        <v>64.867694923250312</v>
      </c>
      <c r="L184">
        <f ca="1"/>
        <v>0.24075481489772521</v>
      </c>
      <c r="M184">
        <f ca="1"/>
        <v>0.49004023296273402</v>
      </c>
      <c r="N184">
        <f ca="1"/>
        <v>0.88804556553429637</v>
      </c>
      <c r="O184">
        <f ca="1"/>
        <v>0</v>
      </c>
      <c r="P184">
        <f ca="1"/>
        <v>5.9429831773482551</v>
      </c>
      <c r="Q184">
        <f ca="1"/>
        <v>5.0726718333851206</v>
      </c>
      <c r="R184">
        <f ca="1"/>
        <v>0</v>
      </c>
      <c r="S184">
        <f ca="1"/>
        <v>0.95956521739130451</v>
      </c>
      <c r="T184">
        <f ca="1"/>
        <v>0</v>
      </c>
      <c r="U184">
        <f ca="1"/>
        <v>0</v>
      </c>
      <c r="V184">
        <f ca="1"/>
        <v>6.4606804955682273E-2</v>
      </c>
      <c r="X184" s="2">
        <f t="shared" ca="1" si="15"/>
        <v>45594</v>
      </c>
      <c r="Y184">
        <f t="shared" ca="1" si="16"/>
        <v>0</v>
      </c>
      <c r="AA184" s="63">
        <f t="shared" ca="1" si="18"/>
        <v>65.108449738148039</v>
      </c>
      <c r="AB184" s="63">
        <f t="shared" ca="1" si="19"/>
        <v>65.108449738148039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45595</v>
      </c>
      <c r="K185">
        <f ca="1"/>
        <v>65.955491492909502</v>
      </c>
      <c r="L185">
        <f ca="1"/>
        <v>0.23711029825573782</v>
      </c>
      <c r="M185">
        <f ca="1"/>
        <v>0.46918236724744489</v>
      </c>
      <c r="N185">
        <f ca="1"/>
        <v>0.85572450066749473</v>
      </c>
      <c r="O185">
        <f ca="1"/>
        <v>0</v>
      </c>
      <c r="P185">
        <f ca="1"/>
        <v>6.1800934756039929</v>
      </c>
      <c r="Q185">
        <f ca="1"/>
        <v>5.275058866205919</v>
      </c>
      <c r="R185">
        <f ca="1"/>
        <v>0</v>
      </c>
      <c r="S185">
        <f ca="1"/>
        <v>0.96549710514017351</v>
      </c>
      <c r="T185">
        <f ca="1"/>
        <v>0</v>
      </c>
      <c r="U185">
        <f ca="1"/>
        <v>0</v>
      </c>
      <c r="V185">
        <f ca="1"/>
        <v>7.2189809476224984E-2</v>
      </c>
      <c r="X185" s="2">
        <f t="shared" ca="1" si="15"/>
        <v>45595</v>
      </c>
      <c r="Y185">
        <f t="shared" ca="1" si="16"/>
        <v>0</v>
      </c>
      <c r="AA185" s="63">
        <f t="shared" ca="1" si="18"/>
        <v>66.192601791165245</v>
      </c>
      <c r="AB185" s="63">
        <f t="shared" ca="1" si="19"/>
        <v>66.192601791165245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45596</v>
      </c>
      <c r="K186">
        <f ca="1"/>
        <v>67.016744682886483</v>
      </c>
      <c r="L186">
        <f ca="1"/>
        <v>0.24180722216501582</v>
      </c>
      <c r="M186">
        <f ca="1"/>
        <v>0.45804420350181019</v>
      </c>
      <c r="N186">
        <f ca="1"/>
        <v>0.84501620864018312</v>
      </c>
      <c r="O186">
        <f ca="1"/>
        <v>0</v>
      </c>
      <c r="P186">
        <f ca="1"/>
        <v>6.4219006977690087</v>
      </c>
      <c r="Q186">
        <f ca="1"/>
        <v>5.481454988890702</v>
      </c>
      <c r="R186">
        <f ca="1"/>
        <v>0</v>
      </c>
      <c r="S186">
        <f ca="1"/>
        <v>0.96083561076784152</v>
      </c>
      <c r="T186">
        <f ca="1"/>
        <v>0</v>
      </c>
      <c r="U186">
        <f ca="1"/>
        <v>0</v>
      </c>
      <c r="V186">
        <f ca="1"/>
        <v>8.0424161053573084E-2</v>
      </c>
      <c r="X186" s="2">
        <f t="shared" ca="1" si="15"/>
        <v>45596</v>
      </c>
      <c r="Y186">
        <f t="shared" ca="1" si="16"/>
        <v>0</v>
      </c>
      <c r="AA186" s="63">
        <f t="shared" ca="1" si="18"/>
        <v>67.258551905051505</v>
      </c>
      <c r="AB186" s="63">
        <f t="shared" ca="1" si="19"/>
        <v>67.258551905051505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45597</v>
      </c>
      <c r="K187">
        <f ca="1"/>
        <v>68.097389521173014</v>
      </c>
      <c r="L187">
        <f ca="1"/>
        <v>0.27956535232837343</v>
      </c>
      <c r="M187">
        <f ca="1"/>
        <v>0.47768637704135131</v>
      </c>
      <c r="N187">
        <f ca="1"/>
        <v>0.88252381357355525</v>
      </c>
      <c r="O187">
        <f ca="1"/>
        <v>0</v>
      </c>
      <c r="P187">
        <f ca="1"/>
        <v>6.7014660500973822</v>
      </c>
      <c r="Q187">
        <f ca="1"/>
        <v>5.7200798084513229</v>
      </c>
      <c r="R187">
        <f ca="1"/>
        <v>0</v>
      </c>
      <c r="S187">
        <f ca="1"/>
        <v>0.93626547191841714</v>
      </c>
      <c r="T187">
        <f ca="1"/>
        <v>0</v>
      </c>
      <c r="U187">
        <f ca="1"/>
        <v>0</v>
      </c>
      <c r="V187">
        <f ca="1"/>
        <v>9.057019958509481E-2</v>
      </c>
      <c r="X187" s="2">
        <f t="shared" ca="1" si="15"/>
        <v>45597</v>
      </c>
      <c r="Y187">
        <f t="shared" ca="1" si="16"/>
        <v>0</v>
      </c>
      <c r="AA187" s="63">
        <f t="shared" ca="1" si="18"/>
        <v>68.37695487350139</v>
      </c>
      <c r="AB187" s="63">
        <f t="shared" ca="1" si="19"/>
        <v>68.37695487350139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45598</v>
      </c>
      <c r="K188">
        <f ca="1"/>
        <v>69.267998460053064</v>
      </c>
      <c r="L188">
        <f ca="1"/>
        <v>0.32887691746422743</v>
      </c>
      <c r="M188">
        <f ca="1"/>
        <v>0.50449076644389379</v>
      </c>
      <c r="N188">
        <f ca="1"/>
        <v>0.99499508990038266</v>
      </c>
      <c r="O188">
        <f ca="1"/>
        <v>0</v>
      </c>
      <c r="P188">
        <f ca="1"/>
        <v>7.0303429675616096</v>
      </c>
      <c r="Q188">
        <f ca="1"/>
        <v>6.0007948342366886</v>
      </c>
      <c r="R188">
        <f ca="1"/>
        <v>0</v>
      </c>
      <c r="S188">
        <f ca="1"/>
        <v>0.97481223121011396</v>
      </c>
      <c r="T188">
        <f ca="1"/>
        <v>0</v>
      </c>
      <c r="U188">
        <f ca="1"/>
        <v>0</v>
      </c>
      <c r="V188">
        <f ca="1"/>
        <v>0.10335136621281954</v>
      </c>
      <c r="X188" s="2">
        <f t="shared" ca="1" si="15"/>
        <v>45598</v>
      </c>
      <c r="Y188">
        <f t="shared" ca="1" si="16"/>
        <v>0</v>
      </c>
      <c r="AA188" s="63">
        <f t="shared" ca="1" si="18"/>
        <v>69.596875377517293</v>
      </c>
      <c r="AB188" s="63">
        <f t="shared" ca="1" si="19"/>
        <v>69.596875377517293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45599</v>
      </c>
      <c r="K189">
        <f ca="1"/>
        <v>70.376134893605638</v>
      </c>
      <c r="L189">
        <f ca="1"/>
        <v>0.32700513232036155</v>
      </c>
      <c r="M189">
        <f ca="1"/>
        <v>0.4792603666688251</v>
      </c>
      <c r="N189">
        <f ca="1"/>
        <v>0.95588119920410863</v>
      </c>
      <c r="O189">
        <f ca="1"/>
        <v>0</v>
      </c>
      <c r="P189">
        <f ca="1"/>
        <v>7.3573480998819711</v>
      </c>
      <c r="Q189">
        <f ca="1"/>
        <v>6.2799121856733136</v>
      </c>
      <c r="R189">
        <f ca="1"/>
        <v>0</v>
      </c>
      <c r="S189">
        <f ca="1"/>
        <v>0.9630867790577714</v>
      </c>
      <c r="T189">
        <f ca="1"/>
        <v>0</v>
      </c>
      <c r="U189">
        <f ca="1"/>
        <v>0</v>
      </c>
      <c r="V189">
        <f ca="1"/>
        <v>0.11694189737639614</v>
      </c>
      <c r="X189" s="2">
        <f t="shared" ca="1" si="15"/>
        <v>45599</v>
      </c>
      <c r="Y189">
        <f t="shared" ca="1" si="16"/>
        <v>0</v>
      </c>
      <c r="AA189" s="63">
        <f t="shared" ca="1" si="18"/>
        <v>70.703140025926004</v>
      </c>
      <c r="AB189" s="63">
        <f t="shared" ca="1" si="19"/>
        <v>70.703140025926004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45600</v>
      </c>
      <c r="K190">
        <f ca="1"/>
        <v>71.386785228582923</v>
      </c>
      <c r="L190">
        <f ca="1"/>
        <v>0.3199100115185276</v>
      </c>
      <c r="M190">
        <f ca="1"/>
        <v>0.45239129565157299</v>
      </c>
      <c r="N190">
        <f ca="1"/>
        <v>0.87816905084424735</v>
      </c>
      <c r="O190">
        <f ca="1"/>
        <v>0</v>
      </c>
      <c r="P190">
        <f ca="1"/>
        <v>7.6772581114004987</v>
      </c>
      <c r="Q190">
        <f ca="1"/>
        <v>6.5529734507351538</v>
      </c>
      <c r="R190">
        <f ca="1"/>
        <v>0</v>
      </c>
      <c r="S190">
        <f ca="1"/>
        <v>0.93162848200963677</v>
      </c>
      <c r="T190">
        <f ca="1"/>
        <v>0</v>
      </c>
      <c r="U190">
        <f ca="1"/>
        <v>0</v>
      </c>
      <c r="V190">
        <f ca="1"/>
        <v>0.13105620543155114</v>
      </c>
      <c r="X190" s="2">
        <f t="shared" ca="1" si="15"/>
        <v>45600</v>
      </c>
      <c r="Y190">
        <f t="shared" ca="1" si="16"/>
        <v>0</v>
      </c>
      <c r="AA190" s="63">
        <f t="shared" ca="1" si="18"/>
        <v>71.706695240101467</v>
      </c>
      <c r="AB190" s="63">
        <f t="shared" ca="1" si="19"/>
        <v>71.706695240101453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45601</v>
      </c>
      <c r="K191">
        <f ca="1"/>
        <v>72.32315513090505</v>
      </c>
      <c r="L191">
        <f ca="1"/>
        <v>0.32658952760496529</v>
      </c>
      <c r="M191">
        <f ca="1"/>
        <v>0.43862280866262537</v>
      </c>
      <c r="N191">
        <f ca="1"/>
        <v>0.82433662126446172</v>
      </c>
      <c r="O191">
        <f ca="1"/>
        <v>0</v>
      </c>
      <c r="P191">
        <f ca="1"/>
        <v>8.003847639005464</v>
      </c>
      <c r="Q191">
        <f ca="1"/>
        <v>6.8317360600716084</v>
      </c>
      <c r="R191">
        <f ca="1"/>
        <v>0</v>
      </c>
      <c r="S191">
        <f ca="1"/>
        <v>0.89340567262305004</v>
      </c>
      <c r="T191">
        <f ca="1"/>
        <v>0</v>
      </c>
      <c r="U191">
        <f ca="1"/>
        <v>0</v>
      </c>
      <c r="V191">
        <f ca="1"/>
        <v>0.14625909989320854</v>
      </c>
      <c r="X191" s="2">
        <f t="shared" ca="1" si="15"/>
        <v>45601</v>
      </c>
      <c r="Y191">
        <f t="shared" ca="1" si="16"/>
        <v>0</v>
      </c>
      <c r="AA191" s="63">
        <f t="shared" ca="1" si="18"/>
        <v>72.649744658510016</v>
      </c>
      <c r="AB191" s="63">
        <f t="shared" ca="1" si="19"/>
        <v>72.649744658510016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45602</v>
      </c>
      <c r="K192">
        <f ca="1"/>
        <v>73.241690254624302</v>
      </c>
      <c r="L192">
        <f ca="1"/>
        <v>0.35170524293828365</v>
      </c>
      <c r="M192">
        <f ca="1"/>
        <v>0.43811981557634638</v>
      </c>
      <c r="N192">
        <f ca="1"/>
        <v>0.83212055108119265</v>
      </c>
      <c r="O192">
        <f ca="1"/>
        <v>0</v>
      </c>
      <c r="P192">
        <f ca="1"/>
        <v>8.3555528819437477</v>
      </c>
      <c r="Q192">
        <f ca="1"/>
        <v>7.131936351115165</v>
      </c>
      <c r="R192">
        <f ca="1"/>
        <v>0</v>
      </c>
      <c r="S192">
        <f ca="1"/>
        <v>0.88218611311322426</v>
      </c>
      <c r="T192">
        <f ca="1"/>
        <v>0</v>
      </c>
      <c r="U192">
        <f ca="1"/>
        <v>0</v>
      </c>
      <c r="V192">
        <f ca="1"/>
        <v>0.16347132890573529</v>
      </c>
      <c r="X192" s="2">
        <f t="shared" ca="1" si="15"/>
        <v>45602</v>
      </c>
      <c r="Y192">
        <f t="shared" ca="1" si="16"/>
        <v>0</v>
      </c>
      <c r="AA192" s="63">
        <f t="shared" ca="1" si="18"/>
        <v>73.593395497562582</v>
      </c>
      <c r="AB192" s="63">
        <f t="shared" ca="1" si="19"/>
        <v>73.593395497562582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45603</v>
      </c>
      <c r="K193">
        <f ca="1"/>
        <v>74.163730435108548</v>
      </c>
      <c r="L193">
        <f ca="1"/>
        <v>0.3868684209947908</v>
      </c>
      <c r="M193">
        <f ca="1"/>
        <v>0.44259741333227964</v>
      </c>
      <c r="N193">
        <f ca="1"/>
        <v>0.86631118814675434</v>
      </c>
      <c r="O193">
        <f ca="1"/>
        <v>0</v>
      </c>
      <c r="P193">
        <f ca="1"/>
        <v>8.7424213029385385</v>
      </c>
      <c r="Q193">
        <f ca="1"/>
        <v>7.4621504008345685</v>
      </c>
      <c r="R193">
        <f ca="1"/>
        <v>0</v>
      </c>
      <c r="S193">
        <f ca="1"/>
        <v>0.88317549871557122</v>
      </c>
      <c r="T193">
        <f ca="1"/>
        <v>0</v>
      </c>
      <c r="U193">
        <f ca="1"/>
        <v>0</v>
      </c>
      <c r="V193">
        <f ca="1"/>
        <v>0.18332753890099351</v>
      </c>
      <c r="X193" s="2">
        <f t="shared" ca="1" si="15"/>
        <v>45603</v>
      </c>
      <c r="Y193">
        <f t="shared" ca="1" si="16"/>
        <v>0</v>
      </c>
      <c r="AA193" s="63">
        <f t="shared" ca="1" si="18"/>
        <v>74.550598856103335</v>
      </c>
      <c r="AB193" s="63">
        <f t="shared" ca="1" si="19"/>
        <v>74.550598856103335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45604</v>
      </c>
      <c r="K194">
        <f ca="1"/>
        <v>75.079299029034871</v>
      </c>
      <c r="L194">
        <f ca="1"/>
        <v>0.4178996951090781</v>
      </c>
      <c r="M194">
        <f ca="1"/>
        <v>0.44166062395862582</v>
      </c>
      <c r="N194">
        <f ca="1"/>
        <v>0.8918076650767689</v>
      </c>
      <c r="O194">
        <f ca="1"/>
        <v>0</v>
      </c>
      <c r="P194">
        <f ca="1"/>
        <v>9.1603209980476166</v>
      </c>
      <c r="Q194">
        <f ca="1"/>
        <v>7.8188513958230699</v>
      </c>
      <c r="R194">
        <f ca="1"/>
        <v>0</v>
      </c>
      <c r="S194">
        <f ca="1"/>
        <v>0.88645379014241921</v>
      </c>
      <c r="T194">
        <f ca="1"/>
        <v>0</v>
      </c>
      <c r="U194">
        <f ca="1"/>
        <v>0</v>
      </c>
      <c r="V194">
        <f ca="1"/>
        <v>0.20574437132006154</v>
      </c>
      <c r="X194" s="2">
        <f t="shared" ca="1" si="15"/>
        <v>45604</v>
      </c>
      <c r="Y194">
        <f t="shared" ca="1" si="16"/>
        <v>0</v>
      </c>
      <c r="AA194" s="63">
        <f t="shared" ca="1" si="18"/>
        <v>75.497198724143942</v>
      </c>
      <c r="AB194" s="63">
        <f t="shared" ca="1" si="19"/>
        <v>75.497198724143942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45605</v>
      </c>
      <c r="K195">
        <f ca="1"/>
        <v>75.932253529666042</v>
      </c>
      <c r="L195">
        <f ca="1"/>
        <v>0.41349462227461942</v>
      </c>
      <c r="M195">
        <f ca="1"/>
        <v>0.41733635502350808</v>
      </c>
      <c r="N195">
        <f ca="1"/>
        <v>0.84911276788228196</v>
      </c>
      <c r="O195">
        <f ca="1"/>
        <v>0</v>
      </c>
      <c r="P195">
        <f ca="1"/>
        <v>9.573815620322236</v>
      </c>
      <c r="Q195">
        <f ca="1"/>
        <v>8.1717924123252548</v>
      </c>
      <c r="R195">
        <f ca="1"/>
        <v>0</v>
      </c>
      <c r="S195">
        <f ca="1"/>
        <v>0.88098908236565887</v>
      </c>
      <c r="T195">
        <f ca="1"/>
        <v>0</v>
      </c>
      <c r="U195">
        <f ca="1"/>
        <v>0</v>
      </c>
      <c r="V195">
        <f ca="1"/>
        <v>0.22877557593583117</v>
      </c>
      <c r="X195" s="2">
        <f t="shared" ca="1" si="15"/>
        <v>45605</v>
      </c>
      <c r="Y195">
        <f t="shared" ca="1" si="16"/>
        <v>0</v>
      </c>
      <c r="AA195" s="63">
        <f t="shared" ca="1" si="18"/>
        <v>76.345748151940654</v>
      </c>
      <c r="AB195" s="63">
        <f t="shared" ca="1" si="19"/>
        <v>76.345748151940654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45606</v>
      </c>
      <c r="K196">
        <f ca="1"/>
        <v>76.790796116136534</v>
      </c>
      <c r="L196">
        <f ca="1"/>
        <v>0.44340293389971563</v>
      </c>
      <c r="M196">
        <f ca="1"/>
        <v>0.4143799074975334</v>
      </c>
      <c r="N196">
        <f ca="1"/>
        <v>0.8875656128726811</v>
      </c>
      <c r="O196">
        <f ca="1"/>
        <v>0</v>
      </c>
      <c r="P196">
        <f ca="1"/>
        <v>10.017218554221952</v>
      </c>
      <c r="Q196">
        <f ca="1"/>
        <v>8.5502618621810793</v>
      </c>
      <c r="R196">
        <f ca="1"/>
        <v>0</v>
      </c>
      <c r="S196">
        <f ca="1"/>
        <v>0.90020081133979679</v>
      </c>
      <c r="T196">
        <f ca="1"/>
        <v>0</v>
      </c>
      <c r="U196">
        <f ca="1"/>
        <v>0</v>
      </c>
      <c r="V196">
        <f ca="1"/>
        <v>0.25424296645648076</v>
      </c>
      <c r="X196" s="2">
        <f t="shared" ca="1" si="15"/>
        <v>45606</v>
      </c>
      <c r="Y196">
        <f t="shared" ca="1" si="16"/>
        <v>0</v>
      </c>
      <c r="AA196" s="63">
        <f t="shared" ca="1" si="18"/>
        <v>77.234199050036253</v>
      </c>
      <c r="AB196" s="63">
        <f t="shared" ca="1" si="19"/>
        <v>77.234199050036253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45607</v>
      </c>
      <c r="K197">
        <f ca="1"/>
        <v>77.584826670326692</v>
      </c>
      <c r="L197">
        <f ca="1"/>
        <v>0.41878922600480273</v>
      </c>
      <c r="M197">
        <f ca="1"/>
        <v>0.38201434111486776</v>
      </c>
      <c r="N197">
        <f ca="1"/>
        <v>0.83080543908009585</v>
      </c>
      <c r="O197">
        <f ca="1"/>
        <v>0</v>
      </c>
      <c r="P197">
        <f ca="1"/>
        <v>10.436007780226754</v>
      </c>
      <c r="Q197">
        <f ca="1"/>
        <v>8.9077221220345528</v>
      </c>
      <c r="R197">
        <f ca="1"/>
        <v>0</v>
      </c>
      <c r="S197">
        <f ca="1"/>
        <v>0.90582385921882769</v>
      </c>
      <c r="T197">
        <f ca="1"/>
        <v>0</v>
      </c>
      <c r="U197">
        <f ca="1"/>
        <v>0</v>
      </c>
      <c r="V197">
        <f ca="1"/>
        <v>0.27886224158777728</v>
      </c>
      <c r="X197" s="2">
        <f t="shared" ca="1" si="15"/>
        <v>45607</v>
      </c>
      <c r="Y197">
        <f t="shared" ca="1" si="16"/>
        <v>0</v>
      </c>
      <c r="AA197" s="63">
        <f t="shared" ca="1" si="18"/>
        <v>78.003615896331496</v>
      </c>
      <c r="AB197" s="63">
        <f t="shared" ca="1" si="19"/>
        <v>78.003615896331496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45608</v>
      </c>
      <c r="K198">
        <f ca="1"/>
        <v>78.304817080959552</v>
      </c>
      <c r="L198">
        <f ca="1"/>
        <v>0.40772980185216667</v>
      </c>
      <c r="M198">
        <f ca="1"/>
        <v>0.36054332768495811</v>
      </c>
      <c r="N198">
        <f ca="1"/>
        <v>0.7671768848000855</v>
      </c>
      <c r="O198">
        <f ca="1"/>
        <v>0</v>
      </c>
      <c r="P198">
        <f ca="1"/>
        <v>10.843737582078921</v>
      </c>
      <c r="Q198">
        <f ca="1"/>
        <v>9.255742538678243</v>
      </c>
      <c r="R198">
        <f ca="1"/>
        <v>0</v>
      </c>
      <c r="S198">
        <f ca="1"/>
        <v>0.87893375118099037</v>
      </c>
      <c r="T198">
        <f ca="1"/>
        <v>0</v>
      </c>
      <c r="U198">
        <f ca="1"/>
        <v>0</v>
      </c>
      <c r="V198">
        <f ca="1"/>
        <v>0.30320383730734163</v>
      </c>
      <c r="X198" s="2">
        <f t="shared" ca="1" si="15"/>
        <v>45608</v>
      </c>
      <c r="Y198">
        <f t="shared" ca="1" si="16"/>
        <v>0</v>
      </c>
      <c r="AA198" s="63">
        <f t="shared" ca="1" si="18"/>
        <v>78.712546882811722</v>
      </c>
      <c r="AB198" s="63">
        <f t="shared" ca="1" si="19"/>
        <v>78.712546882811722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45609</v>
      </c>
      <c r="K199">
        <f ca="1"/>
        <v>78.97832010963738</v>
      </c>
      <c r="L199">
        <f ca="1"/>
        <v>0.42549701901675796</v>
      </c>
      <c r="M199">
        <f ca="1"/>
        <v>0.35348582315111798</v>
      </c>
      <c r="N199">
        <f ca="1"/>
        <v>0.74551422454347049</v>
      </c>
      <c r="O199">
        <f ca="1"/>
        <v>0</v>
      </c>
      <c r="P199">
        <f ca="1"/>
        <v>11.269234601095679</v>
      </c>
      <c r="Q199">
        <f ca="1"/>
        <v>9.6189282787594905</v>
      </c>
      <c r="R199">
        <f ca="1"/>
        <v>0</v>
      </c>
      <c r="S199">
        <f ca="1"/>
        <v>0.85377546563446527</v>
      </c>
      <c r="T199">
        <f ca="1"/>
        <v>0</v>
      </c>
      <c r="U199">
        <f ca="1"/>
        <v>0</v>
      </c>
      <c r="V199">
        <f ca="1"/>
        <v>0.32883969316651179</v>
      </c>
      <c r="X199" s="2">
        <f t="shared" ca="1" si="15"/>
        <v>45609</v>
      </c>
      <c r="Y199">
        <f t="shared" ca="1" si="16"/>
        <v>0</v>
      </c>
      <c r="AA199" s="63">
        <f t="shared" ca="1" si="18"/>
        <v>79.40381712865414</v>
      </c>
      <c r="AB199" s="63">
        <f t="shared" ca="1" si="19"/>
        <v>79.40381712865414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45610</v>
      </c>
      <c r="K200">
        <f ca="1"/>
        <v>79.641858205688308</v>
      </c>
      <c r="L200">
        <f ca="1"/>
        <v>0.49339724189133882</v>
      </c>
      <c r="M200">
        <f ca="1"/>
        <v>0.36667112954143732</v>
      </c>
      <c r="N200">
        <f ca="1"/>
        <v>0.79026420840082157</v>
      </c>
      <c r="O200">
        <f ca="1"/>
        <v>0</v>
      </c>
      <c r="P200">
        <f ca="1"/>
        <v>11.762631842987018</v>
      </c>
      <c r="Q200">
        <f ca="1"/>
        <v>10.040070694432435</v>
      </c>
      <c r="R200">
        <f ca="1"/>
        <v>0</v>
      </c>
      <c r="S200">
        <f ca="1"/>
        <v>0.83925246977830648</v>
      </c>
      <c r="T200">
        <f ca="1"/>
        <v>0</v>
      </c>
      <c r="U200">
        <f ca="1"/>
        <v>0</v>
      </c>
      <c r="V200">
        <f ca="1"/>
        <v>0.35865940166418425</v>
      </c>
      <c r="X200" s="2">
        <f t="shared" ca="1" si="15"/>
        <v>45610</v>
      </c>
      <c r="Y200">
        <f t="shared" ca="1" si="16"/>
        <v>0</v>
      </c>
      <c r="AA200" s="63">
        <f t="shared" ca="1" si="18"/>
        <v>80.135255447579652</v>
      </c>
      <c r="AB200" s="63">
        <f t="shared" ca="1" si="19"/>
        <v>80.135255447579652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45611</v>
      </c>
      <c r="K201">
        <f ca="1"/>
        <v>80.356375289030865</v>
      </c>
      <c r="L201">
        <f ca="1"/>
        <v>0.59465690268491045</v>
      </c>
      <c r="M201">
        <f ca="1"/>
        <v>0.3906859412867405</v>
      </c>
      <c r="N201">
        <f ca="1"/>
        <v>0.91848804474072909</v>
      </c>
      <c r="O201">
        <f ca="1"/>
        <v>0</v>
      </c>
      <c r="P201">
        <f ca="1"/>
        <v>12.357288745671928</v>
      </c>
      <c r="Q201">
        <f ca="1"/>
        <v>10.547643950280642</v>
      </c>
      <c r="R201">
        <f ca="1"/>
        <v>0</v>
      </c>
      <c r="S201">
        <f ca="1"/>
        <v>0.87055683731194888</v>
      </c>
      <c r="T201">
        <f ca="1"/>
        <v>0</v>
      </c>
      <c r="U201">
        <f ca="1"/>
        <v>0</v>
      </c>
      <c r="V201">
        <f ca="1"/>
        <v>0.39441972305052225</v>
      </c>
      <c r="X201" s="2">
        <f t="shared" ca="1" si="15"/>
        <v>45611</v>
      </c>
      <c r="Y201">
        <f t="shared" ca="1" si="16"/>
        <v>0</v>
      </c>
      <c r="AA201" s="63">
        <f t="shared" ca="1" si="18"/>
        <v>80.951032191715782</v>
      </c>
      <c r="AB201" s="63">
        <f t="shared" ca="1" si="19"/>
        <v>80.951032191715768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45612</v>
      </c>
      <c r="K202">
        <f ca="1"/>
        <v>81.086048409435762</v>
      </c>
      <c r="L202">
        <f ca="1"/>
        <v>0.63685298176752703</v>
      </c>
      <c r="M202">
        <f ca="1"/>
        <v>0.38527962073634825</v>
      </c>
      <c r="N202">
        <f ca="1"/>
        <v>0.98124648143608284</v>
      </c>
      <c r="O202">
        <f ca="1"/>
        <v>0</v>
      </c>
      <c r="P202">
        <f ca="1"/>
        <v>12.994141727439455</v>
      </c>
      <c r="Q202">
        <f ca="1"/>
        <v>11.091233943086397</v>
      </c>
      <c r="R202">
        <f ca="1"/>
        <v>0</v>
      </c>
      <c r="S202">
        <f ca="1"/>
        <v>0.90940082898663943</v>
      </c>
      <c r="T202">
        <f ca="1"/>
        <v>0</v>
      </c>
      <c r="U202">
        <f ca="1"/>
        <v>0</v>
      </c>
      <c r="V202">
        <f ca="1"/>
        <v>0.43211453948422701</v>
      </c>
      <c r="X202" s="2">
        <f t="shared" ca="1" si="15"/>
        <v>45612</v>
      </c>
      <c r="Y202">
        <f t="shared" ca="1" si="16"/>
        <v>0</v>
      </c>
      <c r="AA202" s="63">
        <f t="shared" ca="1" si="18"/>
        <v>81.722901391203308</v>
      </c>
      <c r="AB202" s="63">
        <f t="shared" ca="1" si="19"/>
        <v>81.722901391203294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45613</v>
      </c>
      <c r="K203">
        <f ca="1"/>
        <v>81.807065786170128</v>
      </c>
      <c r="L203">
        <f ca="1"/>
        <v>0.63417765567876039</v>
      </c>
      <c r="M203">
        <f ca="1"/>
        <v>0.36189309888596455</v>
      </c>
      <c r="N203">
        <f ca="1"/>
        <v>0.99330193352716678</v>
      </c>
      <c r="O203">
        <f ca="1"/>
        <v>0</v>
      </c>
      <c r="P203">
        <f ca="1"/>
        <v>13.628319383118216</v>
      </c>
      <c r="Q203">
        <f ca="1"/>
        <v>11.632540393958646</v>
      </c>
      <c r="R203">
        <f ca="1"/>
        <v>0</v>
      </c>
      <c r="S203">
        <f ca="1"/>
        <v>0.95240681168156716</v>
      </c>
      <c r="T203">
        <f ca="1"/>
        <v>0</v>
      </c>
      <c r="U203">
        <f ca="1"/>
        <v>0</v>
      </c>
      <c r="V203">
        <f ca="1"/>
        <v>0.46866541681173551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82.441243441848883</v>
      </c>
      <c r="AB203" s="63">
        <f t="shared" ca="1" si="19"/>
        <v>82.441243441848883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45614</v>
      </c>
      <c r="K204">
        <f ca="1"/>
        <v>82.42777780779025</v>
      </c>
      <c r="L204">
        <f ca="1"/>
        <v>0.62740085951065794</v>
      </c>
      <c r="M204">
        <f ca="1"/>
        <v>0.33988117563429654</v>
      </c>
      <c r="N204">
        <f ca="1"/>
        <v>0.90823170549649357</v>
      </c>
      <c r="O204">
        <f ca="1"/>
        <v>0</v>
      </c>
      <c r="P204">
        <f ca="1"/>
        <v>14.255720242628874</v>
      </c>
      <c r="Q204">
        <f ca="1"/>
        <v>12.168062466511676</v>
      </c>
      <c r="R204">
        <f ca="1"/>
        <v>0</v>
      </c>
      <c r="S204">
        <f ca="1"/>
        <v>0.91566851208049493</v>
      </c>
      <c r="T204">
        <f ca="1"/>
        <v>0</v>
      </c>
      <c r="U204">
        <f ca="1"/>
        <v>0</v>
      </c>
      <c r="V204">
        <f ca="1"/>
        <v>0.50356266813203765</v>
      </c>
      <c r="X204" s="2">
        <f t="shared" ca="1" si="22"/>
        <v>45614</v>
      </c>
      <c r="Y204">
        <f t="shared" ca="1" si="23"/>
        <v>0</v>
      </c>
      <c r="AA204" s="63">
        <f t="shared" ca="1" si="18"/>
        <v>83.055178667300908</v>
      </c>
      <c r="AB204" s="63">
        <f t="shared" ca="1" si="19"/>
        <v>83.055178667300908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45615</v>
      </c>
      <c r="K205">
        <f ca="1"/>
        <v>83.003429221179459</v>
      </c>
      <c r="L205">
        <f ca="1"/>
        <v>0.66868835254050296</v>
      </c>
      <c r="M205">
        <f ca="1"/>
        <v>0.33482915088220722</v>
      </c>
      <c r="N205">
        <f ca="1"/>
        <v>0.90951061504750719</v>
      </c>
      <c r="O205">
        <f ca="1"/>
        <v>0</v>
      </c>
      <c r="P205">
        <f ca="1"/>
        <v>14.924408595169377</v>
      </c>
      <c r="Q205">
        <f ca="1"/>
        <v>12.738825746504405</v>
      </c>
      <c r="R205">
        <f ca="1"/>
        <v>0</v>
      </c>
      <c r="S205">
        <f ca="1"/>
        <v>0.90460625411617479</v>
      </c>
      <c r="T205">
        <f ca="1"/>
        <v>0</v>
      </c>
      <c r="U205">
        <f ca="1"/>
        <v>0</v>
      </c>
      <c r="V205">
        <f ca="1"/>
        <v>0.5391244703616126</v>
      </c>
      <c r="X205" s="2">
        <f t="shared" ca="1" si="22"/>
        <v>45615</v>
      </c>
      <c r="Y205">
        <f t="shared" ca="1" si="23"/>
        <v>0</v>
      </c>
      <c r="AA205" s="63">
        <f ca="1">K204+M205+N205+O205</f>
        <v>83.672117573719959</v>
      </c>
      <c r="AB205" s="63">
        <f ca="1">K205+L205+R205</f>
        <v>83.672117573719959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45616</v>
      </c>
      <c r="K206">
        <f ca="1"/>
        <v>83.513700866949023</v>
      </c>
      <c r="L206">
        <f ca="1"/>
        <v>0.70508915999384136</v>
      </c>
      <c r="M206">
        <f ca="1"/>
        <v>0.32737757720363447</v>
      </c>
      <c r="N206">
        <f ca="1"/>
        <v>0.88798322855977663</v>
      </c>
      <c r="O206">
        <f ca="1"/>
        <v>0</v>
      </c>
      <c r="P206">
        <f ca="1"/>
        <v>15.629497755163218</v>
      </c>
      <c r="Q206">
        <f ca="1"/>
        <v>13.340659171771115</v>
      </c>
      <c r="R206">
        <f ca="1"/>
        <v>0</v>
      </c>
      <c r="S206">
        <f ca="1"/>
        <v>0.88041306254174212</v>
      </c>
      <c r="T206">
        <f ca="1"/>
        <v>0</v>
      </c>
      <c r="U206">
        <f ca="1"/>
        <v>0</v>
      </c>
      <c r="V206">
        <f ca="1"/>
        <v>0.57459813464393139</v>
      </c>
      <c r="X206" s="2">
        <f t="shared" ca="1" si="22"/>
        <v>45616</v>
      </c>
      <c r="Y206">
        <f t="shared" ca="1" si="23"/>
        <v>0</v>
      </c>
      <c r="AA206" s="63">
        <f ca="1">K205+M206+N206+O206</f>
        <v>84.21879002694287</v>
      </c>
      <c r="AB206" s="63">
        <f ca="1">K206+L206+R206</f>
        <v>84.21879002694287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45617</v>
      </c>
      <c r="K207">
        <f ca="1"/>
        <v>83.954050419138099</v>
      </c>
      <c r="L207">
        <f ca="1"/>
        <v>0.74439941879236571</v>
      </c>
      <c r="M207">
        <f ca="1"/>
        <v>0.32015261333229006</v>
      </c>
      <c r="N207">
        <f ca="1"/>
        <v>0.86459635764915466</v>
      </c>
      <c r="O207">
        <f ca="1"/>
        <v>0</v>
      </c>
      <c r="P207">
        <f ca="1"/>
        <v>16.373897173955584</v>
      </c>
      <c r="Q207">
        <f ca="1"/>
        <v>13.976046123376314</v>
      </c>
      <c r="R207">
        <f ca="1"/>
        <v>0</v>
      </c>
      <c r="S207">
        <f ca="1"/>
        <v>0.85361272892734719</v>
      </c>
      <c r="T207">
        <f ca="1"/>
        <v>0</v>
      </c>
      <c r="U207">
        <f ca="1"/>
        <v>0</v>
      </c>
      <c r="V207">
        <f ca="1"/>
        <v>0.60965486075179931</v>
      </c>
      <c r="X207" s="2">
        <f t="shared" ca="1" si="22"/>
        <v>45617</v>
      </c>
      <c r="Y207">
        <f t="shared" ca="1" si="23"/>
        <v>0</v>
      </c>
      <c r="AA207" s="63">
        <f ca="1">K206+M207+N207+O207</f>
        <v>84.698449837930454</v>
      </c>
      <c r="AB207" s="63">
        <f ca="1">K207+L207+R207</f>
        <v>84.698449837930468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45618</v>
      </c>
      <c r="K208">
        <f ca="1"/>
        <v>84.300154943801203</v>
      </c>
      <c r="L208">
        <f ca="1"/>
        <v>0.82806841255993646</v>
      </c>
      <c r="M208">
        <f ca="1"/>
        <v>0.32357725452838082</v>
      </c>
      <c r="N208">
        <f ca="1"/>
        <v>0.85059568269465147</v>
      </c>
      <c r="O208">
        <f ca="1"/>
        <v>0</v>
      </c>
      <c r="P208">
        <f ca="1"/>
        <v>17.20196558651552</v>
      </c>
      <c r="Q208">
        <f ca="1"/>
        <v>14.682849287235005</v>
      </c>
      <c r="R208">
        <f ca="1"/>
        <v>0</v>
      </c>
      <c r="S208">
        <f ca="1"/>
        <v>0.80334837775041046</v>
      </c>
      <c r="T208">
        <f ca="1"/>
        <v>0</v>
      </c>
      <c r="U208">
        <f ca="1"/>
        <v>0</v>
      </c>
      <c r="V208">
        <f ca="1"/>
        <v>0.64569143142884378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85.128223356361119</v>
      </c>
      <c r="AB208" s="63">
        <f t="shared" ref="AB208:AB271" ca="1" si="26">K208+L208+R208</f>
        <v>85.128223356361133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45619</v>
      </c>
      <c r="K209">
        <f ca="1"/>
        <v>84.57592330545809</v>
      </c>
      <c r="L209">
        <f ca="1"/>
        <v>0.86893332977134108</v>
      </c>
      <c r="M209">
        <f ca="1"/>
        <v>0.31407538401695234</v>
      </c>
      <c r="N209">
        <f ca="1"/>
        <v>0.83062630741125798</v>
      </c>
      <c r="O209">
        <f ca="1"/>
        <v>0</v>
      </c>
      <c r="P209">
        <f ca="1"/>
        <v>18.070898916286861</v>
      </c>
      <c r="Q209">
        <f ca="1"/>
        <v>15.424532966203012</v>
      </c>
      <c r="R209">
        <f ca="1"/>
        <v>0</v>
      </c>
      <c r="S209">
        <f ca="1"/>
        <v>0.78450870612230239</v>
      </c>
      <c r="T209">
        <f ca="1"/>
        <v>0</v>
      </c>
      <c r="U209">
        <f ca="1"/>
        <v>0</v>
      </c>
      <c r="V209">
        <f ca="1"/>
        <v>0.68018056217308454</v>
      </c>
      <c r="X209" s="2">
        <f t="shared" ca="1" si="22"/>
        <v>45619</v>
      </c>
      <c r="Y209">
        <f t="shared" ca="1" si="23"/>
        <v>0</v>
      </c>
      <c r="AA209" s="63">
        <f t="shared" ca="1" si="25"/>
        <v>85.444856635229414</v>
      </c>
      <c r="AB209" s="63">
        <f t="shared" ca="1" si="26"/>
        <v>85.444856635229428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45620</v>
      </c>
      <c r="K210">
        <f ca="1"/>
        <v>84.780467202980475</v>
      </c>
      <c r="L210">
        <f ca="1"/>
        <v>0.99865662002544298</v>
      </c>
      <c r="M210">
        <f ca="1"/>
        <v>0.32448657824750171</v>
      </c>
      <c r="N210">
        <f ca="1"/>
        <v>0.8787139393003266</v>
      </c>
      <c r="O210">
        <f ca="1"/>
        <v>0</v>
      </c>
      <c r="P210">
        <f ca="1"/>
        <v>19.069555536312304</v>
      </c>
      <c r="Q210">
        <f ca="1"/>
        <v>16.27694280086908</v>
      </c>
      <c r="R210">
        <f ca="1"/>
        <v>0</v>
      </c>
      <c r="S210">
        <f ca="1"/>
        <v>0.76929541153674263</v>
      </c>
      <c r="T210">
        <f ca="1"/>
        <v>0</v>
      </c>
      <c r="U210">
        <f ca="1"/>
        <v>0</v>
      </c>
      <c r="V210">
        <f ca="1"/>
        <v>0.71577262852042967</v>
      </c>
      <c r="X210" s="2">
        <f t="shared" ca="1" si="22"/>
        <v>45620</v>
      </c>
      <c r="Y210">
        <f t="shared" ca="1" si="23"/>
        <v>0</v>
      </c>
      <c r="AA210" s="63">
        <f t="shared" ca="1" si="25"/>
        <v>85.779123823005918</v>
      </c>
      <c r="AB210" s="63">
        <f t="shared" ca="1" si="26"/>
        <v>85.779123823005918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45621</v>
      </c>
      <c r="K211">
        <f ca="1"/>
        <v>84.969413492406233</v>
      </c>
      <c r="L211">
        <f ca="1"/>
        <v>1.0649924986155312</v>
      </c>
      <c r="M211">
        <f ca="1"/>
        <v>0.31689511641954482</v>
      </c>
      <c r="N211">
        <f ca="1"/>
        <v>0.93704367162173252</v>
      </c>
      <c r="O211">
        <f ca="1"/>
        <v>0</v>
      </c>
      <c r="P211">
        <f ca="1"/>
        <v>20.134548034927835</v>
      </c>
      <c r="Q211">
        <f ca="1"/>
        <v>17.185974054917484</v>
      </c>
      <c r="R211">
        <f ca="1"/>
        <v>0</v>
      </c>
      <c r="S211">
        <f ca="1"/>
        <v>0.80986274522524859</v>
      </c>
      <c r="T211">
        <f ca="1"/>
        <v>0</v>
      </c>
      <c r="U211">
        <f ca="1"/>
        <v>0</v>
      </c>
      <c r="V211">
        <f ca="1"/>
        <v>0.74927754434612703</v>
      </c>
      <c r="X211" s="2">
        <f t="shared" ca="1" si="22"/>
        <v>45621</v>
      </c>
      <c r="Y211">
        <f t="shared" ca="1" si="23"/>
        <v>0</v>
      </c>
      <c r="AA211" s="63">
        <f t="shared" ca="1" si="25"/>
        <v>86.034405991021757</v>
      </c>
      <c r="AB211" s="63">
        <f t="shared" ca="1" si="26"/>
        <v>86.034405991021771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45622</v>
      </c>
      <c r="K212">
        <f ca="1"/>
        <v>85.060615575160952</v>
      </c>
      <c r="L212">
        <f ca="1"/>
        <v>1.1559439109364611</v>
      </c>
      <c r="M212">
        <f ca="1"/>
        <v>0.31330814745552971</v>
      </c>
      <c r="N212">
        <f ca="1"/>
        <v>0.93383784623564525</v>
      </c>
      <c r="O212">
        <f ca="1"/>
        <v>0</v>
      </c>
      <c r="P212">
        <f ca="1"/>
        <v>21.290491945864296</v>
      </c>
      <c r="Q212">
        <f ca="1"/>
        <v>18.17263747680467</v>
      </c>
      <c r="R212">
        <f ca="1"/>
        <v>0</v>
      </c>
      <c r="S212">
        <f ca="1"/>
        <v>0.78700584685371289</v>
      </c>
      <c r="T212">
        <f ca="1"/>
        <v>0</v>
      </c>
      <c r="U212">
        <f ca="1"/>
        <v>0</v>
      </c>
      <c r="V212">
        <f ca="1"/>
        <v>0.78093038388890079</v>
      </c>
      <c r="X212" s="2">
        <f t="shared" ca="1" si="22"/>
        <v>45622</v>
      </c>
      <c r="Y212">
        <f t="shared" ca="1" si="23"/>
        <v>0</v>
      </c>
      <c r="AA212" s="63">
        <f t="shared" ca="1" si="25"/>
        <v>86.21655948609741</v>
      </c>
      <c r="AB212" s="63">
        <f t="shared" ca="1" si="26"/>
        <v>86.21655948609741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45623</v>
      </c>
      <c r="K213">
        <f ca="1"/>
        <v>85.163821138362451</v>
      </c>
      <c r="L213">
        <f ca="1"/>
        <v>1.195221754846461</v>
      </c>
      <c r="M213">
        <f ca="1"/>
        <v>0.29824422392735528</v>
      </c>
      <c r="N213">
        <f ca="1"/>
        <v>1.0001830941206054</v>
      </c>
      <c r="O213">
        <f ca="1"/>
        <v>0</v>
      </c>
      <c r="P213">
        <f ca="1"/>
        <v>22.485713700710757</v>
      </c>
      <c r="Q213">
        <f ca="1"/>
        <v>19.192826757092025</v>
      </c>
      <c r="R213">
        <f ca="1"/>
        <v>0</v>
      </c>
      <c r="S213">
        <f ca="1"/>
        <v>0.852837598907911</v>
      </c>
      <c r="T213">
        <f ca="1"/>
        <v>0</v>
      </c>
      <c r="U213">
        <f ca="1"/>
        <v>0</v>
      </c>
      <c r="V213">
        <f ca="1"/>
        <v>0.80909604687972048</v>
      </c>
      <c r="X213" s="2">
        <f t="shared" ca="1" si="22"/>
        <v>45623</v>
      </c>
      <c r="Y213">
        <f t="shared" ca="1" si="23"/>
        <v>0</v>
      </c>
      <c r="AA213" s="63">
        <f t="shared" ca="1" si="25"/>
        <v>86.359042893208908</v>
      </c>
      <c r="AB213" s="63">
        <f t="shared" ca="1" si="26"/>
        <v>86.359042893208908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45624</v>
      </c>
      <c r="K214">
        <f ca="1"/>
        <v>85.15714836521424</v>
      </c>
      <c r="L214">
        <f ca="1"/>
        <v>1.1372744048216425</v>
      </c>
      <c r="M214">
        <f ca="1"/>
        <v>0.26834491584477149</v>
      </c>
      <c r="N214">
        <f ca="1"/>
        <v>0.8622567158286657</v>
      </c>
      <c r="O214">
        <f ca="1"/>
        <v>0</v>
      </c>
      <c r="P214">
        <f ca="1"/>
        <v>23.6229881055324</v>
      </c>
      <c r="Q214">
        <f ca="1"/>
        <v>20.163554700956524</v>
      </c>
      <c r="R214">
        <f ca="1"/>
        <v>0</v>
      </c>
      <c r="S214">
        <f ca="1"/>
        <v>0.8036057755998578</v>
      </c>
      <c r="T214">
        <f ca="1"/>
        <v>0</v>
      </c>
      <c r="U214">
        <f ca="1"/>
        <v>0</v>
      </c>
      <c r="V214">
        <f ca="1"/>
        <v>0.83214975537695079</v>
      </c>
      <c r="X214" s="2">
        <f t="shared" ca="1" si="22"/>
        <v>45624</v>
      </c>
      <c r="Y214">
        <f t="shared" ca="1" si="23"/>
        <v>0</v>
      </c>
      <c r="AA214" s="63">
        <f t="shared" ca="1" si="25"/>
        <v>86.294422770035879</v>
      </c>
      <c r="AB214" s="63">
        <f t="shared" ca="1" si="26"/>
        <v>86.294422770035879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45625</v>
      </c>
      <c r="K215">
        <f ca="1"/>
        <v>85.083408272158891</v>
      </c>
      <c r="L215">
        <f ca="1"/>
        <v>1.3239112701763354</v>
      </c>
      <c r="M215">
        <f ca="1"/>
        <v>0.27976906595544904</v>
      </c>
      <c r="N215">
        <f ca="1"/>
        <v>0.97040211116553909</v>
      </c>
      <c r="O215">
        <f ca="1"/>
        <v>0</v>
      </c>
      <c r="P215">
        <f ca="1"/>
        <v>24.946899375708735</v>
      </c>
      <c r="Q215">
        <f ca="1"/>
        <v>21.293587751650971</v>
      </c>
      <c r="R215">
        <f ca="1"/>
        <v>0</v>
      </c>
      <c r="S215">
        <f ca="1"/>
        <v>0.82632058347669968</v>
      </c>
      <c r="T215">
        <f ca="1"/>
        <v>0</v>
      </c>
      <c r="U215">
        <f ca="1"/>
        <v>0</v>
      </c>
      <c r="V215">
        <f ca="1"/>
        <v>0.85505018767394136</v>
      </c>
      <c r="X215" s="2">
        <f t="shared" ca="1" si="22"/>
        <v>45625</v>
      </c>
      <c r="Y215">
        <f t="shared" ca="1" si="23"/>
        <v>0</v>
      </c>
      <c r="AA215" s="63">
        <f t="shared" ca="1" si="25"/>
        <v>86.40731954233523</v>
      </c>
      <c r="AB215" s="63">
        <f t="shared" ca="1" si="26"/>
        <v>86.40731954233523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45626</v>
      </c>
      <c r="K216">
        <f ca="1"/>
        <v>85.003946337073401</v>
      </c>
      <c r="L216">
        <f ca="1"/>
        <v>1.3635410142905613</v>
      </c>
      <c r="M216">
        <f ca="1"/>
        <v>0.26584047302646496</v>
      </c>
      <c r="N216">
        <f ca="1"/>
        <v>1.0182386061786162</v>
      </c>
      <c r="O216">
        <f ca="1"/>
        <v>0</v>
      </c>
      <c r="P216">
        <f ca="1"/>
        <v>26.310440389999297</v>
      </c>
      <c r="Q216">
        <f ca="1"/>
        <v>22.457447027447099</v>
      </c>
      <c r="R216">
        <f ca="1"/>
        <v>0</v>
      </c>
      <c r="S216">
        <f ca="1"/>
        <v>0.87806859629502165</v>
      </c>
      <c r="T216">
        <f ca="1"/>
        <v>0</v>
      </c>
      <c r="U216">
        <f ca="1"/>
        <v>0</v>
      </c>
      <c r="V216">
        <f ca="1"/>
        <v>0.87490146035415883</v>
      </c>
      <c r="X216" s="2">
        <f t="shared" ca="1" si="22"/>
        <v>45626</v>
      </c>
      <c r="Y216">
        <f t="shared" ca="1" si="23"/>
        <v>0</v>
      </c>
      <c r="AA216" s="63">
        <f t="shared" ca="1" si="25"/>
        <v>86.367487351363962</v>
      </c>
      <c r="AB216" s="63">
        <f t="shared" ca="1" si="26"/>
        <v>86.367487351363962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45627</v>
      </c>
      <c r="K217">
        <f ca="1"/>
        <v>84.785587539621901</v>
      </c>
      <c r="L217">
        <f ca="1"/>
        <v>1.4678027535358105</v>
      </c>
      <c r="M217">
        <f ca="1"/>
        <v>0.26125924597478445</v>
      </c>
      <c r="N217">
        <f ca="1"/>
        <v>0.98818471010952669</v>
      </c>
      <c r="O217">
        <f ca="1"/>
        <v>0</v>
      </c>
      <c r="P217">
        <f ca="1"/>
        <v>27.778243143535107</v>
      </c>
      <c r="Q217">
        <f ca="1"/>
        <v>23.71029958695047</v>
      </c>
      <c r="R217">
        <f ca="1"/>
        <v>0</v>
      </c>
      <c r="S217">
        <f ca="1"/>
        <v>0.83851019418791783</v>
      </c>
      <c r="T217">
        <f ca="1"/>
        <v>0</v>
      </c>
      <c r="U217">
        <f ca="1"/>
        <v>0</v>
      </c>
      <c r="V217">
        <f ca="1"/>
        <v>0.8927659725265501</v>
      </c>
      <c r="X217" s="2">
        <f t="shared" ca="1" si="22"/>
        <v>45627</v>
      </c>
      <c r="Y217">
        <f t="shared" ca="1" si="23"/>
        <v>0</v>
      </c>
      <c r="AA217" s="63">
        <f t="shared" ca="1" si="25"/>
        <v>86.253390293157707</v>
      </c>
      <c r="AB217" s="63">
        <f t="shared" ca="1" si="26"/>
        <v>86.253390293157707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45628</v>
      </c>
      <c r="K218">
        <f ca="1"/>
        <v>84.467538694753955</v>
      </c>
      <c r="L218">
        <f ca="1"/>
        <v>1.530692811730141</v>
      </c>
      <c r="M218">
        <f ca="1"/>
        <v>0.25049199703966707</v>
      </c>
      <c r="N218">
        <f ca="1"/>
        <v>0.96215196982253204</v>
      </c>
      <c r="O218">
        <f ca="1"/>
        <v>0</v>
      </c>
      <c r="P218">
        <f ca="1"/>
        <v>29.308935955265248</v>
      </c>
      <c r="Q218">
        <f ca="1"/>
        <v>25.016832363490003</v>
      </c>
      <c r="R218">
        <f ca="1"/>
        <v>0</v>
      </c>
      <c r="S218">
        <f ca="1"/>
        <v>0.82343476291964779</v>
      </c>
      <c r="T218">
        <f ca="1"/>
        <v>0</v>
      </c>
      <c r="U218">
        <f ca="1"/>
        <v>0</v>
      </c>
      <c r="V218">
        <f ca="1"/>
        <v>0.90822942308265275</v>
      </c>
      <c r="X218" s="2">
        <f t="shared" ca="1" si="22"/>
        <v>45628</v>
      </c>
      <c r="Y218">
        <f t="shared" ca="1" si="23"/>
        <v>0</v>
      </c>
      <c r="AA218" s="63">
        <f t="shared" ca="1" si="25"/>
        <v>85.998231506484089</v>
      </c>
      <c r="AB218" s="63">
        <f t="shared" ca="1" si="26"/>
        <v>85.998231506484103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45629</v>
      </c>
      <c r="K219">
        <f ca="1"/>
        <v>84.020225584585219</v>
      </c>
      <c r="L219">
        <f ca="1"/>
        <v>1.687322163611455</v>
      </c>
      <c r="M219">
        <f ca="1"/>
        <v>0.25051997553472205</v>
      </c>
      <c r="N219">
        <f ca="1"/>
        <v>0.98948907790799501</v>
      </c>
      <c r="O219">
        <f ca="1"/>
        <v>0</v>
      </c>
      <c r="P219">
        <f ca="1"/>
        <v>30.996258118876703</v>
      </c>
      <c r="Q219">
        <f ca="1"/>
        <v>26.457057139124885</v>
      </c>
      <c r="R219">
        <f ca="1"/>
        <v>0</v>
      </c>
      <c r="S219">
        <f ca="1"/>
        <v>0.81260251341746059</v>
      </c>
      <c r="T219">
        <f ca="1"/>
        <v>0</v>
      </c>
      <c r="U219">
        <f ca="1"/>
        <v>0</v>
      </c>
      <c r="V219">
        <f ca="1"/>
        <v>0.92225481092277839</v>
      </c>
      <c r="X219" s="2">
        <f t="shared" ca="1" si="22"/>
        <v>45629</v>
      </c>
      <c r="Y219">
        <f t="shared" ca="1" si="23"/>
        <v>0</v>
      </c>
      <c r="AA219" s="63">
        <f t="shared" ca="1" si="25"/>
        <v>85.707547748196674</v>
      </c>
      <c r="AB219" s="63">
        <f t="shared" ca="1" si="26"/>
        <v>85.707547748196674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45630</v>
      </c>
      <c r="K220">
        <f ca="1"/>
        <v>83.443476589842078</v>
      </c>
      <c r="L220">
        <f ca="1"/>
        <v>1.7525722787909572</v>
      </c>
      <c r="M220">
        <f ca="1"/>
        <v>0.23884526300847142</v>
      </c>
      <c r="N220">
        <f ca="1"/>
        <v>0.93697802103935424</v>
      </c>
      <c r="O220">
        <f ca="1"/>
        <v>0</v>
      </c>
      <c r="P220">
        <f ca="1"/>
        <v>32.74883039766766</v>
      </c>
      <c r="Q220">
        <f ca="1"/>
        <v>27.952976573741434</v>
      </c>
      <c r="R220">
        <f ca="1"/>
        <v>0</v>
      </c>
      <c r="S220">
        <f ca="1"/>
        <v>0.77987368878789365</v>
      </c>
      <c r="T220">
        <f ca="1"/>
        <v>0</v>
      </c>
      <c r="U220">
        <f ca="1"/>
        <v>0</v>
      </c>
      <c r="V220">
        <f ca="1"/>
        <v>0.93414766376609171</v>
      </c>
      <c r="X220" s="2">
        <f t="shared" ca="1" si="22"/>
        <v>45630</v>
      </c>
      <c r="Y220">
        <f t="shared" ca="1" si="23"/>
        <v>0</v>
      </c>
      <c r="AA220" s="63">
        <f t="shared" ca="1" si="25"/>
        <v>85.196048868633042</v>
      </c>
      <c r="AB220" s="63">
        <f t="shared" ca="1" si="26"/>
        <v>85.196048868633028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45631</v>
      </c>
      <c r="K221">
        <f ca="1"/>
        <v>82.763135353078439</v>
      </c>
      <c r="L221">
        <f ca="1"/>
        <v>1.8443190491750769</v>
      </c>
      <c r="M221">
        <f ca="1"/>
        <v>0.2302495379693994</v>
      </c>
      <c r="N221">
        <f ca="1"/>
        <v>0.933728274442026</v>
      </c>
      <c r="O221">
        <f ca="1"/>
        <v>0</v>
      </c>
      <c r="P221">
        <f ca="1"/>
        <v>34.593149446842737</v>
      </c>
      <c r="Q221">
        <f ca="1"/>
        <v>29.527207059229784</v>
      </c>
      <c r="R221">
        <f ca="1"/>
        <v>0</v>
      </c>
      <c r="S221">
        <f ca="1"/>
        <v>0.77661697697332432</v>
      </c>
      <c r="T221">
        <f ca="1"/>
        <v>0</v>
      </c>
      <c r="U221">
        <f ca="1"/>
        <v>0</v>
      </c>
      <c r="V221">
        <f ca="1"/>
        <v>0.94433927281906427</v>
      </c>
      <c r="X221" s="2">
        <f t="shared" ca="1" si="22"/>
        <v>45631</v>
      </c>
      <c r="Y221">
        <f t="shared" ca="1" si="23"/>
        <v>0</v>
      </c>
      <c r="AA221" s="63">
        <f t="shared" ca="1" si="25"/>
        <v>84.607454402253509</v>
      </c>
      <c r="AB221" s="63">
        <f t="shared" ca="1" si="26"/>
        <v>84.607454402253524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45632</v>
      </c>
      <c r="K222">
        <f ca="1"/>
        <v>82.024458762427173</v>
      </c>
      <c r="L222">
        <f ca="1"/>
        <v>1.8394184903236237</v>
      </c>
      <c r="M222">
        <f ca="1"/>
        <v>0.21332835994087418</v>
      </c>
      <c r="N222">
        <f ca="1"/>
        <v>0.88741353973148129</v>
      </c>
      <c r="O222">
        <f ca="1"/>
        <v>0</v>
      </c>
      <c r="P222">
        <f ca="1"/>
        <v>36.432567937166361</v>
      </c>
      <c r="Q222">
        <f ca="1"/>
        <v>31.097254640928607</v>
      </c>
      <c r="R222">
        <f ca="1"/>
        <v>0</v>
      </c>
      <c r="S222">
        <f ca="1"/>
        <v>0.77250375090206314</v>
      </c>
      <c r="T222">
        <f ca="1"/>
        <v>0</v>
      </c>
      <c r="U222">
        <f ca="1"/>
        <v>0</v>
      </c>
      <c r="V222">
        <f ca="1"/>
        <v>0.95263242799561176</v>
      </c>
      <c r="X222" s="2">
        <f t="shared" ca="1" si="22"/>
        <v>45632</v>
      </c>
      <c r="Y222">
        <f t="shared" ca="1" si="23"/>
        <v>0</v>
      </c>
      <c r="AA222" s="63">
        <f t="shared" ca="1" si="25"/>
        <v>83.863877252750797</v>
      </c>
      <c r="AB222" s="63">
        <f t="shared" ca="1" si="26"/>
        <v>83.863877252750797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45633</v>
      </c>
      <c r="K223">
        <f ca="1"/>
        <v>81.303492260313874</v>
      </c>
      <c r="L223">
        <f ca="1"/>
        <v>1.8150417499707103</v>
      </c>
      <c r="M223">
        <f ca="1"/>
        <v>0.19722845800507116</v>
      </c>
      <c r="N223">
        <f ca="1"/>
        <v>0.89684678985234867</v>
      </c>
      <c r="O223">
        <f ca="1"/>
        <v>0</v>
      </c>
      <c r="P223">
        <f ca="1"/>
        <v>38.247609687137071</v>
      </c>
      <c r="Q223">
        <f ca="1"/>
        <v>32.646495297807377</v>
      </c>
      <c r="R223">
        <f ca="1"/>
        <v>0</v>
      </c>
      <c r="S223">
        <f ca="1"/>
        <v>0.81927041704152792</v>
      </c>
      <c r="T223">
        <f ca="1"/>
        <v>0</v>
      </c>
      <c r="U223">
        <f ca="1"/>
        <v>0</v>
      </c>
      <c r="V223">
        <f ca="1"/>
        <v>0.95936647839124067</v>
      </c>
      <c r="X223" s="2">
        <f t="shared" ca="1" si="22"/>
        <v>45633</v>
      </c>
      <c r="Y223">
        <f t="shared" ca="1" si="23"/>
        <v>0</v>
      </c>
      <c r="AA223" s="63">
        <f t="shared" ca="1" si="25"/>
        <v>83.118534010284591</v>
      </c>
      <c r="AB223" s="63">
        <f t="shared" ca="1" si="26"/>
        <v>83.118534010284577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45634</v>
      </c>
      <c r="K224">
        <f ca="1"/>
        <v>80.396004565905486</v>
      </c>
      <c r="L224">
        <f ca="1"/>
        <v>2.0186850120894491</v>
      </c>
      <c r="M224">
        <f ca="1"/>
        <v>0.19908809083064227</v>
      </c>
      <c r="N224">
        <f ca="1"/>
        <v>0.91210922685041373</v>
      </c>
      <c r="O224">
        <f ca="1"/>
        <v>0</v>
      </c>
      <c r="P224">
        <f ca="1"/>
        <v>40.26629469922652</v>
      </c>
      <c r="Q224">
        <f ca="1"/>
        <v>34.369556981766571</v>
      </c>
      <c r="R224">
        <f ca="1"/>
        <v>0</v>
      </c>
      <c r="S224">
        <f ca="1"/>
        <v>0.79163448035273132</v>
      </c>
      <c r="T224">
        <f ca="1"/>
        <v>0</v>
      </c>
      <c r="U224">
        <f ca="1"/>
        <v>0</v>
      </c>
      <c r="V224">
        <f ca="1"/>
        <v>0.96551806767446891</v>
      </c>
      <c r="X224" s="2">
        <f t="shared" ca="1" si="22"/>
        <v>45634</v>
      </c>
      <c r="Y224">
        <f t="shared" ca="1" si="23"/>
        <v>0</v>
      </c>
      <c r="AA224" s="63">
        <f t="shared" ca="1" si="25"/>
        <v>82.414689577994935</v>
      </c>
      <c r="AB224" s="63">
        <f t="shared" ca="1" si="26"/>
        <v>82.414689577994935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45635</v>
      </c>
      <c r="K225">
        <f ca="1"/>
        <v>79.362838818570978</v>
      </c>
      <c r="L225">
        <f ca="1"/>
        <v>2.2738896909176844</v>
      </c>
      <c r="M225">
        <f ca="1"/>
        <v>0.20280012828594352</v>
      </c>
      <c r="N225">
        <f ca="1"/>
        <v>1.0379238152972319</v>
      </c>
      <c r="O225">
        <f ca="1"/>
        <v>0</v>
      </c>
      <c r="P225">
        <f ca="1"/>
        <v>42.540184390144205</v>
      </c>
      <c r="Q225">
        <f ca="1"/>
        <v>36.310450274432711</v>
      </c>
      <c r="R225">
        <f ca="1"/>
        <v>0</v>
      </c>
      <c r="S225">
        <f ca="1"/>
        <v>0.84162279215836056</v>
      </c>
      <c r="T225">
        <f ca="1"/>
        <v>0</v>
      </c>
      <c r="U225">
        <f ca="1"/>
        <v>0</v>
      </c>
      <c r="V225">
        <f ca="1"/>
        <v>0.97112393766861049</v>
      </c>
      <c r="X225" s="2">
        <f t="shared" ca="1" si="22"/>
        <v>45635</v>
      </c>
      <c r="Y225">
        <f t="shared" ca="1" si="23"/>
        <v>0</v>
      </c>
      <c r="AA225" s="63">
        <f t="shared" ca="1" si="25"/>
        <v>81.636728509488663</v>
      </c>
      <c r="AB225" s="63">
        <f t="shared" ca="1" si="26"/>
        <v>81.636728509488663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45636</v>
      </c>
      <c r="K226">
        <f ca="1"/>
        <v>78.096919796167128</v>
      </c>
      <c r="L226">
        <f ca="1"/>
        <v>2.5560039458088966</v>
      </c>
      <c r="M226">
        <f ca="1"/>
        <v>0.20610136245741728</v>
      </c>
      <c r="N226">
        <f ca="1"/>
        <v>1.0839835609476347</v>
      </c>
      <c r="O226">
        <f ca="1"/>
        <v>0</v>
      </c>
      <c r="P226">
        <f ca="1"/>
        <v>45.096188335953102</v>
      </c>
      <c r="Q226">
        <f ca="1"/>
        <v>38.49214401897251</v>
      </c>
      <c r="R226">
        <f ca="1"/>
        <v>0</v>
      </c>
      <c r="S226">
        <f ca="1"/>
        <v>0.82671847551983324</v>
      </c>
      <c r="T226">
        <f ca="1"/>
        <v>0</v>
      </c>
      <c r="U226">
        <f ca="1"/>
        <v>0</v>
      </c>
      <c r="V226">
        <f ca="1"/>
        <v>0.97613796430466082</v>
      </c>
      <c r="X226" s="2">
        <f t="shared" ca="1" si="22"/>
        <v>45636</v>
      </c>
      <c r="Y226">
        <f t="shared" ca="1" si="23"/>
        <v>0</v>
      </c>
      <c r="AA226" s="63">
        <f t="shared" ca="1" si="25"/>
        <v>80.652923741976025</v>
      </c>
      <c r="AB226" s="63">
        <f t="shared" ca="1" si="26"/>
        <v>80.652923741976025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45637</v>
      </c>
      <c r="K227">
        <f ca="1"/>
        <v>76.733488619437082</v>
      </c>
      <c r="L227">
        <f ca="1"/>
        <v>2.5731749634813923</v>
      </c>
      <c r="M227">
        <f ca="1"/>
        <v>0.1907752500743598</v>
      </c>
      <c r="N227">
        <f ca="1"/>
        <v>1.0189685366769945</v>
      </c>
      <c r="O227">
        <f ca="1"/>
        <v>0</v>
      </c>
      <c r="P227">
        <f ca="1"/>
        <v>47.669363299434494</v>
      </c>
      <c r="Q227">
        <f ca="1"/>
        <v>40.688494197006847</v>
      </c>
      <c r="R227">
        <f ca="1"/>
        <v>0</v>
      </c>
      <c r="S227">
        <f ca="1"/>
        <v>0.81052122844649788</v>
      </c>
      <c r="T227">
        <f ca="1"/>
        <v>0</v>
      </c>
      <c r="U227">
        <f ca="1"/>
        <v>0</v>
      </c>
      <c r="V227">
        <f ca="1"/>
        <v>0.98013837120285485</v>
      </c>
      <c r="X227" s="2">
        <f t="shared" ca="1" si="22"/>
        <v>45637</v>
      </c>
      <c r="Y227">
        <f t="shared" ca="1" si="23"/>
        <v>0</v>
      </c>
      <c r="AA227" s="63">
        <f t="shared" ca="1" si="25"/>
        <v>79.306663582918475</v>
      </c>
      <c r="AB227" s="63">
        <f t="shared" ca="1" si="26"/>
        <v>79.306663582918475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45638</v>
      </c>
      <c r="K228">
        <f ca="1"/>
        <v>75.207846181816052</v>
      </c>
      <c r="L228">
        <f ca="1"/>
        <v>2.6722033482743868</v>
      </c>
      <c r="M228">
        <f ca="1"/>
        <v>0.18182174096363468</v>
      </c>
      <c r="N228">
        <f ca="1"/>
        <v>0.9647391696897254</v>
      </c>
      <c r="O228">
        <f ca="1"/>
        <v>0</v>
      </c>
      <c r="P228">
        <f ca="1"/>
        <v>50.341566647708881</v>
      </c>
      <c r="Q228">
        <f ca="1"/>
        <v>42.969370695115522</v>
      </c>
      <c r="R228">
        <f ca="1"/>
        <v>0</v>
      </c>
      <c r="S228">
        <f ca="1"/>
        <v>0.7757818564057003</v>
      </c>
      <c r="T228">
        <f ca="1"/>
        <v>0</v>
      </c>
      <c r="U228">
        <f ca="1"/>
        <v>0</v>
      </c>
      <c r="V228">
        <f ca="1"/>
        <v>0.98344896462158338</v>
      </c>
      <c r="X228" s="2">
        <f t="shared" ca="1" si="22"/>
        <v>45638</v>
      </c>
      <c r="Y228">
        <f t="shared" ca="1" si="23"/>
        <v>0</v>
      </c>
      <c r="AA228" s="63">
        <f t="shared" ca="1" si="25"/>
        <v>77.880049530090446</v>
      </c>
      <c r="AB228" s="63">
        <f t="shared" ca="1" si="26"/>
        <v>77.880049530090446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45639</v>
      </c>
      <c r="K229">
        <f ca="1"/>
        <v>73.615646443204639</v>
      </c>
      <c r="L229">
        <f ca="1"/>
        <v>2.6339479889710233</v>
      </c>
      <c r="M229">
        <f ca="1"/>
        <v>0.16673766317794048</v>
      </c>
      <c r="N229">
        <f ca="1"/>
        <v>0.87501058718166957</v>
      </c>
      <c r="O229">
        <f ca="1"/>
        <v>0</v>
      </c>
      <c r="P229">
        <f ca="1"/>
        <v>52.975514636679904</v>
      </c>
      <c r="Q229">
        <f ca="1"/>
        <v>45.217594083191216</v>
      </c>
      <c r="R229">
        <f ca="1"/>
        <v>0</v>
      </c>
      <c r="S229">
        <f ca="1"/>
        <v>0.74291086547912855</v>
      </c>
      <c r="T229">
        <f ca="1"/>
        <v>0</v>
      </c>
      <c r="U229">
        <f ca="1"/>
        <v>0</v>
      </c>
      <c r="V229">
        <f ca="1"/>
        <v>0.98606809279972429</v>
      </c>
      <c r="X229" s="2">
        <f t="shared" ca="1" si="22"/>
        <v>45639</v>
      </c>
      <c r="Y229">
        <f t="shared" ca="1" si="23"/>
        <v>0</v>
      </c>
      <c r="AA229" s="63">
        <f t="shared" ca="1" si="25"/>
        <v>76.249594432175655</v>
      </c>
      <c r="AB229" s="63">
        <f t="shared" ca="1" si="26"/>
        <v>76.249594432175655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45640</v>
      </c>
      <c r="K230">
        <f ca="1"/>
        <v>71.987519112667883</v>
      </c>
      <c r="L230">
        <f ca="1"/>
        <v>2.640132598006943</v>
      </c>
      <c r="M230">
        <f ca="1"/>
        <v>0.15579620315987341</v>
      </c>
      <c r="N230">
        <f ca="1"/>
        <v>0.85620906431032362</v>
      </c>
      <c r="O230">
        <f ca="1"/>
        <v>0</v>
      </c>
      <c r="P230">
        <f ca="1"/>
        <v>55.615647234686847</v>
      </c>
      <c r="Q230">
        <f ca="1"/>
        <v>47.4710963844189</v>
      </c>
      <c r="R230">
        <f ca="1"/>
        <v>0</v>
      </c>
      <c r="S230">
        <f ca="1"/>
        <v>0.75324136487699489</v>
      </c>
      <c r="T230">
        <f ca="1"/>
        <v>0</v>
      </c>
      <c r="U230">
        <f ca="1"/>
        <v>0</v>
      </c>
      <c r="V230">
        <f ca="1"/>
        <v>0.98819774368721769</v>
      </c>
      <c r="X230" s="2">
        <f t="shared" ca="1" si="22"/>
        <v>45640</v>
      </c>
      <c r="Y230">
        <f t="shared" ca="1" si="23"/>
        <v>0</v>
      </c>
      <c r="AA230" s="63">
        <f t="shared" ca="1" si="25"/>
        <v>74.627651710674826</v>
      </c>
      <c r="AB230" s="63">
        <f t="shared" ca="1" si="26"/>
        <v>74.627651710674826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45641</v>
      </c>
      <c r="K231">
        <f ca="1"/>
        <v>70.017423730147101</v>
      </c>
      <c r="L231">
        <f ca="1"/>
        <v>3.0170907869742223</v>
      </c>
      <c r="M231">
        <f ca="1"/>
        <v>0.16093853571496908</v>
      </c>
      <c r="N231">
        <f ca="1"/>
        <v>0.8860568687384619</v>
      </c>
      <c r="O231">
        <f ca="1"/>
        <v>0</v>
      </c>
      <c r="P231">
        <f ca="1"/>
        <v>58.632738021661069</v>
      </c>
      <c r="Q231">
        <f ca="1"/>
        <v>50.046353792547521</v>
      </c>
      <c r="R231">
        <f ca="1"/>
        <v>0</v>
      </c>
      <c r="S231">
        <f ca="1"/>
        <v>0.71773203735696478</v>
      </c>
      <c r="T231">
        <f ca="1"/>
        <v>0</v>
      </c>
      <c r="U231">
        <f ca="1"/>
        <v>0</v>
      </c>
      <c r="V231">
        <f ca="1"/>
        <v>0.99016170192705211</v>
      </c>
      <c r="X231" s="2">
        <f t="shared" ca="1" si="22"/>
        <v>45641</v>
      </c>
      <c r="Y231">
        <f t="shared" ca="1" si="23"/>
        <v>0</v>
      </c>
      <c r="AA231" s="63">
        <f t="shared" ca="1" si="25"/>
        <v>73.034514517121309</v>
      </c>
      <c r="AB231" s="63">
        <f t="shared" ca="1" si="26"/>
        <v>73.034514517121323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45642</v>
      </c>
      <c r="K232">
        <f ca="1"/>
        <v>67.913264631700088</v>
      </c>
      <c r="L232">
        <f ca="1"/>
        <v>3.1523870570598262</v>
      </c>
      <c r="M232">
        <f ca="1"/>
        <v>0.15467930730018509</v>
      </c>
      <c r="N232">
        <f ca="1"/>
        <v>0.89354865131262762</v>
      </c>
      <c r="O232">
        <f ca="1"/>
        <v>0</v>
      </c>
      <c r="P232">
        <f ca="1"/>
        <v>61.785125078720895</v>
      </c>
      <c r="Q232">
        <f ca="1"/>
        <v>52.737094209452145</v>
      </c>
      <c r="R232">
        <f ca="1"/>
        <v>0</v>
      </c>
      <c r="S232">
        <f ca="1"/>
        <v>0.7240943862306789</v>
      </c>
      <c r="T232">
        <f ca="1"/>
        <v>0</v>
      </c>
      <c r="U232">
        <f ca="1"/>
        <v>0</v>
      </c>
      <c r="V232">
        <f ca="1"/>
        <v>0.99180155842553774</v>
      </c>
      <c r="X232" s="2">
        <f t="shared" ca="1" si="22"/>
        <v>45642</v>
      </c>
      <c r="Y232">
        <f t="shared" ca="1" si="23"/>
        <v>0</v>
      </c>
      <c r="AA232" s="63">
        <f t="shared" ca="1" si="25"/>
        <v>71.065651688759914</v>
      </c>
      <c r="AB232" s="63">
        <f t="shared" ca="1" si="26"/>
        <v>71.065651688759914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45643</v>
      </c>
      <c r="K233">
        <f ca="1"/>
        <v>65.539123090981548</v>
      </c>
      <c r="L233">
        <f ca="1"/>
        <v>3.4106734805931609</v>
      </c>
      <c r="M233">
        <f ca="1"/>
        <v>0.1529544097661244</v>
      </c>
      <c r="N233">
        <f ca="1"/>
        <v>0.88357753010849949</v>
      </c>
      <c r="O233">
        <f ca="1"/>
        <v>0</v>
      </c>
      <c r="P233">
        <f ca="1"/>
        <v>65.195798559314056</v>
      </c>
      <c r="Q233">
        <f ca="1"/>
        <v>55.648296678242964</v>
      </c>
      <c r="R233">
        <f ca="1"/>
        <v>0</v>
      </c>
      <c r="S233">
        <f ca="1"/>
        <v>0.69100203222684475</v>
      </c>
      <c r="T233">
        <f ca="1"/>
        <v>0</v>
      </c>
      <c r="U233">
        <f ca="1"/>
        <v>0</v>
      </c>
      <c r="V233">
        <f ca="1"/>
        <v>0.99321436071964442</v>
      </c>
      <c r="X233" s="2">
        <f t="shared" ca="1" si="22"/>
        <v>45643</v>
      </c>
      <c r="Y233">
        <f t="shared" ca="1" si="23"/>
        <v>0</v>
      </c>
      <c r="AA233" s="63">
        <f t="shared" ca="1" si="25"/>
        <v>68.949796571574709</v>
      </c>
      <c r="AB233" s="63">
        <f t="shared" ca="1" si="26"/>
        <v>68.949796571574709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45644</v>
      </c>
      <c r="K234">
        <f ca="1"/>
        <v>63.172122243291525</v>
      </c>
      <c r="L234">
        <f ca="1"/>
        <v>3.424788796003071</v>
      </c>
      <c r="M234">
        <f ca="1"/>
        <v>0.14229603771333643</v>
      </c>
      <c r="N234">
        <f ca="1"/>
        <v>0.91549191059971291</v>
      </c>
      <c r="O234">
        <f ca="1"/>
        <v>0</v>
      </c>
      <c r="P234">
        <f ca="1"/>
        <v>68.620587355317127</v>
      </c>
      <c r="Q234">
        <f ca="1"/>
        <v>58.571547366044747</v>
      </c>
      <c r="R234">
        <f ca="1"/>
        <v>0</v>
      </c>
      <c r="S234">
        <f ca="1"/>
        <v>0.7448390331346143</v>
      </c>
      <c r="T234">
        <f ca="1"/>
        <v>0</v>
      </c>
      <c r="U234">
        <f ca="1"/>
        <v>0</v>
      </c>
      <c r="V234">
        <f ca="1"/>
        <v>0.99434478643610891</v>
      </c>
      <c r="X234" s="2">
        <f t="shared" ca="1" si="22"/>
        <v>45644</v>
      </c>
      <c r="Y234">
        <f t="shared" ca="1" si="23"/>
        <v>0</v>
      </c>
      <c r="AA234" s="63">
        <f t="shared" ca="1" si="25"/>
        <v>66.596911039294596</v>
      </c>
      <c r="AB234" s="63">
        <f t="shared" ca="1" si="26"/>
        <v>66.596911039294596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45645</v>
      </c>
      <c r="K235">
        <f ca="1"/>
        <v>60.844466019006845</v>
      </c>
      <c r="L235">
        <f ca="1"/>
        <v>3.3286677817853132</v>
      </c>
      <c r="M235">
        <f ca="1"/>
        <v>0.129776123132892</v>
      </c>
      <c r="N235">
        <f ca="1"/>
        <v>0.87123543436774042</v>
      </c>
      <c r="O235">
        <f ca="1"/>
        <v>0</v>
      </c>
      <c r="P235">
        <f ca="1"/>
        <v>71.94925513710244</v>
      </c>
      <c r="Q235">
        <f ca="1"/>
        <v>61.412753338782004</v>
      </c>
      <c r="R235">
        <f ca="1"/>
        <v>0</v>
      </c>
      <c r="S235">
        <f ca="1"/>
        <v>0.75360046649399604</v>
      </c>
      <c r="T235">
        <f ca="1"/>
        <v>0</v>
      </c>
      <c r="U235">
        <f ca="1"/>
        <v>0</v>
      </c>
      <c r="V235">
        <f ca="1"/>
        <v>0.99523099568250006</v>
      </c>
      <c r="X235" s="2">
        <f t="shared" ca="1" si="22"/>
        <v>45645</v>
      </c>
      <c r="Y235">
        <f t="shared" ca="1" si="23"/>
        <v>0</v>
      </c>
      <c r="AA235" s="63">
        <f t="shared" ca="1" si="25"/>
        <v>64.173133800792158</v>
      </c>
      <c r="AB235" s="63">
        <f t="shared" ca="1" si="26"/>
        <v>64.173133800792158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45646</v>
      </c>
      <c r="K236">
        <f ca="1"/>
        <v>58.311231409038768</v>
      </c>
      <c r="L236">
        <f ca="1"/>
        <v>3.4932031923996902</v>
      </c>
      <c r="M236">
        <f ca="1"/>
        <v>0.12599504669348249</v>
      </c>
      <c r="N236">
        <f ca="1"/>
        <v>0.83397353573813127</v>
      </c>
      <c r="O236">
        <f ca="1"/>
        <v>0</v>
      </c>
      <c r="P236">
        <f ca="1"/>
        <v>75.442458329502131</v>
      </c>
      <c r="Q236">
        <f ca="1"/>
        <v>64.394399578319806</v>
      </c>
      <c r="R236">
        <f ca="1"/>
        <v>0</v>
      </c>
      <c r="S236">
        <f ca="1"/>
        <v>0.71321857119930065</v>
      </c>
      <c r="T236">
        <f ca="1"/>
        <v>0</v>
      </c>
      <c r="U236">
        <f ca="1"/>
        <v>0</v>
      </c>
      <c r="V236">
        <f ca="1"/>
        <v>0.99598639753932661</v>
      </c>
      <c r="X236" s="2">
        <f t="shared" ca="1" si="22"/>
        <v>45646</v>
      </c>
      <c r="Y236">
        <f t="shared" ca="1" si="23"/>
        <v>0</v>
      </c>
      <c r="AA236" s="63">
        <f t="shared" ca="1" si="25"/>
        <v>61.804434601438459</v>
      </c>
      <c r="AB236" s="63">
        <f t="shared" ca="1" si="26"/>
        <v>61.804434601438459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45647</v>
      </c>
      <c r="K237">
        <f ca="1"/>
        <v>55.579901937126365</v>
      </c>
      <c r="L237">
        <f ca="1"/>
        <v>3.6466721562663054</v>
      </c>
      <c r="M237">
        <f ca="1"/>
        <v>0.12186613615375563</v>
      </c>
      <c r="N237">
        <f ca="1"/>
        <v>0.79347654820014812</v>
      </c>
      <c r="O237">
        <f ca="1"/>
        <v>0</v>
      </c>
      <c r="P237">
        <f ca="1"/>
        <v>79.089130485768436</v>
      </c>
      <c r="Q237">
        <f ca="1"/>
        <v>67.507040247266787</v>
      </c>
      <c r="R237">
        <f ca="1"/>
        <v>0</v>
      </c>
      <c r="S237">
        <f ca="1"/>
        <v>0.67153076212612373</v>
      </c>
      <c r="T237">
        <f ca="1"/>
        <v>0</v>
      </c>
      <c r="U237">
        <f ca="1"/>
        <v>0</v>
      </c>
      <c r="V237">
        <f ca="1"/>
        <v>0.99662623249216897</v>
      </c>
      <c r="X237" s="2">
        <f t="shared" ca="1" si="22"/>
        <v>45647</v>
      </c>
      <c r="Y237">
        <f t="shared" ca="1" si="23"/>
        <v>0</v>
      </c>
      <c r="AA237" s="63">
        <f t="shared" ca="1" si="25"/>
        <v>59.226574093392671</v>
      </c>
      <c r="AB237" s="63">
        <f t="shared" ca="1" si="26"/>
        <v>59.226574093392671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45648</v>
      </c>
      <c r="K238">
        <f ca="1"/>
        <v>52.479475305091022</v>
      </c>
      <c r="L238">
        <f ca="1"/>
        <v>4.0108960475644295</v>
      </c>
      <c r="M238">
        <f ca="1"/>
        <v>0.12275212902518007</v>
      </c>
      <c r="N238">
        <f ca="1"/>
        <v>0.78771728650390294</v>
      </c>
      <c r="O238">
        <f ca="1"/>
        <v>0</v>
      </c>
      <c r="P238">
        <f ca="1"/>
        <v>83.100026533332866</v>
      </c>
      <c r="Q238">
        <f ca="1"/>
        <v>70.930566580752753</v>
      </c>
      <c r="R238">
        <f ca="1"/>
        <v>0</v>
      </c>
      <c r="S238">
        <f ca="1"/>
        <v>0.62637067925480439</v>
      </c>
      <c r="T238">
        <f ca="1"/>
        <v>0</v>
      </c>
      <c r="U238">
        <f ca="1"/>
        <v>0</v>
      </c>
      <c r="V238">
        <f ca="1"/>
        <v>0.99719381932476414</v>
      </c>
      <c r="X238" s="2">
        <f t="shared" ca="1" si="22"/>
        <v>45648</v>
      </c>
      <c r="Y238">
        <f t="shared" ca="1" si="23"/>
        <v>0</v>
      </c>
      <c r="AA238" s="63">
        <f t="shared" ca="1" si="25"/>
        <v>56.490371352655451</v>
      </c>
      <c r="AB238" s="63">
        <f t="shared" ca="1" si="26"/>
        <v>56.490371352655451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45649</v>
      </c>
      <c r="K239">
        <f ca="1"/>
        <v>49.215162872051259</v>
      </c>
      <c r="L239">
        <f ca="1"/>
        <v>4.1824879466774405</v>
      </c>
      <c r="M239">
        <f ca="1"/>
        <v>0.11840463934160539</v>
      </c>
      <c r="N239">
        <f ca="1"/>
        <v>0.79977087429607097</v>
      </c>
      <c r="O239">
        <f ca="1"/>
        <v>0</v>
      </c>
      <c r="P239">
        <f ca="1"/>
        <v>87.282514480010306</v>
      </c>
      <c r="Q239">
        <f ca="1"/>
        <v>74.5005562925611</v>
      </c>
      <c r="R239">
        <f ca="1"/>
        <v>0</v>
      </c>
      <c r="S239">
        <f ca="1"/>
        <v>0.6342423454605326</v>
      </c>
      <c r="T239">
        <f ca="1"/>
        <v>0</v>
      </c>
      <c r="U239">
        <f ca="1"/>
        <v>0</v>
      </c>
      <c r="V239">
        <f ca="1"/>
        <v>0.99766832452063803</v>
      </c>
      <c r="X239" s="2">
        <f t="shared" ca="1" si="22"/>
        <v>45649</v>
      </c>
      <c r="Y239">
        <f t="shared" ca="1" si="23"/>
        <v>0</v>
      </c>
      <c r="AA239" s="63">
        <f t="shared" ca="1" si="25"/>
        <v>53.3976508187287</v>
      </c>
      <c r="AB239" s="63">
        <f t="shared" ca="1" si="26"/>
        <v>53.3976508187287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45650</v>
      </c>
      <c r="K240">
        <f ca="1"/>
        <v>45.65318241096022</v>
      </c>
      <c r="L240">
        <f ca="1"/>
        <v>4.5275382076037118</v>
      </c>
      <c r="M240">
        <f ca="1"/>
        <v>0.11781317361647581</v>
      </c>
      <c r="N240">
        <f ca="1"/>
        <v>0.84774457289619509</v>
      </c>
      <c r="O240">
        <f ca="1"/>
        <v>0</v>
      </c>
      <c r="P240">
        <f ca="1"/>
        <v>91.810052687614018</v>
      </c>
      <c r="Q240">
        <f ca="1"/>
        <v>78.365065892356725</v>
      </c>
      <c r="R240">
        <f ca="1"/>
        <v>0</v>
      </c>
      <c r="S240">
        <f ca="1"/>
        <v>0.64776226733833842</v>
      </c>
      <c r="T240">
        <f ca="1"/>
        <v>0</v>
      </c>
      <c r="U240">
        <f ca="1"/>
        <v>0</v>
      </c>
      <c r="V240">
        <f ca="1"/>
        <v>0.99807840378292012</v>
      </c>
      <c r="X240" s="2">
        <f t="shared" ca="1" si="22"/>
        <v>45650</v>
      </c>
      <c r="Y240">
        <f t="shared" ca="1" si="23"/>
        <v>0</v>
      </c>
      <c r="AA240" s="63">
        <f t="shared" ca="1" si="25"/>
        <v>50.180720618563932</v>
      </c>
      <c r="AB240" s="63">
        <f t="shared" ca="1" si="26"/>
        <v>50.180720618563932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45651</v>
      </c>
      <c r="K241">
        <f ca="1"/>
        <v>41.700754262004132</v>
      </c>
      <c r="L241">
        <f ca="1"/>
        <v>4.8929676342309136</v>
      </c>
      <c r="M241">
        <f ca="1"/>
        <v>0.11704743741367452</v>
      </c>
      <c r="N241">
        <f ca="1"/>
        <v>0.82349204786115238</v>
      </c>
      <c r="O241">
        <f ca="1"/>
        <v>0</v>
      </c>
      <c r="P241">
        <f ca="1"/>
        <v>96.703020321844932</v>
      </c>
      <c r="Q241">
        <f ca="1"/>
        <v>82.541490149189812</v>
      </c>
      <c r="R241">
        <f ca="1"/>
        <v>0</v>
      </c>
      <c r="S241">
        <f ca="1"/>
        <v>0.59634602771491285</v>
      </c>
      <c r="T241">
        <f ca="1"/>
        <v>0</v>
      </c>
      <c r="U241">
        <f ca="1"/>
        <v>0</v>
      </c>
      <c r="V241">
        <f ca="1"/>
        <v>0.9984292754826426</v>
      </c>
      <c r="X241" s="2">
        <f t="shared" ca="1" si="22"/>
        <v>45651</v>
      </c>
      <c r="Y241">
        <f t="shared" ca="1" si="23"/>
        <v>0</v>
      </c>
      <c r="AA241" s="63">
        <f t="shared" ca="1" si="25"/>
        <v>46.593721896235046</v>
      </c>
      <c r="AB241" s="63">
        <f t="shared" ca="1" si="26"/>
        <v>46.593721896235046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45652</v>
      </c>
      <c r="K242">
        <f ca="1"/>
        <v>37.64822424835441</v>
      </c>
      <c r="L242">
        <f ca="1"/>
        <v>4.919179719456622</v>
      </c>
      <c r="M242">
        <f ca="1"/>
        <v>0.10923095127828475</v>
      </c>
      <c r="N242">
        <f ca="1"/>
        <v>0.75741875452861451</v>
      </c>
      <c r="O242">
        <f ca="1"/>
        <v>0</v>
      </c>
      <c r="P242">
        <f ca="1"/>
        <v>101.62220004130155</v>
      </c>
      <c r="Q242">
        <f ca="1"/>
        <v>86.740287901361995</v>
      </c>
      <c r="R242">
        <f ca="1"/>
        <v>0</v>
      </c>
      <c r="S242">
        <f ca="1"/>
        <v>0.55521337233976664</v>
      </c>
      <c r="T242">
        <f ca="1"/>
        <v>0</v>
      </c>
      <c r="U242">
        <f ca="1"/>
        <v>0</v>
      </c>
      <c r="V242">
        <f ca="1"/>
        <v>0.99870852335276383</v>
      </c>
      <c r="X242" s="2">
        <f t="shared" ca="1" si="22"/>
        <v>45652</v>
      </c>
      <c r="Y242">
        <f t="shared" ca="1" si="23"/>
        <v>0</v>
      </c>
      <c r="AA242" s="63">
        <f t="shared" ca="1" si="25"/>
        <v>42.567403967811032</v>
      </c>
      <c r="AB242" s="63">
        <f t="shared" ca="1" si="26"/>
        <v>42.567403967811032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45653</v>
      </c>
      <c r="K243">
        <f ca="1"/>
        <v>33.579050905682124</v>
      </c>
      <c r="L243">
        <f ca="1"/>
        <v>4.8664990965307027</v>
      </c>
      <c r="M243">
        <f ca="1"/>
        <v>0.10101678062975594</v>
      </c>
      <c r="N243">
        <f ca="1"/>
        <v>0.69630897322866259</v>
      </c>
      <c r="O243">
        <f ca="1"/>
        <v>0</v>
      </c>
      <c r="P243">
        <f ca="1"/>
        <v>106.48869913783226</v>
      </c>
      <c r="Q243">
        <f ca="1"/>
        <v>90.894119766183195</v>
      </c>
      <c r="R243">
        <f ca="1"/>
        <v>0</v>
      </c>
      <c r="S243">
        <f ca="1"/>
        <v>0.52255724567195339</v>
      </c>
      <c r="T243">
        <f ca="1"/>
        <v>0</v>
      </c>
      <c r="U243">
        <f ca="1"/>
        <v>0</v>
      </c>
      <c r="V243">
        <f ca="1"/>
        <v>0.99892935407601768</v>
      </c>
      <c r="X243" s="2">
        <f t="shared" ca="1" si="22"/>
        <v>45653</v>
      </c>
      <c r="Y243">
        <f t="shared" ca="1" si="23"/>
        <v>0</v>
      </c>
      <c r="AA243" s="63">
        <f t="shared" ca="1" si="25"/>
        <v>38.445550002212826</v>
      </c>
      <c r="AB243" s="63">
        <f t="shared" ca="1" si="26"/>
        <v>38.445550002212826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45654</v>
      </c>
      <c r="K244">
        <f ca="1"/>
        <v>29.332969785365613</v>
      </c>
      <c r="L244">
        <f ca="1"/>
        <v>5.053959241311901</v>
      </c>
      <c r="M244">
        <f ca="1"/>
        <v>9.7586831973089261E-2</v>
      </c>
      <c r="N244">
        <f ca="1"/>
        <v>0.7102912890223011</v>
      </c>
      <c r="O244">
        <f ca="1"/>
        <v>0</v>
      </c>
      <c r="P244">
        <f ca="1"/>
        <v>111.54265837914416</v>
      </c>
      <c r="Q244">
        <f ca="1"/>
        <v>95.207959453328058</v>
      </c>
      <c r="R244">
        <f ca="1"/>
        <v>0</v>
      </c>
      <c r="S244">
        <f ca="1"/>
        <v>0.53230600718473098</v>
      </c>
      <c r="T244">
        <f ca="1"/>
        <v>0</v>
      </c>
      <c r="U244">
        <f ca="1"/>
        <v>0</v>
      </c>
      <c r="V244">
        <f ca="1"/>
        <v>0.99911370503063301</v>
      </c>
      <c r="X244" s="2">
        <f t="shared" ca="1" si="22"/>
        <v>45654</v>
      </c>
      <c r="Y244">
        <f t="shared" ca="1" si="23"/>
        <v>0</v>
      </c>
      <c r="AA244" s="63">
        <f t="shared" ca="1" si="25"/>
        <v>34.386929026677514</v>
      </c>
      <c r="AB244" s="63">
        <f t="shared" ca="1" si="26"/>
        <v>34.386929026677514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45655</v>
      </c>
      <c r="K245">
        <f ca="1"/>
        <v>24.958576959985379</v>
      </c>
      <c r="L245">
        <f ca="1"/>
        <v>5.1803583232684502</v>
      </c>
      <c r="M245">
        <f ca="1"/>
        <v>9.3359993556020981E-2</v>
      </c>
      <c r="N245">
        <f ca="1"/>
        <v>0.71260550433219405</v>
      </c>
      <c r="O245">
        <f ca="1"/>
        <v>0</v>
      </c>
      <c r="P245">
        <f ca="1"/>
        <v>116.72301670241261</v>
      </c>
      <c r="Q245">
        <f ca="1"/>
        <v>99.629687896619956</v>
      </c>
      <c r="R245">
        <f ca="1"/>
        <v>0</v>
      </c>
      <c r="S245">
        <f ca="1"/>
        <v>0.53768479918086043</v>
      </c>
      <c r="T245">
        <f ca="1"/>
        <v>0</v>
      </c>
      <c r="U245">
        <f ca="1"/>
        <v>0</v>
      </c>
      <c r="V245">
        <f ca="1"/>
        <v>0.99926576327277894</v>
      </c>
      <c r="X245" s="2">
        <f t="shared" ca="1" si="22"/>
        <v>45655</v>
      </c>
      <c r="Y245">
        <f t="shared" ca="1" si="23"/>
        <v>0</v>
      </c>
      <c r="AA245" s="63">
        <f t="shared" ca="1" si="25"/>
        <v>30.138935283253829</v>
      </c>
      <c r="AB245" s="63">
        <f t="shared" ca="1" si="26"/>
        <v>30.138935283253829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45656</v>
      </c>
      <c r="K246">
        <f ca="1"/>
        <v>20.589828682641517</v>
      </c>
      <c r="L246">
        <f ca="1"/>
        <v>5.1621528712100684</v>
      </c>
      <c r="M246">
        <f ca="1"/>
        <v>8.7470241642847668E-2</v>
      </c>
      <c r="N246">
        <f ca="1"/>
        <v>0.70593435222335943</v>
      </c>
      <c r="O246">
        <f ca="1"/>
        <v>0</v>
      </c>
      <c r="P246">
        <f ca="1"/>
        <v>121.88516957362268</v>
      </c>
      <c r="Q246">
        <f ca="1"/>
        <v>104.0358769582386</v>
      </c>
      <c r="R246">
        <f ca="1"/>
        <v>0</v>
      </c>
      <c r="S246">
        <f ca="1"/>
        <v>0.55175797525579418</v>
      </c>
      <c r="T246">
        <f ca="1"/>
        <v>0</v>
      </c>
      <c r="U246">
        <f ca="1"/>
        <v>0</v>
      </c>
      <c r="V246">
        <f ca="1"/>
        <v>0.99938831876324752</v>
      </c>
      <c r="X246" s="2">
        <f t="shared" ca="1" si="22"/>
        <v>45656</v>
      </c>
      <c r="Y246">
        <f t="shared" ca="1" si="23"/>
        <v>0</v>
      </c>
      <c r="AA246" s="63">
        <f t="shared" ca="1" si="25"/>
        <v>25.751981553851586</v>
      </c>
      <c r="AB246" s="63">
        <f t="shared" ca="1" si="26"/>
        <v>25.751981553851586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45657</v>
      </c>
      <c r="K247">
        <f ca="1"/>
        <v>16.523974041143916</v>
      </c>
      <c r="L247">
        <f ca="1"/>
        <v>4.7384586652710539</v>
      </c>
      <c r="M247">
        <f ca="1"/>
        <v>7.6904720666298942E-2</v>
      </c>
      <c r="N247">
        <f ca="1"/>
        <v>0.59569930310715347</v>
      </c>
      <c r="O247">
        <f ca="1"/>
        <v>0</v>
      </c>
      <c r="P247">
        <f ca="1"/>
        <v>126.62362823889373</v>
      </c>
      <c r="Q247">
        <f ca="1"/>
        <v>108.08041908257039</v>
      </c>
      <c r="R247">
        <f ca="1"/>
        <v>0</v>
      </c>
      <c r="S247">
        <f ca="1"/>
        <v>0.49656045986734859</v>
      </c>
      <c r="T247">
        <f ca="1"/>
        <v>0</v>
      </c>
      <c r="U247">
        <f ca="1"/>
        <v>0</v>
      </c>
      <c r="V247">
        <f ca="1"/>
        <v>0.99948070293371349</v>
      </c>
      <c r="X247" s="2">
        <f t="shared" ca="1" si="22"/>
        <v>45657</v>
      </c>
      <c r="Y247">
        <f t="shared" ca="1" si="23"/>
        <v>0</v>
      </c>
      <c r="AA247" s="63">
        <f t="shared" ca="1" si="25"/>
        <v>21.26243270641497</v>
      </c>
      <c r="AB247" s="63">
        <f t="shared" ca="1" si="26"/>
        <v>21.26243270641497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45658</v>
      </c>
      <c r="K248">
        <f ca="1"/>
        <v>11.343008286175948</v>
      </c>
      <c r="L248">
        <f ca="1"/>
        <v>5.9752043841709508</v>
      </c>
      <c r="M248">
        <f ca="1"/>
        <v>8.5296520583838742E-2</v>
      </c>
      <c r="N248">
        <f ca="1"/>
        <v>0.7089421086191442</v>
      </c>
      <c r="O248">
        <f ca="1"/>
        <v>0</v>
      </c>
      <c r="P248">
        <f ca="1"/>
        <v>132.59883262306468</v>
      </c>
      <c r="Q248">
        <f ca="1"/>
        <v>113.18059353600501</v>
      </c>
      <c r="R248">
        <f ca="1"/>
        <v>0</v>
      </c>
      <c r="S248">
        <f ca="1"/>
        <v>0.483849786871067</v>
      </c>
      <c r="T248">
        <f ca="1"/>
        <v>0</v>
      </c>
      <c r="U248">
        <f ca="1"/>
        <v>0</v>
      </c>
      <c r="V248">
        <f ca="1"/>
        <v>0.99957556595055963</v>
      </c>
      <c r="X248" s="2">
        <f t="shared" ca="1" si="22"/>
        <v>45658</v>
      </c>
      <c r="Y248">
        <f t="shared" ca="1" si="23"/>
        <v>0</v>
      </c>
      <c r="AA248" s="63">
        <f t="shared" ca="1" si="25"/>
        <v>17.318212670346899</v>
      </c>
      <c r="AB248" s="63">
        <f t="shared" ca="1" si="26"/>
        <v>17.318212670346899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45659</v>
      </c>
      <c r="K249">
        <f ca="1"/>
        <v>5.7751738157124723</v>
      </c>
      <c r="L249">
        <f ca="1"/>
        <v>6.3791129980135111</v>
      </c>
      <c r="M249">
        <f ca="1"/>
        <v>8.3078071634091089E-2</v>
      </c>
      <c r="N249">
        <f ca="1"/>
        <v>0.72820045591594385</v>
      </c>
      <c r="O249">
        <f ca="1"/>
        <v>0</v>
      </c>
      <c r="P249">
        <f ca="1"/>
        <v>138.97794562107819</v>
      </c>
      <c r="Q249">
        <f ca="1"/>
        <v>118.62552680627596</v>
      </c>
      <c r="R249">
        <f ca="1"/>
        <v>0</v>
      </c>
      <c r="S249">
        <f ca="1"/>
        <v>0.47342282653248685</v>
      </c>
      <c r="T249">
        <f ca="1"/>
        <v>0</v>
      </c>
      <c r="U249">
        <f ca="1"/>
        <v>0</v>
      </c>
      <c r="V249">
        <f ca="1"/>
        <v>0.9996560207819648</v>
      </c>
      <c r="X249" s="2">
        <f t="shared" ca="1" si="22"/>
        <v>45659</v>
      </c>
      <c r="Y249">
        <f t="shared" ca="1" si="23"/>
        <v>0</v>
      </c>
      <c r="AA249" s="63">
        <f t="shared" ca="1" si="25"/>
        <v>12.154286813725983</v>
      </c>
      <c r="AB249" s="63">
        <f t="shared" ca="1" si="26"/>
        <v>12.154286813725983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45660</v>
      </c>
      <c r="K250">
        <f ca="1"/>
        <v>9.2295279011144871E-2</v>
      </c>
      <c r="L250">
        <f ca="1"/>
        <v>6.545784312382068</v>
      </c>
      <c r="M250">
        <f ca="1"/>
        <v>8.4240327760689127E-2</v>
      </c>
      <c r="N250">
        <f ca="1"/>
        <v>0.77866544792005188</v>
      </c>
      <c r="O250">
        <f ca="1"/>
        <v>0</v>
      </c>
      <c r="P250">
        <f ca="1"/>
        <v>145.52372993346026</v>
      </c>
      <c r="Q250">
        <f ca="1"/>
        <v>124.21272345784892</v>
      </c>
      <c r="R250">
        <f ca="1"/>
        <v>0</v>
      </c>
      <c r="S250">
        <f ca="1"/>
        <v>0.52216073366167859</v>
      </c>
      <c r="T250">
        <f ca="1"/>
        <v>0</v>
      </c>
      <c r="U250">
        <f ca="1"/>
        <v>0</v>
      </c>
      <c r="V250">
        <f ca="1"/>
        <v>0.99972140322839154</v>
      </c>
      <c r="X250" s="2">
        <f t="shared" ca="1" si="22"/>
        <v>45660</v>
      </c>
      <c r="Y250">
        <f t="shared" ca="1" si="23"/>
        <v>0</v>
      </c>
      <c r="AA250" s="63">
        <f t="shared" ca="1" si="25"/>
        <v>6.6380795913932129</v>
      </c>
      <c r="AB250" s="63">
        <f t="shared" ca="1" si="26"/>
        <v>6.6380795913932129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45661</v>
      </c>
      <c r="K251">
        <f ca="1"/>
        <v>-5.0994838969743661</v>
      </c>
      <c r="L251">
        <f ca="1"/>
        <v>5.9378140786187998</v>
      </c>
      <c r="M251">
        <f ca="1"/>
        <v>7.251438942084576E-2</v>
      </c>
      <c r="N251">
        <f ca="1"/>
        <v>0.67352051321244311</v>
      </c>
      <c r="O251">
        <f ca="1"/>
        <v>0</v>
      </c>
      <c r="P251">
        <f ca="1"/>
        <v>151.46154401207906</v>
      </c>
      <c r="Q251">
        <f ca="1"/>
        <v>129.28098317349009</v>
      </c>
      <c r="R251">
        <f ca="1"/>
        <v>0</v>
      </c>
      <c r="S251">
        <f ca="1"/>
        <v>0.4979074777696908</v>
      </c>
      <c r="T251">
        <f ca="1"/>
        <v>0</v>
      </c>
      <c r="U251">
        <f ca="1"/>
        <v>0</v>
      </c>
      <c r="V251">
        <f ca="1"/>
        <v>0.9997690446870654</v>
      </c>
      <c r="X251" s="2">
        <f t="shared" ca="1" si="22"/>
        <v>45661</v>
      </c>
      <c r="Y251">
        <f t="shared" ca="1" si="23"/>
        <v>0</v>
      </c>
      <c r="AA251" s="63">
        <f t="shared" ca="1" si="25"/>
        <v>0.83833018164443374</v>
      </c>
      <c r="AB251" s="63">
        <f t="shared" ca="1" si="26"/>
        <v>0.83833018164443374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45662</v>
      </c>
      <c r="K252">
        <f ca="1"/>
        <v>-10.138328862901435</v>
      </c>
      <c r="L252">
        <f ca="1"/>
        <v>5.7429621796406707</v>
      </c>
      <c r="M252">
        <f ca="1"/>
        <v>6.6102867231677465E-2</v>
      </c>
      <c r="N252">
        <f ca="1"/>
        <v>0.63801434648192379</v>
      </c>
      <c r="O252">
        <f ca="1"/>
        <v>0</v>
      </c>
      <c r="P252">
        <f ca="1"/>
        <v>157.20450619171973</v>
      </c>
      <c r="Q252">
        <f ca="1"/>
        <v>134.18292578707459</v>
      </c>
      <c r="R252">
        <f ca="1"/>
        <v>0</v>
      </c>
      <c r="S252">
        <f ca="1"/>
        <v>0.49129941973200764</v>
      </c>
      <c r="T252">
        <f ca="1"/>
        <v>0</v>
      </c>
      <c r="U252">
        <f ca="1"/>
        <v>0</v>
      </c>
      <c r="V252">
        <f ca="1"/>
        <v>0.99980679729699184</v>
      </c>
      <c r="X252" s="2">
        <f t="shared" ca="1" si="22"/>
        <v>45662</v>
      </c>
      <c r="Y252">
        <f t="shared" ca="1" si="23"/>
        <v>0</v>
      </c>
      <c r="AA252" s="63">
        <f t="shared" ca="1" si="25"/>
        <v>-4.3953666832607645</v>
      </c>
      <c r="AB252" s="63">
        <f t="shared" ca="1" si="26"/>
        <v>-4.3953666832607645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45663</v>
      </c>
      <c r="K253">
        <f ca="1"/>
        <v>-15.858370441430209</v>
      </c>
      <c r="L253">
        <f ca="1"/>
        <v>6.4459895556626918</v>
      </c>
      <c r="M253">
        <f ca="1"/>
        <v>6.3178479078587202E-2</v>
      </c>
      <c r="N253">
        <f ca="1"/>
        <v>0.66276949805533114</v>
      </c>
      <c r="O253">
        <f ca="1"/>
        <v>0</v>
      </c>
      <c r="P253">
        <f ca="1"/>
        <v>163.65049574738242</v>
      </c>
      <c r="Q253">
        <f ca="1"/>
        <v>139.68494197684524</v>
      </c>
      <c r="R253">
        <f ca="1"/>
        <v>0</v>
      </c>
      <c r="S253">
        <f ca="1"/>
        <v>0.44839675458963041</v>
      </c>
      <c r="T253">
        <f ca="1"/>
        <v>0</v>
      </c>
      <c r="U253">
        <f ca="1"/>
        <v>0</v>
      </c>
      <c r="V253">
        <f ca="1"/>
        <v>0.99984140762570661</v>
      </c>
      <c r="X253" s="2">
        <f t="shared" ca="1" si="22"/>
        <v>45663</v>
      </c>
      <c r="Y253">
        <f t="shared" ca="1" si="23"/>
        <v>0</v>
      </c>
      <c r="AA253" s="63">
        <f t="shared" ca="1" si="25"/>
        <v>-9.4123808857675169</v>
      </c>
      <c r="AB253" s="63">
        <f t="shared" ca="1" si="26"/>
        <v>-9.4123808857675169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45664</v>
      </c>
      <c r="K254">
        <f ca="1"/>
        <v>-21.378879437739464</v>
      </c>
      <c r="L254">
        <f ca="1"/>
        <v>6.2059427901742481</v>
      </c>
      <c r="M254">
        <f ca="1"/>
        <v>5.7716467878194067E-2</v>
      </c>
      <c r="N254">
        <f ca="1"/>
        <v>0.62771732598679764</v>
      </c>
      <c r="O254">
        <f ca="1"/>
        <v>0</v>
      </c>
      <c r="P254">
        <f ca="1"/>
        <v>169.85643853755667</v>
      </c>
      <c r="Q254">
        <f ca="1"/>
        <v>144.98206469314459</v>
      </c>
      <c r="R254">
        <f ca="1"/>
        <v>0</v>
      </c>
      <c r="S254">
        <f ca="1"/>
        <v>0.44384386706678475</v>
      </c>
      <c r="T254">
        <f ca="1"/>
        <v>0</v>
      </c>
      <c r="U254">
        <f ca="1"/>
        <v>0</v>
      </c>
      <c r="V254">
        <f ca="1"/>
        <v>0.99986853042346047</v>
      </c>
      <c r="X254" s="2">
        <f t="shared" ca="1" si="22"/>
        <v>45664</v>
      </c>
      <c r="Y254">
        <f t="shared" ca="1" si="23"/>
        <v>0</v>
      </c>
      <c r="AA254" s="63">
        <f t="shared" ca="1" si="25"/>
        <v>-15.172936647565217</v>
      </c>
      <c r="AB254" s="63">
        <f t="shared" ca="1" si="26"/>
        <v>-15.172936647565216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45665</v>
      </c>
      <c r="K255">
        <f ca="1"/>
        <v>-27.182406998279717</v>
      </c>
      <c r="L255">
        <f ca="1"/>
        <v>6.5003205394207839</v>
      </c>
      <c r="M255">
        <f ca="1"/>
        <v>5.6103167320635805E-2</v>
      </c>
      <c r="N255">
        <f ca="1"/>
        <v>0.64068981155989491</v>
      </c>
      <c r="O255">
        <f ca="1"/>
        <v>0</v>
      </c>
      <c r="P255">
        <f ca="1"/>
        <v>176.35675907697745</v>
      </c>
      <c r="Q255">
        <f ca="1"/>
        <v>150.53045544645775</v>
      </c>
      <c r="R255">
        <f ca="1"/>
        <v>0</v>
      </c>
      <c r="S255">
        <f ca="1"/>
        <v>0.43394926752694829</v>
      </c>
      <c r="T255">
        <f ca="1"/>
        <v>0</v>
      </c>
      <c r="U255">
        <f ca="1"/>
        <v>0</v>
      </c>
      <c r="V255">
        <f ca="1"/>
        <v>0.99989174518302049</v>
      </c>
      <c r="X255" s="2">
        <f t="shared" ca="1" si="22"/>
        <v>45665</v>
      </c>
      <c r="Y255">
        <f t="shared" ca="1" si="23"/>
        <v>0</v>
      </c>
      <c r="AA255" s="63">
        <f t="shared" ca="1" si="25"/>
        <v>-20.682086458858933</v>
      </c>
      <c r="AB255" s="63">
        <f t="shared" ca="1" si="26"/>
        <v>-20.682086458858933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45666</v>
      </c>
      <c r="K256">
        <f ca="1"/>
        <v>-32.887602547504564</v>
      </c>
      <c r="L256">
        <f ca="1"/>
        <v>6.3438925202804057</v>
      </c>
      <c r="M256">
        <f ca="1"/>
        <v>4.7983688773335587E-2</v>
      </c>
      <c r="N256">
        <f ca="1"/>
        <v>0.59071328228222175</v>
      </c>
      <c r="O256">
        <f ca="1"/>
        <v>0</v>
      </c>
      <c r="P256">
        <f ca="1"/>
        <v>182.70065159725786</v>
      </c>
      <c r="Q256">
        <f ca="1"/>
        <v>155.94532604954227</v>
      </c>
      <c r="R256">
        <f ca="1"/>
        <v>0</v>
      </c>
      <c r="S256">
        <f ca="1"/>
        <v>0.39489982539092683</v>
      </c>
      <c r="T256">
        <f ca="1"/>
        <v>0</v>
      </c>
      <c r="U256">
        <f ca="1"/>
        <v>0</v>
      </c>
      <c r="V256">
        <f ca="1"/>
        <v>0.99991028796985792</v>
      </c>
      <c r="X256" s="2">
        <f t="shared" ca="1" si="22"/>
        <v>45666</v>
      </c>
      <c r="Y256">
        <f t="shared" ca="1" si="23"/>
        <v>0</v>
      </c>
      <c r="AA256" s="63">
        <f t="shared" ca="1" si="25"/>
        <v>-26.543710027224158</v>
      </c>
      <c r="AB256" s="63">
        <f t="shared" ca="1" si="26"/>
        <v>-26.543710027224158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45667</v>
      </c>
      <c r="K257">
        <f ca="1"/>
        <v>-38.943161811503764</v>
      </c>
      <c r="L257">
        <f ca="1"/>
        <v>6.6981715594526463</v>
      </c>
      <c r="M257">
        <f ca="1"/>
        <v>4.5147622575996138E-2</v>
      </c>
      <c r="N257">
        <f ca="1"/>
        <v>0.59746467287745231</v>
      </c>
      <c r="O257">
        <f ca="1"/>
        <v>0</v>
      </c>
      <c r="P257">
        <f ca="1"/>
        <v>189.39882315671051</v>
      </c>
      <c r="Q257">
        <f ca="1"/>
        <v>161.66259382413784</v>
      </c>
      <c r="R257">
        <f ca="1"/>
        <v>0</v>
      </c>
      <c r="S257">
        <f ca="1"/>
        <v>0.36816199869439536</v>
      </c>
      <c r="T257">
        <f ca="1"/>
        <v>0</v>
      </c>
      <c r="U257">
        <f ca="1"/>
        <v>0</v>
      </c>
      <c r="V257">
        <f ca="1"/>
        <v>0.99992632580629848</v>
      </c>
      <c r="X257" s="2">
        <f t="shared" ca="1" si="22"/>
        <v>45667</v>
      </c>
      <c r="Y257">
        <f t="shared" ca="1" si="23"/>
        <v>0</v>
      </c>
      <c r="AA257" s="63">
        <f t="shared" ca="1" si="25"/>
        <v>-32.244990252051117</v>
      </c>
      <c r="AB257" s="63">
        <f t="shared" ca="1" si="26"/>
        <v>-32.244990252051117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45668</v>
      </c>
      <c r="K258">
        <f ca="1"/>
        <v>-45.086593790618544</v>
      </c>
      <c r="L258">
        <f ca="1"/>
        <v>6.7604394876596245</v>
      </c>
      <c r="M258">
        <f ca="1"/>
        <v>4.0171336635793864E-2</v>
      </c>
      <c r="N258">
        <f ca="1"/>
        <v>0.57683617190905123</v>
      </c>
      <c r="O258">
        <f ca="1"/>
        <v>0</v>
      </c>
      <c r="P258">
        <f ca="1"/>
        <v>196.15926264437013</v>
      </c>
      <c r="Q258">
        <f ca="1"/>
        <v>167.43301079268414</v>
      </c>
      <c r="R258">
        <f ca="1"/>
        <v>0</v>
      </c>
      <c r="S258">
        <f ca="1"/>
        <v>0.33612708496742411</v>
      </c>
      <c r="T258">
        <f ca="1"/>
        <v>0</v>
      </c>
      <c r="U258">
        <f ca="1"/>
        <v>0</v>
      </c>
      <c r="V258">
        <f ca="1"/>
        <v>0.99993954399845042</v>
      </c>
      <c r="X258" s="2">
        <f t="shared" ca="1" si="22"/>
        <v>45668</v>
      </c>
      <c r="Y258">
        <f t="shared" ca="1" si="23"/>
        <v>0</v>
      </c>
      <c r="AA258" s="63">
        <f t="shared" ca="1" si="25"/>
        <v>-38.326154302958919</v>
      </c>
      <c r="AB258" s="63">
        <f t="shared" ca="1" si="26"/>
        <v>-38.326154302958919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45669</v>
      </c>
      <c r="K259">
        <f ca="1"/>
        <v>-51.527915309817637</v>
      </c>
      <c r="L259">
        <f ca="1"/>
        <v>7.0661076484410899</v>
      </c>
      <c r="M259">
        <f ca="1"/>
        <v>3.8183141705516732E-2</v>
      </c>
      <c r="N259">
        <f ca="1"/>
        <v>0.5866029875364781</v>
      </c>
      <c r="O259">
        <f ca="1"/>
        <v>0</v>
      </c>
      <c r="P259">
        <f ca="1"/>
        <v>203.22537029281122</v>
      </c>
      <c r="Q259">
        <f ca="1"/>
        <v>173.46433280223215</v>
      </c>
      <c r="R259">
        <f ca="1"/>
        <v>0</v>
      </c>
      <c r="S259">
        <f ca="1"/>
        <v>0.31657143912513797</v>
      </c>
      <c r="T259">
        <f ca="1"/>
        <v>0</v>
      </c>
      <c r="U259">
        <f ca="1"/>
        <v>0</v>
      </c>
      <c r="V259">
        <f ca="1"/>
        <v>0.99995080008066495</v>
      </c>
      <c r="X259" s="2">
        <f t="shared" ca="1" si="22"/>
        <v>45669</v>
      </c>
      <c r="Y259">
        <f t="shared" ca="1" si="23"/>
        <v>0</v>
      </c>
      <c r="AA259" s="63">
        <f t="shared" ca="1" si="25"/>
        <v>-44.461807661376547</v>
      </c>
      <c r="AB259" s="63">
        <f t="shared" ca="1" si="26"/>
        <v>-44.461807661376547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45670</v>
      </c>
      <c r="K260">
        <f ca="1"/>
        <v>-57.819908453139384</v>
      </c>
      <c r="L260">
        <f ca="1"/>
        <v>6.9116777577921198</v>
      </c>
      <c r="M260">
        <f ca="1"/>
        <v>3.7794672158057097E-2</v>
      </c>
      <c r="N260">
        <f ca="1"/>
        <v>0.58188994231231395</v>
      </c>
      <c r="O260">
        <f ca="1"/>
        <v>0</v>
      </c>
      <c r="P260">
        <f ca="1"/>
        <v>210.13704805060334</v>
      </c>
      <c r="Q260">
        <f ca="1"/>
        <v>179.36384017708403</v>
      </c>
      <c r="R260">
        <f ca="1"/>
        <v>0</v>
      </c>
      <c r="S260">
        <f ca="1"/>
        <v>0.32882660227927796</v>
      </c>
      <c r="T260">
        <f ca="1"/>
        <v>0</v>
      </c>
      <c r="U260">
        <f ca="1"/>
        <v>0</v>
      </c>
      <c r="V260">
        <f ca="1"/>
        <v>0.99995977231047561</v>
      </c>
      <c r="X260" s="2">
        <f t="shared" ca="1" si="22"/>
        <v>45670</v>
      </c>
      <c r="Y260">
        <f t="shared" ca="1" si="23"/>
        <v>0</v>
      </c>
      <c r="AA260" s="63">
        <f t="shared" ca="1" si="25"/>
        <v>-50.908230695347264</v>
      </c>
      <c r="AB260" s="63">
        <f t="shared" ca="1" si="26"/>
        <v>-50.908230695347264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45671</v>
      </c>
      <c r="K261">
        <f ca="1"/>
        <v>-63.803144954820681</v>
      </c>
      <c r="L261">
        <f ca="1"/>
        <v>6.5812345660465326</v>
      </c>
      <c r="M261">
        <f ca="1"/>
        <v>3.6225671594884545E-2</v>
      </c>
      <c r="N261">
        <f ca="1"/>
        <v>0.5617723927703504</v>
      </c>
      <c r="O261">
        <f ca="1"/>
        <v>0</v>
      </c>
      <c r="P261">
        <f ca="1"/>
        <v>216.71828261664987</v>
      </c>
      <c r="Q261">
        <f ca="1"/>
        <v>184.98129562257978</v>
      </c>
      <c r="R261">
        <f ca="1"/>
        <v>0</v>
      </c>
      <c r="S261">
        <f ca="1"/>
        <v>0.33768237787656902</v>
      </c>
      <c r="T261">
        <f ca="1"/>
        <v>0</v>
      </c>
      <c r="U261">
        <f ca="1"/>
        <v>0</v>
      </c>
      <c r="V261">
        <f ca="1"/>
        <v>0.99996679844808056</v>
      </c>
      <c r="X261" s="2">
        <f t="shared" ca="1" si="22"/>
        <v>45671</v>
      </c>
      <c r="Y261">
        <f t="shared" ca="1" si="23"/>
        <v>0</v>
      </c>
      <c r="AA261" s="63">
        <f t="shared" ca="1" si="25"/>
        <v>-57.221910388774148</v>
      </c>
      <c r="AB261" s="63">
        <f t="shared" ca="1" si="26"/>
        <v>-57.221910388774148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45672</v>
      </c>
      <c r="K262">
        <f ca="1"/>
        <v>-69.879443081304203</v>
      </c>
      <c r="L262">
        <f ca="1"/>
        <v>6.6872263854867526</v>
      </c>
      <c r="M262">
        <f ca="1"/>
        <v>3.621888674437912E-2</v>
      </c>
      <c r="N262">
        <f ca="1"/>
        <v>0.57470937225885088</v>
      </c>
      <c r="O262">
        <f ca="1"/>
        <v>0</v>
      </c>
      <c r="P262">
        <f ca="1"/>
        <v>223.40550900213663</v>
      </c>
      <c r="Q262">
        <f ca="1"/>
        <v>190.68922107295344</v>
      </c>
      <c r="R262">
        <f ca="1"/>
        <v>0</v>
      </c>
      <c r="S262">
        <f ca="1"/>
        <v>0.34130488196174857</v>
      </c>
      <c r="T262">
        <f ca="1"/>
        <v>0</v>
      </c>
      <c r="U262">
        <f ca="1"/>
        <v>0</v>
      </c>
      <c r="V262">
        <f ca="1"/>
        <v>0.99997270005237204</v>
      </c>
      <c r="X262" s="2">
        <f t="shared" ca="1" si="22"/>
        <v>45672</v>
      </c>
      <c r="Y262">
        <f t="shared" ca="1" si="23"/>
        <v>0</v>
      </c>
      <c r="AA262" s="63">
        <f t="shared" ca="1" si="25"/>
        <v>-63.19221669581745</v>
      </c>
      <c r="AB262" s="63">
        <f t="shared" ca="1" si="26"/>
        <v>-63.19221669581745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45673</v>
      </c>
      <c r="K263">
        <f ca="1"/>
        <v>-76.161191184137209</v>
      </c>
      <c r="L263">
        <f ca="1"/>
        <v>6.8886228070091988</v>
      </c>
      <c r="M263">
        <f ca="1"/>
        <v>3.3151470283222295E-2</v>
      </c>
      <c r="N263">
        <f ca="1"/>
        <v>0.57372323389297231</v>
      </c>
      <c r="O263">
        <f ca="1"/>
        <v>0</v>
      </c>
      <c r="P263">
        <f ca="1"/>
        <v>230.29413180914582</v>
      </c>
      <c r="Q263">
        <f ca="1"/>
        <v>196.56904974504499</v>
      </c>
      <c r="R263">
        <f ca="1"/>
        <v>0</v>
      </c>
      <c r="S263">
        <f ca="1"/>
        <v>0.31108699291117975</v>
      </c>
      <c r="T263">
        <f ca="1"/>
        <v>0</v>
      </c>
      <c r="U263">
        <f ca="1"/>
        <v>0</v>
      </c>
      <c r="V263">
        <f ca="1"/>
        <v>0.99997771001502556</v>
      </c>
      <c r="X263" s="2">
        <f t="shared" ca="1" si="22"/>
        <v>45673</v>
      </c>
      <c r="Y263">
        <f t="shared" ca="1" si="23"/>
        <v>0</v>
      </c>
      <c r="AA263" s="63">
        <f t="shared" ca="1" si="25"/>
        <v>-69.272568377127996</v>
      </c>
      <c r="AB263" s="63">
        <f t="shared" ca="1" si="26"/>
        <v>-69.27256837712801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45674</v>
      </c>
      <c r="K264">
        <f ca="1"/>
        <v>-82.536394684054926</v>
      </c>
      <c r="L264">
        <f ca="1"/>
        <v>6.991227354995317</v>
      </c>
      <c r="M264">
        <f ca="1"/>
        <v>3.2472489831484097E-2</v>
      </c>
      <c r="N264">
        <f ca="1"/>
        <v>0.58355136524610496</v>
      </c>
      <c r="O264">
        <f ca="1"/>
        <v>0</v>
      </c>
      <c r="P264">
        <f ca="1"/>
        <v>237.28535916414114</v>
      </c>
      <c r="Q264">
        <f ca="1"/>
        <v>202.53645719449705</v>
      </c>
      <c r="R264">
        <f ca="1"/>
        <v>0</v>
      </c>
      <c r="S264">
        <f ca="1"/>
        <v>0.30635475322397154</v>
      </c>
      <c r="T264">
        <f ca="1"/>
        <v>0</v>
      </c>
      <c r="U264">
        <f ca="1"/>
        <v>0</v>
      </c>
      <c r="V264">
        <f ca="1"/>
        <v>0.99998188573759084</v>
      </c>
      <c r="X264" s="2">
        <f t="shared" ca="1" si="22"/>
        <v>45674</v>
      </c>
      <c r="Y264">
        <f t="shared" ca="1" si="23"/>
        <v>0</v>
      </c>
      <c r="AA264" s="63">
        <f t="shared" ca="1" si="25"/>
        <v>-75.545167329059609</v>
      </c>
      <c r="AB264" s="63">
        <f t="shared" ca="1" si="26"/>
        <v>-75.545167329059609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45675</v>
      </c>
      <c r="K265">
        <f ca="1"/>
        <v>-88.664931053739423</v>
      </c>
      <c r="L265">
        <f ca="1"/>
        <v>6.7523347064451116</v>
      </c>
      <c r="M265">
        <f ca="1"/>
        <v>3.3888137373999427E-2</v>
      </c>
      <c r="N265">
        <f ca="1"/>
        <v>0.58991019938662936</v>
      </c>
      <c r="O265">
        <f ca="1"/>
        <v>0</v>
      </c>
      <c r="P265">
        <f ca="1"/>
        <v>244.03769387058625</v>
      </c>
      <c r="Q265">
        <f ca="1"/>
        <v>208.29995627447533</v>
      </c>
      <c r="R265">
        <f ca="1"/>
        <v>0</v>
      </c>
      <c r="S265">
        <f ca="1"/>
        <v>0.33586394925864288</v>
      </c>
      <c r="T265">
        <f ca="1"/>
        <v>0</v>
      </c>
      <c r="U265">
        <f ca="1"/>
        <v>0</v>
      </c>
      <c r="V265">
        <f ca="1"/>
        <v>0.99998520538514157</v>
      </c>
      <c r="X265" s="2">
        <f t="shared" ca="1" si="22"/>
        <v>45675</v>
      </c>
      <c r="Y265">
        <f t="shared" ca="1" si="23"/>
        <v>0</v>
      </c>
      <c r="AA265" s="63">
        <f t="shared" ca="1" si="25"/>
        <v>-81.912596347294311</v>
      </c>
      <c r="AB265" s="63">
        <f t="shared" ca="1" si="26"/>
        <v>-81.912596347294311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45676</v>
      </c>
      <c r="K266">
        <f ca="1"/>
        <v>-94.94031849650429</v>
      </c>
      <c r="L266">
        <f ca="1"/>
        <v>6.9243360854614764</v>
      </c>
      <c r="M266">
        <f ca="1"/>
        <v>3.4391800323696486E-2</v>
      </c>
      <c r="N266">
        <f ca="1"/>
        <v>0.61455684237292496</v>
      </c>
      <c r="O266">
        <f ca="1"/>
        <v>0</v>
      </c>
      <c r="P266">
        <f ca="1"/>
        <v>250.96202995604773</v>
      </c>
      <c r="Q266">
        <f ca="1"/>
        <v>214.21026824700306</v>
      </c>
      <c r="R266">
        <f ca="1"/>
        <v>0</v>
      </c>
      <c r="S266">
        <f ca="1"/>
        <v>0.33879905477579725</v>
      </c>
      <c r="T266">
        <f ca="1"/>
        <v>0</v>
      </c>
      <c r="U266">
        <f ca="1"/>
        <v>0</v>
      </c>
      <c r="V266">
        <f ca="1"/>
        <v>0.99998801075278065</v>
      </c>
      <c r="X266" s="2">
        <f t="shared" ca="1" si="22"/>
        <v>45676</v>
      </c>
      <c r="Y266">
        <f t="shared" ca="1" si="23"/>
        <v>0</v>
      </c>
      <c r="AA266" s="63">
        <f t="shared" ca="1" si="25"/>
        <v>-88.015982411042799</v>
      </c>
      <c r="AB266" s="63">
        <f t="shared" ca="1" si="26"/>
        <v>-88.015982411042813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45677</v>
      </c>
      <c r="K267">
        <f ca="1"/>
        <v>-100.95399502475394</v>
      </c>
      <c r="L267">
        <f ca="1"/>
        <v>6.6583108711611771</v>
      </c>
      <c r="M267">
        <f ca="1"/>
        <v>3.4048154013177623E-2</v>
      </c>
      <c r="N267">
        <f ca="1"/>
        <v>0.61058618889835903</v>
      </c>
      <c r="O267">
        <f ca="1"/>
        <v>0</v>
      </c>
      <c r="P267">
        <f ca="1"/>
        <v>257.62034082720891</v>
      </c>
      <c r="Q267">
        <f ca="1"/>
        <v>219.89351267259673</v>
      </c>
      <c r="R267">
        <f ca="1"/>
        <v>0</v>
      </c>
      <c r="S267">
        <f ca="1"/>
        <v>0.35317980502765506</v>
      </c>
      <c r="T267">
        <f ca="1"/>
        <v>0</v>
      </c>
      <c r="U267">
        <f ca="1"/>
        <v>0</v>
      </c>
      <c r="V267">
        <f ca="1"/>
        <v>0.99999023544588217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-94.295684153592759</v>
      </c>
      <c r="AB267" s="63">
        <f t="shared" ca="1" si="26"/>
        <v>-94.295684153592759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45678</v>
      </c>
      <c r="K268">
        <f ca="1"/>
        <v>-106.65500896723179</v>
      </c>
      <c r="L268">
        <f ca="1"/>
        <v>6.3228223489481934</v>
      </c>
      <c r="M268">
        <f ca="1"/>
        <v>3.2005500276220289E-2</v>
      </c>
      <c r="N268">
        <f ca="1"/>
        <v>0.58980290619410547</v>
      </c>
      <c r="O268">
        <f ca="1"/>
        <v>0</v>
      </c>
      <c r="P268">
        <f ca="1"/>
        <v>263.9431631761571</v>
      </c>
      <c r="Q268">
        <f ca="1"/>
        <v>225.29039869429309</v>
      </c>
      <c r="R268">
        <f ca="1"/>
        <v>0</v>
      </c>
      <c r="S268">
        <f ca="1"/>
        <v>0.35264427334605108</v>
      </c>
      <c r="T268">
        <f ca="1"/>
        <v>0</v>
      </c>
      <c r="U268">
        <f ca="1"/>
        <v>0</v>
      </c>
      <c r="V268">
        <f ca="1"/>
        <v>0.99999199119360782</v>
      </c>
      <c r="X268" s="2">
        <f t="shared" ca="1" si="29"/>
        <v>45678</v>
      </c>
      <c r="Y268">
        <f t="shared" ca="1" si="30"/>
        <v>0</v>
      </c>
      <c r="AA268" s="63">
        <f t="shared" ca="1" si="25"/>
        <v>-100.3321866182836</v>
      </c>
      <c r="AB268" s="63">
        <f t="shared" ca="1" si="26"/>
        <v>-100.3321866182836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45679</v>
      </c>
      <c r="K269">
        <f ca="1"/>
        <v>-112.09368546823708</v>
      </c>
      <c r="L269">
        <f ca="1"/>
        <v>6.0464405518023909</v>
      </c>
      <c r="M269">
        <f ca="1"/>
        <v>3.0652074677973928E-2</v>
      </c>
      <c r="N269">
        <f ca="1"/>
        <v>0.57711197611912035</v>
      </c>
      <c r="O269">
        <f ca="1"/>
        <v>0</v>
      </c>
      <c r="P269">
        <f ca="1"/>
        <v>269.98960372795949</v>
      </c>
      <c r="Q269">
        <f ca="1"/>
        <v>230.4513772406014</v>
      </c>
      <c r="R269">
        <f ca="1"/>
        <v>0</v>
      </c>
      <c r="S269">
        <f ca="1"/>
        <v>0.35549567668148879</v>
      </c>
      <c r="T269">
        <f ca="1"/>
        <v>0</v>
      </c>
      <c r="U269">
        <f ca="1"/>
        <v>0</v>
      </c>
      <c r="V269">
        <f ca="1"/>
        <v>0.99999339727189274</v>
      </c>
      <c r="X269" s="2">
        <f t="shared" ca="1" si="29"/>
        <v>45679</v>
      </c>
      <c r="Y269">
        <f t="shared" ca="1" si="30"/>
        <v>0</v>
      </c>
      <c r="AA269" s="63">
        <f t="shared" ca="1" si="25"/>
        <v>-106.04724491643469</v>
      </c>
      <c r="AB269" s="63">
        <f t="shared" ca="1" si="26"/>
        <v>-106.04724491643469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45680</v>
      </c>
      <c r="K270">
        <f ca="1"/>
        <v>-117.44098768008146</v>
      </c>
      <c r="L270">
        <f ca="1"/>
        <v>5.997990314070023</v>
      </c>
      <c r="M270">
        <f ca="1"/>
        <v>3.3815316816209418E-2</v>
      </c>
      <c r="N270">
        <f ca="1"/>
        <v>0.61687278540942259</v>
      </c>
      <c r="O270">
        <f ca="1"/>
        <v>0</v>
      </c>
      <c r="P270">
        <f ca="1"/>
        <v>275.98759404202951</v>
      </c>
      <c r="Q270">
        <f ca="1"/>
        <v>235.57100077227622</v>
      </c>
      <c r="R270">
        <f ca="1"/>
        <v>0</v>
      </c>
      <c r="S270">
        <f ca="1"/>
        <v>0.39994601192316609</v>
      </c>
      <c r="T270">
        <f ca="1"/>
        <v>0</v>
      </c>
      <c r="U270">
        <f ca="1"/>
        <v>0</v>
      </c>
      <c r="V270">
        <f ca="1"/>
        <v>0.99999456924049612</v>
      </c>
      <c r="X270" s="2">
        <f t="shared" ca="1" si="29"/>
        <v>45680</v>
      </c>
      <c r="Y270">
        <f t="shared" ca="1" si="30"/>
        <v>0</v>
      </c>
      <c r="AA270" s="63">
        <f t="shared" ca="1" si="25"/>
        <v>-111.44299736601145</v>
      </c>
      <c r="AB270" s="63">
        <f t="shared" ca="1" si="26"/>
        <v>-111.44299736601144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45681</v>
      </c>
      <c r="K271">
        <f ca="1"/>
        <v>-122.76217237446636</v>
      </c>
      <c r="L271">
        <f ca="1"/>
        <v>5.964117501467058</v>
      </c>
      <c r="M271">
        <f ca="1"/>
        <v>3.1592736185508841E-2</v>
      </c>
      <c r="N271">
        <f ca="1"/>
        <v>0.61134007089666442</v>
      </c>
      <c r="O271">
        <f ca="1"/>
        <v>0</v>
      </c>
      <c r="P271">
        <f ca="1"/>
        <v>281.95171154349657</v>
      </c>
      <c r="Q271">
        <f ca="1"/>
        <v>240.66171194507658</v>
      </c>
      <c r="R271">
        <f ca="1"/>
        <v>0</v>
      </c>
      <c r="S271">
        <f ca="1"/>
        <v>0.37995130698988711</v>
      </c>
      <c r="T271">
        <f ca="1"/>
        <v>0</v>
      </c>
      <c r="U271">
        <f ca="1"/>
        <v>0</v>
      </c>
      <c r="V271">
        <f ca="1"/>
        <v>0.99999554782794298</v>
      </c>
      <c r="X271" s="2">
        <f t="shared" ca="1" si="29"/>
        <v>45681</v>
      </c>
      <c r="Y271">
        <f t="shared" ca="1" si="30"/>
        <v>0</v>
      </c>
      <c r="AA271" s="63">
        <f t="shared" ca="1" si="25"/>
        <v>-116.7980548729993</v>
      </c>
      <c r="AB271" s="63">
        <f t="shared" ca="1" si="26"/>
        <v>-116.7980548729993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45682</v>
      </c>
      <c r="K272">
        <f ca="1"/>
        <v>-128.02262703410392</v>
      </c>
      <c r="L272">
        <f ca="1"/>
        <v>5.8835373236377109</v>
      </c>
      <c r="M272">
        <f ca="1"/>
        <v>2.8432425223215319E-2</v>
      </c>
      <c r="N272">
        <f ca="1"/>
        <v>0.59465023877693135</v>
      </c>
      <c r="O272">
        <f ca="1"/>
        <v>0</v>
      </c>
      <c r="P272">
        <f ca="1"/>
        <v>287.83524886713428</v>
      </c>
      <c r="Q272">
        <f ca="1"/>
        <v>245.68364338449953</v>
      </c>
      <c r="R272">
        <f ca="1"/>
        <v>0</v>
      </c>
      <c r="S272">
        <f ca="1"/>
        <v>0.34876768726766427</v>
      </c>
      <c r="T272">
        <f ca="1"/>
        <v>0</v>
      </c>
      <c r="U272">
        <f ca="1"/>
        <v>0</v>
      </c>
      <c r="V272">
        <f ca="1"/>
        <v>0.99999635806017617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-122.13908971046621</v>
      </c>
      <c r="AB272" s="63">
        <f t="shared" ref="AB272:AB335" ca="1" si="33">K272+L272+R272</f>
        <v>-122.13908971046621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45683</v>
      </c>
      <c r="K273">
        <f ca="1"/>
        <v>-133.55940466048651</v>
      </c>
      <c r="L273">
        <f ca="1"/>
        <v>6.2033815338764953</v>
      </c>
      <c r="M273">
        <f ca="1"/>
        <v>2.9017774219155967E-2</v>
      </c>
      <c r="N273">
        <f ca="1"/>
        <v>0.63758613327477276</v>
      </c>
      <c r="O273">
        <f ca="1"/>
        <v>0</v>
      </c>
      <c r="P273">
        <f ca="1"/>
        <v>294.03863040101078</v>
      </c>
      <c r="Q273">
        <f ca="1"/>
        <v>250.97857992387529</v>
      </c>
      <c r="R273">
        <f ca="1"/>
        <v>0</v>
      </c>
      <c r="S273">
        <f ca="1"/>
        <v>0.33997781435653274</v>
      </c>
      <c r="T273">
        <f ca="1"/>
        <v>0</v>
      </c>
      <c r="U273">
        <f ca="1"/>
        <v>0</v>
      </c>
      <c r="V273">
        <f ca="1"/>
        <v>0.99999707071683486</v>
      </c>
      <c r="X273" s="2">
        <f t="shared" ca="1" si="29"/>
        <v>45683</v>
      </c>
      <c r="Y273">
        <f t="shared" ca="1" si="30"/>
        <v>0</v>
      </c>
      <c r="AA273" s="63">
        <f t="shared" ca="1" si="32"/>
        <v>-127.35602312661</v>
      </c>
      <c r="AB273" s="63">
        <f t="shared" ca="1" si="33"/>
        <v>-127.35602312661001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45684</v>
      </c>
      <c r="K274">
        <f ca="1"/>
        <v>-138.73387458319476</v>
      </c>
      <c r="L274">
        <f ca="1"/>
        <v>5.8439396381763231</v>
      </c>
      <c r="M274">
        <f ca="1"/>
        <v>2.9569185946769494E-2</v>
      </c>
      <c r="N274">
        <f ca="1"/>
        <v>0.63990052952130227</v>
      </c>
      <c r="O274">
        <f ca="1"/>
        <v>0</v>
      </c>
      <c r="P274">
        <f ca="1"/>
        <v>299.8825700391871</v>
      </c>
      <c r="Q274">
        <f ca="1"/>
        <v>255.96671250206765</v>
      </c>
      <c r="R274">
        <f ca="1"/>
        <v>0</v>
      </c>
      <c r="S274">
        <f ca="1"/>
        <v>0.367139414777858</v>
      </c>
      <c r="T274">
        <f ca="1"/>
        <v>0</v>
      </c>
      <c r="U274">
        <f ca="1"/>
        <v>0</v>
      </c>
      <c r="V274">
        <f ca="1"/>
        <v>0.99999762914220292</v>
      </c>
      <c r="X274" s="2">
        <f t="shared" ca="1" si="29"/>
        <v>45684</v>
      </c>
      <c r="Y274">
        <f t="shared" ca="1" si="30"/>
        <v>0</v>
      </c>
      <c r="AA274" s="63">
        <f t="shared" ca="1" si="32"/>
        <v>-132.88993494501844</v>
      </c>
      <c r="AB274" s="63">
        <f t="shared" ca="1" si="33"/>
        <v>-132.88993494501844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45685</v>
      </c>
      <c r="K275">
        <f ca="1"/>
        <v>-143.65272110238777</v>
      </c>
      <c r="L275">
        <f ca="1"/>
        <v>5.5563145185407734</v>
      </c>
      <c r="M275">
        <f ca="1"/>
        <v>2.6468584687577845E-2</v>
      </c>
      <c r="N275">
        <f ca="1"/>
        <v>0.61099941466021335</v>
      </c>
      <c r="O275">
        <f ca="1"/>
        <v>0</v>
      </c>
      <c r="P275">
        <f ca="1"/>
        <v>305.43888455772787</v>
      </c>
      <c r="Q275">
        <f ca="1"/>
        <v>260.7093407940439</v>
      </c>
      <c r="R275">
        <f ca="1"/>
        <v>0</v>
      </c>
      <c r="S275">
        <f ca="1"/>
        <v>0.3444834057741275</v>
      </c>
      <c r="T275">
        <f ca="1"/>
        <v>0</v>
      </c>
      <c r="U275">
        <f ca="1"/>
        <v>0</v>
      </c>
      <c r="V275">
        <f ca="1"/>
        <v>0.99999807359820658</v>
      </c>
      <c r="X275" s="2">
        <f t="shared" ca="1" si="29"/>
        <v>45685</v>
      </c>
      <c r="Y275">
        <f t="shared" ca="1" si="30"/>
        <v>0</v>
      </c>
      <c r="AA275" s="63">
        <f t="shared" ca="1" si="32"/>
        <v>-138.09640658384694</v>
      </c>
      <c r="AB275" s="63">
        <f t="shared" ca="1" si="33"/>
        <v>-138.096406583847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45686</v>
      </c>
      <c r="K276">
        <f ca="1"/>
        <v>-148.64954662568127</v>
      </c>
      <c r="L276">
        <f ca="1"/>
        <v>5.6400141218596218</v>
      </c>
      <c r="M276">
        <f ca="1"/>
        <v>2.4531589829223321E-2</v>
      </c>
      <c r="N276">
        <f ca="1"/>
        <v>0.61865700873689766</v>
      </c>
      <c r="O276">
        <f ca="1"/>
        <v>0</v>
      </c>
      <c r="P276">
        <f ca="1"/>
        <v>311.0788986795875</v>
      </c>
      <c r="Q276">
        <f ca="1"/>
        <v>265.52341142525461</v>
      </c>
      <c r="R276">
        <f ca="1"/>
        <v>0</v>
      </c>
      <c r="S276">
        <f ca="1"/>
        <v>0.31336836388535116</v>
      </c>
      <c r="T276">
        <f ca="1"/>
        <v>0</v>
      </c>
      <c r="U276">
        <f ca="1"/>
        <v>0</v>
      </c>
      <c r="V276">
        <f ca="1"/>
        <v>0.99999845104237461</v>
      </c>
      <c r="X276" s="2">
        <f t="shared" ca="1" si="29"/>
        <v>45686</v>
      </c>
      <c r="Y276">
        <f t="shared" ca="1" si="30"/>
        <v>0</v>
      </c>
      <c r="AA276" s="63">
        <f t="shared" ca="1" si="32"/>
        <v>-143.00953250382165</v>
      </c>
      <c r="AB276" s="63">
        <f t="shared" ca="1" si="33"/>
        <v>-143.00953250382165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45687</v>
      </c>
      <c r="K277">
        <f ca="1"/>
        <v>-153.49021263751158</v>
      </c>
      <c r="L277">
        <f ca="1"/>
        <v>5.4805961851356528</v>
      </c>
      <c r="M277">
        <f ca="1"/>
        <v>2.3292096618909852E-2</v>
      </c>
      <c r="N277">
        <f ca="1"/>
        <v>0.61663807668644022</v>
      </c>
      <c r="O277">
        <f ca="1"/>
        <v>0</v>
      </c>
      <c r="P277">
        <f ca="1"/>
        <v>316.55949486472315</v>
      </c>
      <c r="Q277">
        <f ca="1"/>
        <v>270.20140984269261</v>
      </c>
      <c r="R277">
        <f ca="1"/>
        <v>0</v>
      </c>
      <c r="S277">
        <f ca="1"/>
        <v>0.30304599682047434</v>
      </c>
      <c r="T277">
        <f ca="1"/>
        <v>0</v>
      </c>
      <c r="U277">
        <f ca="1"/>
        <v>0</v>
      </c>
      <c r="V277">
        <f ca="1"/>
        <v>0.99999875686732786</v>
      </c>
      <c r="X277" s="2">
        <f t="shared" ca="1" si="29"/>
        <v>45687</v>
      </c>
      <c r="Y277">
        <f t="shared" ca="1" si="30"/>
        <v>0</v>
      </c>
      <c r="AA277" s="63">
        <f t="shared" ca="1" si="32"/>
        <v>-148.00961645237592</v>
      </c>
      <c r="AB277" s="63">
        <f t="shared" ca="1" si="33"/>
        <v>-148.00961645237592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45688</v>
      </c>
      <c r="K278">
        <f ca="1"/>
        <v>-158.03002820464675</v>
      </c>
      <c r="L278">
        <f ca="1"/>
        <v>5.1406621061574924</v>
      </c>
      <c r="M278">
        <f ca="1"/>
        <v>1.9983081696629768E-2</v>
      </c>
      <c r="N278">
        <f ca="1"/>
        <v>0.58086345732566624</v>
      </c>
      <c r="O278">
        <f ca="1"/>
        <v>0</v>
      </c>
      <c r="P278">
        <f ca="1"/>
        <v>321.70015697088064</v>
      </c>
      <c r="Q278">
        <f ca="1"/>
        <v>274.58925532242529</v>
      </c>
      <c r="R278">
        <f ca="1"/>
        <v>0</v>
      </c>
      <c r="S278">
        <f ca="1"/>
        <v>0.27303123502802329</v>
      </c>
      <c r="T278">
        <f ca="1"/>
        <v>0</v>
      </c>
      <c r="U278">
        <f ca="1"/>
        <v>0</v>
      </c>
      <c r="V278">
        <f ca="1"/>
        <v>0.99999899683685145</v>
      </c>
      <c r="X278" s="2">
        <f t="shared" ca="1" si="29"/>
        <v>45688</v>
      </c>
      <c r="Y278">
        <f t="shared" ca="1" si="30"/>
        <v>0</v>
      </c>
      <c r="AA278" s="63">
        <f t="shared" ca="1" si="32"/>
        <v>-152.88936609848926</v>
      </c>
      <c r="AB278" s="63">
        <f t="shared" ca="1" si="33"/>
        <v>-152.88936609848926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45689</v>
      </c>
      <c r="K279">
        <f ca="1"/>
        <v>-162.33241389060532</v>
      </c>
      <c r="L279">
        <f ca="1"/>
        <v>4.9383564401836111</v>
      </c>
      <c r="M279">
        <f ca="1"/>
        <v>2.2848435637321529E-2</v>
      </c>
      <c r="N279">
        <f ca="1"/>
        <v>0.61312231858771726</v>
      </c>
      <c r="O279">
        <f ca="1"/>
        <v>0</v>
      </c>
      <c r="P279">
        <f ca="1"/>
        <v>326.63851341106425</v>
      </c>
      <c r="Q279">
        <f ca="1"/>
        <v>278.8044214889419</v>
      </c>
      <c r="R279">
        <f ca="1"/>
        <v>0</v>
      </c>
      <c r="S279">
        <f ca="1"/>
        <v>0.32007592691337061</v>
      </c>
      <c r="T279">
        <f ca="1"/>
        <v>0</v>
      </c>
      <c r="U279">
        <f ca="1"/>
        <v>0</v>
      </c>
      <c r="V279">
        <f ca="1"/>
        <v>0.99999919048362373</v>
      </c>
      <c r="X279" s="2">
        <f t="shared" ca="1" si="29"/>
        <v>45689</v>
      </c>
      <c r="Y279">
        <f t="shared" ca="1" si="30"/>
        <v>0</v>
      </c>
      <c r="AA279" s="63">
        <f t="shared" ca="1" si="32"/>
        <v>-157.39405745042171</v>
      </c>
      <c r="AB279" s="63">
        <f t="shared" ca="1" si="33"/>
        <v>-157.39405745042171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45690</v>
      </c>
      <c r="K280">
        <f ca="1"/>
        <v>-166.35126523767718</v>
      </c>
      <c r="L280">
        <f ca="1"/>
        <v>4.6818237331577279</v>
      </c>
      <c r="M280">
        <f ca="1"/>
        <v>2.4906586636674888E-2</v>
      </c>
      <c r="N280">
        <f ca="1"/>
        <v>0.63806579944920006</v>
      </c>
      <c r="O280">
        <f ca="1"/>
        <v>0</v>
      </c>
      <c r="P280">
        <f ca="1"/>
        <v>331.32033714422198</v>
      </c>
      <c r="Q280">
        <f ca="1"/>
        <v>282.80062249967062</v>
      </c>
      <c r="R280">
        <f ca="1"/>
        <v>0</v>
      </c>
      <c r="S280">
        <f ca="1"/>
        <v>0.36299586021627972</v>
      </c>
      <c r="T280">
        <f ca="1"/>
        <v>0</v>
      </c>
      <c r="U280">
        <f ca="1"/>
        <v>0</v>
      </c>
      <c r="V280">
        <f ca="1"/>
        <v>0.99999934511364497</v>
      </c>
      <c r="X280" s="2">
        <f t="shared" ca="1" si="29"/>
        <v>45690</v>
      </c>
      <c r="Y280">
        <f t="shared" ca="1" si="30"/>
        <v>0</v>
      </c>
      <c r="AA280" s="63">
        <f t="shared" ca="1" si="32"/>
        <v>-161.66944150451943</v>
      </c>
      <c r="AB280" s="63">
        <f t="shared" ca="1" si="33"/>
        <v>-161.66944150451945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45691</v>
      </c>
      <c r="K281">
        <f ca="1"/>
        <v>-170.27538080564557</v>
      </c>
      <c r="L281">
        <f ca="1"/>
        <v>4.5753984132115306</v>
      </c>
      <c r="M281">
        <f ca="1"/>
        <v>2.2672948533326576E-2</v>
      </c>
      <c r="N281">
        <f ca="1"/>
        <v>0.62860989670981005</v>
      </c>
      <c r="O281">
        <f ca="1"/>
        <v>0</v>
      </c>
      <c r="P281">
        <f ca="1"/>
        <v>335.89573555743351</v>
      </c>
      <c r="Q281">
        <f ca="1"/>
        <v>286.7059834883533</v>
      </c>
      <c r="R281">
        <f ca="1"/>
        <v>0</v>
      </c>
      <c r="S281">
        <f ca="1"/>
        <v>0.33365278333543047</v>
      </c>
      <c r="T281">
        <f ca="1"/>
        <v>0</v>
      </c>
      <c r="U281">
        <f ca="1"/>
        <v>0</v>
      </c>
      <c r="V281">
        <f ca="1"/>
        <v>0.99999947252085475</v>
      </c>
      <c r="X281" s="2">
        <f t="shared" ca="1" si="29"/>
        <v>45691</v>
      </c>
      <c r="Y281">
        <f t="shared" ca="1" si="30"/>
        <v>0</v>
      </c>
      <c r="AA281" s="63">
        <f t="shared" ca="1" si="32"/>
        <v>-165.69998239243404</v>
      </c>
      <c r="AB281" s="63">
        <f t="shared" ca="1" si="33"/>
        <v>-165.69998239243404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45692</v>
      </c>
      <c r="K282">
        <f ca="1"/>
        <v>-173.86234893041851</v>
      </c>
      <c r="L282">
        <f ca="1"/>
        <v>4.2484851705285678</v>
      </c>
      <c r="M282">
        <f ca="1"/>
        <v>2.374444556507882E-2</v>
      </c>
      <c r="N282">
        <f ca="1"/>
        <v>0.63777260019053705</v>
      </c>
      <c r="O282">
        <f ca="1"/>
        <v>0</v>
      </c>
      <c r="P282">
        <f ca="1"/>
        <v>340.14422072796208</v>
      </c>
      <c r="Q282">
        <f ca="1"/>
        <v>290.33230555859518</v>
      </c>
      <c r="R282">
        <f ca="1"/>
        <v>0</v>
      </c>
      <c r="S282">
        <f ca="1"/>
        <v>0.36985271513692841</v>
      </c>
      <c r="T282">
        <f ca="1"/>
        <v>0</v>
      </c>
      <c r="U282">
        <f ca="1"/>
        <v>0</v>
      </c>
      <c r="V282">
        <f ca="1"/>
        <v>0.99999957247623494</v>
      </c>
      <c r="X282" s="2">
        <f t="shared" ca="1" si="29"/>
        <v>45692</v>
      </c>
      <c r="Y282">
        <f t="shared" ca="1" si="30"/>
        <v>0</v>
      </c>
      <c r="AA282" s="63">
        <f t="shared" ca="1" si="32"/>
        <v>-169.61386375988994</v>
      </c>
      <c r="AB282" s="63">
        <f t="shared" ca="1" si="33"/>
        <v>-169.61386375988994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45693</v>
      </c>
      <c r="K283">
        <f ca="1"/>
        <v>-177.15336113244717</v>
      </c>
      <c r="L283">
        <f ca="1"/>
        <v>3.9232698357785125</v>
      </c>
      <c r="M283">
        <f ca="1"/>
        <v>2.1869522950737519E-2</v>
      </c>
      <c r="N283">
        <f ca="1"/>
        <v>0.61038811079910182</v>
      </c>
      <c r="O283">
        <f ca="1"/>
        <v>0</v>
      </c>
      <c r="P283">
        <f ca="1"/>
        <v>344.06749056374059</v>
      </c>
      <c r="Q283">
        <f ca="1"/>
        <v>293.68103797072422</v>
      </c>
      <c r="R283">
        <f ca="1"/>
        <v>0</v>
      </c>
      <c r="S283">
        <f ca="1"/>
        <v>0.36214279885189843</v>
      </c>
      <c r="T283">
        <f ca="1"/>
        <v>0</v>
      </c>
      <c r="U283">
        <f ca="1"/>
        <v>0</v>
      </c>
      <c r="V283">
        <f ca="1"/>
        <v>0.99999965098974297</v>
      </c>
      <c r="X283" s="2">
        <f t="shared" ca="1" si="29"/>
        <v>45693</v>
      </c>
      <c r="Y283">
        <f t="shared" ca="1" si="30"/>
        <v>0</v>
      </c>
      <c r="AA283" s="63">
        <f t="shared" ca="1" si="32"/>
        <v>-173.23009129666866</v>
      </c>
      <c r="AB283" s="63">
        <f t="shared" ca="1" si="33"/>
        <v>-173.23009129666866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45694</v>
      </c>
      <c r="K284">
        <f ca="1"/>
        <v>-180.15505883281816</v>
      </c>
      <c r="L284">
        <f ca="1"/>
        <v>3.5798709309989931</v>
      </c>
      <c r="M284">
        <f ca="1"/>
        <v>1.8508627498029284E-2</v>
      </c>
      <c r="N284">
        <f ca="1"/>
        <v>0.55966460312997957</v>
      </c>
      <c r="O284">
        <f ca="1"/>
        <v>0</v>
      </c>
      <c r="P284">
        <f ca="1"/>
        <v>347.64736149473958</v>
      </c>
      <c r="Q284">
        <f ca="1"/>
        <v>296.73666002061452</v>
      </c>
      <c r="R284">
        <f ca="1"/>
        <v>0</v>
      </c>
      <c r="S284">
        <f ca="1"/>
        <v>0.3281024264704851</v>
      </c>
      <c r="T284">
        <f ca="1"/>
        <v>0</v>
      </c>
      <c r="U284">
        <f ca="1"/>
        <v>0</v>
      </c>
      <c r="V284">
        <f ca="1"/>
        <v>0.99999971239955532</v>
      </c>
      <c r="X284" s="2">
        <f t="shared" ca="1" si="29"/>
        <v>45694</v>
      </c>
      <c r="Y284">
        <f t="shared" ca="1" si="30"/>
        <v>0</v>
      </c>
      <c r="AA284" s="63">
        <f t="shared" ca="1" si="32"/>
        <v>-176.57518790181916</v>
      </c>
      <c r="AB284" s="63">
        <f t="shared" ca="1" si="33"/>
        <v>-176.57518790181916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45695</v>
      </c>
      <c r="K285">
        <f ca="1"/>
        <v>-182.91702021198796</v>
      </c>
      <c r="L285">
        <f ca="1"/>
        <v>3.3325466727200705</v>
      </c>
      <c r="M285">
        <f ca="1"/>
        <v>1.8225419124050291E-2</v>
      </c>
      <c r="N285">
        <f ca="1"/>
        <v>0.55235987442621326</v>
      </c>
      <c r="O285">
        <f ca="1"/>
        <v>0</v>
      </c>
      <c r="P285">
        <f ca="1"/>
        <v>350.97990816745966</v>
      </c>
      <c r="Q285">
        <f ca="1"/>
        <v>299.58117684586517</v>
      </c>
      <c r="R285">
        <f ca="1"/>
        <v>0</v>
      </c>
      <c r="S285">
        <f ca="1"/>
        <v>0.33906029536963173</v>
      </c>
      <c r="T285">
        <f ca="1"/>
        <v>0</v>
      </c>
      <c r="U285">
        <f ca="1"/>
        <v>0</v>
      </c>
      <c r="V285">
        <f ca="1"/>
        <v>0.99999976174106597</v>
      </c>
      <c r="X285" s="2">
        <f t="shared" ca="1" si="29"/>
        <v>45695</v>
      </c>
      <c r="Y285">
        <f t="shared" ca="1" si="30"/>
        <v>0</v>
      </c>
      <c r="AA285" s="63">
        <f t="shared" ca="1" si="32"/>
        <v>-179.58447353926789</v>
      </c>
      <c r="AB285" s="63">
        <f t="shared" ca="1" si="33"/>
        <v>-179.58447353926789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45696</v>
      </c>
      <c r="K286">
        <f ca="1"/>
        <v>-185.62584549767243</v>
      </c>
      <c r="L286">
        <f ca="1"/>
        <v>3.3024447737167861</v>
      </c>
      <c r="M286">
        <f ca="1"/>
        <v>1.8602694371260498E-2</v>
      </c>
      <c r="N286">
        <f ca="1"/>
        <v>0.57501679366105918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0.34428470061527722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45696</v>
      </c>
      <c r="Y286">
        <f t="shared" ca="1" si="30"/>
        <v>0</v>
      </c>
      <c r="AA286" s="63">
        <f t="shared" ca="1" si="32"/>
        <v>-182.32340072395564</v>
      </c>
      <c r="AB286" s="63">
        <f t="shared" ca="1" si="33"/>
        <v>-182.32340072395564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2026-05-18T02:09:56Z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