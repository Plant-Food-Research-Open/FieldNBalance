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8_{1CF9B2FF-7754-4EDE-BE82-B7C06EA91B66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" l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9" i="3" a="1"/>
  <c r="AI10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G5" i="3" a="1"/>
  <c r="J10" i="3" a="1"/>
  <c r="I1" i="3" a="1"/>
  <c r="AH10" i="3" a="1"/>
  <c r="AH9" i="3" a="1"/>
  <c r="AG10" i="3" a="1"/>
  <c r="AG9" i="3" a="1"/>
  <c r="AG11" i="3" a="1"/>
  <c r="AH1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L10" i="3" a="1"/>
  <c r="AM10" i="3" a="1"/>
  <c r="AM11" i="3" a="1"/>
  <c r="AO9" i="3" a="1"/>
  <c r="AN9" i="3" a="1"/>
  <c r="AL11" i="3" a="1"/>
  <c r="AL9" i="3" a="1"/>
  <c r="AK9" i="3" a="1"/>
  <c r="AM9" i="3" a="1"/>
  <c r="AN11" i="3" a="1"/>
  <c r="AJ11" i="3" a="1"/>
  <c r="AK11" i="3" a="1"/>
  <c r="AN10" i="3" a="1"/>
  <c r="AO11" i="3" a="1"/>
  <c r="AJ9" i="3" a="1"/>
  <c r="AJ10" i="3" a="1"/>
  <c r="AO10" i="3" a="1"/>
  <c r="AK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F30" i="1" l="1"/>
  <c r="G30" i="1" s="1"/>
  <c r="F32" i="1"/>
  <c r="G32" i="1" s="1"/>
  <c r="F31" i="1"/>
  <c r="G31" i="1" s="1"/>
  <c r="AI19" i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H31" i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<sst xmlns="http://schemas.openxmlformats.org/spreadsheetml/2006/main" count="490" uniqueCount="284">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</sst>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19800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343</c:v>
                </c:pt>
                <c:pt idx="1">
                  <c:v>1332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27605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6896</c:v>
                </c:pt>
                <c:pt idx="1">
                  <c:v>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342.68088591842252</c:v>
                </c:pt>
                <c:pt idx="16">
                  <c:v>354.28366594103693</c:v>
                </c:pt>
                <c:pt idx="17">
                  <c:v>366.28548293481612</c:v>
                </c:pt>
                <c:pt idx="18">
                  <c:v>378.90478924596141</c:v>
                </c:pt>
                <c:pt idx="19">
                  <c:v>391.78850927803171</c:v>
                </c:pt>
                <c:pt idx="20">
                  <c:v>405.0679030604897</c:v>
                </c:pt>
                <c:pt idx="21">
                  <c:v>418.36437442872671</c:v>
                </c:pt>
                <c:pt idx="22">
                  <c:v>432.06507737970054</c:v>
                </c:pt>
                <c:pt idx="23">
                  <c:v>446.39488936426426</c:v>
                </c:pt>
                <c:pt idx="24">
                  <c:v>461.27544977762255</c:v>
                </c:pt>
                <c:pt idx="25">
                  <c:v>476.43020875264983</c:v>
                </c:pt>
                <c:pt idx="26">
                  <c:v>492.16293105602</c:v>
                </c:pt>
                <c:pt idx="27">
                  <c:v>509.28847050072585</c:v>
                </c:pt>
                <c:pt idx="28">
                  <c:v>527.15679651791243</c:v>
                </c:pt>
                <c:pt idx="29">
                  <c:v>545.95009367046839</c:v>
                </c:pt>
                <c:pt idx="30">
                  <c:v>565.31627229643368</c:v>
                </c:pt>
                <c:pt idx="31">
                  <c:v>584.84996398014596</c:v>
                </c:pt>
                <c:pt idx="32">
                  <c:v>605.83851867511396</c:v>
                </c:pt>
                <c:pt idx="33">
                  <c:v>626.8920706323488</c:v>
                </c:pt>
                <c:pt idx="34">
                  <c:v>648.95074584354427</c:v>
                </c:pt>
                <c:pt idx="35">
                  <c:v>672.04760224061079</c:v>
                </c:pt>
                <c:pt idx="36">
                  <c:v>696.77447312377262</c:v>
                </c:pt>
                <c:pt idx="37">
                  <c:v>721.85311700230886</c:v>
                </c:pt>
                <c:pt idx="38">
                  <c:v>748.18854934607293</c:v>
                </c:pt>
                <c:pt idx="39">
                  <c:v>776.17191900668638</c:v>
                </c:pt>
                <c:pt idx="40">
                  <c:v>805.62612683987822</c:v>
                </c:pt>
                <c:pt idx="41">
                  <c:v>835.91914342568236</c:v>
                </c:pt>
                <c:pt idx="42">
                  <c:v>866.75432744060163</c:v>
                </c:pt>
                <c:pt idx="43">
                  <c:v>898.45357009454074</c:v>
                </c:pt>
                <c:pt idx="44">
                  <c:v>931.11068106654091</c:v>
                </c:pt>
                <c:pt idx="45">
                  <c:v>964.63176392786033</c:v>
                </c:pt>
                <c:pt idx="46">
                  <c:v>999.75917895602231</c:v>
                </c:pt>
                <c:pt idx="47">
                  <c:v>1036.5159622182896</c:v>
                </c:pt>
                <c:pt idx="48">
                  <c:v>1075.9615965303556</c:v>
                </c:pt>
                <c:pt idx="49">
                  <c:v>1115.8702806837873</c:v>
                </c:pt>
                <c:pt idx="50">
                  <c:v>1156.8959193132423</c:v>
                </c:pt>
                <c:pt idx="51">
                  <c:v>1200.6989982053988</c:v>
                </c:pt>
                <c:pt idx="52">
                  <c:v>1247.2522104634836</c:v>
                </c:pt>
                <c:pt idx="53">
                  <c:v>1296.8120624545347</c:v>
                </c:pt>
                <c:pt idx="54">
                  <c:v>1347.8187491719518</c:v>
                </c:pt>
                <c:pt idx="55">
                  <c:v>1399.7194580898156</c:v>
                </c:pt>
                <c:pt idx="56">
                  <c:v>1453.1815233288564</c:v>
                </c:pt>
                <c:pt idx="57">
                  <c:v>1509.8863315431861</c:v>
                </c:pt>
                <c:pt idx="58">
                  <c:v>1566.9205823396669</c:v>
                </c:pt>
                <c:pt idx="59">
                  <c:v>1626.127424145956</c:v>
                </c:pt>
                <c:pt idx="60">
                  <c:v>1688.0208711641674</c:v>
                </c:pt>
                <c:pt idx="61">
                  <c:v>1750.9216857192964</c:v>
                </c:pt>
                <c:pt idx="62">
                  <c:v>1819.7568682940303</c:v>
                </c:pt>
                <c:pt idx="63">
                  <c:v>1892.2503795201594</c:v>
                </c:pt>
                <c:pt idx="64">
                  <c:v>1963.3534134012887</c:v>
                </c:pt>
                <c:pt idx="65">
                  <c:v>2038.4957405367459</c:v>
                </c:pt>
                <c:pt idx="66">
                  <c:v>2119.3518284402207</c:v>
                </c:pt>
                <c:pt idx="67">
                  <c:v>2202.6673387711839</c:v>
                </c:pt>
                <c:pt idx="68">
                  <c:v>2286.8695035092373</c:v>
                </c:pt>
                <c:pt idx="69">
                  <c:v>2372.0896030591998</c:v>
                </c:pt>
                <c:pt idx="70">
                  <c:v>2460.5489704359074</c:v>
                </c:pt>
                <c:pt idx="71">
                  <c:v>2556.198483399442</c:v>
                </c:pt>
                <c:pt idx="72">
                  <c:v>2651.6046293935924</c:v>
                </c:pt>
                <c:pt idx="73">
                  <c:v>2748.3178890043405</c:v>
                </c:pt>
                <c:pt idx="74">
                  <c:v>2847.252825743125</c:v>
                </c:pt>
                <c:pt idx="75">
                  <c:v>2953.0904840512108</c:v>
                </c:pt>
                <c:pt idx="76">
                  <c:v>3064.7650816483447</c:v>
                </c:pt>
                <c:pt idx="77">
                  <c:v>3183.3717594629657</c:v>
                </c:pt>
                <c:pt idx="78">
                  <c:v>3300.731860422708</c:v>
                </c:pt>
                <c:pt idx="79">
                  <c:v>3426.0236569389804</c:v>
                </c:pt>
                <c:pt idx="80">
                  <c:v>3558.2091320698464</c:v>
                </c:pt>
                <c:pt idx="81">
                  <c:v>3702.289772419379</c:v>
                </c:pt>
                <c:pt idx="82">
                  <c:v>3845.5416965929285</c:v>
                </c:pt>
                <c:pt idx="83">
                  <c:v>3993.7114952963943</c:v>
                </c:pt>
                <c:pt idx="84">
                  <c:v>4151.3705193110745</c:v>
                </c:pt>
                <c:pt idx="85">
                  <c:v>4312.0928332287967</c:v>
                </c:pt>
                <c:pt idx="86">
                  <c:v>4472.2888331135327</c:v>
                </c:pt>
                <c:pt idx="87">
                  <c:v>4638.085772171783</c:v>
                </c:pt>
                <c:pt idx="88">
                  <c:v>4807.5279227574401</c:v>
                </c:pt>
                <c:pt idx="89">
                  <c:v>4984.6098924123789</c:v>
                </c:pt>
                <c:pt idx="90">
                  <c:v>5171.4456427859232</c:v>
                </c:pt>
                <c:pt idx="91">
                  <c:v>5358.5661352596362</c:v>
                </c:pt>
                <c:pt idx="92">
                  <c:v>5555.2262468359095</c:v>
                </c:pt>
                <c:pt idx="93">
                  <c:v>5761.114585491101</c:v>
                </c:pt>
                <c:pt idx="94">
                  <c:v>5967.5412432842713</c:v>
                </c:pt>
                <c:pt idx="95">
                  <c:v>6184.72487155625</c:v>
                </c:pt>
                <c:pt idx="96">
                  <c:v>6409.2566416007458</c:v>
                </c:pt>
                <c:pt idx="97">
                  <c:v>6639.2128889328815</c:v>
                </c:pt>
                <c:pt idx="98">
                  <c:v>6871.3224252127911</c:v>
                </c:pt>
                <c:pt idx="99">
                  <c:v>7108.2709719325876</c:v>
                </c:pt>
                <c:pt idx="100">
                  <c:v>7356.7339689952323</c:v>
                </c:pt>
                <c:pt idx="101">
                  <c:v>7616.7306829264962</c:v>
                </c:pt>
                <c:pt idx="102">
                  <c:v>7876.0164646779949</c:v>
                </c:pt>
                <c:pt idx="103">
                  <c:v>8134.258816329494</c:v>
                </c:pt>
                <c:pt idx="104">
                  <c:v>8397.2290738256779</c:v>
                </c:pt>
                <c:pt idx="105">
                  <c:v>8673.2522198012666</c:v>
                </c:pt>
                <c:pt idx="106">
                  <c:v>8955.9610132545549</c:v>
                </c:pt>
                <c:pt idx="107">
                  <c:v>9248.4115335363404</c:v>
                </c:pt>
                <c:pt idx="108">
                  <c:v>9550.6839661725262</c:v>
                </c:pt>
                <c:pt idx="109">
                  <c:v>9855.1576687387114</c:v>
                </c:pt>
                <c:pt idx="110">
                  <c:v>10177.271125582878</c:v>
                </c:pt>
                <c:pt idx="111">
                  <c:v>10505.515633034933</c:v>
                </c:pt>
                <c:pt idx="112">
                  <c:v>10831.010423679023</c:v>
                </c:pt>
                <c:pt idx="113">
                  <c:v>11159.161243250172</c:v>
                </c:pt>
                <c:pt idx="114">
                  <c:v>11493.73324995425</c:v>
                </c:pt>
                <c:pt idx="115">
                  <c:v>11838.225510470464</c:v>
                </c:pt>
                <c:pt idx="116">
                  <c:v>12191.837430231026</c:v>
                </c:pt>
                <c:pt idx="117">
                  <c:v>12557.931263177506</c:v>
                </c:pt>
                <c:pt idx="118">
                  <c:v>12933.640602080735</c:v>
                </c:pt>
                <c:pt idx="119">
                  <c:v>13313.235630539393</c:v>
                </c:pt>
                <c:pt idx="120">
                  <c:v>13691.035257029474</c:v>
                </c:pt>
                <c:pt idx="121">
                  <c:v>14071.303120567494</c:v>
                </c:pt>
                <c:pt idx="122">
                  <c:v>14440.970470376156</c:v>
                </c:pt>
                <c:pt idx="123">
                  <c:v>14810.278852977146</c:v>
                </c:pt>
                <c:pt idx="124">
                  <c:v>15190.484399273302</c:v>
                </c:pt>
                <c:pt idx="125">
                  <c:v>15568.506015160674</c:v>
                </c:pt>
                <c:pt idx="126">
                  <c:v>15958.286262530895</c:v>
                </c:pt>
                <c:pt idx="127">
                  <c:v>16357.398115669401</c:v>
                </c:pt>
                <c:pt idx="128">
                  <c:v>16749.526596430173</c:v>
                </c:pt>
                <c:pt idx="129">
                  <c:v>17137.6062387493</c:v>
                </c:pt>
                <c:pt idx="130">
                  <c:v>17519.37850495979</c:v>
                </c:pt>
                <c:pt idx="131">
                  <c:v>17900.20965513933</c:v>
                </c:pt>
                <c:pt idx="132">
                  <c:v>18278.255342926397</c:v>
                </c:pt>
                <c:pt idx="133">
                  <c:v>18645.665555979813</c:v>
                </c:pt>
                <c:pt idx="134">
                  <c:v>19012.529009376129</c:v>
                </c:pt>
                <c:pt idx="135">
                  <c:v>19380.405527856503</c:v>
                </c:pt>
                <c:pt idx="136">
                  <c:v>19742.828156539043</c:v>
                </c:pt>
                <c:pt idx="137">
                  <c:v>20102.694825123388</c:v>
                </c:pt>
                <c:pt idx="138">
                  <c:v>20448.655999756898</c:v>
                </c:pt>
                <c:pt idx="139">
                  <c:v>20791.057376392691</c:v>
                </c:pt>
                <c:pt idx="140">
                  <c:v>21131.57894736842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6927.4817996157581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5169.2968135715246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5169.3201684690648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5169.3471922591589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5169.3649427906539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50.16710817767251</c:v>
                </c:pt>
                <c:pt idx="2">
                  <c:v>50.371806674236964</c:v>
                </c:pt>
                <c:pt idx="3">
                  <c:v>50.595594171123395</c:v>
                </c:pt>
                <c:pt idx="4">
                  <c:v>49.81051492337518</c:v>
                </c:pt>
                <c:pt idx="5">
                  <c:v>49.487306918145407</c:v>
                </c:pt>
                <c:pt idx="6">
                  <c:v>49.051735136567324</c:v>
                </c:pt>
                <c:pt idx="7">
                  <c:v>48.471897774584576</c:v>
                </c:pt>
                <c:pt idx="8">
                  <c:v>47.88914885228148</c:v>
                </c:pt>
                <c:pt idx="9">
                  <c:v>47.517357513123464</c:v>
                </c:pt>
                <c:pt idx="10">
                  <c:v>46.972436894931896</c:v>
                </c:pt>
                <c:pt idx="11">
                  <c:v>46.773507993829419</c:v>
                </c:pt>
                <c:pt idx="12">
                  <c:v>46.666300454036993</c:v>
                </c:pt>
                <c:pt idx="13">
                  <c:v>46.253656624523451</c:v>
                </c:pt>
                <c:pt idx="14">
                  <c:v>46.071042348169108</c:v>
                </c:pt>
                <c:pt idx="15">
                  <c:v>6896.4627093124627</c:v>
                </c:pt>
                <c:pt idx="16">
                  <c:v>6838.5584428914581</c:v>
                </c:pt>
                <c:pt idx="17">
                  <c:v>6779.5441973122824</c:v>
                </c:pt>
                <c:pt idx="18">
                  <c:v>6575.4155637686672</c:v>
                </c:pt>
                <c:pt idx="19">
                  <c:v>6472.4093604830614</c:v>
                </c:pt>
                <c:pt idx="20">
                  <c:v>6428.0420880435386</c:v>
                </c:pt>
                <c:pt idx="21">
                  <c:v>6404.9265813340371</c:v>
                </c:pt>
                <c:pt idx="22">
                  <c:v>6383.5519967024429</c:v>
                </c:pt>
                <c:pt idx="23">
                  <c:v>6329.207200126988</c:v>
                </c:pt>
                <c:pt idx="24">
                  <c:v>6220.8765325856693</c:v>
                </c:pt>
                <c:pt idx="25">
                  <c:v>6174.1770511799114</c:v>
                </c:pt>
                <c:pt idx="26">
                  <c:v>6133.5306033948937</c:v>
                </c:pt>
                <c:pt idx="27">
                  <c:v>6113.1426086023366</c:v>
                </c:pt>
                <c:pt idx="28">
                  <c:v>6039.5073301344146</c:v>
                </c:pt>
                <c:pt idx="29">
                  <c:v>5902.1967645510422</c:v>
                </c:pt>
                <c:pt idx="30">
                  <c:v>5828.3901022534392</c:v>
                </c:pt>
                <c:pt idx="31">
                  <c:v>5792.0674875505574</c:v>
                </c:pt>
                <c:pt idx="32">
                  <c:v>5708.3404797816929</c:v>
                </c:pt>
                <c:pt idx="33">
                  <c:v>5642.9714648289646</c:v>
                </c:pt>
                <c:pt idx="34">
                  <c:v>5621.3518619220322</c:v>
                </c:pt>
                <c:pt idx="35">
                  <c:v>5595.0853721668454</c:v>
                </c:pt>
                <c:pt idx="36">
                  <c:v>5524.8676973909696</c:v>
                </c:pt>
                <c:pt idx="37">
                  <c:v>5414.9417504876374</c:v>
                </c:pt>
                <c:pt idx="38">
                  <c:v>5356.0149356545708</c:v>
                </c:pt>
                <c:pt idx="39">
                  <c:v>5301.0422421952489</c:v>
                </c:pt>
                <c:pt idx="40">
                  <c:v>5234.2820478127915</c:v>
                </c:pt>
                <c:pt idx="41">
                  <c:v>5195.2828539619431</c:v>
                </c:pt>
                <c:pt idx="42">
                  <c:v>5161.7588867633003</c:v>
                </c:pt>
                <c:pt idx="43">
                  <c:v>5094.2994649111797</c:v>
                </c:pt>
                <c:pt idx="44">
                  <c:v>5061.7894292316141</c:v>
                </c:pt>
                <c:pt idx="45">
                  <c:v>5024.2599994486563</c:v>
                </c:pt>
                <c:pt idx="46">
                  <c:v>4941.9241697163789</c:v>
                </c:pt>
                <c:pt idx="47">
                  <c:v>4880.3238112572417</c:v>
                </c:pt>
                <c:pt idx="48">
                  <c:v>4787.5235165915747</c:v>
                </c:pt>
                <c:pt idx="49">
                  <c:v>4727.2055905648749</c:v>
                </c:pt>
                <c:pt idx="50">
                  <c:v>4640.3355068741857</c:v>
                </c:pt>
                <c:pt idx="51">
                  <c:v>4592.1470612502562</c:v>
                </c:pt>
                <c:pt idx="52">
                  <c:v>4501.1523189335212</c:v>
                </c:pt>
                <c:pt idx="53">
                  <c:v>4426.6723810530639</c:v>
                </c:pt>
                <c:pt idx="54">
                  <c:v>4308.9344516553138</c:v>
                </c:pt>
                <c:pt idx="55">
                  <c:v>4154.7110063179771</c:v>
                </c:pt>
                <c:pt idx="56">
                  <c:v>4060.7301240755355</c:v>
                </c:pt>
                <c:pt idx="57">
                  <c:v>3955.424495566419</c:v>
                </c:pt>
                <c:pt idx="58">
                  <c:v>3898.7855184580112</c:v>
                </c:pt>
                <c:pt idx="59">
                  <c:v>3823.5454782488496</c:v>
                </c:pt>
                <c:pt idx="60">
                  <c:v>3762.0442874756045</c:v>
                </c:pt>
                <c:pt idx="61">
                  <c:v>3699.5243663982419</c:v>
                </c:pt>
                <c:pt idx="62">
                  <c:v>3611.7937129101415</c:v>
                </c:pt>
                <c:pt idx="63">
                  <c:v>3510.3178072745436</c:v>
                </c:pt>
                <c:pt idx="64">
                  <c:v>3407.6865978680025</c:v>
                </c:pt>
                <c:pt idx="65">
                  <c:v>3332.9246018421936</c:v>
                </c:pt>
                <c:pt idx="66">
                  <c:v>3217.9031902369934</c:v>
                </c:pt>
                <c:pt idx="67">
                  <c:v>3101.3266757857914</c:v>
                </c:pt>
                <c:pt idx="68">
                  <c:v>2972.3176243278313</c:v>
                </c:pt>
                <c:pt idx="69">
                  <c:v>2844.3798255113829</c:v>
                </c:pt>
                <c:pt idx="70">
                  <c:v>2754.61013531864</c:v>
                </c:pt>
                <c:pt idx="71">
                  <c:v>2656.5535293051712</c:v>
                </c:pt>
                <c:pt idx="72">
                  <c:v>2552.0853473892989</c:v>
                </c:pt>
                <c:pt idx="73">
                  <c:v>2455.7165862032462</c:v>
                </c:pt>
                <c:pt idx="74">
                  <c:v>2357.1198186617216</c:v>
                </c:pt>
                <c:pt idx="75">
                  <c:v>2251.6304780682763</c:v>
                </c:pt>
                <c:pt idx="76">
                  <c:v>2140.3092649544915</c:v>
                </c:pt>
                <c:pt idx="77">
                  <c:v>2022.0636955293412</c:v>
                </c:pt>
                <c:pt idx="78">
                  <c:v>1905.0447850170597</c:v>
                </c:pt>
                <c:pt idx="79">
                  <c:v>1780.1041101950152</c:v>
                </c:pt>
                <c:pt idx="80">
                  <c:v>6817.5603149902863</c:v>
                </c:pt>
                <c:pt idx="81">
                  <c:v>6673.8437402356667</c:v>
                </c:pt>
                <c:pt idx="82">
                  <c:v>6530.9424567853475</c:v>
                </c:pt>
                <c:pt idx="83">
                  <c:v>6383.1177774079597</c:v>
                </c:pt>
                <c:pt idx="84">
                  <c:v>6225.8068561817145</c:v>
                </c:pt>
                <c:pt idx="85">
                  <c:v>6065.4150468562621</c:v>
                </c:pt>
                <c:pt idx="86">
                  <c:v>5905.5271001866486</c:v>
                </c:pt>
                <c:pt idx="87">
                  <c:v>5740.0253128961722</c:v>
                </c:pt>
                <c:pt idx="88">
                  <c:v>5570.869946349263</c:v>
                </c:pt>
                <c:pt idx="89">
                  <c:v>5394.0767166910036</c:v>
                </c:pt>
                <c:pt idx="90">
                  <c:v>5207.5476191380349</c:v>
                </c:pt>
                <c:pt idx="91">
                  <c:v>5020.7245041311453</c:v>
                </c:pt>
                <c:pt idx="92">
                  <c:v>4824.3710885546434</c:v>
                </c:pt>
                <c:pt idx="93">
                  <c:v>4618.7933910974689</c:v>
                </c:pt>
                <c:pt idx="94">
                  <c:v>4412.6661279614082</c:v>
                </c:pt>
                <c:pt idx="95">
                  <c:v>4195.7839825439351</c:v>
                </c:pt>
                <c:pt idx="96">
                  <c:v>3971.545386842321</c:v>
                </c:pt>
                <c:pt idx="97">
                  <c:v>3741.880165369224</c:v>
                </c:pt>
                <c:pt idx="98">
                  <c:v>3510.0510798615578</c:v>
                </c:pt>
                <c:pt idx="99">
                  <c:v>8442.6975032728187</c:v>
                </c:pt>
                <c:pt idx="100">
                  <c:v>8194.5079352112771</c:v>
                </c:pt>
                <c:pt idx="101">
                  <c:v>7934.793102445753</c:v>
                </c:pt>
                <c:pt idx="102">
                  <c:v>7675.772209640254</c:v>
                </c:pt>
                <c:pt idx="103">
                  <c:v>7417.778832194721</c:v>
                </c:pt>
                <c:pt idx="104">
                  <c:v>7155.0468285606421</c:v>
                </c:pt>
                <c:pt idx="105">
                  <c:v>6879.2635840966459</c:v>
                </c:pt>
                <c:pt idx="106">
                  <c:v>6596.7919091320655</c:v>
                </c:pt>
                <c:pt idx="107">
                  <c:v>6304.5830804956577</c:v>
                </c:pt>
                <c:pt idx="108">
                  <c:v>6002.5518757116261</c:v>
                </c:pt>
                <c:pt idx="109">
                  <c:v>5698.3102844736795</c:v>
                </c:pt>
                <c:pt idx="110">
                  <c:v>5376.4341590510721</c:v>
                </c:pt>
                <c:pt idx="111">
                  <c:v>5048.4196384613697</c:v>
                </c:pt>
                <c:pt idx="112">
                  <c:v>4723.1453017437334</c:v>
                </c:pt>
                <c:pt idx="113">
                  <c:v>9564.5624285135455</c:v>
                </c:pt>
                <c:pt idx="114">
                  <c:v>9230.2073125863699</c:v>
                </c:pt>
                <c:pt idx="115">
                  <c:v>8885.9319222817849</c:v>
                </c:pt>
                <c:pt idx="116">
                  <c:v>8532.5320949820634</c:v>
                </c:pt>
                <c:pt idx="117">
                  <c:v>8166.6620120872103</c:v>
                </c:pt>
                <c:pt idx="118">
                  <c:v>7791.1722147219352</c:v>
                </c:pt>
                <c:pt idx="119">
                  <c:v>7411.8055144721611</c:v>
                </c:pt>
                <c:pt idx="120">
                  <c:v>7034.2341513239908</c:v>
                </c:pt>
                <c:pt idx="121">
                  <c:v>6654.1930851856214</c:v>
                </c:pt>
                <c:pt idx="122">
                  <c:v>6284.7424716437217</c:v>
                </c:pt>
                <c:pt idx="123">
                  <c:v>5915.6432640371477</c:v>
                </c:pt>
                <c:pt idx="124">
                  <c:v>5535.6453624848591</c:v>
                </c:pt>
                <c:pt idx="125">
                  <c:v>10327.19169293845</c:v>
                </c:pt>
                <c:pt idx="126">
                  <c:v>9937.6129006639603</c:v>
                </c:pt>
                <c:pt idx="127">
                  <c:v>9538.7030923433904</c:v>
                </c:pt>
                <c:pt idx="128">
                  <c:v>9146.7675255339109</c:v>
                </c:pt>
                <c:pt idx="129">
                  <c:v>8758.8830656206719</c:v>
                </c:pt>
                <c:pt idx="130">
                  <c:v>8377.3007316100011</c:v>
                </c:pt>
                <c:pt idx="131">
                  <c:v>7996.6691213062368</c:v>
                </c:pt>
                <c:pt idx="132">
                  <c:v>7618.8282414362866</c:v>
                </c:pt>
                <c:pt idx="133">
                  <c:v>7251.6208239804382</c:v>
                </c:pt>
                <c:pt idx="134">
                  <c:v>6884.9651636965</c:v>
                </c:pt>
                <c:pt idx="135">
                  <c:v>6517.2919271497885</c:v>
                </c:pt>
                <c:pt idx="136">
                  <c:v>6155.0729719694045</c:v>
                </c:pt>
                <c:pt idx="137">
                  <c:v>5795.4054649296986</c:v>
                </c:pt>
                <c:pt idx="138">
                  <c:v>5449.6332800898936</c:v>
                </c:pt>
                <c:pt idx="139">
                  <c:v>5107.4221067457675</c:v>
                </c:pt>
                <c:pt idx="140">
                  <c:v>4767.0989901098928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-1.0352258411896262</c:v>
                </c:pt>
                <c:pt idx="5">
                  <c:v>-1.6211842433943351</c:v>
                </c:pt>
                <c:pt idx="6">
                  <c:v>-2.3424580183155124</c:v>
                </c:pt>
                <c:pt idx="7">
                  <c:v>-3.2207126066892151</c:v>
                </c:pt>
                <c:pt idx="8">
                  <c:v>-4.1015953273169794</c:v>
                </c:pt>
                <c:pt idx="9">
                  <c:v>-4.7846056922664841</c:v>
                </c:pt>
                <c:pt idx="10">
                  <c:v>-5.6486262271512322</c:v>
                </c:pt>
                <c:pt idx="11">
                  <c:v>-6.1766923536322906</c:v>
                </c:pt>
                <c:pt idx="12">
                  <c:v>-6.6238772501570615</c:v>
                </c:pt>
                <c:pt idx="13">
                  <c:v>-7.3931627043933377</c:v>
                </c:pt>
                <c:pt idx="14">
                  <c:v>-7.9488195368882115</c:v>
                </c:pt>
                <c:pt idx="15">
                  <c:v>-85.423280376843053</c:v>
                </c:pt>
                <c:pt idx="16">
                  <c:v>-132.12369687380598</c:v>
                </c:pt>
                <c:pt idx="17">
                  <c:v>-179.54120454950015</c:v>
                </c:pt>
                <c:pt idx="18">
                  <c:v>-371.46710230935702</c:v>
                </c:pt>
                <c:pt idx="19">
                  <c:v>-462.00579092875171</c:v>
                </c:pt>
                <c:pt idx="20">
                  <c:v>-493.51251316319122</c:v>
                </c:pt>
                <c:pt idx="21">
                  <c:v>-503.7418306887418</c:v>
                </c:pt>
                <c:pt idx="22">
                  <c:v>-511.82766321789836</c:v>
                </c:pt>
                <c:pt idx="23">
                  <c:v>-552.26120718624577</c:v>
                </c:pt>
                <c:pt idx="24">
                  <c:v>-646.13333248665424</c:v>
                </c:pt>
                <c:pt idx="25">
                  <c:v>-678.09588382986385</c:v>
                </c:pt>
                <c:pt idx="26">
                  <c:v>-703.43003197432097</c:v>
                </c:pt>
                <c:pt idx="27">
                  <c:v>-707.13335604735835</c:v>
                </c:pt>
                <c:pt idx="28">
                  <c:v>-763.34453876347891</c:v>
                </c:pt>
                <c:pt idx="29">
                  <c:v>-882.31229615677717</c:v>
                </c:pt>
                <c:pt idx="30">
                  <c:v>-937.20052642408541</c:v>
                </c:pt>
                <c:pt idx="31">
                  <c:v>-954.42563147401859</c:v>
                </c:pt>
                <c:pt idx="32">
                  <c:v>-1017.6144786980369</c:v>
                </c:pt>
                <c:pt idx="33">
                  <c:v>-1062.3656958799852</c:v>
                </c:pt>
                <c:pt idx="34">
                  <c:v>-1062.3656958799852</c:v>
                </c:pt>
                <c:pt idx="35">
                  <c:v>-1065.9771389646555</c:v>
                </c:pt>
                <c:pt idx="36">
                  <c:v>-1111.9216184539737</c:v>
                </c:pt>
                <c:pt idx="37">
                  <c:v>-1197.2108748949877</c:v>
                </c:pt>
                <c:pt idx="38">
                  <c:v>-1230.2473960053437</c:v>
                </c:pt>
                <c:pt idx="39">
                  <c:v>-1257.6898929460995</c:v>
                </c:pt>
                <c:pt idx="40">
                  <c:v>-1295.4525828504645</c:v>
                </c:pt>
                <c:pt idx="41">
                  <c:v>-1304.6083277061425</c:v>
                </c:pt>
                <c:pt idx="42">
                  <c:v>-1307.7353062781233</c:v>
                </c:pt>
                <c:pt idx="43">
                  <c:v>-1343.9269816071007</c:v>
                </c:pt>
                <c:pt idx="44">
                  <c:v>-1344.2057468220441</c:v>
                </c:pt>
                <c:pt idx="45">
                  <c:v>-1348.6329208505438</c:v>
                </c:pt>
                <c:pt idx="46">
                  <c:v>-1396.261610312303</c:v>
                </c:pt>
                <c:pt idx="47">
                  <c:v>-1421.5261272018838</c:v>
                </c:pt>
                <c:pt idx="48">
                  <c:v>-1475.3129131448081</c:v>
                </c:pt>
                <c:pt idx="49">
                  <c:v>-1496.1400218336732</c:v>
                </c:pt>
                <c:pt idx="50">
                  <c:v>-1542.3954241761087</c:v>
                </c:pt>
                <c:pt idx="51">
                  <c:v>-1547.2005403764313</c:v>
                </c:pt>
                <c:pt idx="52">
                  <c:v>-1592.068548564293</c:v>
                </c:pt>
                <c:pt idx="53">
                  <c:v>-1617.4224750134551</c:v>
                </c:pt>
                <c:pt idx="54">
                  <c:v>-1684.579404133892</c:v>
                </c:pt>
                <c:pt idx="55">
                  <c:v>-1787.3151710756274</c:v>
                </c:pt>
                <c:pt idx="56">
                  <c:v>-1828.2402685869624</c:v>
                </c:pt>
                <c:pt idx="57">
                  <c:v>-1877.2531373363724</c:v>
                </c:pt>
                <c:pt idx="58">
                  <c:v>-1877.2531373363724</c:v>
                </c:pt>
                <c:pt idx="59">
                  <c:v>-1893.6786629301612</c:v>
                </c:pt>
                <c:pt idx="60">
                  <c:v>-1893.6786629301612</c:v>
                </c:pt>
                <c:pt idx="61">
                  <c:v>-1893.6786629301612</c:v>
                </c:pt>
                <c:pt idx="62">
                  <c:v>-1912.9739500611404</c:v>
                </c:pt>
                <c:pt idx="63">
                  <c:v>-1942.358871300007</c:v>
                </c:pt>
                <c:pt idx="64">
                  <c:v>-1974.2627197380173</c:v>
                </c:pt>
                <c:pt idx="65">
                  <c:v>-1974.2627197380173</c:v>
                </c:pt>
                <c:pt idx="66">
                  <c:v>-2008.8205292320763</c:v>
                </c:pt>
                <c:pt idx="67">
                  <c:v>-2042.4676763261809</c:v>
                </c:pt>
                <c:pt idx="68">
                  <c:v>-2087.6469042159642</c:v>
                </c:pt>
                <c:pt idx="69">
                  <c:v>-2130.7248305588541</c:v>
                </c:pt>
                <c:pt idx="70">
                  <c:v>-2132.3935653944532</c:v>
                </c:pt>
                <c:pt idx="71">
                  <c:v>-2135.173321406277</c:v>
                </c:pt>
                <c:pt idx="72">
                  <c:v>-2144.5901464707017</c:v>
                </c:pt>
                <c:pt idx="73">
                  <c:v>-2144.5901464707017</c:v>
                </c:pt>
                <c:pt idx="74">
                  <c:v>-2144.5901464707017</c:v>
                </c:pt>
                <c:pt idx="75">
                  <c:v>-2144.5901464707017</c:v>
                </c:pt>
                <c:pt idx="76">
                  <c:v>-2144.5901464707017</c:v>
                </c:pt>
                <c:pt idx="77">
                  <c:v>-2144.5901464707017</c:v>
                </c:pt>
                <c:pt idx="78">
                  <c:v>-2144.5901464707017</c:v>
                </c:pt>
                <c:pt idx="79">
                  <c:v>-2144.5901464707017</c:v>
                </c:pt>
                <c:pt idx="80">
                  <c:v>-2144.5901464707017</c:v>
                </c:pt>
                <c:pt idx="81">
                  <c:v>-2144.5901464707017</c:v>
                </c:pt>
                <c:pt idx="82">
                  <c:v>-2144.5901464707017</c:v>
                </c:pt>
                <c:pt idx="83">
                  <c:v>-2144.5901464707017</c:v>
                </c:pt>
                <c:pt idx="84">
                  <c:v>-2144.5901464707017</c:v>
                </c:pt>
                <c:pt idx="85">
                  <c:v>-2144.5901464707017</c:v>
                </c:pt>
                <c:pt idx="86">
                  <c:v>-2144.5901464707017</c:v>
                </c:pt>
                <c:pt idx="87">
                  <c:v>-2144.5901464707017</c:v>
                </c:pt>
                <c:pt idx="88">
                  <c:v>-2144.5901464707017</c:v>
                </c:pt>
                <c:pt idx="89">
                  <c:v>-2144.5901464707017</c:v>
                </c:pt>
                <c:pt idx="90">
                  <c:v>-2144.5901464707017</c:v>
                </c:pt>
                <c:pt idx="91">
                  <c:v>-2144.5901464707017</c:v>
                </c:pt>
                <c:pt idx="92">
                  <c:v>-2144.5901464707017</c:v>
                </c:pt>
                <c:pt idx="93">
                  <c:v>-2144.5901464707017</c:v>
                </c:pt>
                <c:pt idx="94">
                  <c:v>-2144.5901464707017</c:v>
                </c:pt>
                <c:pt idx="95">
                  <c:v>-2144.5901464707017</c:v>
                </c:pt>
                <c:pt idx="96">
                  <c:v>-2144.5901464707017</c:v>
                </c:pt>
                <c:pt idx="97">
                  <c:v>-2144.5901464707017</c:v>
                </c:pt>
                <c:pt idx="98">
                  <c:v>-2144.5901464707017</c:v>
                </c:pt>
                <c:pt idx="99">
                  <c:v>-2144.5901464707017</c:v>
                </c:pt>
                <c:pt idx="100">
                  <c:v>-2144.5901464707017</c:v>
                </c:pt>
                <c:pt idx="101">
                  <c:v>-2144.5901464707017</c:v>
                </c:pt>
                <c:pt idx="102">
                  <c:v>-2144.5901464707017</c:v>
                </c:pt>
                <c:pt idx="103">
                  <c:v>-2144.5901464707017</c:v>
                </c:pt>
                <c:pt idx="104">
                  <c:v>-2144.5901464707017</c:v>
                </c:pt>
                <c:pt idx="105">
                  <c:v>-2144.5901464707017</c:v>
                </c:pt>
                <c:pt idx="106">
                  <c:v>-2144.5901464707017</c:v>
                </c:pt>
                <c:pt idx="107">
                  <c:v>-2144.5901464707017</c:v>
                </c:pt>
                <c:pt idx="108">
                  <c:v>-2144.5901464707017</c:v>
                </c:pt>
                <c:pt idx="109">
                  <c:v>-2144.5901464707017</c:v>
                </c:pt>
                <c:pt idx="110">
                  <c:v>-2144.5901464707017</c:v>
                </c:pt>
                <c:pt idx="111">
                  <c:v>-2144.5901464707017</c:v>
                </c:pt>
                <c:pt idx="112">
                  <c:v>-2144.5901464707017</c:v>
                </c:pt>
                <c:pt idx="113">
                  <c:v>-2144.5901464707017</c:v>
                </c:pt>
                <c:pt idx="114">
                  <c:v>-2144.5901464707017</c:v>
                </c:pt>
                <c:pt idx="115">
                  <c:v>-2144.5901464707017</c:v>
                </c:pt>
                <c:pt idx="116">
                  <c:v>-2144.5901464707017</c:v>
                </c:pt>
                <c:pt idx="117">
                  <c:v>-2144.5901464707017</c:v>
                </c:pt>
                <c:pt idx="118">
                  <c:v>-2144.5901464707017</c:v>
                </c:pt>
                <c:pt idx="119">
                  <c:v>-2144.5901464707017</c:v>
                </c:pt>
                <c:pt idx="120">
                  <c:v>-2144.5901464707017</c:v>
                </c:pt>
                <c:pt idx="121">
                  <c:v>-2144.5901464707017</c:v>
                </c:pt>
                <c:pt idx="122">
                  <c:v>-2144.5901464707017</c:v>
                </c:pt>
                <c:pt idx="123">
                  <c:v>-2144.5901464707017</c:v>
                </c:pt>
                <c:pt idx="124">
                  <c:v>-2144.5901464707017</c:v>
                </c:pt>
                <c:pt idx="125">
                  <c:v>-2144.5901464707017</c:v>
                </c:pt>
                <c:pt idx="126">
                  <c:v>-2144.5901464707017</c:v>
                </c:pt>
                <c:pt idx="127">
                  <c:v>-2144.5901464707017</c:v>
                </c:pt>
                <c:pt idx="128">
                  <c:v>-2144.5901464707017</c:v>
                </c:pt>
                <c:pt idx="129">
                  <c:v>-2144.5901464707017</c:v>
                </c:pt>
                <c:pt idx="130">
                  <c:v>-2144.5901464707017</c:v>
                </c:pt>
                <c:pt idx="131">
                  <c:v>-2144.5901464707017</c:v>
                </c:pt>
                <c:pt idx="132">
                  <c:v>-2144.5901464707017</c:v>
                </c:pt>
                <c:pt idx="133">
                  <c:v>-2144.5901464707017</c:v>
                </c:pt>
                <c:pt idx="134">
                  <c:v>-2144.5901464707017</c:v>
                </c:pt>
                <c:pt idx="135">
                  <c:v>-2144.5901464707017</c:v>
                </c:pt>
                <c:pt idx="136">
                  <c:v>-2144.5901464707017</c:v>
                </c:pt>
                <c:pt idx="137">
                  <c:v>-2144.5901464707017</c:v>
                </c:pt>
                <c:pt idx="138">
                  <c:v>-2144.5901464707017</c:v>
                </c:pt>
                <c:pt idx="139">
                  <c:v>-2144.5901464707017</c:v>
                </c:pt>
                <c:pt idx="140">
                  <c:v>-2144.5901464707017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0.18168140969185992</c:v>
                </c:pt>
                <c:pt idx="1">
                  <c:v>0.36587106480883447</c:v>
                </c:pt>
                <c:pt idx="2">
                  <c:v>0.5631592866206252</c:v>
                </c:pt>
                <c:pt idx="3">
                  <c:v>0.75733929060017979</c:v>
                </c:pt>
                <c:pt idx="4">
                  <c:v>0.95641019541656891</c:v>
                </c:pt>
                <c:pt idx="5">
                  <c:v>1.1502171581834963</c:v>
                </c:pt>
                <c:pt idx="6">
                  <c:v>1.3483415321562719</c:v>
                </c:pt>
                <c:pt idx="7">
                  <c:v>1.5440182424820255</c:v>
                </c:pt>
                <c:pt idx="8">
                  <c:v>1.7295515030959148</c:v>
                </c:pt>
                <c:pt idx="9">
                  <c:v>1.9156292278040445</c:v>
                </c:pt>
                <c:pt idx="10">
                  <c:v>2.0995351779233515</c:v>
                </c:pt>
                <c:pt idx="11">
                  <c:v>2.2834411280426585</c:v>
                </c:pt>
                <c:pt idx="12">
                  <c:v>2.4684309385260996</c:v>
                </c:pt>
                <c:pt idx="13">
                  <c:v>2.6585324290520931</c:v>
                </c:pt>
                <c:pt idx="14">
                  <c:v>2.8538342812906667</c:v>
                </c:pt>
                <c:pt idx="15">
                  <c:v>3.0515808400765425</c:v>
                </c:pt>
                <c:pt idx="16">
                  <c:v>3.2540828576308902</c:v>
                </c:pt>
                <c:pt idx="17">
                  <c:v>3.4567765769879362</c:v>
                </c:pt>
                <c:pt idx="18">
                  <c:v>3.6631343584281653</c:v>
                </c:pt>
                <c:pt idx="19">
                  <c:v>3.8667883010213528</c:v>
                </c:pt>
                <c:pt idx="20">
                  <c:v>4.0698657667795004</c:v>
                </c:pt>
                <c:pt idx="21">
                  <c:v>4.2664816113362987</c:v>
                </c:pt>
                <c:pt idx="22">
                  <c:v>4.4627214611414123</c:v>
                </c:pt>
                <c:pt idx="23">
                  <c:v>4.6616028319645162</c:v>
                </c:pt>
                <c:pt idx="24">
                  <c:v>4.8616231162689205</c:v>
                </c:pt>
                <c:pt idx="25">
                  <c:v>5.0588038059426399</c:v>
                </c:pt>
                <c:pt idx="26">
                  <c:v>5.2571172582931736</c:v>
                </c:pt>
                <c:pt idx="27">
                  <c:v>5.4665926394497104</c:v>
                </c:pt>
                <c:pt idx="28">
                  <c:v>5.6780314425225882</c:v>
                </c:pt>
                <c:pt idx="29">
                  <c:v>5.8932324341831785</c:v>
                </c:pt>
                <c:pt idx="30">
                  <c:v>6.1074393464052195</c:v>
                </c:pt>
                <c:pt idx="31">
                  <c:v>6.3159373231957403</c:v>
                </c:pt>
                <c:pt idx="32">
                  <c:v>6.5331351198744541</c:v>
                </c:pt>
                <c:pt idx="33">
                  <c:v>6.7431983213268909</c:v>
                </c:pt>
                <c:pt idx="34">
                  <c:v>6.9562161390833364</c:v>
                </c:pt>
                <c:pt idx="35">
                  <c:v>7.1720149613746802</c:v>
                </c:pt>
                <c:pt idx="36">
                  <c:v>7.3958841727957365</c:v>
                </c:pt>
                <c:pt idx="37">
                  <c:v>7.614687721918207</c:v>
                </c:pt>
                <c:pt idx="38">
                  <c:v>7.8369280523661198</c:v>
                </c:pt>
                <c:pt idx="39">
                  <c:v>8.065521630800589</c:v>
                </c:pt>
                <c:pt idx="40">
                  <c:v>8.2980642994254517</c:v>
                </c:pt>
                <c:pt idx="41">
                  <c:v>8.5285232654182295</c:v>
                </c:pt>
                <c:pt idx="42">
                  <c:v>8.7544390076923655</c:v>
                </c:pt>
                <c:pt idx="43">
                  <c:v>8.9785123505294102</c:v>
                </c:pt>
                <c:pt idx="44">
                  <c:v>9.2013626427279078</c:v>
                </c:pt>
                <c:pt idx="45">
                  <c:v>9.4221837801642181</c:v>
                </c:pt>
                <c:pt idx="46">
                  <c:v>9.6460529915852735</c:v>
                </c:pt>
                <c:pt idx="47">
                  <c:v>9.8725849547565492</c:v>
                </c:pt>
                <c:pt idx="48">
                  <c:v>10.108275013863905</c:v>
                </c:pt>
                <c:pt idx="49">
                  <c:v>10.3376964909606</c:v>
                </c:pt>
                <c:pt idx="50">
                  <c:v>10.565257810233717</c:v>
                </c:pt>
                <c:pt idx="51">
                  <c:v>10.80073722735743</c:v>
                </c:pt>
                <c:pt idx="52">
                  <c:v>11.04301509951631</c:v>
                </c:pt>
                <c:pt idx="53">
                  <c:v>11.292647626584095</c:v>
                </c:pt>
                <c:pt idx="54">
                  <c:v>11.5398858759939</c:v>
                </c:pt>
                <c:pt idx="55">
                  <c:v>11.781735338423362</c:v>
                </c:pt>
                <c:pt idx="56">
                  <c:v>12.021875840570127</c:v>
                </c:pt>
                <c:pt idx="57">
                  <c:v>12.268463568759099</c:v>
                </c:pt>
                <c:pt idx="58">
                  <c:v>12.506690432595072</c:v>
                </c:pt>
                <c:pt idx="59">
                  <c:v>12.745554124380684</c:v>
                </c:pt>
                <c:pt idx="60">
                  <c:v>12.986975645040699</c:v>
                </c:pt>
                <c:pt idx="61">
                  <c:v>13.223298329943846</c:v>
                </c:pt>
                <c:pt idx="62">
                  <c:v>13.475119800546931</c:v>
                </c:pt>
                <c:pt idx="63">
                  <c:v>13.731576318248756</c:v>
                </c:pt>
                <c:pt idx="64">
                  <c:v>13.972143358864242</c:v>
                </c:pt>
                <c:pt idx="65">
                  <c:v>14.218514481159831</c:v>
                </c:pt>
                <c:pt idx="66">
                  <c:v>14.476082231327172</c:v>
                </c:pt>
                <c:pt idx="67">
                  <c:v>14.731873422593379</c:v>
                </c:pt>
                <c:pt idx="68">
                  <c:v>14.980415881411139</c:v>
                </c:pt>
                <c:pt idx="69">
                  <c:v>15.222693753570018</c:v>
                </c:pt>
                <c:pt idx="70">
                  <c:v>15.466044698006129</c:v>
                </c:pt>
                <c:pt idx="71">
                  <c:v>15.722279322496913</c:v>
                </c:pt>
                <c:pt idx="72">
                  <c:v>15.967785193478624</c:v>
                </c:pt>
                <c:pt idx="73">
                  <c:v>16.207925695625388</c:v>
                </c:pt>
                <c:pt idx="74">
                  <c:v>16.445516782554893</c:v>
                </c:pt>
                <c:pt idx="75">
                  <c:v>16.692972106923559</c:v>
                </c:pt>
                <c:pt idx="76">
                  <c:v>16.946553193243968</c:v>
                </c:pt>
                <c:pt idx="77">
                  <c:v>17.208370496026586</c:v>
                </c:pt>
                <c:pt idx="78">
                  <c:v>17.457130733744915</c:v>
                </c:pt>
                <c:pt idx="79">
                  <c:v>17.715774929375954</c:v>
                </c:pt>
                <c:pt idx="80">
                  <c:v>17.969221342914505</c:v>
                </c:pt>
                <c:pt idx="81">
                  <c:v>18.24004169501654</c:v>
                </c:pt>
                <c:pt idx="82">
                  <c:v>18.503981043257589</c:v>
                </c:pt>
                <c:pt idx="83">
                  <c:v>18.765074392689339</c:v>
                </c:pt>
                <c:pt idx="84">
                  <c:v>19.029448823636415</c:v>
                </c:pt>
                <c:pt idx="85">
                  <c:v>19.280061685622339</c:v>
                </c:pt>
                <c:pt idx="86">
                  <c:v>19.513401477142658</c:v>
                </c:pt>
                <c:pt idx="87">
                  <c:v>19.735937363037003</c:v>
                </c:pt>
                <c:pt idx="88">
                  <c:v>19.952972405890339</c:v>
                </c:pt>
                <c:pt idx="89">
                  <c:v>20.1732270342529</c:v>
                </c:pt>
                <c:pt idx="90">
                  <c:v>20.41202778395326</c:v>
                </c:pt>
                <c:pt idx="91">
                  <c:v>20.645543133335561</c:v>
                </c:pt>
                <c:pt idx="92">
                  <c:v>20.889141346285225</c:v>
                </c:pt>
                <c:pt idx="93">
                  <c:v>21.137700357872546</c:v>
                </c:pt>
                <c:pt idx="94">
                  <c:v>21.378577601857032</c:v>
                </c:pt>
                <c:pt idx="95">
                  <c:v>21.622122126349879</c:v>
                </c:pt>
                <c:pt idx="96">
                  <c:v>21.858949275722047</c:v>
                </c:pt>
                <c:pt idx="97">
                  <c:v>22.095673256428316</c:v>
                </c:pt>
                <c:pt idx="98">
                  <c:v>22.324498939831486</c:v>
                </c:pt>
                <c:pt idx="99">
                  <c:v>22.549588401814393</c:v>
                </c:pt>
                <c:pt idx="100">
                  <c:v>22.77381974098574</c:v>
                </c:pt>
                <c:pt idx="101">
                  <c:v>23.007120558443514</c:v>
                </c:pt>
                <c:pt idx="102">
                  <c:v>23.226340068009598</c:v>
                </c:pt>
                <c:pt idx="103">
                  <c:v>23.432312444896382</c:v>
                </c:pt>
                <c:pt idx="104">
                  <c:v>23.62909057955931</c:v>
                </c:pt>
                <c:pt idx="105">
                  <c:v>23.827739616571769</c:v>
                </c:pt>
                <c:pt idx="106">
                  <c:v>24.024834156134009</c:v>
                </c:pt>
                <c:pt idx="107">
                  <c:v>24.227274366728885</c:v>
                </c:pt>
                <c:pt idx="108">
                  <c:v>24.430029350614426</c:v>
                </c:pt>
                <c:pt idx="109">
                  <c:v>24.625413883970953</c:v>
                </c:pt>
                <c:pt idx="110">
                  <c:v>24.825783914105607</c:v>
                </c:pt>
                <c:pt idx="111">
                  <c:v>25.020043374092403</c:v>
                </c:pt>
                <c:pt idx="112">
                  <c:v>25.206915515743802</c:v>
                </c:pt>
                <c:pt idx="113">
                  <c:v>25.395466167292884</c:v>
                </c:pt>
                <c:pt idx="114">
                  <c:v>25.581065318911715</c:v>
                </c:pt>
                <c:pt idx="115">
                  <c:v>25.76718283329561</c:v>
                </c:pt>
                <c:pt idx="116">
                  <c:v>25.949133533764726</c:v>
                </c:pt>
                <c:pt idx="117">
                  <c:v>26.143034757113966</c:v>
                </c:pt>
                <c:pt idx="118">
                  <c:v>26.333287353800763</c:v>
                </c:pt>
                <c:pt idx="119">
                  <c:v>26.533360605940835</c:v>
                </c:pt>
                <c:pt idx="120">
                  <c:v>26.734790260873115</c:v>
                </c:pt>
                <c:pt idx="121">
                  <c:v>26.935722118208538</c:v>
                </c:pt>
                <c:pt idx="122">
                  <c:v>27.128440716816218</c:v>
                </c:pt>
                <c:pt idx="123">
                  <c:v>27.314555553611576</c:v>
                </c:pt>
                <c:pt idx="124">
                  <c:v>27.499272453586499</c:v>
                </c:pt>
                <c:pt idx="125">
                  <c:v>27.680340474362161</c:v>
                </c:pt>
                <c:pt idx="126">
                  <c:v>27.8606352316956</c:v>
                </c:pt>
                <c:pt idx="127">
                  <c:v>28.042528738718453</c:v>
                </c:pt>
                <c:pt idx="128">
                  <c:v>28.217069007096836</c:v>
                </c:pt>
                <c:pt idx="129">
                  <c:v>28.394007637213065</c:v>
                </c:pt>
                <c:pt idx="130">
                  <c:v>28.566847338506818</c:v>
                </c:pt>
                <c:pt idx="131">
                  <c:v>28.748583934277871</c:v>
                </c:pt>
                <c:pt idx="132">
                  <c:v>28.935609630948171</c:v>
                </c:pt>
                <c:pt idx="133">
                  <c:v>29.121640905311075</c:v>
                </c:pt>
                <c:pt idx="134">
                  <c:v>29.313089230787654</c:v>
                </c:pt>
                <c:pt idx="135">
                  <c:v>29.500491836744256</c:v>
                </c:pt>
                <c:pt idx="136">
                  <c:v>29.688771289109042</c:v>
                </c:pt>
                <c:pt idx="137">
                  <c:v>29.873640972266671</c:v>
                </c:pt>
                <c:pt idx="138">
                  <c:v>30.049630247817685</c:v>
                </c:pt>
                <c:pt idx="139">
                  <c:v>30.227191592286005</c:v>
                </c:pt>
                <c:pt idx="140">
                  <c:v>30.412716933441661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-1.7081477444460716E-2</c:v>
                </c:pt>
                <c:pt idx="2">
                  <c:v>-9.6712026917950278E-3</c:v>
                </c:pt>
                <c:pt idx="3">
                  <c:v>1.9936290215082531E-2</c:v>
                </c:pt>
                <c:pt idx="4">
                  <c:v>7.1011978840111289E-2</c:v>
                </c:pt>
                <c:pt idx="5">
                  <c:v>0.13995541304812076</c:v>
                </c:pt>
                <c:pt idx="6">
                  <c:v>0.2275330324184428</c:v>
                </c:pt>
                <c:pt idx="7">
                  <c:v>0.33027354848364165</c:v>
                </c:pt>
                <c:pt idx="8">
                  <c:v>0.44287408619442747</c:v>
                </c:pt>
                <c:pt idx="9">
                  <c:v>0.56801538727778789</c:v>
                </c:pt>
                <c:pt idx="10">
                  <c:v>0.70320935385166428</c:v>
                </c:pt>
                <c:pt idx="11">
                  <c:v>0.84844062911094043</c:v>
                </c:pt>
                <c:pt idx="12">
                  <c:v>1.0034281753598364</c:v>
                </c:pt>
                <c:pt idx="13">
                  <c:v>1.1699683095565698</c:v>
                </c:pt>
                <c:pt idx="14">
                  <c:v>1.3477090134585292</c:v>
                </c:pt>
                <c:pt idx="15">
                  <c:v>1.5342906431629588</c:v>
                </c:pt>
                <c:pt idx="16">
                  <c:v>1.7307187241817075</c:v>
                </c:pt>
                <c:pt idx="17">
                  <c:v>1.9331040951225531</c:v>
                </c:pt>
                <c:pt idx="18">
                  <c:v>2.1433168410679193</c:v>
                </c:pt>
                <c:pt idx="19">
                  <c:v>2.3558682643335569</c:v>
                </c:pt>
                <c:pt idx="20">
                  <c:v>2.5716343759509317</c:v>
                </c:pt>
                <c:pt idx="21">
                  <c:v>2.7853007156805591</c:v>
                </c:pt>
                <c:pt idx="22">
                  <c:v>3.0010117144113906</c:v>
                </c:pt>
                <c:pt idx="23">
                  <c:v>3.2206897210443151</c:v>
                </c:pt>
                <c:pt idx="24">
                  <c:v>3.4426876091880683</c:v>
                </c:pt>
                <c:pt idx="25">
                  <c:v>3.663335831992562</c:v>
                </c:pt>
                <c:pt idx="26">
                  <c:v>3.8854450424505851</c:v>
                </c:pt>
                <c:pt idx="27">
                  <c:v>4.1168383864805964</c:v>
                </c:pt>
                <c:pt idx="28">
                  <c:v>4.3496298487926666</c:v>
                </c:pt>
                <c:pt idx="29">
                  <c:v>4.5849178196145024</c:v>
                </c:pt>
                <c:pt idx="30">
                  <c:v>4.8184575030633088</c:v>
                </c:pt>
                <c:pt idx="31">
                  <c:v>5.0461415570365507</c:v>
                </c:pt>
                <c:pt idx="32">
                  <c:v>5.2793379104791072</c:v>
                </c:pt>
                <c:pt idx="33">
                  <c:v>5.5050288954813853</c:v>
                </c:pt>
                <c:pt idx="34">
                  <c:v>5.7310833819876343</c:v>
                </c:pt>
                <c:pt idx="35">
                  <c:v>5.9570942862457983</c:v>
                </c:pt>
                <c:pt idx="36">
                  <c:v>6.186900671429318</c:v>
                </c:pt>
                <c:pt idx="37">
                  <c:v>6.4100505385247732</c:v>
                </c:pt>
                <c:pt idx="38">
                  <c:v>6.6329488291310943</c:v>
                </c:pt>
                <c:pt idx="39">
                  <c:v>6.8575283927435775</c:v>
                </c:pt>
                <c:pt idx="40">
                  <c:v>7.0816890792176856</c:v>
                </c:pt>
                <c:pt idx="41">
                  <c:v>7.3007977038585921</c:v>
                </c:pt>
                <c:pt idx="42">
                  <c:v>7.513077349840958</c:v>
                </c:pt>
                <c:pt idx="43">
                  <c:v>7.7205001378004079</c:v>
                </c:pt>
                <c:pt idx="44">
                  <c:v>7.9234903529790159</c:v>
                </c:pt>
                <c:pt idx="45">
                  <c:v>8.1214963224037557</c:v>
                </c:pt>
                <c:pt idx="46">
                  <c:v>8.3179018686273611</c:v>
                </c:pt>
                <c:pt idx="47">
                  <c:v>8.5123115981665016</c:v>
                </c:pt>
                <c:pt idx="48">
                  <c:v>8.7087471283815319</c:v>
                </c:pt>
                <c:pt idx="49">
                  <c:v>8.8971924668822808</c:v>
                </c:pt>
                <c:pt idx="50">
                  <c:v>9.0805884288104739</c:v>
                </c:pt>
                <c:pt idx="51">
                  <c:v>9.2648584802362368</c:v>
                </c:pt>
                <c:pt idx="52">
                  <c:v>9.449058737288242</c:v>
                </c:pt>
                <c:pt idx="53">
                  <c:v>9.6332667699762986</c:v>
                </c:pt>
                <c:pt idx="54">
                  <c:v>9.8117149606708676</c:v>
                </c:pt>
                <c:pt idx="55">
                  <c:v>9.9828960205035902</c:v>
                </c:pt>
                <c:pt idx="56">
                  <c:v>10.149036026291689</c:v>
                </c:pt>
                <c:pt idx="57">
                  <c:v>10.314496752725836</c:v>
                </c:pt>
                <c:pt idx="58">
                  <c:v>10.471543576962466</c:v>
                </c:pt>
                <c:pt idx="59">
                  <c:v>10.625007076093006</c:v>
                </c:pt>
                <c:pt idx="60">
                  <c:v>10.775841800399579</c:v>
                </c:pt>
                <c:pt idx="61">
                  <c:v>10.920412593262355</c:v>
                </c:pt>
                <c:pt idx="62">
                  <c:v>11.06840734027211</c:v>
                </c:pt>
                <c:pt idx="63">
                  <c:v>11.214477651967849</c:v>
                </c:pt>
                <c:pt idx="64">
                  <c:v>11.349583523950875</c:v>
                </c:pt>
                <c:pt idx="65">
                  <c:v>11.483543511303914</c:v>
                </c:pt>
                <c:pt idx="66">
                  <c:v>11.618461553470496</c:v>
                </c:pt>
                <c:pt idx="67">
                  <c:v>11.748813336069919</c:v>
                </c:pt>
                <c:pt idx="68">
                  <c:v>11.872612047129005</c:v>
                </c:pt>
                <c:pt idx="69">
                  <c:v>11.990561251374272</c:v>
                </c:pt>
                <c:pt idx="70">
                  <c:v>12.105622326501578</c:v>
                </c:pt>
                <c:pt idx="71">
                  <c:v>12.222050663900378</c:v>
                </c:pt>
                <c:pt idx="72">
                  <c:v>12.331333935621489</c:v>
                </c:pt>
                <c:pt idx="73">
                  <c:v>12.43569185817007</c:v>
                </c:pt>
                <c:pt idx="74">
                  <c:v>12.536269968500537</c:v>
                </c:pt>
                <c:pt idx="75">
                  <c:v>12.637132358772389</c:v>
                </c:pt>
                <c:pt idx="76">
                  <c:v>12.736935755800932</c:v>
                </c:pt>
                <c:pt idx="77">
                  <c:v>12.836226842488745</c:v>
                </c:pt>
                <c:pt idx="78">
                  <c:v>12.92865705223133</c:v>
                </c:pt>
                <c:pt idx="79">
                  <c:v>13.021134550828378</c:v>
                </c:pt>
                <c:pt idx="80">
                  <c:v>13.112554491902264</c:v>
                </c:pt>
                <c:pt idx="81">
                  <c:v>13.205799734712766</c:v>
                </c:pt>
                <c:pt idx="82">
                  <c:v>13.292501109701377</c:v>
                </c:pt>
                <c:pt idx="83">
                  <c:v>13.37652708634778</c:v>
                </c:pt>
                <c:pt idx="84">
                  <c:v>13.460255443836402</c:v>
                </c:pt>
                <c:pt idx="85">
                  <c:v>13.540147174119861</c:v>
                </c:pt>
                <c:pt idx="86">
                  <c:v>13.61486059772233</c:v>
                </c:pt>
                <c:pt idx="87">
                  <c:v>13.68747647960241</c:v>
                </c:pt>
                <c:pt idx="88">
                  <c:v>13.757225475497046</c:v>
                </c:pt>
                <c:pt idx="89">
                  <c:v>13.825710843813553</c:v>
                </c:pt>
                <c:pt idx="90">
                  <c:v>13.89356291468847</c:v>
                </c:pt>
                <c:pt idx="91">
                  <c:v>13.957425032129592</c:v>
                </c:pt>
                <c:pt idx="92">
                  <c:v>14.020522818951097</c:v>
                </c:pt>
                <c:pt idx="93">
                  <c:v>14.082605005381023</c:v>
                </c:pt>
                <c:pt idx="94">
                  <c:v>14.141122418505967</c:v>
                </c:pt>
                <c:pt idx="95">
                  <c:v>14.199060748518813</c:v>
                </c:pt>
                <c:pt idx="96">
                  <c:v>14.255407942028487</c:v>
                </c:pt>
                <c:pt idx="97">
                  <c:v>14.309709820360766</c:v>
                </c:pt>
                <c:pt idx="98">
                  <c:v>14.361334909201281</c:v>
                </c:pt>
                <c:pt idx="99">
                  <c:v>14.411047109210287</c:v>
                </c:pt>
                <c:pt idx="100">
                  <c:v>14.460244771143094</c:v>
                </c:pt>
                <c:pt idx="101">
                  <c:v>14.508825119425047</c:v>
                </c:pt>
                <c:pt idx="102">
                  <c:v>14.554494555859238</c:v>
                </c:pt>
                <c:pt idx="103">
                  <c:v>14.597496384938234</c:v>
                </c:pt>
                <c:pt idx="104">
                  <c:v>14.638972112380163</c:v>
                </c:pt>
                <c:pt idx="105">
                  <c:v>14.680224586959545</c:v>
                </c:pt>
                <c:pt idx="106">
                  <c:v>14.720248536104906</c:v>
                </c:pt>
                <c:pt idx="107">
                  <c:v>14.759499970888506</c:v>
                </c:pt>
                <c:pt idx="108">
                  <c:v>14.797972839157264</c:v>
                </c:pt>
                <c:pt idx="109">
                  <c:v>14.834699634039492</c:v>
                </c:pt>
                <c:pt idx="110">
                  <c:v>14.871661025464169</c:v>
                </c:pt>
                <c:pt idx="111">
                  <c:v>14.90738842782998</c:v>
                </c:pt>
                <c:pt idx="112">
                  <c:v>14.940970212632783</c:v>
                </c:pt>
                <c:pt idx="113">
                  <c:v>14.97317364288612</c:v>
                </c:pt>
                <c:pt idx="114">
                  <c:v>15.004465268170719</c:v>
                </c:pt>
                <c:pt idx="115">
                  <c:v>15.035217965416141</c:v>
                </c:pt>
                <c:pt idx="116">
                  <c:v>15.065359725787445</c:v>
                </c:pt>
                <c:pt idx="117">
                  <c:v>15.095208554065987</c:v>
                </c:pt>
                <c:pt idx="118">
                  <c:v>15.124497495332321</c:v>
                </c:pt>
                <c:pt idx="119">
                  <c:v>15.152752452075935</c:v>
                </c:pt>
                <c:pt idx="120">
                  <c:v>15.179586139054139</c:v>
                </c:pt>
                <c:pt idx="121">
                  <c:v>15.205451681369212</c:v>
                </c:pt>
                <c:pt idx="122">
                  <c:v>15.229469349523942</c:v>
                </c:pt>
                <c:pt idx="123">
                  <c:v>15.252529507144251</c:v>
                </c:pt>
                <c:pt idx="124">
                  <c:v>15.275457351036756</c:v>
                </c:pt>
                <c:pt idx="125">
                  <c:v>15.297392880569388</c:v>
                </c:pt>
                <c:pt idx="126">
                  <c:v>15.31855321896651</c:v>
                </c:pt>
                <c:pt idx="127">
                  <c:v>15.338704529879648</c:v>
                </c:pt>
                <c:pt idx="128">
                  <c:v>15.357078212792093</c:v>
                </c:pt>
                <c:pt idx="129">
                  <c:v>15.37532198856392</c:v>
                </c:pt>
                <c:pt idx="130">
                  <c:v>15.392414487088764</c:v>
                </c:pt>
                <c:pt idx="131">
                  <c:v>15.410217767094522</c:v>
                </c:pt>
                <c:pt idx="132">
                  <c:v>15.427999987541394</c:v>
                </c:pt>
                <c:pt idx="133">
                  <c:v>15.444764310745455</c:v>
                </c:pt>
                <c:pt idx="134">
                  <c:v>15.46110909764624</c:v>
                </c:pt>
                <c:pt idx="135">
                  <c:v>15.476988425351863</c:v>
                </c:pt>
                <c:pt idx="136">
                  <c:v>15.492382475143367</c:v>
                </c:pt>
                <c:pt idx="137">
                  <c:v>15.506674336625524</c:v>
                </c:pt>
                <c:pt idx="138">
                  <c:v>15.519674854779906</c:v>
                </c:pt>
                <c:pt idx="139">
                  <c:v>15.532316801978677</c:v>
                </c:pt>
                <c:pt idx="140">
                  <c:v>15.545245800676952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46017</c:v>
                </c:pt>
                <c:pt idx="1">
                  <c:v>46018</c:v>
                </c:pt>
                <c:pt idx="2">
                  <c:v>46019</c:v>
                </c:pt>
                <c:pt idx="3">
                  <c:v>46020</c:v>
                </c:pt>
                <c:pt idx="4">
                  <c:v>46021</c:v>
                </c:pt>
                <c:pt idx="5">
                  <c:v>46022</c:v>
                </c:pt>
                <c:pt idx="6">
                  <c:v>46023</c:v>
                </c:pt>
                <c:pt idx="7">
                  <c:v>46024</c:v>
                </c:pt>
                <c:pt idx="8">
                  <c:v>46025</c:v>
                </c:pt>
                <c:pt idx="9">
                  <c:v>46026</c:v>
                </c:pt>
                <c:pt idx="10">
                  <c:v>46027</c:v>
                </c:pt>
                <c:pt idx="11">
                  <c:v>46028</c:v>
                </c:pt>
                <c:pt idx="12">
                  <c:v>46029</c:v>
                </c:pt>
                <c:pt idx="13">
                  <c:v>46030</c:v>
                </c:pt>
                <c:pt idx="14">
                  <c:v>46031</c:v>
                </c:pt>
                <c:pt idx="15">
                  <c:v>46032</c:v>
                </c:pt>
                <c:pt idx="16">
                  <c:v>46033</c:v>
                </c:pt>
                <c:pt idx="17">
                  <c:v>46034</c:v>
                </c:pt>
                <c:pt idx="18">
                  <c:v>46035</c:v>
                </c:pt>
                <c:pt idx="19">
                  <c:v>46036</c:v>
                </c:pt>
                <c:pt idx="20">
                  <c:v>46037</c:v>
                </c:pt>
                <c:pt idx="21">
                  <c:v>46038</c:v>
                </c:pt>
                <c:pt idx="22">
                  <c:v>46039</c:v>
                </c:pt>
                <c:pt idx="23">
                  <c:v>46040</c:v>
                </c:pt>
                <c:pt idx="24">
                  <c:v>46041</c:v>
                </c:pt>
                <c:pt idx="25">
                  <c:v>46042</c:v>
                </c:pt>
                <c:pt idx="26">
                  <c:v>46043</c:v>
                </c:pt>
                <c:pt idx="27">
                  <c:v>46044</c:v>
                </c:pt>
                <c:pt idx="28">
                  <c:v>46045</c:v>
                </c:pt>
                <c:pt idx="29">
                  <c:v>46046</c:v>
                </c:pt>
                <c:pt idx="30">
                  <c:v>46047</c:v>
                </c:pt>
                <c:pt idx="31">
                  <c:v>46048</c:v>
                </c:pt>
                <c:pt idx="32">
                  <c:v>46049</c:v>
                </c:pt>
                <c:pt idx="33">
                  <c:v>46050</c:v>
                </c:pt>
                <c:pt idx="34">
                  <c:v>46051</c:v>
                </c:pt>
                <c:pt idx="35">
                  <c:v>46052</c:v>
                </c:pt>
                <c:pt idx="36">
                  <c:v>46053</c:v>
                </c:pt>
                <c:pt idx="37">
                  <c:v>46054</c:v>
                </c:pt>
                <c:pt idx="38">
                  <c:v>46055</c:v>
                </c:pt>
                <c:pt idx="39">
                  <c:v>46056</c:v>
                </c:pt>
                <c:pt idx="40">
                  <c:v>46057</c:v>
                </c:pt>
                <c:pt idx="41">
                  <c:v>46058</c:v>
                </c:pt>
                <c:pt idx="42">
                  <c:v>46059</c:v>
                </c:pt>
                <c:pt idx="43">
                  <c:v>46060</c:v>
                </c:pt>
                <c:pt idx="44">
                  <c:v>46061</c:v>
                </c:pt>
                <c:pt idx="45">
                  <c:v>46062</c:v>
                </c:pt>
                <c:pt idx="46">
                  <c:v>46063</c:v>
                </c:pt>
                <c:pt idx="47">
                  <c:v>46064</c:v>
                </c:pt>
                <c:pt idx="48">
                  <c:v>46065</c:v>
                </c:pt>
                <c:pt idx="49">
                  <c:v>46066</c:v>
                </c:pt>
                <c:pt idx="50">
                  <c:v>46067</c:v>
                </c:pt>
                <c:pt idx="51">
                  <c:v>46068</c:v>
                </c:pt>
                <c:pt idx="52">
                  <c:v>46069</c:v>
                </c:pt>
                <c:pt idx="53">
                  <c:v>46070</c:v>
                </c:pt>
                <c:pt idx="54">
                  <c:v>46071</c:v>
                </c:pt>
                <c:pt idx="55">
                  <c:v>46072</c:v>
                </c:pt>
                <c:pt idx="56">
                  <c:v>46073</c:v>
                </c:pt>
                <c:pt idx="57">
                  <c:v>46074</c:v>
                </c:pt>
                <c:pt idx="58">
                  <c:v>46075</c:v>
                </c:pt>
                <c:pt idx="59">
                  <c:v>46076</c:v>
                </c:pt>
                <c:pt idx="60">
                  <c:v>46077</c:v>
                </c:pt>
                <c:pt idx="61">
                  <c:v>46078</c:v>
                </c:pt>
                <c:pt idx="62">
                  <c:v>46079</c:v>
                </c:pt>
                <c:pt idx="63">
                  <c:v>46080</c:v>
                </c:pt>
                <c:pt idx="64">
                  <c:v>46081</c:v>
                </c:pt>
                <c:pt idx="65">
                  <c:v>46082</c:v>
                </c:pt>
                <c:pt idx="66">
                  <c:v>46083</c:v>
                </c:pt>
                <c:pt idx="67">
                  <c:v>46084</c:v>
                </c:pt>
                <c:pt idx="68">
                  <c:v>46085</c:v>
                </c:pt>
                <c:pt idx="69">
                  <c:v>46086</c:v>
                </c:pt>
                <c:pt idx="70">
                  <c:v>46087</c:v>
                </c:pt>
                <c:pt idx="71">
                  <c:v>46088</c:v>
                </c:pt>
                <c:pt idx="72">
                  <c:v>46089</c:v>
                </c:pt>
                <c:pt idx="73">
                  <c:v>46090</c:v>
                </c:pt>
                <c:pt idx="74">
                  <c:v>46091</c:v>
                </c:pt>
                <c:pt idx="75">
                  <c:v>46092</c:v>
                </c:pt>
                <c:pt idx="76">
                  <c:v>46093</c:v>
                </c:pt>
                <c:pt idx="77">
                  <c:v>46094</c:v>
                </c:pt>
                <c:pt idx="78">
                  <c:v>46095</c:v>
                </c:pt>
                <c:pt idx="79">
                  <c:v>46096</c:v>
                </c:pt>
                <c:pt idx="80">
                  <c:v>46097</c:v>
                </c:pt>
                <c:pt idx="81">
                  <c:v>46098</c:v>
                </c:pt>
                <c:pt idx="82">
                  <c:v>46099</c:v>
                </c:pt>
                <c:pt idx="83">
                  <c:v>46100</c:v>
                </c:pt>
                <c:pt idx="84">
                  <c:v>46101</c:v>
                </c:pt>
                <c:pt idx="85">
                  <c:v>46102</c:v>
                </c:pt>
                <c:pt idx="86">
                  <c:v>46103</c:v>
                </c:pt>
                <c:pt idx="87">
                  <c:v>46104</c:v>
                </c:pt>
                <c:pt idx="88">
                  <c:v>46105</c:v>
                </c:pt>
                <c:pt idx="89">
                  <c:v>46106</c:v>
                </c:pt>
                <c:pt idx="90">
                  <c:v>46107</c:v>
                </c:pt>
                <c:pt idx="91">
                  <c:v>46108</c:v>
                </c:pt>
                <c:pt idx="92">
                  <c:v>46109</c:v>
                </c:pt>
                <c:pt idx="93">
                  <c:v>46110</c:v>
                </c:pt>
                <c:pt idx="94">
                  <c:v>46111</c:v>
                </c:pt>
                <c:pt idx="95">
                  <c:v>46112</c:v>
                </c:pt>
                <c:pt idx="96">
                  <c:v>46113</c:v>
                </c:pt>
                <c:pt idx="97">
                  <c:v>46114</c:v>
                </c:pt>
                <c:pt idx="98">
                  <c:v>46115</c:v>
                </c:pt>
                <c:pt idx="99">
                  <c:v>46116</c:v>
                </c:pt>
                <c:pt idx="100">
                  <c:v>46117</c:v>
                </c:pt>
                <c:pt idx="101">
                  <c:v>46118</c:v>
                </c:pt>
                <c:pt idx="102">
                  <c:v>46119</c:v>
                </c:pt>
                <c:pt idx="103">
                  <c:v>46120</c:v>
                </c:pt>
                <c:pt idx="104">
                  <c:v>46121</c:v>
                </c:pt>
                <c:pt idx="105">
                  <c:v>46122</c:v>
                </c:pt>
                <c:pt idx="106">
                  <c:v>46123</c:v>
                </c:pt>
                <c:pt idx="107">
                  <c:v>46124</c:v>
                </c:pt>
                <c:pt idx="108">
                  <c:v>46125</c:v>
                </c:pt>
                <c:pt idx="109">
                  <c:v>46126</c:v>
                </c:pt>
                <c:pt idx="110">
                  <c:v>46127</c:v>
                </c:pt>
                <c:pt idx="111">
                  <c:v>46128</c:v>
                </c:pt>
                <c:pt idx="112">
                  <c:v>46129</c:v>
                </c:pt>
                <c:pt idx="113">
                  <c:v>46130</c:v>
                </c:pt>
                <c:pt idx="114">
                  <c:v>46131</c:v>
                </c:pt>
                <c:pt idx="115">
                  <c:v>46132</c:v>
                </c:pt>
                <c:pt idx="116">
                  <c:v>46133</c:v>
                </c:pt>
                <c:pt idx="117">
                  <c:v>46134</c:v>
                </c:pt>
                <c:pt idx="118">
                  <c:v>46135</c:v>
                </c:pt>
                <c:pt idx="119">
                  <c:v>46136</c:v>
                </c:pt>
                <c:pt idx="120">
                  <c:v>46137</c:v>
                </c:pt>
                <c:pt idx="121">
                  <c:v>46138</c:v>
                </c:pt>
                <c:pt idx="122">
                  <c:v>46139</c:v>
                </c:pt>
                <c:pt idx="123">
                  <c:v>46140</c:v>
                </c:pt>
                <c:pt idx="124">
                  <c:v>46141</c:v>
                </c:pt>
                <c:pt idx="125">
                  <c:v>46142</c:v>
                </c:pt>
                <c:pt idx="126">
                  <c:v>46143</c:v>
                </c:pt>
                <c:pt idx="127">
                  <c:v>46144</c:v>
                </c:pt>
                <c:pt idx="128">
                  <c:v>46145</c:v>
                </c:pt>
                <c:pt idx="129">
                  <c:v>46146</c:v>
                </c:pt>
                <c:pt idx="130">
                  <c:v>46147</c:v>
                </c:pt>
                <c:pt idx="131">
                  <c:v>46148</c:v>
                </c:pt>
                <c:pt idx="132">
                  <c:v>46149</c:v>
                </c:pt>
                <c:pt idx="133">
                  <c:v>46150</c:v>
                </c:pt>
                <c:pt idx="134">
                  <c:v>46151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2.9312127528323582</c:v>
                </c:pt>
                <c:pt idx="15">
                  <c:v>3.1138024990431514</c:v>
                </c:pt>
                <c:pt idx="16">
                  <c:v>3.3038152032865833</c:v>
                </c:pt>
                <c:pt idx="17">
                  <c:v>3.5072117125398363</c:v>
                </c:pt>
                <c:pt idx="18">
                  <c:v>3.7256887281309883</c:v>
                </c:pt>
                <c:pt idx="19">
                  <c:v>3.9615483754615668</c:v>
                </c:pt>
                <c:pt idx="20">
                  <c:v>4.211619324199698</c:v>
                </c:pt>
                <c:pt idx="21">
                  <c:v>4.4769018010950914</c:v>
                </c:pt>
                <c:pt idx="22">
                  <c:v>4.7540176102416245</c:v>
                </c:pt>
                <c:pt idx="23">
                  <c:v>5.0492026296447197</c:v>
                </c:pt>
                <c:pt idx="24">
                  <c:v>5.3694261372353793</c:v>
                </c:pt>
                <c:pt idx="25">
                  <c:v>5.7078898573972747</c:v>
                </c:pt>
                <c:pt idx="26">
                  <c:v>6.0735965505475589</c:v>
                </c:pt>
                <c:pt idx="27">
                  <c:v>6.4649531060106833</c:v>
                </c:pt>
                <c:pt idx="28">
                  <c:v>6.8817120015719198</c:v>
                </c:pt>
                <c:pt idx="29">
                  <c:v>7.3261543200128685</c:v>
                </c:pt>
                <c:pt idx="30">
                  <c:v>7.8067161806787757</c:v>
                </c:pt>
                <c:pt idx="31">
                  <c:v>8.3225803849087274</c:v>
                </c:pt>
                <c:pt idx="32">
                  <c:v>8.8588282509360319</c:v>
                </c:pt>
                <c:pt idx="33">
                  <c:v>9.4354950473131645</c:v>
                </c:pt>
                <c:pt idx="34">
                  <c:v>10.059418971503478</c:v>
                </c:pt>
                <c:pt idx="35">
                  <c:v>10.734851878543912</c:v>
                </c:pt>
                <c:pt idx="36">
                  <c:v>11.451320098450459</c:v>
                </c:pt>
                <c:pt idx="37">
                  <c:v>12.219516752070874</c:v>
                </c:pt>
                <c:pt idx="38">
                  <c:v>13.025004255170796</c:v>
                </c:pt>
                <c:pt idx="39">
                  <c:v>13.868393751676924</c:v>
                </c:pt>
                <c:pt idx="40">
                  <c:v>14.724479055118213</c:v>
                </c:pt>
                <c:pt idx="41">
                  <c:v>15.663356107301945</c:v>
                </c:pt>
                <c:pt idx="42">
                  <c:v>16.650908050390967</c:v>
                </c:pt>
                <c:pt idx="43">
                  <c:v>17.706377739215366</c:v>
                </c:pt>
                <c:pt idx="44">
                  <c:v>18.823939469490341</c:v>
                </c:pt>
                <c:pt idx="45">
                  <c:v>20.019661806426694</c:v>
                </c:pt>
                <c:pt idx="46">
                  <c:v>21.321057026210397</c:v>
                </c:pt>
                <c:pt idx="47">
                  <c:v>22.72060437127767</c:v>
                </c:pt>
                <c:pt idx="48">
                  <c:v>24.199110198731599</c:v>
                </c:pt>
                <c:pt idx="49">
                  <c:v>25.745601186239863</c:v>
                </c:pt>
                <c:pt idx="50">
                  <c:v>27.386258484390503</c:v>
                </c:pt>
                <c:pt idx="51">
                  <c:v>29.095422727256238</c:v>
                </c:pt>
                <c:pt idx="52">
                  <c:v>30.889749092402585</c:v>
                </c:pt>
                <c:pt idx="53">
                  <c:v>32.787988555697218</c:v>
                </c:pt>
                <c:pt idx="54">
                  <c:v>34.81241808097402</c:v>
                </c:pt>
                <c:pt idx="55">
                  <c:v>36.949661930951727</c:v>
                </c:pt>
                <c:pt idx="56">
                  <c:v>39.218931149107952</c:v>
                </c:pt>
                <c:pt idx="57">
                  <c:v>41.600253390817862</c:v>
                </c:pt>
                <c:pt idx="58">
                  <c:v>44.071635235590563</c:v>
                </c:pt>
                <c:pt idx="59">
                  <c:v>46.669462569394696</c:v>
                </c:pt>
                <c:pt idx="60">
                  <c:v>49.315308358680817</c:v>
                </c:pt>
                <c:pt idx="61">
                  <c:v>51.988934888754883</c:v>
                </c:pt>
                <c:pt idx="62">
                  <c:v>54.80926743901454</c:v>
                </c:pt>
                <c:pt idx="63">
                  <c:v>57.782779677659754</c:v>
                </c:pt>
                <c:pt idx="64">
                  <c:v>60.826724749648363</c:v>
                </c:pt>
                <c:pt idx="65">
                  <c:v>64.0167281974079</c:v>
                </c:pt>
                <c:pt idx="66">
                  <c:v>67.441441699104601</c:v>
                </c:pt>
                <c:pt idx="67">
                  <c:v>71.027938588348889</c:v>
                </c:pt>
                <c:pt idx="68">
                  <c:v>74.561797422682375</c:v>
                </c:pt>
                <c:pt idx="69">
                  <c:v>78.20818946787945</c:v>
                </c:pt>
                <c:pt idx="70">
                  <c:v>82.111507492531302</c:v>
                </c:pt>
                <c:pt idx="71">
                  <c:v>85.983690079007033</c:v>
                </c:pt>
                <c:pt idx="72">
                  <c:v>90.100123279205789</c:v>
                </c:pt>
                <c:pt idx="73">
                  <c:v>94.43562958061942</c:v>
                </c:pt>
                <c:pt idx="74">
                  <c:v>98.820418729463654</c:v>
                </c:pt>
                <c:pt idx="75">
                  <c:v>103.2829844079797</c:v>
                </c:pt>
                <c:pt idx="76">
                  <c:v>107.9425350890137</c:v>
                </c:pt>
                <c:pt idx="77">
                  <c:v>112.59845173220542</c:v>
                </c:pt>
                <c:pt idx="78">
                  <c:v>117.37766044720215</c:v>
                </c:pt>
                <c:pt idx="79">
                  <c:v>122.21461085029473</c:v>
                </c:pt>
                <c:pt idx="80">
                  <c:v>127.22055650814823</c:v>
                </c:pt>
                <c:pt idx="81">
                  <c:v>132.32976833726337</c:v>
                </c:pt>
                <c:pt idx="82">
                  <c:v>137.51188209681473</c:v>
                </c:pt>
                <c:pt idx="83">
                  <c:v>142.60334150910339</c:v>
                </c:pt>
                <c:pt idx="84">
                  <c:v>147.80325809330071</c:v>
                </c:pt>
                <c:pt idx="85">
                  <c:v>153.20696079136246</c:v>
                </c:pt>
                <c:pt idx="86">
                  <c:v>158.64097684906321</c:v>
                </c:pt>
                <c:pt idx="87">
                  <c:v>163.99354140786571</c:v>
                </c:pt>
                <c:pt idx="88">
                  <c:v>169.36982077617563</c:v>
                </c:pt>
                <c:pt idx="89">
                  <c:v>174.80722358956262</c:v>
                </c:pt>
                <c:pt idx="90">
                  <c:v>180.32158635968662</c:v>
                </c:pt>
                <c:pt idx="91">
                  <c:v>185.94282810866576</c:v>
                </c:pt>
                <c:pt idx="92">
                  <c:v>191.56190032440486</c:v>
                </c:pt>
                <c:pt idx="93">
                  <c:v>197.29569116632646</c:v>
                </c:pt>
                <c:pt idx="94">
                  <c:v>202.94979548534863</c:v>
                </c:pt>
                <c:pt idx="95">
                  <c:v>208.50594367134849</c:v>
                </c:pt>
                <c:pt idx="96">
                  <c:v>213.92344856629956</c:v>
                </c:pt>
                <c:pt idx="97">
                  <c:v>219.28820141795242</c:v>
                </c:pt>
                <c:pt idx="98">
                  <c:v>224.70424167472953</c:v>
                </c:pt>
                <c:pt idx="99">
                  <c:v>229.91038627930561</c:v>
                </c:pt>
                <c:pt idx="100">
                  <c:v>235.08116327472254</c:v>
                </c:pt>
                <c:pt idx="101">
                  <c:v>240.21932816699336</c:v>
                </c:pt>
                <c:pt idx="102">
                  <c:v>245.29608665051444</c:v>
                </c:pt>
                <c:pt idx="103">
                  <c:v>250.20816556107124</c:v>
                </c:pt>
                <c:pt idx="104">
                  <c:v>254.94055211303214</c:v>
                </c:pt>
                <c:pt idx="105">
                  <c:v>259.5796828799933</c:v>
                </c:pt>
                <c:pt idx="106">
                  <c:v>264.04538167821261</c:v>
                </c:pt>
                <c:pt idx="107">
                  <c:v>268.47373482290214</c:v>
                </c:pt>
                <c:pt idx="108">
                  <c:v>272.94778637148204</c:v>
                </c:pt>
                <c:pt idx="109">
                  <c:v>277.22509940060098</c:v>
                </c:pt>
                <c:pt idx="110">
                  <c:v>281.36109116496601</c:v>
                </c:pt>
                <c:pt idx="111">
                  <c:v>285.6264020262808</c:v>
                </c:pt>
                <c:pt idx="112">
                  <c:v>289.71563943326186</c:v>
                </c:pt>
                <c:pt idx="113">
                  <c:v>293.73113418880951</c:v>
                </c:pt>
                <c:pt idx="114">
                  <c:v>297.58078172340993</c:v>
                </c:pt>
                <c:pt idx="115">
                  <c:v>301.43284910111163</c:v>
                </c:pt>
                <c:pt idx="116">
                  <c:v>305.14803320573645</c:v>
                </c:pt>
                <c:pt idx="117">
                  <c:v>308.52534341632281</c:v>
                </c:pt>
                <c:pt idx="118">
                  <c:v>311.88237110148475</c:v>
                </c:pt>
                <c:pt idx="119">
                  <c:v>315.10093982965759</c:v>
                </c:pt>
                <c:pt idx="120">
                  <c:v>318.33883651548126</c:v>
                </c:pt>
                <c:pt idx="121">
                  <c:v>321.57305895415141</c:v>
                </c:pt>
                <c:pt idx="122">
                  <c:v>324.85062139628371</c:v>
                </c:pt>
                <c:pt idx="123">
                  <c:v>328.11294084546046</c:v>
                </c:pt>
                <c:pt idx="124">
                  <c:v>331.01586753917388</c:v>
                </c:pt>
                <c:pt idx="125">
                  <c:v>333.72754703923243</c:v>
                </c:pt>
                <c:pt idx="126">
                  <c:v>336.38869841836703</c:v>
                </c:pt>
                <c:pt idx="127">
                  <c:v>338.9519515160988</c:v>
                </c:pt>
                <c:pt idx="128">
                  <c:v>341.41739679148037</c:v>
                </c:pt>
                <c:pt idx="129">
                  <c:v>343.74422363231565</c:v>
                </c:pt>
                <c:pt idx="130">
                  <c:v>346.03170498005835</c:v>
                </c:pt>
                <c:pt idx="131">
                  <c:v>348.29570516458233</c:v>
                </c:pt>
                <c:pt idx="132">
                  <c:v>350.41999364311363</c:v>
                </c:pt>
                <c:pt idx="133">
                  <c:v>352.42559950781151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46017</c:v>
                </c:pt>
                <c:pt idx="1">
                  <c:v>46018</c:v>
                </c:pt>
                <c:pt idx="2">
                  <c:v>46019</c:v>
                </c:pt>
                <c:pt idx="3">
                  <c:v>46020</c:v>
                </c:pt>
                <c:pt idx="4">
                  <c:v>46021</c:v>
                </c:pt>
                <c:pt idx="5">
                  <c:v>46022</c:v>
                </c:pt>
                <c:pt idx="6">
                  <c:v>46023</c:v>
                </c:pt>
                <c:pt idx="7">
                  <c:v>46024</c:v>
                </c:pt>
                <c:pt idx="8">
                  <c:v>46025</c:v>
                </c:pt>
                <c:pt idx="9">
                  <c:v>46026</c:v>
                </c:pt>
                <c:pt idx="10">
                  <c:v>46027</c:v>
                </c:pt>
                <c:pt idx="11">
                  <c:v>46028</c:v>
                </c:pt>
                <c:pt idx="12">
                  <c:v>46029</c:v>
                </c:pt>
                <c:pt idx="13">
                  <c:v>46030</c:v>
                </c:pt>
                <c:pt idx="14">
                  <c:v>46031</c:v>
                </c:pt>
                <c:pt idx="15">
                  <c:v>46032</c:v>
                </c:pt>
                <c:pt idx="16">
                  <c:v>46033</c:v>
                </c:pt>
                <c:pt idx="17">
                  <c:v>46034</c:v>
                </c:pt>
                <c:pt idx="18">
                  <c:v>46035</c:v>
                </c:pt>
                <c:pt idx="19">
                  <c:v>46036</c:v>
                </c:pt>
                <c:pt idx="20">
                  <c:v>46037</c:v>
                </c:pt>
                <c:pt idx="21">
                  <c:v>46038</c:v>
                </c:pt>
                <c:pt idx="22">
                  <c:v>46039</c:v>
                </c:pt>
                <c:pt idx="23">
                  <c:v>46040</c:v>
                </c:pt>
                <c:pt idx="24">
                  <c:v>46041</c:v>
                </c:pt>
                <c:pt idx="25">
                  <c:v>46042</c:v>
                </c:pt>
                <c:pt idx="26">
                  <c:v>46043</c:v>
                </c:pt>
                <c:pt idx="27">
                  <c:v>46044</c:v>
                </c:pt>
                <c:pt idx="28">
                  <c:v>46045</c:v>
                </c:pt>
                <c:pt idx="29">
                  <c:v>46046</c:v>
                </c:pt>
                <c:pt idx="30">
                  <c:v>46047</c:v>
                </c:pt>
                <c:pt idx="31">
                  <c:v>46048</c:v>
                </c:pt>
                <c:pt idx="32">
                  <c:v>46049</c:v>
                </c:pt>
                <c:pt idx="33">
                  <c:v>46050</c:v>
                </c:pt>
                <c:pt idx="34">
                  <c:v>46051</c:v>
                </c:pt>
                <c:pt idx="35">
                  <c:v>46052</c:v>
                </c:pt>
                <c:pt idx="36">
                  <c:v>46053</c:v>
                </c:pt>
                <c:pt idx="37">
                  <c:v>46054</c:v>
                </c:pt>
                <c:pt idx="38">
                  <c:v>46055</c:v>
                </c:pt>
                <c:pt idx="39">
                  <c:v>46056</c:v>
                </c:pt>
                <c:pt idx="40">
                  <c:v>46057</c:v>
                </c:pt>
                <c:pt idx="41">
                  <c:v>46058</c:v>
                </c:pt>
                <c:pt idx="42">
                  <c:v>46059</c:v>
                </c:pt>
                <c:pt idx="43">
                  <c:v>46060</c:v>
                </c:pt>
                <c:pt idx="44">
                  <c:v>46061</c:v>
                </c:pt>
                <c:pt idx="45">
                  <c:v>46062</c:v>
                </c:pt>
                <c:pt idx="46">
                  <c:v>46063</c:v>
                </c:pt>
                <c:pt idx="47">
                  <c:v>46064</c:v>
                </c:pt>
                <c:pt idx="48">
                  <c:v>46065</c:v>
                </c:pt>
                <c:pt idx="49">
                  <c:v>46066</c:v>
                </c:pt>
                <c:pt idx="50">
                  <c:v>46067</c:v>
                </c:pt>
                <c:pt idx="51">
                  <c:v>46068</c:v>
                </c:pt>
                <c:pt idx="52">
                  <c:v>46069</c:v>
                </c:pt>
                <c:pt idx="53">
                  <c:v>46070</c:v>
                </c:pt>
                <c:pt idx="54">
                  <c:v>46071</c:v>
                </c:pt>
                <c:pt idx="55">
                  <c:v>46072</c:v>
                </c:pt>
                <c:pt idx="56">
                  <c:v>46073</c:v>
                </c:pt>
                <c:pt idx="57">
                  <c:v>46074</c:v>
                </c:pt>
                <c:pt idx="58">
                  <c:v>46075</c:v>
                </c:pt>
                <c:pt idx="59">
                  <c:v>46076</c:v>
                </c:pt>
                <c:pt idx="60">
                  <c:v>46077</c:v>
                </c:pt>
                <c:pt idx="61">
                  <c:v>46078</c:v>
                </c:pt>
                <c:pt idx="62">
                  <c:v>46079</c:v>
                </c:pt>
                <c:pt idx="63">
                  <c:v>46080</c:v>
                </c:pt>
                <c:pt idx="64">
                  <c:v>46081</c:v>
                </c:pt>
                <c:pt idx="65">
                  <c:v>46082</c:v>
                </c:pt>
                <c:pt idx="66">
                  <c:v>46083</c:v>
                </c:pt>
                <c:pt idx="67">
                  <c:v>46084</c:v>
                </c:pt>
                <c:pt idx="68">
                  <c:v>46085</c:v>
                </c:pt>
                <c:pt idx="69">
                  <c:v>46086</c:v>
                </c:pt>
                <c:pt idx="70">
                  <c:v>46087</c:v>
                </c:pt>
                <c:pt idx="71">
                  <c:v>46088</c:v>
                </c:pt>
                <c:pt idx="72">
                  <c:v>46089</c:v>
                </c:pt>
                <c:pt idx="73">
                  <c:v>46090</c:v>
                </c:pt>
                <c:pt idx="74">
                  <c:v>46091</c:v>
                </c:pt>
                <c:pt idx="75">
                  <c:v>46092</c:v>
                </c:pt>
                <c:pt idx="76">
                  <c:v>46093</c:v>
                </c:pt>
                <c:pt idx="77">
                  <c:v>46094</c:v>
                </c:pt>
                <c:pt idx="78">
                  <c:v>46095</c:v>
                </c:pt>
                <c:pt idx="79">
                  <c:v>46096</c:v>
                </c:pt>
                <c:pt idx="80">
                  <c:v>46097</c:v>
                </c:pt>
                <c:pt idx="81">
                  <c:v>46098</c:v>
                </c:pt>
                <c:pt idx="82">
                  <c:v>46099</c:v>
                </c:pt>
                <c:pt idx="83">
                  <c:v>46100</c:v>
                </c:pt>
                <c:pt idx="84">
                  <c:v>46101</c:v>
                </c:pt>
                <c:pt idx="85">
                  <c:v>46102</c:v>
                </c:pt>
                <c:pt idx="86">
                  <c:v>46103</c:v>
                </c:pt>
                <c:pt idx="87">
                  <c:v>46104</c:v>
                </c:pt>
                <c:pt idx="88">
                  <c:v>46105</c:v>
                </c:pt>
                <c:pt idx="89">
                  <c:v>46106</c:v>
                </c:pt>
                <c:pt idx="90">
                  <c:v>46107</c:v>
                </c:pt>
                <c:pt idx="91">
                  <c:v>46108</c:v>
                </c:pt>
                <c:pt idx="92">
                  <c:v>46109</c:v>
                </c:pt>
                <c:pt idx="93">
                  <c:v>46110</c:v>
                </c:pt>
                <c:pt idx="94">
                  <c:v>46111</c:v>
                </c:pt>
                <c:pt idx="95">
                  <c:v>46112</c:v>
                </c:pt>
                <c:pt idx="96">
                  <c:v>46113</c:v>
                </c:pt>
                <c:pt idx="97">
                  <c:v>46114</c:v>
                </c:pt>
                <c:pt idx="98">
                  <c:v>46115</c:v>
                </c:pt>
                <c:pt idx="99">
                  <c:v>46116</c:v>
                </c:pt>
                <c:pt idx="100">
                  <c:v>46117</c:v>
                </c:pt>
                <c:pt idx="101">
                  <c:v>46118</c:v>
                </c:pt>
                <c:pt idx="102">
                  <c:v>46119</c:v>
                </c:pt>
                <c:pt idx="103">
                  <c:v>46120</c:v>
                </c:pt>
                <c:pt idx="104">
                  <c:v>46121</c:v>
                </c:pt>
                <c:pt idx="105">
                  <c:v>46122</c:v>
                </c:pt>
                <c:pt idx="106">
                  <c:v>46123</c:v>
                </c:pt>
                <c:pt idx="107">
                  <c:v>46124</c:v>
                </c:pt>
                <c:pt idx="108">
                  <c:v>46125</c:v>
                </c:pt>
                <c:pt idx="109">
                  <c:v>46126</c:v>
                </c:pt>
                <c:pt idx="110">
                  <c:v>46127</c:v>
                </c:pt>
                <c:pt idx="111">
                  <c:v>46128</c:v>
                </c:pt>
                <c:pt idx="112">
                  <c:v>46129</c:v>
                </c:pt>
                <c:pt idx="113">
                  <c:v>46130</c:v>
                </c:pt>
                <c:pt idx="114">
                  <c:v>46131</c:v>
                </c:pt>
                <c:pt idx="115">
                  <c:v>46132</c:v>
                </c:pt>
                <c:pt idx="116">
                  <c:v>46133</c:v>
                </c:pt>
                <c:pt idx="117">
                  <c:v>46134</c:v>
                </c:pt>
                <c:pt idx="118">
                  <c:v>46135</c:v>
                </c:pt>
                <c:pt idx="119">
                  <c:v>46136</c:v>
                </c:pt>
                <c:pt idx="120">
                  <c:v>46137</c:v>
                </c:pt>
                <c:pt idx="121">
                  <c:v>46138</c:v>
                </c:pt>
                <c:pt idx="122">
                  <c:v>46139</c:v>
                </c:pt>
                <c:pt idx="123">
                  <c:v>46140</c:v>
                </c:pt>
                <c:pt idx="124">
                  <c:v>46141</c:v>
                </c:pt>
                <c:pt idx="125">
                  <c:v>46142</c:v>
                </c:pt>
                <c:pt idx="126">
                  <c:v>46143</c:v>
                </c:pt>
                <c:pt idx="127">
                  <c:v>46144</c:v>
                </c:pt>
                <c:pt idx="128">
                  <c:v>46145</c:v>
                </c:pt>
                <c:pt idx="129">
                  <c:v>46146</c:v>
                </c:pt>
                <c:pt idx="130">
                  <c:v>46147</c:v>
                </c:pt>
                <c:pt idx="131">
                  <c:v>46148</c:v>
                </c:pt>
                <c:pt idx="132">
                  <c:v>46149</c:v>
                </c:pt>
                <c:pt idx="133">
                  <c:v>46150</c:v>
                </c:pt>
                <c:pt idx="134">
                  <c:v>46151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4774.7819301500867</c:v>
                </c:pt>
                <c:pt idx="1">
                  <c:v>4781.8817798950749</c:v>
                </c:pt>
                <c:pt idx="2">
                  <c:v>4788.5112978347497</c:v>
                </c:pt>
                <c:pt idx="3">
                  <c:v>4794.9009530994626</c:v>
                </c:pt>
                <c:pt idx="4">
                  <c:v>4801.0194047833374</c:v>
                </c:pt>
                <c:pt idx="5">
                  <c:v>4806.3838171931529</c:v>
                </c:pt>
                <c:pt idx="6">
                  <c:v>4811.1122247066869</c:v>
                </c:pt>
                <c:pt idx="7">
                  <c:v>4815.4095100411623</c:v>
                </c:pt>
                <c:pt idx="8">
                  <c:v>4819.1460284831928</c:v>
                </c:pt>
                <c:pt idx="9">
                  <c:v>4822.4731909003985</c:v>
                </c:pt>
                <c:pt idx="10">
                  <c:v>4825.2924834004943</c:v>
                </c:pt>
                <c:pt idx="11">
                  <c:v>4827.7562368865774</c:v>
                </c:pt>
                <c:pt idx="12">
                  <c:v>4829.9460361055471</c:v>
                </c:pt>
                <c:pt idx="13">
                  <c:v>4831.8483610142266</c:v>
                </c:pt>
                <c:pt idx="14">
                  <c:v>4833.4899169497885</c:v>
                </c:pt>
                <c:pt idx="15">
                  <c:v>4834.6707611227166</c:v>
                </c:pt>
                <c:pt idx="16">
                  <c:v>4835.6006711912123</c:v>
                </c:pt>
                <c:pt idx="17">
                  <c:v>4836.3166869259403</c:v>
                </c:pt>
                <c:pt idx="18">
                  <c:v>4836.8959459619346</c:v>
                </c:pt>
                <c:pt idx="19">
                  <c:v>4837.3285239311153</c:v>
                </c:pt>
                <c:pt idx="20">
                  <c:v>4837.618316474227</c:v>
                </c:pt>
                <c:pt idx="21">
                  <c:v>4837.8063421092083</c:v>
                </c:pt>
                <c:pt idx="22">
                  <c:v>4837.9037258477438</c:v>
                </c:pt>
                <c:pt idx="23">
                  <c:v>4837.9266858804149</c:v>
                </c:pt>
                <c:pt idx="24">
                  <c:v>4837.8874603565791</c:v>
                </c:pt>
                <c:pt idx="25">
                  <c:v>4837.7939745947087</c:v>
                </c:pt>
                <c:pt idx="26">
                  <c:v>4837.6879924979939</c:v>
                </c:pt>
                <c:pt idx="27">
                  <c:v>4837.558103717598</c:v>
                </c:pt>
                <c:pt idx="28">
                  <c:v>4837.4058069503471</c:v>
                </c:pt>
                <c:pt idx="29">
                  <c:v>4837.243147790532</c:v>
                </c:pt>
                <c:pt idx="30">
                  <c:v>4837.0734173076107</c:v>
                </c:pt>
                <c:pt idx="31">
                  <c:v>4836.8907051222004</c:v>
                </c:pt>
                <c:pt idx="32">
                  <c:v>4836.7102516735049</c:v>
                </c:pt>
                <c:pt idx="33">
                  <c:v>4836.5240259301936</c:v>
                </c:pt>
                <c:pt idx="34">
                  <c:v>4836.3338931649996</c:v>
                </c:pt>
                <c:pt idx="35">
                  <c:v>4836.1460102248866</c:v>
                </c:pt>
                <c:pt idx="36">
                  <c:v>4835.9624172294716</c:v>
                </c:pt>
                <c:pt idx="37">
                  <c:v>4835.7709696066631</c:v>
                </c:pt>
                <c:pt idx="38">
                  <c:v>4835.5861497347414</c:v>
                </c:pt>
                <c:pt idx="39">
                  <c:v>4835.3820947199201</c:v>
                </c:pt>
                <c:pt idx="40">
                  <c:v>4835.2001551544126</c:v>
                </c:pt>
                <c:pt idx="41">
                  <c:v>4834.9997603823685</c:v>
                </c:pt>
                <c:pt idx="42">
                  <c:v>4834.7228832212004</c:v>
                </c:pt>
                <c:pt idx="43">
                  <c:v>4834.3616418487281</c:v>
                </c:pt>
                <c:pt idx="44">
                  <c:v>4833.9390310281515</c:v>
                </c:pt>
                <c:pt idx="45">
                  <c:v>4833.4234824477926</c:v>
                </c:pt>
                <c:pt idx="46">
                  <c:v>4832.8101273604943</c:v>
                </c:pt>
                <c:pt idx="47">
                  <c:v>4832.1206656246122</c:v>
                </c:pt>
                <c:pt idx="48">
                  <c:v>4831.3696757163207</c:v>
                </c:pt>
                <c:pt idx="49">
                  <c:v>4830.5066491508715</c:v>
                </c:pt>
                <c:pt idx="50">
                  <c:v>4829.5533094545472</c:v>
                </c:pt>
                <c:pt idx="51">
                  <c:v>4828.5498878919489</c:v>
                </c:pt>
                <c:pt idx="52">
                  <c:v>4827.4565809790756</c:v>
                </c:pt>
                <c:pt idx="53">
                  <c:v>4826.3385259352517</c:v>
                </c:pt>
                <c:pt idx="54">
                  <c:v>4825.0861390842747</c:v>
                </c:pt>
                <c:pt idx="55">
                  <c:v>4823.7086371757277</c:v>
                </c:pt>
                <c:pt idx="56">
                  <c:v>4822.2660677459289</c:v>
                </c:pt>
                <c:pt idx="57">
                  <c:v>4820.7398299109418</c:v>
                </c:pt>
                <c:pt idx="58">
                  <c:v>4819.0952005969202</c:v>
                </c:pt>
                <c:pt idx="59">
                  <c:v>4817.3575623260895</c:v>
                </c:pt>
                <c:pt idx="60">
                  <c:v>4815.535629102299</c:v>
                </c:pt>
                <c:pt idx="61">
                  <c:v>4813.6314784031665</c:v>
                </c:pt>
                <c:pt idx="62">
                  <c:v>4811.5879722029995</c:v>
                </c:pt>
                <c:pt idx="63">
                  <c:v>4809.3840404760294</c:v>
                </c:pt>
                <c:pt idx="64">
                  <c:v>4807.1437424254218</c:v>
                </c:pt>
                <c:pt idx="65">
                  <c:v>4804.8285229768981</c:v>
                </c:pt>
                <c:pt idx="66">
                  <c:v>4802.3099251554422</c:v>
                </c:pt>
                <c:pt idx="67">
                  <c:v>4799.6770894912779</c:v>
                </c:pt>
                <c:pt idx="68">
                  <c:v>4797.1465787415127</c:v>
                </c:pt>
                <c:pt idx="69">
                  <c:v>4794.4959150623145</c:v>
                </c:pt>
                <c:pt idx="70">
                  <c:v>4791.6071039832523</c:v>
                </c:pt>
                <c:pt idx="71">
                  <c:v>4788.7192154007125</c:v>
                </c:pt>
                <c:pt idx="72">
                  <c:v>4785.5585692782888</c:v>
                </c:pt>
                <c:pt idx="73">
                  <c:v>4782.2223333981337</c:v>
                </c:pt>
                <c:pt idx="74">
                  <c:v>4778.7901283700203</c:v>
                </c:pt>
                <c:pt idx="75">
                  <c:v>4775.4178571306829</c:v>
                </c:pt>
                <c:pt idx="76">
                  <c:v>4771.8669010063177</c:v>
                </c:pt>
                <c:pt idx="77">
                  <c:v>4768.2493506540059</c:v>
                </c:pt>
                <c:pt idx="78">
                  <c:v>4764.4754552048907</c:v>
                </c:pt>
                <c:pt idx="79">
                  <c:v>4760.6470710626099</c:v>
                </c:pt>
                <c:pt idx="80">
                  <c:v>4756.6649349652889</c:v>
                </c:pt>
                <c:pt idx="81">
                  <c:v>4752.5711421439346</c:v>
                </c:pt>
                <c:pt idx="82">
                  <c:v>4748.3615305920985</c:v>
                </c:pt>
                <c:pt idx="83">
                  <c:v>4744.1741043421162</c:v>
                </c:pt>
                <c:pt idx="84">
                  <c:v>4739.9117404806993</c:v>
                </c:pt>
                <c:pt idx="85">
                  <c:v>4735.402592296733</c:v>
                </c:pt>
                <c:pt idx="86">
                  <c:v>4730.8663636763886</c:v>
                </c:pt>
                <c:pt idx="87">
                  <c:v>4726.403174385825</c:v>
                </c:pt>
                <c:pt idx="88">
                  <c:v>4721.8867648210398</c:v>
                </c:pt>
                <c:pt idx="89">
                  <c:v>4717.2860464553023</c:v>
                </c:pt>
                <c:pt idx="90">
                  <c:v>4712.6419248142956</c:v>
                </c:pt>
                <c:pt idx="91">
                  <c:v>4707.849320487675</c:v>
                </c:pt>
                <c:pt idx="92">
                  <c:v>4703.0543564374275</c:v>
                </c:pt>
                <c:pt idx="93">
                  <c:v>4698.1677934969684</c:v>
                </c:pt>
                <c:pt idx="94">
                  <c:v>4693.3074361430399</c:v>
                </c:pt>
                <c:pt idx="95">
                  <c:v>4688.5506210637077</c:v>
                </c:pt>
                <c:pt idx="96">
                  <c:v>4683.8959376484627</c:v>
                </c:pt>
                <c:pt idx="97">
                  <c:v>4679.3162075354576</c:v>
                </c:pt>
                <c:pt idx="98">
                  <c:v>4674.7026360677646</c:v>
                </c:pt>
                <c:pt idx="99">
                  <c:v>4670.2453394460863</c:v>
                </c:pt>
                <c:pt idx="100">
                  <c:v>4665.8014114062844</c:v>
                </c:pt>
                <c:pt idx="101">
                  <c:v>4661.4112375500117</c:v>
                </c:pt>
                <c:pt idx="102">
                  <c:v>4657.0756729146815</c:v>
                </c:pt>
                <c:pt idx="103">
                  <c:v>4652.9068920339469</c:v>
                </c:pt>
                <c:pt idx="104">
                  <c:v>4648.9594133838918</c:v>
                </c:pt>
                <c:pt idx="105">
                  <c:v>4645.1044441350423</c:v>
                </c:pt>
                <c:pt idx="106">
                  <c:v>4641.4101470193227</c:v>
                </c:pt>
                <c:pt idx="107">
                  <c:v>4637.7916666687943</c:v>
                </c:pt>
                <c:pt idx="108">
                  <c:v>4634.136107222962</c:v>
                </c:pt>
                <c:pt idx="109">
                  <c:v>4630.6809269487276</c:v>
                </c:pt>
                <c:pt idx="110">
                  <c:v>4627.3643794293212</c:v>
                </c:pt>
                <c:pt idx="111">
                  <c:v>4623.9801743378757</c:v>
                </c:pt>
                <c:pt idx="112">
                  <c:v>4620.7659098670647</c:v>
                </c:pt>
                <c:pt idx="113">
                  <c:v>4617.6371598607602</c:v>
                </c:pt>
                <c:pt idx="114">
                  <c:v>4614.6568185948063</c:v>
                </c:pt>
                <c:pt idx="115">
                  <c:v>4611.6668614250866</c:v>
                </c:pt>
                <c:pt idx="116">
                  <c:v>4608.8395782073458</c:v>
                </c:pt>
                <c:pt idx="117">
                  <c:v>4606.3137990521182</c:v>
                </c:pt>
                <c:pt idx="118">
                  <c:v>4603.8110963175423</c:v>
                </c:pt>
                <c:pt idx="119">
                  <c:v>4601.4350011454108</c:v>
                </c:pt>
                <c:pt idx="120">
                  <c:v>4599.0646244212312</c:v>
                </c:pt>
                <c:pt idx="121">
                  <c:v>4596.7092032581186</c:v>
                </c:pt>
                <c:pt idx="122">
                  <c:v>4594.3314433120067</c:v>
                </c:pt>
                <c:pt idx="123">
                  <c:v>4591.9834872634056</c:v>
                </c:pt>
                <c:pt idx="124">
                  <c:v>4589.9340829833036</c:v>
                </c:pt>
                <c:pt idx="125">
                  <c:v>4588.0548505196939</c:v>
                </c:pt>
                <c:pt idx="126">
                  <c:v>4586.2286130023531</c:v>
                </c:pt>
                <c:pt idx="127">
                  <c:v>4584.5061646613567</c:v>
                </c:pt>
                <c:pt idx="128">
                  <c:v>4582.8713186754258</c:v>
                </c:pt>
                <c:pt idx="129">
                  <c:v>4581.3535224341804</c:v>
                </c:pt>
                <c:pt idx="130">
                  <c:v>4579.8795281297307</c:v>
                </c:pt>
                <c:pt idx="131">
                  <c:v>4578.4394948219506</c:v>
                </c:pt>
                <c:pt idx="132">
                  <c:v>4577.1135923263409</c:v>
                </c:pt>
                <c:pt idx="133">
                  <c:v>4575.8917551232335</c:v>
                </c:pt>
                <c:pt idx="134">
                  <c:v>4574.7914670726677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0.17824925039708306</c:v>
                </c:pt>
                <c:pt idx="1">
                  <c:v>0.35729791356674134</c:v>
                </c:pt>
                <c:pt idx="2">
                  <c:v>0.54344701375324089</c:v>
                </c:pt>
                <c:pt idx="3">
                  <c:v>0.73826181617965614</c:v>
                </c:pt>
                <c:pt idx="4">
                  <c:v>0.93967721680948546</c:v>
                </c:pt>
                <c:pt idx="5">
                  <c:v>1.1635763539475399</c:v>
                </c:pt>
                <c:pt idx="6">
                  <c:v>1.3852486395259875</c:v>
                </c:pt>
                <c:pt idx="7">
                  <c:v>1.6071594053351212</c:v>
                </c:pt>
                <c:pt idx="8">
                  <c:v>1.8203969412669696</c:v>
                </c:pt>
                <c:pt idx="9">
                  <c:v>2.0322228378515499</c:v>
                </c:pt>
                <c:pt idx="10">
                  <c:v>2.2338939087753804</c:v>
                </c:pt>
                <c:pt idx="11">
                  <c:v>2.4344617509318414</c:v>
                </c:pt>
                <c:pt idx="12">
                  <c:v>2.6392581198850413</c:v>
                </c:pt>
                <c:pt idx="13">
                  <c:v>2.8498154794267418</c:v>
                </c:pt>
                <c:pt idx="14">
                  <c:v>3.0672491281441694</c:v>
                </c:pt>
                <c:pt idx="15">
                  <c:v>3.277393358621921</c:v>
                </c:pt>
                <c:pt idx="16">
                  <c:v>3.479508779788052</c:v>
                </c:pt>
                <c:pt idx="17">
                  <c:v>3.6790892610107644</c:v>
                </c:pt>
                <c:pt idx="18">
                  <c:v>3.8871785064027984</c:v>
                </c:pt>
                <c:pt idx="19">
                  <c:v>4.0983606089435538</c:v>
                </c:pt>
                <c:pt idx="20">
                  <c:v>4.3048023369410551</c:v>
                </c:pt>
                <c:pt idx="21">
                  <c:v>4.5139651577173288</c:v>
                </c:pt>
                <c:pt idx="22">
                  <c:v>4.7223245950528989</c:v>
                </c:pt>
                <c:pt idx="23">
                  <c:v>4.9307482076960873</c:v>
                </c:pt>
                <c:pt idx="24">
                  <c:v>5.1428311801321556</c:v>
                </c:pt>
                <c:pt idx="25">
                  <c:v>5.3489359663786145</c:v>
                </c:pt>
                <c:pt idx="26">
                  <c:v>5.5849848783487932</c:v>
                </c:pt>
                <c:pt idx="27">
                  <c:v>5.8284720086039732</c:v>
                </c:pt>
                <c:pt idx="28">
                  <c:v>6.0706814899027517</c:v>
                </c:pt>
                <c:pt idx="29">
                  <c:v>6.3171202655461327</c:v>
                </c:pt>
                <c:pt idx="30">
                  <c:v>6.5709909471568224</c:v>
                </c:pt>
                <c:pt idx="31">
                  <c:v>6.8185902499218551</c:v>
                </c:pt>
                <c:pt idx="32">
                  <c:v>7.0581655286851781</c:v>
                </c:pt>
                <c:pt idx="33">
                  <c:v>7.293996021468117</c:v>
                </c:pt>
                <c:pt idx="34">
                  <c:v>7.5288093457883551</c:v>
                </c:pt>
                <c:pt idx="35">
                  <c:v>7.7680341235168928</c:v>
                </c:pt>
                <c:pt idx="36">
                  <c:v>8.0054507882528121</c:v>
                </c:pt>
                <c:pt idx="37">
                  <c:v>8.2347453104883463</c:v>
                </c:pt>
                <c:pt idx="38">
                  <c:v>8.4635043490974873</c:v>
                </c:pt>
                <c:pt idx="39">
                  <c:v>8.6794095482223881</c:v>
                </c:pt>
                <c:pt idx="40">
                  <c:v>8.8936901957232237</c:v>
                </c:pt>
                <c:pt idx="41">
                  <c:v>9.1115455622911643</c:v>
                </c:pt>
                <c:pt idx="42">
                  <c:v>9.3141599235429755</c:v>
                </c:pt>
                <c:pt idx="43">
                  <c:v>9.5084333043104809</c:v>
                </c:pt>
                <c:pt idx="44">
                  <c:v>9.6980276349045695</c:v>
                </c:pt>
                <c:pt idx="45">
                  <c:v>9.8824683715078887</c:v>
                </c:pt>
                <c:pt idx="46">
                  <c:v>10.06741645255166</c:v>
                </c:pt>
                <c:pt idx="47">
                  <c:v>10.253853423046067</c:v>
                </c:pt>
                <c:pt idx="48">
                  <c:v>10.439496528790658</c:v>
                </c:pt>
                <c:pt idx="49">
                  <c:v>10.61638618466379</c:v>
                </c:pt>
                <c:pt idx="50">
                  <c:v>10.792183615724978</c:v>
                </c:pt>
                <c:pt idx="51">
                  <c:v>10.966770731398059</c:v>
                </c:pt>
                <c:pt idx="52">
                  <c:v>11.138681840612209</c:v>
                </c:pt>
                <c:pt idx="53">
                  <c:v>11.317744093854317</c:v>
                </c:pt>
                <c:pt idx="54">
                  <c:v>11.495387239470073</c:v>
                </c:pt>
                <c:pt idx="55">
                  <c:v>11.670469481986583</c:v>
                </c:pt>
                <c:pt idx="56">
                  <c:v>11.851701442710082</c:v>
                </c:pt>
                <c:pt idx="57">
                  <c:v>12.033985786915165</c:v>
                </c:pt>
                <c:pt idx="58">
                  <c:v>12.210706292859584</c:v>
                </c:pt>
                <c:pt idx="59">
                  <c:v>12.389533525675754</c:v>
                </c:pt>
                <c:pt idx="60">
                  <c:v>12.560793176058139</c:v>
                </c:pt>
                <c:pt idx="61">
                  <c:v>12.722694276520034</c:v>
                </c:pt>
                <c:pt idx="62">
                  <c:v>12.885377271703144</c:v>
                </c:pt>
                <c:pt idx="63">
                  <c:v>13.047612357891344</c:v>
                </c:pt>
                <c:pt idx="64">
                  <c:v>13.210330282304072</c:v>
                </c:pt>
                <c:pt idx="65">
                  <c:v>13.379339111890324</c:v>
                </c:pt>
                <c:pt idx="66">
                  <c:v>13.553265314097739</c:v>
                </c:pt>
                <c:pt idx="67">
                  <c:v>13.731377753290372</c:v>
                </c:pt>
                <c:pt idx="68">
                  <c:v>13.90887071964147</c:v>
                </c:pt>
                <c:pt idx="69">
                  <c:v>14.084400556623224</c:v>
                </c:pt>
                <c:pt idx="70">
                  <c:v>14.263760904110201</c:v>
                </c:pt>
                <c:pt idx="71">
                  <c:v>14.43601803671852</c:v>
                </c:pt>
                <c:pt idx="72">
                  <c:v>14.607419025988122</c:v>
                </c:pt>
                <c:pt idx="73">
                  <c:v>14.784080158329967</c:v>
                </c:pt>
                <c:pt idx="74">
                  <c:v>14.954256218042884</c:v>
                </c:pt>
                <c:pt idx="75">
                  <c:v>15.136271076342183</c:v>
                </c:pt>
                <c:pt idx="76">
                  <c:v>15.320902123135609</c:v>
                </c:pt>
                <c:pt idx="77">
                  <c:v>15.496095918195318</c:v>
                </c:pt>
                <c:pt idx="78">
                  <c:v>15.667970528196999</c:v>
                </c:pt>
                <c:pt idx="79">
                  <c:v>15.839053098753425</c:v>
                </c:pt>
                <c:pt idx="80">
                  <c:v>16.012418118396536</c:v>
                </c:pt>
                <c:pt idx="81">
                  <c:v>16.18484590734257</c:v>
                </c:pt>
                <c:pt idx="82">
                  <c:v>16.352757575424043</c:v>
                </c:pt>
                <c:pt idx="83">
                  <c:v>16.511556419776166</c:v>
                </c:pt>
                <c:pt idx="84">
                  <c:v>16.673807222539569</c:v>
                </c:pt>
                <c:pt idx="85">
                  <c:v>16.834119981801273</c:v>
                </c:pt>
                <c:pt idx="86">
                  <c:v>16.994103330001437</c:v>
                </c:pt>
                <c:pt idx="87">
                  <c:v>17.15123744983655</c:v>
                </c:pt>
                <c:pt idx="88">
                  <c:v>17.305366274786973</c:v>
                </c:pt>
                <c:pt idx="89">
                  <c:v>17.457752349936946</c:v>
                </c:pt>
                <c:pt idx="90">
                  <c:v>17.613743450415239</c:v>
                </c:pt>
                <c:pt idx="91">
                  <c:v>17.767269124771019</c:v>
                </c:pt>
                <c:pt idx="92">
                  <c:v>17.92011971574561</c:v>
                </c:pt>
                <c:pt idx="93">
                  <c:v>18.076553678442217</c:v>
                </c:pt>
                <c:pt idx="94">
                  <c:v>18.227208105709497</c:v>
                </c:pt>
                <c:pt idx="95">
                  <c:v>18.37705999404179</c:v>
                </c:pt>
                <c:pt idx="96">
                  <c:v>18.522020826405583</c:v>
                </c:pt>
                <c:pt idx="97">
                  <c:v>18.668536700964129</c:v>
                </c:pt>
                <c:pt idx="98">
                  <c:v>18.817854467570182</c:v>
                </c:pt>
                <c:pt idx="99">
                  <c:v>18.960026088488707</c:v>
                </c:pt>
                <c:pt idx="100">
                  <c:v>19.100453843444416</c:v>
                </c:pt>
                <c:pt idx="101">
                  <c:v>19.243037500891166</c:v>
                </c:pt>
                <c:pt idx="102">
                  <c:v>19.385014672733952</c:v>
                </c:pt>
                <c:pt idx="103">
                  <c:v>19.525750959793193</c:v>
                </c:pt>
                <c:pt idx="104">
                  <c:v>19.66885569108732</c:v>
                </c:pt>
                <c:pt idx="105">
                  <c:v>19.811692406025983</c:v>
                </c:pt>
                <c:pt idx="106">
                  <c:v>19.952000735142615</c:v>
                </c:pt>
                <c:pt idx="107">
                  <c:v>20.096880608366728</c:v>
                </c:pt>
                <c:pt idx="108">
                  <c:v>20.244644717039151</c:v>
                </c:pt>
                <c:pt idx="109">
                  <c:v>20.391459520504359</c:v>
                </c:pt>
                <c:pt idx="110">
                  <c:v>20.537467558476187</c:v>
                </c:pt>
                <c:pt idx="111">
                  <c:v>20.693688927377039</c:v>
                </c:pt>
                <c:pt idx="112">
                  <c:v>20.848499093769401</c:v>
                </c:pt>
                <c:pt idx="113">
                  <c:v>21.005437150433437</c:v>
                </c:pt>
                <c:pt idx="114">
                  <c:v>21.159820526302539</c:v>
                </c:pt>
                <c:pt idx="115">
                  <c:v>21.315274067993688</c:v>
                </c:pt>
                <c:pt idx="116">
                  <c:v>21.473822834819366</c:v>
                </c:pt>
                <c:pt idx="117">
                  <c:v>21.62680643080644</c:v>
                </c:pt>
                <c:pt idx="118">
                  <c:v>21.781847210172028</c:v>
                </c:pt>
                <c:pt idx="119">
                  <c:v>21.940702368960672</c:v>
                </c:pt>
                <c:pt idx="120">
                  <c:v>22.117914766884031</c:v>
                </c:pt>
                <c:pt idx="121">
                  <c:v>22.302291173518562</c:v>
                </c:pt>
                <c:pt idx="122">
                  <c:v>22.495512056826243</c:v>
                </c:pt>
                <c:pt idx="123">
                  <c:v>22.699129414047103</c:v>
                </c:pt>
                <c:pt idx="124">
                  <c:v>22.892430982058411</c:v>
                </c:pt>
                <c:pt idx="125">
                  <c:v>23.089303477308224</c:v>
                </c:pt>
                <c:pt idx="126">
                  <c:v>23.292111058703817</c:v>
                </c:pt>
                <c:pt idx="127">
                  <c:v>23.511690130615587</c:v>
                </c:pt>
                <c:pt idx="128">
                  <c:v>23.732203321595399</c:v>
                </c:pt>
                <c:pt idx="129">
                  <c:v>23.949087140967748</c:v>
                </c:pt>
                <c:pt idx="130">
                  <c:v>24.172928775728007</c:v>
                </c:pt>
                <c:pt idx="131">
                  <c:v>24.406998698205843</c:v>
                </c:pt>
                <c:pt idx="132">
                  <c:v>24.634570421315843</c:v>
                </c:pt>
                <c:pt idx="133">
                  <c:v>24.863621079228285</c:v>
                </c:pt>
                <c:pt idx="134">
                  <c:v>25.086870937771451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7.5046907897963209</c:v>
                </c:pt>
                <c:pt idx="2">
                  <c:v>14.425491871614557</c:v>
                </c:pt>
                <c:pt idx="3">
                  <c:v>20.868860711103196</c:v>
                </c:pt>
                <c:pt idx="4">
                  <c:v>27.063701173389788</c:v>
                </c:pt>
                <c:pt idx="5">
                  <c:v>32.980737456634159</c:v>
                </c:pt>
                <c:pt idx="6">
                  <c:v>38.121250729311811</c:v>
                </c:pt>
                <c:pt idx="7">
                  <c:v>42.627985957267057</c:v>
                </c:pt>
                <c:pt idx="8">
                  <c:v>46.703360525933277</c:v>
                </c:pt>
                <c:pt idx="9">
                  <c:v>50.226641432032011</c:v>
                </c:pt>
                <c:pt idx="10">
                  <c:v>53.341977952653082</c:v>
                </c:pt>
                <c:pt idx="11">
                  <c:v>55.959599381824802</c:v>
                </c:pt>
                <c:pt idx="12">
                  <c:v>58.222785025751222</c:v>
                </c:pt>
                <c:pt idx="13">
                  <c:v>60.207787875767991</c:v>
                </c:pt>
                <c:pt idx="14">
                  <c:v>61.899555424906112</c:v>
                </c:pt>
                <c:pt idx="15">
                  <c:v>63.323677711750321</c:v>
                </c:pt>
                <c:pt idx="16">
                  <c:v>64.476967400411326</c:v>
                </c:pt>
                <c:pt idx="17">
                  <c:v>65.394774751984528</c:v>
                </c:pt>
                <c:pt idx="18">
                  <c:v>66.114606514742974</c:v>
                </c:pt>
                <c:pt idx="19">
                  <c:v>66.704253320935692</c:v>
                </c:pt>
                <c:pt idx="20">
                  <c:v>67.161508834906329</c:v>
                </c:pt>
                <c:pt idx="21">
                  <c:v>67.494930598759055</c:v>
                </c:pt>
                <c:pt idx="22">
                  <c:v>67.739075889859322</c:v>
                </c:pt>
                <c:pt idx="23">
                  <c:v>67.905216000205655</c:v>
                </c:pt>
                <c:pt idx="24">
                  <c:v>68.01493743963735</c:v>
                </c:pt>
                <c:pt idx="25">
                  <c:v>68.083852450955789</c:v>
                </c:pt>
                <c:pt idx="26">
                  <c:v>68.122725623001173</c:v>
                </c:pt>
                <c:pt idx="27">
                  <c:v>68.146401307466562</c:v>
                </c:pt>
                <c:pt idx="28">
                  <c:v>68.164381952279115</c:v>
                </c:pt>
                <c:pt idx="29">
                  <c:v>68.186634599290784</c:v>
                </c:pt>
                <c:pt idx="30">
                  <c:v>68.221978982273271</c:v>
                </c:pt>
                <c:pt idx="31">
                  <c:v>68.278939678407966</c:v>
                </c:pt>
                <c:pt idx="32">
                  <c:v>68.364492394463042</c:v>
                </c:pt>
                <c:pt idx="33">
                  <c:v>68.480711533031041</c:v>
                </c:pt>
                <c:pt idx="34">
                  <c:v>68.635322093313761</c:v>
                </c:pt>
                <c:pt idx="35">
                  <c:v>68.834299927990145</c:v>
                </c:pt>
                <c:pt idx="36">
                  <c:v>69.082625117188996</c:v>
                </c:pt>
                <c:pt idx="37">
                  <c:v>69.378083676943987</c:v>
                </c:pt>
                <c:pt idx="38">
                  <c:v>69.725538185520207</c:v>
                </c:pt>
                <c:pt idx="39">
                  <c:v>70.117446778089601</c:v>
                </c:pt>
                <c:pt idx="40">
                  <c:v>70.540876060649595</c:v>
                </c:pt>
                <c:pt idx="41">
                  <c:v>71.000741151082678</c:v>
                </c:pt>
                <c:pt idx="42">
                  <c:v>71.521368064653785</c:v>
                </c:pt>
                <c:pt idx="43">
                  <c:v>72.0294284853222</c:v>
                </c:pt>
                <c:pt idx="44">
                  <c:v>72.529383420907408</c:v>
                </c:pt>
                <c:pt idx="45">
                  <c:v>73.034740000011453</c:v>
                </c:pt>
                <c:pt idx="46">
                  <c:v>73.530473019985578</c:v>
                </c:pt>
                <c:pt idx="47">
                  <c:v>74.033565071427603</c:v>
                </c:pt>
                <c:pt idx="48">
                  <c:v>74.557213710117622</c:v>
                </c:pt>
                <c:pt idx="49">
                  <c:v>75.099086523535078</c:v>
                </c:pt>
                <c:pt idx="50">
                  <c:v>75.605661289720416</c:v>
                </c:pt>
                <c:pt idx="51">
                  <c:v>76.117181460485625</c:v>
                </c:pt>
                <c:pt idx="52">
                  <c:v>76.648337025080167</c:v>
                </c:pt>
                <c:pt idx="53">
                  <c:v>77.177445368138791</c:v>
                </c:pt>
                <c:pt idx="54">
                  <c:v>77.778567534368193</c:v>
                </c:pt>
                <c:pt idx="55">
                  <c:v>78.372967063052812</c:v>
                </c:pt>
                <c:pt idx="56">
                  <c:v>78.957626761967191</c:v>
                </c:pt>
                <c:pt idx="57">
                  <c:v>79.603094589601</c:v>
                </c:pt>
                <c:pt idx="58">
                  <c:v>80.275894652118637</c:v>
                </c:pt>
                <c:pt idx="59">
                  <c:v>80.9259266769254</c:v>
                </c:pt>
                <c:pt idx="60">
                  <c:v>81.607288507082529</c:v>
                </c:pt>
                <c:pt idx="61">
                  <c:v>82.259941422195567</c:v>
                </c:pt>
                <c:pt idx="62">
                  <c:v>82.867516152674654</c:v>
                </c:pt>
                <c:pt idx="63">
                  <c:v>83.481659507584396</c:v>
                </c:pt>
                <c:pt idx="64">
                  <c:v>84.089004933071664</c:v>
                </c:pt>
                <c:pt idx="65">
                  <c:v>84.729934030040198</c:v>
                </c:pt>
                <c:pt idx="66">
                  <c:v>85.435709199689114</c:v>
                </c:pt>
                <c:pt idx="67">
                  <c:v>86.167898677722434</c:v>
                </c:pt>
                <c:pt idx="68">
                  <c:v>86.943447463610056</c:v>
                </c:pt>
                <c:pt idx="69">
                  <c:v>87.769302581828271</c:v>
                </c:pt>
                <c:pt idx="70">
                  <c:v>88.589501110845646</c:v>
                </c:pt>
                <c:pt idx="71">
                  <c:v>89.424647708948015</c:v>
                </c:pt>
                <c:pt idx="72">
                  <c:v>90.23668458027592</c:v>
                </c:pt>
                <c:pt idx="73">
                  <c:v>91.021070668782187</c:v>
                </c:pt>
                <c:pt idx="74">
                  <c:v>91.843679957698868</c:v>
                </c:pt>
                <c:pt idx="75">
                  <c:v>92.626088018716501</c:v>
                </c:pt>
                <c:pt idx="76">
                  <c:v>93.534367599595129</c:v>
                </c:pt>
                <c:pt idx="77">
                  <c:v>94.458331109470038</c:v>
                </c:pt>
                <c:pt idx="78">
                  <c:v>95.321503605290019</c:v>
                </c:pt>
                <c:pt idx="79">
                  <c:v>96.154942261170191</c:v>
                </c:pt>
                <c:pt idx="80">
                  <c:v>96.992425951424963</c:v>
                </c:pt>
                <c:pt idx="81">
                  <c:v>97.8428704923152</c:v>
                </c:pt>
                <c:pt idx="82">
                  <c:v>98.685861711129888</c:v>
                </c:pt>
                <c:pt idx="83">
                  <c:v>99.490452250763582</c:v>
                </c:pt>
                <c:pt idx="84">
                  <c:v>100.23568656871785</c:v>
                </c:pt>
                <c:pt idx="85">
                  <c:v>101.01098848873519</c:v>
                </c:pt>
                <c:pt idx="86">
                  <c:v>101.74523024356816</c:v>
                </c:pt>
                <c:pt idx="87">
                  <c:v>102.48303433272392</c:v>
                </c:pt>
                <c:pt idx="88">
                  <c:v>103.21527548112803</c:v>
                </c:pt>
                <c:pt idx="89">
                  <c:v>103.92101645970271</c:v>
                </c:pt>
                <c:pt idx="90">
                  <c:v>104.60531483220208</c:v>
                </c:pt>
                <c:pt idx="91">
                  <c:v>105.31956486084115</c:v>
                </c:pt>
                <c:pt idx="92">
                  <c:v>105.99467660884406</c:v>
                </c:pt>
                <c:pt idx="93">
                  <c:v>106.66593418336137</c:v>
                </c:pt>
                <c:pt idx="94">
                  <c:v>107.35672812212712</c:v>
                </c:pt>
                <c:pt idx="95">
                  <c:v>107.99982065995383</c:v>
                </c:pt>
                <c:pt idx="96">
                  <c:v>108.64930187828847</c:v>
                </c:pt>
                <c:pt idx="97">
                  <c:v>109.2671625256306</c:v>
                </c:pt>
                <c:pt idx="98">
                  <c:v>109.90566938971958</c:v>
                </c:pt>
                <c:pt idx="99">
                  <c:v>110.55882041219743</c:v>
                </c:pt>
                <c:pt idx="100">
                  <c:v>111.16549677417689</c:v>
                </c:pt>
                <c:pt idx="101">
                  <c:v>111.75191797483686</c:v>
                </c:pt>
                <c:pt idx="102">
                  <c:v>112.35732535338806</c:v>
                </c:pt>
                <c:pt idx="103">
                  <c:v>112.95654202973577</c:v>
                </c:pt>
                <c:pt idx="104">
                  <c:v>113.55910377249825</c:v>
                </c:pt>
                <c:pt idx="105">
                  <c:v>114.20090694310963</c:v>
                </c:pt>
                <c:pt idx="106">
                  <c:v>114.84223174628275</c:v>
                </c:pt>
                <c:pt idx="107">
                  <c:v>115.4733250996652</c:v>
                </c:pt>
                <c:pt idx="108">
                  <c:v>116.13831802060182</c:v>
                </c:pt>
                <c:pt idx="109">
                  <c:v>116.80904601467785</c:v>
                </c:pt>
                <c:pt idx="110">
                  <c:v>117.48436396609654</c:v>
                </c:pt>
                <c:pt idx="111">
                  <c:v>118.15780017308344</c:v>
                </c:pt>
                <c:pt idx="112">
                  <c:v>118.88268457405198</c:v>
                </c:pt>
                <c:pt idx="113">
                  <c:v>119.60284734382938</c:v>
                </c:pt>
                <c:pt idx="114">
                  <c:v>120.3326540364084</c:v>
                </c:pt>
                <c:pt idx="115">
                  <c:v>121.04757692918588</c:v>
                </c:pt>
                <c:pt idx="116">
                  <c:v>121.75423359547759</c:v>
                </c:pt>
                <c:pt idx="117">
                  <c:v>122.48358571553695</c:v>
                </c:pt>
                <c:pt idx="118">
                  <c:v>123.18213317490827</c:v>
                </c:pt>
                <c:pt idx="119">
                  <c:v>123.88141734612904</c:v>
                </c:pt>
                <c:pt idx="120">
                  <c:v>124.56503574338223</c:v>
                </c:pt>
                <c:pt idx="121">
                  <c:v>125.25534330710315</c:v>
                </c:pt>
                <c:pt idx="122">
                  <c:v>125.9497681760264</c:v>
                </c:pt>
                <c:pt idx="123">
                  <c:v>126.65634978873894</c:v>
                </c:pt>
                <c:pt idx="124">
                  <c:v>127.36709583209444</c:v>
                </c:pt>
                <c:pt idx="125">
                  <c:v>128.02731667769419</c:v>
                </c:pt>
                <c:pt idx="126">
                  <c:v>128.66289121889344</c:v>
                </c:pt>
                <c:pt idx="127">
                  <c:v>129.29499749929158</c:v>
                </c:pt>
                <c:pt idx="128">
                  <c:v>129.91622318411538</c:v>
                </c:pt>
                <c:pt idx="129">
                  <c:v>130.52630928258642</c:v>
                </c:pt>
                <c:pt idx="130">
                  <c:v>131.11845606280454</c:v>
                </c:pt>
                <c:pt idx="131">
                  <c:v>131.70810147133764</c:v>
                </c:pt>
                <c:pt idx="132">
                  <c:v>132.29799842560385</c:v>
                </c:pt>
                <c:pt idx="133">
                  <c:v>132.86881268541623</c:v>
                </c:pt>
                <c:pt idx="134">
                  <c:v>133.42353068909424</c:v>
                </c:pt>
                <c:pt idx="135">
                  <c:v>133.95674621334982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109.38956521739132</c:v>
                </c:pt>
                <c:pt idx="2">
                  <c:v>114.76710069313171</c:v>
                </c:pt>
                <c:pt idx="3">
                  <c:v>119.68546141428091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118.52173913043477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119.51304347826087</c:v>
                </c:pt>
                <c:pt idx="59">
                  <c:v>120</c:v>
                </c:pt>
                <c:pt idx="60">
                  <c:v>119.65217391304347</c:v>
                </c:pt>
                <c:pt idx="61">
                  <c:v>119.28698957061246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119.09565217391302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118.26086956521739</c:v>
                </c:pt>
                <c:pt idx="74">
                  <c:v>115.32175313171874</c:v>
                </c:pt>
                <c:pt idx="75">
                  <c:v>115.28699794448498</c:v>
                </c:pt>
                <c:pt idx="76">
                  <c:v>116.05223758621484</c:v>
                </c:pt>
                <c:pt idx="77">
                  <c:v>117.93051675010452</c:v>
                </c:pt>
                <c:pt idx="78">
                  <c:v>118.01748050297556</c:v>
                </c:pt>
                <c:pt idx="79">
                  <c:v>115.25226898741236</c:v>
                </c:pt>
                <c:pt idx="80">
                  <c:v>110.92184513175876</c:v>
                </c:pt>
                <c:pt idx="81">
                  <c:v>111.13055755963903</c:v>
                </c:pt>
                <c:pt idx="82">
                  <c:v>113.25230844460205</c:v>
                </c:pt>
                <c:pt idx="83">
                  <c:v>112.0523162286138</c:v>
                </c:pt>
                <c:pt idx="84">
                  <c:v>109.79145424703934</c:v>
                </c:pt>
                <c:pt idx="85">
                  <c:v>106.24363715751696</c:v>
                </c:pt>
                <c:pt idx="86">
                  <c:v>103.44364679662483</c:v>
                </c:pt>
                <c:pt idx="87">
                  <c:v>98.556699687987603</c:v>
                </c:pt>
                <c:pt idx="88">
                  <c:v>97.113229968934419</c:v>
                </c:pt>
                <c:pt idx="89">
                  <c:v>96.817585458241382</c:v>
                </c:pt>
                <c:pt idx="90">
                  <c:v>101.56541795068551</c:v>
                </c:pt>
                <c:pt idx="91">
                  <c:v>102.55672657043738</c:v>
                </c:pt>
                <c:pt idx="92">
                  <c:v>104.05238171135906</c:v>
                </c:pt>
                <c:pt idx="93">
                  <c:v>103.89586230390974</c:v>
                </c:pt>
                <c:pt idx="94">
                  <c:v>103.79151638624344</c:v>
                </c:pt>
                <c:pt idx="95">
                  <c:v>102.06977891518311</c:v>
                </c:pt>
                <c:pt idx="96">
                  <c:v>98.695867182622266</c:v>
                </c:pt>
                <c:pt idx="97">
                  <c:v>98.887172781566761</c:v>
                </c:pt>
                <c:pt idx="98">
                  <c:v>97.530652132667569</c:v>
                </c:pt>
                <c:pt idx="99">
                  <c:v>96.400218304902566</c:v>
                </c:pt>
                <c:pt idx="100">
                  <c:v>93.356740819763388</c:v>
                </c:pt>
                <c:pt idx="101">
                  <c:v>94.48717623386932</c:v>
                </c:pt>
                <c:pt idx="102">
                  <c:v>91.66978544710453</c:v>
                </c:pt>
                <c:pt idx="103">
                  <c:v>88.817612016613694</c:v>
                </c:pt>
                <c:pt idx="104">
                  <c:v>84.904568967193626</c:v>
                </c:pt>
                <c:pt idx="105">
                  <c:v>82.57413455504404</c:v>
                </c:pt>
                <c:pt idx="106">
                  <c:v>81.339352243742113</c:v>
                </c:pt>
                <c:pt idx="107">
                  <c:v>82.035004672053148</c:v>
                </c:pt>
                <c:pt idx="108">
                  <c:v>80.469787491376366</c:v>
                </c:pt>
                <c:pt idx="109">
                  <c:v>78.243700700499929</c:v>
                </c:pt>
                <c:pt idx="110">
                  <c:v>75.965439981689926</c:v>
                </c:pt>
                <c:pt idx="111">
                  <c:v>72.817614018704987</c:v>
                </c:pt>
                <c:pt idx="112">
                  <c:v>71.953243750531001</c:v>
                </c:pt>
                <c:pt idx="113">
                  <c:v>73.344548176839538</c:v>
                </c:pt>
                <c:pt idx="114">
                  <c:v>71.118461282388537</c:v>
                </c:pt>
                <c:pt idx="115">
                  <c:v>69.327156980586523</c:v>
                </c:pt>
                <c:pt idx="116">
                  <c:v>65.472702093277121</c:v>
                </c:pt>
                <c:pt idx="117">
                  <c:v>68.272702124390804</c:v>
                </c:pt>
                <c:pt idx="118">
                  <c:v>64.498789106266102</c:v>
                </c:pt>
                <c:pt idx="119">
                  <c:v>68.690093473797532</c:v>
                </c:pt>
                <c:pt idx="120">
                  <c:v>70.568354358246623</c:v>
                </c:pt>
                <c:pt idx="121">
                  <c:v>70.133571761144538</c:v>
                </c:pt>
                <c:pt idx="122">
                  <c:v>70.081397857295144</c:v>
                </c:pt>
                <c:pt idx="123">
                  <c:v>67.299345017795872</c:v>
                </c:pt>
                <c:pt idx="124">
                  <c:v>63.317236594799738</c:v>
                </c:pt>
                <c:pt idx="125">
                  <c:v>62.15073032102574</c:v>
                </c:pt>
                <c:pt idx="126">
                  <c:v>57.900874675880296</c:v>
                </c:pt>
                <c:pt idx="127">
                  <c:v>55.4499176401645</c:v>
                </c:pt>
                <c:pt idx="128">
                  <c:v>53.26144761286411</c:v>
                </c:pt>
                <c:pt idx="129">
                  <c:v>55.10052024123847</c:v>
                </c:pt>
                <c:pt idx="130">
                  <c:v>54.077424737491974</c:v>
                </c:pt>
                <c:pt idx="131">
                  <c:v>57.991421393191544</c:v>
                </c:pt>
                <c:pt idx="132">
                  <c:v>60.331409687838224</c:v>
                </c:pt>
                <c:pt idx="133">
                  <c:v>61.967833935812607</c:v>
                </c:pt>
                <c:pt idx="134">
                  <c:v>63.301485324297779</c:v>
                </c:pt>
                <c:pt idx="135">
                  <c:v>59.388728095781893</c:v>
                </c:pt>
                <c:pt idx="136">
                  <c:v>59.815072677220172</c:v>
                </c:pt>
                <c:pt idx="137">
                  <c:v>57.016174104902419</c:v>
                </c:pt>
                <c:pt idx="138">
                  <c:v>55.175426259456508</c:v>
                </c:pt>
                <c:pt idx="139">
                  <c:v>54.997014068175787</c:v>
                </c:pt>
                <c:pt idx="140">
                  <c:v>57.271225704745596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3.7738059688996941</c:v>
                </c:pt>
                <c:pt idx="5">
                  <c:v>5.9238059688996998</c:v>
                </c:pt>
                <c:pt idx="6">
                  <c:v>8.5938059688997015</c:v>
                </c:pt>
                <c:pt idx="7">
                  <c:v>11.883805968899694</c:v>
                </c:pt>
                <c:pt idx="8">
                  <c:v>15.223805968899697</c:v>
                </c:pt>
                <c:pt idx="9">
                  <c:v>17.833805968899696</c:v>
                </c:pt>
                <c:pt idx="10">
                  <c:v>21.1738059688997</c:v>
                </c:pt>
                <c:pt idx="11">
                  <c:v>23.223805968899697</c:v>
                </c:pt>
                <c:pt idx="12">
                  <c:v>24.963805968899692</c:v>
                </c:pt>
                <c:pt idx="13">
                  <c:v>27.983805968899688</c:v>
                </c:pt>
                <c:pt idx="14">
                  <c:v>30.173805968899686</c:v>
                </c:pt>
                <c:pt idx="15">
                  <c:v>32.213805968899692</c:v>
                </c:pt>
                <c:pt idx="16">
                  <c:v>33.453805968899687</c:v>
                </c:pt>
                <c:pt idx="17">
                  <c:v>34.723805968899683</c:v>
                </c:pt>
                <c:pt idx="18">
                  <c:v>40.023805968899694</c:v>
                </c:pt>
                <c:pt idx="19">
                  <c:v>42.563805968899686</c:v>
                </c:pt>
                <c:pt idx="20">
                  <c:v>43.453805968899687</c:v>
                </c:pt>
                <c:pt idx="21">
                  <c:v>43.743805968899679</c:v>
                </c:pt>
                <c:pt idx="22">
                  <c:v>43.973805968899683</c:v>
                </c:pt>
                <c:pt idx="23">
                  <c:v>45.133805968899679</c:v>
                </c:pt>
                <c:pt idx="24">
                  <c:v>47.873805968899674</c:v>
                </c:pt>
                <c:pt idx="25">
                  <c:v>48.813805968899672</c:v>
                </c:pt>
                <c:pt idx="26">
                  <c:v>49.563805968899672</c:v>
                </c:pt>
                <c:pt idx="27">
                  <c:v>49.673805968899671</c:v>
                </c:pt>
                <c:pt idx="28">
                  <c:v>51.363805968899669</c:v>
                </c:pt>
                <c:pt idx="29">
                  <c:v>55.023805968899666</c:v>
                </c:pt>
                <c:pt idx="30">
                  <c:v>56.733805968899659</c:v>
                </c:pt>
                <c:pt idx="31">
                  <c:v>57.273805968899666</c:v>
                </c:pt>
                <c:pt idx="32">
                  <c:v>59.283805968899671</c:v>
                </c:pt>
                <c:pt idx="33">
                  <c:v>60.723805968899683</c:v>
                </c:pt>
                <c:pt idx="34">
                  <c:v>60.723805968899683</c:v>
                </c:pt>
                <c:pt idx="35">
                  <c:v>60.841009191044876</c:v>
                </c:pt>
                <c:pt idx="36">
                  <c:v>62.351009191044881</c:v>
                </c:pt>
                <c:pt idx="37">
                  <c:v>65.21100919104488</c:v>
                </c:pt>
                <c:pt idx="38">
                  <c:v>66.33100919104487</c:v>
                </c:pt>
                <c:pt idx="39">
                  <c:v>67.271009191044868</c:v>
                </c:pt>
                <c:pt idx="40">
                  <c:v>68.581009191044856</c:v>
                </c:pt>
                <c:pt idx="41">
                  <c:v>68.901009191044864</c:v>
                </c:pt>
                <c:pt idx="42">
                  <c:v>69.011009191044849</c:v>
                </c:pt>
                <c:pt idx="43">
                  <c:v>70.301009191044841</c:v>
                </c:pt>
                <c:pt idx="44">
                  <c:v>70.311009191044846</c:v>
                </c:pt>
                <c:pt idx="45">
                  <c:v>70.471009191044843</c:v>
                </c:pt>
                <c:pt idx="46">
                  <c:v>72.221009191044843</c:v>
                </c:pt>
                <c:pt idx="47">
                  <c:v>73.16100919104484</c:v>
                </c:pt>
                <c:pt idx="48">
                  <c:v>75.201009191044832</c:v>
                </c:pt>
                <c:pt idx="49">
                  <c:v>76.001009191044815</c:v>
                </c:pt>
                <c:pt idx="50">
                  <c:v>77.811009191044803</c:v>
                </c:pt>
                <c:pt idx="51">
                  <c:v>78.001009191044801</c:v>
                </c:pt>
                <c:pt idx="52">
                  <c:v>79.811009191044789</c:v>
                </c:pt>
                <c:pt idx="53">
                  <c:v>80.851009191044795</c:v>
                </c:pt>
                <c:pt idx="54">
                  <c:v>83.681009191044808</c:v>
                </c:pt>
                <c:pt idx="55">
                  <c:v>88.171009191044817</c:v>
                </c:pt>
                <c:pt idx="56">
                  <c:v>90.001009191044815</c:v>
                </c:pt>
                <c:pt idx="57">
                  <c:v>92.251009191044815</c:v>
                </c:pt>
                <c:pt idx="58">
                  <c:v>92.251009191044815</c:v>
                </c:pt>
                <c:pt idx="59">
                  <c:v>93.031052128747547</c:v>
                </c:pt>
                <c:pt idx="60">
                  <c:v>93.031052128747547</c:v>
                </c:pt>
                <c:pt idx="61">
                  <c:v>93.031052128747547</c:v>
                </c:pt>
                <c:pt idx="62">
                  <c:v>94.00110141863118</c:v>
                </c:pt>
                <c:pt idx="63">
                  <c:v>95.52110141863119</c:v>
                </c:pt>
                <c:pt idx="64">
                  <c:v>97.221101418631179</c:v>
                </c:pt>
                <c:pt idx="65">
                  <c:v>97.221101418631179</c:v>
                </c:pt>
                <c:pt idx="66">
                  <c:v>99.171119893496339</c:v>
                </c:pt>
                <c:pt idx="67">
                  <c:v>101.14111989349632</c:v>
                </c:pt>
                <c:pt idx="68">
                  <c:v>103.90111989349633</c:v>
                </c:pt>
                <c:pt idx="69">
                  <c:v>106.65111989349634</c:v>
                </c:pt>
                <c:pt idx="70">
                  <c:v>106.76111989349634</c:v>
                </c:pt>
                <c:pt idx="71">
                  <c:v>106.95111989349634</c:v>
                </c:pt>
                <c:pt idx="72">
                  <c:v>107.62111989349634</c:v>
                </c:pt>
                <c:pt idx="73">
                  <c:v>107.62111989349634</c:v>
                </c:pt>
                <c:pt idx="74">
                  <c:v>107.62111989349634</c:v>
                </c:pt>
                <c:pt idx="75">
                  <c:v>107.62111989349634</c:v>
                </c:pt>
                <c:pt idx="76">
                  <c:v>107.62111989349634</c:v>
                </c:pt>
                <c:pt idx="77">
                  <c:v>107.62111989349634</c:v>
                </c:pt>
                <c:pt idx="78">
                  <c:v>107.62111989349634</c:v>
                </c:pt>
                <c:pt idx="79">
                  <c:v>107.62111989349634</c:v>
                </c:pt>
                <c:pt idx="80">
                  <c:v>107.62111989349634</c:v>
                </c:pt>
                <c:pt idx="81">
                  <c:v>107.62111989349634</c:v>
                </c:pt>
                <c:pt idx="82">
                  <c:v>107.62111989349634</c:v>
                </c:pt>
                <c:pt idx="83">
                  <c:v>107.62111989349634</c:v>
                </c:pt>
                <c:pt idx="84">
                  <c:v>107.62111989349634</c:v>
                </c:pt>
                <c:pt idx="85">
                  <c:v>107.62111989349634</c:v>
                </c:pt>
                <c:pt idx="86">
                  <c:v>107.62111989349634</c:v>
                </c:pt>
                <c:pt idx="87">
                  <c:v>107.62111989349634</c:v>
                </c:pt>
                <c:pt idx="88">
                  <c:v>107.62111989349634</c:v>
                </c:pt>
                <c:pt idx="89">
                  <c:v>107.62111989349634</c:v>
                </c:pt>
                <c:pt idx="90">
                  <c:v>107.62111989349634</c:v>
                </c:pt>
                <c:pt idx="91">
                  <c:v>107.62111989349634</c:v>
                </c:pt>
                <c:pt idx="92">
                  <c:v>107.62111989349634</c:v>
                </c:pt>
                <c:pt idx="93">
                  <c:v>107.62111989349634</c:v>
                </c:pt>
                <c:pt idx="94">
                  <c:v>107.62111989349634</c:v>
                </c:pt>
                <c:pt idx="95">
                  <c:v>107.62111989349634</c:v>
                </c:pt>
                <c:pt idx="96">
                  <c:v>107.62111989349634</c:v>
                </c:pt>
                <c:pt idx="97">
                  <c:v>107.62111989349634</c:v>
                </c:pt>
                <c:pt idx="98">
                  <c:v>107.62111989349634</c:v>
                </c:pt>
                <c:pt idx="99">
                  <c:v>107.62111989349634</c:v>
                </c:pt>
                <c:pt idx="100">
                  <c:v>107.62111989349634</c:v>
                </c:pt>
                <c:pt idx="101">
                  <c:v>107.62111989349634</c:v>
                </c:pt>
                <c:pt idx="102">
                  <c:v>107.62111989349634</c:v>
                </c:pt>
                <c:pt idx="103">
                  <c:v>107.62111989349634</c:v>
                </c:pt>
                <c:pt idx="104">
                  <c:v>107.62111989349634</c:v>
                </c:pt>
                <c:pt idx="105">
                  <c:v>107.62111989349634</c:v>
                </c:pt>
                <c:pt idx="106">
                  <c:v>107.62111989349634</c:v>
                </c:pt>
                <c:pt idx="107">
                  <c:v>107.62111989349634</c:v>
                </c:pt>
                <c:pt idx="108">
                  <c:v>107.62111989349634</c:v>
                </c:pt>
                <c:pt idx="109">
                  <c:v>107.62111989349634</c:v>
                </c:pt>
                <c:pt idx="110">
                  <c:v>107.62111989349634</c:v>
                </c:pt>
                <c:pt idx="111">
                  <c:v>107.62111989349634</c:v>
                </c:pt>
                <c:pt idx="112">
                  <c:v>107.62111989349634</c:v>
                </c:pt>
                <c:pt idx="113">
                  <c:v>107.62111989349634</c:v>
                </c:pt>
                <c:pt idx="114">
                  <c:v>107.62111989349634</c:v>
                </c:pt>
                <c:pt idx="115">
                  <c:v>107.62111989349634</c:v>
                </c:pt>
                <c:pt idx="116">
                  <c:v>107.62111989349634</c:v>
                </c:pt>
                <c:pt idx="117">
                  <c:v>107.62111989349634</c:v>
                </c:pt>
                <c:pt idx="118">
                  <c:v>107.62111989349634</c:v>
                </c:pt>
                <c:pt idx="119">
                  <c:v>107.62111989349634</c:v>
                </c:pt>
                <c:pt idx="120">
                  <c:v>107.62111989349634</c:v>
                </c:pt>
                <c:pt idx="121">
                  <c:v>107.62111989349634</c:v>
                </c:pt>
                <c:pt idx="122">
                  <c:v>107.62111989349634</c:v>
                </c:pt>
                <c:pt idx="123">
                  <c:v>107.62111989349634</c:v>
                </c:pt>
                <c:pt idx="124">
                  <c:v>107.62111989349634</c:v>
                </c:pt>
                <c:pt idx="125">
                  <c:v>107.62111989349634</c:v>
                </c:pt>
                <c:pt idx="126">
                  <c:v>107.62111989349634</c:v>
                </c:pt>
                <c:pt idx="127">
                  <c:v>107.62111989349634</c:v>
                </c:pt>
                <c:pt idx="128">
                  <c:v>107.62111989349634</c:v>
                </c:pt>
                <c:pt idx="129">
                  <c:v>107.62111989349634</c:v>
                </c:pt>
                <c:pt idx="130">
                  <c:v>107.62111989349634</c:v>
                </c:pt>
                <c:pt idx="131">
                  <c:v>107.62111989349634</c:v>
                </c:pt>
                <c:pt idx="132">
                  <c:v>107.62111989349634</c:v>
                </c:pt>
                <c:pt idx="133">
                  <c:v>107.62111989349634</c:v>
                </c:pt>
                <c:pt idx="134">
                  <c:v>107.62111989349634</c:v>
                </c:pt>
                <c:pt idx="135">
                  <c:v>107.62111989349634</c:v>
                </c:pt>
                <c:pt idx="136">
                  <c:v>107.62111989349634</c:v>
                </c:pt>
                <c:pt idx="137">
                  <c:v>107.62111989349634</c:v>
                </c:pt>
                <c:pt idx="138">
                  <c:v>107.62111989349634</c:v>
                </c:pt>
                <c:pt idx="139">
                  <c:v>107.62111989349634</c:v>
                </c:pt>
                <c:pt idx="140">
                  <c:v>107.62111989349634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8.8236081243022638E-2</c:v>
                </c:pt>
                <c:pt idx="16">
                  <c:v>0.10275975885063754</c:v>
                </c:pt>
                <c:pt idx="17">
                  <c:v>0.11937705803685809</c:v>
                </c:pt>
                <c:pt idx="18">
                  <c:v>0.13861194315806175</c:v>
                </c:pt>
                <c:pt idx="19">
                  <c:v>0.16009526284705161</c:v>
                </c:pt>
                <c:pt idx="20">
                  <c:v>0.18412773284018027</c:v>
                </c:pt>
                <c:pt idx="21">
                  <c:v>0.21000333262214513</c:v>
                </c:pt>
                <c:pt idx="22">
                  <c:v>0.23839726752042317</c:v>
                </c:pt>
                <c:pt idx="23">
                  <c:v>0.26974048808846474</c:v>
                </c:pt>
                <c:pt idx="24">
                  <c:v>0.30375491679043065</c:v>
                </c:pt>
                <c:pt idx="25">
                  <c:v>0.33954965853234426</c:v>
                </c:pt>
                <c:pt idx="26">
                  <c:v>0.37749112858800982</c:v>
                </c:pt>
                <c:pt idx="27">
                  <c:v>0.41914046023968149</c:v>
                </c:pt>
                <c:pt idx="28">
                  <c:v>0.46235269349494584</c:v>
                </c:pt>
                <c:pt idx="29">
                  <c:v>0.50685998471354365</c:v>
                </c:pt>
                <c:pt idx="30">
                  <c:v>0.55107077696585471</c:v>
                </c:pt>
                <c:pt idx="31">
                  <c:v>0.59342582767191376</c:v>
                </c:pt>
                <c:pt idx="32">
                  <c:v>0.63598559301778146</c:v>
                </c:pt>
                <c:pt idx="33">
                  <c:v>0.67531997294722979</c:v>
                </c:pt>
                <c:pt idx="34">
                  <c:v>0.7127935826992573</c:v>
                </c:pt>
                <c:pt idx="35">
                  <c:v>0.7479602799091366</c:v>
                </c:pt>
                <c:pt idx="36">
                  <c:v>0.78119029757989356</c:v>
                </c:pt>
                <c:pt idx="37">
                  <c:v>0.81056247223722655</c:v>
                </c:pt>
                <c:pt idx="38">
                  <c:v>0.83716805298593699</c:v>
                </c:pt>
                <c:pt idx="39">
                  <c:v>0.86124338895035768</c:v>
                </c:pt>
                <c:pt idx="40">
                  <c:v>0.88255942519559472</c:v>
                </c:pt>
                <c:pt idx="41">
                  <c:v>0.90084164836342251</c:v>
                </c:pt>
                <c:pt idx="42">
                  <c:v>0.91629079027928295</c:v>
                </c:pt>
                <c:pt idx="43">
                  <c:v>0.92943154788852478</c:v>
                </c:pt>
                <c:pt idx="44">
                  <c:v>0.94059213976095268</c:v>
                </c:pt>
                <c:pt idx="45">
                  <c:v>0.95001030710272028</c:v>
                </c:pt>
                <c:pt idx="46">
                  <c:v>0.95809369075892004</c:v>
                </c:pt>
                <c:pt idx="47">
                  <c:v>0.9649850869422395</c:v>
                </c:pt>
                <c:pt idx="48">
                  <c:v>0.97096692669193085</c:v>
                </c:pt>
                <c:pt idx="49">
                  <c:v>0.97584504853369902</c:v>
                </c:pt>
                <c:pt idx="50">
                  <c:v>0.97989356257108173</c:v>
                </c:pt>
                <c:pt idx="51">
                  <c:v>0.98336988435366313</c:v>
                </c:pt>
                <c:pt idx="52">
                  <c:v>0.98631939103200139</c:v>
                </c:pt>
                <c:pt idx="53">
                  <c:v>0.98880909746477819</c:v>
                </c:pt>
                <c:pt idx="54">
                  <c:v>0.99083473747445505</c:v>
                </c:pt>
                <c:pt idx="55">
                  <c:v>0.99246814768000335</c:v>
                </c:pt>
                <c:pt idx="56">
                  <c:v>0.99380479045240488</c:v>
                </c:pt>
                <c:pt idx="57">
                  <c:v>0.99492850647473463</c:v>
                </c:pt>
                <c:pt idx="58">
                  <c:v>0.99582467042934653</c:v>
                </c:pt>
                <c:pt idx="59">
                  <c:v>0.99656458547238058</c:v>
                </c:pt>
                <c:pt idx="60">
                  <c:v>0.99717888787616604</c:v>
                </c:pt>
                <c:pt idx="61">
                  <c:v>0.9976751523932964</c:v>
                </c:pt>
                <c:pt idx="62">
                  <c:v>0.99810510038527467</c:v>
                </c:pt>
                <c:pt idx="63">
                  <c:v>0.99846057326553339</c:v>
                </c:pt>
                <c:pt idx="64">
                  <c:v>0.99873550752276674</c:v>
                </c:pt>
                <c:pt idx="65">
                  <c:v>0.99896564071531713</c:v>
                </c:pt>
                <c:pt idx="66">
                  <c:v>0.99916045462594305</c:v>
                </c:pt>
                <c:pt idx="67">
                  <c:v>0.99931777319333026</c:v>
                </c:pt>
                <c:pt idx="68">
                  <c:v>0.99944284243205816</c:v>
                </c:pt>
                <c:pt idx="69">
                  <c:v>0.99954298438400535</c:v>
                </c:pt>
                <c:pt idx="70">
                  <c:v>0.99962541856702469</c:v>
                </c:pt>
                <c:pt idx="71">
                  <c:v>0.99969572870404355</c:v>
                </c:pt>
                <c:pt idx="72">
                  <c:v>0.99975099722814831</c:v>
                </c:pt>
                <c:pt idx="73">
                  <c:v>0.9997954529648263</c:v>
                </c:pt>
                <c:pt idx="74">
                  <c:v>0.99983166638146914</c:v>
                </c:pt>
                <c:pt idx="75">
                  <c:v>0.9998624345957694</c:v>
                </c:pt>
                <c:pt idx="76">
                  <c:v>0.99988805703815431</c:v>
                </c:pt>
                <c:pt idx="77">
                  <c:v>0.99990941844846737</c:v>
                </c:pt>
                <c:pt idx="78">
                  <c:v>0.99992604358359527</c:v>
                </c:pt>
                <c:pt idx="79">
                  <c:v>0.99994002919181468</c:v>
                </c:pt>
                <c:pt idx="80">
                  <c:v>0.9999515840677301</c:v>
                </c:pt>
                <c:pt idx="81">
                  <c:v>0.99996136166716854</c:v>
                </c:pt>
                <c:pt idx="82">
                  <c:v>0.99996889640100484</c:v>
                </c:pt>
                <c:pt idx="83">
                  <c:v>0.99997496945916287</c:v>
                </c:pt>
                <c:pt idx="84">
                  <c:v>0.99997998800015242</c:v>
                </c:pt>
                <c:pt idx="85">
                  <c:v>0.99998395407797636</c:v>
                </c:pt>
                <c:pt idx="86">
                  <c:v>0.99998703795643484</c:v>
                </c:pt>
                <c:pt idx="87">
                  <c:v>0.99998953869411444</c:v>
                </c:pt>
                <c:pt idx="88">
                  <c:v>0.99999154284416769</c:v>
                </c:pt>
                <c:pt idx="89">
                  <c:v>0.99999318483804311</c:v>
                </c:pt>
                <c:pt idx="90">
                  <c:v>0.99999453717621534</c:v>
                </c:pt>
                <c:pt idx="91">
                  <c:v>0.99999559513231739</c:v>
                </c:pt>
                <c:pt idx="92">
                  <c:v>0.9999964648989631</c:v>
                </c:pt>
                <c:pt idx="93">
                  <c:v>0.99999717411687272</c:v>
                </c:pt>
                <c:pt idx="94">
                  <c:v>0.9999977286543662</c:v>
                </c:pt>
                <c:pt idx="95">
                  <c:v>0.99999818405997087</c:v>
                </c:pt>
                <c:pt idx="96">
                  <c:v>0.99999855036209762</c:v>
                </c:pt>
                <c:pt idx="97">
                  <c:v>0.99999884224784552</c:v>
                </c:pt>
                <c:pt idx="98">
                  <c:v>0.99999907212366013</c:v>
                </c:pt>
                <c:pt idx="99">
                  <c:v>0.9999992557913987</c:v>
                </c:pt>
                <c:pt idx="100">
                  <c:v>0.9999994062706149</c:v>
                </c:pt>
                <c:pt idx="101">
                  <c:v>0.99999952869318542</c:v>
                </c:pt>
                <c:pt idx="102">
                  <c:v>0.99999962370568662</c:v>
                </c:pt>
                <c:pt idx="103">
                  <c:v>0.99999969786966347</c:v>
                </c:pt>
                <c:pt idx="104">
                  <c:v>0.99999975730598412</c:v>
                </c:pt>
                <c:pt idx="105">
                  <c:v>0.99999980629048957</c:v>
                </c:pt>
                <c:pt idx="106">
                  <c:v>0.99999984555257482</c:v>
                </c:pt>
                <c:pt idx="107">
                  <c:v>0.99999987728661655</c:v>
                </c:pt>
                <c:pt idx="108">
                  <c:v>0.99999990284062357</c:v>
                </c:pt>
                <c:pt idx="109">
                  <c:v>0.99999992289761552</c:v>
                </c:pt>
                <c:pt idx="110">
                  <c:v>0.99999993938813636</c:v>
                </c:pt>
                <c:pt idx="111">
                  <c:v>0.99999995238789707</c:v>
                </c:pt>
                <c:pt idx="112">
                  <c:v>0.99999996239428779</c:v>
                </c:pt>
                <c:pt idx="113">
                  <c:v>0.99999997026154253</c:v>
                </c:pt>
                <c:pt idx="114">
                  <c:v>0.99999997652223083</c:v>
                </c:pt>
                <c:pt idx="115">
                  <c:v>0.99999998154361436</c:v>
                </c:pt>
                <c:pt idx="116">
                  <c:v>0.99999998554606928</c:v>
                </c:pt>
                <c:pt idx="117">
                  <c:v>0.99999998875088247</c:v>
                </c:pt>
                <c:pt idx="118">
                  <c:v>0.99999999128361627</c:v>
                </c:pt>
                <c:pt idx="119">
                  <c:v>0.99999999325123778</c:v>
                </c:pt>
                <c:pt idx="120">
                  <c:v>0.99999999476037393</c:v>
                </c:pt>
                <c:pt idx="121">
                  <c:v>0.99999999593389699</c:v>
                </c:pt>
                <c:pt idx="122">
                  <c:v>0.99999999681954299</c:v>
                </c:pt>
                <c:pt idx="123">
                  <c:v>0.99999999751039303</c:v>
                </c:pt>
                <c:pt idx="124">
                  <c:v>0.9999999980647587</c:v>
                </c:pt>
                <c:pt idx="125">
                  <c:v>0.9999999984936232</c:v>
                </c:pt>
                <c:pt idx="126">
                  <c:v>0.99999999883703405</c:v>
                </c:pt>
                <c:pt idx="127">
                  <c:v>0.99999999910841342</c:v>
                </c:pt>
                <c:pt idx="128">
                  <c:v>0.99999999931407224</c:v>
                </c:pt>
                <c:pt idx="129">
                  <c:v>0.99999999947165019</c:v>
                </c:pt>
                <c:pt idx="130">
                  <c:v>0.99999999959203678</c:v>
                </c:pt>
                <c:pt idx="131">
                  <c:v>0.99999999968547137</c:v>
                </c:pt>
                <c:pt idx="132">
                  <c:v>0.9999999997576543</c:v>
                </c:pt>
                <c:pt idx="133">
                  <c:v>0.99999999981241805</c:v>
                </c:pt>
                <c:pt idx="134">
                  <c:v>0.99999999985520338</c:v>
                </c:pt>
                <c:pt idx="135">
                  <c:v>0.99999999988870458</c:v>
                </c:pt>
                <c:pt idx="136">
                  <c:v>0.99999999991445465</c:v>
                </c:pt>
                <c:pt idx="137">
                  <c:v>0.99999999993440691</c:v>
                </c:pt>
                <c:pt idx="138">
                  <c:v>0.99999999994941402</c:v>
                </c:pt>
                <c:pt idx="139">
                  <c:v>0.9999999999610707</c:v>
                </c:pt>
                <c:pt idx="140">
                  <c:v>0.99999999997015498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A7" zoomScale="110" zoomScaleNormal="110" workbookViewId="0">
      <selection activeCell="E27" sqref="E27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.7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2" t="s">
        <v>171</v>
      </c>
      <c r="D4" s="103" t="s">
        <v>273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75">
      <c r="C5" s="102" t="s">
        <v>26</v>
      </c>
      <c r="D5" s="104" t="s">
        <v>64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75">
      <c r="C6" s="102" t="s">
        <v>94</v>
      </c>
      <c r="D6" s="104" t="s">
        <v>75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Chinese cut</v>
      </c>
      <c r="E7" s="92" t="s">
        <v>77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Broccoli Vegetable Chinese cut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45891</v>
      </c>
      <c r="E9" s="67">
        <v>45891</v>
      </c>
      <c r="F9" s="57" t="s">
        <v>145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46016</v>
      </c>
      <c r="E10" s="67">
        <v>46016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>
        <f>IF(CurrentUnits="kg/head",IF(E11="",VLOOKUP(CurrentCropNameFull,CropCoefficients,20,FALSE),E11),"1")</f>
        <v>50000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100</v>
      </c>
      <c r="E12" s="69">
        <v>100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134</v>
      </c>
      <c r="G13" s="93">
        <f>IF(H13="",VLOOKUP(CurrentCropNameFull,CropCoefficients,26,FALSE),H13)</f>
        <v>89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5000</v>
      </c>
      <c r="C14" s="64" t="str">
        <f>"Yield "&amp;CurrentYield_tperHa&amp;" (t/ha)"</f>
        <v>Yield 5000 (t/ha)</v>
      </c>
      <c r="D14" s="90" t="str">
        <f ca="1">"requires "&amp;ROUND(SUM('Model Interface'!P8:Q8),0)&amp;" kg N/ha from all sources"</f>
        <v>requires 21132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45876</v>
      </c>
      <c r="Z14"/>
      <c r="AA14"/>
      <c r="AB14"/>
      <c r="AC14"/>
    </row>
    <row r="15" spans="2:34" s="55" customFormat="1" ht="16.5" thickBot="1">
      <c r="B15" s="55">
        <f ca="1">SUMIF(B29:B43,1,G29:G43)</f>
        <v>27604.810916706159</v>
      </c>
      <c r="C15" s="105" t="s">
        <v>220</v>
      </c>
      <c r="D15" s="106" t="str">
        <f ca="1">SUMIF(B29:B43,1,G29:G43)&amp;" Kg/ha"</f>
        <v>27604.8109167062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45876</v>
      </c>
      <c r="S18" s="55">
        <f ca="1">IF(R18&gt;1,R18,"")</f>
        <v>45876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0.18168140969185992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46017</v>
      </c>
      <c r="AE18" s="55">
        <f ca="1">IF(AD18&gt;1,AD18,"")</f>
        <v>46017</v>
      </c>
      <c r="AF18" s="55">
        <f t="shared" ref="AF18:AF20" ca="1" si="6">VLOOKUP(AE18,ModelOutputs,2,FALSE)</f>
        <v>4774.7819301500867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0.17824925039708306</v>
      </c>
      <c r="AK18" s="55">
        <f t="shared" ref="AK18" ca="1" si="10">VLOOKUP(AE18,ModelOutputs,4,FALSE)</f>
        <v>7.5046907897963209</v>
      </c>
    </row>
    <row r="19" spans="1:37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30 kg N/ha available from SOM mineralisation</v>
      </c>
      <c r="R19" s="83">
        <f ca="1"/>
        <v>45877</v>
      </c>
      <c r="S19" s="55">
        <f t="shared" ref="S19:S82" ca="1" si="11">IF(R19&gt;1,R19,"")</f>
        <v>45877</v>
      </c>
      <c r="T19" s="55">
        <f t="shared" ca="1" si="0"/>
        <v>50.16710817767251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0.36587106480883447</v>
      </c>
      <c r="Y19" s="55">
        <f t="shared" ref="Y19:Y82" ca="1" si="14">VLOOKUP(S19,ModelOutputs,4,FALSE)+Y18</f>
        <v>-1.7081477444460716E-2</v>
      </c>
      <c r="Z19">
        <f t="shared" ca="1" si="3"/>
        <v>109.38956521739132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46018</v>
      </c>
      <c r="AE19" s="55">
        <f t="shared" ref="AE19:AE20" ca="1" si="16">IF(AD19&gt;1,AD19,"")</f>
        <v>46018</v>
      </c>
      <c r="AF19" s="55">
        <f t="shared" ca="1" si="6"/>
        <v>4781.8817798950749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0.35729791356674134</v>
      </c>
      <c r="AK19" s="55">
        <f t="shared" ref="AK19:AK82" ca="1" si="19">VLOOKUP(AE19,ModelOutputs,4,FALSE)+AK18</f>
        <v>14.425491871614557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45878</v>
      </c>
      <c r="S20" s="55">
        <f t="shared" ca="1" si="11"/>
        <v>45878</v>
      </c>
      <c r="T20" s="55">
        <f t="shared" ca="1" si="0"/>
        <v>50.371806674236964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0.5631592866206252</v>
      </c>
      <c r="Y20" s="55">
        <f t="shared" ca="1" si="14"/>
        <v>-9.6712026917950278E-3</v>
      </c>
      <c r="Z20">
        <f t="shared" ca="1" si="3"/>
        <v>114.76710069313171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46019</v>
      </c>
      <c r="AE20" s="55">
        <f t="shared" ca="1" si="16"/>
        <v>46019</v>
      </c>
      <c r="AF20" s="55">
        <f t="shared" ca="1" si="6"/>
        <v>4788.5112978347497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0.54344701375324089</v>
      </c>
      <c r="AK20" s="55">
        <f t="shared" ca="1" si="19"/>
        <v>20.868860711103196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45879</v>
      </c>
      <c r="S21" s="55">
        <f t="shared" ca="1" si="11"/>
        <v>45879</v>
      </c>
      <c r="T21" s="55">
        <f t="shared" ca="1" si="0"/>
        <v>50.595594171123395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0.75733929060017979</v>
      </c>
      <c r="Y21" s="55">
        <f t="shared" ca="1" si="14"/>
        <v>1.9936290215082531E-2</v>
      </c>
      <c r="Z21">
        <f t="shared" ca="1" si="3"/>
        <v>119.68546141428091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46020</v>
      </c>
      <c r="AE21" s="55">
        <f t="shared" ref="AE21:AE84" ca="1" si="20">IF(AD21&gt;1,AD21,"")</f>
        <v>46020</v>
      </c>
      <c r="AF21" s="55">
        <f t="shared" ref="AF21:AF84" ca="1" si="21">VLOOKUP(AE21,ModelOutputs,2,FALSE)</f>
        <v>4794.9009530994626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0.73826181617965614</v>
      </c>
      <c r="AK21" s="55">
        <f t="shared" ca="1" si="19"/>
        <v>27.063701173389788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45880</v>
      </c>
      <c r="S22" s="55">
        <f t="shared" ca="1" si="11"/>
        <v>45880</v>
      </c>
      <c r="T22" s="55">
        <f t="shared" ca="1" si="0"/>
        <v>49.81051492337518</v>
      </c>
      <c r="U22" s="55">
        <f t="shared" ca="1" si="1"/>
        <v>0</v>
      </c>
      <c r="V22" s="55">
        <f t="shared" ca="1" si="2"/>
        <v>0</v>
      </c>
      <c r="W22" s="55">
        <f t="shared" ca="1" si="12"/>
        <v>-1.0352258411896262</v>
      </c>
      <c r="X22" s="55">
        <f t="shared" ca="1" si="13"/>
        <v>0.95641019541656891</v>
      </c>
      <c r="Y22" s="55">
        <f t="shared" ca="1" si="14"/>
        <v>7.1011978840111289E-2</v>
      </c>
      <c r="Z22">
        <f t="shared" ca="1" si="3"/>
        <v>120</v>
      </c>
      <c r="AA22">
        <f t="shared" ca="1" si="15"/>
        <v>3.7738059688996941</v>
      </c>
      <c r="AB22">
        <f t="shared" ca="1" si="4"/>
        <v>0</v>
      </c>
      <c r="AC22">
        <f t="shared" ca="1" si="5"/>
        <v>0</v>
      </c>
      <c r="AD22" s="83">
        <f ca="1"/>
        <v>46021</v>
      </c>
      <c r="AE22" s="55">
        <f t="shared" ca="1" si="20"/>
        <v>46021</v>
      </c>
      <c r="AF22" s="55">
        <f t="shared" ca="1" si="21"/>
        <v>4801.0194047833374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0.93967721680948546</v>
      </c>
      <c r="AK22" s="55">
        <f t="shared" ca="1" si="19"/>
        <v>32.980737456634159</v>
      </c>
    </row>
    <row r="23" spans="1:37" s="55" customFormat="1">
      <c r="C23" s="57"/>
      <c r="D23" s="85"/>
      <c r="E23" s="113"/>
      <c r="F23" s="94"/>
      <c r="R23" s="83">
        <f ca="1"/>
        <v>45881</v>
      </c>
      <c r="S23" s="55">
        <f t="shared" ca="1" si="11"/>
        <v>45881</v>
      </c>
      <c r="T23" s="55">
        <f t="shared" ca="1" si="0"/>
        <v>49.487306918145407</v>
      </c>
      <c r="U23" s="55">
        <f t="shared" ca="1" si="1"/>
        <v>0</v>
      </c>
      <c r="V23" s="55">
        <f t="shared" ca="1" si="2"/>
        <v>0</v>
      </c>
      <c r="W23" s="55">
        <f t="shared" ca="1" si="12"/>
        <v>-1.6211842433943351</v>
      </c>
      <c r="X23" s="55">
        <f t="shared" ca="1" si="13"/>
        <v>1.1502171581834963</v>
      </c>
      <c r="Y23" s="55">
        <f t="shared" ca="1" si="14"/>
        <v>0.13995541304812076</v>
      </c>
      <c r="Z23">
        <f t="shared" ca="1" si="3"/>
        <v>120</v>
      </c>
      <c r="AA23">
        <f t="shared" ca="1" si="15"/>
        <v>5.9238059688996998</v>
      </c>
      <c r="AB23">
        <f t="shared" ca="1" si="4"/>
        <v>0</v>
      </c>
      <c r="AC23">
        <f t="shared" ca="1" si="5"/>
        <v>0</v>
      </c>
      <c r="AD23" s="83">
        <f ca="1"/>
        <v>46022</v>
      </c>
      <c r="AE23" s="55">
        <f t="shared" ca="1" si="20"/>
        <v>46022</v>
      </c>
      <c r="AF23" s="55">
        <f t="shared" ca="1" si="21"/>
        <v>4806.3838171931529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1.1635763539475399</v>
      </c>
      <c r="AK23" s="55">
        <f t="shared" ca="1" si="19"/>
        <v>38.121250729311811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45882</v>
      </c>
      <c r="S24" s="55">
        <f t="shared" ca="1" si="11"/>
        <v>45882</v>
      </c>
      <c r="T24" s="55">
        <f t="shared" ca="1" si="0"/>
        <v>49.051735136567324</v>
      </c>
      <c r="U24" s="55">
        <f t="shared" ca="1" si="1"/>
        <v>0</v>
      </c>
      <c r="V24" s="55">
        <f t="shared" ca="1" si="2"/>
        <v>0</v>
      </c>
      <c r="W24" s="55">
        <f t="shared" ca="1" si="12"/>
        <v>-2.3424580183155124</v>
      </c>
      <c r="X24" s="55">
        <f t="shared" ca="1" si="13"/>
        <v>1.3483415321562719</v>
      </c>
      <c r="Y24" s="55">
        <f t="shared" ca="1" si="14"/>
        <v>0.2275330324184428</v>
      </c>
      <c r="Z24">
        <f t="shared" ca="1" si="3"/>
        <v>120</v>
      </c>
      <c r="AA24">
        <f t="shared" ca="1" si="15"/>
        <v>8.5938059688997015</v>
      </c>
      <c r="AB24">
        <f t="shared" ca="1" si="4"/>
        <v>0</v>
      </c>
      <c r="AC24">
        <f t="shared" ca="1" si="5"/>
        <v>0</v>
      </c>
      <c r="AD24" s="83">
        <f ca="1"/>
        <v>46023</v>
      </c>
      <c r="AE24" s="55">
        <f t="shared" ca="1" si="20"/>
        <v>46023</v>
      </c>
      <c r="AF24" s="55">
        <f t="shared" ca="1" si="21"/>
        <v>4811.1122247066869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1.3852486395259875</v>
      </c>
      <c r="AK24" s="55">
        <f t="shared" ca="1" si="19"/>
        <v>42.627985957267057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5</v>
      </c>
      <c r="E25" s="98">
        <v>5</v>
      </c>
      <c r="R25" s="83">
        <f ca="1"/>
        <v>45883</v>
      </c>
      <c r="S25" s="55">
        <f t="shared" ca="1" si="11"/>
        <v>45883</v>
      </c>
      <c r="T25" s="55">
        <f t="shared" ca="1" si="0"/>
        <v>48.471897774584576</v>
      </c>
      <c r="U25" s="55">
        <f t="shared" ca="1" si="1"/>
        <v>0</v>
      </c>
      <c r="V25" s="55">
        <f t="shared" ca="1" si="2"/>
        <v>0</v>
      </c>
      <c r="W25" s="55">
        <f t="shared" ca="1" si="12"/>
        <v>-3.2207126066892151</v>
      </c>
      <c r="X25" s="55">
        <f t="shared" ca="1" si="13"/>
        <v>1.5440182424820255</v>
      </c>
      <c r="Y25" s="55">
        <f t="shared" ca="1" si="14"/>
        <v>0.33027354848364165</v>
      </c>
      <c r="Z25">
        <f t="shared" ca="1" si="3"/>
        <v>120</v>
      </c>
      <c r="AA25">
        <f t="shared" ca="1" si="15"/>
        <v>11.883805968899694</v>
      </c>
      <c r="AB25">
        <f t="shared" ca="1" si="4"/>
        <v>0</v>
      </c>
      <c r="AC25">
        <f t="shared" ca="1" si="5"/>
        <v>0</v>
      </c>
      <c r="AD25" s="83">
        <f ca="1"/>
        <v>46024</v>
      </c>
      <c r="AE25" s="55">
        <f t="shared" ca="1" si="20"/>
        <v>46024</v>
      </c>
      <c r="AF25" s="55">
        <f t="shared" ca="1" si="21"/>
        <v>4815.4095100411623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1.6071594053351212</v>
      </c>
      <c r="AK25" s="55">
        <f t="shared" ca="1" si="19"/>
        <v>46.703360525933277</v>
      </c>
    </row>
    <row r="26" spans="1:37" s="55" customFormat="1" ht="15.75" thickBot="1">
      <c r="C26" s="56"/>
      <c r="D26" s="56"/>
      <c r="E26" s="56"/>
      <c r="F26" s="56"/>
      <c r="R26" s="83">
        <f ca="1"/>
        <v>45884</v>
      </c>
      <c r="S26" s="55">
        <f t="shared" ca="1" si="11"/>
        <v>45884</v>
      </c>
      <c r="T26" s="55">
        <f t="shared" ca="1" si="0"/>
        <v>47.88914885228148</v>
      </c>
      <c r="U26" s="55">
        <f t="shared" ca="1" si="1"/>
        <v>0</v>
      </c>
      <c r="V26" s="55">
        <f t="shared" ca="1" si="2"/>
        <v>0</v>
      </c>
      <c r="W26" s="55">
        <f t="shared" ca="1" si="12"/>
        <v>-4.1015953273169794</v>
      </c>
      <c r="X26" s="55">
        <f t="shared" ca="1" si="13"/>
        <v>1.7295515030959148</v>
      </c>
      <c r="Y26" s="55">
        <f t="shared" ca="1" si="14"/>
        <v>0.44287408619442747</v>
      </c>
      <c r="Z26">
        <f t="shared" ca="1" si="3"/>
        <v>120</v>
      </c>
      <c r="AA26">
        <f t="shared" ca="1" si="15"/>
        <v>15.223805968899697</v>
      </c>
      <c r="AB26">
        <f t="shared" ca="1" si="4"/>
        <v>0</v>
      </c>
      <c r="AC26">
        <f t="shared" ca="1" si="5"/>
        <v>0</v>
      </c>
      <c r="AD26" s="83">
        <f ca="1"/>
        <v>46025</v>
      </c>
      <c r="AE26" s="55">
        <f t="shared" ca="1" si="20"/>
        <v>46025</v>
      </c>
      <c r="AF26" s="55">
        <f t="shared" ca="1" si="21"/>
        <v>4819.1460284831928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1.8203969412669696</v>
      </c>
      <c r="AK26" s="55">
        <f t="shared" ca="1" si="19"/>
        <v>50.226641432032011</v>
      </c>
    </row>
    <row r="27" spans="1:37" s="55" customFormat="1" ht="15.75" thickBot="1">
      <c r="C27" s="132" t="s">
        <v>137</v>
      </c>
      <c r="D27" s="133"/>
      <c r="E27" s="60"/>
      <c r="F27" s="134" t="s">
        <v>144</v>
      </c>
      <c r="G27" s="135"/>
      <c r="R27" s="83">
        <f ca="1"/>
        <v>45885</v>
      </c>
      <c r="S27" s="55">
        <f t="shared" ca="1" si="11"/>
        <v>45885</v>
      </c>
      <c r="T27" s="55">
        <f t="shared" ca="1" si="0"/>
        <v>47.517357513123464</v>
      </c>
      <c r="U27" s="55">
        <f t="shared" ca="1" si="1"/>
        <v>0</v>
      </c>
      <c r="V27" s="55">
        <f t="shared" ca="1" si="2"/>
        <v>0</v>
      </c>
      <c r="W27" s="55">
        <f t="shared" ca="1" si="12"/>
        <v>-4.7846056922664841</v>
      </c>
      <c r="X27" s="55">
        <f t="shared" ca="1" si="13"/>
        <v>1.9156292278040445</v>
      </c>
      <c r="Y27" s="55">
        <f t="shared" ca="1" si="14"/>
        <v>0.56801538727778789</v>
      </c>
      <c r="Z27">
        <f t="shared" ca="1" si="3"/>
        <v>120</v>
      </c>
      <c r="AA27">
        <f t="shared" ca="1" si="15"/>
        <v>17.833805968899696</v>
      </c>
      <c r="AB27">
        <f t="shared" ca="1" si="4"/>
        <v>0</v>
      </c>
      <c r="AC27">
        <f t="shared" ca="1" si="5"/>
        <v>0</v>
      </c>
      <c r="AD27" s="83">
        <f ca="1"/>
        <v>46026</v>
      </c>
      <c r="AE27" s="55">
        <f t="shared" ca="1" si="20"/>
        <v>46026</v>
      </c>
      <c r="AF27" s="55">
        <f t="shared" ca="1" si="21"/>
        <v>4822.4731909003985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2.0322228378515499</v>
      </c>
      <c r="AK27" s="55">
        <f t="shared" ca="1" si="19"/>
        <v>53.341977952653082</v>
      </c>
    </row>
    <row r="28" spans="1:37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45886</v>
      </c>
      <c r="S28" s="55">
        <f t="shared" ca="1" si="11"/>
        <v>45886</v>
      </c>
      <c r="T28" s="55">
        <f t="shared" ca="1" si="0"/>
        <v>46.972436894931896</v>
      </c>
      <c r="U28" s="55">
        <f t="shared" ca="1" si="1"/>
        <v>0</v>
      </c>
      <c r="V28" s="55">
        <f t="shared" ca="1" si="2"/>
        <v>0</v>
      </c>
      <c r="W28" s="55">
        <f t="shared" ca="1" si="12"/>
        <v>-5.6486262271512322</v>
      </c>
      <c r="X28" s="55">
        <f t="shared" ca="1" si="13"/>
        <v>2.0995351779233515</v>
      </c>
      <c r="Y28" s="55">
        <f t="shared" ca="1" si="14"/>
        <v>0.70320935385166428</v>
      </c>
      <c r="Z28">
        <f t="shared" ca="1" si="3"/>
        <v>120</v>
      </c>
      <c r="AA28">
        <f t="shared" ca="1" si="15"/>
        <v>21.1738059688997</v>
      </c>
      <c r="AB28">
        <f t="shared" ca="1" si="4"/>
        <v>0</v>
      </c>
      <c r="AC28">
        <f t="shared" ca="1" si="5"/>
        <v>0</v>
      </c>
      <c r="AD28" s="83">
        <f ca="1"/>
        <v>46027</v>
      </c>
      <c r="AE28" s="55">
        <f t="shared" ca="1" si="20"/>
        <v>46027</v>
      </c>
      <c r="AF28" s="55">
        <f t="shared" ca="1" si="21"/>
        <v>4825.2924834004943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2.2338939087753804</v>
      </c>
      <c r="AK28" s="55">
        <f t="shared" ca="1" si="19"/>
        <v>55.959599381824802</v>
      </c>
    </row>
    <row r="29" spans="1:37" s="55" customFormat="1">
      <c r="A29" s="83">
        <f t="array" aca="1" ref="A29:A43" ca="1">_xlfn._xlws.FILTER('Model Interface'!X11:X500,'Model Interface'!Y11:Y500&gt;0,"")</f>
        <v>45891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45891</v>
      </c>
      <c r="G29" s="76">
        <f ca="1">IFERROR(VLOOKUP(F29,'Model Interface'!$J$11:$O$500,6,FALSE),"")</f>
        <v>6927.4817996157581</v>
      </c>
      <c r="H29" s="55" t="str">
        <f ca="1">IF(B29=1,"Suggested","Applied or Planned")</f>
        <v>Suggested</v>
      </c>
      <c r="R29" s="83">
        <f ca="1"/>
        <v>45887</v>
      </c>
      <c r="S29" s="55">
        <f t="shared" ca="1" si="11"/>
        <v>45887</v>
      </c>
      <c r="T29" s="55">
        <f t="shared" ca="1" si="0"/>
        <v>46.773507993829419</v>
      </c>
      <c r="U29" s="55">
        <f t="shared" ca="1" si="1"/>
        <v>0</v>
      </c>
      <c r="V29" s="55">
        <f t="shared" ca="1" si="2"/>
        <v>0</v>
      </c>
      <c r="W29" s="55">
        <f t="shared" ca="1" si="12"/>
        <v>-6.1766923536322906</v>
      </c>
      <c r="X29" s="55">
        <f t="shared" ca="1" si="13"/>
        <v>2.2834411280426585</v>
      </c>
      <c r="Y29" s="55">
        <f t="shared" ca="1" si="14"/>
        <v>0.84844062911094043</v>
      </c>
      <c r="Z29">
        <f t="shared" ca="1" si="3"/>
        <v>120</v>
      </c>
      <c r="AA29">
        <f t="shared" ca="1" si="15"/>
        <v>23.223805968899697</v>
      </c>
      <c r="AB29">
        <f t="shared" ca="1" si="4"/>
        <v>0</v>
      </c>
      <c r="AC29">
        <f t="shared" ca="1" si="5"/>
        <v>0</v>
      </c>
      <c r="AD29" s="83">
        <f ca="1"/>
        <v>46028</v>
      </c>
      <c r="AE29" s="55">
        <f t="shared" ca="1" si="20"/>
        <v>46028</v>
      </c>
      <c r="AF29" s="55">
        <f t="shared" ca="1" si="21"/>
        <v>4827.7562368865774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2.4344617509318414</v>
      </c>
      <c r="AK29" s="55">
        <f t="shared" ca="1" si="19"/>
        <v>58.222785025751222</v>
      </c>
    </row>
    <row r="30" spans="1:37" s="55" customFormat="1">
      <c r="A30" s="83">
        <f ca="1"/>
        <v>45956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45956</v>
      </c>
      <c r="G30" s="76">
        <f ca="1">IFERROR(VLOOKUP(F30,'Model Interface'!$J$11:$O$500,6,FALSE),"")</f>
        <v>5169.2968135715246</v>
      </c>
      <c r="H30" s="55" t="str">
        <f t="shared" ref="H30:H43" ca="1" si="26">IF(F30="","",IF(F30&lt;=StartSchedullingDate,"Applied or Planned","Suggested"))</f>
        <v>Suggested</v>
      </c>
      <c r="R30" s="83">
        <f ca="1"/>
        <v>45888</v>
      </c>
      <c r="S30" s="55">
        <f t="shared" ca="1" si="11"/>
        <v>45888</v>
      </c>
      <c r="T30" s="55">
        <f t="shared" ca="1" si="0"/>
        <v>46.666300454036993</v>
      </c>
      <c r="U30" s="55">
        <f t="shared" ca="1" si="1"/>
        <v>0</v>
      </c>
      <c r="V30" s="55">
        <f t="shared" ca="1" si="2"/>
        <v>0</v>
      </c>
      <c r="W30" s="55">
        <f t="shared" ca="1" si="12"/>
        <v>-6.6238772501570615</v>
      </c>
      <c r="X30" s="55">
        <f t="shared" ca="1" si="13"/>
        <v>2.4684309385260996</v>
      </c>
      <c r="Y30" s="55">
        <f t="shared" ca="1" si="14"/>
        <v>1.0034281753598364</v>
      </c>
      <c r="Z30">
        <f t="shared" ca="1" si="3"/>
        <v>120</v>
      </c>
      <c r="AA30">
        <f t="shared" ca="1" si="15"/>
        <v>24.963805968899692</v>
      </c>
      <c r="AB30">
        <f t="shared" ca="1" si="4"/>
        <v>0</v>
      </c>
      <c r="AC30">
        <f t="shared" ca="1" si="5"/>
        <v>0</v>
      </c>
      <c r="AD30" s="83">
        <f ca="1"/>
        <v>46029</v>
      </c>
      <c r="AE30" s="55">
        <f t="shared" ca="1" si="20"/>
        <v>46029</v>
      </c>
      <c r="AF30" s="55">
        <f t="shared" ca="1" si="21"/>
        <v>4829.9460361055471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2.6392581198850413</v>
      </c>
      <c r="AK30" s="55">
        <f t="shared" ca="1" si="19"/>
        <v>60.207787875767991</v>
      </c>
    </row>
    <row r="31" spans="1:37" s="55" customFormat="1">
      <c r="A31" s="83">
        <f ca="1"/>
        <v>45975</v>
      </c>
      <c r="B31" s="55">
        <f t="shared" ca="1" si="24"/>
        <v>1</v>
      </c>
      <c r="C31" s="78"/>
      <c r="D31" s="81"/>
      <c r="F31" s="74">
        <f t="shared" ca="1" si="25"/>
        <v>45975</v>
      </c>
      <c r="G31" s="76">
        <f ca="1">IFERROR(VLOOKUP(F31,'Model Interface'!$J$11:$O$500,6,FALSE),"")</f>
        <v>5169.3201684690648</v>
      </c>
      <c r="H31" s="55" t="str">
        <f t="shared" ca="1" si="26"/>
        <v>Suggested</v>
      </c>
      <c r="R31" s="83">
        <f ca="1"/>
        <v>45889</v>
      </c>
      <c r="S31" s="55">
        <f t="shared" ca="1" si="11"/>
        <v>45889</v>
      </c>
      <c r="T31" s="55">
        <f t="shared" ca="1" si="0"/>
        <v>46.253656624523451</v>
      </c>
      <c r="U31" s="55">
        <f t="shared" ca="1" si="1"/>
        <v>0</v>
      </c>
      <c r="V31" s="55">
        <f t="shared" ca="1" si="2"/>
        <v>0</v>
      </c>
      <c r="W31" s="55">
        <f t="shared" ca="1" si="12"/>
        <v>-7.3931627043933377</v>
      </c>
      <c r="X31" s="55">
        <f t="shared" ca="1" si="13"/>
        <v>2.6585324290520931</v>
      </c>
      <c r="Y31" s="55">
        <f t="shared" ca="1" si="14"/>
        <v>1.1699683095565698</v>
      </c>
      <c r="Z31">
        <f t="shared" ca="1" si="3"/>
        <v>120</v>
      </c>
      <c r="AA31">
        <f t="shared" ca="1" si="15"/>
        <v>27.983805968899688</v>
      </c>
      <c r="AB31">
        <f t="shared" ca="1" si="4"/>
        <v>0</v>
      </c>
      <c r="AC31">
        <f t="shared" ca="1" si="5"/>
        <v>0</v>
      </c>
      <c r="AD31" s="83">
        <f ca="1"/>
        <v>46030</v>
      </c>
      <c r="AE31" s="55">
        <f t="shared" ca="1" si="20"/>
        <v>46030</v>
      </c>
      <c r="AF31" s="55">
        <f t="shared" ca="1" si="21"/>
        <v>4831.8483610142266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2.8498154794267418</v>
      </c>
      <c r="AK31" s="55">
        <f t="shared" ca="1" si="19"/>
        <v>61.899555424906112</v>
      </c>
    </row>
    <row r="32" spans="1:37" s="55" customFormat="1">
      <c r="A32" s="83">
        <f ca="1"/>
        <v>45989</v>
      </c>
      <c r="B32" s="55">
        <f t="shared" ca="1" si="24"/>
        <v>1</v>
      </c>
      <c r="C32" s="78"/>
      <c r="D32" s="81"/>
      <c r="F32" s="74">
        <f t="shared" ca="1" si="25"/>
        <v>45989</v>
      </c>
      <c r="G32" s="76">
        <f ca="1">IFERROR(VLOOKUP(F32,'Model Interface'!$J$11:$O$500,6,FALSE),"")</f>
        <v>5169.3471922591589</v>
      </c>
      <c r="H32" s="55" t="str">
        <f t="shared" ca="1" si="26"/>
        <v>Suggested</v>
      </c>
      <c r="R32" s="83">
        <f ca="1"/>
        <v>45890</v>
      </c>
      <c r="S32" s="55">
        <f t="shared" ca="1" si="11"/>
        <v>45890</v>
      </c>
      <c r="T32" s="55">
        <f t="shared" ca="1" si="0"/>
        <v>46.071042348169108</v>
      </c>
      <c r="U32" s="55">
        <f t="shared" ca="1" si="1"/>
        <v>0</v>
      </c>
      <c r="V32" s="55">
        <f t="shared" ca="1" si="2"/>
        <v>0</v>
      </c>
      <c r="W32" s="55">
        <f t="shared" ca="1" si="12"/>
        <v>-7.9488195368882115</v>
      </c>
      <c r="X32" s="55">
        <f t="shared" ca="1" si="13"/>
        <v>2.8538342812906667</v>
      </c>
      <c r="Y32" s="55">
        <f t="shared" ca="1" si="14"/>
        <v>1.3477090134585292</v>
      </c>
      <c r="Z32">
        <f t="shared" ca="1" si="3"/>
        <v>120</v>
      </c>
      <c r="AA32">
        <f t="shared" ca="1" si="15"/>
        <v>30.173805968899686</v>
      </c>
      <c r="AB32">
        <f t="shared" ca="1" si="4"/>
        <v>0</v>
      </c>
      <c r="AC32">
        <f t="shared" ca="1" si="5"/>
        <v>0</v>
      </c>
      <c r="AD32" s="83">
        <f ca="1"/>
        <v>46031</v>
      </c>
      <c r="AE32" s="55">
        <f t="shared" ca="1" si="20"/>
        <v>46031</v>
      </c>
      <c r="AF32" s="55">
        <f t="shared" ca="1" si="21"/>
        <v>4833.4899169497885</v>
      </c>
      <c r="AG32" s="55">
        <f t="shared" ca="1" si="22"/>
        <v>2.9312127528323582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3.0672491281441694</v>
      </c>
      <c r="AK32" s="55">
        <f t="shared" ca="1" si="19"/>
        <v>63.323677711750321</v>
      </c>
    </row>
    <row r="33" spans="1:37" s="55" customFormat="1">
      <c r="A33" s="83">
        <f ca="1"/>
        <v>46001</v>
      </c>
      <c r="B33" s="55">
        <f t="shared" ca="1" si="24"/>
        <v>1</v>
      </c>
      <c r="C33" s="78"/>
      <c r="D33" s="81"/>
      <c r="F33" s="74">
        <f t="shared" ca="1" si="25"/>
        <v>46001</v>
      </c>
      <c r="G33" s="76">
        <f ca="1">IFERROR(VLOOKUP(F33,'Model Interface'!$J$11:$O$500,6,FALSE),"")</f>
        <v>5169.3649427906539</v>
      </c>
      <c r="H33" s="55" t="str">
        <f t="shared" ca="1" si="26"/>
        <v>Suggested</v>
      </c>
      <c r="R33" s="83">
        <f ca="1"/>
        <v>45891</v>
      </c>
      <c r="S33" s="55">
        <f t="shared" ca="1" si="11"/>
        <v>45891</v>
      </c>
      <c r="T33" s="55">
        <f t="shared" ca="1" si="0"/>
        <v>6896.4627093124627</v>
      </c>
      <c r="U33" s="55">
        <f t="shared" ca="1" si="1"/>
        <v>342.68088591842252</v>
      </c>
      <c r="V33" s="55">
        <f t="shared" ca="1" si="2"/>
        <v>6927.4817996157581</v>
      </c>
      <c r="W33" s="55">
        <f t="shared" ca="1" si="12"/>
        <v>-85.423280376843053</v>
      </c>
      <c r="X33" s="55">
        <f t="shared" ca="1" si="13"/>
        <v>3.0515808400765425</v>
      </c>
      <c r="Y33" s="55">
        <f t="shared" ca="1" si="14"/>
        <v>1.5342906431629588</v>
      </c>
      <c r="Z33">
        <f t="shared" ca="1" si="3"/>
        <v>120</v>
      </c>
      <c r="AA33">
        <f t="shared" ca="1" si="15"/>
        <v>32.213805968899692</v>
      </c>
      <c r="AB33">
        <f t="shared" ca="1" si="4"/>
        <v>0</v>
      </c>
      <c r="AC33">
        <f t="shared" ca="1" si="5"/>
        <v>8.8236081243022638E-2</v>
      </c>
      <c r="AD33" s="83">
        <f ca="1"/>
        <v>46032</v>
      </c>
      <c r="AE33" s="55">
        <f t="shared" ca="1" si="20"/>
        <v>46032</v>
      </c>
      <c r="AF33" s="55">
        <f t="shared" ca="1" si="21"/>
        <v>4834.6707611227166</v>
      </c>
      <c r="AG33" s="55">
        <f t="shared" ca="1" si="22"/>
        <v>3.1138024990431514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3.277393358621921</v>
      </c>
      <c r="AK33" s="55">
        <f t="shared" ca="1" si="19"/>
        <v>64.476967400411326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45892</v>
      </c>
      <c r="S34" s="55">
        <f t="shared" ca="1" si="11"/>
        <v>45892</v>
      </c>
      <c r="T34" s="55">
        <f t="shared" ca="1" si="0"/>
        <v>6838.5584428914581</v>
      </c>
      <c r="U34" s="55">
        <f t="shared" ca="1" si="1"/>
        <v>354.28366594103693</v>
      </c>
      <c r="V34" s="55">
        <f t="shared" ca="1" si="2"/>
        <v>0</v>
      </c>
      <c r="W34" s="55">
        <f t="shared" ca="1" si="12"/>
        <v>-132.12369687380598</v>
      </c>
      <c r="X34" s="55">
        <f t="shared" ca="1" si="13"/>
        <v>3.2540828576308902</v>
      </c>
      <c r="Y34" s="55">
        <f t="shared" ca="1" si="14"/>
        <v>1.7307187241817075</v>
      </c>
      <c r="Z34">
        <f t="shared" ca="1" si="3"/>
        <v>120</v>
      </c>
      <c r="AA34">
        <f t="shared" ca="1" si="15"/>
        <v>33.453805968899687</v>
      </c>
      <c r="AB34">
        <f t="shared" ca="1" si="4"/>
        <v>0</v>
      </c>
      <c r="AC34">
        <f t="shared" ca="1" si="5"/>
        <v>0.10275975885063754</v>
      </c>
      <c r="AD34" s="83">
        <f ca="1"/>
        <v>46033</v>
      </c>
      <c r="AE34" s="55">
        <f t="shared" ca="1" si="20"/>
        <v>46033</v>
      </c>
      <c r="AF34" s="55">
        <f t="shared" ca="1" si="21"/>
        <v>4835.6006711912123</v>
      </c>
      <c r="AG34" s="55">
        <f t="shared" ca="1" si="22"/>
        <v>3.3038152032865833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3.479508779788052</v>
      </c>
      <c r="AK34" s="55">
        <f t="shared" ca="1" si="19"/>
        <v>65.394774751984528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45893</v>
      </c>
      <c r="S35" s="55">
        <f t="shared" ca="1" si="11"/>
        <v>45893</v>
      </c>
      <c r="T35" s="55">
        <f t="shared" ca="1" si="0"/>
        <v>6779.5441973122824</v>
      </c>
      <c r="U35" s="55">
        <f t="shared" ca="1" si="1"/>
        <v>366.28548293481612</v>
      </c>
      <c r="V35" s="55">
        <f t="shared" ca="1" si="2"/>
        <v>0</v>
      </c>
      <c r="W35" s="55">
        <f t="shared" ca="1" si="12"/>
        <v>-179.54120454950015</v>
      </c>
      <c r="X35" s="55">
        <f t="shared" ca="1" si="13"/>
        <v>3.4567765769879362</v>
      </c>
      <c r="Y35" s="55">
        <f t="shared" ca="1" si="14"/>
        <v>1.9331040951225531</v>
      </c>
      <c r="Z35">
        <f t="shared" ca="1" si="3"/>
        <v>120</v>
      </c>
      <c r="AA35">
        <f t="shared" ca="1" si="15"/>
        <v>34.723805968899683</v>
      </c>
      <c r="AB35">
        <f t="shared" ca="1" si="4"/>
        <v>0</v>
      </c>
      <c r="AC35">
        <f t="shared" ca="1" si="5"/>
        <v>0.11937705803685809</v>
      </c>
      <c r="AD35" s="83">
        <f ca="1"/>
        <v>46034</v>
      </c>
      <c r="AE35" s="55">
        <f t="shared" ca="1" si="20"/>
        <v>46034</v>
      </c>
      <c r="AF35" s="55">
        <f t="shared" ca="1" si="21"/>
        <v>4836.3166869259403</v>
      </c>
      <c r="AG35" s="55">
        <f t="shared" ca="1" si="22"/>
        <v>3.5072117125398363</v>
      </c>
      <c r="AH35" s="55">
        <f t="shared" ca="1" si="23"/>
        <v>0</v>
      </c>
      <c r="AI35" s="55">
        <f t="shared" ca="1" si="17"/>
        <v>0</v>
      </c>
      <c r="AJ35" s="55">
        <f t="shared" ca="1" si="18"/>
        <v>3.6790892610107644</v>
      </c>
      <c r="AK35" s="55">
        <f t="shared" ca="1" si="19"/>
        <v>66.114606514742974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45894</v>
      </c>
      <c r="S36" s="55">
        <f t="shared" ca="1" si="11"/>
        <v>45894</v>
      </c>
      <c r="T36" s="55">
        <f t="shared" ca="1" si="0"/>
        <v>6575.4155637686672</v>
      </c>
      <c r="U36" s="55">
        <f t="shared" ca="1" si="1"/>
        <v>378.90478924596141</v>
      </c>
      <c r="V36" s="55">
        <f t="shared" ca="1" si="2"/>
        <v>0</v>
      </c>
      <c r="W36" s="55">
        <f t="shared" ca="1" si="12"/>
        <v>-371.46710230935702</v>
      </c>
      <c r="X36" s="55">
        <f t="shared" ca="1" si="13"/>
        <v>3.6631343584281653</v>
      </c>
      <c r="Y36" s="55">
        <f t="shared" ca="1" si="14"/>
        <v>2.1433168410679193</v>
      </c>
      <c r="Z36">
        <f t="shared" ca="1" si="3"/>
        <v>120</v>
      </c>
      <c r="AA36">
        <f t="shared" ca="1" si="15"/>
        <v>40.023805968899694</v>
      </c>
      <c r="AB36">
        <f t="shared" ca="1" si="4"/>
        <v>0</v>
      </c>
      <c r="AC36">
        <f t="shared" ca="1" si="5"/>
        <v>0.13861194315806175</v>
      </c>
      <c r="AD36" s="83">
        <f ca="1"/>
        <v>46035</v>
      </c>
      <c r="AE36" s="55">
        <f t="shared" ca="1" si="20"/>
        <v>46035</v>
      </c>
      <c r="AF36" s="55">
        <f t="shared" ca="1" si="21"/>
        <v>4836.8959459619346</v>
      </c>
      <c r="AG36" s="55">
        <f t="shared" ca="1" si="22"/>
        <v>3.7256887281309883</v>
      </c>
      <c r="AH36" s="55">
        <f t="shared" ca="1" si="23"/>
        <v>0</v>
      </c>
      <c r="AI36" s="55">
        <f t="shared" ca="1" si="17"/>
        <v>0</v>
      </c>
      <c r="AJ36" s="55">
        <f t="shared" ca="1" si="18"/>
        <v>3.8871785064027984</v>
      </c>
      <c r="AK36" s="55">
        <f t="shared" ca="1" si="19"/>
        <v>66.704253320935692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45895</v>
      </c>
      <c r="S37" s="55">
        <f t="shared" ca="1" si="11"/>
        <v>45895</v>
      </c>
      <c r="T37" s="55">
        <f t="shared" ca="1" si="0"/>
        <v>6472.4093604830614</v>
      </c>
      <c r="U37" s="55">
        <f t="shared" ca="1" si="1"/>
        <v>391.78850927803171</v>
      </c>
      <c r="V37" s="55">
        <f t="shared" ca="1" si="2"/>
        <v>0</v>
      </c>
      <c r="W37" s="55">
        <f t="shared" ca="1" si="12"/>
        <v>-462.00579092875171</v>
      </c>
      <c r="X37" s="55">
        <f t="shared" ca="1" si="13"/>
        <v>3.8667883010213528</v>
      </c>
      <c r="Y37" s="55">
        <f t="shared" ca="1" si="14"/>
        <v>2.3558682643335569</v>
      </c>
      <c r="Z37">
        <f t="shared" ca="1" si="3"/>
        <v>120</v>
      </c>
      <c r="AA37">
        <f t="shared" ca="1" si="15"/>
        <v>42.563805968899686</v>
      </c>
      <c r="AB37">
        <f t="shared" ca="1" si="4"/>
        <v>0</v>
      </c>
      <c r="AC37">
        <f t="shared" ca="1" si="5"/>
        <v>0.16009526284705161</v>
      </c>
      <c r="AD37" s="83">
        <f ca="1"/>
        <v>46036</v>
      </c>
      <c r="AE37" s="55">
        <f t="shared" ca="1" si="20"/>
        <v>46036</v>
      </c>
      <c r="AF37" s="55">
        <f t="shared" ca="1" si="21"/>
        <v>4837.3285239311153</v>
      </c>
      <c r="AG37" s="55">
        <f t="shared" ca="1" si="22"/>
        <v>3.9615483754615668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4.0983606089435538</v>
      </c>
      <c r="AK37" s="55">
        <f t="shared" ca="1" si="19"/>
        <v>67.161508834906329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45896</v>
      </c>
      <c r="S38" s="55">
        <f t="shared" ca="1" si="11"/>
        <v>45896</v>
      </c>
      <c r="T38" s="55">
        <f t="shared" ca="1" si="0"/>
        <v>6428.0420880435386</v>
      </c>
      <c r="U38" s="55">
        <f t="shared" ca="1" si="1"/>
        <v>405.0679030604897</v>
      </c>
      <c r="V38" s="55">
        <f t="shared" ca="1" si="2"/>
        <v>0</v>
      </c>
      <c r="W38" s="55">
        <f t="shared" ca="1" si="12"/>
        <v>-493.51251316319122</v>
      </c>
      <c r="X38" s="55">
        <f t="shared" ca="1" si="13"/>
        <v>4.0698657667795004</v>
      </c>
      <c r="Y38" s="55">
        <f t="shared" ca="1" si="14"/>
        <v>2.5716343759509317</v>
      </c>
      <c r="Z38">
        <f t="shared" ca="1" si="3"/>
        <v>120</v>
      </c>
      <c r="AA38">
        <f t="shared" ca="1" si="15"/>
        <v>43.453805968899687</v>
      </c>
      <c r="AB38">
        <f t="shared" ca="1" si="4"/>
        <v>0</v>
      </c>
      <c r="AC38">
        <f t="shared" ca="1" si="5"/>
        <v>0.18412773284018027</v>
      </c>
      <c r="AD38" s="83">
        <f ca="1"/>
        <v>46037</v>
      </c>
      <c r="AE38" s="55">
        <f t="shared" ca="1" si="20"/>
        <v>46037</v>
      </c>
      <c r="AF38" s="55">
        <f t="shared" ca="1" si="21"/>
        <v>4837.618316474227</v>
      </c>
      <c r="AG38" s="55">
        <f t="shared" ca="1" si="22"/>
        <v>4.211619324199698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4.3048023369410551</v>
      </c>
      <c r="AK38" s="55">
        <f t="shared" ca="1" si="19"/>
        <v>67.494930598759055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45897</v>
      </c>
      <c r="S39" s="55">
        <f t="shared" ca="1" si="11"/>
        <v>45897</v>
      </c>
      <c r="T39" s="55">
        <f t="shared" ca="1" si="0"/>
        <v>6404.9265813340371</v>
      </c>
      <c r="U39" s="55">
        <f t="shared" ca="1" si="1"/>
        <v>418.36437442872671</v>
      </c>
      <c r="V39" s="55">
        <f t="shared" ca="1" si="2"/>
        <v>0</v>
      </c>
      <c r="W39" s="55">
        <f t="shared" ca="1" si="12"/>
        <v>-503.7418306887418</v>
      </c>
      <c r="X39" s="55">
        <f t="shared" ca="1" si="13"/>
        <v>4.2664816113362987</v>
      </c>
      <c r="Y39" s="55">
        <f t="shared" ca="1" si="14"/>
        <v>2.7853007156805591</v>
      </c>
      <c r="Z39">
        <f t="shared" ca="1" si="3"/>
        <v>120</v>
      </c>
      <c r="AA39">
        <f t="shared" ca="1" si="15"/>
        <v>43.743805968899679</v>
      </c>
      <c r="AB39">
        <f t="shared" ca="1" si="4"/>
        <v>0</v>
      </c>
      <c r="AC39">
        <f t="shared" ca="1" si="5"/>
        <v>0.21000333262214513</v>
      </c>
      <c r="AD39" s="83">
        <f ca="1"/>
        <v>46038</v>
      </c>
      <c r="AE39" s="55">
        <f t="shared" ca="1" si="20"/>
        <v>46038</v>
      </c>
      <c r="AF39" s="55">
        <f t="shared" ca="1" si="21"/>
        <v>4837.8063421092083</v>
      </c>
      <c r="AG39" s="55">
        <f t="shared" ca="1" si="22"/>
        <v>4.4769018010950914</v>
      </c>
      <c r="AH39" s="55">
        <f t="shared" ca="1" si="23"/>
        <v>0</v>
      </c>
      <c r="AI39" s="55">
        <f t="shared" ca="1" si="17"/>
        <v>0</v>
      </c>
      <c r="AJ39" s="55">
        <f t="shared" ca="1" si="18"/>
        <v>4.5139651577173288</v>
      </c>
      <c r="AK39" s="55">
        <f t="shared" ca="1" si="19"/>
        <v>67.739075889859322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45898</v>
      </c>
      <c r="S40" s="55">
        <f t="shared" ca="1" si="11"/>
        <v>45898</v>
      </c>
      <c r="T40" s="55">
        <f t="shared" ca="1" si="0"/>
        <v>6383.5519967024429</v>
      </c>
      <c r="U40" s="55">
        <f t="shared" ca="1" si="1"/>
        <v>432.06507737970054</v>
      </c>
      <c r="V40" s="55">
        <f t="shared" ca="1" si="2"/>
        <v>0</v>
      </c>
      <c r="W40" s="55">
        <f t="shared" ca="1" si="12"/>
        <v>-511.82766321789836</v>
      </c>
      <c r="X40" s="55">
        <f t="shared" ca="1" si="13"/>
        <v>4.4627214611414123</v>
      </c>
      <c r="Y40" s="55">
        <f t="shared" ca="1" si="14"/>
        <v>3.0010117144113906</v>
      </c>
      <c r="Z40">
        <f t="shared" ca="1" si="3"/>
        <v>120</v>
      </c>
      <c r="AA40">
        <f t="shared" ca="1" si="15"/>
        <v>43.973805968899683</v>
      </c>
      <c r="AB40">
        <f t="shared" ca="1" si="4"/>
        <v>0</v>
      </c>
      <c r="AC40">
        <f t="shared" ca="1" si="5"/>
        <v>0.23839726752042317</v>
      </c>
      <c r="AD40" s="83">
        <f ca="1"/>
        <v>46039</v>
      </c>
      <c r="AE40" s="55">
        <f t="shared" ca="1" si="20"/>
        <v>46039</v>
      </c>
      <c r="AF40" s="55">
        <f t="shared" ca="1" si="21"/>
        <v>4837.9037258477438</v>
      </c>
      <c r="AG40" s="55">
        <f t="shared" ca="1" si="22"/>
        <v>4.7540176102416245</v>
      </c>
      <c r="AH40" s="55">
        <f t="shared" ca="1" si="23"/>
        <v>0</v>
      </c>
      <c r="AI40" s="55">
        <f t="shared" ca="1" si="17"/>
        <v>0</v>
      </c>
      <c r="AJ40" s="55">
        <f t="shared" ca="1" si="18"/>
        <v>4.7223245950528989</v>
      </c>
      <c r="AK40" s="55">
        <f t="shared" ca="1" si="19"/>
        <v>67.905216000205655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45899</v>
      </c>
      <c r="S41" s="55">
        <f t="shared" ca="1" si="11"/>
        <v>45899</v>
      </c>
      <c r="T41" s="55">
        <f t="shared" ca="1" si="0"/>
        <v>6329.207200126988</v>
      </c>
      <c r="U41" s="55">
        <f t="shared" ca="1" si="1"/>
        <v>446.39488936426426</v>
      </c>
      <c r="V41" s="55">
        <f t="shared" ca="1" si="2"/>
        <v>0</v>
      </c>
      <c r="W41" s="55">
        <f t="shared" ca="1" si="12"/>
        <v>-552.26120718624577</v>
      </c>
      <c r="X41" s="55">
        <f t="shared" ca="1" si="13"/>
        <v>4.6616028319645162</v>
      </c>
      <c r="Y41" s="55">
        <f t="shared" ca="1" si="14"/>
        <v>3.2206897210443151</v>
      </c>
      <c r="Z41">
        <f t="shared" ca="1" si="3"/>
        <v>120</v>
      </c>
      <c r="AA41">
        <f t="shared" ca="1" si="15"/>
        <v>45.133805968899679</v>
      </c>
      <c r="AB41">
        <f t="shared" ca="1" si="4"/>
        <v>0</v>
      </c>
      <c r="AC41">
        <f t="shared" ca="1" si="5"/>
        <v>0.26974048808846474</v>
      </c>
      <c r="AD41" s="83">
        <f ca="1"/>
        <v>46040</v>
      </c>
      <c r="AE41" s="55">
        <f t="shared" ca="1" si="20"/>
        <v>46040</v>
      </c>
      <c r="AF41" s="55">
        <f t="shared" ca="1" si="21"/>
        <v>4837.9266858804149</v>
      </c>
      <c r="AG41" s="55">
        <f t="shared" ca="1" si="22"/>
        <v>5.0492026296447197</v>
      </c>
      <c r="AH41" s="55">
        <f t="shared" ca="1" si="23"/>
        <v>0</v>
      </c>
      <c r="AI41" s="55">
        <f t="shared" ca="1" si="17"/>
        <v>0</v>
      </c>
      <c r="AJ41" s="55">
        <f t="shared" ca="1" si="18"/>
        <v>4.9307482076960873</v>
      </c>
      <c r="AK41" s="55">
        <f t="shared" ca="1" si="19"/>
        <v>68.01493743963735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45900</v>
      </c>
      <c r="S42" s="55">
        <f t="shared" ca="1" si="11"/>
        <v>45900</v>
      </c>
      <c r="T42" s="55">
        <f t="shared" ca="1" si="0"/>
        <v>6220.8765325856693</v>
      </c>
      <c r="U42" s="55">
        <f t="shared" ca="1" si="1"/>
        <v>461.27544977762255</v>
      </c>
      <c r="V42" s="55">
        <f t="shared" ca="1" si="2"/>
        <v>0</v>
      </c>
      <c r="W42" s="55">
        <f t="shared" ca="1" si="12"/>
        <v>-646.13333248665424</v>
      </c>
      <c r="X42" s="55">
        <f t="shared" ca="1" si="13"/>
        <v>4.8616231162689205</v>
      </c>
      <c r="Y42" s="55">
        <f t="shared" ca="1" si="14"/>
        <v>3.4426876091880683</v>
      </c>
      <c r="Z42">
        <f t="shared" ca="1" si="3"/>
        <v>120</v>
      </c>
      <c r="AA42">
        <f t="shared" ca="1" si="15"/>
        <v>47.873805968899674</v>
      </c>
      <c r="AB42">
        <f t="shared" ca="1" si="4"/>
        <v>0</v>
      </c>
      <c r="AC42">
        <f t="shared" ca="1" si="5"/>
        <v>0.30375491679043065</v>
      </c>
      <c r="AD42" s="83">
        <f ca="1"/>
        <v>46041</v>
      </c>
      <c r="AE42" s="55">
        <f t="shared" ca="1" si="20"/>
        <v>46041</v>
      </c>
      <c r="AF42" s="55">
        <f t="shared" ca="1" si="21"/>
        <v>4837.8874603565791</v>
      </c>
      <c r="AG42" s="55">
        <f t="shared" ca="1" si="22"/>
        <v>5.3694261372353793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5.1428311801321556</v>
      </c>
      <c r="AK42" s="55">
        <f t="shared" ca="1" si="19"/>
        <v>68.083852450955789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45901</v>
      </c>
      <c r="S43" s="55">
        <f t="shared" ca="1" si="11"/>
        <v>45901</v>
      </c>
      <c r="T43" s="55">
        <f t="shared" ca="1" si="0"/>
        <v>6174.1770511799114</v>
      </c>
      <c r="U43" s="55">
        <f t="shared" ca="1" si="1"/>
        <v>476.43020875264983</v>
      </c>
      <c r="V43" s="55">
        <f t="shared" ca="1" si="2"/>
        <v>0</v>
      </c>
      <c r="W43" s="55">
        <f t="shared" ca="1" si="12"/>
        <v>-678.09588382986385</v>
      </c>
      <c r="X43" s="55">
        <f t="shared" ca="1" si="13"/>
        <v>5.0588038059426399</v>
      </c>
      <c r="Y43" s="55">
        <f t="shared" ca="1" si="14"/>
        <v>3.663335831992562</v>
      </c>
      <c r="Z43">
        <f t="shared" ca="1" si="3"/>
        <v>120</v>
      </c>
      <c r="AA43">
        <f t="shared" ca="1" si="15"/>
        <v>48.813805968899672</v>
      </c>
      <c r="AB43">
        <f t="shared" ca="1" si="4"/>
        <v>0</v>
      </c>
      <c r="AC43">
        <f t="shared" ca="1" si="5"/>
        <v>0.33954965853234426</v>
      </c>
      <c r="AD43" s="83">
        <f ca="1"/>
        <v>46042</v>
      </c>
      <c r="AE43" s="55">
        <f t="shared" ca="1" si="20"/>
        <v>46042</v>
      </c>
      <c r="AF43" s="55">
        <f t="shared" ca="1" si="21"/>
        <v>4837.7939745947087</v>
      </c>
      <c r="AG43" s="55">
        <f t="shared" ca="1" si="22"/>
        <v>5.7078898573972747</v>
      </c>
      <c r="AH43" s="55">
        <f t="shared" ca="1" si="23"/>
        <v>0</v>
      </c>
      <c r="AI43" s="55">
        <f t="shared" ca="1" si="17"/>
        <v>0</v>
      </c>
      <c r="AJ43" s="55">
        <f t="shared" ca="1" si="18"/>
        <v>5.3489359663786145</v>
      </c>
      <c r="AK43" s="55">
        <f t="shared" ca="1" si="19"/>
        <v>68.122725623001173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45891</v>
      </c>
      <c r="C44" s="94" t="s">
        <v>149</v>
      </c>
      <c r="D44" s="96">
        <f ca="1">MAX(CurrentEstablishDate,C38:C43,MAX(C29:C34)+1)</f>
        <v>45891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45902</v>
      </c>
      <c r="S44" s="55">
        <f t="shared" ca="1" si="11"/>
        <v>45902</v>
      </c>
      <c r="T44" s="55">
        <f t="shared" ca="1" si="0"/>
        <v>6133.5306033948937</v>
      </c>
      <c r="U44" s="55">
        <f t="shared" ca="1" si="1"/>
        <v>492.16293105602</v>
      </c>
      <c r="V44" s="55">
        <f t="shared" ca="1" si="2"/>
        <v>0</v>
      </c>
      <c r="W44" s="55">
        <f t="shared" ca="1" si="12"/>
        <v>-703.43003197432097</v>
      </c>
      <c r="X44" s="55">
        <f t="shared" ca="1" si="13"/>
        <v>5.2571172582931736</v>
      </c>
      <c r="Y44" s="55">
        <f t="shared" ca="1" si="14"/>
        <v>3.8854450424505851</v>
      </c>
      <c r="Z44">
        <f t="shared" ca="1" si="3"/>
        <v>120</v>
      </c>
      <c r="AA44">
        <f t="shared" ca="1" si="15"/>
        <v>49.563805968899672</v>
      </c>
      <c r="AB44">
        <f t="shared" ca="1" si="4"/>
        <v>0</v>
      </c>
      <c r="AC44">
        <f t="shared" ca="1" si="5"/>
        <v>0.37749112858800982</v>
      </c>
      <c r="AD44" s="83">
        <f ca="1"/>
        <v>46043</v>
      </c>
      <c r="AE44" s="55">
        <f t="shared" ca="1" si="20"/>
        <v>46043</v>
      </c>
      <c r="AF44" s="55">
        <f t="shared" ca="1" si="21"/>
        <v>4837.6879924979939</v>
      </c>
      <c r="AG44" s="55">
        <f t="shared" ca="1" si="22"/>
        <v>6.0735965505475589</v>
      </c>
      <c r="AH44" s="55">
        <f t="shared" ca="1" si="23"/>
        <v>0</v>
      </c>
      <c r="AI44" s="55">
        <f t="shared" ca="1" si="17"/>
        <v>0</v>
      </c>
      <c r="AJ44" s="55">
        <f t="shared" ca="1" si="18"/>
        <v>5.5849848783487932</v>
      </c>
      <c r="AK44" s="55">
        <f t="shared" ca="1" si="19"/>
        <v>68.146401307466562</v>
      </c>
    </row>
    <row r="45" spans="1:37" s="55" customFormat="1">
      <c r="R45" s="83">
        <f ca="1"/>
        <v>45903</v>
      </c>
      <c r="S45" s="55">
        <f t="shared" ca="1" si="11"/>
        <v>45903</v>
      </c>
      <c r="T45" s="55">
        <f t="shared" ca="1" si="0"/>
        <v>6113.1426086023366</v>
      </c>
      <c r="U45" s="55">
        <f t="shared" ca="1" si="1"/>
        <v>509.28847050072585</v>
      </c>
      <c r="V45" s="55">
        <f t="shared" ca="1" si="2"/>
        <v>0</v>
      </c>
      <c r="W45" s="55">
        <f t="shared" ca="1" si="12"/>
        <v>-707.13335604735835</v>
      </c>
      <c r="X45" s="55">
        <f t="shared" ca="1" si="13"/>
        <v>5.4665926394497104</v>
      </c>
      <c r="Y45" s="55">
        <f t="shared" ca="1" si="14"/>
        <v>4.1168383864805964</v>
      </c>
      <c r="Z45">
        <f t="shared" ca="1" si="3"/>
        <v>120</v>
      </c>
      <c r="AA45">
        <f t="shared" ca="1" si="15"/>
        <v>49.673805968899671</v>
      </c>
      <c r="AB45">
        <f t="shared" ca="1" si="4"/>
        <v>0</v>
      </c>
      <c r="AC45">
        <f t="shared" ca="1" si="5"/>
        <v>0.41914046023968149</v>
      </c>
      <c r="AD45" s="83">
        <f ca="1"/>
        <v>46044</v>
      </c>
      <c r="AE45" s="55">
        <f t="shared" ca="1" si="20"/>
        <v>46044</v>
      </c>
      <c r="AF45" s="55">
        <f t="shared" ca="1" si="21"/>
        <v>4837.558103717598</v>
      </c>
      <c r="AG45" s="55">
        <f t="shared" ca="1" si="22"/>
        <v>6.4649531060106833</v>
      </c>
      <c r="AH45" s="55">
        <f t="shared" ca="1" si="23"/>
        <v>0</v>
      </c>
      <c r="AI45" s="55">
        <f t="shared" ca="1" si="17"/>
        <v>0</v>
      </c>
      <c r="AJ45" s="55">
        <f t="shared" ca="1" si="18"/>
        <v>5.8284720086039732</v>
      </c>
      <c r="AK45" s="55">
        <f t="shared" ca="1" si="19"/>
        <v>68.164381952279115</v>
      </c>
    </row>
    <row r="46" spans="1:37" s="55" customFormat="1" ht="15.75" thickBot="1">
      <c r="C46" s="129" t="s">
        <v>153</v>
      </c>
      <c r="D46" s="129"/>
      <c r="E46" s="129"/>
      <c r="F46" s="129"/>
      <c r="G46" s="129"/>
      <c r="H46" s="129"/>
      <c r="R46" s="83">
        <f ca="1"/>
        <v>45904</v>
      </c>
      <c r="S46" s="55">
        <f t="shared" ca="1" si="11"/>
        <v>45904</v>
      </c>
      <c r="T46" s="55">
        <f t="shared" ca="1" si="0"/>
        <v>6039.5073301344146</v>
      </c>
      <c r="U46" s="55">
        <f t="shared" ca="1" si="1"/>
        <v>527.15679651791243</v>
      </c>
      <c r="V46" s="55">
        <f t="shared" ca="1" si="2"/>
        <v>0</v>
      </c>
      <c r="W46" s="55">
        <f t="shared" ca="1" si="12"/>
        <v>-763.34453876347891</v>
      </c>
      <c r="X46" s="55">
        <f t="shared" ca="1" si="13"/>
        <v>5.6780314425225882</v>
      </c>
      <c r="Y46" s="55">
        <f t="shared" ca="1" si="14"/>
        <v>4.3496298487926666</v>
      </c>
      <c r="Z46">
        <f t="shared" ca="1" si="3"/>
        <v>120</v>
      </c>
      <c r="AA46">
        <f t="shared" ca="1" si="15"/>
        <v>51.363805968899669</v>
      </c>
      <c r="AB46">
        <f t="shared" ca="1" si="4"/>
        <v>0</v>
      </c>
      <c r="AC46">
        <f t="shared" ca="1" si="5"/>
        <v>0.46235269349494584</v>
      </c>
      <c r="AD46" s="83">
        <f ca="1"/>
        <v>46045</v>
      </c>
      <c r="AE46" s="55">
        <f t="shared" ca="1" si="20"/>
        <v>46045</v>
      </c>
      <c r="AF46" s="55">
        <f t="shared" ca="1" si="21"/>
        <v>4837.4058069503471</v>
      </c>
      <c r="AG46" s="55">
        <f t="shared" ca="1" si="22"/>
        <v>6.8817120015719198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6.0706814899027517</v>
      </c>
      <c r="AK46" s="55">
        <f t="shared" ca="1" si="19"/>
        <v>68.186634599290784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45905</v>
      </c>
      <c r="S47" s="55">
        <f t="shared" ca="1" si="11"/>
        <v>45905</v>
      </c>
      <c r="T47" s="55">
        <f t="shared" ca="1" si="0"/>
        <v>5902.1967645510422</v>
      </c>
      <c r="U47" s="55">
        <f t="shared" ca="1" si="1"/>
        <v>545.95009367046839</v>
      </c>
      <c r="V47" s="55">
        <f t="shared" ca="1" si="2"/>
        <v>0</v>
      </c>
      <c r="W47" s="55">
        <f t="shared" ca="1" si="12"/>
        <v>-882.31229615677717</v>
      </c>
      <c r="X47" s="55">
        <f t="shared" ca="1" si="13"/>
        <v>5.8932324341831785</v>
      </c>
      <c r="Y47" s="55">
        <f t="shared" ca="1" si="14"/>
        <v>4.5849178196145024</v>
      </c>
      <c r="Z47">
        <f t="shared" ca="1" si="3"/>
        <v>120</v>
      </c>
      <c r="AA47">
        <f t="shared" ca="1" si="15"/>
        <v>55.023805968899666</v>
      </c>
      <c r="AB47">
        <f t="shared" ca="1" si="4"/>
        <v>0</v>
      </c>
      <c r="AC47">
        <f t="shared" ca="1" si="5"/>
        <v>0.50685998471354365</v>
      </c>
      <c r="AD47" s="83">
        <f ca="1"/>
        <v>46046</v>
      </c>
      <c r="AE47" s="55">
        <f t="shared" ca="1" si="20"/>
        <v>46046</v>
      </c>
      <c r="AF47" s="55">
        <f t="shared" ca="1" si="21"/>
        <v>4837.243147790532</v>
      </c>
      <c r="AG47" s="55">
        <f t="shared" ca="1" si="22"/>
        <v>7.3261543200128685</v>
      </c>
      <c r="AH47" s="55">
        <f t="shared" ca="1" si="23"/>
        <v>0</v>
      </c>
      <c r="AI47" s="55">
        <f t="shared" ca="1" si="17"/>
        <v>0</v>
      </c>
      <c r="AJ47" s="55">
        <f t="shared" ca="1" si="18"/>
        <v>6.3171202655461327</v>
      </c>
      <c r="AK47" s="55">
        <f t="shared" ca="1" si="19"/>
        <v>68.221978982273271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45906</v>
      </c>
      <c r="S48" s="55">
        <f t="shared" ca="1" si="11"/>
        <v>45906</v>
      </c>
      <c r="T48" s="55">
        <f t="shared" ca="1" si="0"/>
        <v>5828.3901022534392</v>
      </c>
      <c r="U48" s="55">
        <f t="shared" ca="1" si="1"/>
        <v>565.31627229643368</v>
      </c>
      <c r="V48" s="55">
        <f t="shared" ca="1" si="2"/>
        <v>0</v>
      </c>
      <c r="W48" s="55">
        <f t="shared" ca="1" si="12"/>
        <v>-937.20052642408541</v>
      </c>
      <c r="X48" s="55">
        <f t="shared" ca="1" si="13"/>
        <v>6.1074393464052195</v>
      </c>
      <c r="Y48" s="55">
        <f t="shared" ca="1" si="14"/>
        <v>4.8184575030633088</v>
      </c>
      <c r="Z48">
        <f t="shared" ca="1" si="3"/>
        <v>120</v>
      </c>
      <c r="AA48">
        <f t="shared" ca="1" si="15"/>
        <v>56.733805968899659</v>
      </c>
      <c r="AB48">
        <f t="shared" ca="1" si="4"/>
        <v>0</v>
      </c>
      <c r="AC48">
        <f t="shared" ca="1" si="5"/>
        <v>0.55107077696585471</v>
      </c>
      <c r="AD48" s="83">
        <f ca="1"/>
        <v>46047</v>
      </c>
      <c r="AE48" s="55">
        <f t="shared" ca="1" si="20"/>
        <v>46047</v>
      </c>
      <c r="AF48" s="55">
        <f t="shared" ca="1" si="21"/>
        <v>4837.0734173076107</v>
      </c>
      <c r="AG48" s="55">
        <f t="shared" ca="1" si="22"/>
        <v>7.8067161806787757</v>
      </c>
      <c r="AH48" s="55">
        <f t="shared" ca="1" si="23"/>
        <v>0</v>
      </c>
      <c r="AI48" s="55">
        <f t="shared" ca="1" si="17"/>
        <v>0</v>
      </c>
      <c r="AJ48" s="55">
        <f t="shared" ca="1" si="18"/>
        <v>6.5709909471568224</v>
      </c>
      <c r="AK48" s="55">
        <f t="shared" ca="1" si="19"/>
        <v>68.278939678407966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45907</v>
      </c>
      <c r="S49" s="55">
        <f t="shared" ca="1" si="11"/>
        <v>45907</v>
      </c>
      <c r="T49" s="55">
        <f t="shared" ca="1" si="0"/>
        <v>5792.0674875505574</v>
      </c>
      <c r="U49" s="55">
        <f t="shared" ca="1" si="1"/>
        <v>584.84996398014596</v>
      </c>
      <c r="V49" s="55">
        <f t="shared" ca="1" si="2"/>
        <v>0</v>
      </c>
      <c r="W49" s="55">
        <f t="shared" ca="1" si="12"/>
        <v>-954.42563147401859</v>
      </c>
      <c r="X49" s="55">
        <f t="shared" ca="1" si="13"/>
        <v>6.3159373231957403</v>
      </c>
      <c r="Y49" s="55">
        <f t="shared" ca="1" si="14"/>
        <v>5.0461415570365507</v>
      </c>
      <c r="Z49">
        <f t="shared" ca="1" si="3"/>
        <v>120</v>
      </c>
      <c r="AA49">
        <f t="shared" ca="1" si="15"/>
        <v>57.273805968899666</v>
      </c>
      <c r="AB49">
        <f t="shared" ca="1" si="4"/>
        <v>0</v>
      </c>
      <c r="AC49">
        <f t="shared" ca="1" si="5"/>
        <v>0.59342582767191376</v>
      </c>
      <c r="AD49" s="83">
        <f ca="1"/>
        <v>46048</v>
      </c>
      <c r="AE49" s="55">
        <f t="shared" ca="1" si="20"/>
        <v>46048</v>
      </c>
      <c r="AF49" s="55">
        <f t="shared" ca="1" si="21"/>
        <v>4836.8907051222004</v>
      </c>
      <c r="AG49" s="55">
        <f t="shared" ca="1" si="22"/>
        <v>8.3225803849087274</v>
      </c>
      <c r="AH49" s="55">
        <f t="shared" ca="1" si="23"/>
        <v>0</v>
      </c>
      <c r="AI49" s="55">
        <f t="shared" ca="1" si="17"/>
        <v>0</v>
      </c>
      <c r="AJ49" s="55">
        <f t="shared" ca="1" si="18"/>
        <v>6.8185902499218551</v>
      </c>
      <c r="AK49" s="55">
        <f t="shared" ca="1" si="19"/>
        <v>68.364492394463042</v>
      </c>
    </row>
    <row r="50" spans="2:37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45908</v>
      </c>
      <c r="S50" s="55">
        <f t="shared" ca="1" si="11"/>
        <v>45908</v>
      </c>
      <c r="T50" s="55">
        <f t="shared" ca="1" si="0"/>
        <v>5708.3404797816929</v>
      </c>
      <c r="U50" s="55">
        <f t="shared" ca="1" si="1"/>
        <v>605.83851867511396</v>
      </c>
      <c r="V50" s="55">
        <f t="shared" ca="1" si="2"/>
        <v>0</v>
      </c>
      <c r="W50" s="55">
        <f t="shared" ca="1" si="12"/>
        <v>-1017.6144786980369</v>
      </c>
      <c r="X50" s="55">
        <f t="shared" ca="1" si="13"/>
        <v>6.5331351198744541</v>
      </c>
      <c r="Y50" s="55">
        <f t="shared" ca="1" si="14"/>
        <v>5.2793379104791072</v>
      </c>
      <c r="Z50">
        <f t="shared" ca="1" si="3"/>
        <v>120</v>
      </c>
      <c r="AA50">
        <f t="shared" ca="1" si="15"/>
        <v>59.283805968899671</v>
      </c>
      <c r="AB50">
        <f t="shared" ca="1" si="4"/>
        <v>0</v>
      </c>
      <c r="AC50">
        <f t="shared" ca="1" si="5"/>
        <v>0.63598559301778146</v>
      </c>
      <c r="AD50" s="83">
        <f ca="1"/>
        <v>46049</v>
      </c>
      <c r="AE50" s="55">
        <f t="shared" ca="1" si="20"/>
        <v>46049</v>
      </c>
      <c r="AF50" s="55">
        <f t="shared" ca="1" si="21"/>
        <v>4836.7102516735049</v>
      </c>
      <c r="AG50" s="55">
        <f t="shared" ca="1" si="22"/>
        <v>8.8588282509360319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7.0581655286851781</v>
      </c>
      <c r="AK50" s="55">
        <f t="shared" ca="1" si="19"/>
        <v>68.480711533031041</v>
      </c>
    </row>
    <row r="51" spans="2:37" s="55" customFormat="1">
      <c r="C51" s="61" t="s">
        <v>4</v>
      </c>
      <c r="D51" s="68">
        <f ca="1">IF(E51="",CurrentEstablishDate-60,E51)</f>
        <v>45831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45909</v>
      </c>
      <c r="S51" s="55">
        <f t="shared" ca="1" si="11"/>
        <v>45909</v>
      </c>
      <c r="T51" s="55">
        <f t="shared" ca="1" si="0"/>
        <v>5642.9714648289646</v>
      </c>
      <c r="U51" s="55">
        <f t="shared" ca="1" si="1"/>
        <v>626.8920706323488</v>
      </c>
      <c r="V51" s="55">
        <f t="shared" ca="1" si="2"/>
        <v>0</v>
      </c>
      <c r="W51" s="55">
        <f t="shared" ca="1" si="12"/>
        <v>-1062.3656958799852</v>
      </c>
      <c r="X51" s="55">
        <f t="shared" ca="1" si="13"/>
        <v>6.7431983213268909</v>
      </c>
      <c r="Y51" s="55">
        <f t="shared" ca="1" si="14"/>
        <v>5.5050288954813853</v>
      </c>
      <c r="Z51">
        <f t="shared" ca="1" si="3"/>
        <v>120</v>
      </c>
      <c r="AA51">
        <f t="shared" ca="1" si="15"/>
        <v>60.723805968899683</v>
      </c>
      <c r="AB51">
        <f t="shared" ca="1" si="4"/>
        <v>0</v>
      </c>
      <c r="AC51">
        <f t="shared" ca="1" si="5"/>
        <v>0.67531997294722979</v>
      </c>
      <c r="AD51" s="83">
        <f ca="1"/>
        <v>46050</v>
      </c>
      <c r="AE51" s="55">
        <f t="shared" ca="1" si="20"/>
        <v>46050</v>
      </c>
      <c r="AF51" s="55">
        <f t="shared" ca="1" si="21"/>
        <v>4836.5240259301936</v>
      </c>
      <c r="AG51" s="55">
        <f t="shared" ca="1" si="22"/>
        <v>9.4354950473131645</v>
      </c>
      <c r="AH51" s="55">
        <f t="shared" ca="1" si="23"/>
        <v>0</v>
      </c>
      <c r="AI51" s="55">
        <f t="shared" ca="1" si="17"/>
        <v>0</v>
      </c>
      <c r="AJ51" s="55">
        <f t="shared" ca="1" si="18"/>
        <v>7.293996021468117</v>
      </c>
      <c r="AK51" s="55">
        <f t="shared" ca="1" si="19"/>
        <v>68.635322093313761</v>
      </c>
    </row>
    <row r="52" spans="2:37" s="55" customFormat="1">
      <c r="C52" s="61" t="s">
        <v>5</v>
      </c>
      <c r="D52" s="68">
        <f ca="1">IF(E52="",CurrentEstablishDate-15,E52)</f>
        <v>45876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45910</v>
      </c>
      <c r="S52" s="55">
        <f t="shared" ca="1" si="11"/>
        <v>45910</v>
      </c>
      <c r="T52" s="55">
        <f t="shared" ca="1" si="0"/>
        <v>5621.3518619220322</v>
      </c>
      <c r="U52" s="55">
        <f t="shared" ca="1" si="1"/>
        <v>648.95074584354427</v>
      </c>
      <c r="V52" s="55">
        <f t="shared" ca="1" si="2"/>
        <v>0</v>
      </c>
      <c r="W52" s="55">
        <f t="shared" ca="1" si="12"/>
        <v>-1062.3656958799852</v>
      </c>
      <c r="X52" s="55">
        <f t="shared" ca="1" si="13"/>
        <v>6.9562161390833364</v>
      </c>
      <c r="Y52" s="55">
        <f t="shared" ca="1" si="14"/>
        <v>5.7310833819876343</v>
      </c>
      <c r="Z52">
        <f t="shared" ca="1" si="3"/>
        <v>118.52173913043477</v>
      </c>
      <c r="AA52">
        <f t="shared" ca="1" si="15"/>
        <v>60.723805968899683</v>
      </c>
      <c r="AB52">
        <f t="shared" ca="1" si="4"/>
        <v>0</v>
      </c>
      <c r="AC52">
        <f t="shared" ca="1" si="5"/>
        <v>0.7127935826992573</v>
      </c>
      <c r="AD52" s="83">
        <f ca="1"/>
        <v>46051</v>
      </c>
      <c r="AE52" s="55">
        <f t="shared" ca="1" si="20"/>
        <v>46051</v>
      </c>
      <c r="AF52" s="55">
        <f t="shared" ca="1" si="21"/>
        <v>4836.3338931649996</v>
      </c>
      <c r="AG52" s="55">
        <f t="shared" ca="1" si="22"/>
        <v>10.059418971503478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7.5288093457883551</v>
      </c>
      <c r="AK52" s="55">
        <f t="shared" ca="1" si="19"/>
        <v>68.834299927990145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45911</v>
      </c>
      <c r="S53" s="55">
        <f t="shared" ca="1" si="11"/>
        <v>45911</v>
      </c>
      <c r="T53" s="55">
        <f t="shared" ca="1" si="0"/>
        <v>5595.0853721668454</v>
      </c>
      <c r="U53" s="55">
        <f t="shared" ca="1" si="1"/>
        <v>672.04760224061079</v>
      </c>
      <c r="V53" s="55">
        <f t="shared" ca="1" si="2"/>
        <v>0</v>
      </c>
      <c r="W53" s="55">
        <f t="shared" ca="1" si="12"/>
        <v>-1065.9771389646555</v>
      </c>
      <c r="X53" s="55">
        <f t="shared" ca="1" si="13"/>
        <v>7.1720149613746802</v>
      </c>
      <c r="Y53" s="55">
        <f t="shared" ca="1" si="14"/>
        <v>5.9570942862457983</v>
      </c>
      <c r="Z53">
        <f t="shared" ca="1" si="3"/>
        <v>120</v>
      </c>
      <c r="AA53">
        <f t="shared" ca="1" si="15"/>
        <v>60.841009191044876</v>
      </c>
      <c r="AB53">
        <f t="shared" ca="1" si="4"/>
        <v>0</v>
      </c>
      <c r="AC53">
        <f t="shared" ca="1" si="5"/>
        <v>0.7479602799091366</v>
      </c>
      <c r="AD53" s="83">
        <f ca="1"/>
        <v>46052</v>
      </c>
      <c r="AE53" s="55">
        <f t="shared" ca="1" si="20"/>
        <v>46052</v>
      </c>
      <c r="AF53" s="55">
        <f t="shared" ca="1" si="21"/>
        <v>4836.1460102248866</v>
      </c>
      <c r="AG53" s="55">
        <f t="shared" ca="1" si="22"/>
        <v>10.734851878543912</v>
      </c>
      <c r="AH53" s="55">
        <f t="shared" ca="1" si="23"/>
        <v>0</v>
      </c>
      <c r="AI53" s="55">
        <f t="shared" ca="1" si="17"/>
        <v>0</v>
      </c>
      <c r="AJ53" s="55">
        <f t="shared" ca="1" si="18"/>
        <v>7.7680341235168928</v>
      </c>
      <c r="AK53" s="55">
        <f t="shared" ca="1" si="19"/>
        <v>69.082625117188996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45912</v>
      </c>
      <c r="S54" s="55">
        <f t="shared" ca="1" si="11"/>
        <v>45912</v>
      </c>
      <c r="T54" s="55">
        <f t="shared" ca="1" si="0"/>
        <v>5524.8676973909696</v>
      </c>
      <c r="U54" s="55">
        <f t="shared" ca="1" si="1"/>
        <v>696.77447312377262</v>
      </c>
      <c r="V54" s="55">
        <f t="shared" ca="1" si="2"/>
        <v>0</v>
      </c>
      <c r="W54" s="55">
        <f t="shared" ca="1" si="12"/>
        <v>-1111.9216184539737</v>
      </c>
      <c r="X54" s="55">
        <f t="shared" ca="1" si="13"/>
        <v>7.3958841727957365</v>
      </c>
      <c r="Y54" s="55">
        <f t="shared" ca="1" si="14"/>
        <v>6.186900671429318</v>
      </c>
      <c r="Z54">
        <f t="shared" ca="1" si="3"/>
        <v>120</v>
      </c>
      <c r="AA54">
        <f t="shared" ca="1" si="15"/>
        <v>62.351009191044881</v>
      </c>
      <c r="AB54">
        <f t="shared" ca="1" si="4"/>
        <v>0</v>
      </c>
      <c r="AC54">
        <f t="shared" ca="1" si="5"/>
        <v>0.78119029757989356</v>
      </c>
      <c r="AD54" s="83">
        <f ca="1"/>
        <v>46053</v>
      </c>
      <c r="AE54" s="55">
        <f t="shared" ca="1" si="20"/>
        <v>46053</v>
      </c>
      <c r="AF54" s="55">
        <f t="shared" ca="1" si="21"/>
        <v>4835.9624172294716</v>
      </c>
      <c r="AG54" s="55">
        <f t="shared" ca="1" si="22"/>
        <v>11.451320098450459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8.0054507882528121</v>
      </c>
      <c r="AK54" s="55">
        <f t="shared" ca="1" si="19"/>
        <v>69.378083676943987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45913</v>
      </c>
      <c r="S55" s="55">
        <f t="shared" ca="1" si="11"/>
        <v>45913</v>
      </c>
      <c r="T55" s="55">
        <f t="shared" ca="1" si="0"/>
        <v>5414.9417504876374</v>
      </c>
      <c r="U55" s="55">
        <f t="shared" ca="1" si="1"/>
        <v>721.85311700230886</v>
      </c>
      <c r="V55" s="55">
        <f t="shared" ca="1" si="2"/>
        <v>0</v>
      </c>
      <c r="W55" s="55">
        <f t="shared" ca="1" si="12"/>
        <v>-1197.2108748949877</v>
      </c>
      <c r="X55" s="55">
        <f t="shared" ca="1" si="13"/>
        <v>7.614687721918207</v>
      </c>
      <c r="Y55" s="55">
        <f t="shared" ca="1" si="14"/>
        <v>6.4100505385247732</v>
      </c>
      <c r="Z55">
        <f t="shared" ca="1" si="3"/>
        <v>120</v>
      </c>
      <c r="AA55">
        <f t="shared" ca="1" si="15"/>
        <v>65.21100919104488</v>
      </c>
      <c r="AB55">
        <f t="shared" ca="1" si="4"/>
        <v>0</v>
      </c>
      <c r="AC55">
        <f t="shared" ca="1" si="5"/>
        <v>0.81056247223722655</v>
      </c>
      <c r="AD55" s="83">
        <f ca="1"/>
        <v>46054</v>
      </c>
      <c r="AE55" s="55">
        <f t="shared" ca="1" si="20"/>
        <v>46054</v>
      </c>
      <c r="AF55" s="55">
        <f t="shared" ca="1" si="21"/>
        <v>4835.7709696066631</v>
      </c>
      <c r="AG55" s="55">
        <f t="shared" ca="1" si="22"/>
        <v>12.219516752070874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8.2347453104883463</v>
      </c>
      <c r="AK55" s="55">
        <f t="shared" ca="1" si="19"/>
        <v>69.725538185520207</v>
      </c>
    </row>
    <row r="56" spans="2:37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16 kg N/ha to the current crop</v>
      </c>
      <c r="R56" s="83">
        <f ca="1"/>
        <v>45914</v>
      </c>
      <c r="S56" s="55">
        <f t="shared" ca="1" si="11"/>
        <v>45914</v>
      </c>
      <c r="T56" s="55">
        <f t="shared" ca="1" si="0"/>
        <v>5356.0149356545708</v>
      </c>
      <c r="U56" s="55">
        <f t="shared" ca="1" si="1"/>
        <v>748.18854934607293</v>
      </c>
      <c r="V56" s="55">
        <f t="shared" ca="1" si="2"/>
        <v>0</v>
      </c>
      <c r="W56" s="55">
        <f t="shared" ca="1" si="12"/>
        <v>-1230.2473960053437</v>
      </c>
      <c r="X56" s="55">
        <f t="shared" ca="1" si="13"/>
        <v>7.8369280523661198</v>
      </c>
      <c r="Y56" s="55">
        <f t="shared" ca="1" si="14"/>
        <v>6.6329488291310943</v>
      </c>
      <c r="Z56">
        <f t="shared" ca="1" si="3"/>
        <v>120</v>
      </c>
      <c r="AA56">
        <f t="shared" ca="1" si="15"/>
        <v>66.33100919104487</v>
      </c>
      <c r="AB56">
        <f t="shared" ca="1" si="4"/>
        <v>0</v>
      </c>
      <c r="AC56">
        <f t="shared" ca="1" si="5"/>
        <v>0.83716805298593699</v>
      </c>
      <c r="AD56" s="83">
        <f ca="1"/>
        <v>46055</v>
      </c>
      <c r="AE56" s="55">
        <f t="shared" ca="1" si="20"/>
        <v>46055</v>
      </c>
      <c r="AF56" s="55">
        <f t="shared" ca="1" si="21"/>
        <v>4835.5861497347414</v>
      </c>
      <c r="AG56" s="55">
        <f t="shared" ca="1" si="22"/>
        <v>13.025004255170796</v>
      </c>
      <c r="AH56" s="55">
        <f t="shared" ca="1" si="23"/>
        <v>0</v>
      </c>
      <c r="AI56" s="55">
        <f t="shared" ca="1" si="17"/>
        <v>0</v>
      </c>
      <c r="AJ56" s="55">
        <f t="shared" ca="1" si="18"/>
        <v>8.4635043490974873</v>
      </c>
      <c r="AK56" s="55">
        <f t="shared" ca="1" si="19"/>
        <v>70.117446778089601</v>
      </c>
    </row>
    <row r="57" spans="2:37" s="55" customFormat="1" ht="15.75" thickBot="1">
      <c r="C57" s="129" t="s">
        <v>154</v>
      </c>
      <c r="D57" s="129"/>
      <c r="E57" s="129"/>
      <c r="F57" s="129"/>
      <c r="G57" s="129"/>
      <c r="H57" s="129"/>
      <c r="R57" s="83">
        <f ca="1"/>
        <v>45915</v>
      </c>
      <c r="S57" s="55">
        <f t="shared" ca="1" si="11"/>
        <v>45915</v>
      </c>
      <c r="T57" s="55">
        <f t="shared" ca="1" si="0"/>
        <v>5301.0422421952489</v>
      </c>
      <c r="U57" s="55">
        <f t="shared" ca="1" si="1"/>
        <v>776.17191900668638</v>
      </c>
      <c r="V57" s="55">
        <f t="shared" ca="1" si="2"/>
        <v>0</v>
      </c>
      <c r="W57" s="55">
        <f t="shared" ca="1" si="12"/>
        <v>-1257.6898929460995</v>
      </c>
      <c r="X57" s="55">
        <f t="shared" ca="1" si="13"/>
        <v>8.065521630800589</v>
      </c>
      <c r="Y57" s="55">
        <f t="shared" ca="1" si="14"/>
        <v>6.8575283927435775</v>
      </c>
      <c r="Z57">
        <f t="shared" ca="1" si="3"/>
        <v>120</v>
      </c>
      <c r="AA57">
        <f t="shared" ca="1" si="15"/>
        <v>67.271009191044868</v>
      </c>
      <c r="AB57">
        <f t="shared" ca="1" si="4"/>
        <v>0</v>
      </c>
      <c r="AC57">
        <f t="shared" ca="1" si="5"/>
        <v>0.86124338895035768</v>
      </c>
      <c r="AD57" s="83">
        <f ca="1"/>
        <v>46056</v>
      </c>
      <c r="AE57" s="55">
        <f t="shared" ca="1" si="20"/>
        <v>46056</v>
      </c>
      <c r="AF57" s="55">
        <f t="shared" ca="1" si="21"/>
        <v>4835.3820947199201</v>
      </c>
      <c r="AG57" s="55">
        <f t="shared" ca="1" si="22"/>
        <v>13.868393751676924</v>
      </c>
      <c r="AH57" s="55">
        <f t="shared" ca="1" si="23"/>
        <v>0</v>
      </c>
      <c r="AI57" s="55">
        <f t="shared" ca="1" si="17"/>
        <v>0</v>
      </c>
      <c r="AJ57" s="55">
        <f t="shared" ca="1" si="18"/>
        <v>8.6794095482223881</v>
      </c>
      <c r="AK57" s="55">
        <f t="shared" ca="1" si="19"/>
        <v>70.540876060649595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45916</v>
      </c>
      <c r="S58" s="55">
        <f t="shared" ca="1" si="11"/>
        <v>45916</v>
      </c>
      <c r="T58" s="55">
        <f t="shared" ca="1" si="0"/>
        <v>5234.2820478127915</v>
      </c>
      <c r="U58" s="55">
        <f t="shared" ca="1" si="1"/>
        <v>805.62612683987822</v>
      </c>
      <c r="V58" s="55">
        <f t="shared" ca="1" si="2"/>
        <v>0</v>
      </c>
      <c r="W58" s="55">
        <f t="shared" ca="1" si="12"/>
        <v>-1295.4525828504645</v>
      </c>
      <c r="X58" s="55">
        <f t="shared" ca="1" si="13"/>
        <v>8.2980642994254517</v>
      </c>
      <c r="Y58" s="55">
        <f t="shared" ca="1" si="14"/>
        <v>7.0816890792176856</v>
      </c>
      <c r="Z58">
        <f t="shared" ca="1" si="3"/>
        <v>120</v>
      </c>
      <c r="AA58">
        <f t="shared" ca="1" si="15"/>
        <v>68.581009191044856</v>
      </c>
      <c r="AB58">
        <f t="shared" ca="1" si="4"/>
        <v>0</v>
      </c>
      <c r="AC58">
        <f t="shared" ca="1" si="5"/>
        <v>0.88255942519559472</v>
      </c>
      <c r="AD58" s="83">
        <f ca="1"/>
        <v>46057</v>
      </c>
      <c r="AE58" s="55">
        <f t="shared" ca="1" si="20"/>
        <v>46057</v>
      </c>
      <c r="AF58" s="55">
        <f t="shared" ca="1" si="21"/>
        <v>4835.2001551544126</v>
      </c>
      <c r="AG58" s="55">
        <f t="shared" ca="1" si="22"/>
        <v>14.724479055118213</v>
      </c>
      <c r="AH58" s="55">
        <f t="shared" ca="1" si="23"/>
        <v>0</v>
      </c>
      <c r="AI58" s="55">
        <f t="shared" ca="1" si="17"/>
        <v>0</v>
      </c>
      <c r="AJ58" s="55">
        <f t="shared" ca="1" si="18"/>
        <v>8.8936901957232237</v>
      </c>
      <c r="AK58" s="55">
        <f t="shared" ca="1" si="19"/>
        <v>71.000741151082678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45917</v>
      </c>
      <c r="S59" s="55">
        <f t="shared" ca="1" si="11"/>
        <v>45917</v>
      </c>
      <c r="T59" s="55">
        <f t="shared" ca="1" si="0"/>
        <v>5195.2828539619431</v>
      </c>
      <c r="U59" s="55">
        <f t="shared" ca="1" si="1"/>
        <v>835.91914342568236</v>
      </c>
      <c r="V59" s="55">
        <f t="shared" ca="1" si="2"/>
        <v>0</v>
      </c>
      <c r="W59" s="55">
        <f t="shared" ca="1" si="12"/>
        <v>-1304.6083277061425</v>
      </c>
      <c r="X59" s="55">
        <f t="shared" ca="1" si="13"/>
        <v>8.5285232654182295</v>
      </c>
      <c r="Y59" s="55">
        <f t="shared" ca="1" si="14"/>
        <v>7.3007977038585921</v>
      </c>
      <c r="Z59">
        <f t="shared" ca="1" si="3"/>
        <v>120</v>
      </c>
      <c r="AA59">
        <f t="shared" ca="1" si="15"/>
        <v>68.901009191044864</v>
      </c>
      <c r="AB59">
        <f t="shared" ca="1" si="4"/>
        <v>0</v>
      </c>
      <c r="AC59">
        <f t="shared" ca="1" si="5"/>
        <v>0.90084164836342251</v>
      </c>
      <c r="AD59" s="83">
        <f ca="1"/>
        <v>46058</v>
      </c>
      <c r="AE59" s="55">
        <f t="shared" ca="1" si="20"/>
        <v>46058</v>
      </c>
      <c r="AF59" s="55">
        <f t="shared" ca="1" si="21"/>
        <v>4834.9997603823685</v>
      </c>
      <c r="AG59" s="55">
        <f t="shared" ca="1" si="22"/>
        <v>15.663356107301945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9.1115455622911643</v>
      </c>
      <c r="AK59" s="55">
        <f t="shared" ca="1" si="19"/>
        <v>71.521368064653785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45918</v>
      </c>
      <c r="S60" s="55">
        <f t="shared" ca="1" si="11"/>
        <v>45918</v>
      </c>
      <c r="T60" s="55">
        <f t="shared" ca="1" si="0"/>
        <v>5161.7588867633003</v>
      </c>
      <c r="U60" s="55">
        <f t="shared" ca="1" si="1"/>
        <v>866.75432744060163</v>
      </c>
      <c r="V60" s="55">
        <f t="shared" ca="1" si="2"/>
        <v>0</v>
      </c>
      <c r="W60" s="55">
        <f t="shared" ca="1" si="12"/>
        <v>-1307.7353062781233</v>
      </c>
      <c r="X60" s="55">
        <f t="shared" ca="1" si="13"/>
        <v>8.7544390076923655</v>
      </c>
      <c r="Y60" s="55">
        <f t="shared" ca="1" si="14"/>
        <v>7.513077349840958</v>
      </c>
      <c r="Z60">
        <f t="shared" ca="1" si="3"/>
        <v>120</v>
      </c>
      <c r="AA60">
        <f t="shared" ca="1" si="15"/>
        <v>69.011009191044849</v>
      </c>
      <c r="AB60">
        <f t="shared" ca="1" si="4"/>
        <v>0</v>
      </c>
      <c r="AC60">
        <f t="shared" ca="1" si="5"/>
        <v>0.91629079027928295</v>
      </c>
      <c r="AD60" s="83">
        <f ca="1"/>
        <v>46059</v>
      </c>
      <c r="AE60" s="55">
        <f t="shared" ca="1" si="20"/>
        <v>46059</v>
      </c>
      <c r="AF60" s="55">
        <f t="shared" ca="1" si="21"/>
        <v>4834.7228832212004</v>
      </c>
      <c r="AG60" s="55">
        <f t="shared" ca="1" si="22"/>
        <v>16.650908050390967</v>
      </c>
      <c r="AH60" s="55">
        <f t="shared" ca="1" si="23"/>
        <v>0</v>
      </c>
      <c r="AI60" s="55">
        <f t="shared" ca="1" si="17"/>
        <v>0</v>
      </c>
      <c r="AJ60" s="55">
        <f t="shared" ca="1" si="18"/>
        <v>9.3141599235429755</v>
      </c>
      <c r="AK60" s="55">
        <f t="shared" ca="1" si="19"/>
        <v>72.0294284853222</v>
      </c>
    </row>
    <row r="61" spans="2:37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45919</v>
      </c>
      <c r="S61" s="55">
        <f t="shared" ca="1" si="11"/>
        <v>45919</v>
      </c>
      <c r="T61" s="55">
        <f t="shared" ca="1" si="0"/>
        <v>5094.2994649111797</v>
      </c>
      <c r="U61" s="55">
        <f t="shared" ca="1" si="1"/>
        <v>898.45357009454074</v>
      </c>
      <c r="V61" s="55">
        <f t="shared" ca="1" si="2"/>
        <v>0</v>
      </c>
      <c r="W61" s="55">
        <f t="shared" ca="1" si="12"/>
        <v>-1343.9269816071007</v>
      </c>
      <c r="X61" s="55">
        <f t="shared" ca="1" si="13"/>
        <v>8.9785123505294102</v>
      </c>
      <c r="Y61" s="55">
        <f t="shared" ca="1" si="14"/>
        <v>7.7205001378004079</v>
      </c>
      <c r="Z61">
        <f t="shared" ca="1" si="3"/>
        <v>120</v>
      </c>
      <c r="AA61">
        <f t="shared" ca="1" si="15"/>
        <v>70.301009191044841</v>
      </c>
      <c r="AB61">
        <f t="shared" ca="1" si="4"/>
        <v>0</v>
      </c>
      <c r="AC61">
        <f t="shared" ca="1" si="5"/>
        <v>0.92943154788852478</v>
      </c>
      <c r="AD61" s="83">
        <f ca="1"/>
        <v>46060</v>
      </c>
      <c r="AE61" s="55">
        <f t="shared" ca="1" si="20"/>
        <v>46060</v>
      </c>
      <c r="AF61" s="55">
        <f t="shared" ca="1" si="21"/>
        <v>4834.3616418487281</v>
      </c>
      <c r="AG61" s="55">
        <f t="shared" ca="1" si="22"/>
        <v>17.706377739215366</v>
      </c>
      <c r="AH61" s="55">
        <f t="shared" ca="1" si="23"/>
        <v>0</v>
      </c>
      <c r="AI61" s="55">
        <f t="shared" ca="1" si="17"/>
        <v>0</v>
      </c>
      <c r="AJ61" s="55">
        <f t="shared" ca="1" si="18"/>
        <v>9.5084333043104809</v>
      </c>
      <c r="AK61" s="55">
        <f t="shared" ca="1" si="19"/>
        <v>72.529383420907408</v>
      </c>
    </row>
    <row r="62" spans="2:37" s="55" customFormat="1">
      <c r="C62" s="61" t="s">
        <v>4</v>
      </c>
      <c r="D62" s="68">
        <f>IF(E62="",CurrentHarvestDate+15,E62)</f>
        <v>46031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45920</v>
      </c>
      <c r="S62" s="55">
        <f t="shared" ca="1" si="11"/>
        <v>45920</v>
      </c>
      <c r="T62" s="55">
        <f t="shared" ca="1" si="0"/>
        <v>5061.7894292316141</v>
      </c>
      <c r="U62" s="55">
        <f t="shared" ca="1" si="1"/>
        <v>931.11068106654091</v>
      </c>
      <c r="V62" s="55">
        <f t="shared" ca="1" si="2"/>
        <v>0</v>
      </c>
      <c r="W62" s="55">
        <f t="shared" ca="1" si="12"/>
        <v>-1344.2057468220441</v>
      </c>
      <c r="X62" s="55">
        <f t="shared" ca="1" si="13"/>
        <v>9.2013626427279078</v>
      </c>
      <c r="Y62" s="55">
        <f t="shared" ca="1" si="14"/>
        <v>7.9234903529790159</v>
      </c>
      <c r="Z62">
        <f t="shared" ca="1" si="3"/>
        <v>120</v>
      </c>
      <c r="AA62">
        <f t="shared" ca="1" si="15"/>
        <v>70.311009191044846</v>
      </c>
      <c r="AB62">
        <f t="shared" ca="1" si="4"/>
        <v>0</v>
      </c>
      <c r="AC62">
        <f t="shared" ca="1" si="5"/>
        <v>0.94059213976095268</v>
      </c>
      <c r="AD62" s="83">
        <f ca="1"/>
        <v>46061</v>
      </c>
      <c r="AE62" s="55">
        <f t="shared" ca="1" si="20"/>
        <v>46061</v>
      </c>
      <c r="AF62" s="55">
        <f t="shared" ca="1" si="21"/>
        <v>4833.9390310281515</v>
      </c>
      <c r="AG62" s="55">
        <f t="shared" ca="1" si="22"/>
        <v>18.823939469490341</v>
      </c>
      <c r="AH62" s="55">
        <f t="shared" ca="1" si="23"/>
        <v>0</v>
      </c>
      <c r="AI62" s="55">
        <f t="shared" ca="1" si="17"/>
        <v>0</v>
      </c>
      <c r="AJ62" s="55">
        <f t="shared" ca="1" si="18"/>
        <v>9.6980276349045695</v>
      </c>
      <c r="AK62" s="55">
        <f t="shared" ca="1" si="19"/>
        <v>73.034740000011453</v>
      </c>
    </row>
    <row r="63" spans="2:37" s="55" customFormat="1">
      <c r="C63" s="61" t="s">
        <v>5</v>
      </c>
      <c r="D63" s="68">
        <f>IF(E63="",FollowingEstablishDate+120,E63)</f>
        <v>46151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45921</v>
      </c>
      <c r="S63" s="55">
        <f t="shared" ca="1" si="11"/>
        <v>45921</v>
      </c>
      <c r="T63" s="55">
        <f t="shared" ca="1" si="0"/>
        <v>5024.2599994486563</v>
      </c>
      <c r="U63" s="55">
        <f t="shared" ca="1" si="1"/>
        <v>964.63176392786033</v>
      </c>
      <c r="V63" s="55">
        <f t="shared" ca="1" si="2"/>
        <v>0</v>
      </c>
      <c r="W63" s="55">
        <f t="shared" ca="1" si="12"/>
        <v>-1348.6329208505438</v>
      </c>
      <c r="X63" s="55">
        <f t="shared" ca="1" si="13"/>
        <v>9.4221837801642181</v>
      </c>
      <c r="Y63" s="55">
        <f t="shared" ca="1" si="14"/>
        <v>8.1214963224037557</v>
      </c>
      <c r="Z63">
        <f t="shared" ca="1" si="3"/>
        <v>120</v>
      </c>
      <c r="AA63">
        <f t="shared" ca="1" si="15"/>
        <v>70.471009191044843</v>
      </c>
      <c r="AB63">
        <f t="shared" ca="1" si="4"/>
        <v>0</v>
      </c>
      <c r="AC63">
        <f t="shared" ca="1" si="5"/>
        <v>0.95001030710272028</v>
      </c>
      <c r="AD63" s="83">
        <f ca="1"/>
        <v>46062</v>
      </c>
      <c r="AE63" s="55">
        <f t="shared" ca="1" si="20"/>
        <v>46062</v>
      </c>
      <c r="AF63" s="55">
        <f t="shared" ca="1" si="21"/>
        <v>4833.4234824477926</v>
      </c>
      <c r="AG63" s="55">
        <f t="shared" ca="1" si="22"/>
        <v>20.019661806426694</v>
      </c>
      <c r="AH63" s="55">
        <f t="shared" ca="1" si="23"/>
        <v>0</v>
      </c>
      <c r="AI63" s="55">
        <f t="shared" ca="1" si="17"/>
        <v>0</v>
      </c>
      <c r="AJ63" s="55">
        <f t="shared" ca="1" si="18"/>
        <v>9.8824683715078887</v>
      </c>
      <c r="AK63" s="55">
        <f t="shared" ca="1" si="19"/>
        <v>73.530473019985578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45922</v>
      </c>
      <c r="S64" s="55">
        <f t="shared" ca="1" si="11"/>
        <v>45922</v>
      </c>
      <c r="T64" s="55">
        <f t="shared" ca="1" si="0"/>
        <v>4941.9241697163789</v>
      </c>
      <c r="U64" s="55">
        <f t="shared" ca="1" si="1"/>
        <v>999.75917895602231</v>
      </c>
      <c r="V64" s="55">
        <f t="shared" ca="1" si="2"/>
        <v>0</v>
      </c>
      <c r="W64" s="55">
        <f t="shared" ca="1" si="12"/>
        <v>-1396.261610312303</v>
      </c>
      <c r="X64" s="55">
        <f t="shared" ca="1" si="13"/>
        <v>9.6460529915852735</v>
      </c>
      <c r="Y64" s="55">
        <f t="shared" ca="1" si="14"/>
        <v>8.3179018686273611</v>
      </c>
      <c r="Z64">
        <f t="shared" ca="1" si="3"/>
        <v>120</v>
      </c>
      <c r="AA64">
        <f t="shared" ca="1" si="15"/>
        <v>72.221009191044843</v>
      </c>
      <c r="AB64">
        <f t="shared" ca="1" si="4"/>
        <v>0</v>
      </c>
      <c r="AC64">
        <f t="shared" ca="1" si="5"/>
        <v>0.95809369075892004</v>
      </c>
      <c r="AD64" s="83">
        <f ca="1"/>
        <v>46063</v>
      </c>
      <c r="AE64" s="55">
        <f t="shared" ca="1" si="20"/>
        <v>46063</v>
      </c>
      <c r="AF64" s="55">
        <f t="shared" ca="1" si="21"/>
        <v>4832.8101273604943</v>
      </c>
      <c r="AG64" s="55">
        <f t="shared" ca="1" si="22"/>
        <v>21.321057026210397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10.06741645255166</v>
      </c>
      <c r="AK64" s="55">
        <f t="shared" ca="1" si="19"/>
        <v>74.033565071427603</v>
      </c>
    </row>
    <row r="65" spans="2:37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45923</v>
      </c>
      <c r="S65" s="55">
        <f t="shared" ca="1" si="11"/>
        <v>45923</v>
      </c>
      <c r="T65" s="55">
        <f t="shared" ca="1" si="0"/>
        <v>4880.3238112572417</v>
      </c>
      <c r="U65" s="55">
        <f t="shared" ca="1" si="1"/>
        <v>1036.5159622182896</v>
      </c>
      <c r="V65" s="55">
        <f t="shared" ca="1" si="2"/>
        <v>0</v>
      </c>
      <c r="W65" s="55">
        <f t="shared" ca="1" si="12"/>
        <v>-1421.5261272018838</v>
      </c>
      <c r="X65" s="55">
        <f t="shared" ca="1" si="13"/>
        <v>9.8725849547565492</v>
      </c>
      <c r="Y65" s="55">
        <f t="shared" ca="1" si="14"/>
        <v>8.5123115981665016</v>
      </c>
      <c r="Z65">
        <f t="shared" ca="1" si="3"/>
        <v>120</v>
      </c>
      <c r="AA65">
        <f t="shared" ca="1" si="15"/>
        <v>73.16100919104484</v>
      </c>
      <c r="AB65">
        <f t="shared" ca="1" si="4"/>
        <v>0</v>
      </c>
      <c r="AC65">
        <f t="shared" ca="1" si="5"/>
        <v>0.9649850869422395</v>
      </c>
      <c r="AD65" s="83">
        <f ca="1"/>
        <v>46064</v>
      </c>
      <c r="AE65" s="55">
        <f t="shared" ca="1" si="20"/>
        <v>46064</v>
      </c>
      <c r="AF65" s="55">
        <f t="shared" ca="1" si="21"/>
        <v>4832.1206656246122</v>
      </c>
      <c r="AG65" s="55">
        <f t="shared" ca="1" si="22"/>
        <v>22.72060437127767</v>
      </c>
      <c r="AH65" s="55">
        <f t="shared" ca="1" si="23"/>
        <v>0</v>
      </c>
      <c r="AI65" s="55">
        <f t="shared" ca="1" si="17"/>
        <v>0</v>
      </c>
      <c r="AJ65" s="55">
        <f t="shared" ca="1" si="18"/>
        <v>10.253853423046067</v>
      </c>
      <c r="AK65" s="55">
        <f t="shared" ca="1" si="19"/>
        <v>74.557213710117622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45924</v>
      </c>
      <c r="S66" s="55">
        <f t="shared" ca="1" si="11"/>
        <v>45924</v>
      </c>
      <c r="T66" s="55">
        <f t="shared" ca="1" si="0"/>
        <v>4787.5235165915747</v>
      </c>
      <c r="U66" s="55">
        <f t="shared" ca="1" si="1"/>
        <v>1075.9615965303556</v>
      </c>
      <c r="V66" s="55">
        <f t="shared" ca="1" si="2"/>
        <v>0</v>
      </c>
      <c r="W66" s="55">
        <f t="shared" ca="1" si="12"/>
        <v>-1475.3129131448081</v>
      </c>
      <c r="X66" s="55">
        <f t="shared" ca="1" si="13"/>
        <v>10.108275013863905</v>
      </c>
      <c r="Y66" s="55">
        <f t="shared" ca="1" si="14"/>
        <v>8.7087471283815319</v>
      </c>
      <c r="Z66">
        <f t="shared" ca="1" si="3"/>
        <v>120</v>
      </c>
      <c r="AA66">
        <f t="shared" ca="1" si="15"/>
        <v>75.201009191044832</v>
      </c>
      <c r="AB66">
        <f t="shared" ca="1" si="4"/>
        <v>0</v>
      </c>
      <c r="AC66">
        <f t="shared" ca="1" si="5"/>
        <v>0.97096692669193085</v>
      </c>
      <c r="AD66" s="83">
        <f ca="1"/>
        <v>46065</v>
      </c>
      <c r="AE66" s="55">
        <f t="shared" ca="1" si="20"/>
        <v>46065</v>
      </c>
      <c r="AF66" s="55">
        <f t="shared" ca="1" si="21"/>
        <v>4831.3696757163207</v>
      </c>
      <c r="AG66" s="55">
        <f t="shared" ca="1" si="22"/>
        <v>24.199110198731599</v>
      </c>
      <c r="AH66" s="55">
        <f t="shared" ca="1" si="23"/>
        <v>0</v>
      </c>
      <c r="AI66" s="55">
        <f t="shared" ca="1" si="17"/>
        <v>0</v>
      </c>
      <c r="AJ66" s="55">
        <f t="shared" ca="1" si="18"/>
        <v>10.439496528790658</v>
      </c>
      <c r="AK66" s="55">
        <f t="shared" ca="1" si="19"/>
        <v>75.099086523535078</v>
      </c>
    </row>
    <row r="67" spans="2:37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692 kg N/ha</v>
      </c>
      <c r="R67" s="83">
        <f ca="1"/>
        <v>45925</v>
      </c>
      <c r="S67" s="55">
        <f t="shared" ca="1" si="11"/>
        <v>45925</v>
      </c>
      <c r="T67" s="55">
        <f t="shared" ca="1" si="0"/>
        <v>4727.2055905648749</v>
      </c>
      <c r="U67" s="55">
        <f t="shared" ca="1" si="1"/>
        <v>1115.8702806837873</v>
      </c>
      <c r="V67" s="55">
        <f t="shared" ca="1" si="2"/>
        <v>0</v>
      </c>
      <c r="W67" s="55">
        <f t="shared" ca="1" si="12"/>
        <v>-1496.1400218336732</v>
      </c>
      <c r="X67" s="55">
        <f t="shared" ca="1" si="13"/>
        <v>10.3376964909606</v>
      </c>
      <c r="Y67" s="55">
        <f t="shared" ca="1" si="14"/>
        <v>8.8971924668822808</v>
      </c>
      <c r="Z67">
        <f t="shared" ca="1" si="3"/>
        <v>120</v>
      </c>
      <c r="AA67">
        <f t="shared" ca="1" si="15"/>
        <v>76.001009191044815</v>
      </c>
      <c r="AB67">
        <f t="shared" ca="1" si="4"/>
        <v>0</v>
      </c>
      <c r="AC67">
        <f t="shared" ca="1" si="5"/>
        <v>0.97584504853369902</v>
      </c>
      <c r="AD67" s="83">
        <f ca="1"/>
        <v>46066</v>
      </c>
      <c r="AE67" s="55">
        <f t="shared" ca="1" si="20"/>
        <v>46066</v>
      </c>
      <c r="AF67" s="55">
        <f t="shared" ca="1" si="21"/>
        <v>4830.5066491508715</v>
      </c>
      <c r="AG67" s="55">
        <f t="shared" ca="1" si="22"/>
        <v>25.745601186239863</v>
      </c>
      <c r="AH67" s="55">
        <f t="shared" ca="1" si="23"/>
        <v>0</v>
      </c>
      <c r="AI67" s="55">
        <f t="shared" ca="1" si="17"/>
        <v>0</v>
      </c>
      <c r="AJ67" s="55">
        <f t="shared" ca="1" si="18"/>
        <v>10.61638618466379</v>
      </c>
      <c r="AK67" s="55">
        <f t="shared" ca="1" si="19"/>
        <v>75.605661289720416</v>
      </c>
    </row>
    <row r="68" spans="2:37" ht="15.75" thickBot="1">
      <c r="C68" s="131" t="s">
        <v>185</v>
      </c>
      <c r="D68" s="131"/>
      <c r="E68" s="131"/>
      <c r="F68" s="131"/>
      <c r="G68" s="131"/>
      <c r="H68" s="131"/>
      <c r="R68" s="83">
        <f ca="1"/>
        <v>45926</v>
      </c>
      <c r="S68" s="55">
        <f t="shared" ca="1" si="11"/>
        <v>45926</v>
      </c>
      <c r="T68" s="55">
        <f t="shared" ca="1" si="0"/>
        <v>4640.3355068741857</v>
      </c>
      <c r="U68" s="55">
        <f t="shared" ca="1" si="1"/>
        <v>1156.8959193132423</v>
      </c>
      <c r="V68" s="55">
        <f t="shared" ca="1" si="2"/>
        <v>0</v>
      </c>
      <c r="W68" s="55">
        <f t="shared" ca="1" si="12"/>
        <v>-1542.3954241761087</v>
      </c>
      <c r="X68" s="55">
        <f t="shared" ca="1" si="13"/>
        <v>10.565257810233717</v>
      </c>
      <c r="Y68" s="55">
        <f t="shared" ca="1" si="14"/>
        <v>9.0805884288104739</v>
      </c>
      <c r="Z68">
        <f t="shared" ca="1" si="3"/>
        <v>120</v>
      </c>
      <c r="AA68">
        <f t="shared" ca="1" si="15"/>
        <v>77.811009191044803</v>
      </c>
      <c r="AB68">
        <f t="shared" ca="1" si="4"/>
        <v>0</v>
      </c>
      <c r="AC68">
        <f t="shared" ca="1" si="5"/>
        <v>0.97989356257108173</v>
      </c>
      <c r="AD68" s="83">
        <f ca="1"/>
        <v>46067</v>
      </c>
      <c r="AE68" s="55">
        <f t="shared" ca="1" si="20"/>
        <v>46067</v>
      </c>
      <c r="AF68" s="55">
        <f t="shared" ca="1" si="21"/>
        <v>4829.5533094545472</v>
      </c>
      <c r="AG68" s="55">
        <f t="shared" ca="1" si="22"/>
        <v>27.386258484390503</v>
      </c>
      <c r="AH68" s="55">
        <f t="shared" ca="1" si="23"/>
        <v>0</v>
      </c>
      <c r="AI68" s="55">
        <f t="shared" ca="1" si="17"/>
        <v>0</v>
      </c>
      <c r="AJ68" s="55">
        <f t="shared" ca="1" si="18"/>
        <v>10.792183615724978</v>
      </c>
      <c r="AK68" s="55">
        <f t="shared" ca="1" si="19"/>
        <v>76.117181460485625</v>
      </c>
    </row>
    <row r="69" spans="2:37">
      <c r="C69" s="61"/>
      <c r="D69" s="88"/>
      <c r="E69" s="99"/>
      <c r="R69" s="83">
        <f ca="1"/>
        <v>45927</v>
      </c>
      <c r="S69" s="55">
        <f t="shared" ca="1" si="11"/>
        <v>45927</v>
      </c>
      <c r="T69" s="55">
        <f t="shared" ca="1" si="0"/>
        <v>4592.1470612502562</v>
      </c>
      <c r="U69" s="55">
        <f t="shared" ca="1" si="1"/>
        <v>1200.6989982053988</v>
      </c>
      <c r="V69" s="55">
        <f t="shared" ca="1" si="2"/>
        <v>0</v>
      </c>
      <c r="W69" s="55">
        <f t="shared" ca="1" si="12"/>
        <v>-1547.2005403764313</v>
      </c>
      <c r="X69" s="55">
        <f t="shared" ca="1" si="13"/>
        <v>10.80073722735743</v>
      </c>
      <c r="Y69" s="55">
        <f t="shared" ca="1" si="14"/>
        <v>9.2648584802362368</v>
      </c>
      <c r="Z69">
        <f t="shared" ca="1" si="3"/>
        <v>120</v>
      </c>
      <c r="AA69">
        <f t="shared" ca="1" si="15"/>
        <v>78.001009191044801</v>
      </c>
      <c r="AB69">
        <f t="shared" ca="1" si="4"/>
        <v>0</v>
      </c>
      <c r="AC69">
        <f t="shared" ca="1" si="5"/>
        <v>0.98336988435366313</v>
      </c>
      <c r="AD69" s="83">
        <f ca="1"/>
        <v>46068</v>
      </c>
      <c r="AE69" s="55">
        <f t="shared" ca="1" si="20"/>
        <v>46068</v>
      </c>
      <c r="AF69" s="55">
        <f t="shared" ca="1" si="21"/>
        <v>4828.5498878919489</v>
      </c>
      <c r="AG69" s="55">
        <f t="shared" ca="1" si="22"/>
        <v>29.095422727256238</v>
      </c>
      <c r="AH69" s="55">
        <f t="shared" ca="1" si="23"/>
        <v>0</v>
      </c>
      <c r="AI69" s="55">
        <f t="shared" ca="1" si="17"/>
        <v>0</v>
      </c>
      <c r="AJ69" s="55">
        <f t="shared" ca="1" si="18"/>
        <v>10.966770731398059</v>
      </c>
      <c r="AK69" s="55">
        <f t="shared" ca="1" si="19"/>
        <v>76.648337025080167</v>
      </c>
    </row>
    <row r="70" spans="2:37">
      <c r="C70" s="61"/>
      <c r="D70" s="84"/>
      <c r="E70" s="69"/>
      <c r="R70" s="83">
        <f ca="1"/>
        <v>45928</v>
      </c>
      <c r="S70" s="55">
        <f t="shared" ca="1" si="11"/>
        <v>45928</v>
      </c>
      <c r="T70" s="55">
        <f t="shared" ca="1" si="0"/>
        <v>4501.1523189335212</v>
      </c>
      <c r="U70" s="55">
        <f t="shared" ca="1" si="1"/>
        <v>1247.2522104634836</v>
      </c>
      <c r="V70" s="55">
        <f t="shared" ca="1" si="2"/>
        <v>0</v>
      </c>
      <c r="W70" s="55">
        <f t="shared" ca="1" si="12"/>
        <v>-1592.068548564293</v>
      </c>
      <c r="X70" s="55">
        <f t="shared" ca="1" si="13"/>
        <v>11.04301509951631</v>
      </c>
      <c r="Y70" s="55">
        <f t="shared" ca="1" si="14"/>
        <v>9.449058737288242</v>
      </c>
      <c r="Z70">
        <f t="shared" ca="1" si="3"/>
        <v>120</v>
      </c>
      <c r="AA70">
        <f t="shared" ca="1" si="15"/>
        <v>79.811009191044789</v>
      </c>
      <c r="AB70">
        <f t="shared" ca="1" si="4"/>
        <v>0</v>
      </c>
      <c r="AC70">
        <f t="shared" ca="1" si="5"/>
        <v>0.98631939103200139</v>
      </c>
      <c r="AD70" s="83">
        <f ca="1"/>
        <v>46069</v>
      </c>
      <c r="AE70" s="55">
        <f t="shared" ca="1" si="20"/>
        <v>46069</v>
      </c>
      <c r="AF70" s="55">
        <f t="shared" ca="1" si="21"/>
        <v>4827.4565809790756</v>
      </c>
      <c r="AG70" s="55">
        <f t="shared" ca="1" si="22"/>
        <v>30.889749092402585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11.138681840612209</v>
      </c>
      <c r="AK70" s="55">
        <f t="shared" ca="1" si="19"/>
        <v>77.177445368138791</v>
      </c>
    </row>
    <row r="71" spans="2:37">
      <c r="C71" s="61"/>
      <c r="D71" s="84"/>
      <c r="E71" s="69"/>
      <c r="R71" s="83">
        <f ca="1"/>
        <v>45929</v>
      </c>
      <c r="S71" s="55">
        <f t="shared" ca="1" si="11"/>
        <v>45929</v>
      </c>
      <c r="T71" s="55">
        <f t="shared" ca="1" si="0"/>
        <v>4426.6723810530639</v>
      </c>
      <c r="U71" s="55">
        <f t="shared" ca="1" si="1"/>
        <v>1296.8120624545347</v>
      </c>
      <c r="V71" s="55">
        <f t="shared" ca="1" si="2"/>
        <v>0</v>
      </c>
      <c r="W71" s="55">
        <f t="shared" ca="1" si="12"/>
        <v>-1617.4224750134551</v>
      </c>
      <c r="X71" s="55">
        <f t="shared" ca="1" si="13"/>
        <v>11.292647626584095</v>
      </c>
      <c r="Y71" s="55">
        <f t="shared" ca="1" si="14"/>
        <v>9.6332667699762986</v>
      </c>
      <c r="Z71">
        <f t="shared" ca="1" si="3"/>
        <v>120</v>
      </c>
      <c r="AA71">
        <f t="shared" ca="1" si="15"/>
        <v>80.851009191044795</v>
      </c>
      <c r="AB71">
        <f t="shared" ca="1" si="4"/>
        <v>0</v>
      </c>
      <c r="AC71">
        <f t="shared" ca="1" si="5"/>
        <v>0.98880909746477819</v>
      </c>
      <c r="AD71" s="83">
        <f ca="1"/>
        <v>46070</v>
      </c>
      <c r="AE71" s="55">
        <f t="shared" ca="1" si="20"/>
        <v>46070</v>
      </c>
      <c r="AF71" s="55">
        <f t="shared" ca="1" si="21"/>
        <v>4826.3385259352517</v>
      </c>
      <c r="AG71" s="55">
        <f t="shared" ca="1" si="22"/>
        <v>32.787988555697218</v>
      </c>
      <c r="AH71" s="55">
        <f t="shared" ca="1" si="23"/>
        <v>0</v>
      </c>
      <c r="AI71" s="55">
        <f t="shared" ca="1" si="17"/>
        <v>0</v>
      </c>
      <c r="AJ71" s="55">
        <f t="shared" ca="1" si="18"/>
        <v>11.317744093854317</v>
      </c>
      <c r="AK71" s="55">
        <f t="shared" ca="1" si="19"/>
        <v>77.778567534368193</v>
      </c>
    </row>
    <row r="72" spans="2:37">
      <c r="C72" s="61"/>
      <c r="D72" s="84">
        <v>120</v>
      </c>
      <c r="E72" s="69">
        <v>120</v>
      </c>
      <c r="R72" s="83">
        <f ca="1"/>
        <v>45930</v>
      </c>
      <c r="S72" s="55">
        <f t="shared" ca="1" si="11"/>
        <v>45930</v>
      </c>
      <c r="T72" s="55">
        <f t="shared" ca="1" si="0"/>
        <v>4308.9344516553138</v>
      </c>
      <c r="U72" s="55">
        <f t="shared" ca="1" si="1"/>
        <v>1347.8187491719518</v>
      </c>
      <c r="V72" s="55">
        <f t="shared" ca="1" si="2"/>
        <v>0</v>
      </c>
      <c r="W72" s="55">
        <f t="shared" ca="1" si="12"/>
        <v>-1684.579404133892</v>
      </c>
      <c r="X72" s="55">
        <f t="shared" ca="1" si="13"/>
        <v>11.5398858759939</v>
      </c>
      <c r="Y72" s="55">
        <f t="shared" ca="1" si="14"/>
        <v>9.8117149606708676</v>
      </c>
      <c r="Z72">
        <f t="shared" ca="1" si="3"/>
        <v>120</v>
      </c>
      <c r="AA72">
        <f t="shared" ca="1" si="15"/>
        <v>83.681009191044808</v>
      </c>
      <c r="AB72">
        <f t="shared" ca="1" si="4"/>
        <v>0</v>
      </c>
      <c r="AC72">
        <f t="shared" ca="1" si="5"/>
        <v>0.99083473747445505</v>
      </c>
      <c r="AD72" s="83">
        <f ca="1"/>
        <v>46071</v>
      </c>
      <c r="AE72" s="55">
        <f t="shared" ca="1" si="20"/>
        <v>46071</v>
      </c>
      <c r="AF72" s="55">
        <f t="shared" ca="1" si="21"/>
        <v>4825.0861390842747</v>
      </c>
      <c r="AG72" s="55">
        <f t="shared" ca="1" si="22"/>
        <v>34.81241808097402</v>
      </c>
      <c r="AH72" s="55">
        <f t="shared" ca="1" si="23"/>
        <v>0</v>
      </c>
      <c r="AI72" s="55">
        <f t="shared" ca="1" si="17"/>
        <v>0</v>
      </c>
      <c r="AJ72" s="55">
        <f t="shared" ca="1" si="18"/>
        <v>11.495387239470073</v>
      </c>
      <c r="AK72" s="55">
        <f t="shared" ca="1" si="19"/>
        <v>78.372967063052812</v>
      </c>
    </row>
    <row r="73" spans="2:37">
      <c r="R73" s="83">
        <f ca="1"/>
        <v>45931</v>
      </c>
      <c r="S73" s="55">
        <f t="shared" ca="1" si="11"/>
        <v>45931</v>
      </c>
      <c r="T73" s="55">
        <f t="shared" ca="1" si="0"/>
        <v>4154.7110063179771</v>
      </c>
      <c r="U73" s="55">
        <f t="shared" ca="1" si="1"/>
        <v>1399.7194580898156</v>
      </c>
      <c r="V73" s="55">
        <f t="shared" ca="1" si="2"/>
        <v>0</v>
      </c>
      <c r="W73" s="55">
        <f t="shared" ca="1" si="12"/>
        <v>-1787.3151710756274</v>
      </c>
      <c r="X73" s="55">
        <f t="shared" ca="1" si="13"/>
        <v>11.781735338423362</v>
      </c>
      <c r="Y73" s="55">
        <f t="shared" ca="1" si="14"/>
        <v>9.9828960205035902</v>
      </c>
      <c r="Z73">
        <f t="shared" ca="1" si="3"/>
        <v>120</v>
      </c>
      <c r="AA73">
        <f t="shared" ca="1" si="15"/>
        <v>88.171009191044817</v>
      </c>
      <c r="AB73">
        <f t="shared" ca="1" si="4"/>
        <v>0</v>
      </c>
      <c r="AC73">
        <f t="shared" ca="1" si="5"/>
        <v>0.99246814768000335</v>
      </c>
      <c r="AD73" s="83">
        <f ca="1"/>
        <v>46072</v>
      </c>
      <c r="AE73" s="55">
        <f t="shared" ca="1" si="20"/>
        <v>46072</v>
      </c>
      <c r="AF73" s="55">
        <f t="shared" ca="1" si="21"/>
        <v>4823.7086371757277</v>
      </c>
      <c r="AG73" s="55">
        <f t="shared" ca="1" si="22"/>
        <v>36.949661930951727</v>
      </c>
      <c r="AH73" s="55">
        <f t="shared" ca="1" si="23"/>
        <v>0</v>
      </c>
      <c r="AI73" s="55">
        <f t="shared" ca="1" si="17"/>
        <v>0</v>
      </c>
      <c r="AJ73" s="55">
        <f t="shared" ca="1" si="18"/>
        <v>11.670469481986583</v>
      </c>
      <c r="AK73" s="55">
        <f t="shared" ca="1" si="19"/>
        <v>78.957626761967191</v>
      </c>
    </row>
    <row r="74" spans="2:37">
      <c r="R74" s="83">
        <f ca="1"/>
        <v>45932</v>
      </c>
      <c r="S74" s="55">
        <f t="shared" ca="1" si="11"/>
        <v>45932</v>
      </c>
      <c r="T74" s="55">
        <f t="shared" ca="1" si="0"/>
        <v>4060.7301240755355</v>
      </c>
      <c r="U74" s="55">
        <f t="shared" ca="1" si="1"/>
        <v>1453.1815233288564</v>
      </c>
      <c r="V74" s="55">
        <f t="shared" ca="1" si="2"/>
        <v>0</v>
      </c>
      <c r="W74" s="55">
        <f t="shared" ca="1" si="12"/>
        <v>-1828.2402685869624</v>
      </c>
      <c r="X74" s="55">
        <f t="shared" ca="1" si="13"/>
        <v>12.021875840570127</v>
      </c>
      <c r="Y74" s="55">
        <f t="shared" ca="1" si="14"/>
        <v>10.149036026291689</v>
      </c>
      <c r="Z74">
        <f t="shared" ca="1" si="3"/>
        <v>120</v>
      </c>
      <c r="AA74">
        <f t="shared" ca="1" si="15"/>
        <v>90.001009191044815</v>
      </c>
      <c r="AB74">
        <f t="shared" ca="1" si="4"/>
        <v>0</v>
      </c>
      <c r="AC74">
        <f t="shared" ca="1" si="5"/>
        <v>0.99380479045240488</v>
      </c>
      <c r="AD74" s="83">
        <f ca="1"/>
        <v>46073</v>
      </c>
      <c r="AE74" s="55">
        <f t="shared" ca="1" si="20"/>
        <v>46073</v>
      </c>
      <c r="AF74" s="55">
        <f t="shared" ca="1" si="21"/>
        <v>4822.2660677459289</v>
      </c>
      <c r="AG74" s="55">
        <f t="shared" ca="1" si="22"/>
        <v>39.218931149107952</v>
      </c>
      <c r="AH74" s="55">
        <f t="shared" ca="1" si="23"/>
        <v>0</v>
      </c>
      <c r="AI74" s="55">
        <f t="shared" ca="1" si="17"/>
        <v>0</v>
      </c>
      <c r="AJ74" s="55">
        <f t="shared" ca="1" si="18"/>
        <v>11.851701442710082</v>
      </c>
      <c r="AK74" s="55">
        <f t="shared" ca="1" si="19"/>
        <v>79.603094589601</v>
      </c>
    </row>
    <row r="75" spans="2:37">
      <c r="R75" s="83">
        <f ca="1"/>
        <v>45933</v>
      </c>
      <c r="S75" s="55">
        <f t="shared" ca="1" si="11"/>
        <v>45933</v>
      </c>
      <c r="T75" s="55">
        <f t="shared" ca="1" si="0"/>
        <v>3955.424495566419</v>
      </c>
      <c r="U75" s="55">
        <f t="shared" ca="1" si="1"/>
        <v>1509.8863315431861</v>
      </c>
      <c r="V75" s="55">
        <f t="shared" ca="1" si="2"/>
        <v>0</v>
      </c>
      <c r="W75" s="55">
        <f t="shared" ca="1" si="12"/>
        <v>-1877.2531373363724</v>
      </c>
      <c r="X75" s="55">
        <f t="shared" ca="1" si="13"/>
        <v>12.268463568759099</v>
      </c>
      <c r="Y75" s="55">
        <f t="shared" ca="1" si="14"/>
        <v>10.314496752725836</v>
      </c>
      <c r="Z75">
        <f t="shared" ca="1" si="3"/>
        <v>120</v>
      </c>
      <c r="AA75">
        <f t="shared" ca="1" si="15"/>
        <v>92.251009191044815</v>
      </c>
      <c r="AB75">
        <f t="shared" ca="1" si="4"/>
        <v>0</v>
      </c>
      <c r="AC75">
        <f t="shared" ca="1" si="5"/>
        <v>0.99492850647473463</v>
      </c>
      <c r="AD75" s="83">
        <f ca="1"/>
        <v>46074</v>
      </c>
      <c r="AE75" s="55">
        <f t="shared" ca="1" si="20"/>
        <v>46074</v>
      </c>
      <c r="AF75" s="55">
        <f t="shared" ca="1" si="21"/>
        <v>4820.7398299109418</v>
      </c>
      <c r="AG75" s="55">
        <f t="shared" ca="1" si="22"/>
        <v>41.600253390817862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12.033985786915165</v>
      </c>
      <c r="AK75" s="55">
        <f t="shared" ca="1" si="19"/>
        <v>80.275894652118637</v>
      </c>
    </row>
    <row r="76" spans="2:37">
      <c r="R76" s="83">
        <f ca="1"/>
        <v>45934</v>
      </c>
      <c r="S76" s="55">
        <f t="shared" ca="1" si="11"/>
        <v>45934</v>
      </c>
      <c r="T76" s="55">
        <f t="shared" ca="1" si="0"/>
        <v>3898.7855184580112</v>
      </c>
      <c r="U76" s="55">
        <f t="shared" ca="1" si="1"/>
        <v>1566.9205823396669</v>
      </c>
      <c r="V76" s="55">
        <f t="shared" ca="1" si="2"/>
        <v>0</v>
      </c>
      <c r="W76" s="55">
        <f t="shared" ca="1" si="12"/>
        <v>-1877.2531373363724</v>
      </c>
      <c r="X76" s="55">
        <f t="shared" ca="1" si="13"/>
        <v>12.506690432595072</v>
      </c>
      <c r="Y76" s="55">
        <f t="shared" ca="1" si="14"/>
        <v>10.471543576962466</v>
      </c>
      <c r="Z76">
        <f t="shared" ca="1" si="3"/>
        <v>119.51304347826087</v>
      </c>
      <c r="AA76">
        <f t="shared" ca="1" si="15"/>
        <v>92.251009191044815</v>
      </c>
      <c r="AB76">
        <f t="shared" ca="1" si="4"/>
        <v>0</v>
      </c>
      <c r="AC76">
        <f t="shared" ca="1" si="5"/>
        <v>0.99582467042934653</v>
      </c>
      <c r="AD76" s="83">
        <f ca="1"/>
        <v>46075</v>
      </c>
      <c r="AE76" s="55">
        <f t="shared" ca="1" si="20"/>
        <v>46075</v>
      </c>
      <c r="AF76" s="55">
        <f t="shared" ca="1" si="21"/>
        <v>4819.0952005969202</v>
      </c>
      <c r="AG76" s="55">
        <f t="shared" ca="1" si="22"/>
        <v>44.071635235590563</v>
      </c>
      <c r="AH76" s="55">
        <f t="shared" ca="1" si="23"/>
        <v>0</v>
      </c>
      <c r="AI76" s="55">
        <f t="shared" ca="1" si="17"/>
        <v>0</v>
      </c>
      <c r="AJ76" s="55">
        <f t="shared" ca="1" si="18"/>
        <v>12.210706292859584</v>
      </c>
      <c r="AK76" s="55">
        <f t="shared" ca="1" si="19"/>
        <v>80.9259266769254</v>
      </c>
    </row>
    <row r="77" spans="2:37">
      <c r="R77" s="83">
        <f ca="1"/>
        <v>45935</v>
      </c>
      <c r="S77" s="55">
        <f t="shared" ca="1" si="11"/>
        <v>45935</v>
      </c>
      <c r="T77" s="55">
        <f t="shared" ca="1" si="0"/>
        <v>3823.5454782488496</v>
      </c>
      <c r="U77" s="55">
        <f t="shared" ca="1" si="1"/>
        <v>1626.127424145956</v>
      </c>
      <c r="V77" s="55">
        <f t="shared" ca="1" si="2"/>
        <v>0</v>
      </c>
      <c r="W77" s="55">
        <f t="shared" ca="1" si="12"/>
        <v>-1893.6786629301612</v>
      </c>
      <c r="X77" s="55">
        <f t="shared" ca="1" si="13"/>
        <v>12.745554124380684</v>
      </c>
      <c r="Y77" s="55">
        <f t="shared" ca="1" si="14"/>
        <v>10.625007076093006</v>
      </c>
      <c r="Z77">
        <f t="shared" ca="1" si="3"/>
        <v>120</v>
      </c>
      <c r="AA77">
        <f t="shared" ca="1" si="15"/>
        <v>93.031052128747547</v>
      </c>
      <c r="AB77">
        <f t="shared" ca="1" si="4"/>
        <v>0</v>
      </c>
      <c r="AC77">
        <f t="shared" ca="1" si="5"/>
        <v>0.99656458547238058</v>
      </c>
      <c r="AD77" s="83">
        <f ca="1"/>
        <v>46076</v>
      </c>
      <c r="AE77" s="55">
        <f t="shared" ca="1" si="20"/>
        <v>46076</v>
      </c>
      <c r="AF77" s="55">
        <f t="shared" ca="1" si="21"/>
        <v>4817.3575623260895</v>
      </c>
      <c r="AG77" s="55">
        <f t="shared" ca="1" si="22"/>
        <v>46.669462569394696</v>
      </c>
      <c r="AH77" s="55">
        <f t="shared" ca="1" si="23"/>
        <v>0</v>
      </c>
      <c r="AI77" s="55">
        <f t="shared" ca="1" si="17"/>
        <v>0</v>
      </c>
      <c r="AJ77" s="55">
        <f t="shared" ca="1" si="18"/>
        <v>12.389533525675754</v>
      </c>
      <c r="AK77" s="55">
        <f t="shared" ca="1" si="19"/>
        <v>81.607288507082529</v>
      </c>
    </row>
    <row r="78" spans="2:37">
      <c r="R78" s="83">
        <f ca="1"/>
        <v>45936</v>
      </c>
      <c r="S78" s="55">
        <f t="shared" ca="1" si="11"/>
        <v>45936</v>
      </c>
      <c r="T78" s="55">
        <f t="shared" ca="1" si="0"/>
        <v>3762.0442874756045</v>
      </c>
      <c r="U78" s="55">
        <f t="shared" ca="1" si="1"/>
        <v>1688.0208711641674</v>
      </c>
      <c r="V78" s="55">
        <f t="shared" ca="1" si="2"/>
        <v>0</v>
      </c>
      <c r="W78" s="55">
        <f t="shared" ca="1" si="12"/>
        <v>-1893.6786629301612</v>
      </c>
      <c r="X78" s="55">
        <f t="shared" ca="1" si="13"/>
        <v>12.986975645040699</v>
      </c>
      <c r="Y78" s="55">
        <f t="shared" ca="1" si="14"/>
        <v>10.775841800399579</v>
      </c>
      <c r="Z78">
        <f t="shared" ca="1" si="3"/>
        <v>119.65217391304347</v>
      </c>
      <c r="AA78">
        <f t="shared" ca="1" si="15"/>
        <v>93.031052128747547</v>
      </c>
      <c r="AB78">
        <f t="shared" ca="1" si="4"/>
        <v>0</v>
      </c>
      <c r="AC78">
        <f t="shared" ca="1" si="5"/>
        <v>0.99717888787616604</v>
      </c>
      <c r="AD78" s="83">
        <f ca="1"/>
        <v>46077</v>
      </c>
      <c r="AE78" s="55">
        <f t="shared" ca="1" si="20"/>
        <v>46077</v>
      </c>
      <c r="AF78" s="55">
        <f t="shared" ca="1" si="21"/>
        <v>4815.535629102299</v>
      </c>
      <c r="AG78" s="55">
        <f t="shared" ca="1" si="22"/>
        <v>49.315308358680817</v>
      </c>
      <c r="AH78" s="55">
        <f t="shared" ca="1" si="23"/>
        <v>0</v>
      </c>
      <c r="AI78" s="55">
        <f t="shared" ca="1" si="17"/>
        <v>0</v>
      </c>
      <c r="AJ78" s="55">
        <f t="shared" ca="1" si="18"/>
        <v>12.560793176058139</v>
      </c>
      <c r="AK78" s="55">
        <f t="shared" ca="1" si="19"/>
        <v>82.259941422195567</v>
      </c>
    </row>
    <row r="79" spans="2:37">
      <c r="R79" s="83">
        <f ca="1"/>
        <v>45937</v>
      </c>
      <c r="S79" s="55">
        <f t="shared" ca="1" si="11"/>
        <v>45937</v>
      </c>
      <c r="T79" s="55">
        <f t="shared" ca="1" si="0"/>
        <v>3699.5243663982419</v>
      </c>
      <c r="U79" s="55">
        <f t="shared" ca="1" si="1"/>
        <v>1750.9216857192964</v>
      </c>
      <c r="V79" s="55">
        <f t="shared" ca="1" si="2"/>
        <v>0</v>
      </c>
      <c r="W79" s="55">
        <f t="shared" ca="1" si="12"/>
        <v>-1893.6786629301612</v>
      </c>
      <c r="X79" s="55">
        <f t="shared" ca="1" si="13"/>
        <v>13.223298329943846</v>
      </c>
      <c r="Y79" s="55">
        <f t="shared" ca="1" si="14"/>
        <v>10.920412593262355</v>
      </c>
      <c r="Z79">
        <f t="shared" ca="1" si="3"/>
        <v>119.28698957061246</v>
      </c>
      <c r="AA79">
        <f t="shared" ca="1" si="15"/>
        <v>93.031052128747547</v>
      </c>
      <c r="AB79">
        <f t="shared" ca="1" si="4"/>
        <v>0</v>
      </c>
      <c r="AC79">
        <f t="shared" ca="1" si="5"/>
        <v>0.9976751523932964</v>
      </c>
      <c r="AD79" s="83">
        <f ca="1"/>
        <v>46078</v>
      </c>
      <c r="AE79" s="55">
        <f t="shared" ca="1" si="20"/>
        <v>46078</v>
      </c>
      <c r="AF79" s="55">
        <f t="shared" ca="1" si="21"/>
        <v>4813.6314784031665</v>
      </c>
      <c r="AG79" s="55">
        <f t="shared" ca="1" si="22"/>
        <v>51.988934888754883</v>
      </c>
      <c r="AH79" s="55">
        <f t="shared" ca="1" si="23"/>
        <v>0</v>
      </c>
      <c r="AI79" s="55">
        <f t="shared" ca="1" si="17"/>
        <v>0</v>
      </c>
      <c r="AJ79" s="55">
        <f t="shared" ca="1" si="18"/>
        <v>12.722694276520034</v>
      </c>
      <c r="AK79" s="55">
        <f t="shared" ca="1" si="19"/>
        <v>82.867516152674654</v>
      </c>
    </row>
    <row r="80" spans="2:37">
      <c r="R80" s="83">
        <f ca="1"/>
        <v>45938</v>
      </c>
      <c r="S80" s="55">
        <f t="shared" ca="1" si="11"/>
        <v>45938</v>
      </c>
      <c r="T80" s="55">
        <f t="shared" ca="1" si="0"/>
        <v>3611.7937129101415</v>
      </c>
      <c r="U80" s="55">
        <f t="shared" ca="1" si="1"/>
        <v>1819.7568682940303</v>
      </c>
      <c r="V80" s="55">
        <f t="shared" ca="1" si="2"/>
        <v>0</v>
      </c>
      <c r="W80" s="55">
        <f t="shared" ca="1" si="12"/>
        <v>-1912.9739500611404</v>
      </c>
      <c r="X80" s="55">
        <f t="shared" ca="1" si="13"/>
        <v>13.475119800546931</v>
      </c>
      <c r="Y80" s="55">
        <f t="shared" ca="1" si="14"/>
        <v>11.06840734027211</v>
      </c>
      <c r="Z80">
        <f t="shared" ca="1" si="3"/>
        <v>120</v>
      </c>
      <c r="AA80">
        <f t="shared" ca="1" si="15"/>
        <v>94.00110141863118</v>
      </c>
      <c r="AB80">
        <f t="shared" ca="1" si="4"/>
        <v>0</v>
      </c>
      <c r="AC80">
        <f t="shared" ca="1" si="5"/>
        <v>0.99810510038527467</v>
      </c>
      <c r="AD80" s="83">
        <f ca="1"/>
        <v>46079</v>
      </c>
      <c r="AE80" s="55">
        <f t="shared" ca="1" si="20"/>
        <v>46079</v>
      </c>
      <c r="AF80" s="55">
        <f t="shared" ca="1" si="21"/>
        <v>4811.5879722029995</v>
      </c>
      <c r="AG80" s="55">
        <f t="shared" ca="1" si="22"/>
        <v>54.80926743901454</v>
      </c>
      <c r="AH80" s="55">
        <f t="shared" ca="1" si="23"/>
        <v>0</v>
      </c>
      <c r="AI80" s="55">
        <f t="shared" ca="1" si="17"/>
        <v>0</v>
      </c>
      <c r="AJ80" s="55">
        <f t="shared" ca="1" si="18"/>
        <v>12.885377271703144</v>
      </c>
      <c r="AK80" s="55">
        <f t="shared" ca="1" si="19"/>
        <v>83.481659507584396</v>
      </c>
    </row>
    <row r="81" spans="18:37">
      <c r="R81" s="83">
        <f ca="1"/>
        <v>45939</v>
      </c>
      <c r="S81" s="55">
        <f t="shared" ca="1" si="11"/>
        <v>45939</v>
      </c>
      <c r="T81" s="55">
        <f t="shared" ca="1" si="0"/>
        <v>3510.3178072745436</v>
      </c>
      <c r="U81" s="55">
        <f t="shared" ca="1" si="1"/>
        <v>1892.2503795201594</v>
      </c>
      <c r="V81" s="55">
        <f t="shared" ca="1" si="2"/>
        <v>0</v>
      </c>
      <c r="W81" s="55">
        <f t="shared" ca="1" si="12"/>
        <v>-1942.358871300007</v>
      </c>
      <c r="X81" s="55">
        <f t="shared" ca="1" si="13"/>
        <v>13.731576318248756</v>
      </c>
      <c r="Y81" s="55">
        <f t="shared" ca="1" si="14"/>
        <v>11.214477651967849</v>
      </c>
      <c r="Z81">
        <f t="shared" ca="1" si="3"/>
        <v>120</v>
      </c>
      <c r="AA81">
        <f t="shared" ca="1" si="15"/>
        <v>95.52110141863119</v>
      </c>
      <c r="AB81">
        <f t="shared" ca="1" si="4"/>
        <v>0</v>
      </c>
      <c r="AC81">
        <f t="shared" ca="1" si="5"/>
        <v>0.99846057326553339</v>
      </c>
      <c r="AD81" s="83">
        <f ca="1"/>
        <v>46080</v>
      </c>
      <c r="AE81" s="55">
        <f t="shared" ca="1" si="20"/>
        <v>46080</v>
      </c>
      <c r="AF81" s="55">
        <f t="shared" ca="1" si="21"/>
        <v>4809.3840404760294</v>
      </c>
      <c r="AG81" s="55">
        <f t="shared" ca="1" si="22"/>
        <v>57.782779677659754</v>
      </c>
      <c r="AH81" s="55">
        <f t="shared" ca="1" si="23"/>
        <v>0</v>
      </c>
      <c r="AI81" s="55">
        <f t="shared" ca="1" si="17"/>
        <v>0</v>
      </c>
      <c r="AJ81" s="55">
        <f t="shared" ca="1" si="18"/>
        <v>13.047612357891344</v>
      </c>
      <c r="AK81" s="55">
        <f t="shared" ca="1" si="19"/>
        <v>84.089004933071664</v>
      </c>
    </row>
    <row r="82" spans="18:37">
      <c r="R82" s="83">
        <f ca="1"/>
        <v>45940</v>
      </c>
      <c r="S82" s="55">
        <f t="shared" ca="1" si="11"/>
        <v>45940</v>
      </c>
      <c r="T82" s="55">
        <f t="shared" ref="T82:T145" ca="1" si="27">VLOOKUP(S82,ModelOutputs,2,FALSE)</f>
        <v>3407.6865978680025</v>
      </c>
      <c r="U82" s="55">
        <f t="shared" ref="U82:U145" ca="1" si="28">VLOOKUP(S82,ModelOutputs,7,FALSE)</f>
        <v>1963.3534134012887</v>
      </c>
      <c r="V82" s="55">
        <f t="shared" ref="V82:V145" ca="1" si="29">VLOOKUP(S82,ModelOutputs,6,FALSE)</f>
        <v>0</v>
      </c>
      <c r="W82" s="55">
        <f t="shared" ca="1" si="12"/>
        <v>-1974.2627197380173</v>
      </c>
      <c r="X82" s="55">
        <f t="shared" ca="1" si="13"/>
        <v>13.972143358864242</v>
      </c>
      <c r="Y82" s="55">
        <f t="shared" ca="1" si="14"/>
        <v>11.349583523950875</v>
      </c>
      <c r="Z82">
        <f t="shared" ref="Z82:Z145" ca="1" si="30">VLOOKUP(S82,ModelOutputs,10,FALSE)*AWC</f>
        <v>120</v>
      </c>
      <c r="AA82">
        <f t="shared" ca="1" si="15"/>
        <v>97.221101418631179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0.99873550752276674</v>
      </c>
      <c r="AD82" s="83">
        <f ca="1"/>
        <v>46081</v>
      </c>
      <c r="AE82" s="55">
        <f t="shared" ca="1" si="20"/>
        <v>46081</v>
      </c>
      <c r="AF82" s="55">
        <f t="shared" ca="1" si="21"/>
        <v>4807.1437424254218</v>
      </c>
      <c r="AG82" s="55">
        <f t="shared" ca="1" si="22"/>
        <v>60.826724749648363</v>
      </c>
      <c r="AH82" s="55">
        <f t="shared" ca="1" si="23"/>
        <v>0</v>
      </c>
      <c r="AI82" s="55">
        <f t="shared" ca="1" si="17"/>
        <v>0</v>
      </c>
      <c r="AJ82" s="55">
        <f t="shared" ca="1" si="18"/>
        <v>13.210330282304072</v>
      </c>
      <c r="AK82" s="55">
        <f t="shared" ca="1" si="19"/>
        <v>84.729934030040198</v>
      </c>
    </row>
    <row r="83" spans="18:37">
      <c r="R83" s="83">
        <f ca="1"/>
        <v>45941</v>
      </c>
      <c r="S83" s="55">
        <f t="shared" ref="S83:S146" ca="1" si="33">IF(R83&gt;1,R83,"")</f>
        <v>45941</v>
      </c>
      <c r="T83" s="55">
        <f t="shared" ca="1" si="27"/>
        <v>3332.9246018421936</v>
      </c>
      <c r="U83" s="55">
        <f t="shared" ca="1" si="28"/>
        <v>2038.4957405367459</v>
      </c>
      <c r="V83" s="55">
        <f t="shared" ca="1" si="29"/>
        <v>0</v>
      </c>
      <c r="W83" s="55">
        <f t="shared" ref="W83:W146" ca="1" si="34">-VLOOKUP(S83,ModelOutputs,9,FALSE)+W82</f>
        <v>-1974.2627197380173</v>
      </c>
      <c r="X83" s="55">
        <f t="shared" ref="X83:X146" ca="1" si="35">VLOOKUP(S83,ModelOutputs,5,FALSE)+X82</f>
        <v>14.218514481159831</v>
      </c>
      <c r="Y83" s="55">
        <f t="shared" ref="Y83:Y146" ca="1" si="36">VLOOKUP(S83,ModelOutputs,4,FALSE)+Y82</f>
        <v>11.483543511303914</v>
      </c>
      <c r="Z83">
        <f t="shared" ca="1" si="30"/>
        <v>119.09565217391302</v>
      </c>
      <c r="AA83">
        <f t="shared" ref="AA83:AA146" ca="1" si="37">VLOOKUP(S83,ModelOutputs,11,FALSE)+AA82</f>
        <v>97.221101418631179</v>
      </c>
      <c r="AB83">
        <f t="shared" ca="1" si="31"/>
        <v>0</v>
      </c>
      <c r="AC83">
        <f t="shared" ca="1" si="32"/>
        <v>0.99896564071531713</v>
      </c>
      <c r="AD83" s="83">
        <f ca="1"/>
        <v>46082</v>
      </c>
      <c r="AE83" s="55">
        <f t="shared" ca="1" si="20"/>
        <v>46082</v>
      </c>
      <c r="AF83" s="55">
        <f t="shared" ca="1" si="21"/>
        <v>4804.8285229768981</v>
      </c>
      <c r="AG83" s="55">
        <f t="shared" ca="1" si="22"/>
        <v>64.0167281974079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13.379339111890324</v>
      </c>
      <c r="AK83" s="55">
        <f t="shared" ref="AK83:AK146" ca="1" si="40">VLOOKUP(AE83,ModelOutputs,4,FALSE)+AK82</f>
        <v>85.435709199689114</v>
      </c>
    </row>
    <row r="84" spans="18:37">
      <c r="R84" s="83">
        <f ca="1"/>
        <v>45942</v>
      </c>
      <c r="S84" s="55">
        <f t="shared" ca="1" si="33"/>
        <v>45942</v>
      </c>
      <c r="T84" s="55">
        <f t="shared" ca="1" si="27"/>
        <v>3217.9031902369934</v>
      </c>
      <c r="U84" s="55">
        <f t="shared" ca="1" si="28"/>
        <v>2119.3518284402207</v>
      </c>
      <c r="V84" s="55">
        <f t="shared" ca="1" si="29"/>
        <v>0</v>
      </c>
      <c r="W84" s="55">
        <f t="shared" ca="1" si="34"/>
        <v>-2008.8205292320763</v>
      </c>
      <c r="X84" s="55">
        <f t="shared" ca="1" si="35"/>
        <v>14.476082231327172</v>
      </c>
      <c r="Y84" s="55">
        <f t="shared" ca="1" si="36"/>
        <v>11.618461553470496</v>
      </c>
      <c r="Z84">
        <f t="shared" ca="1" si="30"/>
        <v>120</v>
      </c>
      <c r="AA84">
        <f t="shared" ca="1" si="37"/>
        <v>99.171119893496339</v>
      </c>
      <c r="AB84">
        <f t="shared" ca="1" si="31"/>
        <v>0</v>
      </c>
      <c r="AC84">
        <f t="shared" ca="1" si="32"/>
        <v>0.99916045462594305</v>
      </c>
      <c r="AD84" s="83">
        <f ca="1"/>
        <v>46083</v>
      </c>
      <c r="AE84" s="55">
        <f t="shared" ca="1" si="20"/>
        <v>46083</v>
      </c>
      <c r="AF84" s="55">
        <f t="shared" ca="1" si="21"/>
        <v>4802.3099251554422</v>
      </c>
      <c r="AG84" s="55">
        <f t="shared" ca="1" si="22"/>
        <v>67.441441699104601</v>
      </c>
      <c r="AH84" s="55">
        <f t="shared" ca="1" si="23"/>
        <v>0</v>
      </c>
      <c r="AI84" s="55">
        <f t="shared" ca="1" si="38"/>
        <v>0</v>
      </c>
      <c r="AJ84" s="55">
        <f t="shared" ca="1" si="39"/>
        <v>13.553265314097739</v>
      </c>
      <c r="AK84" s="55">
        <f t="shared" ca="1" si="40"/>
        <v>86.167898677722434</v>
      </c>
    </row>
    <row r="85" spans="18:37">
      <c r="R85" s="83">
        <f ca="1"/>
        <v>45943</v>
      </c>
      <c r="S85" s="55">
        <f t="shared" ca="1" si="33"/>
        <v>45943</v>
      </c>
      <c r="T85" s="55">
        <f t="shared" ca="1" si="27"/>
        <v>3101.3266757857914</v>
      </c>
      <c r="U85" s="55">
        <f t="shared" ca="1" si="28"/>
        <v>2202.6673387711839</v>
      </c>
      <c r="V85" s="55">
        <f t="shared" ca="1" si="29"/>
        <v>0</v>
      </c>
      <c r="W85" s="55">
        <f t="shared" ca="1" si="34"/>
        <v>-2042.4676763261809</v>
      </c>
      <c r="X85" s="55">
        <f t="shared" ca="1" si="35"/>
        <v>14.731873422593379</v>
      </c>
      <c r="Y85" s="55">
        <f t="shared" ca="1" si="36"/>
        <v>11.748813336069919</v>
      </c>
      <c r="Z85">
        <f t="shared" ca="1" si="30"/>
        <v>120</v>
      </c>
      <c r="AA85">
        <f t="shared" ca="1" si="37"/>
        <v>101.14111989349632</v>
      </c>
      <c r="AB85">
        <f t="shared" ca="1" si="31"/>
        <v>0</v>
      </c>
      <c r="AC85">
        <f t="shared" ca="1" si="32"/>
        <v>0.99931777319333026</v>
      </c>
      <c r="AD85" s="83">
        <f ca="1"/>
        <v>46084</v>
      </c>
      <c r="AE85" s="55">
        <f t="shared" ref="AE85:AE148" ca="1" si="41">IF(AD85&gt;1,AD85,"")</f>
        <v>46084</v>
      </c>
      <c r="AF85" s="55">
        <f t="shared" ref="AF85:AF148" ca="1" si="42">VLOOKUP(AE85,ModelOutputs,2,FALSE)</f>
        <v>4799.6770894912779</v>
      </c>
      <c r="AG85" s="55">
        <f t="shared" ref="AG85:AG148" ca="1" si="43">VLOOKUP(AE85,ModelOutputs,7,FALSE)</f>
        <v>71.027938588348889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13.731377753290372</v>
      </c>
      <c r="AK85" s="55">
        <f t="shared" ca="1" si="40"/>
        <v>86.943447463610056</v>
      </c>
    </row>
    <row r="86" spans="18:37">
      <c r="R86" s="83">
        <f ca="1"/>
        <v>45944</v>
      </c>
      <c r="S86" s="55">
        <f t="shared" ca="1" si="33"/>
        <v>45944</v>
      </c>
      <c r="T86" s="55">
        <f t="shared" ca="1" si="27"/>
        <v>2972.3176243278313</v>
      </c>
      <c r="U86" s="55">
        <f t="shared" ca="1" si="28"/>
        <v>2286.8695035092373</v>
      </c>
      <c r="V86" s="55">
        <f t="shared" ca="1" si="29"/>
        <v>0</v>
      </c>
      <c r="W86" s="55">
        <f t="shared" ca="1" si="34"/>
        <v>-2087.6469042159642</v>
      </c>
      <c r="X86" s="55">
        <f t="shared" ca="1" si="35"/>
        <v>14.980415881411139</v>
      </c>
      <c r="Y86" s="55">
        <f t="shared" ca="1" si="36"/>
        <v>11.872612047129005</v>
      </c>
      <c r="Z86">
        <f t="shared" ca="1" si="30"/>
        <v>120</v>
      </c>
      <c r="AA86">
        <f t="shared" ca="1" si="37"/>
        <v>103.90111989349633</v>
      </c>
      <c r="AB86">
        <f t="shared" ca="1" si="31"/>
        <v>0</v>
      </c>
      <c r="AC86">
        <f t="shared" ca="1" si="32"/>
        <v>0.99944284243205816</v>
      </c>
      <c r="AD86" s="83">
        <f ca="1"/>
        <v>46085</v>
      </c>
      <c r="AE86" s="55">
        <f t="shared" ca="1" si="41"/>
        <v>46085</v>
      </c>
      <c r="AF86" s="55">
        <f t="shared" ca="1" si="42"/>
        <v>4797.1465787415127</v>
      </c>
      <c r="AG86" s="55">
        <f t="shared" ca="1" si="43"/>
        <v>74.561797422682375</v>
      </c>
      <c r="AH86" s="55">
        <f t="shared" ca="1" si="44"/>
        <v>0</v>
      </c>
      <c r="AI86" s="55">
        <f t="shared" ca="1" si="38"/>
        <v>0</v>
      </c>
      <c r="AJ86" s="55">
        <f t="shared" ca="1" si="39"/>
        <v>13.90887071964147</v>
      </c>
      <c r="AK86" s="55">
        <f t="shared" ca="1" si="40"/>
        <v>87.769302581828271</v>
      </c>
    </row>
    <row r="87" spans="18:37">
      <c r="R87" s="83">
        <f ca="1"/>
        <v>45945</v>
      </c>
      <c r="S87" s="55">
        <f t="shared" ca="1" si="33"/>
        <v>45945</v>
      </c>
      <c r="T87" s="55">
        <f t="shared" ca="1" si="27"/>
        <v>2844.3798255113829</v>
      </c>
      <c r="U87" s="55">
        <f t="shared" ca="1" si="28"/>
        <v>2372.0896030591998</v>
      </c>
      <c r="V87" s="55">
        <f t="shared" ca="1" si="29"/>
        <v>0</v>
      </c>
      <c r="W87" s="55">
        <f t="shared" ca="1" si="34"/>
        <v>-2130.7248305588541</v>
      </c>
      <c r="X87" s="55">
        <f t="shared" ca="1" si="35"/>
        <v>15.222693753570018</v>
      </c>
      <c r="Y87" s="55">
        <f t="shared" ca="1" si="36"/>
        <v>11.990561251374272</v>
      </c>
      <c r="Z87">
        <f t="shared" ca="1" si="30"/>
        <v>120</v>
      </c>
      <c r="AA87">
        <f t="shared" ca="1" si="37"/>
        <v>106.65111989349634</v>
      </c>
      <c r="AB87">
        <f t="shared" ca="1" si="31"/>
        <v>0</v>
      </c>
      <c r="AC87">
        <f t="shared" ca="1" si="32"/>
        <v>0.99954298438400535</v>
      </c>
      <c r="AD87" s="83">
        <f ca="1"/>
        <v>46086</v>
      </c>
      <c r="AE87" s="55">
        <f t="shared" ca="1" si="41"/>
        <v>46086</v>
      </c>
      <c r="AF87" s="55">
        <f t="shared" ca="1" si="42"/>
        <v>4794.4959150623145</v>
      </c>
      <c r="AG87" s="55">
        <f t="shared" ca="1" si="43"/>
        <v>78.20818946787945</v>
      </c>
      <c r="AH87" s="55">
        <f t="shared" ca="1" si="44"/>
        <v>0</v>
      </c>
      <c r="AI87" s="55">
        <f t="shared" ca="1" si="38"/>
        <v>0</v>
      </c>
      <c r="AJ87" s="55">
        <f t="shared" ca="1" si="39"/>
        <v>14.084400556623224</v>
      </c>
      <c r="AK87" s="55">
        <f t="shared" ca="1" si="40"/>
        <v>88.589501110845646</v>
      </c>
    </row>
    <row r="88" spans="18:37">
      <c r="R88" s="83">
        <f ca="1"/>
        <v>45946</v>
      </c>
      <c r="S88" s="55">
        <f t="shared" ca="1" si="33"/>
        <v>45946</v>
      </c>
      <c r="T88" s="55">
        <f t="shared" ca="1" si="27"/>
        <v>2754.61013531864</v>
      </c>
      <c r="U88" s="55">
        <f t="shared" ca="1" si="28"/>
        <v>2460.5489704359074</v>
      </c>
      <c r="V88" s="55">
        <f t="shared" ca="1" si="29"/>
        <v>0</v>
      </c>
      <c r="W88" s="55">
        <f t="shared" ca="1" si="34"/>
        <v>-2132.3935653944532</v>
      </c>
      <c r="X88" s="55">
        <f t="shared" ca="1" si="35"/>
        <v>15.466044698006129</v>
      </c>
      <c r="Y88" s="55">
        <f t="shared" ca="1" si="36"/>
        <v>12.105622326501578</v>
      </c>
      <c r="Z88">
        <f t="shared" ca="1" si="30"/>
        <v>120</v>
      </c>
      <c r="AA88">
        <f t="shared" ca="1" si="37"/>
        <v>106.76111989349634</v>
      </c>
      <c r="AB88">
        <f t="shared" ca="1" si="31"/>
        <v>0</v>
      </c>
      <c r="AC88">
        <f t="shared" ca="1" si="32"/>
        <v>0.99962541856702469</v>
      </c>
      <c r="AD88" s="83">
        <f ca="1"/>
        <v>46087</v>
      </c>
      <c r="AE88" s="55">
        <f t="shared" ca="1" si="41"/>
        <v>46087</v>
      </c>
      <c r="AF88" s="55">
        <f t="shared" ca="1" si="42"/>
        <v>4791.6071039832523</v>
      </c>
      <c r="AG88" s="55">
        <f t="shared" ca="1" si="43"/>
        <v>82.111507492531302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14.263760904110201</v>
      </c>
      <c r="AK88" s="55">
        <f t="shared" ca="1" si="40"/>
        <v>89.424647708948015</v>
      </c>
    </row>
    <row r="89" spans="18:37">
      <c r="R89" s="83">
        <f ca="1"/>
        <v>45947</v>
      </c>
      <c r="S89" s="55">
        <f t="shared" ca="1" si="33"/>
        <v>45947</v>
      </c>
      <c r="T89" s="55">
        <f t="shared" ca="1" si="27"/>
        <v>2656.5535293051712</v>
      </c>
      <c r="U89" s="55">
        <f t="shared" ca="1" si="28"/>
        <v>2556.198483399442</v>
      </c>
      <c r="V89" s="55">
        <f t="shared" ca="1" si="29"/>
        <v>0</v>
      </c>
      <c r="W89" s="55">
        <f t="shared" ca="1" si="34"/>
        <v>-2135.173321406277</v>
      </c>
      <c r="X89" s="55">
        <f t="shared" ca="1" si="35"/>
        <v>15.722279322496913</v>
      </c>
      <c r="Y89" s="55">
        <f t="shared" ca="1" si="36"/>
        <v>12.222050663900378</v>
      </c>
      <c r="Z89">
        <f t="shared" ca="1" si="30"/>
        <v>120</v>
      </c>
      <c r="AA89">
        <f t="shared" ca="1" si="37"/>
        <v>106.95111989349634</v>
      </c>
      <c r="AB89">
        <f t="shared" ca="1" si="31"/>
        <v>0</v>
      </c>
      <c r="AC89">
        <f t="shared" ca="1" si="32"/>
        <v>0.99969572870404355</v>
      </c>
      <c r="AD89" s="83">
        <f ca="1"/>
        <v>46088</v>
      </c>
      <c r="AE89" s="55">
        <f t="shared" ca="1" si="41"/>
        <v>46088</v>
      </c>
      <c r="AF89" s="55">
        <f t="shared" ca="1" si="42"/>
        <v>4788.7192154007125</v>
      </c>
      <c r="AG89" s="55">
        <f t="shared" ca="1" si="43"/>
        <v>85.983690079007033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14.43601803671852</v>
      </c>
      <c r="AK89" s="55">
        <f t="shared" ca="1" si="40"/>
        <v>90.23668458027592</v>
      </c>
    </row>
    <row r="90" spans="18:37">
      <c r="R90" s="83">
        <f ca="1"/>
        <v>45948</v>
      </c>
      <c r="S90" s="55">
        <f t="shared" ca="1" si="33"/>
        <v>45948</v>
      </c>
      <c r="T90" s="55">
        <f t="shared" ca="1" si="27"/>
        <v>2552.0853473892989</v>
      </c>
      <c r="U90" s="55">
        <f t="shared" ca="1" si="28"/>
        <v>2651.6046293935924</v>
      </c>
      <c r="V90" s="55">
        <f t="shared" ca="1" si="29"/>
        <v>0</v>
      </c>
      <c r="W90" s="55">
        <f t="shared" ca="1" si="34"/>
        <v>-2144.5901464707017</v>
      </c>
      <c r="X90" s="55">
        <f t="shared" ca="1" si="35"/>
        <v>15.967785193478624</v>
      </c>
      <c r="Y90" s="55">
        <f t="shared" ca="1" si="36"/>
        <v>12.331333935621489</v>
      </c>
      <c r="Z90">
        <f t="shared" ca="1" si="30"/>
        <v>120</v>
      </c>
      <c r="AA90">
        <f t="shared" ca="1" si="37"/>
        <v>107.62111989349634</v>
      </c>
      <c r="AB90">
        <f t="shared" ca="1" si="31"/>
        <v>0</v>
      </c>
      <c r="AC90">
        <f t="shared" ca="1" si="32"/>
        <v>0.99975099722814831</v>
      </c>
      <c r="AD90" s="83">
        <f ca="1"/>
        <v>46089</v>
      </c>
      <c r="AE90" s="55">
        <f t="shared" ca="1" si="41"/>
        <v>46089</v>
      </c>
      <c r="AF90" s="55">
        <f t="shared" ca="1" si="42"/>
        <v>4785.5585692782888</v>
      </c>
      <c r="AG90" s="55">
        <f t="shared" ca="1" si="43"/>
        <v>90.100123279205789</v>
      </c>
      <c r="AH90" s="55">
        <f t="shared" ca="1" si="44"/>
        <v>0</v>
      </c>
      <c r="AI90" s="55">
        <f t="shared" ca="1" si="38"/>
        <v>0</v>
      </c>
      <c r="AJ90" s="55">
        <f t="shared" ca="1" si="39"/>
        <v>14.607419025988122</v>
      </c>
      <c r="AK90" s="55">
        <f t="shared" ca="1" si="40"/>
        <v>91.021070668782187</v>
      </c>
    </row>
    <row r="91" spans="18:37">
      <c r="R91" s="83">
        <f ca="1"/>
        <v>45949</v>
      </c>
      <c r="S91" s="55">
        <f t="shared" ca="1" si="33"/>
        <v>45949</v>
      </c>
      <c r="T91" s="55">
        <f t="shared" ca="1" si="27"/>
        <v>2455.7165862032462</v>
      </c>
      <c r="U91" s="55">
        <f t="shared" ca="1" si="28"/>
        <v>2748.3178890043405</v>
      </c>
      <c r="V91" s="55">
        <f t="shared" ca="1" si="29"/>
        <v>0</v>
      </c>
      <c r="W91" s="55">
        <f t="shared" ca="1" si="34"/>
        <v>-2144.5901464707017</v>
      </c>
      <c r="X91" s="55">
        <f t="shared" ca="1" si="35"/>
        <v>16.207925695625388</v>
      </c>
      <c r="Y91" s="55">
        <f t="shared" ca="1" si="36"/>
        <v>12.43569185817007</v>
      </c>
      <c r="Z91">
        <f t="shared" ca="1" si="30"/>
        <v>118.26086956521739</v>
      </c>
      <c r="AA91">
        <f t="shared" ca="1" si="37"/>
        <v>107.62111989349634</v>
      </c>
      <c r="AB91">
        <f t="shared" ca="1" si="31"/>
        <v>0</v>
      </c>
      <c r="AC91">
        <f t="shared" ca="1" si="32"/>
        <v>0.9997954529648263</v>
      </c>
      <c r="AD91" s="83">
        <f ca="1"/>
        <v>46090</v>
      </c>
      <c r="AE91" s="55">
        <f t="shared" ca="1" si="41"/>
        <v>46090</v>
      </c>
      <c r="AF91" s="55">
        <f t="shared" ca="1" si="42"/>
        <v>4782.2223333981337</v>
      </c>
      <c r="AG91" s="55">
        <f t="shared" ca="1" si="43"/>
        <v>94.43562958061942</v>
      </c>
      <c r="AH91" s="55">
        <f t="shared" ca="1" si="44"/>
        <v>0</v>
      </c>
      <c r="AI91" s="55">
        <f t="shared" ca="1" si="38"/>
        <v>0</v>
      </c>
      <c r="AJ91" s="55">
        <f t="shared" ca="1" si="39"/>
        <v>14.784080158329967</v>
      </c>
      <c r="AK91" s="55">
        <f t="shared" ca="1" si="40"/>
        <v>91.843679957698868</v>
      </c>
    </row>
    <row r="92" spans="18:37">
      <c r="R92" s="83">
        <f ca="1"/>
        <v>45950</v>
      </c>
      <c r="S92" s="55">
        <f t="shared" ca="1" si="33"/>
        <v>45950</v>
      </c>
      <c r="T92" s="55">
        <f t="shared" ca="1" si="27"/>
        <v>2357.1198186617216</v>
      </c>
      <c r="U92" s="55">
        <f t="shared" ca="1" si="28"/>
        <v>2847.252825743125</v>
      </c>
      <c r="V92" s="55">
        <f t="shared" ca="1" si="29"/>
        <v>0</v>
      </c>
      <c r="W92" s="55">
        <f t="shared" ca="1" si="34"/>
        <v>-2144.5901464707017</v>
      </c>
      <c r="X92" s="55">
        <f t="shared" ca="1" si="35"/>
        <v>16.445516782554893</v>
      </c>
      <c r="Y92" s="55">
        <f t="shared" ca="1" si="36"/>
        <v>12.536269968500537</v>
      </c>
      <c r="Z92">
        <f t="shared" ca="1" si="30"/>
        <v>115.32175313171874</v>
      </c>
      <c r="AA92">
        <f t="shared" ca="1" si="37"/>
        <v>107.62111989349634</v>
      </c>
      <c r="AB92">
        <f t="shared" ca="1" si="31"/>
        <v>0</v>
      </c>
      <c r="AC92">
        <f t="shared" ca="1" si="32"/>
        <v>0.99983166638146914</v>
      </c>
      <c r="AD92" s="83">
        <f ca="1"/>
        <v>46091</v>
      </c>
      <c r="AE92" s="55">
        <f t="shared" ca="1" si="41"/>
        <v>46091</v>
      </c>
      <c r="AF92" s="55">
        <f t="shared" ca="1" si="42"/>
        <v>4778.7901283700203</v>
      </c>
      <c r="AG92" s="55">
        <f t="shared" ca="1" si="43"/>
        <v>98.820418729463654</v>
      </c>
      <c r="AH92" s="55">
        <f t="shared" ca="1" si="44"/>
        <v>0</v>
      </c>
      <c r="AI92" s="55">
        <f t="shared" ca="1" si="38"/>
        <v>0</v>
      </c>
      <c r="AJ92" s="55">
        <f t="shared" ca="1" si="39"/>
        <v>14.954256218042884</v>
      </c>
      <c r="AK92" s="55">
        <f t="shared" ca="1" si="40"/>
        <v>92.626088018716501</v>
      </c>
    </row>
    <row r="93" spans="18:37">
      <c r="R93" s="83">
        <f ca="1"/>
        <v>45951</v>
      </c>
      <c r="S93" s="55">
        <f t="shared" ca="1" si="33"/>
        <v>45951</v>
      </c>
      <c r="T93" s="55">
        <f t="shared" ca="1" si="27"/>
        <v>2251.6304780682763</v>
      </c>
      <c r="U93" s="55">
        <f t="shared" ca="1" si="28"/>
        <v>2953.0904840512108</v>
      </c>
      <c r="V93" s="55">
        <f t="shared" ca="1" si="29"/>
        <v>0</v>
      </c>
      <c r="W93" s="55">
        <f t="shared" ca="1" si="34"/>
        <v>-2144.5901464707017</v>
      </c>
      <c r="X93" s="55">
        <f t="shared" ca="1" si="35"/>
        <v>16.692972106923559</v>
      </c>
      <c r="Y93" s="55">
        <f t="shared" ca="1" si="36"/>
        <v>12.637132358772389</v>
      </c>
      <c r="Z93">
        <f t="shared" ca="1" si="30"/>
        <v>115.28699794448498</v>
      </c>
      <c r="AA93">
        <f t="shared" ca="1" si="37"/>
        <v>107.62111989349634</v>
      </c>
      <c r="AB93">
        <f t="shared" ca="1" si="31"/>
        <v>0</v>
      </c>
      <c r="AC93">
        <f t="shared" ca="1" si="32"/>
        <v>0.9998624345957694</v>
      </c>
      <c r="AD93" s="83">
        <f ca="1"/>
        <v>46092</v>
      </c>
      <c r="AE93" s="55">
        <f t="shared" ca="1" si="41"/>
        <v>46092</v>
      </c>
      <c r="AF93" s="55">
        <f t="shared" ca="1" si="42"/>
        <v>4775.4178571306829</v>
      </c>
      <c r="AG93" s="55">
        <f t="shared" ca="1" si="43"/>
        <v>103.2829844079797</v>
      </c>
      <c r="AH93" s="55">
        <f t="shared" ca="1" si="44"/>
        <v>0</v>
      </c>
      <c r="AI93" s="55">
        <f t="shared" ca="1" si="38"/>
        <v>0</v>
      </c>
      <c r="AJ93" s="55">
        <f t="shared" ca="1" si="39"/>
        <v>15.136271076342183</v>
      </c>
      <c r="AK93" s="55">
        <f t="shared" ca="1" si="40"/>
        <v>93.534367599595129</v>
      </c>
    </row>
    <row r="94" spans="18:37">
      <c r="R94" s="83">
        <f ca="1"/>
        <v>45952</v>
      </c>
      <c r="S94" s="55">
        <f t="shared" ca="1" si="33"/>
        <v>45952</v>
      </c>
      <c r="T94" s="55">
        <f t="shared" ca="1" si="27"/>
        <v>2140.3092649544915</v>
      </c>
      <c r="U94" s="55">
        <f t="shared" ca="1" si="28"/>
        <v>3064.7650816483447</v>
      </c>
      <c r="V94" s="55">
        <f t="shared" ca="1" si="29"/>
        <v>0</v>
      </c>
      <c r="W94" s="55">
        <f t="shared" ca="1" si="34"/>
        <v>-2144.5901464707017</v>
      </c>
      <c r="X94" s="55">
        <f t="shared" ca="1" si="35"/>
        <v>16.946553193243968</v>
      </c>
      <c r="Y94" s="55">
        <f t="shared" ca="1" si="36"/>
        <v>12.736935755800932</v>
      </c>
      <c r="Z94">
        <f t="shared" ca="1" si="30"/>
        <v>116.05223758621484</v>
      </c>
      <c r="AA94">
        <f t="shared" ca="1" si="37"/>
        <v>107.62111989349634</v>
      </c>
      <c r="AB94">
        <f t="shared" ca="1" si="31"/>
        <v>0</v>
      </c>
      <c r="AC94">
        <f t="shared" ca="1" si="32"/>
        <v>0.99988805703815431</v>
      </c>
      <c r="AD94" s="83">
        <f ca="1"/>
        <v>46093</v>
      </c>
      <c r="AE94" s="55">
        <f t="shared" ca="1" si="41"/>
        <v>46093</v>
      </c>
      <c r="AF94" s="55">
        <f t="shared" ca="1" si="42"/>
        <v>4771.8669010063177</v>
      </c>
      <c r="AG94" s="55">
        <f t="shared" ca="1" si="43"/>
        <v>107.9425350890137</v>
      </c>
      <c r="AH94" s="55">
        <f t="shared" ca="1" si="44"/>
        <v>0</v>
      </c>
      <c r="AI94" s="55">
        <f t="shared" ca="1" si="38"/>
        <v>0</v>
      </c>
      <c r="AJ94" s="55">
        <f t="shared" ca="1" si="39"/>
        <v>15.320902123135609</v>
      </c>
      <c r="AK94" s="55">
        <f t="shared" ca="1" si="40"/>
        <v>94.458331109470038</v>
      </c>
    </row>
    <row r="95" spans="18:37">
      <c r="R95" s="83">
        <f ca="1"/>
        <v>45953</v>
      </c>
      <c r="S95" s="55">
        <f t="shared" ca="1" si="33"/>
        <v>45953</v>
      </c>
      <c r="T95" s="55">
        <f t="shared" ca="1" si="27"/>
        <v>2022.0636955293412</v>
      </c>
      <c r="U95" s="55">
        <f t="shared" ca="1" si="28"/>
        <v>3183.3717594629657</v>
      </c>
      <c r="V95" s="55">
        <f t="shared" ca="1" si="29"/>
        <v>0</v>
      </c>
      <c r="W95" s="55">
        <f t="shared" ca="1" si="34"/>
        <v>-2144.5901464707017</v>
      </c>
      <c r="X95" s="55">
        <f t="shared" ca="1" si="35"/>
        <v>17.208370496026586</v>
      </c>
      <c r="Y95" s="55">
        <f t="shared" ca="1" si="36"/>
        <v>12.836226842488745</v>
      </c>
      <c r="Z95">
        <f t="shared" ca="1" si="30"/>
        <v>117.93051675010452</v>
      </c>
      <c r="AA95">
        <f t="shared" ca="1" si="37"/>
        <v>107.62111989349634</v>
      </c>
      <c r="AB95">
        <f t="shared" ca="1" si="31"/>
        <v>0</v>
      </c>
      <c r="AC95">
        <f t="shared" ca="1" si="32"/>
        <v>0.99990941844846737</v>
      </c>
      <c r="AD95" s="83">
        <f ca="1"/>
        <v>46094</v>
      </c>
      <c r="AE95" s="55">
        <f t="shared" ca="1" si="41"/>
        <v>46094</v>
      </c>
      <c r="AF95" s="55">
        <f t="shared" ca="1" si="42"/>
        <v>4768.2493506540059</v>
      </c>
      <c r="AG95" s="55">
        <f t="shared" ca="1" si="43"/>
        <v>112.59845173220542</v>
      </c>
      <c r="AH95" s="55">
        <f t="shared" ca="1" si="44"/>
        <v>0</v>
      </c>
      <c r="AI95" s="55">
        <f t="shared" ca="1" si="38"/>
        <v>0</v>
      </c>
      <c r="AJ95" s="55">
        <f t="shared" ca="1" si="39"/>
        <v>15.496095918195318</v>
      </c>
      <c r="AK95" s="55">
        <f t="shared" ca="1" si="40"/>
        <v>95.321503605290019</v>
      </c>
    </row>
    <row r="96" spans="18:37">
      <c r="R96" s="83">
        <f ca="1"/>
        <v>45954</v>
      </c>
      <c r="S96" s="55">
        <f t="shared" ca="1" si="33"/>
        <v>45954</v>
      </c>
      <c r="T96" s="55">
        <f t="shared" ca="1" si="27"/>
        <v>1905.0447850170597</v>
      </c>
      <c r="U96" s="55">
        <f t="shared" ca="1" si="28"/>
        <v>3300.731860422708</v>
      </c>
      <c r="V96" s="55">
        <f t="shared" ca="1" si="29"/>
        <v>0</v>
      </c>
      <c r="W96" s="55">
        <f t="shared" ca="1" si="34"/>
        <v>-2144.5901464707017</v>
      </c>
      <c r="X96" s="55">
        <f t="shared" ca="1" si="35"/>
        <v>17.457130733744915</v>
      </c>
      <c r="Y96" s="55">
        <f t="shared" ca="1" si="36"/>
        <v>12.92865705223133</v>
      </c>
      <c r="Z96">
        <f t="shared" ca="1" si="30"/>
        <v>118.01748050297556</v>
      </c>
      <c r="AA96">
        <f t="shared" ca="1" si="37"/>
        <v>107.62111989349634</v>
      </c>
      <c r="AB96">
        <f t="shared" ca="1" si="31"/>
        <v>0</v>
      </c>
      <c r="AC96">
        <f t="shared" ca="1" si="32"/>
        <v>0.99992604358359527</v>
      </c>
      <c r="AD96" s="83">
        <f ca="1"/>
        <v>46095</v>
      </c>
      <c r="AE96" s="55">
        <f t="shared" ca="1" si="41"/>
        <v>46095</v>
      </c>
      <c r="AF96" s="55">
        <f t="shared" ca="1" si="42"/>
        <v>4764.4754552048907</v>
      </c>
      <c r="AG96" s="55">
        <f t="shared" ca="1" si="43"/>
        <v>117.37766044720215</v>
      </c>
      <c r="AH96" s="55">
        <f t="shared" ca="1" si="44"/>
        <v>0</v>
      </c>
      <c r="AI96" s="55">
        <f t="shared" ca="1" si="38"/>
        <v>0</v>
      </c>
      <c r="AJ96" s="55">
        <f t="shared" ca="1" si="39"/>
        <v>15.667970528196999</v>
      </c>
      <c r="AK96" s="55">
        <f t="shared" ca="1" si="40"/>
        <v>96.154942261170191</v>
      </c>
    </row>
    <row r="97" spans="18:37">
      <c r="R97" s="83">
        <f ca="1"/>
        <v>45955</v>
      </c>
      <c r="S97" s="55">
        <f t="shared" ca="1" si="33"/>
        <v>45955</v>
      </c>
      <c r="T97" s="55">
        <f t="shared" ca="1" si="27"/>
        <v>1780.1041101950152</v>
      </c>
      <c r="U97" s="55">
        <f t="shared" ca="1" si="28"/>
        <v>3426.0236569389804</v>
      </c>
      <c r="V97" s="55">
        <f t="shared" ca="1" si="29"/>
        <v>0</v>
      </c>
      <c r="W97" s="55">
        <f t="shared" ca="1" si="34"/>
        <v>-2144.5901464707017</v>
      </c>
      <c r="X97" s="55">
        <f t="shared" ca="1" si="35"/>
        <v>17.715774929375954</v>
      </c>
      <c r="Y97" s="55">
        <f t="shared" ca="1" si="36"/>
        <v>13.021134550828378</v>
      </c>
      <c r="Z97">
        <f t="shared" ca="1" si="30"/>
        <v>115.25226898741236</v>
      </c>
      <c r="AA97">
        <f t="shared" ca="1" si="37"/>
        <v>107.62111989349634</v>
      </c>
      <c r="AB97">
        <f t="shared" ca="1" si="31"/>
        <v>0</v>
      </c>
      <c r="AC97">
        <f t="shared" ca="1" si="32"/>
        <v>0.99994002919181468</v>
      </c>
      <c r="AD97" s="83">
        <f ca="1"/>
        <v>46096</v>
      </c>
      <c r="AE97" s="55">
        <f t="shared" ca="1" si="41"/>
        <v>46096</v>
      </c>
      <c r="AF97" s="55">
        <f t="shared" ca="1" si="42"/>
        <v>4760.6470710626099</v>
      </c>
      <c r="AG97" s="55">
        <f t="shared" ca="1" si="43"/>
        <v>122.21461085029473</v>
      </c>
      <c r="AH97" s="55">
        <f t="shared" ca="1" si="44"/>
        <v>0</v>
      </c>
      <c r="AI97" s="55">
        <f t="shared" ca="1" si="38"/>
        <v>0</v>
      </c>
      <c r="AJ97" s="55">
        <f t="shared" ca="1" si="39"/>
        <v>15.839053098753425</v>
      </c>
      <c r="AK97" s="55">
        <f t="shared" ca="1" si="40"/>
        <v>96.992425951424963</v>
      </c>
    </row>
    <row r="98" spans="18:37">
      <c r="R98" s="83">
        <f ca="1"/>
        <v>45956</v>
      </c>
      <c r="S98" s="55">
        <f t="shared" ca="1" si="33"/>
        <v>45956</v>
      </c>
      <c r="T98" s="55">
        <f t="shared" ca="1" si="27"/>
        <v>6817.5603149902863</v>
      </c>
      <c r="U98" s="55">
        <f t="shared" ca="1" si="28"/>
        <v>3558.2091320698464</v>
      </c>
      <c r="V98" s="55">
        <f t="shared" ca="1" si="29"/>
        <v>5169.2968135715246</v>
      </c>
      <c r="W98" s="55">
        <f t="shared" ca="1" si="34"/>
        <v>-2144.5901464707017</v>
      </c>
      <c r="X98" s="55">
        <f t="shared" ca="1" si="35"/>
        <v>17.969221342914505</v>
      </c>
      <c r="Y98" s="55">
        <f t="shared" ca="1" si="36"/>
        <v>13.112554491902264</v>
      </c>
      <c r="Z98">
        <f t="shared" ca="1" si="30"/>
        <v>110.92184513175876</v>
      </c>
      <c r="AA98">
        <f t="shared" ca="1" si="37"/>
        <v>107.62111989349634</v>
      </c>
      <c r="AB98">
        <f t="shared" ca="1" si="31"/>
        <v>0</v>
      </c>
      <c r="AC98">
        <f t="shared" ca="1" si="32"/>
        <v>0.9999515840677301</v>
      </c>
      <c r="AD98" s="83">
        <f ca="1"/>
        <v>46097</v>
      </c>
      <c r="AE98" s="55">
        <f t="shared" ca="1" si="41"/>
        <v>46097</v>
      </c>
      <c r="AF98" s="55">
        <f t="shared" ca="1" si="42"/>
        <v>4756.6649349652889</v>
      </c>
      <c r="AG98" s="55">
        <f t="shared" ca="1" si="43"/>
        <v>127.22055650814823</v>
      </c>
      <c r="AH98" s="55">
        <f t="shared" ca="1" si="44"/>
        <v>0</v>
      </c>
      <c r="AI98" s="55">
        <f t="shared" ca="1" si="38"/>
        <v>0</v>
      </c>
      <c r="AJ98" s="55">
        <f t="shared" ca="1" si="39"/>
        <v>16.012418118396536</v>
      </c>
      <c r="AK98" s="55">
        <f t="shared" ca="1" si="40"/>
        <v>97.8428704923152</v>
      </c>
    </row>
    <row r="99" spans="18:37">
      <c r="R99" s="83">
        <f ca="1"/>
        <v>45957</v>
      </c>
      <c r="S99" s="55">
        <f t="shared" ca="1" si="33"/>
        <v>45957</v>
      </c>
      <c r="T99" s="55">
        <f t="shared" ca="1" si="27"/>
        <v>6673.8437402356667</v>
      </c>
      <c r="U99" s="55">
        <f t="shared" ca="1" si="28"/>
        <v>3702.289772419379</v>
      </c>
      <c r="V99" s="55">
        <f t="shared" ca="1" si="29"/>
        <v>0</v>
      </c>
      <c r="W99" s="55">
        <f t="shared" ca="1" si="34"/>
        <v>-2144.5901464707017</v>
      </c>
      <c r="X99" s="55">
        <f t="shared" ca="1" si="35"/>
        <v>18.24004169501654</v>
      </c>
      <c r="Y99" s="55">
        <f t="shared" ca="1" si="36"/>
        <v>13.205799734712766</v>
      </c>
      <c r="Z99">
        <f t="shared" ca="1" si="30"/>
        <v>111.13055755963903</v>
      </c>
      <c r="AA99">
        <f t="shared" ca="1" si="37"/>
        <v>107.62111989349634</v>
      </c>
      <c r="AB99">
        <f t="shared" ca="1" si="31"/>
        <v>0</v>
      </c>
      <c r="AC99">
        <f t="shared" ca="1" si="32"/>
        <v>0.99996136166716854</v>
      </c>
      <c r="AD99" s="83">
        <f ca="1"/>
        <v>46098</v>
      </c>
      <c r="AE99" s="55">
        <f t="shared" ca="1" si="41"/>
        <v>46098</v>
      </c>
      <c r="AF99" s="55">
        <f t="shared" ca="1" si="42"/>
        <v>4752.5711421439346</v>
      </c>
      <c r="AG99" s="55">
        <f t="shared" ca="1" si="43"/>
        <v>132.32976833726337</v>
      </c>
      <c r="AH99" s="55">
        <f t="shared" ca="1" si="44"/>
        <v>0</v>
      </c>
      <c r="AI99" s="55">
        <f t="shared" ca="1" si="38"/>
        <v>0</v>
      </c>
      <c r="AJ99" s="55">
        <f t="shared" ca="1" si="39"/>
        <v>16.18484590734257</v>
      </c>
      <c r="AK99" s="55">
        <f t="shared" ca="1" si="40"/>
        <v>98.685861711129888</v>
      </c>
    </row>
    <row r="100" spans="18:37">
      <c r="R100" s="83">
        <f ca="1"/>
        <v>45958</v>
      </c>
      <c r="S100" s="55">
        <f t="shared" ca="1" si="33"/>
        <v>45958</v>
      </c>
      <c r="T100" s="55">
        <f t="shared" ca="1" si="27"/>
        <v>6530.9424567853475</v>
      </c>
      <c r="U100" s="55">
        <f t="shared" ca="1" si="28"/>
        <v>3845.5416965929285</v>
      </c>
      <c r="V100" s="55">
        <f t="shared" ca="1" si="29"/>
        <v>0</v>
      </c>
      <c r="W100" s="55">
        <f t="shared" ca="1" si="34"/>
        <v>-2144.5901464707017</v>
      </c>
      <c r="X100" s="55">
        <f t="shared" ca="1" si="35"/>
        <v>18.503981043257589</v>
      </c>
      <c r="Y100" s="55">
        <f t="shared" ca="1" si="36"/>
        <v>13.292501109701377</v>
      </c>
      <c r="Z100">
        <f t="shared" ca="1" si="30"/>
        <v>113.25230844460205</v>
      </c>
      <c r="AA100">
        <f t="shared" ca="1" si="37"/>
        <v>107.62111989349634</v>
      </c>
      <c r="AB100">
        <f t="shared" ca="1" si="31"/>
        <v>0</v>
      </c>
      <c r="AC100">
        <f t="shared" ca="1" si="32"/>
        <v>0.99996889640100484</v>
      </c>
      <c r="AD100" s="83">
        <f ca="1"/>
        <v>46099</v>
      </c>
      <c r="AE100" s="55">
        <f t="shared" ca="1" si="41"/>
        <v>46099</v>
      </c>
      <c r="AF100" s="55">
        <f t="shared" ca="1" si="42"/>
        <v>4748.3615305920985</v>
      </c>
      <c r="AG100" s="55">
        <f t="shared" ca="1" si="43"/>
        <v>137.51188209681473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16.352757575424043</v>
      </c>
      <c r="AK100" s="55">
        <f t="shared" ca="1" si="40"/>
        <v>99.490452250763582</v>
      </c>
    </row>
    <row r="101" spans="18:37">
      <c r="R101" s="83">
        <f ca="1"/>
        <v>45959</v>
      </c>
      <c r="S101" s="55">
        <f t="shared" ca="1" si="33"/>
        <v>45959</v>
      </c>
      <c r="T101" s="55">
        <f t="shared" ca="1" si="27"/>
        <v>6383.1177774079597</v>
      </c>
      <c r="U101" s="55">
        <f t="shared" ca="1" si="28"/>
        <v>3993.7114952963943</v>
      </c>
      <c r="V101" s="55">
        <f t="shared" ca="1" si="29"/>
        <v>0</v>
      </c>
      <c r="W101" s="55">
        <f t="shared" ca="1" si="34"/>
        <v>-2144.5901464707017</v>
      </c>
      <c r="X101" s="55">
        <f t="shared" ca="1" si="35"/>
        <v>18.765074392689339</v>
      </c>
      <c r="Y101" s="55">
        <f t="shared" ca="1" si="36"/>
        <v>13.37652708634778</v>
      </c>
      <c r="Z101">
        <f t="shared" ca="1" si="30"/>
        <v>112.0523162286138</v>
      </c>
      <c r="AA101">
        <f t="shared" ca="1" si="37"/>
        <v>107.62111989349634</v>
      </c>
      <c r="AB101">
        <f t="shared" ca="1" si="31"/>
        <v>0</v>
      </c>
      <c r="AC101">
        <f t="shared" ca="1" si="32"/>
        <v>0.99997496945916287</v>
      </c>
      <c r="AD101" s="83">
        <f ca="1"/>
        <v>46100</v>
      </c>
      <c r="AE101" s="55">
        <f t="shared" ca="1" si="41"/>
        <v>46100</v>
      </c>
      <c r="AF101" s="55">
        <f t="shared" ca="1" si="42"/>
        <v>4744.1741043421162</v>
      </c>
      <c r="AG101" s="55">
        <f t="shared" ca="1" si="43"/>
        <v>142.60334150910339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16.511556419776166</v>
      </c>
      <c r="AK101" s="55">
        <f t="shared" ca="1" si="40"/>
        <v>100.23568656871785</v>
      </c>
    </row>
    <row r="102" spans="18:37">
      <c r="R102" s="83">
        <f ca="1"/>
        <v>45960</v>
      </c>
      <c r="S102" s="55">
        <f t="shared" ca="1" si="33"/>
        <v>45960</v>
      </c>
      <c r="T102" s="55">
        <f t="shared" ca="1" si="27"/>
        <v>6225.8068561817145</v>
      </c>
      <c r="U102" s="55">
        <f t="shared" ca="1" si="28"/>
        <v>4151.3705193110745</v>
      </c>
      <c r="V102" s="55">
        <f t="shared" ca="1" si="29"/>
        <v>0</v>
      </c>
      <c r="W102" s="55">
        <f t="shared" ca="1" si="34"/>
        <v>-2144.5901464707017</v>
      </c>
      <c r="X102" s="55">
        <f t="shared" ca="1" si="35"/>
        <v>19.029448823636415</v>
      </c>
      <c r="Y102" s="55">
        <f t="shared" ca="1" si="36"/>
        <v>13.460255443836402</v>
      </c>
      <c r="Z102">
        <f t="shared" ca="1" si="30"/>
        <v>109.79145424703934</v>
      </c>
      <c r="AA102">
        <f t="shared" ca="1" si="37"/>
        <v>107.62111989349634</v>
      </c>
      <c r="AB102">
        <f t="shared" ca="1" si="31"/>
        <v>0</v>
      </c>
      <c r="AC102">
        <f t="shared" ca="1" si="32"/>
        <v>0.99997998800015242</v>
      </c>
      <c r="AD102" s="83">
        <f ca="1"/>
        <v>46101</v>
      </c>
      <c r="AE102" s="55">
        <f t="shared" ca="1" si="41"/>
        <v>46101</v>
      </c>
      <c r="AF102" s="55">
        <f t="shared" ca="1" si="42"/>
        <v>4739.9117404806993</v>
      </c>
      <c r="AG102" s="55">
        <f t="shared" ca="1" si="43"/>
        <v>147.80325809330071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16.673807222539569</v>
      </c>
      <c r="AK102" s="55">
        <f t="shared" ca="1" si="40"/>
        <v>101.01098848873519</v>
      </c>
    </row>
    <row r="103" spans="18:37">
      <c r="R103" s="83">
        <f ca="1"/>
        <v>45961</v>
      </c>
      <c r="S103" s="55">
        <f t="shared" ca="1" si="33"/>
        <v>45961</v>
      </c>
      <c r="T103" s="55">
        <f t="shared" ca="1" si="27"/>
        <v>6065.4150468562621</v>
      </c>
      <c r="U103" s="55">
        <f t="shared" ca="1" si="28"/>
        <v>4312.0928332287967</v>
      </c>
      <c r="V103" s="55">
        <f t="shared" ca="1" si="29"/>
        <v>0</v>
      </c>
      <c r="W103" s="55">
        <f t="shared" ca="1" si="34"/>
        <v>-2144.5901464707017</v>
      </c>
      <c r="X103" s="55">
        <f t="shared" ca="1" si="35"/>
        <v>19.280061685622339</v>
      </c>
      <c r="Y103" s="55">
        <f t="shared" ca="1" si="36"/>
        <v>13.540147174119861</v>
      </c>
      <c r="Z103">
        <f t="shared" ca="1" si="30"/>
        <v>106.24363715751696</v>
      </c>
      <c r="AA103">
        <f t="shared" ca="1" si="37"/>
        <v>107.62111989349634</v>
      </c>
      <c r="AB103">
        <f t="shared" ca="1" si="31"/>
        <v>0</v>
      </c>
      <c r="AC103">
        <f t="shared" ca="1" si="32"/>
        <v>0.99998395407797636</v>
      </c>
      <c r="AD103" s="83">
        <f ca="1"/>
        <v>46102</v>
      </c>
      <c r="AE103" s="55">
        <f t="shared" ca="1" si="41"/>
        <v>46102</v>
      </c>
      <c r="AF103" s="55">
        <f t="shared" ca="1" si="42"/>
        <v>4735.402592296733</v>
      </c>
      <c r="AG103" s="55">
        <f t="shared" ca="1" si="43"/>
        <v>153.20696079136246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16.834119981801273</v>
      </c>
      <c r="AK103" s="55">
        <f t="shared" ca="1" si="40"/>
        <v>101.74523024356816</v>
      </c>
    </row>
    <row r="104" spans="18:37">
      <c r="R104" s="83">
        <f ca="1"/>
        <v>45962</v>
      </c>
      <c r="S104" s="55">
        <f t="shared" ca="1" si="33"/>
        <v>45962</v>
      </c>
      <c r="T104" s="55">
        <f t="shared" ca="1" si="27"/>
        <v>5905.5271001866486</v>
      </c>
      <c r="U104" s="55">
        <f t="shared" ca="1" si="28"/>
        <v>4472.2888331135327</v>
      </c>
      <c r="V104" s="55">
        <f t="shared" ca="1" si="29"/>
        <v>0</v>
      </c>
      <c r="W104" s="55">
        <f t="shared" ca="1" si="34"/>
        <v>-2144.5901464707017</v>
      </c>
      <c r="X104" s="55">
        <f t="shared" ca="1" si="35"/>
        <v>19.513401477142658</v>
      </c>
      <c r="Y104" s="55">
        <f t="shared" ca="1" si="36"/>
        <v>13.61486059772233</v>
      </c>
      <c r="Z104">
        <f t="shared" ca="1" si="30"/>
        <v>103.44364679662483</v>
      </c>
      <c r="AA104">
        <f t="shared" ca="1" si="37"/>
        <v>107.62111989349634</v>
      </c>
      <c r="AB104">
        <f t="shared" ca="1" si="31"/>
        <v>0</v>
      </c>
      <c r="AC104">
        <f t="shared" ca="1" si="32"/>
        <v>0.99998703795643484</v>
      </c>
      <c r="AD104" s="83">
        <f ca="1"/>
        <v>46103</v>
      </c>
      <c r="AE104" s="55">
        <f t="shared" ca="1" si="41"/>
        <v>46103</v>
      </c>
      <c r="AF104" s="55">
        <f t="shared" ca="1" si="42"/>
        <v>4730.8663636763886</v>
      </c>
      <c r="AG104" s="55">
        <f t="shared" ca="1" si="43"/>
        <v>158.64097684906321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16.994103330001437</v>
      </c>
      <c r="AK104" s="55">
        <f t="shared" ca="1" si="40"/>
        <v>102.48303433272392</v>
      </c>
    </row>
    <row r="105" spans="18:37">
      <c r="R105" s="83">
        <f ca="1"/>
        <v>45963</v>
      </c>
      <c r="S105" s="55">
        <f t="shared" ca="1" si="33"/>
        <v>45963</v>
      </c>
      <c r="T105" s="55">
        <f t="shared" ca="1" si="27"/>
        <v>5740.0253128961722</v>
      </c>
      <c r="U105" s="55">
        <f t="shared" ca="1" si="28"/>
        <v>4638.085772171783</v>
      </c>
      <c r="V105" s="55">
        <f t="shared" ca="1" si="29"/>
        <v>0</v>
      </c>
      <c r="W105" s="55">
        <f t="shared" ca="1" si="34"/>
        <v>-2144.5901464707017</v>
      </c>
      <c r="X105" s="55">
        <f t="shared" ca="1" si="35"/>
        <v>19.735937363037003</v>
      </c>
      <c r="Y105" s="55">
        <f t="shared" ca="1" si="36"/>
        <v>13.68747647960241</v>
      </c>
      <c r="Z105">
        <f t="shared" ca="1" si="30"/>
        <v>98.556699687987603</v>
      </c>
      <c r="AA105">
        <f t="shared" ca="1" si="37"/>
        <v>107.62111989349634</v>
      </c>
      <c r="AB105">
        <f t="shared" ca="1" si="31"/>
        <v>0</v>
      </c>
      <c r="AC105">
        <f t="shared" ca="1" si="32"/>
        <v>0.99998953869411444</v>
      </c>
      <c r="AD105" s="83">
        <f ca="1"/>
        <v>46104</v>
      </c>
      <c r="AE105" s="55">
        <f t="shared" ca="1" si="41"/>
        <v>46104</v>
      </c>
      <c r="AF105" s="55">
        <f t="shared" ca="1" si="42"/>
        <v>4726.403174385825</v>
      </c>
      <c r="AG105" s="55">
        <f t="shared" ca="1" si="43"/>
        <v>163.99354140786571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17.15123744983655</v>
      </c>
      <c r="AK105" s="55">
        <f t="shared" ca="1" si="40"/>
        <v>103.21527548112803</v>
      </c>
    </row>
    <row r="106" spans="18:37">
      <c r="R106" s="83">
        <f ca="1"/>
        <v>45964</v>
      </c>
      <c r="S106" s="55">
        <f t="shared" ca="1" si="33"/>
        <v>45964</v>
      </c>
      <c r="T106" s="55">
        <f t="shared" ca="1" si="27"/>
        <v>5570.869946349263</v>
      </c>
      <c r="U106" s="55">
        <f t="shared" ca="1" si="28"/>
        <v>4807.5279227574401</v>
      </c>
      <c r="V106" s="55">
        <f t="shared" ca="1" si="29"/>
        <v>0</v>
      </c>
      <c r="W106" s="55">
        <f t="shared" ca="1" si="34"/>
        <v>-2144.5901464707017</v>
      </c>
      <c r="X106" s="55">
        <f t="shared" ca="1" si="35"/>
        <v>19.952972405890339</v>
      </c>
      <c r="Y106" s="55">
        <f t="shared" ca="1" si="36"/>
        <v>13.757225475497046</v>
      </c>
      <c r="Z106">
        <f t="shared" ca="1" si="30"/>
        <v>97.113229968934419</v>
      </c>
      <c r="AA106">
        <f t="shared" ca="1" si="37"/>
        <v>107.62111989349634</v>
      </c>
      <c r="AB106">
        <f t="shared" ca="1" si="31"/>
        <v>0</v>
      </c>
      <c r="AC106">
        <f t="shared" ca="1" si="32"/>
        <v>0.99999154284416769</v>
      </c>
      <c r="AD106" s="83">
        <f ca="1"/>
        <v>46105</v>
      </c>
      <c r="AE106" s="55">
        <f t="shared" ca="1" si="41"/>
        <v>46105</v>
      </c>
      <c r="AF106" s="55">
        <f t="shared" ca="1" si="42"/>
        <v>4721.8867648210398</v>
      </c>
      <c r="AG106" s="55">
        <f t="shared" ca="1" si="43"/>
        <v>169.36982077617563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17.305366274786973</v>
      </c>
      <c r="AK106" s="55">
        <f t="shared" ca="1" si="40"/>
        <v>103.92101645970271</v>
      </c>
    </row>
    <row r="107" spans="18:37">
      <c r="R107" s="83">
        <f ca="1"/>
        <v>45965</v>
      </c>
      <c r="S107" s="55">
        <f t="shared" ca="1" si="33"/>
        <v>45965</v>
      </c>
      <c r="T107" s="55">
        <f t="shared" ca="1" si="27"/>
        <v>5394.0767166910036</v>
      </c>
      <c r="U107" s="55">
        <f t="shared" ca="1" si="28"/>
        <v>4984.6098924123789</v>
      </c>
      <c r="V107" s="55">
        <f t="shared" ca="1" si="29"/>
        <v>0</v>
      </c>
      <c r="W107" s="55">
        <f t="shared" ca="1" si="34"/>
        <v>-2144.5901464707017</v>
      </c>
      <c r="X107" s="55">
        <f t="shared" ca="1" si="35"/>
        <v>20.1732270342529</v>
      </c>
      <c r="Y107" s="55">
        <f t="shared" ca="1" si="36"/>
        <v>13.825710843813553</v>
      </c>
      <c r="Z107">
        <f t="shared" ca="1" si="30"/>
        <v>96.817585458241382</v>
      </c>
      <c r="AA107">
        <f t="shared" ca="1" si="37"/>
        <v>107.62111989349634</v>
      </c>
      <c r="AB107">
        <f t="shared" ca="1" si="31"/>
        <v>0</v>
      </c>
      <c r="AC107">
        <f t="shared" ca="1" si="32"/>
        <v>0.99999318483804311</v>
      </c>
      <c r="AD107" s="83">
        <f ca="1"/>
        <v>46106</v>
      </c>
      <c r="AE107" s="55">
        <f t="shared" ca="1" si="41"/>
        <v>46106</v>
      </c>
      <c r="AF107" s="55">
        <f t="shared" ca="1" si="42"/>
        <v>4717.2860464553023</v>
      </c>
      <c r="AG107" s="55">
        <f t="shared" ca="1" si="43"/>
        <v>174.80722358956262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17.457752349936946</v>
      </c>
      <c r="AK107" s="55">
        <f t="shared" ca="1" si="40"/>
        <v>104.60531483220208</v>
      </c>
    </row>
    <row r="108" spans="18:37">
      <c r="R108" s="83">
        <f ca="1"/>
        <v>45966</v>
      </c>
      <c r="S108" s="55">
        <f t="shared" ca="1" si="33"/>
        <v>45966</v>
      </c>
      <c r="T108" s="55">
        <f t="shared" ca="1" si="27"/>
        <v>5207.5476191380349</v>
      </c>
      <c r="U108" s="55">
        <f t="shared" ca="1" si="28"/>
        <v>5171.4456427859232</v>
      </c>
      <c r="V108" s="55">
        <f t="shared" ca="1" si="29"/>
        <v>0</v>
      </c>
      <c r="W108" s="55">
        <f t="shared" ca="1" si="34"/>
        <v>-2144.5901464707017</v>
      </c>
      <c r="X108" s="55">
        <f t="shared" ca="1" si="35"/>
        <v>20.41202778395326</v>
      </c>
      <c r="Y108" s="55">
        <f t="shared" ca="1" si="36"/>
        <v>13.89356291468847</v>
      </c>
      <c r="Z108">
        <f t="shared" ca="1" si="30"/>
        <v>101.56541795068551</v>
      </c>
      <c r="AA108">
        <f t="shared" ca="1" si="37"/>
        <v>107.62111989349634</v>
      </c>
      <c r="AB108">
        <f t="shared" ca="1" si="31"/>
        <v>0</v>
      </c>
      <c r="AC108">
        <f t="shared" ca="1" si="32"/>
        <v>0.99999453717621534</v>
      </c>
      <c r="AD108" s="83">
        <f ca="1"/>
        <v>46107</v>
      </c>
      <c r="AE108" s="55">
        <f t="shared" ca="1" si="41"/>
        <v>46107</v>
      </c>
      <c r="AF108" s="55">
        <f t="shared" ca="1" si="42"/>
        <v>4712.6419248142956</v>
      </c>
      <c r="AG108" s="55">
        <f t="shared" ca="1" si="43"/>
        <v>180.32158635968662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17.613743450415239</v>
      </c>
      <c r="AK108" s="55">
        <f t="shared" ca="1" si="40"/>
        <v>105.31956486084115</v>
      </c>
    </row>
    <row r="109" spans="18:37">
      <c r="R109" s="83">
        <f ca="1"/>
        <v>45967</v>
      </c>
      <c r="S109" s="55">
        <f t="shared" ca="1" si="33"/>
        <v>45967</v>
      </c>
      <c r="T109" s="55">
        <f t="shared" ca="1" si="27"/>
        <v>5020.7245041311453</v>
      </c>
      <c r="U109" s="55">
        <f t="shared" ca="1" si="28"/>
        <v>5358.5661352596362</v>
      </c>
      <c r="V109" s="55">
        <f t="shared" ca="1" si="29"/>
        <v>0</v>
      </c>
      <c r="W109" s="55">
        <f t="shared" ca="1" si="34"/>
        <v>-2144.5901464707017</v>
      </c>
      <c r="X109" s="55">
        <f t="shared" ca="1" si="35"/>
        <v>20.645543133335561</v>
      </c>
      <c r="Y109" s="55">
        <f t="shared" ca="1" si="36"/>
        <v>13.957425032129592</v>
      </c>
      <c r="Z109">
        <f t="shared" ca="1" si="30"/>
        <v>102.55672657043738</v>
      </c>
      <c r="AA109">
        <f t="shared" ca="1" si="37"/>
        <v>107.62111989349634</v>
      </c>
      <c r="AB109">
        <f t="shared" ca="1" si="31"/>
        <v>0</v>
      </c>
      <c r="AC109">
        <f t="shared" ca="1" si="32"/>
        <v>0.99999559513231739</v>
      </c>
      <c r="AD109" s="83">
        <f ca="1"/>
        <v>46108</v>
      </c>
      <c r="AE109" s="55">
        <f t="shared" ca="1" si="41"/>
        <v>46108</v>
      </c>
      <c r="AF109" s="55">
        <f t="shared" ca="1" si="42"/>
        <v>4707.849320487675</v>
      </c>
      <c r="AG109" s="55">
        <f t="shared" ca="1" si="43"/>
        <v>185.94282810866576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17.767269124771019</v>
      </c>
      <c r="AK109" s="55">
        <f t="shared" ca="1" si="40"/>
        <v>105.99467660884406</v>
      </c>
    </row>
    <row r="110" spans="18:37">
      <c r="R110" s="83">
        <f ca="1"/>
        <v>45968</v>
      </c>
      <c r="S110" s="55">
        <f t="shared" ca="1" si="33"/>
        <v>45968</v>
      </c>
      <c r="T110" s="55">
        <f t="shared" ca="1" si="27"/>
        <v>4824.3710885546434</v>
      </c>
      <c r="U110" s="55">
        <f t="shared" ca="1" si="28"/>
        <v>5555.2262468359095</v>
      </c>
      <c r="V110" s="55">
        <f t="shared" ca="1" si="29"/>
        <v>0</v>
      </c>
      <c r="W110" s="55">
        <f t="shared" ca="1" si="34"/>
        <v>-2144.5901464707017</v>
      </c>
      <c r="X110" s="55">
        <f t="shared" ca="1" si="35"/>
        <v>20.889141346285225</v>
      </c>
      <c r="Y110" s="55">
        <f t="shared" ca="1" si="36"/>
        <v>14.020522818951097</v>
      </c>
      <c r="Z110">
        <f t="shared" ca="1" si="30"/>
        <v>104.05238171135906</v>
      </c>
      <c r="AA110">
        <f t="shared" ca="1" si="37"/>
        <v>107.62111989349634</v>
      </c>
      <c r="AB110">
        <f t="shared" ca="1" si="31"/>
        <v>0</v>
      </c>
      <c r="AC110">
        <f t="shared" ca="1" si="32"/>
        <v>0.9999964648989631</v>
      </c>
      <c r="AD110" s="83">
        <f ca="1"/>
        <v>46109</v>
      </c>
      <c r="AE110" s="55">
        <f t="shared" ca="1" si="41"/>
        <v>46109</v>
      </c>
      <c r="AF110" s="55">
        <f t="shared" ca="1" si="42"/>
        <v>4703.0543564374275</v>
      </c>
      <c r="AG110" s="55">
        <f t="shared" ca="1" si="43"/>
        <v>191.56190032440486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17.92011971574561</v>
      </c>
      <c r="AK110" s="55">
        <f t="shared" ca="1" si="40"/>
        <v>106.66593418336137</v>
      </c>
    </row>
    <row r="111" spans="18:37">
      <c r="R111" s="83">
        <f ca="1"/>
        <v>45969</v>
      </c>
      <c r="S111" s="55">
        <f t="shared" ca="1" si="33"/>
        <v>45969</v>
      </c>
      <c r="T111" s="55">
        <f t="shared" ca="1" si="27"/>
        <v>4618.7933910974689</v>
      </c>
      <c r="U111" s="55">
        <f t="shared" ca="1" si="28"/>
        <v>5761.114585491101</v>
      </c>
      <c r="V111" s="55">
        <f t="shared" ca="1" si="29"/>
        <v>0</v>
      </c>
      <c r="W111" s="55">
        <f t="shared" ca="1" si="34"/>
        <v>-2144.5901464707017</v>
      </c>
      <c r="X111" s="55">
        <f t="shared" ca="1" si="35"/>
        <v>21.137700357872546</v>
      </c>
      <c r="Y111" s="55">
        <f t="shared" ca="1" si="36"/>
        <v>14.082605005381023</v>
      </c>
      <c r="Z111">
        <f t="shared" ca="1" si="30"/>
        <v>103.89586230390974</v>
      </c>
      <c r="AA111">
        <f t="shared" ca="1" si="37"/>
        <v>107.62111989349634</v>
      </c>
      <c r="AB111">
        <f t="shared" ca="1" si="31"/>
        <v>0</v>
      </c>
      <c r="AC111">
        <f t="shared" ca="1" si="32"/>
        <v>0.99999717411687272</v>
      </c>
      <c r="AD111" s="83">
        <f ca="1"/>
        <v>46110</v>
      </c>
      <c r="AE111" s="55">
        <f t="shared" ca="1" si="41"/>
        <v>46110</v>
      </c>
      <c r="AF111" s="55">
        <f t="shared" ca="1" si="42"/>
        <v>4698.1677934969684</v>
      </c>
      <c r="AG111" s="55">
        <f t="shared" ca="1" si="43"/>
        <v>197.29569116632646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18.076553678442217</v>
      </c>
      <c r="AK111" s="55">
        <f t="shared" ca="1" si="40"/>
        <v>107.35672812212712</v>
      </c>
    </row>
    <row r="112" spans="18:37">
      <c r="R112" s="83">
        <f ca="1"/>
        <v>45970</v>
      </c>
      <c r="S112" s="55">
        <f t="shared" ca="1" si="33"/>
        <v>45970</v>
      </c>
      <c r="T112" s="55">
        <f t="shared" ca="1" si="27"/>
        <v>4412.6661279614082</v>
      </c>
      <c r="U112" s="55">
        <f t="shared" ca="1" si="28"/>
        <v>5967.5412432842713</v>
      </c>
      <c r="V112" s="55">
        <f t="shared" ca="1" si="29"/>
        <v>0</v>
      </c>
      <c r="W112" s="55">
        <f t="shared" ca="1" si="34"/>
        <v>-2144.5901464707017</v>
      </c>
      <c r="X112" s="55">
        <f t="shared" ca="1" si="35"/>
        <v>21.378577601857032</v>
      </c>
      <c r="Y112" s="55">
        <f t="shared" ca="1" si="36"/>
        <v>14.141122418505967</v>
      </c>
      <c r="Z112">
        <f t="shared" ca="1" si="30"/>
        <v>103.79151638624344</v>
      </c>
      <c r="AA112">
        <f t="shared" ca="1" si="37"/>
        <v>107.62111989349634</v>
      </c>
      <c r="AB112">
        <f t="shared" ca="1" si="31"/>
        <v>0</v>
      </c>
      <c r="AC112">
        <f t="shared" ca="1" si="32"/>
        <v>0.9999977286543662</v>
      </c>
      <c r="AD112" s="83">
        <f ca="1"/>
        <v>46111</v>
      </c>
      <c r="AE112" s="55">
        <f t="shared" ca="1" si="41"/>
        <v>46111</v>
      </c>
      <c r="AF112" s="55">
        <f t="shared" ca="1" si="42"/>
        <v>4693.3074361430399</v>
      </c>
      <c r="AG112" s="55">
        <f t="shared" ca="1" si="43"/>
        <v>202.94979548534863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18.227208105709497</v>
      </c>
      <c r="AK112" s="55">
        <f t="shared" ca="1" si="40"/>
        <v>107.99982065995383</v>
      </c>
    </row>
    <row r="113" spans="18:37">
      <c r="R113" s="83">
        <f ca="1"/>
        <v>45971</v>
      </c>
      <c r="S113" s="55">
        <f t="shared" ca="1" si="33"/>
        <v>45971</v>
      </c>
      <c r="T113" s="55">
        <f t="shared" ca="1" si="27"/>
        <v>4195.7839825439351</v>
      </c>
      <c r="U113" s="55">
        <f t="shared" ca="1" si="28"/>
        <v>6184.72487155625</v>
      </c>
      <c r="V113" s="55">
        <f t="shared" ca="1" si="29"/>
        <v>0</v>
      </c>
      <c r="W113" s="55">
        <f t="shared" ca="1" si="34"/>
        <v>-2144.5901464707017</v>
      </c>
      <c r="X113" s="55">
        <f t="shared" ca="1" si="35"/>
        <v>21.622122126349879</v>
      </c>
      <c r="Y113" s="55">
        <f t="shared" ca="1" si="36"/>
        <v>14.199060748518813</v>
      </c>
      <c r="Z113">
        <f t="shared" ca="1" si="30"/>
        <v>102.06977891518311</v>
      </c>
      <c r="AA113">
        <f t="shared" ca="1" si="37"/>
        <v>107.62111989349634</v>
      </c>
      <c r="AB113">
        <f t="shared" ca="1" si="31"/>
        <v>0</v>
      </c>
      <c r="AC113">
        <f t="shared" ca="1" si="32"/>
        <v>0.99999818405997087</v>
      </c>
      <c r="AD113" s="83">
        <f ca="1"/>
        <v>46112</v>
      </c>
      <c r="AE113" s="55">
        <f t="shared" ca="1" si="41"/>
        <v>46112</v>
      </c>
      <c r="AF113" s="55">
        <f t="shared" ca="1" si="42"/>
        <v>4688.5506210637077</v>
      </c>
      <c r="AG113" s="55">
        <f t="shared" ca="1" si="43"/>
        <v>208.50594367134849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18.37705999404179</v>
      </c>
      <c r="AK113" s="55">
        <f t="shared" ca="1" si="40"/>
        <v>108.64930187828847</v>
      </c>
    </row>
    <row r="114" spans="18:37">
      <c r="R114" s="83">
        <f ca="1"/>
        <v>45972</v>
      </c>
      <c r="S114" s="55">
        <f t="shared" ca="1" si="33"/>
        <v>45972</v>
      </c>
      <c r="T114" s="55">
        <f t="shared" ca="1" si="27"/>
        <v>3971.545386842321</v>
      </c>
      <c r="U114" s="55">
        <f t="shared" ca="1" si="28"/>
        <v>6409.2566416007458</v>
      </c>
      <c r="V114" s="55">
        <f t="shared" ca="1" si="29"/>
        <v>0</v>
      </c>
      <c r="W114" s="55">
        <f t="shared" ca="1" si="34"/>
        <v>-2144.5901464707017</v>
      </c>
      <c r="X114" s="55">
        <f t="shared" ca="1" si="35"/>
        <v>21.858949275722047</v>
      </c>
      <c r="Y114" s="55">
        <f t="shared" ca="1" si="36"/>
        <v>14.255407942028487</v>
      </c>
      <c r="Z114">
        <f t="shared" ca="1" si="30"/>
        <v>98.695867182622266</v>
      </c>
      <c r="AA114">
        <f t="shared" ca="1" si="37"/>
        <v>107.62111989349634</v>
      </c>
      <c r="AB114">
        <f t="shared" ca="1" si="31"/>
        <v>0</v>
      </c>
      <c r="AC114">
        <f t="shared" ca="1" si="32"/>
        <v>0.99999855036209762</v>
      </c>
      <c r="AD114" s="83">
        <f ca="1"/>
        <v>46113</v>
      </c>
      <c r="AE114" s="55">
        <f t="shared" ca="1" si="41"/>
        <v>46113</v>
      </c>
      <c r="AF114" s="55">
        <f t="shared" ca="1" si="42"/>
        <v>4683.8959376484627</v>
      </c>
      <c r="AG114" s="55">
        <f t="shared" ca="1" si="43"/>
        <v>213.92344856629956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18.522020826405583</v>
      </c>
      <c r="AK114" s="55">
        <f t="shared" ca="1" si="40"/>
        <v>109.2671625256306</v>
      </c>
    </row>
    <row r="115" spans="18:37">
      <c r="R115" s="83">
        <f ca="1"/>
        <v>45973</v>
      </c>
      <c r="S115" s="55">
        <f t="shared" ca="1" si="33"/>
        <v>45973</v>
      </c>
      <c r="T115" s="55">
        <f t="shared" ca="1" si="27"/>
        <v>3741.880165369224</v>
      </c>
      <c r="U115" s="55">
        <f t="shared" ca="1" si="28"/>
        <v>6639.2128889328815</v>
      </c>
      <c r="V115" s="55">
        <f t="shared" ca="1" si="29"/>
        <v>0</v>
      </c>
      <c r="W115" s="55">
        <f t="shared" ca="1" si="34"/>
        <v>-2144.5901464707017</v>
      </c>
      <c r="X115" s="55">
        <f t="shared" ca="1" si="35"/>
        <v>22.095673256428316</v>
      </c>
      <c r="Y115" s="55">
        <f t="shared" ca="1" si="36"/>
        <v>14.309709820360766</v>
      </c>
      <c r="Z115">
        <f t="shared" ca="1" si="30"/>
        <v>98.887172781566761</v>
      </c>
      <c r="AA115">
        <f t="shared" ca="1" si="37"/>
        <v>107.62111989349634</v>
      </c>
      <c r="AB115">
        <f t="shared" ca="1" si="31"/>
        <v>0</v>
      </c>
      <c r="AC115">
        <f t="shared" ca="1" si="32"/>
        <v>0.99999884224784552</v>
      </c>
      <c r="AD115" s="83">
        <f ca="1"/>
        <v>46114</v>
      </c>
      <c r="AE115" s="55">
        <f t="shared" ca="1" si="41"/>
        <v>46114</v>
      </c>
      <c r="AF115" s="55">
        <f t="shared" ca="1" si="42"/>
        <v>4679.3162075354576</v>
      </c>
      <c r="AG115" s="55">
        <f t="shared" ca="1" si="43"/>
        <v>219.28820141795242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18.668536700964129</v>
      </c>
      <c r="AK115" s="55">
        <f t="shared" ca="1" si="40"/>
        <v>109.90566938971958</v>
      </c>
    </row>
    <row r="116" spans="18:37">
      <c r="R116" s="83">
        <f ca="1"/>
        <v>45974</v>
      </c>
      <c r="S116" s="55">
        <f t="shared" ca="1" si="33"/>
        <v>45974</v>
      </c>
      <c r="T116" s="55">
        <f t="shared" ca="1" si="27"/>
        <v>3510.0510798615578</v>
      </c>
      <c r="U116" s="55">
        <f t="shared" ca="1" si="28"/>
        <v>6871.3224252127911</v>
      </c>
      <c r="V116" s="55">
        <f t="shared" ca="1" si="29"/>
        <v>0</v>
      </c>
      <c r="W116" s="55">
        <f t="shared" ca="1" si="34"/>
        <v>-2144.5901464707017</v>
      </c>
      <c r="X116" s="55">
        <f t="shared" ca="1" si="35"/>
        <v>22.324498939831486</v>
      </c>
      <c r="Y116" s="55">
        <f t="shared" ca="1" si="36"/>
        <v>14.361334909201281</v>
      </c>
      <c r="Z116">
        <f t="shared" ca="1" si="30"/>
        <v>97.530652132667569</v>
      </c>
      <c r="AA116">
        <f t="shared" ca="1" si="37"/>
        <v>107.62111989349634</v>
      </c>
      <c r="AB116">
        <f t="shared" ca="1" si="31"/>
        <v>0</v>
      </c>
      <c r="AC116">
        <f t="shared" ca="1" si="32"/>
        <v>0.99999907212366013</v>
      </c>
      <c r="AD116" s="83">
        <f ca="1"/>
        <v>46115</v>
      </c>
      <c r="AE116" s="55">
        <f t="shared" ca="1" si="41"/>
        <v>46115</v>
      </c>
      <c r="AF116" s="55">
        <f t="shared" ca="1" si="42"/>
        <v>4674.7026360677646</v>
      </c>
      <c r="AG116" s="55">
        <f t="shared" ca="1" si="43"/>
        <v>224.70424167472953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18.817854467570182</v>
      </c>
      <c r="AK116" s="55">
        <f t="shared" ca="1" si="40"/>
        <v>110.55882041219743</v>
      </c>
    </row>
    <row r="117" spans="18:37">
      <c r="R117" s="83">
        <f ca="1"/>
        <v>45975</v>
      </c>
      <c r="S117" s="55">
        <f t="shared" ca="1" si="33"/>
        <v>45975</v>
      </c>
      <c r="T117" s="55">
        <f t="shared" ca="1" si="27"/>
        <v>8442.6975032728187</v>
      </c>
      <c r="U117" s="55">
        <f t="shared" ca="1" si="28"/>
        <v>7108.2709719325876</v>
      </c>
      <c r="V117" s="55">
        <f t="shared" ca="1" si="29"/>
        <v>5169.3201684690648</v>
      </c>
      <c r="W117" s="55">
        <f t="shared" ca="1" si="34"/>
        <v>-2144.5901464707017</v>
      </c>
      <c r="X117" s="55">
        <f t="shared" ca="1" si="35"/>
        <v>22.549588401814393</v>
      </c>
      <c r="Y117" s="55">
        <f t="shared" ca="1" si="36"/>
        <v>14.411047109210287</v>
      </c>
      <c r="Z117">
        <f t="shared" ca="1" si="30"/>
        <v>96.400218304902566</v>
      </c>
      <c r="AA117">
        <f t="shared" ca="1" si="37"/>
        <v>107.62111989349634</v>
      </c>
      <c r="AB117">
        <f t="shared" ca="1" si="31"/>
        <v>0</v>
      </c>
      <c r="AC117">
        <f t="shared" ca="1" si="32"/>
        <v>0.9999992557913987</v>
      </c>
      <c r="AD117" s="83">
        <f ca="1"/>
        <v>46116</v>
      </c>
      <c r="AE117" s="55">
        <f t="shared" ca="1" si="41"/>
        <v>46116</v>
      </c>
      <c r="AF117" s="55">
        <f t="shared" ca="1" si="42"/>
        <v>4670.2453394460863</v>
      </c>
      <c r="AG117" s="55">
        <f t="shared" ca="1" si="43"/>
        <v>229.91038627930561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18.960026088488707</v>
      </c>
      <c r="AK117" s="55">
        <f t="shared" ca="1" si="40"/>
        <v>111.16549677417689</v>
      </c>
    </row>
    <row r="118" spans="18:37">
      <c r="R118" s="83">
        <f ca="1"/>
        <v>45976</v>
      </c>
      <c r="S118" s="55">
        <f t="shared" ca="1" si="33"/>
        <v>45976</v>
      </c>
      <c r="T118" s="55">
        <f t="shared" ca="1" si="27"/>
        <v>8194.5079352112771</v>
      </c>
      <c r="U118" s="55">
        <f t="shared" ca="1" si="28"/>
        <v>7356.7339689952323</v>
      </c>
      <c r="V118" s="55">
        <f t="shared" ca="1" si="29"/>
        <v>0</v>
      </c>
      <c r="W118" s="55">
        <f t="shared" ca="1" si="34"/>
        <v>-2144.5901464707017</v>
      </c>
      <c r="X118" s="55">
        <f t="shared" ca="1" si="35"/>
        <v>22.77381974098574</v>
      </c>
      <c r="Y118" s="55">
        <f t="shared" ca="1" si="36"/>
        <v>14.460244771143094</v>
      </c>
      <c r="Z118">
        <f t="shared" ca="1" si="30"/>
        <v>93.356740819763388</v>
      </c>
      <c r="AA118">
        <f t="shared" ca="1" si="37"/>
        <v>107.62111989349634</v>
      </c>
      <c r="AB118">
        <f t="shared" ca="1" si="31"/>
        <v>0</v>
      </c>
      <c r="AC118">
        <f t="shared" ca="1" si="32"/>
        <v>0.9999994062706149</v>
      </c>
      <c r="AD118" s="83">
        <f ca="1"/>
        <v>46117</v>
      </c>
      <c r="AE118" s="55">
        <f t="shared" ca="1" si="41"/>
        <v>46117</v>
      </c>
      <c r="AF118" s="55">
        <f t="shared" ca="1" si="42"/>
        <v>4665.8014114062844</v>
      </c>
      <c r="AG118" s="55">
        <f t="shared" ca="1" si="43"/>
        <v>235.08116327472254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19.100453843444416</v>
      </c>
      <c r="AK118" s="55">
        <f t="shared" ca="1" si="40"/>
        <v>111.75191797483686</v>
      </c>
    </row>
    <row r="119" spans="18:37">
      <c r="R119" s="83">
        <f ca="1"/>
        <v>45977</v>
      </c>
      <c r="S119" s="55">
        <f t="shared" ca="1" si="33"/>
        <v>45977</v>
      </c>
      <c r="T119" s="55">
        <f t="shared" ca="1" si="27"/>
        <v>7934.793102445753</v>
      </c>
      <c r="U119" s="55">
        <f t="shared" ca="1" si="28"/>
        <v>7616.7306829264962</v>
      </c>
      <c r="V119" s="55">
        <f t="shared" ca="1" si="29"/>
        <v>0</v>
      </c>
      <c r="W119" s="55">
        <f t="shared" ca="1" si="34"/>
        <v>-2144.5901464707017</v>
      </c>
      <c r="X119" s="55">
        <f t="shared" ca="1" si="35"/>
        <v>23.007120558443514</v>
      </c>
      <c r="Y119" s="55">
        <f t="shared" ca="1" si="36"/>
        <v>14.508825119425047</v>
      </c>
      <c r="Z119">
        <f t="shared" ca="1" si="30"/>
        <v>94.48717623386932</v>
      </c>
      <c r="AA119">
        <f t="shared" ca="1" si="37"/>
        <v>107.62111989349634</v>
      </c>
      <c r="AB119">
        <f t="shared" ca="1" si="31"/>
        <v>0</v>
      </c>
      <c r="AC119">
        <f t="shared" ca="1" si="32"/>
        <v>0.99999952869318542</v>
      </c>
      <c r="AD119" s="83">
        <f ca="1"/>
        <v>46118</v>
      </c>
      <c r="AE119" s="55">
        <f t="shared" ca="1" si="41"/>
        <v>46118</v>
      </c>
      <c r="AF119" s="55">
        <f t="shared" ca="1" si="42"/>
        <v>4661.4112375500117</v>
      </c>
      <c r="AG119" s="55">
        <f t="shared" ca="1" si="43"/>
        <v>240.21932816699336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19.243037500891166</v>
      </c>
      <c r="AK119" s="55">
        <f t="shared" ca="1" si="40"/>
        <v>112.35732535338806</v>
      </c>
    </row>
    <row r="120" spans="18:37">
      <c r="R120" s="83">
        <f ca="1"/>
        <v>45978</v>
      </c>
      <c r="S120" s="55">
        <f t="shared" ca="1" si="33"/>
        <v>45978</v>
      </c>
      <c r="T120" s="55">
        <f t="shared" ca="1" si="27"/>
        <v>7675.772209640254</v>
      </c>
      <c r="U120" s="55">
        <f t="shared" ca="1" si="28"/>
        <v>7876.0164646779949</v>
      </c>
      <c r="V120" s="55">
        <f t="shared" ca="1" si="29"/>
        <v>0</v>
      </c>
      <c r="W120" s="55">
        <f t="shared" ca="1" si="34"/>
        <v>-2144.5901464707017</v>
      </c>
      <c r="X120" s="55">
        <f t="shared" ca="1" si="35"/>
        <v>23.226340068009598</v>
      </c>
      <c r="Y120" s="55">
        <f t="shared" ca="1" si="36"/>
        <v>14.554494555859238</v>
      </c>
      <c r="Z120">
        <f t="shared" ca="1" si="30"/>
        <v>91.66978544710453</v>
      </c>
      <c r="AA120">
        <f t="shared" ca="1" si="37"/>
        <v>107.62111989349634</v>
      </c>
      <c r="AB120">
        <f t="shared" ca="1" si="31"/>
        <v>0</v>
      </c>
      <c r="AC120">
        <f t="shared" ca="1" si="32"/>
        <v>0.99999962370568662</v>
      </c>
      <c r="AD120" s="83">
        <f ca="1"/>
        <v>46119</v>
      </c>
      <c r="AE120" s="55">
        <f t="shared" ca="1" si="41"/>
        <v>46119</v>
      </c>
      <c r="AF120" s="55">
        <f t="shared" ca="1" si="42"/>
        <v>4657.0756729146815</v>
      </c>
      <c r="AG120" s="55">
        <f t="shared" ca="1" si="43"/>
        <v>245.29608665051444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19.385014672733952</v>
      </c>
      <c r="AK120" s="55">
        <f t="shared" ca="1" si="40"/>
        <v>112.95654202973577</v>
      </c>
    </row>
    <row r="121" spans="18:37">
      <c r="R121" s="83">
        <f ca="1"/>
        <v>45979</v>
      </c>
      <c r="S121" s="55">
        <f t="shared" ca="1" si="33"/>
        <v>45979</v>
      </c>
      <c r="T121" s="55">
        <f t="shared" ca="1" si="27"/>
        <v>7417.778832194721</v>
      </c>
      <c r="U121" s="55">
        <f t="shared" ca="1" si="28"/>
        <v>8134.258816329494</v>
      </c>
      <c r="V121" s="55">
        <f t="shared" ca="1" si="29"/>
        <v>0</v>
      </c>
      <c r="W121" s="55">
        <f t="shared" ca="1" si="34"/>
        <v>-2144.5901464707017</v>
      </c>
      <c r="X121" s="55">
        <f t="shared" ca="1" si="35"/>
        <v>23.432312444896382</v>
      </c>
      <c r="Y121" s="55">
        <f t="shared" ca="1" si="36"/>
        <v>14.597496384938234</v>
      </c>
      <c r="Z121">
        <f t="shared" ca="1" si="30"/>
        <v>88.817612016613694</v>
      </c>
      <c r="AA121">
        <f t="shared" ca="1" si="37"/>
        <v>107.62111989349634</v>
      </c>
      <c r="AB121">
        <f t="shared" ca="1" si="31"/>
        <v>0</v>
      </c>
      <c r="AC121">
        <f t="shared" ca="1" si="32"/>
        <v>0.99999969786966347</v>
      </c>
      <c r="AD121" s="83">
        <f ca="1"/>
        <v>46120</v>
      </c>
      <c r="AE121" s="55">
        <f t="shared" ca="1" si="41"/>
        <v>46120</v>
      </c>
      <c r="AF121" s="55">
        <f t="shared" ca="1" si="42"/>
        <v>4652.9068920339469</v>
      </c>
      <c r="AG121" s="55">
        <f t="shared" ca="1" si="43"/>
        <v>250.20816556107124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19.525750959793193</v>
      </c>
      <c r="AK121" s="55">
        <f t="shared" ca="1" si="40"/>
        <v>113.55910377249825</v>
      </c>
    </row>
    <row r="122" spans="18:37">
      <c r="R122" s="83">
        <f ca="1"/>
        <v>45980</v>
      </c>
      <c r="S122" s="55">
        <f t="shared" ca="1" si="33"/>
        <v>45980</v>
      </c>
      <c r="T122" s="55">
        <f t="shared" ca="1" si="27"/>
        <v>7155.0468285606421</v>
      </c>
      <c r="U122" s="55">
        <f t="shared" ca="1" si="28"/>
        <v>8397.2290738256779</v>
      </c>
      <c r="V122" s="55">
        <f t="shared" ca="1" si="29"/>
        <v>0</v>
      </c>
      <c r="W122" s="55">
        <f t="shared" ca="1" si="34"/>
        <v>-2144.5901464707017</v>
      </c>
      <c r="X122" s="55">
        <f t="shared" ca="1" si="35"/>
        <v>23.62909057955931</v>
      </c>
      <c r="Y122" s="55">
        <f t="shared" ca="1" si="36"/>
        <v>14.638972112380163</v>
      </c>
      <c r="Z122">
        <f t="shared" ca="1" si="30"/>
        <v>84.904568967193626</v>
      </c>
      <c r="AA122">
        <f t="shared" ca="1" si="37"/>
        <v>107.62111989349634</v>
      </c>
      <c r="AB122">
        <f t="shared" ca="1" si="31"/>
        <v>0</v>
      </c>
      <c r="AC122">
        <f t="shared" ca="1" si="32"/>
        <v>0.99999975730598412</v>
      </c>
      <c r="AD122" s="83">
        <f ca="1"/>
        <v>46121</v>
      </c>
      <c r="AE122" s="55">
        <f t="shared" ca="1" si="41"/>
        <v>46121</v>
      </c>
      <c r="AF122" s="55">
        <f t="shared" ca="1" si="42"/>
        <v>4648.9594133838918</v>
      </c>
      <c r="AG122" s="55">
        <f t="shared" ca="1" si="43"/>
        <v>254.94055211303214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19.66885569108732</v>
      </c>
      <c r="AK122" s="55">
        <f t="shared" ca="1" si="40"/>
        <v>114.20090694310963</v>
      </c>
    </row>
    <row r="123" spans="18:37">
      <c r="R123" s="83">
        <f ca="1"/>
        <v>45981</v>
      </c>
      <c r="S123" s="55">
        <f t="shared" ca="1" si="33"/>
        <v>45981</v>
      </c>
      <c r="T123" s="55">
        <f t="shared" ca="1" si="27"/>
        <v>6879.2635840966459</v>
      </c>
      <c r="U123" s="55">
        <f t="shared" ca="1" si="28"/>
        <v>8673.2522198012666</v>
      </c>
      <c r="V123" s="55">
        <f t="shared" ca="1" si="29"/>
        <v>0</v>
      </c>
      <c r="W123" s="55">
        <f t="shared" ca="1" si="34"/>
        <v>-2144.5901464707017</v>
      </c>
      <c r="X123" s="55">
        <f t="shared" ca="1" si="35"/>
        <v>23.827739616571769</v>
      </c>
      <c r="Y123" s="55">
        <f t="shared" ca="1" si="36"/>
        <v>14.680224586959545</v>
      </c>
      <c r="Z123">
        <f t="shared" ca="1" si="30"/>
        <v>82.57413455504404</v>
      </c>
      <c r="AA123">
        <f t="shared" ca="1" si="37"/>
        <v>107.62111989349634</v>
      </c>
      <c r="AB123">
        <f t="shared" ca="1" si="31"/>
        <v>0</v>
      </c>
      <c r="AC123">
        <f t="shared" ca="1" si="32"/>
        <v>0.99999980629048957</v>
      </c>
      <c r="AD123" s="83">
        <f ca="1"/>
        <v>46122</v>
      </c>
      <c r="AE123" s="55">
        <f t="shared" ca="1" si="41"/>
        <v>46122</v>
      </c>
      <c r="AF123" s="55">
        <f t="shared" ca="1" si="42"/>
        <v>4645.1044441350423</v>
      </c>
      <c r="AG123" s="55">
        <f t="shared" ca="1" si="43"/>
        <v>259.5796828799933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19.811692406025983</v>
      </c>
      <c r="AK123" s="55">
        <f t="shared" ca="1" si="40"/>
        <v>114.84223174628275</v>
      </c>
    </row>
    <row r="124" spans="18:37">
      <c r="R124" s="83">
        <f ca="1"/>
        <v>45982</v>
      </c>
      <c r="S124" s="55">
        <f t="shared" ca="1" si="33"/>
        <v>45982</v>
      </c>
      <c r="T124" s="55">
        <f t="shared" ca="1" si="27"/>
        <v>6596.7919091320655</v>
      </c>
      <c r="U124" s="55">
        <f t="shared" ca="1" si="28"/>
        <v>8955.9610132545549</v>
      </c>
      <c r="V124" s="55">
        <f t="shared" ca="1" si="29"/>
        <v>0</v>
      </c>
      <c r="W124" s="55">
        <f t="shared" ca="1" si="34"/>
        <v>-2144.5901464707017</v>
      </c>
      <c r="X124" s="55">
        <f t="shared" ca="1" si="35"/>
        <v>24.024834156134009</v>
      </c>
      <c r="Y124" s="55">
        <f t="shared" ca="1" si="36"/>
        <v>14.720248536104906</v>
      </c>
      <c r="Z124">
        <f t="shared" ca="1" si="30"/>
        <v>81.339352243742113</v>
      </c>
      <c r="AA124">
        <f t="shared" ca="1" si="37"/>
        <v>107.62111989349634</v>
      </c>
      <c r="AB124">
        <f t="shared" ca="1" si="31"/>
        <v>0</v>
      </c>
      <c r="AC124">
        <f t="shared" ca="1" si="32"/>
        <v>0.99999984555257482</v>
      </c>
      <c r="AD124" s="83">
        <f ca="1"/>
        <v>46123</v>
      </c>
      <c r="AE124" s="55">
        <f t="shared" ca="1" si="41"/>
        <v>46123</v>
      </c>
      <c r="AF124" s="55">
        <f t="shared" ca="1" si="42"/>
        <v>4641.4101470193227</v>
      </c>
      <c r="AG124" s="55">
        <f t="shared" ca="1" si="43"/>
        <v>264.04538167821261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19.952000735142615</v>
      </c>
      <c r="AK124" s="55">
        <f t="shared" ca="1" si="40"/>
        <v>115.4733250996652</v>
      </c>
    </row>
    <row r="125" spans="18:37">
      <c r="R125" s="83">
        <f ca="1"/>
        <v>45983</v>
      </c>
      <c r="S125" s="55">
        <f t="shared" ca="1" si="33"/>
        <v>45983</v>
      </c>
      <c r="T125" s="55">
        <f t="shared" ca="1" si="27"/>
        <v>6304.5830804956577</v>
      </c>
      <c r="U125" s="55">
        <f t="shared" ca="1" si="28"/>
        <v>9248.4115335363404</v>
      </c>
      <c r="V125" s="55">
        <f t="shared" ca="1" si="29"/>
        <v>0</v>
      </c>
      <c r="W125" s="55">
        <f t="shared" ca="1" si="34"/>
        <v>-2144.5901464707017</v>
      </c>
      <c r="X125" s="55">
        <f t="shared" ca="1" si="35"/>
        <v>24.227274366728885</v>
      </c>
      <c r="Y125" s="55">
        <f t="shared" ca="1" si="36"/>
        <v>14.759499970888506</v>
      </c>
      <c r="Z125">
        <f t="shared" ca="1" si="30"/>
        <v>82.035004672053148</v>
      </c>
      <c r="AA125">
        <f t="shared" ca="1" si="37"/>
        <v>107.62111989349634</v>
      </c>
      <c r="AB125">
        <f t="shared" ca="1" si="31"/>
        <v>0</v>
      </c>
      <c r="AC125">
        <f t="shared" ca="1" si="32"/>
        <v>0.99999987728661655</v>
      </c>
      <c r="AD125" s="83">
        <f ca="1"/>
        <v>46124</v>
      </c>
      <c r="AE125" s="55">
        <f t="shared" ca="1" si="41"/>
        <v>46124</v>
      </c>
      <c r="AF125" s="55">
        <f t="shared" ca="1" si="42"/>
        <v>4637.7916666687943</v>
      </c>
      <c r="AG125" s="55">
        <f t="shared" ca="1" si="43"/>
        <v>268.47373482290214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20.096880608366728</v>
      </c>
      <c r="AK125" s="55">
        <f t="shared" ca="1" si="40"/>
        <v>116.13831802060182</v>
      </c>
    </row>
    <row r="126" spans="18:37">
      <c r="R126" s="83">
        <f ca="1"/>
        <v>45984</v>
      </c>
      <c r="S126" s="55">
        <f t="shared" ca="1" si="33"/>
        <v>45984</v>
      </c>
      <c r="T126" s="55">
        <f t="shared" ca="1" si="27"/>
        <v>6002.5518757116261</v>
      </c>
      <c r="U126" s="55">
        <f t="shared" ca="1" si="28"/>
        <v>9550.6839661725262</v>
      </c>
      <c r="V126" s="55">
        <f t="shared" ca="1" si="29"/>
        <v>0</v>
      </c>
      <c r="W126" s="55">
        <f t="shared" ca="1" si="34"/>
        <v>-2144.5901464707017</v>
      </c>
      <c r="X126" s="55">
        <f t="shared" ca="1" si="35"/>
        <v>24.430029350614426</v>
      </c>
      <c r="Y126" s="55">
        <f t="shared" ca="1" si="36"/>
        <v>14.797972839157264</v>
      </c>
      <c r="Z126">
        <f t="shared" ca="1" si="30"/>
        <v>80.469787491376366</v>
      </c>
      <c r="AA126">
        <f t="shared" ca="1" si="37"/>
        <v>107.62111989349634</v>
      </c>
      <c r="AB126">
        <f t="shared" ca="1" si="31"/>
        <v>0</v>
      </c>
      <c r="AC126">
        <f t="shared" ca="1" si="32"/>
        <v>0.99999990284062357</v>
      </c>
      <c r="AD126" s="83">
        <f ca="1"/>
        <v>46125</v>
      </c>
      <c r="AE126" s="55">
        <f t="shared" ca="1" si="41"/>
        <v>46125</v>
      </c>
      <c r="AF126" s="55">
        <f t="shared" ca="1" si="42"/>
        <v>4634.136107222962</v>
      </c>
      <c r="AG126" s="55">
        <f t="shared" ca="1" si="43"/>
        <v>272.94778637148204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20.244644717039151</v>
      </c>
      <c r="AK126" s="55">
        <f t="shared" ca="1" si="40"/>
        <v>116.80904601467785</v>
      </c>
    </row>
    <row r="127" spans="18:37">
      <c r="R127" s="83">
        <f ca="1"/>
        <v>45985</v>
      </c>
      <c r="S127" s="55">
        <f t="shared" ca="1" si="33"/>
        <v>45985</v>
      </c>
      <c r="T127" s="55">
        <f t="shared" ca="1" si="27"/>
        <v>5698.3102844736795</v>
      </c>
      <c r="U127" s="55">
        <f t="shared" ca="1" si="28"/>
        <v>9855.1576687387114</v>
      </c>
      <c r="V127" s="55">
        <f t="shared" ca="1" si="29"/>
        <v>0</v>
      </c>
      <c r="W127" s="55">
        <f t="shared" ca="1" si="34"/>
        <v>-2144.5901464707017</v>
      </c>
      <c r="X127" s="55">
        <f t="shared" ca="1" si="35"/>
        <v>24.625413883970953</v>
      </c>
      <c r="Y127" s="55">
        <f t="shared" ca="1" si="36"/>
        <v>14.834699634039492</v>
      </c>
      <c r="Z127">
        <f t="shared" ca="1" si="30"/>
        <v>78.243700700499929</v>
      </c>
      <c r="AA127">
        <f t="shared" ca="1" si="37"/>
        <v>107.62111989349634</v>
      </c>
      <c r="AB127">
        <f t="shared" ca="1" si="31"/>
        <v>0</v>
      </c>
      <c r="AC127">
        <f t="shared" ca="1" si="32"/>
        <v>0.99999992289761552</v>
      </c>
      <c r="AD127" s="83">
        <f ca="1"/>
        <v>46126</v>
      </c>
      <c r="AE127" s="55">
        <f t="shared" ca="1" si="41"/>
        <v>46126</v>
      </c>
      <c r="AF127" s="55">
        <f t="shared" ca="1" si="42"/>
        <v>4630.6809269487276</v>
      </c>
      <c r="AG127" s="55">
        <f t="shared" ca="1" si="43"/>
        <v>277.22509940060098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20.391459520504359</v>
      </c>
      <c r="AK127" s="55">
        <f t="shared" ca="1" si="40"/>
        <v>117.48436396609654</v>
      </c>
    </row>
    <row r="128" spans="18:37">
      <c r="R128" s="83">
        <f ca="1"/>
        <v>45986</v>
      </c>
      <c r="S128" s="55">
        <f t="shared" ca="1" si="33"/>
        <v>45986</v>
      </c>
      <c r="T128" s="55">
        <f t="shared" ca="1" si="27"/>
        <v>5376.4341590510721</v>
      </c>
      <c r="U128" s="55">
        <f t="shared" ca="1" si="28"/>
        <v>10177.271125582878</v>
      </c>
      <c r="V128" s="55">
        <f t="shared" ca="1" si="29"/>
        <v>0</v>
      </c>
      <c r="W128" s="55">
        <f t="shared" ca="1" si="34"/>
        <v>-2144.5901464707017</v>
      </c>
      <c r="X128" s="55">
        <f t="shared" ca="1" si="35"/>
        <v>24.825783914105607</v>
      </c>
      <c r="Y128" s="55">
        <f t="shared" ca="1" si="36"/>
        <v>14.871661025464169</v>
      </c>
      <c r="Z128">
        <f t="shared" ca="1" si="30"/>
        <v>75.965439981689926</v>
      </c>
      <c r="AA128">
        <f t="shared" ca="1" si="37"/>
        <v>107.62111989349634</v>
      </c>
      <c r="AB128">
        <f t="shared" ca="1" si="31"/>
        <v>0</v>
      </c>
      <c r="AC128">
        <f t="shared" ca="1" si="32"/>
        <v>0.99999993938813636</v>
      </c>
      <c r="AD128" s="83">
        <f ca="1"/>
        <v>46127</v>
      </c>
      <c r="AE128" s="55">
        <f t="shared" ca="1" si="41"/>
        <v>46127</v>
      </c>
      <c r="AF128" s="55">
        <f t="shared" ca="1" si="42"/>
        <v>4627.3643794293212</v>
      </c>
      <c r="AG128" s="55">
        <f t="shared" ca="1" si="43"/>
        <v>281.36109116496601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20.537467558476187</v>
      </c>
      <c r="AK128" s="55">
        <f t="shared" ca="1" si="40"/>
        <v>118.15780017308344</v>
      </c>
    </row>
    <row r="129" spans="18:37">
      <c r="R129" s="83">
        <f ca="1"/>
        <v>45987</v>
      </c>
      <c r="S129" s="55">
        <f t="shared" ca="1" si="33"/>
        <v>45987</v>
      </c>
      <c r="T129" s="55">
        <f t="shared" ca="1" si="27"/>
        <v>5048.4196384613697</v>
      </c>
      <c r="U129" s="55">
        <f t="shared" ca="1" si="28"/>
        <v>10505.515633034933</v>
      </c>
      <c r="V129" s="55">
        <f t="shared" ca="1" si="29"/>
        <v>0</v>
      </c>
      <c r="W129" s="55">
        <f t="shared" ca="1" si="34"/>
        <v>-2144.5901464707017</v>
      </c>
      <c r="X129" s="55">
        <f t="shared" ca="1" si="35"/>
        <v>25.020043374092403</v>
      </c>
      <c r="Y129" s="55">
        <f t="shared" ca="1" si="36"/>
        <v>14.90738842782998</v>
      </c>
      <c r="Z129">
        <f t="shared" ca="1" si="30"/>
        <v>72.817614018704987</v>
      </c>
      <c r="AA129">
        <f t="shared" ca="1" si="37"/>
        <v>107.62111989349634</v>
      </c>
      <c r="AB129">
        <f t="shared" ca="1" si="31"/>
        <v>0</v>
      </c>
      <c r="AC129">
        <f t="shared" ca="1" si="32"/>
        <v>0.99999995238789707</v>
      </c>
      <c r="AD129" s="83">
        <f ca="1"/>
        <v>46128</v>
      </c>
      <c r="AE129" s="55">
        <f t="shared" ca="1" si="41"/>
        <v>46128</v>
      </c>
      <c r="AF129" s="55">
        <f t="shared" ca="1" si="42"/>
        <v>4623.9801743378757</v>
      </c>
      <c r="AG129" s="55">
        <f t="shared" ca="1" si="43"/>
        <v>285.6264020262808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20.693688927377039</v>
      </c>
      <c r="AK129" s="55">
        <f t="shared" ca="1" si="40"/>
        <v>118.88268457405198</v>
      </c>
    </row>
    <row r="130" spans="18:37">
      <c r="R130" s="83">
        <f ca="1"/>
        <v>45988</v>
      </c>
      <c r="S130" s="55">
        <f t="shared" ca="1" si="33"/>
        <v>45988</v>
      </c>
      <c r="T130" s="55">
        <f t="shared" ca="1" si="27"/>
        <v>4723.1453017437334</v>
      </c>
      <c r="U130" s="55">
        <f t="shared" ca="1" si="28"/>
        <v>10831.010423679023</v>
      </c>
      <c r="V130" s="55">
        <f t="shared" ca="1" si="29"/>
        <v>0</v>
      </c>
      <c r="W130" s="55">
        <f t="shared" ca="1" si="34"/>
        <v>-2144.5901464707017</v>
      </c>
      <c r="X130" s="55">
        <f t="shared" ca="1" si="35"/>
        <v>25.206915515743802</v>
      </c>
      <c r="Y130" s="55">
        <f t="shared" ca="1" si="36"/>
        <v>14.940970212632783</v>
      </c>
      <c r="Z130">
        <f t="shared" ca="1" si="30"/>
        <v>71.953243750531001</v>
      </c>
      <c r="AA130">
        <f t="shared" ca="1" si="37"/>
        <v>107.62111989349634</v>
      </c>
      <c r="AB130">
        <f t="shared" ca="1" si="31"/>
        <v>0</v>
      </c>
      <c r="AC130">
        <f t="shared" ca="1" si="32"/>
        <v>0.99999996239428779</v>
      </c>
      <c r="AD130" s="83">
        <f ca="1"/>
        <v>46129</v>
      </c>
      <c r="AE130" s="55">
        <f t="shared" ca="1" si="41"/>
        <v>46129</v>
      </c>
      <c r="AF130" s="55">
        <f t="shared" ca="1" si="42"/>
        <v>4620.7659098670647</v>
      </c>
      <c r="AG130" s="55">
        <f t="shared" ca="1" si="43"/>
        <v>289.71563943326186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20.848499093769401</v>
      </c>
      <c r="AK130" s="55">
        <f t="shared" ca="1" si="40"/>
        <v>119.60284734382938</v>
      </c>
    </row>
    <row r="131" spans="18:37">
      <c r="R131" s="83">
        <f ca="1"/>
        <v>45989</v>
      </c>
      <c r="S131" s="55">
        <f t="shared" ca="1" si="33"/>
        <v>45989</v>
      </c>
      <c r="T131" s="55">
        <f t="shared" ca="1" si="27"/>
        <v>9564.5624285135455</v>
      </c>
      <c r="U131" s="55">
        <f t="shared" ca="1" si="28"/>
        <v>11159.161243250172</v>
      </c>
      <c r="V131" s="55">
        <f t="shared" ca="1" si="29"/>
        <v>5169.3471922591589</v>
      </c>
      <c r="W131" s="55">
        <f t="shared" ca="1" si="34"/>
        <v>-2144.5901464707017</v>
      </c>
      <c r="X131" s="55">
        <f t="shared" ca="1" si="35"/>
        <v>25.395466167292884</v>
      </c>
      <c r="Y131" s="55">
        <f t="shared" ca="1" si="36"/>
        <v>14.97317364288612</v>
      </c>
      <c r="Z131">
        <f t="shared" ca="1" si="30"/>
        <v>73.344548176839538</v>
      </c>
      <c r="AA131">
        <f t="shared" ca="1" si="37"/>
        <v>107.62111989349634</v>
      </c>
      <c r="AB131">
        <f t="shared" ca="1" si="31"/>
        <v>0</v>
      </c>
      <c r="AC131">
        <f t="shared" ca="1" si="32"/>
        <v>0.99999997026154253</v>
      </c>
      <c r="AD131" s="83">
        <f ca="1"/>
        <v>46130</v>
      </c>
      <c r="AE131" s="55">
        <f t="shared" ca="1" si="41"/>
        <v>46130</v>
      </c>
      <c r="AF131" s="55">
        <f t="shared" ca="1" si="42"/>
        <v>4617.6371598607602</v>
      </c>
      <c r="AG131" s="55">
        <f t="shared" ca="1" si="43"/>
        <v>293.73113418880951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21.005437150433437</v>
      </c>
      <c r="AK131" s="55">
        <f t="shared" ca="1" si="40"/>
        <v>120.3326540364084</v>
      </c>
    </row>
    <row r="132" spans="18:37">
      <c r="R132" s="83">
        <f ca="1"/>
        <v>45990</v>
      </c>
      <c r="S132" s="55">
        <f t="shared" ca="1" si="33"/>
        <v>45990</v>
      </c>
      <c r="T132" s="55">
        <f t="shared" ca="1" si="27"/>
        <v>9230.2073125863699</v>
      </c>
      <c r="U132" s="55">
        <f t="shared" ca="1" si="28"/>
        <v>11493.73324995425</v>
      </c>
      <c r="V132" s="55">
        <f t="shared" ca="1" si="29"/>
        <v>0</v>
      </c>
      <c r="W132" s="55">
        <f t="shared" ca="1" si="34"/>
        <v>-2144.5901464707017</v>
      </c>
      <c r="X132" s="55">
        <f t="shared" ca="1" si="35"/>
        <v>25.581065318911715</v>
      </c>
      <c r="Y132" s="55">
        <f t="shared" ca="1" si="36"/>
        <v>15.004465268170719</v>
      </c>
      <c r="Z132">
        <f t="shared" ca="1" si="30"/>
        <v>71.118461282388537</v>
      </c>
      <c r="AA132">
        <f t="shared" ca="1" si="37"/>
        <v>107.62111989349634</v>
      </c>
      <c r="AB132">
        <f t="shared" ca="1" si="31"/>
        <v>0</v>
      </c>
      <c r="AC132">
        <f t="shared" ca="1" si="32"/>
        <v>0.99999997652223083</v>
      </c>
      <c r="AD132" s="83">
        <f ca="1"/>
        <v>46131</v>
      </c>
      <c r="AE132" s="55">
        <f t="shared" ca="1" si="41"/>
        <v>46131</v>
      </c>
      <c r="AF132" s="55">
        <f t="shared" ca="1" si="42"/>
        <v>4614.6568185948063</v>
      </c>
      <c r="AG132" s="55">
        <f t="shared" ca="1" si="43"/>
        <v>297.58078172340993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21.159820526302539</v>
      </c>
      <c r="AK132" s="55">
        <f t="shared" ca="1" si="40"/>
        <v>121.04757692918588</v>
      </c>
    </row>
    <row r="133" spans="18:37">
      <c r="R133" s="83">
        <f ca="1"/>
        <v>45991</v>
      </c>
      <c r="S133" s="55">
        <f t="shared" ca="1" si="33"/>
        <v>45991</v>
      </c>
      <c r="T133" s="55">
        <f t="shared" ca="1" si="27"/>
        <v>8885.9319222817849</v>
      </c>
      <c r="U133" s="55">
        <f t="shared" ca="1" si="28"/>
        <v>11838.225510470464</v>
      </c>
      <c r="V133" s="55">
        <f t="shared" ca="1" si="29"/>
        <v>0</v>
      </c>
      <c r="W133" s="55">
        <f t="shared" ca="1" si="34"/>
        <v>-2144.5901464707017</v>
      </c>
      <c r="X133" s="55">
        <f t="shared" ca="1" si="35"/>
        <v>25.76718283329561</v>
      </c>
      <c r="Y133" s="55">
        <f t="shared" ca="1" si="36"/>
        <v>15.035217965416141</v>
      </c>
      <c r="Z133">
        <f t="shared" ca="1" si="30"/>
        <v>69.327156980586523</v>
      </c>
      <c r="AA133">
        <f t="shared" ca="1" si="37"/>
        <v>107.62111989349634</v>
      </c>
      <c r="AB133">
        <f t="shared" ca="1" si="31"/>
        <v>0</v>
      </c>
      <c r="AC133">
        <f t="shared" ca="1" si="32"/>
        <v>0.99999998154361436</v>
      </c>
      <c r="AD133" s="83">
        <f ca="1"/>
        <v>46132</v>
      </c>
      <c r="AE133" s="55">
        <f t="shared" ca="1" si="41"/>
        <v>46132</v>
      </c>
      <c r="AF133" s="55">
        <f t="shared" ca="1" si="42"/>
        <v>4611.6668614250866</v>
      </c>
      <c r="AG133" s="55">
        <f t="shared" ca="1" si="43"/>
        <v>301.43284910111163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21.315274067993688</v>
      </c>
      <c r="AK133" s="55">
        <f t="shared" ca="1" si="40"/>
        <v>121.75423359547759</v>
      </c>
    </row>
    <row r="134" spans="18:37">
      <c r="R134" s="83">
        <f ca="1"/>
        <v>45992</v>
      </c>
      <c r="S134" s="55">
        <f t="shared" ca="1" si="33"/>
        <v>45992</v>
      </c>
      <c r="T134" s="55">
        <f t="shared" ca="1" si="27"/>
        <v>8532.5320949820634</v>
      </c>
      <c r="U134" s="55">
        <f t="shared" ca="1" si="28"/>
        <v>12191.837430231026</v>
      </c>
      <c r="V134" s="55">
        <f t="shared" ca="1" si="29"/>
        <v>0</v>
      </c>
      <c r="W134" s="55">
        <f t="shared" ca="1" si="34"/>
        <v>-2144.5901464707017</v>
      </c>
      <c r="X134" s="55">
        <f t="shared" ca="1" si="35"/>
        <v>25.949133533764726</v>
      </c>
      <c r="Y134" s="55">
        <f t="shared" ca="1" si="36"/>
        <v>15.065359725787445</v>
      </c>
      <c r="Z134">
        <f t="shared" ca="1" si="30"/>
        <v>65.472702093277121</v>
      </c>
      <c r="AA134">
        <f t="shared" ca="1" si="37"/>
        <v>107.62111989349634</v>
      </c>
      <c r="AB134">
        <f t="shared" ca="1" si="31"/>
        <v>0</v>
      </c>
      <c r="AC134">
        <f t="shared" ca="1" si="32"/>
        <v>0.99999998554606928</v>
      </c>
      <c r="AD134" s="83">
        <f ca="1"/>
        <v>46133</v>
      </c>
      <c r="AE134" s="55">
        <f t="shared" ca="1" si="41"/>
        <v>46133</v>
      </c>
      <c r="AF134" s="55">
        <f t="shared" ca="1" si="42"/>
        <v>4608.8395782073458</v>
      </c>
      <c r="AG134" s="55">
        <f t="shared" ca="1" si="43"/>
        <v>305.14803320573645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21.473822834819366</v>
      </c>
      <c r="AK134" s="55">
        <f t="shared" ca="1" si="40"/>
        <v>122.48358571553695</v>
      </c>
    </row>
    <row r="135" spans="18:37">
      <c r="R135" s="83">
        <f ca="1"/>
        <v>45993</v>
      </c>
      <c r="S135" s="55">
        <f t="shared" ca="1" si="33"/>
        <v>45993</v>
      </c>
      <c r="T135" s="55">
        <f t="shared" ca="1" si="27"/>
        <v>8166.6620120872103</v>
      </c>
      <c r="U135" s="55">
        <f t="shared" ca="1" si="28"/>
        <v>12557.931263177506</v>
      </c>
      <c r="V135" s="55">
        <f t="shared" ca="1" si="29"/>
        <v>0</v>
      </c>
      <c r="W135" s="55">
        <f t="shared" ca="1" si="34"/>
        <v>-2144.5901464707017</v>
      </c>
      <c r="X135" s="55">
        <f t="shared" ca="1" si="35"/>
        <v>26.143034757113966</v>
      </c>
      <c r="Y135" s="55">
        <f t="shared" ca="1" si="36"/>
        <v>15.095208554065987</v>
      </c>
      <c r="Z135">
        <f t="shared" ca="1" si="30"/>
        <v>68.272702124390804</v>
      </c>
      <c r="AA135">
        <f t="shared" ca="1" si="37"/>
        <v>107.62111989349634</v>
      </c>
      <c r="AB135">
        <f t="shared" ca="1" si="31"/>
        <v>0</v>
      </c>
      <c r="AC135">
        <f t="shared" ca="1" si="32"/>
        <v>0.99999998875088247</v>
      </c>
      <c r="AD135" s="83">
        <f ca="1"/>
        <v>46134</v>
      </c>
      <c r="AE135" s="55">
        <f t="shared" ca="1" si="41"/>
        <v>46134</v>
      </c>
      <c r="AF135" s="55">
        <f t="shared" ca="1" si="42"/>
        <v>4606.3137990521182</v>
      </c>
      <c r="AG135" s="55">
        <f t="shared" ca="1" si="43"/>
        <v>308.52534341632281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21.62680643080644</v>
      </c>
      <c r="AK135" s="55">
        <f t="shared" ca="1" si="40"/>
        <v>123.18213317490827</v>
      </c>
    </row>
    <row r="136" spans="18:37">
      <c r="R136" s="83">
        <f ca="1"/>
        <v>45994</v>
      </c>
      <c r="S136" s="55">
        <f t="shared" ca="1" si="33"/>
        <v>45994</v>
      </c>
      <c r="T136" s="55">
        <f t="shared" ca="1" si="27"/>
        <v>7791.1722147219352</v>
      </c>
      <c r="U136" s="55">
        <f t="shared" ca="1" si="28"/>
        <v>12933.640602080735</v>
      </c>
      <c r="V136" s="55">
        <f t="shared" ca="1" si="29"/>
        <v>0</v>
      </c>
      <c r="W136" s="55">
        <f t="shared" ca="1" si="34"/>
        <v>-2144.5901464707017</v>
      </c>
      <c r="X136" s="55">
        <f t="shared" ca="1" si="35"/>
        <v>26.333287353800763</v>
      </c>
      <c r="Y136" s="55">
        <f t="shared" ca="1" si="36"/>
        <v>15.124497495332321</v>
      </c>
      <c r="Z136">
        <f t="shared" ca="1" si="30"/>
        <v>64.498789106266102</v>
      </c>
      <c r="AA136">
        <f t="shared" ca="1" si="37"/>
        <v>107.62111989349634</v>
      </c>
      <c r="AB136">
        <f t="shared" ca="1" si="31"/>
        <v>0</v>
      </c>
      <c r="AC136">
        <f t="shared" ca="1" si="32"/>
        <v>0.99999999128361627</v>
      </c>
      <c r="AD136" s="83">
        <f ca="1"/>
        <v>46135</v>
      </c>
      <c r="AE136" s="55">
        <f t="shared" ca="1" si="41"/>
        <v>46135</v>
      </c>
      <c r="AF136" s="55">
        <f t="shared" ca="1" si="42"/>
        <v>4603.8110963175423</v>
      </c>
      <c r="AG136" s="55">
        <f t="shared" ca="1" si="43"/>
        <v>311.88237110148475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21.781847210172028</v>
      </c>
      <c r="AK136" s="55">
        <f t="shared" ca="1" si="40"/>
        <v>123.88141734612904</v>
      </c>
    </row>
    <row r="137" spans="18:37">
      <c r="R137" s="83">
        <f ca="1"/>
        <v>45995</v>
      </c>
      <c r="S137" s="55">
        <f t="shared" ca="1" si="33"/>
        <v>45995</v>
      </c>
      <c r="T137" s="55">
        <f t="shared" ca="1" si="27"/>
        <v>7411.8055144721611</v>
      </c>
      <c r="U137" s="55">
        <f t="shared" ca="1" si="28"/>
        <v>13313.235630539393</v>
      </c>
      <c r="V137" s="55">
        <f t="shared" ca="1" si="29"/>
        <v>0</v>
      </c>
      <c r="W137" s="55">
        <f t="shared" ca="1" si="34"/>
        <v>-2144.5901464707017</v>
      </c>
      <c r="X137" s="55">
        <f t="shared" ca="1" si="35"/>
        <v>26.533360605940835</v>
      </c>
      <c r="Y137" s="55">
        <f t="shared" ca="1" si="36"/>
        <v>15.152752452075935</v>
      </c>
      <c r="Z137">
        <f t="shared" ca="1" si="30"/>
        <v>68.690093473797532</v>
      </c>
      <c r="AA137">
        <f t="shared" ca="1" si="37"/>
        <v>107.62111989349634</v>
      </c>
      <c r="AB137">
        <f t="shared" ca="1" si="31"/>
        <v>0</v>
      </c>
      <c r="AC137">
        <f t="shared" ca="1" si="32"/>
        <v>0.99999999325123778</v>
      </c>
      <c r="AD137" s="83">
        <f ca="1"/>
        <v>46136</v>
      </c>
      <c r="AE137" s="55">
        <f t="shared" ca="1" si="41"/>
        <v>46136</v>
      </c>
      <c r="AF137" s="55">
        <f t="shared" ca="1" si="42"/>
        <v>4601.4350011454108</v>
      </c>
      <c r="AG137" s="55">
        <f t="shared" ca="1" si="43"/>
        <v>315.10093982965759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21.940702368960672</v>
      </c>
      <c r="AK137" s="55">
        <f t="shared" ca="1" si="40"/>
        <v>124.56503574338223</v>
      </c>
    </row>
    <row r="138" spans="18:37">
      <c r="R138" s="83">
        <f ca="1"/>
        <v>45996</v>
      </c>
      <c r="S138" s="55">
        <f t="shared" ca="1" si="33"/>
        <v>45996</v>
      </c>
      <c r="T138" s="55">
        <f t="shared" ca="1" si="27"/>
        <v>7034.2341513239908</v>
      </c>
      <c r="U138" s="55">
        <f t="shared" ca="1" si="28"/>
        <v>13691.035257029474</v>
      </c>
      <c r="V138" s="55">
        <f t="shared" ca="1" si="29"/>
        <v>0</v>
      </c>
      <c r="W138" s="55">
        <f t="shared" ca="1" si="34"/>
        <v>-2144.5901464707017</v>
      </c>
      <c r="X138" s="55">
        <f t="shared" ca="1" si="35"/>
        <v>26.734790260873115</v>
      </c>
      <c r="Y138" s="55">
        <f t="shared" ca="1" si="36"/>
        <v>15.179586139054139</v>
      </c>
      <c r="Z138">
        <f t="shared" ca="1" si="30"/>
        <v>70.568354358246623</v>
      </c>
      <c r="AA138">
        <f t="shared" ca="1" si="37"/>
        <v>107.62111989349634</v>
      </c>
      <c r="AB138">
        <f t="shared" ca="1" si="31"/>
        <v>0</v>
      </c>
      <c r="AC138">
        <f t="shared" ca="1" si="32"/>
        <v>0.99999999476037393</v>
      </c>
      <c r="AD138" s="83">
        <f ca="1"/>
        <v>46137</v>
      </c>
      <c r="AE138" s="55">
        <f t="shared" ca="1" si="41"/>
        <v>46137</v>
      </c>
      <c r="AF138" s="55">
        <f t="shared" ca="1" si="42"/>
        <v>4599.0646244212312</v>
      </c>
      <c r="AG138" s="55">
        <f t="shared" ca="1" si="43"/>
        <v>318.33883651548126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22.117914766884031</v>
      </c>
      <c r="AK138" s="55">
        <f t="shared" ca="1" si="40"/>
        <v>125.25534330710315</v>
      </c>
    </row>
    <row r="139" spans="18:37">
      <c r="R139" s="83">
        <f ca="1"/>
        <v>45997</v>
      </c>
      <c r="S139" s="55">
        <f t="shared" ca="1" si="33"/>
        <v>45997</v>
      </c>
      <c r="T139" s="55">
        <f t="shared" ca="1" si="27"/>
        <v>6654.1930851856214</v>
      </c>
      <c r="U139" s="55">
        <f t="shared" ca="1" si="28"/>
        <v>14071.303120567494</v>
      </c>
      <c r="V139" s="55">
        <f t="shared" ca="1" si="29"/>
        <v>0</v>
      </c>
      <c r="W139" s="55">
        <f t="shared" ca="1" si="34"/>
        <v>-2144.5901464707017</v>
      </c>
      <c r="X139" s="55">
        <f t="shared" ca="1" si="35"/>
        <v>26.935722118208538</v>
      </c>
      <c r="Y139" s="55">
        <f t="shared" ca="1" si="36"/>
        <v>15.205451681369212</v>
      </c>
      <c r="Z139">
        <f t="shared" ca="1" si="30"/>
        <v>70.133571761144538</v>
      </c>
      <c r="AA139">
        <f t="shared" ca="1" si="37"/>
        <v>107.62111989349634</v>
      </c>
      <c r="AB139">
        <f t="shared" ca="1" si="31"/>
        <v>0</v>
      </c>
      <c r="AC139">
        <f t="shared" ca="1" si="32"/>
        <v>0.99999999593389699</v>
      </c>
      <c r="AD139" s="83">
        <f ca="1"/>
        <v>46138</v>
      </c>
      <c r="AE139" s="55">
        <f t="shared" ca="1" si="41"/>
        <v>46138</v>
      </c>
      <c r="AF139" s="55">
        <f t="shared" ca="1" si="42"/>
        <v>4596.7092032581186</v>
      </c>
      <c r="AG139" s="55">
        <f t="shared" ca="1" si="43"/>
        <v>321.57305895415141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22.302291173518562</v>
      </c>
      <c r="AK139" s="55">
        <f t="shared" ca="1" si="40"/>
        <v>125.9497681760264</v>
      </c>
    </row>
    <row r="140" spans="18:37">
      <c r="R140" s="83">
        <f ca="1"/>
        <v>45998</v>
      </c>
      <c r="S140" s="55">
        <f t="shared" ca="1" si="33"/>
        <v>45998</v>
      </c>
      <c r="T140" s="55">
        <f t="shared" ca="1" si="27"/>
        <v>6284.7424716437217</v>
      </c>
      <c r="U140" s="55">
        <f t="shared" ca="1" si="28"/>
        <v>14440.970470376156</v>
      </c>
      <c r="V140" s="55">
        <f t="shared" ca="1" si="29"/>
        <v>0</v>
      </c>
      <c r="W140" s="55">
        <f t="shared" ca="1" si="34"/>
        <v>-2144.5901464707017</v>
      </c>
      <c r="X140" s="55">
        <f t="shared" ca="1" si="35"/>
        <v>27.128440716816218</v>
      </c>
      <c r="Y140" s="55">
        <f t="shared" ca="1" si="36"/>
        <v>15.229469349523942</v>
      </c>
      <c r="Z140">
        <f t="shared" ca="1" si="30"/>
        <v>70.081397857295144</v>
      </c>
      <c r="AA140">
        <f t="shared" ca="1" si="37"/>
        <v>107.62111989349634</v>
      </c>
      <c r="AB140">
        <f t="shared" ca="1" si="31"/>
        <v>0</v>
      </c>
      <c r="AC140">
        <f t="shared" ca="1" si="32"/>
        <v>0.99999999681954299</v>
      </c>
      <c r="AD140" s="83">
        <f ca="1"/>
        <v>46139</v>
      </c>
      <c r="AE140" s="55">
        <f t="shared" ca="1" si="41"/>
        <v>46139</v>
      </c>
      <c r="AF140" s="55">
        <f t="shared" ca="1" si="42"/>
        <v>4594.3314433120067</v>
      </c>
      <c r="AG140" s="55">
        <f t="shared" ca="1" si="43"/>
        <v>324.85062139628371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22.495512056826243</v>
      </c>
      <c r="AK140" s="55">
        <f t="shared" ca="1" si="40"/>
        <v>126.65634978873894</v>
      </c>
    </row>
    <row r="141" spans="18:37">
      <c r="R141" s="83">
        <f ca="1"/>
        <v>45999</v>
      </c>
      <c r="S141" s="55">
        <f t="shared" ca="1" si="33"/>
        <v>45999</v>
      </c>
      <c r="T141" s="55">
        <f t="shared" ca="1" si="27"/>
        <v>5915.6432640371477</v>
      </c>
      <c r="U141" s="55">
        <f t="shared" ca="1" si="28"/>
        <v>14810.278852977146</v>
      </c>
      <c r="V141" s="55">
        <f t="shared" ca="1" si="29"/>
        <v>0</v>
      </c>
      <c r="W141" s="55">
        <f t="shared" ca="1" si="34"/>
        <v>-2144.5901464707017</v>
      </c>
      <c r="X141" s="55">
        <f t="shared" ca="1" si="35"/>
        <v>27.314555553611576</v>
      </c>
      <c r="Y141" s="55">
        <f t="shared" ca="1" si="36"/>
        <v>15.252529507144251</v>
      </c>
      <c r="Z141">
        <f t="shared" ca="1" si="30"/>
        <v>67.299345017795872</v>
      </c>
      <c r="AA141">
        <f t="shared" ca="1" si="37"/>
        <v>107.62111989349634</v>
      </c>
      <c r="AB141">
        <f t="shared" ca="1" si="31"/>
        <v>0</v>
      </c>
      <c r="AC141">
        <f t="shared" ca="1" si="32"/>
        <v>0.99999999751039303</v>
      </c>
      <c r="AD141" s="83">
        <f ca="1"/>
        <v>46140</v>
      </c>
      <c r="AE141" s="55">
        <f t="shared" ca="1" si="41"/>
        <v>46140</v>
      </c>
      <c r="AF141" s="55">
        <f t="shared" ca="1" si="42"/>
        <v>4591.9834872634056</v>
      </c>
      <c r="AG141" s="55">
        <f t="shared" ca="1" si="43"/>
        <v>328.11294084546046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22.699129414047103</v>
      </c>
      <c r="AK141" s="55">
        <f t="shared" ca="1" si="40"/>
        <v>127.36709583209444</v>
      </c>
    </row>
    <row r="142" spans="18:37">
      <c r="R142" s="83">
        <f ca="1"/>
        <v>46000</v>
      </c>
      <c r="S142" s="55">
        <f t="shared" ca="1" si="33"/>
        <v>46000</v>
      </c>
      <c r="T142" s="55">
        <f t="shared" ca="1" si="27"/>
        <v>5535.6453624848591</v>
      </c>
      <c r="U142" s="55">
        <f t="shared" ca="1" si="28"/>
        <v>15190.484399273302</v>
      </c>
      <c r="V142" s="55">
        <f t="shared" ca="1" si="29"/>
        <v>0</v>
      </c>
      <c r="W142" s="55">
        <f t="shared" ca="1" si="34"/>
        <v>-2144.5901464707017</v>
      </c>
      <c r="X142" s="55">
        <f t="shared" ca="1" si="35"/>
        <v>27.499272453586499</v>
      </c>
      <c r="Y142" s="55">
        <f t="shared" ca="1" si="36"/>
        <v>15.275457351036756</v>
      </c>
      <c r="Z142">
        <f t="shared" ca="1" si="30"/>
        <v>63.317236594799738</v>
      </c>
      <c r="AA142">
        <f t="shared" ca="1" si="37"/>
        <v>107.62111989349634</v>
      </c>
      <c r="AB142">
        <f t="shared" ca="1" si="31"/>
        <v>0</v>
      </c>
      <c r="AC142">
        <f t="shared" ca="1" si="32"/>
        <v>0.9999999980647587</v>
      </c>
      <c r="AD142" s="83">
        <f ca="1"/>
        <v>46141</v>
      </c>
      <c r="AE142" s="55">
        <f t="shared" ca="1" si="41"/>
        <v>46141</v>
      </c>
      <c r="AF142" s="55">
        <f t="shared" ca="1" si="42"/>
        <v>4589.9340829833036</v>
      </c>
      <c r="AG142" s="55">
        <f t="shared" ca="1" si="43"/>
        <v>331.01586753917388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22.892430982058411</v>
      </c>
      <c r="AK142" s="55">
        <f t="shared" ca="1" si="40"/>
        <v>128.02731667769419</v>
      </c>
    </row>
    <row r="143" spans="18:37">
      <c r="R143" s="83">
        <f ca="1"/>
        <v>46001</v>
      </c>
      <c r="S143" s="55">
        <f t="shared" ca="1" si="33"/>
        <v>46001</v>
      </c>
      <c r="T143" s="55">
        <f t="shared" ca="1" si="27"/>
        <v>10327.19169293845</v>
      </c>
      <c r="U143" s="55">
        <f t="shared" ca="1" si="28"/>
        <v>15568.506015160674</v>
      </c>
      <c r="V143" s="55">
        <f t="shared" ca="1" si="29"/>
        <v>5169.3649427906539</v>
      </c>
      <c r="W143" s="55">
        <f t="shared" ca="1" si="34"/>
        <v>-2144.5901464707017</v>
      </c>
      <c r="X143" s="55">
        <f t="shared" ca="1" si="35"/>
        <v>27.680340474362161</v>
      </c>
      <c r="Y143" s="55">
        <f t="shared" ca="1" si="36"/>
        <v>15.297392880569388</v>
      </c>
      <c r="Z143">
        <f t="shared" ca="1" si="30"/>
        <v>62.15073032102574</v>
      </c>
      <c r="AA143">
        <f t="shared" ca="1" si="37"/>
        <v>107.62111989349634</v>
      </c>
      <c r="AB143">
        <f t="shared" ca="1" si="31"/>
        <v>0</v>
      </c>
      <c r="AC143">
        <f t="shared" ca="1" si="32"/>
        <v>0.9999999984936232</v>
      </c>
      <c r="AD143" s="83">
        <f ca="1"/>
        <v>46142</v>
      </c>
      <c r="AE143" s="55">
        <f t="shared" ca="1" si="41"/>
        <v>46142</v>
      </c>
      <c r="AF143" s="55">
        <f t="shared" ca="1" si="42"/>
        <v>4588.0548505196939</v>
      </c>
      <c r="AG143" s="55">
        <f t="shared" ca="1" si="43"/>
        <v>333.72754703923243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23.089303477308224</v>
      </c>
      <c r="AK143" s="55">
        <f t="shared" ca="1" si="40"/>
        <v>128.66289121889344</v>
      </c>
    </row>
    <row r="144" spans="18:37">
      <c r="R144" s="83">
        <f ca="1"/>
        <v>46002</v>
      </c>
      <c r="S144" s="55">
        <f t="shared" ca="1" si="33"/>
        <v>46002</v>
      </c>
      <c r="T144" s="55">
        <f t="shared" ca="1" si="27"/>
        <v>9937.6129006639603</v>
      </c>
      <c r="U144" s="55">
        <f t="shared" ca="1" si="28"/>
        <v>15958.286262530895</v>
      </c>
      <c r="V144" s="55">
        <f t="shared" ca="1" si="29"/>
        <v>0</v>
      </c>
      <c r="W144" s="55">
        <f t="shared" ca="1" si="34"/>
        <v>-2144.5901464707017</v>
      </c>
      <c r="X144" s="55">
        <f t="shared" ca="1" si="35"/>
        <v>27.8606352316956</v>
      </c>
      <c r="Y144" s="55">
        <f t="shared" ca="1" si="36"/>
        <v>15.31855321896651</v>
      </c>
      <c r="Z144">
        <f t="shared" ca="1" si="30"/>
        <v>57.900874675880296</v>
      </c>
      <c r="AA144">
        <f t="shared" ca="1" si="37"/>
        <v>107.62111989349634</v>
      </c>
      <c r="AB144">
        <f t="shared" ca="1" si="31"/>
        <v>0</v>
      </c>
      <c r="AC144">
        <f t="shared" ca="1" si="32"/>
        <v>0.99999999883703405</v>
      </c>
      <c r="AD144" s="83">
        <f ca="1"/>
        <v>46143</v>
      </c>
      <c r="AE144" s="55">
        <f t="shared" ca="1" si="41"/>
        <v>46143</v>
      </c>
      <c r="AF144" s="55">
        <f t="shared" ca="1" si="42"/>
        <v>4586.2286130023531</v>
      </c>
      <c r="AG144" s="55">
        <f t="shared" ca="1" si="43"/>
        <v>336.38869841836703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23.292111058703817</v>
      </c>
      <c r="AK144" s="55">
        <f t="shared" ca="1" si="40"/>
        <v>129.29499749929158</v>
      </c>
    </row>
    <row r="145" spans="18:37">
      <c r="R145" s="83">
        <f ca="1"/>
        <v>46003</v>
      </c>
      <c r="S145" s="55">
        <f t="shared" ca="1" si="33"/>
        <v>46003</v>
      </c>
      <c r="T145" s="55">
        <f t="shared" ca="1" si="27"/>
        <v>9538.7030923433904</v>
      </c>
      <c r="U145" s="55">
        <f t="shared" ca="1" si="28"/>
        <v>16357.398115669401</v>
      </c>
      <c r="V145" s="55">
        <f t="shared" ca="1" si="29"/>
        <v>0</v>
      </c>
      <c r="W145" s="55">
        <f t="shared" ca="1" si="34"/>
        <v>-2144.5901464707017</v>
      </c>
      <c r="X145" s="55">
        <f t="shared" ca="1" si="35"/>
        <v>28.042528738718453</v>
      </c>
      <c r="Y145" s="55">
        <f t="shared" ca="1" si="36"/>
        <v>15.338704529879648</v>
      </c>
      <c r="Z145">
        <f t="shared" ca="1" si="30"/>
        <v>55.4499176401645</v>
      </c>
      <c r="AA145">
        <f t="shared" ca="1" si="37"/>
        <v>107.62111989349634</v>
      </c>
      <c r="AB145">
        <f t="shared" ca="1" si="31"/>
        <v>0</v>
      </c>
      <c r="AC145">
        <f t="shared" ca="1" si="32"/>
        <v>0.99999999910841342</v>
      </c>
      <c r="AD145" s="83">
        <f ca="1"/>
        <v>46144</v>
      </c>
      <c r="AE145" s="55">
        <f t="shared" ca="1" si="41"/>
        <v>46144</v>
      </c>
      <c r="AF145" s="55">
        <f t="shared" ca="1" si="42"/>
        <v>4584.5061646613567</v>
      </c>
      <c r="AG145" s="55">
        <f t="shared" ca="1" si="43"/>
        <v>338.9519515160988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23.511690130615587</v>
      </c>
      <c r="AK145" s="55">
        <f t="shared" ca="1" si="40"/>
        <v>129.91622318411538</v>
      </c>
    </row>
    <row r="146" spans="18:37">
      <c r="R146" s="83">
        <f ca="1"/>
        <v>46004</v>
      </c>
      <c r="S146" s="55">
        <f t="shared" ca="1" si="33"/>
        <v>46004</v>
      </c>
      <c r="T146" s="55">
        <f t="shared" ref="T146:T209" ca="1" si="45">VLOOKUP(S146,ModelOutputs,2,FALSE)</f>
        <v>9146.7675255339109</v>
      </c>
      <c r="U146" s="55">
        <f t="shared" ref="U146:U209" ca="1" si="46">VLOOKUP(S146,ModelOutputs,7,FALSE)</f>
        <v>16749.526596430173</v>
      </c>
      <c r="V146" s="55">
        <f t="shared" ref="V146:V209" ca="1" si="47">VLOOKUP(S146,ModelOutputs,6,FALSE)</f>
        <v>0</v>
      </c>
      <c r="W146" s="55">
        <f t="shared" ca="1" si="34"/>
        <v>-2144.5901464707017</v>
      </c>
      <c r="X146" s="55">
        <f t="shared" ca="1" si="35"/>
        <v>28.217069007096836</v>
      </c>
      <c r="Y146" s="55">
        <f t="shared" ca="1" si="36"/>
        <v>15.357078212792093</v>
      </c>
      <c r="Z146">
        <f t="shared" ref="Z146:Z209" ca="1" si="48">VLOOKUP(S146,ModelOutputs,10,FALSE)*AWC</f>
        <v>53.26144761286411</v>
      </c>
      <c r="AA146">
        <f t="shared" ca="1" si="37"/>
        <v>107.62111989349634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0.99999999931407224</v>
      </c>
      <c r="AD146" s="83">
        <f ca="1"/>
        <v>46145</v>
      </c>
      <c r="AE146" s="55">
        <f t="shared" ca="1" si="41"/>
        <v>46145</v>
      </c>
      <c r="AF146" s="55">
        <f t="shared" ca="1" si="42"/>
        <v>4582.8713186754258</v>
      </c>
      <c r="AG146" s="55">
        <f t="shared" ca="1" si="43"/>
        <v>341.41739679148037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23.732203321595399</v>
      </c>
      <c r="AK146" s="55">
        <f t="shared" ca="1" si="40"/>
        <v>130.52630928258642</v>
      </c>
    </row>
    <row r="147" spans="18:37">
      <c r="R147" s="83">
        <f ca="1"/>
        <v>46005</v>
      </c>
      <c r="S147" s="55">
        <f t="shared" ref="S147:S210" ca="1" si="51">IF(R147&gt;1,R147,"")</f>
        <v>46005</v>
      </c>
      <c r="T147" s="55">
        <f t="shared" ca="1" si="45"/>
        <v>8758.8830656206719</v>
      </c>
      <c r="U147" s="55">
        <f t="shared" ca="1" si="46"/>
        <v>17137.6062387493</v>
      </c>
      <c r="V147" s="55">
        <f t="shared" ca="1" si="47"/>
        <v>0</v>
      </c>
      <c r="W147" s="55">
        <f t="shared" ref="W147:W210" ca="1" si="52">-VLOOKUP(S147,ModelOutputs,9,FALSE)+W146</f>
        <v>-2144.5901464707017</v>
      </c>
      <c r="X147" s="55">
        <f t="shared" ref="X147:X210" ca="1" si="53">VLOOKUP(S147,ModelOutputs,5,FALSE)+X146</f>
        <v>28.394007637213065</v>
      </c>
      <c r="Y147" s="55">
        <f t="shared" ref="Y147:Y210" ca="1" si="54">VLOOKUP(S147,ModelOutputs,4,FALSE)+Y146</f>
        <v>15.37532198856392</v>
      </c>
      <c r="Z147">
        <f t="shared" ca="1" si="48"/>
        <v>55.10052024123847</v>
      </c>
      <c r="AA147">
        <f t="shared" ref="AA147:AA210" ca="1" si="55">VLOOKUP(S147,ModelOutputs,11,FALSE)+AA146</f>
        <v>107.62111989349634</v>
      </c>
      <c r="AB147">
        <f t="shared" ca="1" si="49"/>
        <v>0</v>
      </c>
      <c r="AC147">
        <f t="shared" ca="1" si="50"/>
        <v>0.99999999947165019</v>
      </c>
      <c r="AD147" s="83">
        <f ca="1"/>
        <v>46146</v>
      </c>
      <c r="AE147" s="55">
        <f t="shared" ca="1" si="41"/>
        <v>46146</v>
      </c>
      <c r="AF147" s="55">
        <f t="shared" ca="1" si="42"/>
        <v>4581.3535224341804</v>
      </c>
      <c r="AG147" s="55">
        <f t="shared" ca="1" si="43"/>
        <v>343.74422363231565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23.949087140967748</v>
      </c>
      <c r="AK147" s="55">
        <f t="shared" ref="AK147:AK210" ca="1" si="58">VLOOKUP(AE147,ModelOutputs,4,FALSE)+AK146</f>
        <v>131.11845606280454</v>
      </c>
    </row>
    <row r="148" spans="18:37">
      <c r="R148" s="83">
        <f ca="1"/>
        <v>46006</v>
      </c>
      <c r="S148" s="55">
        <f t="shared" ca="1" si="51"/>
        <v>46006</v>
      </c>
      <c r="T148" s="55">
        <f t="shared" ca="1" si="45"/>
        <v>8377.3007316100011</v>
      </c>
      <c r="U148" s="55">
        <f t="shared" ca="1" si="46"/>
        <v>17519.37850495979</v>
      </c>
      <c r="V148" s="55">
        <f t="shared" ca="1" si="47"/>
        <v>0</v>
      </c>
      <c r="W148" s="55">
        <f t="shared" ca="1" si="52"/>
        <v>-2144.5901464707017</v>
      </c>
      <c r="X148" s="55">
        <f t="shared" ca="1" si="53"/>
        <v>28.566847338506818</v>
      </c>
      <c r="Y148" s="55">
        <f t="shared" ca="1" si="54"/>
        <v>15.392414487088764</v>
      </c>
      <c r="Z148">
        <f t="shared" ca="1" si="48"/>
        <v>54.077424737491974</v>
      </c>
      <c r="AA148">
        <f t="shared" ca="1" si="55"/>
        <v>107.62111989349634</v>
      </c>
      <c r="AB148">
        <f t="shared" ca="1" si="49"/>
        <v>0</v>
      </c>
      <c r="AC148">
        <f t="shared" ca="1" si="50"/>
        <v>0.99999999959203678</v>
      </c>
      <c r="AD148" s="83">
        <f ca="1"/>
        <v>46147</v>
      </c>
      <c r="AE148" s="55">
        <f t="shared" ca="1" si="41"/>
        <v>46147</v>
      </c>
      <c r="AF148" s="55">
        <f t="shared" ca="1" si="42"/>
        <v>4579.8795281297307</v>
      </c>
      <c r="AG148" s="55">
        <f t="shared" ca="1" si="43"/>
        <v>346.03170498005835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24.172928775728007</v>
      </c>
      <c r="AK148" s="55">
        <f t="shared" ca="1" si="58"/>
        <v>131.70810147133764</v>
      </c>
    </row>
    <row r="149" spans="18:37">
      <c r="R149" s="83">
        <f ca="1"/>
        <v>46007</v>
      </c>
      <c r="S149" s="55">
        <f t="shared" ca="1" si="51"/>
        <v>46007</v>
      </c>
      <c r="T149" s="55">
        <f t="shared" ca="1" si="45"/>
        <v>7996.6691213062368</v>
      </c>
      <c r="U149" s="55">
        <f t="shared" ca="1" si="46"/>
        <v>17900.20965513933</v>
      </c>
      <c r="V149" s="55">
        <f t="shared" ca="1" si="47"/>
        <v>0</v>
      </c>
      <c r="W149" s="55">
        <f t="shared" ca="1" si="52"/>
        <v>-2144.5901464707017</v>
      </c>
      <c r="X149" s="55">
        <f t="shared" ca="1" si="53"/>
        <v>28.748583934277871</v>
      </c>
      <c r="Y149" s="55">
        <f t="shared" ca="1" si="54"/>
        <v>15.410217767094522</v>
      </c>
      <c r="Z149">
        <f t="shared" ca="1" si="48"/>
        <v>57.991421393191544</v>
      </c>
      <c r="AA149">
        <f t="shared" ca="1" si="55"/>
        <v>107.62111989349634</v>
      </c>
      <c r="AB149">
        <f t="shared" ca="1" si="49"/>
        <v>0</v>
      </c>
      <c r="AC149">
        <f t="shared" ca="1" si="50"/>
        <v>0.99999999968547137</v>
      </c>
      <c r="AD149" s="83">
        <f ca="1"/>
        <v>46148</v>
      </c>
      <c r="AE149" s="55">
        <f t="shared" ref="AE149:AE212" ca="1" si="59">IF(AD149&gt;1,AD149,"")</f>
        <v>46148</v>
      </c>
      <c r="AF149" s="55">
        <f t="shared" ref="AF149:AF212" ca="1" si="60">VLOOKUP(AE149,ModelOutputs,2,FALSE)</f>
        <v>4578.4394948219506</v>
      </c>
      <c r="AG149" s="55">
        <f t="shared" ref="AG149:AG212" ca="1" si="61">VLOOKUP(AE149,ModelOutputs,7,FALSE)</f>
        <v>348.29570516458233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24.406998698205843</v>
      </c>
      <c r="AK149" s="55">
        <f t="shared" ca="1" si="58"/>
        <v>132.29799842560385</v>
      </c>
    </row>
    <row r="150" spans="18:37">
      <c r="R150" s="83">
        <f ca="1"/>
        <v>46008</v>
      </c>
      <c r="S150" s="55">
        <f t="shared" ca="1" si="51"/>
        <v>46008</v>
      </c>
      <c r="T150" s="55">
        <f t="shared" ca="1" si="45"/>
        <v>7618.8282414362866</v>
      </c>
      <c r="U150" s="55">
        <f t="shared" ca="1" si="46"/>
        <v>18278.255342926397</v>
      </c>
      <c r="V150" s="55">
        <f t="shared" ca="1" si="47"/>
        <v>0</v>
      </c>
      <c r="W150" s="55">
        <f t="shared" ca="1" si="52"/>
        <v>-2144.5901464707017</v>
      </c>
      <c r="X150" s="55">
        <f t="shared" ca="1" si="53"/>
        <v>28.935609630948171</v>
      </c>
      <c r="Y150" s="55">
        <f t="shared" ca="1" si="54"/>
        <v>15.427999987541394</v>
      </c>
      <c r="Z150">
        <f t="shared" ca="1" si="48"/>
        <v>60.331409687838224</v>
      </c>
      <c r="AA150">
        <f t="shared" ca="1" si="55"/>
        <v>107.62111989349634</v>
      </c>
      <c r="AB150">
        <f t="shared" ca="1" si="49"/>
        <v>0</v>
      </c>
      <c r="AC150">
        <f t="shared" ca="1" si="50"/>
        <v>0.9999999997576543</v>
      </c>
      <c r="AD150" s="83">
        <f ca="1"/>
        <v>46149</v>
      </c>
      <c r="AE150" s="55">
        <f t="shared" ca="1" si="59"/>
        <v>46149</v>
      </c>
      <c r="AF150" s="55">
        <f t="shared" ca="1" si="60"/>
        <v>4577.1135923263409</v>
      </c>
      <c r="AG150" s="55">
        <f t="shared" ca="1" si="61"/>
        <v>350.41999364311363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24.634570421315843</v>
      </c>
      <c r="AK150" s="55">
        <f t="shared" ca="1" si="58"/>
        <v>132.86881268541623</v>
      </c>
    </row>
    <row r="151" spans="18:37">
      <c r="R151" s="83">
        <f ca="1"/>
        <v>46009</v>
      </c>
      <c r="S151" s="55">
        <f t="shared" ca="1" si="51"/>
        <v>46009</v>
      </c>
      <c r="T151" s="55">
        <f t="shared" ca="1" si="45"/>
        <v>7251.6208239804382</v>
      </c>
      <c r="U151" s="55">
        <f t="shared" ca="1" si="46"/>
        <v>18645.665555979813</v>
      </c>
      <c r="V151" s="55">
        <f t="shared" ca="1" si="47"/>
        <v>0</v>
      </c>
      <c r="W151" s="55">
        <f t="shared" ca="1" si="52"/>
        <v>-2144.5901464707017</v>
      </c>
      <c r="X151" s="55">
        <f t="shared" ca="1" si="53"/>
        <v>29.121640905311075</v>
      </c>
      <c r="Y151" s="55">
        <f t="shared" ca="1" si="54"/>
        <v>15.444764310745455</v>
      </c>
      <c r="Z151">
        <f t="shared" ca="1" si="48"/>
        <v>61.967833935812607</v>
      </c>
      <c r="AA151">
        <f t="shared" ca="1" si="55"/>
        <v>107.62111989349634</v>
      </c>
      <c r="AB151">
        <f t="shared" ca="1" si="49"/>
        <v>0</v>
      </c>
      <c r="AC151">
        <f t="shared" ca="1" si="50"/>
        <v>0.99999999981241805</v>
      </c>
      <c r="AD151" s="83">
        <f ca="1"/>
        <v>46150</v>
      </c>
      <c r="AE151" s="55">
        <f t="shared" ca="1" si="59"/>
        <v>46150</v>
      </c>
      <c r="AF151" s="55">
        <f t="shared" ca="1" si="60"/>
        <v>4575.8917551232335</v>
      </c>
      <c r="AG151" s="55">
        <f t="shared" ca="1" si="61"/>
        <v>352.42559950781151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24.863621079228285</v>
      </c>
      <c r="AK151" s="55">
        <f t="shared" ca="1" si="58"/>
        <v>133.42353068909424</v>
      </c>
    </row>
    <row r="152" spans="18:37">
      <c r="R152" s="83">
        <f ca="1"/>
        <v>46010</v>
      </c>
      <c r="S152" s="55">
        <f t="shared" ca="1" si="51"/>
        <v>46010</v>
      </c>
      <c r="T152" s="55">
        <f t="shared" ca="1" si="45"/>
        <v>6884.9651636965</v>
      </c>
      <c r="U152" s="55">
        <f t="shared" ca="1" si="46"/>
        <v>19012.529009376129</v>
      </c>
      <c r="V152" s="55">
        <f t="shared" ca="1" si="47"/>
        <v>0</v>
      </c>
      <c r="W152" s="55">
        <f t="shared" ca="1" si="52"/>
        <v>-2144.5901464707017</v>
      </c>
      <c r="X152" s="55">
        <f t="shared" ca="1" si="53"/>
        <v>29.313089230787654</v>
      </c>
      <c r="Y152" s="55">
        <f t="shared" ca="1" si="54"/>
        <v>15.46110909764624</v>
      </c>
      <c r="Z152">
        <f t="shared" ca="1" si="48"/>
        <v>63.301485324297779</v>
      </c>
      <c r="AA152">
        <f t="shared" ca="1" si="55"/>
        <v>107.62111989349634</v>
      </c>
      <c r="AB152">
        <f t="shared" ca="1" si="49"/>
        <v>0</v>
      </c>
      <c r="AC152">
        <f t="shared" ca="1" si="50"/>
        <v>0.99999999985520338</v>
      </c>
      <c r="AD152" s="83">
        <f ca="1"/>
        <v>46151</v>
      </c>
      <c r="AE152" s="55">
        <f t="shared" ca="1" si="59"/>
        <v>46151</v>
      </c>
      <c r="AF152" s="55">
        <f t="shared" ca="1" si="60"/>
        <v>4574.7914670726677</v>
      </c>
      <c r="AG152" s="55">
        <f t="shared" ca="1" si="61"/>
        <v>354.28235294117644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25.086870937771451</v>
      </c>
      <c r="AK152" s="55">
        <f t="shared" ca="1" si="58"/>
        <v>133.95674621334982</v>
      </c>
    </row>
    <row r="153" spans="18:37">
      <c r="R153" s="83">
        <f ca="1"/>
        <v>46011</v>
      </c>
      <c r="S153" s="55">
        <f t="shared" ca="1" si="51"/>
        <v>46011</v>
      </c>
      <c r="T153" s="55">
        <f t="shared" ca="1" si="45"/>
        <v>6517.2919271497885</v>
      </c>
      <c r="U153" s="55">
        <f t="shared" ca="1" si="46"/>
        <v>19380.405527856503</v>
      </c>
      <c r="V153" s="55">
        <f t="shared" ca="1" si="47"/>
        <v>0</v>
      </c>
      <c r="W153" s="55">
        <f t="shared" ca="1" si="52"/>
        <v>-2144.5901464707017</v>
      </c>
      <c r="X153" s="55">
        <f t="shared" ca="1" si="53"/>
        <v>29.500491836744256</v>
      </c>
      <c r="Y153" s="55">
        <f t="shared" ca="1" si="54"/>
        <v>15.476988425351863</v>
      </c>
      <c r="Z153">
        <f t="shared" ca="1" si="48"/>
        <v>59.388728095781893</v>
      </c>
      <c r="AA153">
        <f t="shared" ca="1" si="55"/>
        <v>107.62111989349634</v>
      </c>
      <c r="AB153">
        <f t="shared" ca="1" si="49"/>
        <v>0</v>
      </c>
      <c r="AC153">
        <f t="shared" ca="1" si="50"/>
        <v>0.99999999988870458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46012</v>
      </c>
      <c r="S154" s="55">
        <f t="shared" ca="1" si="51"/>
        <v>46012</v>
      </c>
      <c r="T154" s="55">
        <f t="shared" ca="1" si="45"/>
        <v>6155.0729719694045</v>
      </c>
      <c r="U154" s="55">
        <f t="shared" ca="1" si="46"/>
        <v>19742.828156539043</v>
      </c>
      <c r="V154" s="55">
        <f t="shared" ca="1" si="47"/>
        <v>0</v>
      </c>
      <c r="W154" s="55">
        <f t="shared" ca="1" si="52"/>
        <v>-2144.5901464707017</v>
      </c>
      <c r="X154" s="55">
        <f t="shared" ca="1" si="53"/>
        <v>29.688771289109042</v>
      </c>
      <c r="Y154" s="55">
        <f t="shared" ca="1" si="54"/>
        <v>15.492382475143367</v>
      </c>
      <c r="Z154">
        <f t="shared" ca="1" si="48"/>
        <v>59.815072677220172</v>
      </c>
      <c r="AA154">
        <f t="shared" ca="1" si="55"/>
        <v>107.62111989349634</v>
      </c>
      <c r="AB154">
        <f t="shared" ca="1" si="49"/>
        <v>0</v>
      </c>
      <c r="AC154">
        <f t="shared" ca="1" si="50"/>
        <v>0.99999999991445465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46013</v>
      </c>
      <c r="S155" s="55">
        <f t="shared" ca="1" si="51"/>
        <v>46013</v>
      </c>
      <c r="T155" s="55">
        <f t="shared" ca="1" si="45"/>
        <v>5795.4054649296986</v>
      </c>
      <c r="U155" s="55">
        <f t="shared" ca="1" si="46"/>
        <v>20102.694825123388</v>
      </c>
      <c r="V155" s="55">
        <f t="shared" ca="1" si="47"/>
        <v>0</v>
      </c>
      <c r="W155" s="55">
        <f t="shared" ca="1" si="52"/>
        <v>-2144.5901464707017</v>
      </c>
      <c r="X155" s="55">
        <f t="shared" ca="1" si="53"/>
        <v>29.873640972266671</v>
      </c>
      <c r="Y155" s="55">
        <f t="shared" ca="1" si="54"/>
        <v>15.506674336625524</v>
      </c>
      <c r="Z155">
        <f t="shared" ca="1" si="48"/>
        <v>57.016174104902419</v>
      </c>
      <c r="AA155">
        <f t="shared" ca="1" si="55"/>
        <v>107.62111989349634</v>
      </c>
      <c r="AB155">
        <f t="shared" ca="1" si="49"/>
        <v>0</v>
      </c>
      <c r="AC155">
        <f t="shared" ca="1" si="50"/>
        <v>0.99999999993440691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46014</v>
      </c>
      <c r="S156" s="55">
        <f t="shared" ca="1" si="51"/>
        <v>46014</v>
      </c>
      <c r="T156" s="55">
        <f t="shared" ca="1" si="45"/>
        <v>5449.6332800898936</v>
      </c>
      <c r="U156" s="55">
        <f t="shared" ca="1" si="46"/>
        <v>20448.655999756898</v>
      </c>
      <c r="V156" s="55">
        <f t="shared" ca="1" si="47"/>
        <v>0</v>
      </c>
      <c r="W156" s="55">
        <f t="shared" ca="1" si="52"/>
        <v>-2144.5901464707017</v>
      </c>
      <c r="X156" s="55">
        <f t="shared" ca="1" si="53"/>
        <v>30.049630247817685</v>
      </c>
      <c r="Y156" s="55">
        <f t="shared" ca="1" si="54"/>
        <v>15.519674854779906</v>
      </c>
      <c r="Z156">
        <f t="shared" ca="1" si="48"/>
        <v>55.175426259456508</v>
      </c>
      <c r="AA156">
        <f t="shared" ca="1" si="55"/>
        <v>107.62111989349634</v>
      </c>
      <c r="AB156">
        <f t="shared" ca="1" si="49"/>
        <v>0</v>
      </c>
      <c r="AC156">
        <f t="shared" ca="1" si="50"/>
        <v>0.99999999994941402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46015</v>
      </c>
      <c r="S157" s="55">
        <f t="shared" ca="1" si="51"/>
        <v>46015</v>
      </c>
      <c r="T157" s="55">
        <f t="shared" ca="1" si="45"/>
        <v>5107.4221067457675</v>
      </c>
      <c r="U157" s="55">
        <f t="shared" ca="1" si="46"/>
        <v>20791.057376392691</v>
      </c>
      <c r="V157" s="55">
        <f t="shared" ca="1" si="47"/>
        <v>0</v>
      </c>
      <c r="W157" s="55">
        <f t="shared" ca="1" si="52"/>
        <v>-2144.5901464707017</v>
      </c>
      <c r="X157" s="55">
        <f t="shared" ca="1" si="53"/>
        <v>30.227191592286005</v>
      </c>
      <c r="Y157" s="55">
        <f t="shared" ca="1" si="54"/>
        <v>15.532316801978677</v>
      </c>
      <c r="Z157">
        <f t="shared" ca="1" si="48"/>
        <v>54.997014068175787</v>
      </c>
      <c r="AA157">
        <f t="shared" ca="1" si="55"/>
        <v>107.62111989349634</v>
      </c>
      <c r="AB157">
        <f t="shared" ca="1" si="49"/>
        <v>0</v>
      </c>
      <c r="AC157">
        <f t="shared" ca="1" si="50"/>
        <v>0.9999999999610707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46016</v>
      </c>
      <c r="S158" s="55">
        <f t="shared" ca="1" si="51"/>
        <v>46016</v>
      </c>
      <c r="T158" s="55">
        <f t="shared" ca="1" si="45"/>
        <v>4767.0989901098928</v>
      </c>
      <c r="U158" s="55">
        <f t="shared" ca="1" si="46"/>
        <v>21131.57894736842</v>
      </c>
      <c r="V158" s="55">
        <f t="shared" ca="1" si="47"/>
        <v>0</v>
      </c>
      <c r="W158" s="55">
        <f t="shared" ca="1" si="52"/>
        <v>-2144.5901464707017</v>
      </c>
      <c r="X158" s="55">
        <f t="shared" ca="1" si="53"/>
        <v>30.412716933441661</v>
      </c>
      <c r="Y158" s="55">
        <f t="shared" ca="1" si="54"/>
        <v>15.545245800676952</v>
      </c>
      <c r="Z158">
        <f t="shared" ca="1" si="48"/>
        <v>57.271225704745596</v>
      </c>
      <c r="AA158">
        <f t="shared" ca="1" si="55"/>
        <v>107.62111989349634</v>
      </c>
      <c r="AB158">
        <f t="shared" ca="1" si="49"/>
        <v>0</v>
      </c>
      <c r="AC158">
        <f t="shared" ca="1" si="50"/>
        <v>0.99999999997015498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8:C43 E51 E62:E63 C29:C3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H1" zoomScale="105" workbookViewId="0">
      <selection activeCell="I3" sqref="I3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279</v>
      </c>
    </row>
    <row r="2" spans="1:43">
      <c r="H2" t="s">
        <v>277</v>
      </c>
      <c r="I2">
        <f ca="1"/>
        <v>6896</v>
      </c>
      <c r="J2">
        <f ca="1"/>
        <v>0</v>
      </c>
      <c r="K2">
        <f ca="1"/>
        <v>14</v>
      </c>
      <c r="L2">
        <f ca="1"/>
        <v>28</v>
      </c>
      <c r="M2">
        <f ca="1"/>
        <v>27605</v>
      </c>
      <c r="N2">
        <f ca="1"/>
        <v>343</v>
      </c>
      <c r="O2">
        <f ca="1"/>
        <v>0</v>
      </c>
      <c r="P2">
        <f ca="1"/>
        <v>0</v>
      </c>
      <c r="Q2">
        <f ca="1">SUM(I2:O2)</f>
        <v>34886</v>
      </c>
      <c r="R2">
        <f ca="1">Q2-Q3</f>
        <v>0</v>
      </c>
    </row>
    <row r="3" spans="1:43">
      <c r="H3" t="s">
        <v>278</v>
      </c>
      <c r="I3">
        <f ca="1"/>
        <v>4767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1332</v>
      </c>
      <c r="O3">
        <f ca="1"/>
        <v>19800</v>
      </c>
      <c r="P3">
        <f ca="1"/>
        <v>8987</v>
      </c>
      <c r="Q3">
        <f ca="1">SUM(I3:P3)</f>
        <v>34886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6896</v>
      </c>
      <c r="AH6">
        <f ca="1"/>
        <v>0</v>
      </c>
      <c r="AI6">
        <f ca="1"/>
        <v>14</v>
      </c>
      <c r="AJ6">
        <f ca="1"/>
        <v>28</v>
      </c>
      <c r="AK6">
        <f ca="1"/>
        <v>27605</v>
      </c>
      <c r="AL6">
        <f ca="1"/>
        <v>343</v>
      </c>
      <c r="AM6">
        <f ca="1"/>
        <v>0</v>
      </c>
      <c r="AN6">
        <f ca="1"/>
        <v>0</v>
      </c>
      <c r="AO6">
        <f ca="1"/>
        <v>34886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45877</v>
      </c>
      <c r="K7" s="3">
        <v>50</v>
      </c>
      <c r="L7" s="3"/>
      <c r="M7" s="3">
        <f ca="1">SUMIF($I$12:$I$1005,TRUE,M12:M1005)</f>
        <v>15.545245800676952</v>
      </c>
      <c r="N7" s="3">
        <f ca="1">SUMIF($I$12:$I$1005,TRUE,N12:N1005)</f>
        <v>30.231035523749799</v>
      </c>
      <c r="O7" s="3">
        <f ca="1">SUMIF($I$12:$I$1005,TRUE,O12:O1005)</f>
        <v>27604.810916706159</v>
      </c>
      <c r="P7" s="3">
        <f ca="1">VLOOKUP(B36,ModelOutputs,P9,FALSE)-Q7</f>
        <v>21.593590071571896</v>
      </c>
      <c r="Q7">
        <f ca="1">VLOOKUP(B36,ModelOutputs,Q9,FALSE)</f>
        <v>321.08729584685062</v>
      </c>
      <c r="R7" s="13"/>
      <c r="W7" s="3">
        <f ca="1">MAX(0,X8-X7)</f>
        <v>1.0913936421275139E-11</v>
      </c>
      <c r="X7" s="3">
        <f ca="1">SUM(K7:R7)</f>
        <v>28043.268083949006</v>
      </c>
      <c r="AA7" s="3"/>
      <c r="AG7">
        <f ca="1"/>
        <v>4767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1332</v>
      </c>
      <c r="AM7">
        <f ca="1"/>
        <v>19800</v>
      </c>
      <c r="AN7">
        <f ca="1"/>
        <v>8987</v>
      </c>
      <c r="AO7">
        <f ca="1"/>
        <v>28035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46016</v>
      </c>
      <c r="K8" s="24">
        <f ca="1">VLOOKUP(J8,ModelOutputs,2,FALSE)</f>
        <v>4767.0989901098928</v>
      </c>
      <c r="L8" s="27"/>
      <c r="M8" s="25"/>
      <c r="N8" s="25"/>
      <c r="O8" s="25"/>
      <c r="P8" s="24">
        <f ca="1">(VLOOKUP($J$8,ModelOutputs,P9,FALSE)-VLOOKUP($J$7+1,ModelOutputs,P9,FALSE))-Q8</f>
        <v>1331.5789473684235</v>
      </c>
      <c r="Q8" s="26">
        <f ca="1">VLOOKUP($J$8,ModelOutputs,Q9,FALSE)-VLOOKUP($J$7+1,ModelOutputs,Q9,FALSE)</f>
        <v>19799.999999999996</v>
      </c>
      <c r="R8" s="27">
        <f ca="1">SUMIF($I$12:$I$1005,TRUE,R12:R1005)</f>
        <v>2144.5901464707017</v>
      </c>
      <c r="S8" s="3"/>
      <c r="T8" s="3"/>
      <c r="U8" s="3"/>
      <c r="V8" s="3"/>
      <c r="W8" s="3">
        <f ca="1">MAX(0,X7-X8)</f>
        <v>0</v>
      </c>
      <c r="X8" s="3">
        <f ca="1">SUM(K8:R8)</f>
        <v>28043.268083949017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691.87271116407237</v>
      </c>
      <c r="M9">
        <f ca="1">SUMIF(H11:H1004,TRUE,M11:M1004)</f>
        <v>15.532316801978677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5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45876</v>
      </c>
      <c r="K11">
        <f ca="1"/>
        <v>0</v>
      </c>
      <c r="L11">
        <f ca="1"/>
        <v>2.5243704464701153</v>
      </c>
      <c r="M11">
        <f ca="1"/>
        <v>0</v>
      </c>
      <c r="N11" s="4">
        <f ca="1"/>
        <v>0.18168140969185992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45876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45877</v>
      </c>
      <c r="K12">
        <f ca="1"/>
        <v>50.16710817767251</v>
      </c>
      <c r="L12">
        <f ca="1"/>
        <v>0</v>
      </c>
      <c r="M12">
        <f ca="1"/>
        <v>-1.7081477444460716E-2</v>
      </c>
      <c r="N12" s="4">
        <f ca="1"/>
        <v>0.18418965511697455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0.91157971014492767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45877</v>
      </c>
      <c r="Y12">
        <f t="shared" ca="1" si="2"/>
        <v>0</v>
      </c>
      <c r="Z12" s="3"/>
      <c r="AA12" s="63">
        <f ca="1">K11+M12+N12+O12</f>
        <v>0.16710817767251385</v>
      </c>
      <c r="AB12" s="63">
        <f ca="1">K12+L12+R12</f>
        <v>50.16710817767251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45878</v>
      </c>
      <c r="K13">
        <f ca="1"/>
        <v>50.371806674236964</v>
      </c>
      <c r="L13">
        <f ca="1"/>
        <v>0</v>
      </c>
      <c r="M13">
        <f ca="1"/>
        <v>7.4102747526656881E-3</v>
      </c>
      <c r="N13" s="4">
        <f ca="1"/>
        <v>0.19728822181179073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0.95639250577609758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45878</v>
      </c>
      <c r="Y13">
        <f t="shared" ca="1" si="2"/>
        <v>0</v>
      </c>
      <c r="AA13" s="63">
        <f t="shared" ref="AA13:AA76" ca="1" si="4">K12+M13+N13+O13</f>
        <v>50.371806674236964</v>
      </c>
      <c r="AB13" s="63">
        <f t="shared" ref="AB13:AB76" ca="1" si="5">K13+L13+R13</f>
        <v>50.371806674236964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45879</v>
      </c>
      <c r="K14">
        <f ca="1"/>
        <v>50.595594171123395</v>
      </c>
      <c r="L14">
        <f ca="1"/>
        <v>0</v>
      </c>
      <c r="M14">
        <f ca="1"/>
        <v>2.9607492906877558E-2</v>
      </c>
      <c r="N14" s="4">
        <f ca="1"/>
        <v>0.19418000397955457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0.99737884511900754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45879</v>
      </c>
      <c r="Y14">
        <f t="shared" ca="1" si="2"/>
        <v>0</v>
      </c>
      <c r="AA14" s="63">
        <f t="shared" ca="1" si="4"/>
        <v>50.595594171123395</v>
      </c>
      <c r="AB14" s="63">
        <f t="shared" ca="1" si="5"/>
        <v>50.595594171123395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45880</v>
      </c>
      <c r="K15">
        <f ca="1"/>
        <v>49.81051492337518</v>
      </c>
      <c r="L15">
        <f ca="1"/>
        <v>0</v>
      </c>
      <c r="M15">
        <f ca="1"/>
        <v>5.1075688625028759E-2</v>
      </c>
      <c r="N15" s="4">
        <f ca="1"/>
        <v>0.19907090481638914</v>
      </c>
      <c r="O15">
        <f ca="1"/>
        <v>0</v>
      </c>
      <c r="P15">
        <f ca="1"/>
        <v>0</v>
      </c>
      <c r="Q15">
        <f ca="1"/>
        <v>0</v>
      </c>
      <c r="R15">
        <f ca="1"/>
        <v>1.0352258411896262</v>
      </c>
      <c r="S15">
        <f ca="1"/>
        <v>1</v>
      </c>
      <c r="T15">
        <f ca="1"/>
        <v>3.7738059688996941</v>
      </c>
      <c r="U15">
        <f ca="1"/>
        <v>0</v>
      </c>
      <c r="V15">
        <f ca="1"/>
        <v>0</v>
      </c>
      <c r="X15" s="2">
        <f t="shared" ca="1" si="1"/>
        <v>45880</v>
      </c>
      <c r="Y15">
        <f t="shared" ca="1" si="2"/>
        <v>0</v>
      </c>
      <c r="AA15" s="63">
        <f t="shared" ca="1" si="4"/>
        <v>50.845740764564809</v>
      </c>
      <c r="AB15" s="63">
        <f t="shared" ca="1" si="5"/>
        <v>50.845740764564809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45881</v>
      </c>
      <c r="K16">
        <f ca="1"/>
        <v>49.487306918145407</v>
      </c>
      <c r="L16">
        <f ca="1"/>
        <v>0</v>
      </c>
      <c r="M16">
        <f ca="1"/>
        <v>6.8943434208009469E-2</v>
      </c>
      <c r="N16" s="4">
        <f ca="1"/>
        <v>0.19380696276692738</v>
      </c>
      <c r="O16">
        <f ca="1"/>
        <v>0</v>
      </c>
      <c r="P16">
        <f ca="1"/>
        <v>0</v>
      </c>
      <c r="Q16">
        <f ca="1"/>
        <v>0</v>
      </c>
      <c r="R16">
        <f ca="1"/>
        <v>0.58595840220470885</v>
      </c>
      <c r="S16">
        <f ca="1"/>
        <v>1</v>
      </c>
      <c r="T16">
        <f ca="1"/>
        <v>2.1500000000000057</v>
      </c>
      <c r="U16">
        <f ca="1"/>
        <v>0</v>
      </c>
      <c r="V16">
        <f ca="1"/>
        <v>0</v>
      </c>
      <c r="X16" s="2">
        <f t="shared" ca="1" si="1"/>
        <v>45881</v>
      </c>
      <c r="Y16">
        <f t="shared" ca="1" si="2"/>
        <v>0</v>
      </c>
      <c r="AA16" s="63">
        <f t="shared" ca="1" si="4"/>
        <v>50.073265320350117</v>
      </c>
      <c r="AB16" s="63">
        <f t="shared" ca="1" si="5"/>
        <v>50.073265320350117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45882</v>
      </c>
      <c r="K17">
        <f ca="1"/>
        <v>49.051735136567324</v>
      </c>
      <c r="L17">
        <f ca="1"/>
        <v>0</v>
      </c>
      <c r="M17">
        <f ca="1"/>
        <v>8.7577619370322046E-2</v>
      </c>
      <c r="N17" s="4">
        <f ca="1"/>
        <v>0.19812437397277552</v>
      </c>
      <c r="O17">
        <f ca="1"/>
        <v>0</v>
      </c>
      <c r="P17">
        <f ca="1"/>
        <v>0</v>
      </c>
      <c r="Q17">
        <f ca="1"/>
        <v>0</v>
      </c>
      <c r="R17">
        <f ca="1"/>
        <v>0.72127377492117739</v>
      </c>
      <c r="S17">
        <f ca="1"/>
        <v>1</v>
      </c>
      <c r="T17">
        <f ca="1"/>
        <v>2.6700000000000017</v>
      </c>
      <c r="U17">
        <f ca="1"/>
        <v>0</v>
      </c>
      <c r="V17">
        <f ca="1"/>
        <v>0</v>
      </c>
      <c r="X17" s="2">
        <f t="shared" ca="1" si="1"/>
        <v>45882</v>
      </c>
      <c r="Y17">
        <f t="shared" ca="1" si="2"/>
        <v>0</v>
      </c>
      <c r="AA17" s="63">
        <f t="shared" ca="1" si="4"/>
        <v>49.773008911488503</v>
      </c>
      <c r="AB17" s="63">
        <f t="shared" ca="1" si="5"/>
        <v>49.773008911488503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45883</v>
      </c>
      <c r="K18">
        <f ca="1"/>
        <v>48.471897774584576</v>
      </c>
      <c r="L18">
        <f ca="1"/>
        <v>0</v>
      </c>
      <c r="M18">
        <f ca="1"/>
        <v>0.10274051606519885</v>
      </c>
      <c r="N18" s="4">
        <f ca="1"/>
        <v>0.19567671032575362</v>
      </c>
      <c r="O18">
        <f ca="1"/>
        <v>0</v>
      </c>
      <c r="P18">
        <f ca="1"/>
        <v>0</v>
      </c>
      <c r="Q18">
        <f ca="1"/>
        <v>0</v>
      </c>
      <c r="R18">
        <f ca="1"/>
        <v>0.87825458837370274</v>
      </c>
      <c r="S18">
        <f ca="1"/>
        <v>1</v>
      </c>
      <c r="T18">
        <f ca="1"/>
        <v>3.289999999999992</v>
      </c>
      <c r="U18">
        <f ca="1"/>
        <v>0</v>
      </c>
      <c r="V18">
        <f ca="1"/>
        <v>0</v>
      </c>
      <c r="X18" s="2">
        <f t="shared" ca="1" si="1"/>
        <v>45883</v>
      </c>
      <c r="Y18">
        <f t="shared" ca="1" si="2"/>
        <v>0</v>
      </c>
      <c r="AA18" s="63">
        <f t="shared" ca="1" si="4"/>
        <v>49.350152362958276</v>
      </c>
      <c r="AB18" s="63">
        <f t="shared" ca="1" si="5"/>
        <v>49.350152362958276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45884</v>
      </c>
      <c r="K19">
        <f ca="1"/>
        <v>47.88914885228148</v>
      </c>
      <c r="L19">
        <f ca="1"/>
        <v>0</v>
      </c>
      <c r="M19">
        <f ca="1"/>
        <v>0.11260053771078582</v>
      </c>
      <c r="N19" s="4">
        <f ca="1"/>
        <v>0.18553326061388939</v>
      </c>
      <c r="O19">
        <f ca="1"/>
        <v>0</v>
      </c>
      <c r="P19">
        <f ca="1"/>
        <v>0</v>
      </c>
      <c r="Q19">
        <f ca="1"/>
        <v>0</v>
      </c>
      <c r="R19">
        <f ca="1"/>
        <v>0.88088272062776407</v>
      </c>
      <c r="S19">
        <f ca="1"/>
        <v>1</v>
      </c>
      <c r="T19">
        <f ca="1"/>
        <v>3.3400000000000034</v>
      </c>
      <c r="U19">
        <f ca="1"/>
        <v>0</v>
      </c>
      <c r="V19">
        <f ca="1"/>
        <v>0</v>
      </c>
      <c r="X19" s="2">
        <f t="shared" ca="1" si="1"/>
        <v>45884</v>
      </c>
      <c r="Y19">
        <f t="shared" ca="1" si="2"/>
        <v>0</v>
      </c>
      <c r="AA19" s="63">
        <f t="shared" ca="1" si="4"/>
        <v>48.770031572909247</v>
      </c>
      <c r="AB19" s="63">
        <f t="shared" ca="1" si="5"/>
        <v>48.770031572909247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45885</v>
      </c>
      <c r="K20">
        <f ca="1"/>
        <v>47.517357513123464</v>
      </c>
      <c r="L20">
        <f ca="1"/>
        <v>0</v>
      </c>
      <c r="M20">
        <f ca="1"/>
        <v>0.12514130108336041</v>
      </c>
      <c r="N20" s="4">
        <f ca="1"/>
        <v>0.18607772470812986</v>
      </c>
      <c r="O20">
        <f ca="1"/>
        <v>0</v>
      </c>
      <c r="P20">
        <f ca="1"/>
        <v>0</v>
      </c>
      <c r="Q20">
        <f ca="1"/>
        <v>0</v>
      </c>
      <c r="R20">
        <f ca="1"/>
        <v>0.68301036494950484</v>
      </c>
      <c r="S20">
        <f ca="1"/>
        <v>1</v>
      </c>
      <c r="T20">
        <f ca="1"/>
        <v>2.6099999999999994</v>
      </c>
      <c r="U20">
        <f ca="1"/>
        <v>0</v>
      </c>
      <c r="V20">
        <f ca="1"/>
        <v>0</v>
      </c>
      <c r="X20" s="2">
        <f t="shared" ca="1" si="1"/>
        <v>45885</v>
      </c>
      <c r="Y20">
        <f t="shared" ca="1" si="2"/>
        <v>0</v>
      </c>
      <c r="AA20" s="63">
        <f t="shared" ca="1" si="4"/>
        <v>48.200367878072967</v>
      </c>
      <c r="AB20" s="63">
        <f t="shared" ca="1" si="5"/>
        <v>48.200367878072967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45886</v>
      </c>
      <c r="K21">
        <f ca="1"/>
        <v>46.972436894931896</v>
      </c>
      <c r="L21">
        <f ca="1"/>
        <v>0</v>
      </c>
      <c r="M21">
        <f ca="1"/>
        <v>0.13519396657387639</v>
      </c>
      <c r="N21" s="4">
        <f ca="1"/>
        <v>0.18390595011930691</v>
      </c>
      <c r="O21">
        <f ca="1"/>
        <v>0</v>
      </c>
      <c r="P21">
        <f ca="1"/>
        <v>0</v>
      </c>
      <c r="Q21">
        <f ca="1"/>
        <v>0</v>
      </c>
      <c r="R21">
        <f ca="1"/>
        <v>0.86402053488474828</v>
      </c>
      <c r="S21">
        <f ca="1"/>
        <v>1</v>
      </c>
      <c r="T21">
        <f ca="1"/>
        <v>3.3400000000000034</v>
      </c>
      <c r="U21">
        <f ca="1"/>
        <v>0</v>
      </c>
      <c r="V21">
        <f ca="1"/>
        <v>0</v>
      </c>
      <c r="X21" s="2">
        <f t="shared" ca="1" si="1"/>
        <v>45886</v>
      </c>
      <c r="Y21">
        <f t="shared" ca="1" si="2"/>
        <v>0</v>
      </c>
      <c r="AA21" s="63">
        <f t="shared" ca="1" si="4"/>
        <v>47.836457429816647</v>
      </c>
      <c r="AB21" s="63">
        <f t="shared" ca="1" si="5"/>
        <v>47.836457429816647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45887</v>
      </c>
      <c r="K22">
        <f ca="1"/>
        <v>46.773507993829419</v>
      </c>
      <c r="L22">
        <f ca="1"/>
        <v>0</v>
      </c>
      <c r="M22">
        <f ca="1"/>
        <v>0.14523127525927615</v>
      </c>
      <c r="N22" s="4">
        <f ca="1"/>
        <v>0.18390595011930691</v>
      </c>
      <c r="O22">
        <f ca="1"/>
        <v>0</v>
      </c>
      <c r="P22">
        <f ca="1"/>
        <v>0</v>
      </c>
      <c r="Q22">
        <f ca="1"/>
        <v>0</v>
      </c>
      <c r="R22">
        <f ca="1"/>
        <v>0.52806612648105888</v>
      </c>
      <c r="S22">
        <f ca="1"/>
        <v>1</v>
      </c>
      <c r="T22">
        <f ca="1"/>
        <v>2.0499999999999972</v>
      </c>
      <c r="U22">
        <f ca="1"/>
        <v>0</v>
      </c>
      <c r="V22">
        <f ca="1"/>
        <v>0</v>
      </c>
      <c r="X22" s="2">
        <f t="shared" ca="1" si="1"/>
        <v>45887</v>
      </c>
      <c r="Y22">
        <f t="shared" ca="1" si="2"/>
        <v>0</v>
      </c>
      <c r="AA22" s="63">
        <f t="shared" ca="1" si="4"/>
        <v>47.301574120310477</v>
      </c>
      <c r="AB22" s="63">
        <f t="shared" ca="1" si="5"/>
        <v>47.301574120310477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45831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45888</v>
      </c>
      <c r="K23">
        <f ca="1"/>
        <v>46.666300454036993</v>
      </c>
      <c r="L23">
        <f ca="1"/>
        <v>0</v>
      </c>
      <c r="M23">
        <f ca="1"/>
        <v>0.15498754624889599</v>
      </c>
      <c r="N23" s="4">
        <f ca="1"/>
        <v>0.18498981048344099</v>
      </c>
      <c r="O23">
        <f ca="1"/>
        <v>0</v>
      </c>
      <c r="P23">
        <f ca="1"/>
        <v>0</v>
      </c>
      <c r="Q23">
        <f ca="1"/>
        <v>0</v>
      </c>
      <c r="R23">
        <f ca="1"/>
        <v>0.4471848965247705</v>
      </c>
      <c r="S23">
        <f ca="1"/>
        <v>1</v>
      </c>
      <c r="T23">
        <f ca="1"/>
        <v>1.7399999999999949</v>
      </c>
      <c r="U23">
        <f ca="1"/>
        <v>0</v>
      </c>
      <c r="V23">
        <f ca="1"/>
        <v>0</v>
      </c>
      <c r="X23" s="2">
        <f t="shared" ca="1" si="1"/>
        <v>45888</v>
      </c>
      <c r="Y23">
        <f t="shared" ca="1" si="2"/>
        <v>0</v>
      </c>
      <c r="AA23" s="63">
        <f t="shared" ca="1" si="4"/>
        <v>47.11348535056176</v>
      </c>
      <c r="AB23" s="63">
        <f t="shared" ca="1" si="5"/>
        <v>47.11348535056176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45889</v>
      </c>
      <c r="K24">
        <f ca="1"/>
        <v>46.253656624523451</v>
      </c>
      <c r="L24">
        <f ca="1"/>
        <v>0</v>
      </c>
      <c r="M24">
        <f ca="1"/>
        <v>0.16654013419673341</v>
      </c>
      <c r="N24" s="4">
        <f ca="1"/>
        <v>0.19010149052599359</v>
      </c>
      <c r="O24">
        <f ca="1"/>
        <v>0</v>
      </c>
      <c r="P24">
        <f ca="1"/>
        <v>0</v>
      </c>
      <c r="Q24">
        <f ca="1"/>
        <v>0</v>
      </c>
      <c r="R24">
        <f ca="1"/>
        <v>0.76928545423627614</v>
      </c>
      <c r="S24">
        <f ca="1"/>
        <v>1</v>
      </c>
      <c r="T24">
        <f ca="1"/>
        <v>3.019999999999996</v>
      </c>
      <c r="U24">
        <f ca="1"/>
        <v>0</v>
      </c>
      <c r="V24">
        <f ca="1"/>
        <v>0</v>
      </c>
      <c r="X24" s="2">
        <f t="shared" ca="1" si="1"/>
        <v>45889</v>
      </c>
      <c r="Y24">
        <f t="shared" ca="1" si="2"/>
        <v>0</v>
      </c>
      <c r="AA24" s="63">
        <f t="shared" ca="1" si="4"/>
        <v>47.022942078759726</v>
      </c>
      <c r="AB24" s="63">
        <f t="shared" ca="1" si="5"/>
        <v>47.022942078759726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45876</v>
      </c>
      <c r="H25" t="b">
        <f t="shared" ca="1" si="3"/>
        <v>1</v>
      </c>
      <c r="I25" t="b">
        <f t="shared" ca="1" si="0"/>
        <v>1</v>
      </c>
      <c r="J25" s="2">
        <f ca="1"/>
        <v>45890</v>
      </c>
      <c r="K25">
        <f ca="1"/>
        <v>46.071042348169108</v>
      </c>
      <c r="L25">
        <f ca="1"/>
        <v>0</v>
      </c>
      <c r="M25">
        <f ca="1"/>
        <v>0.1777407039019594</v>
      </c>
      <c r="N25" s="4">
        <f ca="1"/>
        <v>0.19530185223857349</v>
      </c>
      <c r="O25">
        <f ca="1"/>
        <v>0</v>
      </c>
      <c r="P25">
        <f ca="1"/>
        <v>0</v>
      </c>
      <c r="Q25">
        <f ca="1"/>
        <v>0</v>
      </c>
      <c r="R25">
        <f ca="1"/>
        <v>0.55565683249487374</v>
      </c>
      <c r="S25">
        <f ca="1"/>
        <v>1</v>
      </c>
      <c r="T25">
        <f ca="1"/>
        <v>2.1899999999999977</v>
      </c>
      <c r="U25">
        <f ca="1"/>
        <v>0</v>
      </c>
      <c r="V25">
        <f ca="1"/>
        <v>0</v>
      </c>
      <c r="X25" s="2">
        <f t="shared" ca="1" si="1"/>
        <v>45890</v>
      </c>
      <c r="Y25">
        <f t="shared" ca="1" si="2"/>
        <v>0</v>
      </c>
      <c r="AA25" s="63">
        <f t="shared" ca="1" si="4"/>
        <v>46.626699180663984</v>
      </c>
      <c r="AB25" s="63">
        <f t="shared" ca="1" si="5"/>
        <v>46.626699180663984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45891</v>
      </c>
      <c r="K26">
        <f ca="1"/>
        <v>6896.4627093124627</v>
      </c>
      <c r="L26">
        <f ca="1"/>
        <v>0</v>
      </c>
      <c r="M26">
        <f ca="1"/>
        <v>0.1865816297044296</v>
      </c>
      <c r="N26" s="4">
        <f ca="1"/>
        <v>0.1977465587858756</v>
      </c>
      <c r="O26">
        <f ca="1"/>
        <v>6927.4817996157581</v>
      </c>
      <c r="P26">
        <f ca="1"/>
        <v>342.68088591842252</v>
      </c>
      <c r="Q26">
        <f ca="1"/>
        <v>321.08729584685062</v>
      </c>
      <c r="R26">
        <f ca="1"/>
        <v>77.474460839954844</v>
      </c>
      <c r="S26">
        <f ca="1"/>
        <v>1</v>
      </c>
      <c r="T26">
        <f ca="1"/>
        <v>2.0400000000000063</v>
      </c>
      <c r="U26">
        <f ca="1"/>
        <v>0</v>
      </c>
      <c r="V26">
        <f ca="1"/>
        <v>8.8236081243022638E-2</v>
      </c>
      <c r="X26" s="2">
        <f t="shared" ca="1" si="1"/>
        <v>45891</v>
      </c>
      <c r="Y26">
        <f t="shared" ca="1" si="2"/>
        <v>6927.4817996157581</v>
      </c>
      <c r="AA26" s="63">
        <f t="shared" ca="1" si="4"/>
        <v>6973.9371701524178</v>
      </c>
      <c r="AB26" s="63">
        <f t="shared" ca="1" si="5"/>
        <v>6973.9371701524178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45892</v>
      </c>
      <c r="K27">
        <f ca="1"/>
        <v>6838.5584428914581</v>
      </c>
      <c r="L27">
        <f ca="1"/>
        <v>11.602780022614411</v>
      </c>
      <c r="M27">
        <f ca="1"/>
        <v>0.19642808101874865</v>
      </c>
      <c r="N27" s="4">
        <f ca="1"/>
        <v>0.20250201755434769</v>
      </c>
      <c r="O27">
        <f ca="1"/>
        <v>0</v>
      </c>
      <c r="P27">
        <f ca="1"/>
        <v>354.28366594103693</v>
      </c>
      <c r="Q27">
        <f ca="1"/>
        <v>331.95894178584825</v>
      </c>
      <c r="R27">
        <f ca="1"/>
        <v>46.70041649696293</v>
      </c>
      <c r="S27">
        <f ca="1"/>
        <v>1</v>
      </c>
      <c r="T27">
        <f ca="1"/>
        <v>1.2399999999999949</v>
      </c>
      <c r="U27">
        <f ca="1"/>
        <v>0</v>
      </c>
      <c r="V27">
        <f ca="1"/>
        <v>0.10275975885063754</v>
      </c>
      <c r="X27" s="2">
        <f t="shared" ca="1" si="1"/>
        <v>45892</v>
      </c>
      <c r="Y27">
        <f t="shared" ca="1" si="2"/>
        <v>0</v>
      </c>
      <c r="AA27" s="63">
        <f t="shared" ca="1" si="4"/>
        <v>6896.8616394110359</v>
      </c>
      <c r="AB27" s="63">
        <f t="shared" ca="1" si="5"/>
        <v>6896.8616394110359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45893</v>
      </c>
      <c r="K28">
        <f ca="1"/>
        <v>6779.5441973122824</v>
      </c>
      <c r="L28">
        <f ca="1"/>
        <v>12.001816993779187</v>
      </c>
      <c r="M28">
        <f ca="1"/>
        <v>0.20238537094084563</v>
      </c>
      <c r="N28" s="4">
        <f ca="1"/>
        <v>0.20269371935704592</v>
      </c>
      <c r="O28">
        <f ca="1"/>
        <v>0</v>
      </c>
      <c r="P28">
        <f ca="1"/>
        <v>366.28548293481612</v>
      </c>
      <c r="Q28">
        <f ca="1"/>
        <v>343.20447990056738</v>
      </c>
      <c r="R28">
        <f ca="1"/>
        <v>47.417507675694161</v>
      </c>
      <c r="S28">
        <f ca="1"/>
        <v>1</v>
      </c>
      <c r="T28">
        <f ca="1"/>
        <v>1.269999999999996</v>
      </c>
      <c r="U28">
        <f ca="1"/>
        <v>0</v>
      </c>
      <c r="V28">
        <f ca="1"/>
        <v>0.11937705803685809</v>
      </c>
      <c r="X28" s="2">
        <f t="shared" ca="1" si="1"/>
        <v>45893</v>
      </c>
      <c r="Y28">
        <f t="shared" ca="1" si="2"/>
        <v>0</v>
      </c>
      <c r="AA28" s="63">
        <f t="shared" ca="1" si="4"/>
        <v>6838.9635219817555</v>
      </c>
      <c r="AB28" s="63">
        <f t="shared" ca="1" si="5"/>
        <v>6838.9635219817555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Broccoli Vegetable Chinese cut</v>
      </c>
      <c r="H29" t="b">
        <f t="shared" ca="1" si="3"/>
        <v>1</v>
      </c>
      <c r="I29" t="b">
        <f t="shared" ca="1" si="0"/>
        <v>1</v>
      </c>
      <c r="J29" s="2">
        <f ca="1"/>
        <v>45894</v>
      </c>
      <c r="K29">
        <f ca="1"/>
        <v>6575.4155637686672</v>
      </c>
      <c r="L29">
        <f ca="1"/>
        <v>12.619306311145294</v>
      </c>
      <c r="M29">
        <f ca="1"/>
        <v>0.21021274594536621</v>
      </c>
      <c r="N29" s="4">
        <f ca="1"/>
        <v>0.20635778144022929</v>
      </c>
      <c r="O29">
        <f ca="1"/>
        <v>0</v>
      </c>
      <c r="P29">
        <f ca="1"/>
        <v>378.90478924596141</v>
      </c>
      <c r="Q29">
        <f ca="1"/>
        <v>355.02859704690076</v>
      </c>
      <c r="R29">
        <f ca="1"/>
        <v>191.92589775985687</v>
      </c>
      <c r="S29">
        <f ca="1"/>
        <v>1</v>
      </c>
      <c r="T29">
        <f ca="1"/>
        <v>5.3000000000000114</v>
      </c>
      <c r="U29">
        <f ca="1"/>
        <v>0</v>
      </c>
      <c r="V29">
        <f ca="1"/>
        <v>0.13861194315806175</v>
      </c>
      <c r="X29" s="2">
        <f t="shared" ca="1" si="1"/>
        <v>45894</v>
      </c>
      <c r="Y29">
        <f t="shared" ca="1" si="2"/>
        <v>0</v>
      </c>
      <c r="AA29" s="63">
        <f t="shared" ca="1" si="4"/>
        <v>6779.9607678396687</v>
      </c>
      <c r="AB29" s="63">
        <f t="shared" ca="1" si="5"/>
        <v>6779.9607678396687</v>
      </c>
      <c r="AC29" s="3">
        <f t="shared" ca="1" si="6"/>
        <v>0</v>
      </c>
    </row>
    <row r="30" spans="1:29">
      <c r="A30" s="9" t="s">
        <v>236</v>
      </c>
      <c r="B30" s="11">
        <f>CurrentYield</f>
        <v>100</v>
      </c>
      <c r="H30" t="b">
        <f t="shared" ca="1" si="3"/>
        <v>1</v>
      </c>
      <c r="I30" t="b">
        <f t="shared" ca="1" si="0"/>
        <v>1</v>
      </c>
      <c r="J30" s="2">
        <f ca="1"/>
        <v>45895</v>
      </c>
      <c r="K30">
        <f ca="1"/>
        <v>6472.4093604830614</v>
      </c>
      <c r="L30">
        <f ca="1"/>
        <v>12.8837200320703</v>
      </c>
      <c r="M30">
        <f ca="1"/>
        <v>0.21255142326563758</v>
      </c>
      <c r="N30" s="4">
        <f ca="1"/>
        <v>0.20365394259318756</v>
      </c>
      <c r="O30">
        <f ca="1"/>
        <v>0</v>
      </c>
      <c r="P30">
        <f ca="1"/>
        <v>391.78850927803171</v>
      </c>
      <c r="Q30">
        <f ca="1"/>
        <v>367.10046622763514</v>
      </c>
      <c r="R30">
        <f ca="1"/>
        <v>90.538688619394662</v>
      </c>
      <c r="S30">
        <f ca="1"/>
        <v>1</v>
      </c>
      <c r="T30">
        <f ca="1"/>
        <v>2.539999999999992</v>
      </c>
      <c r="U30">
        <f ca="1"/>
        <v>0</v>
      </c>
      <c r="V30">
        <f ca="1"/>
        <v>0.16009526284705161</v>
      </c>
      <c r="X30" s="2">
        <f t="shared" ca="1" si="1"/>
        <v>45895</v>
      </c>
      <c r="Y30">
        <f t="shared" ca="1" si="2"/>
        <v>0</v>
      </c>
      <c r="AA30" s="63">
        <f t="shared" ca="1" si="4"/>
        <v>6575.8317691345264</v>
      </c>
      <c r="AB30" s="63">
        <f t="shared" ca="1" si="5"/>
        <v>6575.8317691345264</v>
      </c>
      <c r="AC30" s="3">
        <f t="shared" ca="1" si="6"/>
        <v>0</v>
      </c>
    </row>
    <row r="31" spans="1:29">
      <c r="A31" s="9" t="s">
        <v>230</v>
      </c>
      <c r="B31" s="13">
        <f>CurrentPopulation</f>
        <v>50000</v>
      </c>
      <c r="H31" t="b">
        <f t="shared" ca="1" si="3"/>
        <v>1</v>
      </c>
      <c r="I31" t="b">
        <f t="shared" ca="1" si="0"/>
        <v>1</v>
      </c>
      <c r="J31" s="2">
        <f ca="1"/>
        <v>45896</v>
      </c>
      <c r="K31">
        <f ca="1"/>
        <v>6428.0420880435386</v>
      </c>
      <c r="L31">
        <f ca="1"/>
        <v>13.279393782457987</v>
      </c>
      <c r="M31">
        <f ca="1"/>
        <v>0.2157661116173748</v>
      </c>
      <c r="N31" s="4">
        <f ca="1"/>
        <v>0.20307746575814795</v>
      </c>
      <c r="O31">
        <f ca="1"/>
        <v>0</v>
      </c>
      <c r="P31">
        <f ca="1"/>
        <v>405.0679030604897</v>
      </c>
      <c r="Q31">
        <f ca="1"/>
        <v>379.54307629229447</v>
      </c>
      <c r="R31">
        <f ca="1"/>
        <v>31.506722234439511</v>
      </c>
      <c r="S31">
        <f ca="1"/>
        <v>1</v>
      </c>
      <c r="T31">
        <f ca="1"/>
        <v>0.89000000000000057</v>
      </c>
      <c r="U31">
        <f ca="1"/>
        <v>0</v>
      </c>
      <c r="V31">
        <f ca="1"/>
        <v>0.18412773284018027</v>
      </c>
      <c r="X31" s="2">
        <f t="shared" ca="1" si="1"/>
        <v>45896</v>
      </c>
      <c r="Y31">
        <f t="shared" ca="1" si="2"/>
        <v>0</v>
      </c>
      <c r="AA31" s="63">
        <f t="shared" ca="1" si="4"/>
        <v>6472.8282040604363</v>
      </c>
      <c r="AB31" s="63">
        <f t="shared" ca="1" si="5"/>
        <v>6472.8282040604363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kg/head</v>
      </c>
      <c r="H32" t="b">
        <f t="shared" ca="1" si="3"/>
        <v>1</v>
      </c>
      <c r="I32" t="b">
        <f t="shared" ca="1" si="0"/>
        <v>1</v>
      </c>
      <c r="J32" s="2">
        <f ca="1"/>
        <v>45897</v>
      </c>
      <c r="K32">
        <f ca="1"/>
        <v>6404.9265813340371</v>
      </c>
      <c r="L32">
        <f ca="1"/>
        <v>13.296471368237007</v>
      </c>
      <c r="M32">
        <f ca="1"/>
        <v>0.21366633972962745</v>
      </c>
      <c r="N32" s="4">
        <f ca="1"/>
        <v>0.19661584455679831</v>
      </c>
      <c r="O32">
        <f ca="1"/>
        <v>0</v>
      </c>
      <c r="P32">
        <f ca="1"/>
        <v>418.36437442872671</v>
      </c>
      <c r="Q32">
        <f ca="1"/>
        <v>392.001687820889</v>
      </c>
      <c r="R32">
        <f ca="1"/>
        <v>10.229317525550604</v>
      </c>
      <c r="S32">
        <f ca="1"/>
        <v>1</v>
      </c>
      <c r="T32">
        <f ca="1"/>
        <v>0.28999999999999204</v>
      </c>
      <c r="U32">
        <f ca="1"/>
        <v>0</v>
      </c>
      <c r="V32">
        <f ca="1"/>
        <v>0.21000333262214513</v>
      </c>
      <c r="X32" s="2">
        <f t="shared" ca="1" si="1"/>
        <v>45897</v>
      </c>
      <c r="Y32">
        <f t="shared" ca="1" si="2"/>
        <v>0</v>
      </c>
      <c r="AA32" s="63">
        <f t="shared" ca="1" si="4"/>
        <v>6428.4523702278248</v>
      </c>
      <c r="AB32" s="63">
        <f t="shared" ca="1" si="5"/>
        <v>6428.4523702278248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45898</v>
      </c>
      <c r="K33">
        <f ca="1"/>
        <v>6383.5519967024429</v>
      </c>
      <c r="L33">
        <f ca="1"/>
        <v>13.700702950973835</v>
      </c>
      <c r="M33">
        <f ca="1"/>
        <v>0.21571099873083144</v>
      </c>
      <c r="N33" s="4">
        <f ca="1"/>
        <v>0.19623984980511408</v>
      </c>
      <c r="O33">
        <f ca="1"/>
        <v>0</v>
      </c>
      <c r="P33">
        <f ca="1"/>
        <v>432.06507737970054</v>
      </c>
      <c r="Q33">
        <f ca="1"/>
        <v>404.83905880508922</v>
      </c>
      <c r="R33">
        <f ca="1"/>
        <v>8.0858325291565674</v>
      </c>
      <c r="S33">
        <f ca="1"/>
        <v>1</v>
      </c>
      <c r="T33">
        <f ca="1"/>
        <v>0.23000000000000398</v>
      </c>
      <c r="U33">
        <f ca="1"/>
        <v>0</v>
      </c>
      <c r="V33">
        <f ca="1"/>
        <v>0.23839726752042317</v>
      </c>
      <c r="X33" s="2">
        <f t="shared" ca="1" si="1"/>
        <v>45898</v>
      </c>
      <c r="Y33">
        <f t="shared" ca="1" si="2"/>
        <v>0</v>
      </c>
      <c r="AA33" s="63">
        <f t="shared" ca="1" si="4"/>
        <v>6405.3385321825735</v>
      </c>
      <c r="AB33" s="63">
        <f t="shared" ca="1" si="5"/>
        <v>6405.3385321825735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45899</v>
      </c>
      <c r="K34">
        <f ca="1"/>
        <v>6329.207200126988</v>
      </c>
      <c r="L34">
        <f ca="1"/>
        <v>14.329811984563719</v>
      </c>
      <c r="M34">
        <f ca="1"/>
        <v>0.21967800663292447</v>
      </c>
      <c r="N34" s="4">
        <f ca="1"/>
        <v>0.19888137082310395</v>
      </c>
      <c r="O34">
        <f ca="1"/>
        <v>0</v>
      </c>
      <c r="P34">
        <f ca="1"/>
        <v>446.39488936426426</v>
      </c>
      <c r="Q34">
        <f ca="1"/>
        <v>418.26589633583109</v>
      </c>
      <c r="R34">
        <f ca="1"/>
        <v>40.433543968347365</v>
      </c>
      <c r="S34">
        <f ca="1"/>
        <v>1</v>
      </c>
      <c r="T34">
        <f ca="1"/>
        <v>1.1599999999999966</v>
      </c>
      <c r="U34">
        <f ca="1"/>
        <v>0</v>
      </c>
      <c r="V34">
        <f ca="1"/>
        <v>0.26974048808846474</v>
      </c>
      <c r="X34" s="2">
        <f t="shared" ca="1" si="1"/>
        <v>45899</v>
      </c>
      <c r="Y34">
        <f t="shared" ca="1" si="2"/>
        <v>0</v>
      </c>
      <c r="AA34" s="63">
        <f t="shared" ca="1" si="4"/>
        <v>6383.9705560798993</v>
      </c>
      <c r="AB34" s="63">
        <f t="shared" ca="1" si="5"/>
        <v>6383.9705560798993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89</v>
      </c>
      <c r="H35" t="b">
        <f t="shared" ca="1" si="3"/>
        <v>1</v>
      </c>
      <c r="I35" t="b">
        <f t="shared" ca="1" si="0"/>
        <v>1</v>
      </c>
      <c r="J35" s="2">
        <f ca="1"/>
        <v>45900</v>
      </c>
      <c r="K35">
        <f ca="1"/>
        <v>6220.8765325856693</v>
      </c>
      <c r="L35">
        <f ca="1"/>
        <v>14.880560413358296</v>
      </c>
      <c r="M35">
        <f ca="1"/>
        <v>0.22199788814375321</v>
      </c>
      <c r="N35" s="4">
        <f ca="1"/>
        <v>0.20002028430440402</v>
      </c>
      <c r="O35">
        <f ca="1"/>
        <v>0</v>
      </c>
      <c r="P35">
        <f ca="1"/>
        <v>461.27544977762255</v>
      </c>
      <c r="Q35">
        <f ca="1"/>
        <v>432.20877759985444</v>
      </c>
      <c r="R35">
        <f ca="1"/>
        <v>93.872125300408513</v>
      </c>
      <c r="S35">
        <f ca="1"/>
        <v>1</v>
      </c>
      <c r="T35">
        <f ca="1"/>
        <v>2.7399999999999949</v>
      </c>
      <c r="U35">
        <f ca="1"/>
        <v>0</v>
      </c>
      <c r="V35">
        <f ca="1"/>
        <v>0.30375491679043065</v>
      </c>
      <c r="X35" s="2">
        <f t="shared" ca="1" si="1"/>
        <v>45900</v>
      </c>
      <c r="Y35">
        <f t="shared" ca="1" si="2"/>
        <v>0</v>
      </c>
      <c r="AA35" s="63">
        <f t="shared" ca="1" si="4"/>
        <v>6329.6292182994366</v>
      </c>
      <c r="AB35" s="63">
        <f t="shared" ca="1" si="5"/>
        <v>6329.6292182994366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45891</v>
      </c>
      <c r="H36" t="b">
        <f t="shared" ca="1" si="3"/>
        <v>1</v>
      </c>
      <c r="I36" t="b">
        <f t="shared" ca="1" si="0"/>
        <v>1</v>
      </c>
      <c r="J36" s="2">
        <f ca="1"/>
        <v>45901</v>
      </c>
      <c r="K36">
        <f ca="1"/>
        <v>6174.1770511799114</v>
      </c>
      <c r="L36">
        <f ca="1"/>
        <v>15.154758975027278</v>
      </c>
      <c r="M36">
        <f ca="1"/>
        <v>0.2206482228044937</v>
      </c>
      <c r="N36" s="4">
        <f ca="1"/>
        <v>0.19718068967371924</v>
      </c>
      <c r="O36">
        <f ca="1"/>
        <v>0</v>
      </c>
      <c r="P36">
        <f ca="1"/>
        <v>476.43020875264983</v>
      </c>
      <c r="Q36">
        <f ca="1"/>
        <v>446.4085791600171</v>
      </c>
      <c r="R36">
        <f ca="1"/>
        <v>31.962551343209554</v>
      </c>
      <c r="S36">
        <f ca="1"/>
        <v>1</v>
      </c>
      <c r="T36">
        <f ca="1"/>
        <v>0.93999999999999773</v>
      </c>
      <c r="U36">
        <f ca="1"/>
        <v>0</v>
      </c>
      <c r="V36">
        <f ca="1"/>
        <v>0.33954965853234426</v>
      </c>
      <c r="X36" s="2">
        <f t="shared" ca="1" si="1"/>
        <v>45901</v>
      </c>
      <c r="Y36">
        <f t="shared" ca="1" si="2"/>
        <v>0</v>
      </c>
      <c r="AA36" s="63">
        <f t="shared" ca="1" si="4"/>
        <v>6221.2943614981477</v>
      </c>
      <c r="AB36" s="63">
        <f t="shared" ca="1" si="5"/>
        <v>6221.2943614981477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Seedling</v>
      </c>
      <c r="H37" t="b">
        <f t="shared" ca="1" si="3"/>
        <v>1</v>
      </c>
      <c r="I37" t="b">
        <f t="shared" ca="1" si="0"/>
        <v>1</v>
      </c>
      <c r="J37" s="2">
        <f ca="1"/>
        <v>45902</v>
      </c>
      <c r="K37">
        <f ca="1"/>
        <v>6133.5306033948937</v>
      </c>
      <c r="L37">
        <f ca="1"/>
        <v>15.732722303370167</v>
      </c>
      <c r="M37">
        <f ca="1"/>
        <v>0.22210921045802312</v>
      </c>
      <c r="N37" s="4">
        <f ca="1"/>
        <v>0.19831345235053324</v>
      </c>
      <c r="O37">
        <f ca="1"/>
        <v>0</v>
      </c>
      <c r="P37">
        <f ca="1"/>
        <v>492.16293105602</v>
      </c>
      <c r="Q37">
        <f ca="1"/>
        <v>461.14992444153097</v>
      </c>
      <c r="R37">
        <f ca="1"/>
        <v>25.334148144457163</v>
      </c>
      <c r="S37">
        <f ca="1"/>
        <v>1</v>
      </c>
      <c r="T37">
        <f ca="1"/>
        <v>0.75</v>
      </c>
      <c r="U37">
        <f ca="1"/>
        <v>0</v>
      </c>
      <c r="V37">
        <f ca="1"/>
        <v>0.37749112858800982</v>
      </c>
      <c r="X37" s="2">
        <f t="shared" ca="1" si="1"/>
        <v>45902</v>
      </c>
      <c r="Y37">
        <f t="shared" ca="1" si="2"/>
        <v>0</v>
      </c>
      <c r="AA37" s="63">
        <f t="shared" ca="1" si="4"/>
        <v>6174.5974738427203</v>
      </c>
      <c r="AB37" s="63">
        <f t="shared" ca="1" si="5"/>
        <v>6174.5974738427203</v>
      </c>
      <c r="AC37" s="3">
        <f t="shared" ca="1" si="6"/>
        <v>0</v>
      </c>
    </row>
    <row r="38" spans="1:29">
      <c r="A38" s="9" t="s">
        <v>124</v>
      </c>
      <c r="B38" s="36">
        <f>CurrentHarvestDate</f>
        <v>46016</v>
      </c>
      <c r="H38" t="b">
        <f t="shared" ca="1" si="3"/>
        <v>1</v>
      </c>
      <c r="I38" t="b">
        <f t="shared" ca="1" si="0"/>
        <v>1</v>
      </c>
      <c r="J38" s="2">
        <f ca="1"/>
        <v>45903</v>
      </c>
      <c r="K38">
        <f ca="1"/>
        <v>6113.1426086023366</v>
      </c>
      <c r="L38">
        <f ca="1"/>
        <v>17.125539444705851</v>
      </c>
      <c r="M38">
        <f ca="1"/>
        <v>0.23139334403001133</v>
      </c>
      <c r="N38" s="4">
        <f ca="1"/>
        <v>0.20947538115653697</v>
      </c>
      <c r="O38">
        <f ca="1"/>
        <v>0</v>
      </c>
      <c r="P38">
        <f ca="1"/>
        <v>509.28847050072585</v>
      </c>
      <c r="Q38">
        <f ca="1"/>
        <v>477.19632030478965</v>
      </c>
      <c r="R38">
        <f ca="1"/>
        <v>3.7033240730373378</v>
      </c>
      <c r="S38">
        <f ca="1"/>
        <v>1</v>
      </c>
      <c r="T38">
        <f ca="1"/>
        <v>0.10999999999999943</v>
      </c>
      <c r="U38">
        <f ca="1"/>
        <v>0</v>
      </c>
      <c r="V38">
        <f ca="1"/>
        <v>0.41914046023968149</v>
      </c>
      <c r="X38" s="2">
        <f t="shared" ca="1" si="1"/>
        <v>45903</v>
      </c>
      <c r="Y38">
        <f t="shared" ca="1" si="2"/>
        <v>0</v>
      </c>
      <c r="AA38" s="63">
        <f t="shared" ca="1" si="4"/>
        <v>6133.9714721200799</v>
      </c>
      <c r="AB38" s="63">
        <f t="shared" ca="1" si="5"/>
        <v>6133.9714721200799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45904</v>
      </c>
      <c r="K39">
        <f ca="1"/>
        <v>6039.5073301344146</v>
      </c>
      <c r="L39">
        <f ca="1"/>
        <v>17.868326017186575</v>
      </c>
      <c r="M39">
        <f ca="1"/>
        <v>0.23279146231207015</v>
      </c>
      <c r="N39" s="4">
        <f ca="1"/>
        <v>0.21143880307287738</v>
      </c>
      <c r="O39">
        <f ca="1"/>
        <v>0</v>
      </c>
      <c r="P39">
        <f ca="1"/>
        <v>527.15679651791243</v>
      </c>
      <c r="Q39">
        <f ca="1"/>
        <v>493.9386970113041</v>
      </c>
      <c r="R39">
        <f ca="1"/>
        <v>56.211182716120518</v>
      </c>
      <c r="S39">
        <f ca="1"/>
        <v>1</v>
      </c>
      <c r="T39">
        <f ca="1"/>
        <v>1.6899999999999977</v>
      </c>
      <c r="U39">
        <f ca="1"/>
        <v>0</v>
      </c>
      <c r="V39">
        <f ca="1"/>
        <v>0.46235269349494584</v>
      </c>
      <c r="X39" s="2">
        <f t="shared" ca="1" si="1"/>
        <v>45904</v>
      </c>
      <c r="Y39">
        <f t="shared" ca="1" si="2"/>
        <v>0</v>
      </c>
      <c r="AA39" s="63">
        <f t="shared" ca="1" si="4"/>
        <v>6113.5868388677218</v>
      </c>
      <c r="AB39" s="63">
        <f t="shared" ca="1" si="5"/>
        <v>6113.5868388677218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45905</v>
      </c>
      <c r="K40">
        <f ca="1"/>
        <v>5902.1967645510422</v>
      </c>
      <c r="L40">
        <f ca="1"/>
        <v>18.793297152555965</v>
      </c>
      <c r="M40">
        <f ca="1"/>
        <v>0.23528797082183583</v>
      </c>
      <c r="N40" s="4">
        <f ca="1"/>
        <v>0.21520099166059059</v>
      </c>
      <c r="O40">
        <f ca="1"/>
        <v>0</v>
      </c>
      <c r="P40">
        <f ca="1"/>
        <v>545.95009367046839</v>
      </c>
      <c r="Q40">
        <f ca="1"/>
        <v>511.5477590008224</v>
      </c>
      <c r="R40">
        <f ca="1"/>
        <v>118.96775739329829</v>
      </c>
      <c r="S40">
        <f ca="1"/>
        <v>1</v>
      </c>
      <c r="T40">
        <f ca="1"/>
        <v>3.6599999999999966</v>
      </c>
      <c r="U40">
        <f ca="1"/>
        <v>0</v>
      </c>
      <c r="V40">
        <f ca="1"/>
        <v>0.50685998471354365</v>
      </c>
      <c r="X40" s="2">
        <f t="shared" ca="1" si="1"/>
        <v>45905</v>
      </c>
      <c r="Y40">
        <f t="shared" ca="1" si="2"/>
        <v>0</v>
      </c>
      <c r="AA40" s="63">
        <f t="shared" ca="1" si="4"/>
        <v>6039.9578190968969</v>
      </c>
      <c r="AB40" s="63">
        <f t="shared" ca="1" si="5"/>
        <v>6039.9578190968969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45906</v>
      </c>
      <c r="K41">
        <f ca="1"/>
        <v>5828.3901022534392</v>
      </c>
      <c r="L41">
        <f ca="1"/>
        <v>19.36617862596529</v>
      </c>
      <c r="M41">
        <f ca="1"/>
        <v>0.23353968344880638</v>
      </c>
      <c r="N41">
        <f ca="1"/>
        <v>0.21420691222204125</v>
      </c>
      <c r="O41">
        <f ca="1"/>
        <v>0</v>
      </c>
      <c r="P41">
        <f ca="1"/>
        <v>565.31627229643368</v>
      </c>
      <c r="Q41">
        <f ca="1"/>
        <v>529.69360308323371</v>
      </c>
      <c r="R41">
        <f ca="1"/>
        <v>54.888230267308266</v>
      </c>
      <c r="S41">
        <f ca="1"/>
        <v>1</v>
      </c>
      <c r="T41">
        <f ca="1"/>
        <v>1.7099999999999937</v>
      </c>
      <c r="U41">
        <f ca="1"/>
        <v>0</v>
      </c>
      <c r="V41">
        <f ca="1"/>
        <v>0.55107077696585471</v>
      </c>
      <c r="X41" s="2">
        <f t="shared" ca="1" si="1"/>
        <v>45906</v>
      </c>
      <c r="Y41">
        <f t="shared" ca="1" si="2"/>
        <v>0</v>
      </c>
      <c r="AA41" s="63">
        <f t="shared" ca="1" si="4"/>
        <v>5902.6445111467128</v>
      </c>
      <c r="AB41" s="63">
        <f t="shared" ca="1" si="5"/>
        <v>5902.6445111467128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45907</v>
      </c>
      <c r="K42">
        <f ca="1"/>
        <v>5792.0674875505574</v>
      </c>
      <c r="L42">
        <f ca="1"/>
        <v>19.533691683712277</v>
      </c>
      <c r="M42">
        <f ca="1"/>
        <v>0.22768405397324187</v>
      </c>
      <c r="N42">
        <f ca="1"/>
        <v>0.20849797679052109</v>
      </c>
      <c r="O42">
        <f ca="1"/>
        <v>0</v>
      </c>
      <c r="P42">
        <f ca="1"/>
        <v>584.84996398014596</v>
      </c>
      <c r="Q42">
        <f ca="1"/>
        <v>547.99640460605451</v>
      </c>
      <c r="R42">
        <f ca="1"/>
        <v>17.225105049933166</v>
      </c>
      <c r="S42">
        <f ca="1"/>
        <v>1</v>
      </c>
      <c r="T42">
        <f ca="1"/>
        <v>0.54000000000000625</v>
      </c>
      <c r="U42">
        <f ca="1"/>
        <v>0</v>
      </c>
      <c r="V42">
        <f ca="1"/>
        <v>0.59342582767191376</v>
      </c>
      <c r="X42" s="2">
        <f t="shared" ca="1" si="1"/>
        <v>45907</v>
      </c>
      <c r="Y42">
        <f t="shared" ca="1" si="2"/>
        <v>0</v>
      </c>
      <c r="AA42" s="63">
        <f t="shared" ca="1" si="4"/>
        <v>5828.8262842842032</v>
      </c>
      <c r="AB42" s="63">
        <f t="shared" ca="1" si="5"/>
        <v>5828.8262842842032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45908</v>
      </c>
      <c r="K43">
        <f ca="1"/>
        <v>5708.3404797816929</v>
      </c>
      <c r="L43">
        <f ca="1"/>
        <v>20.988554694968002</v>
      </c>
      <c r="M43">
        <f ca="1"/>
        <v>0.23319635344255651</v>
      </c>
      <c r="N43">
        <f ca="1"/>
        <v>0.2171977966787135</v>
      </c>
      <c r="O43">
        <f ca="1"/>
        <v>0</v>
      </c>
      <c r="P43">
        <f ca="1"/>
        <v>605.83851867511396</v>
      </c>
      <c r="Q43">
        <f ca="1"/>
        <v>567.66239284079165</v>
      </c>
      <c r="R43">
        <f ca="1"/>
        <v>63.188847224018375</v>
      </c>
      <c r="S43">
        <f ca="1"/>
        <v>1</v>
      </c>
      <c r="T43">
        <f ca="1"/>
        <v>2.0100000000000051</v>
      </c>
      <c r="U43">
        <f ca="1"/>
        <v>0</v>
      </c>
      <c r="V43">
        <f ca="1"/>
        <v>0.63598559301778146</v>
      </c>
      <c r="X43" s="2">
        <f t="shared" ca="1" si="1"/>
        <v>45908</v>
      </c>
      <c r="Y43">
        <f t="shared" ca="1" si="2"/>
        <v>0</v>
      </c>
      <c r="AA43" s="63">
        <f t="shared" ca="1" si="4"/>
        <v>5792.517881700679</v>
      </c>
      <c r="AB43" s="63">
        <f t="shared" ca="1" si="5"/>
        <v>5792.517881700679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45909</v>
      </c>
      <c r="K44">
        <f ca="1"/>
        <v>5642.9714648289646</v>
      </c>
      <c r="L44">
        <f ca="1"/>
        <v>21.053551957234845</v>
      </c>
      <c r="M44">
        <f ca="1"/>
        <v>0.22569098500227813</v>
      </c>
      <c r="N44">
        <f ca="1"/>
        <v>0.21006320145243665</v>
      </c>
      <c r="O44">
        <f ca="1"/>
        <v>0</v>
      </c>
      <c r="P44">
        <f ca="1"/>
        <v>626.8920706323488</v>
      </c>
      <c r="Q44">
        <f ca="1"/>
        <v>587.38928261989929</v>
      </c>
      <c r="R44">
        <f ca="1"/>
        <v>44.751217181948327</v>
      </c>
      <c r="S44">
        <f ca="1"/>
        <v>1</v>
      </c>
      <c r="T44">
        <f ca="1"/>
        <v>1.4400000000000119</v>
      </c>
      <c r="U44">
        <f ca="1"/>
        <v>0</v>
      </c>
      <c r="V44">
        <f ca="1"/>
        <v>0.67531997294722979</v>
      </c>
      <c r="X44" s="2">
        <f t="shared" ca="1" si="1"/>
        <v>45909</v>
      </c>
      <c r="Y44">
        <f t="shared" ca="1" si="2"/>
        <v>0</v>
      </c>
      <c r="AA44" s="63">
        <f t="shared" ca="1" si="4"/>
        <v>5708.7762339681476</v>
      </c>
      <c r="AB44" s="63">
        <f t="shared" ca="1" si="5"/>
        <v>5708.7762339681476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45910</v>
      </c>
      <c r="K45">
        <f ca="1"/>
        <v>5621.3518619220322</v>
      </c>
      <c r="L45">
        <f ca="1"/>
        <v>22.058675211195464</v>
      </c>
      <c r="M45">
        <f ca="1"/>
        <v>0.22605448650624904</v>
      </c>
      <c r="N45">
        <f ca="1"/>
        <v>0.21301781775644565</v>
      </c>
      <c r="O45">
        <f ca="1"/>
        <v>0</v>
      </c>
      <c r="P45">
        <f ca="1"/>
        <v>648.95074584354427</v>
      </c>
      <c r="Q45">
        <f ca="1"/>
        <v>608.05795911915641</v>
      </c>
      <c r="R45">
        <f ca="1"/>
        <v>0</v>
      </c>
      <c r="S45">
        <f ca="1"/>
        <v>0.98768115942028978</v>
      </c>
      <c r="T45">
        <f ca="1"/>
        <v>0</v>
      </c>
      <c r="U45">
        <f ca="1"/>
        <v>0</v>
      </c>
      <c r="V45">
        <f ca="1"/>
        <v>0.7127935826992573</v>
      </c>
      <c r="X45" s="2">
        <f t="shared" ca="1" si="1"/>
        <v>45910</v>
      </c>
      <c r="Y45">
        <f t="shared" ca="1" si="2"/>
        <v>0</v>
      </c>
      <c r="AA45" s="63">
        <f t="shared" ca="1" si="4"/>
        <v>5643.410537133228</v>
      </c>
      <c r="AB45" s="63">
        <f t="shared" ca="1" si="5"/>
        <v>5643.410537133228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45911</v>
      </c>
      <c r="K46">
        <f ca="1"/>
        <v>5595.0853721668454</v>
      </c>
      <c r="L46">
        <f ca="1"/>
        <v>23.096856397066517</v>
      </c>
      <c r="M46">
        <f ca="1"/>
        <v>0.22601090425816395</v>
      </c>
      <c r="N46">
        <f ca="1"/>
        <v>0.21579882229134376</v>
      </c>
      <c r="O46">
        <f ca="1"/>
        <v>0</v>
      </c>
      <c r="P46">
        <f ca="1"/>
        <v>672.04760224061079</v>
      </c>
      <c r="Q46">
        <f ca="1"/>
        <v>629.69939716791475</v>
      </c>
      <c r="R46">
        <f ca="1"/>
        <v>3.6114430846702628</v>
      </c>
      <c r="S46">
        <f ca="1"/>
        <v>1</v>
      </c>
      <c r="T46">
        <f ca="1"/>
        <v>0.11720322214519285</v>
      </c>
      <c r="U46">
        <f ca="1"/>
        <v>0</v>
      </c>
      <c r="V46">
        <f ca="1"/>
        <v>0.7479602799091366</v>
      </c>
      <c r="X46" s="2">
        <f t="shared" ca="1" si="1"/>
        <v>45911</v>
      </c>
      <c r="Y46">
        <f t="shared" ca="1" si="2"/>
        <v>0</v>
      </c>
      <c r="AA46" s="63">
        <f t="shared" ca="1" si="4"/>
        <v>5621.7936716485819</v>
      </c>
      <c r="AB46" s="63">
        <f t="shared" ca="1" si="5"/>
        <v>5621.7936716485819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45912</v>
      </c>
      <c r="K47">
        <f ca="1"/>
        <v>5524.8676973909696</v>
      </c>
      <c r="L47">
        <f ca="1"/>
        <v>24.726870883161837</v>
      </c>
      <c r="M47">
        <f ca="1"/>
        <v>0.2298063851835197</v>
      </c>
      <c r="N47">
        <f ca="1"/>
        <v>0.22386921142105629</v>
      </c>
      <c r="O47">
        <f ca="1"/>
        <v>0</v>
      </c>
      <c r="P47">
        <f ca="1"/>
        <v>696.77447312377262</v>
      </c>
      <c r="Q47">
        <f ca="1"/>
        <v>652.86813646117866</v>
      </c>
      <c r="R47">
        <f ca="1"/>
        <v>45.944479489318091</v>
      </c>
      <c r="S47">
        <f ca="1"/>
        <v>1</v>
      </c>
      <c r="T47">
        <f ca="1"/>
        <v>1.5100000000000051</v>
      </c>
      <c r="U47">
        <f ca="1"/>
        <v>0</v>
      </c>
      <c r="V47">
        <f ca="1"/>
        <v>0.78119029757989356</v>
      </c>
      <c r="X47" s="2">
        <f t="shared" ca="1" si="1"/>
        <v>45912</v>
      </c>
      <c r="Y47">
        <f t="shared" ca="1" si="2"/>
        <v>0</v>
      </c>
      <c r="AA47" s="63">
        <f t="shared" ca="1" si="4"/>
        <v>5595.5390477634492</v>
      </c>
      <c r="AB47" s="63">
        <f t="shared" ca="1" si="5"/>
        <v>5595.5390477634492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45913</v>
      </c>
      <c r="K48">
        <f ca="1"/>
        <v>5414.9417504876374</v>
      </c>
      <c r="L48">
        <f ca="1"/>
        <v>25.078643878536241</v>
      </c>
      <c r="M48">
        <f ca="1"/>
        <v>0.22314986709545526</v>
      </c>
      <c r="N48">
        <f ca="1"/>
        <v>0.21880354912247058</v>
      </c>
      <c r="O48">
        <f ca="1"/>
        <v>0</v>
      </c>
      <c r="P48">
        <f ca="1"/>
        <v>721.85311700230886</v>
      </c>
      <c r="Q48">
        <f ca="1"/>
        <v>676.3664822323002</v>
      </c>
      <c r="R48">
        <f ca="1"/>
        <v>85.289256441013976</v>
      </c>
      <c r="S48">
        <f ca="1"/>
        <v>1</v>
      </c>
      <c r="T48">
        <f ca="1"/>
        <v>2.8599999999999994</v>
      </c>
      <c r="U48">
        <f ca="1"/>
        <v>0</v>
      </c>
      <c r="V48">
        <f ca="1"/>
        <v>0.81056247223722655</v>
      </c>
      <c r="X48" s="2">
        <f t="shared" ca="1" si="1"/>
        <v>45913</v>
      </c>
      <c r="Y48">
        <f t="shared" ca="1" si="2"/>
        <v>0</v>
      </c>
      <c r="AA48" s="63">
        <f t="shared" ca="1" si="4"/>
        <v>5525.3096508071876</v>
      </c>
      <c r="AB48" s="63">
        <f t="shared" ca="1" si="5"/>
        <v>5525.3096508071876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46031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45914</v>
      </c>
      <c r="K49">
        <f ca="1"/>
        <v>5356.0149356545708</v>
      </c>
      <c r="L49">
        <f ca="1"/>
        <v>26.335432343764069</v>
      </c>
      <c r="M49">
        <f ca="1"/>
        <v>0.22289829060632105</v>
      </c>
      <c r="N49">
        <f ca="1"/>
        <v>0.2222403304479125</v>
      </c>
      <c r="O49">
        <f ca="1"/>
        <v>0</v>
      </c>
      <c r="P49">
        <f ca="1"/>
        <v>748.18854934607293</v>
      </c>
      <c r="Q49">
        <f ca="1"/>
        <v>701.04242157906003</v>
      </c>
      <c r="R49">
        <f ca="1"/>
        <v>33.03652111035602</v>
      </c>
      <c r="S49">
        <f ca="1"/>
        <v>1</v>
      </c>
      <c r="T49">
        <f ca="1"/>
        <v>1.1199999999999903</v>
      </c>
      <c r="U49">
        <f ca="1"/>
        <v>0</v>
      </c>
      <c r="V49">
        <f ca="1"/>
        <v>0.83716805298593699</v>
      </c>
      <c r="X49" s="2">
        <f t="shared" ca="1" si="1"/>
        <v>45914</v>
      </c>
      <c r="Y49">
        <f t="shared" ca="1" si="2"/>
        <v>0</v>
      </c>
      <c r="AA49" s="63">
        <f t="shared" ca="1" si="4"/>
        <v>5415.3868891086913</v>
      </c>
      <c r="AB49" s="63">
        <f t="shared" ca="1" si="5"/>
        <v>5415.3868891086913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45915</v>
      </c>
      <c r="K50">
        <f ca="1"/>
        <v>5301.0422421952489</v>
      </c>
      <c r="L50">
        <f ca="1"/>
        <v>27.983369660613448</v>
      </c>
      <c r="M50">
        <f ca="1"/>
        <v>0.22457956361248321</v>
      </c>
      <c r="N50">
        <f ca="1"/>
        <v>0.22859357843446854</v>
      </c>
      <c r="O50">
        <f ca="1"/>
        <v>0</v>
      </c>
      <c r="P50">
        <f ca="1"/>
        <v>776.17191900668638</v>
      </c>
      <c r="Q50">
        <f ca="1"/>
        <v>727.26245561722385</v>
      </c>
      <c r="R50">
        <f ca="1"/>
        <v>27.442496940755632</v>
      </c>
      <c r="S50">
        <f ca="1"/>
        <v>1</v>
      </c>
      <c r="T50">
        <f ca="1"/>
        <v>0.93999999999999773</v>
      </c>
      <c r="U50">
        <f ca="1"/>
        <v>0</v>
      </c>
      <c r="V50">
        <f ca="1"/>
        <v>0.86124338895035768</v>
      </c>
      <c r="X50" s="2">
        <f t="shared" ca="1" si="1"/>
        <v>45915</v>
      </c>
      <c r="Y50">
        <f t="shared" ca="1" si="2"/>
        <v>0</v>
      </c>
      <c r="AA50" s="63">
        <f t="shared" ca="1" si="4"/>
        <v>5356.4681087966183</v>
      </c>
      <c r="AB50" s="63">
        <f t="shared" ca="1" si="5"/>
        <v>5356.4681087966183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46151</v>
      </c>
      <c r="H51" t="b">
        <f t="shared" ca="1" si="3"/>
        <v>1</v>
      </c>
      <c r="I51" t="b">
        <f t="shared" ca="1" si="0"/>
        <v>1</v>
      </c>
      <c r="J51" s="2">
        <f ca="1"/>
        <v>45916</v>
      </c>
      <c r="K51">
        <f ca="1"/>
        <v>5234.2820478127915</v>
      </c>
      <c r="L51">
        <f ca="1"/>
        <v>29.454207833191845</v>
      </c>
      <c r="M51">
        <f ca="1"/>
        <v>0.22416068647410814</v>
      </c>
      <c r="N51">
        <f ca="1"/>
        <v>0.23254266862486284</v>
      </c>
      <c r="O51">
        <f ca="1"/>
        <v>0</v>
      </c>
      <c r="P51">
        <f ca="1"/>
        <v>805.62612683987822</v>
      </c>
      <c r="Q51">
        <f ca="1"/>
        <v>754.86064487462556</v>
      </c>
      <c r="R51">
        <f ca="1"/>
        <v>37.76268990436499</v>
      </c>
      <c r="S51">
        <f ca="1"/>
        <v>1</v>
      </c>
      <c r="T51">
        <f ca="1"/>
        <v>1.3099999999999881</v>
      </c>
      <c r="U51">
        <f ca="1"/>
        <v>0</v>
      </c>
      <c r="V51">
        <f ca="1"/>
        <v>0.88255942519559472</v>
      </c>
      <c r="X51" s="2">
        <f t="shared" ca="1" si="1"/>
        <v>45916</v>
      </c>
      <c r="Y51">
        <f t="shared" ca="1" si="2"/>
        <v>0</v>
      </c>
      <c r="AA51" s="63">
        <f t="shared" ca="1" si="4"/>
        <v>5301.4989455503483</v>
      </c>
      <c r="AB51" s="63">
        <f t="shared" ca="1" si="5"/>
        <v>5301.4989455503483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45917</v>
      </c>
      <c r="K52">
        <f ca="1"/>
        <v>5195.2828539619431</v>
      </c>
      <c r="L52">
        <f ca="1"/>
        <v>30.293016585804139</v>
      </c>
      <c r="M52">
        <f ca="1"/>
        <v>0.21910862464090641</v>
      </c>
      <c r="N52">
        <f ca="1"/>
        <v>0.23045896599277726</v>
      </c>
      <c r="O52">
        <f ca="1"/>
        <v>0</v>
      </c>
      <c r="P52">
        <f ca="1"/>
        <v>835.91914342568236</v>
      </c>
      <c r="Q52">
        <f ca="1"/>
        <v>783.24478644269402</v>
      </c>
      <c r="R52">
        <f ca="1"/>
        <v>9.1557448556780709</v>
      </c>
      <c r="S52">
        <f ca="1"/>
        <v>1</v>
      </c>
      <c r="T52">
        <f ca="1"/>
        <v>0.32000000000000739</v>
      </c>
      <c r="U52">
        <f ca="1"/>
        <v>0</v>
      </c>
      <c r="V52">
        <f ca="1"/>
        <v>0.90084164836342251</v>
      </c>
      <c r="X52" s="2">
        <f t="shared" ca="1" si="1"/>
        <v>45917</v>
      </c>
      <c r="Y52">
        <f t="shared" ca="1" si="2"/>
        <v>0</v>
      </c>
      <c r="AA52" s="63">
        <f t="shared" ca="1" si="4"/>
        <v>5234.7316154034252</v>
      </c>
      <c r="AB52" s="63">
        <f t="shared" ca="1" si="5"/>
        <v>5234.7316154034252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45918</v>
      </c>
      <c r="K53">
        <f ca="1"/>
        <v>5161.7588867633003</v>
      </c>
      <c r="L53">
        <f ca="1"/>
        <v>30.835184014919264</v>
      </c>
      <c r="M53">
        <f ca="1"/>
        <v>0.21227964598236593</v>
      </c>
      <c r="N53">
        <f ca="1"/>
        <v>0.2259157422741363</v>
      </c>
      <c r="O53">
        <f ca="1"/>
        <v>0</v>
      </c>
      <c r="P53">
        <f ca="1"/>
        <v>866.75432744060163</v>
      </c>
      <c r="Q53">
        <f ca="1"/>
        <v>812.13693146489231</v>
      </c>
      <c r="R53">
        <f ca="1"/>
        <v>3.1269785719808256</v>
      </c>
      <c r="S53">
        <f ca="1"/>
        <v>1</v>
      </c>
      <c r="T53">
        <f ca="1"/>
        <v>0.10999999999998522</v>
      </c>
      <c r="U53">
        <f ca="1"/>
        <v>0</v>
      </c>
      <c r="V53">
        <f ca="1"/>
        <v>0.91629079027928295</v>
      </c>
      <c r="X53" s="2">
        <f t="shared" ca="1" si="1"/>
        <v>45918</v>
      </c>
      <c r="Y53">
        <f t="shared" ca="1" si="2"/>
        <v>0</v>
      </c>
      <c r="AA53" s="63">
        <f t="shared" ca="1" si="4"/>
        <v>5195.7210493501998</v>
      </c>
      <c r="AB53" s="63">
        <f t="shared" ca="1" si="5"/>
        <v>5195.7210493501998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45919</v>
      </c>
      <c r="K54">
        <f ca="1"/>
        <v>5094.2994649111797</v>
      </c>
      <c r="L54">
        <f ca="1"/>
        <v>31.699242653939109</v>
      </c>
      <c r="M54">
        <f ca="1"/>
        <v>0.20742278795944991</v>
      </c>
      <c r="N54">
        <f ca="1"/>
        <v>0.22407334283704555</v>
      </c>
      <c r="O54">
        <f ca="1"/>
        <v>0</v>
      </c>
      <c r="P54">
        <f ca="1"/>
        <v>898.45357009454074</v>
      </c>
      <c r="Q54">
        <f ca="1"/>
        <v>841.83868759543259</v>
      </c>
      <c r="R54">
        <f ca="1"/>
        <v>36.191675328977468</v>
      </c>
      <c r="S54">
        <f ca="1"/>
        <v>1</v>
      </c>
      <c r="T54">
        <f ca="1"/>
        <v>1.289999999999992</v>
      </c>
      <c r="U54">
        <f ca="1"/>
        <v>0</v>
      </c>
      <c r="V54">
        <f ca="1"/>
        <v>0.92943154788852478</v>
      </c>
      <c r="X54" s="2">
        <f t="shared" ca="1" si="1"/>
        <v>45919</v>
      </c>
      <c r="Y54">
        <f t="shared" ca="1" si="2"/>
        <v>0</v>
      </c>
      <c r="AA54" s="63">
        <f t="shared" ca="1" si="4"/>
        <v>5162.1903828940967</v>
      </c>
      <c r="AB54" s="63">
        <f t="shared" ca="1" si="5"/>
        <v>5162.1903828940967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45920</v>
      </c>
      <c r="K55">
        <f ca="1"/>
        <v>5061.7894292316141</v>
      </c>
      <c r="L55">
        <f ca="1"/>
        <v>32.657110972000169</v>
      </c>
      <c r="M55">
        <f ca="1"/>
        <v>0.20299021517860805</v>
      </c>
      <c r="N55">
        <f ca="1"/>
        <v>0.22285029219849775</v>
      </c>
      <c r="O55">
        <f ca="1"/>
        <v>0</v>
      </c>
      <c r="P55">
        <f ca="1"/>
        <v>931.11068106654091</v>
      </c>
      <c r="Q55">
        <f ca="1"/>
        <v>872.43795321851212</v>
      </c>
      <c r="R55">
        <f ca="1"/>
        <v>0.27876521494333295</v>
      </c>
      <c r="S55">
        <f ca="1"/>
        <v>1</v>
      </c>
      <c r="T55">
        <f ca="1"/>
        <v>1.0000000000005116E-2</v>
      </c>
      <c r="U55">
        <f ca="1"/>
        <v>0</v>
      </c>
      <c r="V55">
        <f ca="1"/>
        <v>0.94059213976095268</v>
      </c>
      <c r="X55" s="2">
        <f t="shared" ca="1" si="1"/>
        <v>45920</v>
      </c>
      <c r="Y55">
        <f t="shared" ca="1" si="2"/>
        <v>0</v>
      </c>
      <c r="AA55" s="63">
        <f t="shared" ca="1" si="4"/>
        <v>5094.7253054185576</v>
      </c>
      <c r="AB55" s="63">
        <f t="shared" ca="1" si="5"/>
        <v>5094.7253054185576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45921</v>
      </c>
      <c r="K56">
        <f ca="1"/>
        <v>5024.2599994486563</v>
      </c>
      <c r="L56">
        <f ca="1"/>
        <v>33.521082861319428</v>
      </c>
      <c r="M56">
        <f ca="1"/>
        <v>0.1980059694247398</v>
      </c>
      <c r="N56">
        <f ca="1"/>
        <v>0.2208211374363096</v>
      </c>
      <c r="O56">
        <f ca="1"/>
        <v>0</v>
      </c>
      <c r="P56">
        <f ca="1"/>
        <v>964.63176392786033</v>
      </c>
      <c r="Q56">
        <f ca="1"/>
        <v>903.8467486666525</v>
      </c>
      <c r="R56">
        <f ca="1"/>
        <v>4.427174028499592</v>
      </c>
      <c r="S56">
        <f ca="1"/>
        <v>1</v>
      </c>
      <c r="T56">
        <f ca="1"/>
        <v>0.15999999999999659</v>
      </c>
      <c r="U56">
        <f ca="1"/>
        <v>0</v>
      </c>
      <c r="V56">
        <f ca="1"/>
        <v>0.95001030710272028</v>
      </c>
      <c r="X56" s="2">
        <f t="shared" ca="1" si="1"/>
        <v>45921</v>
      </c>
      <c r="Y56">
        <f t="shared" ca="1" si="2"/>
        <v>0</v>
      </c>
      <c r="AA56" s="63">
        <f t="shared" ca="1" si="4"/>
        <v>5062.2082563384756</v>
      </c>
      <c r="AB56" s="63">
        <f t="shared" ca="1" si="5"/>
        <v>5062.2082563384747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45922</v>
      </c>
      <c r="K57">
        <f ca="1"/>
        <v>4941.9241697163789</v>
      </c>
      <c r="L57">
        <f ca="1"/>
        <v>35.127415028161977</v>
      </c>
      <c r="M57">
        <f ca="1"/>
        <v>0.1964055462236054</v>
      </c>
      <c r="N57">
        <f ca="1"/>
        <v>0.22386921142105629</v>
      </c>
      <c r="O57">
        <f ca="1"/>
        <v>0</v>
      </c>
      <c r="P57">
        <f ca="1"/>
        <v>999.75917895602231</v>
      </c>
      <c r="Q57">
        <f ca="1"/>
        <v>936.76065535057432</v>
      </c>
      <c r="R57">
        <f ca="1"/>
        <v>47.628689461759308</v>
      </c>
      <c r="S57">
        <f ca="1"/>
        <v>1</v>
      </c>
      <c r="T57">
        <f ca="1"/>
        <v>1.75</v>
      </c>
      <c r="U57">
        <f ca="1"/>
        <v>0</v>
      </c>
      <c r="V57">
        <f ca="1"/>
        <v>0.95809369075892004</v>
      </c>
      <c r="X57" s="2">
        <f t="shared" ca="1" si="1"/>
        <v>45922</v>
      </c>
      <c r="Y57">
        <f t="shared" ca="1" si="2"/>
        <v>0</v>
      </c>
      <c r="AA57" s="63">
        <f t="shared" ca="1" si="4"/>
        <v>5024.680274206301</v>
      </c>
      <c r="AB57" s="63">
        <f t="shared" ca="1" si="5"/>
        <v>5024.6802742063001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45923</v>
      </c>
      <c r="K58">
        <f ca="1"/>
        <v>4880.3238112572417</v>
      </c>
      <c r="L58">
        <f ca="1"/>
        <v>36.756783262267277</v>
      </c>
      <c r="M58">
        <f ca="1"/>
        <v>0.19440972953914049</v>
      </c>
      <c r="N58">
        <f ca="1"/>
        <v>0.2265319631712758</v>
      </c>
      <c r="O58">
        <f ca="1"/>
        <v>0</v>
      </c>
      <c r="P58">
        <f ca="1"/>
        <v>1036.5159622182896</v>
      </c>
      <c r="Q58">
        <f ca="1"/>
        <v>971.20125774973985</v>
      </c>
      <c r="R58">
        <f ca="1"/>
        <v>25.264516889580911</v>
      </c>
      <c r="S58">
        <f ca="1"/>
        <v>1</v>
      </c>
      <c r="T58">
        <f ca="1"/>
        <v>0.93999999999999773</v>
      </c>
      <c r="U58">
        <f ca="1"/>
        <v>0</v>
      </c>
      <c r="V58">
        <f ca="1"/>
        <v>0.9649850869422395</v>
      </c>
      <c r="X58" s="2">
        <f t="shared" ca="1" si="1"/>
        <v>45923</v>
      </c>
      <c r="Y58">
        <f t="shared" ca="1" si="2"/>
        <v>0</v>
      </c>
      <c r="AA58" s="63">
        <f t="shared" ca="1" si="4"/>
        <v>4942.3451114090894</v>
      </c>
      <c r="AB58" s="63">
        <f t="shared" ca="1" si="5"/>
        <v>4942.3451114090894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45924</v>
      </c>
      <c r="K59">
        <f ca="1"/>
        <v>4787.5235165915747</v>
      </c>
      <c r="L59">
        <f ca="1"/>
        <v>39.445634312065977</v>
      </c>
      <c r="M59">
        <f ca="1"/>
        <v>0.19643553021503024</v>
      </c>
      <c r="N59">
        <f ca="1"/>
        <v>0.23569005910735583</v>
      </c>
      <c r="O59">
        <f ca="1"/>
        <v>0</v>
      </c>
      <c r="P59">
        <f ca="1"/>
        <v>1075.9615965303556</v>
      </c>
      <c r="Q59">
        <f ca="1"/>
        <v>1008.1612767489906</v>
      </c>
      <c r="R59">
        <f ca="1"/>
        <v>53.786785942924269</v>
      </c>
      <c r="S59">
        <f ca="1"/>
        <v>1</v>
      </c>
      <c r="T59">
        <f ca="1"/>
        <v>2.039999999999992</v>
      </c>
      <c r="U59">
        <f ca="1"/>
        <v>0</v>
      </c>
      <c r="V59">
        <f ca="1"/>
        <v>0.97096692669193085</v>
      </c>
      <c r="X59" s="2">
        <f t="shared" ca="1" si="1"/>
        <v>45924</v>
      </c>
      <c r="Y59">
        <f t="shared" ca="1" si="2"/>
        <v>0</v>
      </c>
      <c r="AA59" s="63">
        <f t="shared" ca="1" si="4"/>
        <v>4880.7559368465645</v>
      </c>
      <c r="AB59" s="63">
        <f t="shared" ca="1" si="5"/>
        <v>4880.7559368465645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45925</v>
      </c>
      <c r="K60">
        <f ca="1"/>
        <v>4727.2055905648749</v>
      </c>
      <c r="L60">
        <f ca="1"/>
        <v>39.90868415343175</v>
      </c>
      <c r="M60">
        <f ca="1"/>
        <v>0.18844533850074896</v>
      </c>
      <c r="N60">
        <f ca="1"/>
        <v>0.22942147709669569</v>
      </c>
      <c r="O60">
        <f ca="1"/>
        <v>0</v>
      </c>
      <c r="P60">
        <f ca="1"/>
        <v>1115.8702806837873</v>
      </c>
      <c r="Q60">
        <f ca="1"/>
        <v>1045.5551671064527</v>
      </c>
      <c r="R60">
        <f ca="1"/>
        <v>20.827108688865088</v>
      </c>
      <c r="S60">
        <f ca="1"/>
        <v>1</v>
      </c>
      <c r="T60">
        <f ca="1"/>
        <v>0.79999999999998295</v>
      </c>
      <c r="U60">
        <f ca="1"/>
        <v>0</v>
      </c>
      <c r="V60">
        <f ca="1"/>
        <v>0.97584504853369902</v>
      </c>
      <c r="X60" s="2">
        <f t="shared" ca="1" si="1"/>
        <v>45925</v>
      </c>
      <c r="Y60">
        <f t="shared" ca="1" si="2"/>
        <v>0</v>
      </c>
      <c r="AA60" s="63">
        <f t="shared" ca="1" si="4"/>
        <v>4787.941383407172</v>
      </c>
      <c r="AB60" s="63">
        <f t="shared" ca="1" si="5"/>
        <v>4787.941383407172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45926</v>
      </c>
      <c r="K61">
        <f ca="1"/>
        <v>4640.3355068741857</v>
      </c>
      <c r="L61">
        <f ca="1"/>
        <v>41.025638629454988</v>
      </c>
      <c r="M61">
        <f ca="1"/>
        <v>0.18339596192819307</v>
      </c>
      <c r="N61">
        <f ca="1"/>
        <v>0.22756131927311818</v>
      </c>
      <c r="O61">
        <f ca="1"/>
        <v>0</v>
      </c>
      <c r="P61">
        <f ca="1"/>
        <v>1156.8959193132423</v>
      </c>
      <c r="Q61">
        <f ca="1"/>
        <v>1083.9956285072024</v>
      </c>
      <c r="R61">
        <f ca="1"/>
        <v>46.255402342435424</v>
      </c>
      <c r="S61">
        <f ca="1"/>
        <v>1</v>
      </c>
      <c r="T61">
        <f ca="1"/>
        <v>1.8099999999999881</v>
      </c>
      <c r="U61">
        <f ca="1"/>
        <v>0</v>
      </c>
      <c r="V61">
        <f ca="1"/>
        <v>0.97989356257108173</v>
      </c>
      <c r="X61" s="2">
        <f t="shared" ca="1" si="1"/>
        <v>45926</v>
      </c>
      <c r="Y61">
        <f t="shared" ca="1" si="2"/>
        <v>0</v>
      </c>
      <c r="AA61" s="63">
        <f t="shared" ca="1" si="4"/>
        <v>4727.6165478460762</v>
      </c>
      <c r="AB61" s="63">
        <f t="shared" ca="1" si="5"/>
        <v>4727.6165478460762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45927</v>
      </c>
      <c r="K62">
        <f ca="1"/>
        <v>4592.1470612502562</v>
      </c>
      <c r="L62">
        <f ca="1"/>
        <v>43.803078892156464</v>
      </c>
      <c r="M62">
        <f ca="1"/>
        <v>0.18427005142576292</v>
      </c>
      <c r="N62">
        <f ca="1"/>
        <v>0.23547941712371348</v>
      </c>
      <c r="O62">
        <f ca="1"/>
        <v>0</v>
      </c>
      <c r="P62">
        <f ca="1"/>
        <v>1200.6989982053988</v>
      </c>
      <c r="Q62">
        <f ca="1"/>
        <v>1125.0385133869763</v>
      </c>
      <c r="R62">
        <f ca="1"/>
        <v>4.8051162003226748</v>
      </c>
      <c r="S62">
        <f ca="1"/>
        <v>1</v>
      </c>
      <c r="T62">
        <f ca="1"/>
        <v>0.18999999999999773</v>
      </c>
      <c r="U62">
        <f ca="1"/>
        <v>0</v>
      </c>
      <c r="V62">
        <f ca="1"/>
        <v>0.98336988435366313</v>
      </c>
      <c r="X62" s="2">
        <f t="shared" ca="1" si="1"/>
        <v>45927</v>
      </c>
      <c r="Y62">
        <f t="shared" ca="1" si="2"/>
        <v>0</v>
      </c>
      <c r="AA62" s="63">
        <f t="shared" ca="1" si="4"/>
        <v>4640.7552563427353</v>
      </c>
      <c r="AB62" s="63">
        <f t="shared" ca="1" si="5"/>
        <v>4640.7552563427362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45928</v>
      </c>
      <c r="K63">
        <f ca="1"/>
        <v>4501.1523189335212</v>
      </c>
      <c r="L63">
        <f ca="1"/>
        <v>46.553212258084841</v>
      </c>
      <c r="M63">
        <f ca="1"/>
        <v>0.18420025705200516</v>
      </c>
      <c r="N63">
        <f ca="1"/>
        <v>0.242277872158879</v>
      </c>
      <c r="O63">
        <f ca="1"/>
        <v>0</v>
      </c>
      <c r="P63">
        <f ca="1"/>
        <v>1247.2522104634836</v>
      </c>
      <c r="Q63">
        <f ca="1"/>
        <v>1168.6582355575651</v>
      </c>
      <c r="R63">
        <f ca="1"/>
        <v>44.868008187861676</v>
      </c>
      <c r="S63">
        <f ca="1"/>
        <v>1</v>
      </c>
      <c r="T63">
        <f ca="1"/>
        <v>1.8099999999999881</v>
      </c>
      <c r="U63">
        <f ca="1"/>
        <v>0</v>
      </c>
      <c r="V63">
        <f ca="1"/>
        <v>0.98631939103200139</v>
      </c>
      <c r="X63" s="2">
        <f t="shared" ca="1" si="1"/>
        <v>45928</v>
      </c>
      <c r="Y63">
        <f t="shared" ca="1" si="2"/>
        <v>0</v>
      </c>
      <c r="AA63" s="63">
        <f t="shared" ca="1" si="4"/>
        <v>4592.5735393794675</v>
      </c>
      <c r="AB63" s="63">
        <f t="shared" ca="1" si="5"/>
        <v>4592.5735393794685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45929</v>
      </c>
      <c r="K64">
        <f ca="1"/>
        <v>4426.6723810530639</v>
      </c>
      <c r="L64">
        <f ca="1"/>
        <v>49.559851991051119</v>
      </c>
      <c r="M64">
        <f ca="1"/>
        <v>0.18420803268805663</v>
      </c>
      <c r="N64">
        <f ca="1"/>
        <v>0.2496325270677853</v>
      </c>
      <c r="O64">
        <f ca="1"/>
        <v>0</v>
      </c>
      <c r="P64">
        <f ca="1"/>
        <v>1296.8120624545347</v>
      </c>
      <c r="Q64">
        <f ca="1"/>
        <v>1215.0951379710982</v>
      </c>
      <c r="R64">
        <f ca="1"/>
        <v>25.353926449162049</v>
      </c>
      <c r="S64">
        <f ca="1"/>
        <v>1</v>
      </c>
      <c r="T64">
        <f ca="1"/>
        <v>1.0400000000000063</v>
      </c>
      <c r="U64">
        <f ca="1"/>
        <v>0</v>
      </c>
      <c r="V64">
        <f ca="1"/>
        <v>0.98880909746477819</v>
      </c>
      <c r="X64" s="2">
        <f t="shared" ca="1" si="1"/>
        <v>45929</v>
      </c>
      <c r="Y64">
        <f t="shared" ca="1" si="2"/>
        <v>0</v>
      </c>
      <c r="AA64" s="63">
        <f t="shared" ca="1" si="4"/>
        <v>4501.5861594932767</v>
      </c>
      <c r="AB64" s="63">
        <f t="shared" ca="1" si="5"/>
        <v>4501.5861594932767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45930</v>
      </c>
      <c r="K65">
        <f ca="1"/>
        <v>4308.9344516553138</v>
      </c>
      <c r="L65">
        <f ca="1"/>
        <v>51.006686717417097</v>
      </c>
      <c r="M65">
        <f ca="1"/>
        <v>0.17844819069456896</v>
      </c>
      <c r="N65">
        <f ca="1"/>
        <v>0.2472382494098041</v>
      </c>
      <c r="O65">
        <f ca="1"/>
        <v>0</v>
      </c>
      <c r="P65">
        <f ca="1"/>
        <v>1347.8187491719518</v>
      </c>
      <c r="Q65">
        <f ca="1"/>
        <v>1262.8877047035821</v>
      </c>
      <c r="R65">
        <f ca="1"/>
        <v>67.156929120436885</v>
      </c>
      <c r="S65">
        <f ca="1"/>
        <v>1</v>
      </c>
      <c r="T65">
        <f ca="1"/>
        <v>2.8300000000000125</v>
      </c>
      <c r="U65">
        <f ca="1"/>
        <v>0</v>
      </c>
      <c r="V65">
        <f ca="1"/>
        <v>0.99083473747445505</v>
      </c>
      <c r="X65" s="2">
        <f t="shared" ca="1" si="1"/>
        <v>45930</v>
      </c>
      <c r="Y65">
        <f t="shared" ca="1" si="2"/>
        <v>0</v>
      </c>
      <c r="AA65" s="63">
        <f t="shared" ca="1" si="4"/>
        <v>4427.0980674931679</v>
      </c>
      <c r="AB65" s="63">
        <f t="shared" ca="1" si="5"/>
        <v>4427.0980674931679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45931</v>
      </c>
      <c r="K66">
        <f ca="1"/>
        <v>4154.7110063179771</v>
      </c>
      <c r="L66">
        <f ca="1"/>
        <v>51.900708917863767</v>
      </c>
      <c r="M66">
        <f ca="1"/>
        <v>0.17118105983272258</v>
      </c>
      <c r="N66">
        <f ca="1"/>
        <v>0.24184946242946229</v>
      </c>
      <c r="O66">
        <f ca="1"/>
        <v>0</v>
      </c>
      <c r="P66">
        <f ca="1"/>
        <v>1399.7194580898156</v>
      </c>
      <c r="Q66">
        <f ca="1"/>
        <v>1311.5179579910052</v>
      </c>
      <c r="R66">
        <f ca="1"/>
        <v>102.73576694173543</v>
      </c>
      <c r="S66">
        <f ca="1"/>
        <v>1</v>
      </c>
      <c r="T66">
        <f ca="1"/>
        <v>4.4900000000000091</v>
      </c>
      <c r="U66">
        <f ca="1"/>
        <v>0</v>
      </c>
      <c r="V66">
        <f ca="1"/>
        <v>0.99246814768000335</v>
      </c>
      <c r="X66" s="2">
        <f t="shared" ca="1" si="1"/>
        <v>45931</v>
      </c>
      <c r="Y66">
        <f t="shared" ca="1" si="2"/>
        <v>0</v>
      </c>
      <c r="AA66" s="63">
        <f t="shared" ca="1" si="4"/>
        <v>4309.3474821775762</v>
      </c>
      <c r="AB66" s="63">
        <f t="shared" ca="1" si="5"/>
        <v>4309.3474821775762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45932</v>
      </c>
      <c r="K67">
        <f ca="1"/>
        <v>4060.7301240755355</v>
      </c>
      <c r="L67">
        <f ca="1"/>
        <v>53.46206523904084</v>
      </c>
      <c r="M67">
        <f ca="1"/>
        <v>0.16614000578809929</v>
      </c>
      <c r="N67">
        <f ca="1"/>
        <v>0.24014050214676494</v>
      </c>
      <c r="O67">
        <f ca="1"/>
        <v>0</v>
      </c>
      <c r="P67">
        <f ca="1"/>
        <v>1453.1815233288564</v>
      </c>
      <c r="Q67">
        <f ca="1"/>
        <v>1361.6111807629284</v>
      </c>
      <c r="R67">
        <f ca="1"/>
        <v>40.925097511335139</v>
      </c>
      <c r="S67">
        <f ca="1"/>
        <v>1</v>
      </c>
      <c r="T67">
        <f ca="1"/>
        <v>1.8299999999999983</v>
      </c>
      <c r="U67">
        <f ca="1"/>
        <v>0</v>
      </c>
      <c r="V67">
        <f ca="1"/>
        <v>0.99380479045240488</v>
      </c>
      <c r="X67" s="2">
        <f t="shared" ca="1" si="1"/>
        <v>45932</v>
      </c>
      <c r="Y67">
        <f t="shared" ca="1" si="2"/>
        <v>0</v>
      </c>
      <c r="AA67" s="63">
        <f t="shared" ca="1" si="4"/>
        <v>4155.1172868259118</v>
      </c>
      <c r="AB67" s="63">
        <f t="shared" ca="1" si="5"/>
        <v>4155.1172868259118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45933</v>
      </c>
      <c r="K68">
        <f ca="1"/>
        <v>3955.424495566419</v>
      </c>
      <c r="L68">
        <f ca="1"/>
        <v>56.70480821432966</v>
      </c>
      <c r="M68">
        <f ca="1"/>
        <v>0.16546072643414611</v>
      </c>
      <c r="N68">
        <f ca="1"/>
        <v>0.24658772818897184</v>
      </c>
      <c r="O68">
        <f ca="1"/>
        <v>0</v>
      </c>
      <c r="P68">
        <f ca="1"/>
        <v>1509.8863315431861</v>
      </c>
      <c r="Q68">
        <f ca="1"/>
        <v>1414.7428092815605</v>
      </c>
      <c r="R68">
        <f ca="1"/>
        <v>49.012868749409968</v>
      </c>
      <c r="S68">
        <f ca="1"/>
        <v>1</v>
      </c>
      <c r="T68">
        <f ca="1"/>
        <v>2.25</v>
      </c>
      <c r="U68">
        <f ca="1"/>
        <v>0</v>
      </c>
      <c r="V68">
        <f ca="1"/>
        <v>0.99492850647473463</v>
      </c>
      <c r="X68" s="2">
        <f t="shared" ca="1" si="1"/>
        <v>45933</v>
      </c>
      <c r="Y68">
        <f t="shared" ca="1" si="2"/>
        <v>0</v>
      </c>
      <c r="AA68" s="63">
        <f t="shared" ca="1" si="4"/>
        <v>4061.1421725301584</v>
      </c>
      <c r="AB68" s="63">
        <f t="shared" ca="1" si="5"/>
        <v>4061.1421725301584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45934</v>
      </c>
      <c r="K69">
        <f ca="1"/>
        <v>3898.7855184580112</v>
      </c>
      <c r="L69">
        <f ca="1"/>
        <v>57.034250796480819</v>
      </c>
      <c r="M69">
        <f ca="1"/>
        <v>0.1570468242366303</v>
      </c>
      <c r="N69">
        <f ca="1"/>
        <v>0.23822686383597258</v>
      </c>
      <c r="O69">
        <f ca="1"/>
        <v>0</v>
      </c>
      <c r="P69">
        <f ca="1"/>
        <v>1566.9205823396669</v>
      </c>
      <c r="Q69">
        <f ca="1"/>
        <v>1468.183120986756</v>
      </c>
      <c r="R69">
        <f ca="1"/>
        <v>0</v>
      </c>
      <c r="S69">
        <f ca="1"/>
        <v>0.99594202898550721</v>
      </c>
      <c r="T69">
        <f ca="1"/>
        <v>0</v>
      </c>
      <c r="U69">
        <f ca="1"/>
        <v>0</v>
      </c>
      <c r="V69">
        <f ca="1"/>
        <v>0.99582467042934653</v>
      </c>
      <c r="X69" s="2">
        <f t="shared" ca="1" si="1"/>
        <v>45934</v>
      </c>
      <c r="Y69">
        <f t="shared" ca="1" si="2"/>
        <v>0</v>
      </c>
      <c r="AA69" s="63">
        <f t="shared" ca="1" si="4"/>
        <v>3955.8197692544918</v>
      </c>
      <c r="AB69" s="63">
        <f t="shared" ca="1" si="5"/>
        <v>3955.8197692544918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45935</v>
      </c>
      <c r="K70">
        <f ca="1"/>
        <v>3823.5454782488496</v>
      </c>
      <c r="L70">
        <f ca="1"/>
        <v>59.206841806289049</v>
      </c>
      <c r="M70">
        <f ca="1"/>
        <v>0.15346349913053992</v>
      </c>
      <c r="N70">
        <f ca="1"/>
        <v>0.23886369178561223</v>
      </c>
      <c r="O70">
        <f ca="1"/>
        <v>0</v>
      </c>
      <c r="P70">
        <f ca="1"/>
        <v>1626.127424145956</v>
      </c>
      <c r="Q70">
        <f ca="1"/>
        <v>1523.6591207066217</v>
      </c>
      <c r="R70">
        <f ca="1"/>
        <v>16.425525593788791</v>
      </c>
      <c r="S70">
        <f ca="1"/>
        <v>1</v>
      </c>
      <c r="T70">
        <f ca="1"/>
        <v>0.78004293770273136</v>
      </c>
      <c r="U70">
        <f ca="1"/>
        <v>0</v>
      </c>
      <c r="V70">
        <f ca="1"/>
        <v>0.99656458547238058</v>
      </c>
      <c r="X70" s="2">
        <f t="shared" ca="1" si="1"/>
        <v>45935</v>
      </c>
      <c r="Y70">
        <f t="shared" ca="1" si="2"/>
        <v>0</v>
      </c>
      <c r="AA70" s="63">
        <f t="shared" ca="1" si="4"/>
        <v>3899.1778456489274</v>
      </c>
      <c r="AB70" s="63">
        <f t="shared" ca="1" si="5"/>
        <v>3899.1778456489274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45936</v>
      </c>
      <c r="K71">
        <f ca="1"/>
        <v>3762.0442874756045</v>
      </c>
      <c r="L71">
        <f ca="1"/>
        <v>61.893447018211418</v>
      </c>
      <c r="M71">
        <f ca="1"/>
        <v>0.15083472430657352</v>
      </c>
      <c r="N71">
        <f ca="1"/>
        <v>0.24142152066001585</v>
      </c>
      <c r="O71">
        <f ca="1"/>
        <v>0</v>
      </c>
      <c r="P71">
        <f ca="1"/>
        <v>1688.0208711641674</v>
      </c>
      <c r="Q71">
        <f ca="1"/>
        <v>1581.652432707247</v>
      </c>
      <c r="R71">
        <f ca="1"/>
        <v>0</v>
      </c>
      <c r="S71">
        <f ca="1"/>
        <v>0.99710144927536226</v>
      </c>
      <c r="T71">
        <f ca="1"/>
        <v>0</v>
      </c>
      <c r="U71">
        <f ca="1"/>
        <v>0</v>
      </c>
      <c r="V71">
        <f ca="1"/>
        <v>0.99717888787616604</v>
      </c>
      <c r="X71" s="2">
        <f t="shared" ca="1" si="1"/>
        <v>45936</v>
      </c>
      <c r="Y71">
        <f t="shared" ca="1" si="2"/>
        <v>0</v>
      </c>
      <c r="AA71" s="63">
        <f t="shared" ca="1" si="4"/>
        <v>3823.9377344938162</v>
      </c>
      <c r="AB71" s="63">
        <f t="shared" ca="1" si="5"/>
        <v>3823.9377344938157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45937</v>
      </c>
      <c r="K72">
        <f ca="1"/>
        <v>3699.5243663982419</v>
      </c>
      <c r="L72">
        <f ca="1"/>
        <v>62.900814555129045</v>
      </c>
      <c r="M72">
        <f ca="1"/>
        <v>0.14457079286277619</v>
      </c>
      <c r="N72">
        <f ca="1"/>
        <v>0.2363226849031467</v>
      </c>
      <c r="O72">
        <f ca="1"/>
        <v>0</v>
      </c>
      <c r="P72">
        <f ca="1"/>
        <v>1750.9216857192964</v>
      </c>
      <c r="Q72">
        <f ca="1"/>
        <v>1640.5896342904093</v>
      </c>
      <c r="R72">
        <f ca="1"/>
        <v>0</v>
      </c>
      <c r="S72">
        <f ca="1"/>
        <v>0.99405824642177054</v>
      </c>
      <c r="T72">
        <f ca="1"/>
        <v>0</v>
      </c>
      <c r="U72">
        <f ca="1"/>
        <v>0</v>
      </c>
      <c r="V72">
        <f ca="1"/>
        <v>0.9976751523932964</v>
      </c>
      <c r="X72" s="2">
        <f t="shared" ca="1" si="1"/>
        <v>45937</v>
      </c>
      <c r="Y72">
        <f t="shared" ca="1" si="2"/>
        <v>0</v>
      </c>
      <c r="AA72" s="63">
        <f t="shared" ca="1" si="4"/>
        <v>3762.4251809533707</v>
      </c>
      <c r="AB72" s="63">
        <f t="shared" ca="1" si="5"/>
        <v>3762.4251809533707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45938</v>
      </c>
      <c r="K73">
        <f ca="1"/>
        <v>3611.7937129101415</v>
      </c>
      <c r="L73">
        <f ca="1"/>
        <v>68.835182574733835</v>
      </c>
      <c r="M73">
        <f ca="1"/>
        <v>0.14799474700975424</v>
      </c>
      <c r="N73">
        <f ca="1"/>
        <v>0.25182147060308485</v>
      </c>
      <c r="O73">
        <f ca="1"/>
        <v>0</v>
      </c>
      <c r="P73">
        <f ca="1"/>
        <v>1819.7568682940303</v>
      </c>
      <c r="Q73">
        <f ca="1"/>
        <v>1705.0872574152281</v>
      </c>
      <c r="R73">
        <f ca="1"/>
        <v>19.295287130979247</v>
      </c>
      <c r="S73">
        <f ca="1"/>
        <v>1</v>
      </c>
      <c r="T73">
        <f ca="1"/>
        <v>0.97004928988363304</v>
      </c>
      <c r="U73">
        <f ca="1"/>
        <v>0</v>
      </c>
      <c r="V73">
        <f ca="1"/>
        <v>0.99810510038527467</v>
      </c>
      <c r="X73" s="2">
        <f t="shared" ca="1" si="1"/>
        <v>45938</v>
      </c>
      <c r="Y73">
        <f t="shared" ca="1" si="2"/>
        <v>0</v>
      </c>
      <c r="AA73" s="63">
        <f t="shared" ca="1" si="4"/>
        <v>3699.9241826158545</v>
      </c>
      <c r="AB73" s="63">
        <f t="shared" ca="1" si="5"/>
        <v>3699.9241826158545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45939</v>
      </c>
      <c r="K74">
        <f ca="1"/>
        <v>3510.3178072745436</v>
      </c>
      <c r="L74">
        <f ca="1"/>
        <v>72.493511226129158</v>
      </c>
      <c r="M74">
        <f ca="1"/>
        <v>0.14607031169573936</v>
      </c>
      <c r="N74">
        <f ca="1"/>
        <v>0.25645651770182498</v>
      </c>
      <c r="O74">
        <f ca="1"/>
        <v>0</v>
      </c>
      <c r="P74">
        <f ca="1"/>
        <v>1892.2503795201594</v>
      </c>
      <c r="Q74">
        <f ca="1"/>
        <v>1773.0126843723137</v>
      </c>
      <c r="R74">
        <f ca="1"/>
        <v>29.384921238866522</v>
      </c>
      <c r="S74">
        <f ca="1"/>
        <v>1</v>
      </c>
      <c r="T74">
        <f ca="1"/>
        <v>1.5200000000000102</v>
      </c>
      <c r="U74">
        <f ca="1"/>
        <v>0</v>
      </c>
      <c r="V74">
        <f ca="1"/>
        <v>0.99846057326553339</v>
      </c>
      <c r="X74" s="2">
        <f t="shared" ca="1" si="1"/>
        <v>45939</v>
      </c>
      <c r="Y74">
        <f t="shared" ca="1" si="2"/>
        <v>0</v>
      </c>
      <c r="AA74" s="63">
        <f t="shared" ca="1" si="4"/>
        <v>3612.1962397395391</v>
      </c>
      <c r="AB74" s="63">
        <f t="shared" ca="1" si="5"/>
        <v>3612.1962397395391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45940</v>
      </c>
      <c r="K75">
        <f ca="1"/>
        <v>3407.6865978680025</v>
      </c>
      <c r="L75">
        <f ca="1"/>
        <v>71.103033881129249</v>
      </c>
      <c r="M75">
        <f ca="1"/>
        <v>0.13510587198302559</v>
      </c>
      <c r="N75">
        <f ca="1"/>
        <v>0.24056704061548714</v>
      </c>
      <c r="O75">
        <f ca="1"/>
        <v>0</v>
      </c>
      <c r="P75">
        <f ca="1"/>
        <v>1963.3534134012887</v>
      </c>
      <c r="Q75">
        <f ca="1"/>
        <v>1839.6352531047689</v>
      </c>
      <c r="R75">
        <f ca="1"/>
        <v>31.903848438010364</v>
      </c>
      <c r="S75">
        <f ca="1"/>
        <v>1</v>
      </c>
      <c r="T75">
        <f ca="1"/>
        <v>1.6999999999999886</v>
      </c>
      <c r="U75">
        <f ca="1"/>
        <v>0</v>
      </c>
      <c r="V75">
        <f ca="1"/>
        <v>0.99873550752276674</v>
      </c>
      <c r="X75" s="2">
        <f t="shared" ref="X75:X138" ca="1" si="8">IFERROR(J75,$X$9)</f>
        <v>45940</v>
      </c>
      <c r="Y75">
        <f t="shared" ref="Y75:Y138" ca="1" si="9">IFERROR(O75,0)</f>
        <v>0</v>
      </c>
      <c r="AA75" s="63">
        <f t="shared" ca="1" si="4"/>
        <v>3510.6934801871421</v>
      </c>
      <c r="AB75" s="63">
        <f t="shared" ca="1" si="5"/>
        <v>3510.6934801871421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45941</v>
      </c>
      <c r="K76">
        <f ca="1"/>
        <v>3332.9246018421936</v>
      </c>
      <c r="L76">
        <f ca="1"/>
        <v>75.142327135457208</v>
      </c>
      <c r="M76">
        <f ca="1"/>
        <v>0.13395998735303927</v>
      </c>
      <c r="N76">
        <f ca="1"/>
        <v>0.24637112229558908</v>
      </c>
      <c r="O76">
        <f ca="1"/>
        <v>0</v>
      </c>
      <c r="P76">
        <f ca="1"/>
        <v>2038.4957405367459</v>
      </c>
      <c r="Q76">
        <f ca="1"/>
        <v>1910.0425842837449</v>
      </c>
      <c r="R76">
        <f ca="1"/>
        <v>0</v>
      </c>
      <c r="S76">
        <f ca="1"/>
        <v>0.99246376811594184</v>
      </c>
      <c r="T76">
        <f ca="1"/>
        <v>0</v>
      </c>
      <c r="U76">
        <f ca="1"/>
        <v>0</v>
      </c>
      <c r="V76">
        <f ca="1"/>
        <v>0.99896564071531713</v>
      </c>
      <c r="X76" s="2">
        <f t="shared" ca="1" si="8"/>
        <v>45941</v>
      </c>
      <c r="Y76">
        <f t="shared" ca="1" si="9"/>
        <v>0</v>
      </c>
      <c r="AA76" s="63">
        <f t="shared" ca="1" si="4"/>
        <v>3408.0669289776511</v>
      </c>
      <c r="AB76" s="63">
        <f t="shared" ca="1" si="5"/>
        <v>3408.0669289776506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45942</v>
      </c>
      <c r="K77">
        <f ca="1"/>
        <v>3217.9031902369934</v>
      </c>
      <c r="L77">
        <f ca="1"/>
        <v>80.856087903474872</v>
      </c>
      <c r="M77">
        <f ca="1"/>
        <v>0.1349180421665821</v>
      </c>
      <c r="N77">
        <f ca="1"/>
        <v>0.25756775016734162</v>
      </c>
      <c r="O77">
        <f ca="1"/>
        <v>0</v>
      </c>
      <c r="P77">
        <f ca="1"/>
        <v>2119.3518284402207</v>
      </c>
      <c r="Q77">
        <f ca="1"/>
        <v>1985.8036310316588</v>
      </c>
      <c r="R77">
        <f ca="1"/>
        <v>34.557809494059086</v>
      </c>
      <c r="S77">
        <f ca="1"/>
        <v>1</v>
      </c>
      <c r="T77">
        <f ca="1"/>
        <v>1.9500184748651606</v>
      </c>
      <c r="U77">
        <f ca="1"/>
        <v>0</v>
      </c>
      <c r="V77">
        <f ca="1"/>
        <v>0.99916045462594305</v>
      </c>
      <c r="X77" s="2">
        <f t="shared" ca="1" si="8"/>
        <v>45942</v>
      </c>
      <c r="Y77">
        <f t="shared" ca="1" si="9"/>
        <v>0</v>
      </c>
      <c r="AA77" s="63">
        <f t="shared" ref="AA77:AA140" ca="1" si="11">K76+M77+N77+O77</f>
        <v>3333.3170876345275</v>
      </c>
      <c r="AB77" s="63">
        <f t="shared" ref="AB77:AB140" ca="1" si="12">K77+L77+R77</f>
        <v>3333.3170876345275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45943</v>
      </c>
      <c r="K78">
        <f ca="1"/>
        <v>3101.3266757857914</v>
      </c>
      <c r="L78">
        <f ca="1"/>
        <v>83.315510330963207</v>
      </c>
      <c r="M78">
        <f ca="1"/>
        <v>0.13035178259942271</v>
      </c>
      <c r="N78">
        <f ca="1"/>
        <v>0.25579119126620742</v>
      </c>
      <c r="O78">
        <f ca="1"/>
        <v>0</v>
      </c>
      <c r="P78">
        <f ca="1"/>
        <v>2202.6673387711839</v>
      </c>
      <c r="Q78">
        <f ca="1"/>
        <v>2063.8691229034107</v>
      </c>
      <c r="R78">
        <f ca="1"/>
        <v>33.64714709410471</v>
      </c>
      <c r="S78">
        <f ca="1"/>
        <v>1</v>
      </c>
      <c r="T78">
        <f ca="1"/>
        <v>1.9699999999999847</v>
      </c>
      <c r="U78">
        <f ca="1"/>
        <v>0</v>
      </c>
      <c r="V78">
        <f ca="1"/>
        <v>0.99931777319333026</v>
      </c>
      <c r="X78" s="2">
        <f t="shared" ca="1" si="8"/>
        <v>45943</v>
      </c>
      <c r="Y78">
        <f t="shared" ca="1" si="9"/>
        <v>0</v>
      </c>
      <c r="AA78" s="63">
        <f t="shared" ca="1" si="11"/>
        <v>3218.2893332108592</v>
      </c>
      <c r="AB78" s="63">
        <f t="shared" ca="1" si="12"/>
        <v>3218.2893332108592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45944</v>
      </c>
      <c r="K79">
        <f ca="1"/>
        <v>2972.3176243278313</v>
      </c>
      <c r="L79">
        <f ca="1"/>
        <v>84.202164738053398</v>
      </c>
      <c r="M79">
        <f ca="1"/>
        <v>0.12379871105908613</v>
      </c>
      <c r="N79">
        <f ca="1"/>
        <v>0.24854245881775897</v>
      </c>
      <c r="O79">
        <f ca="1"/>
        <v>0</v>
      </c>
      <c r="P79">
        <f ca="1"/>
        <v>2286.8695035092373</v>
      </c>
      <c r="Q79">
        <f ca="1"/>
        <v>2142.7653978086551</v>
      </c>
      <c r="R79">
        <f ca="1"/>
        <v>45.179227889783121</v>
      </c>
      <c r="S79">
        <f ca="1"/>
        <v>1</v>
      </c>
      <c r="T79">
        <f ca="1"/>
        <v>2.7600000000000051</v>
      </c>
      <c r="U79">
        <f ca="1"/>
        <v>0</v>
      </c>
      <c r="V79">
        <f ca="1"/>
        <v>0.99944284243205816</v>
      </c>
      <c r="X79" s="2">
        <f t="shared" ca="1" si="8"/>
        <v>45944</v>
      </c>
      <c r="Y79">
        <f t="shared" ca="1" si="9"/>
        <v>0</v>
      </c>
      <c r="AA79" s="63">
        <f t="shared" ca="1" si="11"/>
        <v>3101.699016955668</v>
      </c>
      <c r="AB79" s="63">
        <f t="shared" ca="1" si="12"/>
        <v>3101.699016955668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45945</v>
      </c>
      <c r="K80">
        <f ca="1"/>
        <v>2844.3798255113829</v>
      </c>
      <c r="L80">
        <f ca="1"/>
        <v>85.22009954996247</v>
      </c>
      <c r="M80">
        <f ca="1"/>
        <v>0.11794920424526723</v>
      </c>
      <c r="N80">
        <f ca="1"/>
        <v>0.242277872158879</v>
      </c>
      <c r="O80">
        <f ca="1"/>
        <v>0</v>
      </c>
      <c r="P80">
        <f ca="1"/>
        <v>2372.0896030591998</v>
      </c>
      <c r="Q80">
        <f ca="1"/>
        <v>2222.6154636883457</v>
      </c>
      <c r="R80">
        <f ca="1"/>
        <v>43.077926342890009</v>
      </c>
      <c r="S80">
        <f ca="1"/>
        <v>1</v>
      </c>
      <c r="T80">
        <f ca="1"/>
        <v>2.7500000000000142</v>
      </c>
      <c r="U80">
        <f ca="1"/>
        <v>0</v>
      </c>
      <c r="V80">
        <f ca="1"/>
        <v>0.99954298438400535</v>
      </c>
      <c r="X80" s="2">
        <f t="shared" ca="1" si="8"/>
        <v>45945</v>
      </c>
      <c r="Y80">
        <f t="shared" ca="1" si="9"/>
        <v>0</v>
      </c>
      <c r="AA80" s="63">
        <f t="shared" ca="1" si="11"/>
        <v>2972.6778514042353</v>
      </c>
      <c r="AB80" s="63">
        <f t="shared" ca="1" si="12"/>
        <v>2972.6778514042353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45946</v>
      </c>
      <c r="K81">
        <f ca="1"/>
        <v>2754.61013531864</v>
      </c>
      <c r="L81">
        <f ca="1"/>
        <v>88.459367376707633</v>
      </c>
      <c r="M81">
        <f ca="1"/>
        <v>0.11506107512730601</v>
      </c>
      <c r="N81">
        <f ca="1"/>
        <v>0.24335094443611113</v>
      </c>
      <c r="O81">
        <f ca="1"/>
        <v>0</v>
      </c>
      <c r="P81">
        <f ca="1"/>
        <v>2460.5489704359074</v>
      </c>
      <c r="Q81">
        <f ca="1"/>
        <v>2305.5006791481651</v>
      </c>
      <c r="R81">
        <f ca="1"/>
        <v>1.6687348355988196</v>
      </c>
      <c r="S81">
        <f ca="1"/>
        <v>1</v>
      </c>
      <c r="T81">
        <f ca="1"/>
        <v>0.10999999999999943</v>
      </c>
      <c r="U81">
        <f ca="1"/>
        <v>0</v>
      </c>
      <c r="V81">
        <f ca="1"/>
        <v>0.99962541856702469</v>
      </c>
      <c r="X81" s="2">
        <f t="shared" ca="1" si="8"/>
        <v>45946</v>
      </c>
      <c r="Y81">
        <f t="shared" ca="1" si="9"/>
        <v>0</v>
      </c>
      <c r="AA81" s="63">
        <f t="shared" ca="1" si="11"/>
        <v>2844.7382375309467</v>
      </c>
      <c r="AB81" s="63">
        <f t="shared" ca="1" si="12"/>
        <v>2844.7382375309467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45947</v>
      </c>
      <c r="K82">
        <f ca="1"/>
        <v>2656.5535293051712</v>
      </c>
      <c r="L82">
        <f ca="1"/>
        <v>95.649512963534562</v>
      </c>
      <c r="M82">
        <f ca="1"/>
        <v>0.11642833739879954</v>
      </c>
      <c r="N82">
        <f ca="1"/>
        <v>0.25623462449078405</v>
      </c>
      <c r="O82">
        <f ca="1"/>
        <v>0</v>
      </c>
      <c r="P82">
        <f ca="1"/>
        <v>2556.198483399442</v>
      </c>
      <c r="Q82">
        <f ca="1"/>
        <v>2395.122962527696</v>
      </c>
      <c r="R82">
        <f ca="1"/>
        <v>2.7797560118236389</v>
      </c>
      <c r="S82">
        <f ca="1"/>
        <v>1</v>
      </c>
      <c r="T82">
        <f ca="1"/>
        <v>0.18999999999999773</v>
      </c>
      <c r="U82">
        <f ca="1"/>
        <v>0</v>
      </c>
      <c r="V82">
        <f ca="1"/>
        <v>0.99969572870404355</v>
      </c>
      <c r="X82" s="2">
        <f t="shared" ca="1" si="8"/>
        <v>45947</v>
      </c>
      <c r="Y82">
        <f t="shared" ca="1" si="9"/>
        <v>0</v>
      </c>
      <c r="AA82" s="63">
        <f t="shared" ca="1" si="11"/>
        <v>2754.9827982805296</v>
      </c>
      <c r="AB82" s="63">
        <f t="shared" ca="1" si="12"/>
        <v>2754.9827982805296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45948</v>
      </c>
      <c r="K83">
        <f ca="1"/>
        <v>2552.0853473892989</v>
      </c>
      <c r="L83">
        <f ca="1"/>
        <v>95.406145994150393</v>
      </c>
      <c r="M83">
        <f ca="1"/>
        <v>0.10928327172111096</v>
      </c>
      <c r="N83">
        <f ca="1"/>
        <v>0.24550587098171148</v>
      </c>
      <c r="O83">
        <f ca="1"/>
        <v>0</v>
      </c>
      <c r="P83">
        <f ca="1"/>
        <v>2651.6046293935924</v>
      </c>
      <c r="Q83">
        <f ca="1"/>
        <v>2484.517214390708</v>
      </c>
      <c r="R83">
        <f ca="1"/>
        <v>9.4168250644248879</v>
      </c>
      <c r="S83">
        <f ca="1"/>
        <v>1</v>
      </c>
      <c r="T83">
        <f ca="1"/>
        <v>0.67000000000000171</v>
      </c>
      <c r="U83">
        <f ca="1"/>
        <v>0</v>
      </c>
      <c r="V83">
        <f ca="1"/>
        <v>0.99975099722814831</v>
      </c>
      <c r="X83" s="2">
        <f t="shared" ca="1" si="8"/>
        <v>45948</v>
      </c>
      <c r="Y83">
        <f t="shared" ca="1" si="9"/>
        <v>0</v>
      </c>
      <c r="AA83" s="63">
        <f t="shared" ca="1" si="11"/>
        <v>2656.9083184478741</v>
      </c>
      <c r="AB83" s="63">
        <f t="shared" ca="1" si="12"/>
        <v>2656.9083184478741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45949</v>
      </c>
      <c r="K84">
        <f ca="1"/>
        <v>2455.7165862032462</v>
      </c>
      <c r="L84">
        <f ca="1"/>
        <v>96.713259610748082</v>
      </c>
      <c r="M84">
        <f ca="1"/>
        <v>0.10435792254858178</v>
      </c>
      <c r="N84">
        <f ca="1"/>
        <v>0.24014050214676494</v>
      </c>
      <c r="O84">
        <f ca="1"/>
        <v>0</v>
      </c>
      <c r="P84">
        <f ca="1"/>
        <v>2748.3178890043405</v>
      </c>
      <c r="Q84">
        <f ca="1"/>
        <v>2575.1362138068066</v>
      </c>
      <c r="R84">
        <f ca="1"/>
        <v>0</v>
      </c>
      <c r="S84">
        <f ca="1"/>
        <v>0.98550724637681164</v>
      </c>
      <c r="T84">
        <f ca="1"/>
        <v>0</v>
      </c>
      <c r="U84">
        <f ca="1"/>
        <v>0</v>
      </c>
      <c r="V84">
        <f ca="1"/>
        <v>0.9997954529648263</v>
      </c>
      <c r="X84" s="2">
        <f t="shared" ca="1" si="8"/>
        <v>45949</v>
      </c>
      <c r="Y84">
        <f t="shared" ca="1" si="9"/>
        <v>0</v>
      </c>
      <c r="AA84" s="63">
        <f t="shared" ca="1" si="11"/>
        <v>2552.4298458139942</v>
      </c>
      <c r="AB84" s="63">
        <f t="shared" ca="1" si="12"/>
        <v>2552.4298458139942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45950</v>
      </c>
      <c r="K85">
        <f ca="1"/>
        <v>2357.1198186617216</v>
      </c>
      <c r="L85">
        <f ca="1"/>
        <v>98.934936738784472</v>
      </c>
      <c r="M85">
        <f ca="1"/>
        <v>0.10057811033046704</v>
      </c>
      <c r="N85">
        <f ca="1"/>
        <v>0.23759108692950617</v>
      </c>
      <c r="O85">
        <f ca="1"/>
        <v>0</v>
      </c>
      <c r="P85">
        <f ca="1"/>
        <v>2847.252825743125</v>
      </c>
      <c r="Q85">
        <f ca="1"/>
        <v>2667.8368942579418</v>
      </c>
      <c r="R85">
        <f ca="1"/>
        <v>0</v>
      </c>
      <c r="S85">
        <f ca="1"/>
        <v>0.96101460943098949</v>
      </c>
      <c r="T85">
        <f ca="1"/>
        <v>0</v>
      </c>
      <c r="U85">
        <f ca="1"/>
        <v>0</v>
      </c>
      <c r="V85">
        <f ca="1"/>
        <v>0.99983166638146914</v>
      </c>
      <c r="X85" s="2">
        <f t="shared" ca="1" si="8"/>
        <v>45950</v>
      </c>
      <c r="Y85">
        <f t="shared" ca="1" si="9"/>
        <v>0</v>
      </c>
      <c r="AA85" s="63">
        <f t="shared" ca="1" si="11"/>
        <v>2456.0547554005061</v>
      </c>
      <c r="AB85" s="63">
        <f t="shared" ca="1" si="12"/>
        <v>2456.0547554005061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45951</v>
      </c>
      <c r="K86">
        <f ca="1"/>
        <v>2251.6304780682763</v>
      </c>
      <c r="L86">
        <f ca="1"/>
        <v>105.83765830808579</v>
      </c>
      <c r="M86">
        <f ca="1"/>
        <v>0.10086239027185151</v>
      </c>
      <c r="N86">
        <f ca="1"/>
        <v>0.24745532436866619</v>
      </c>
      <c r="O86">
        <f ca="1"/>
        <v>0</v>
      </c>
      <c r="P86">
        <f ca="1"/>
        <v>2953.0904840512108</v>
      </c>
      <c r="Q86">
        <f ca="1"/>
        <v>2767.005330261682</v>
      </c>
      <c r="R86">
        <f ca="1"/>
        <v>0</v>
      </c>
      <c r="S86">
        <f ca="1"/>
        <v>0.96072498287070818</v>
      </c>
      <c r="T86">
        <f ca="1"/>
        <v>0</v>
      </c>
      <c r="U86">
        <f ca="1"/>
        <v>0</v>
      </c>
      <c r="V86">
        <f ca="1"/>
        <v>0.9998624345957694</v>
      </c>
      <c r="X86" s="2">
        <f t="shared" ca="1" si="8"/>
        <v>45951</v>
      </c>
      <c r="Y86">
        <f t="shared" ca="1" si="9"/>
        <v>0</v>
      </c>
      <c r="AA86" s="63">
        <f t="shared" ca="1" si="11"/>
        <v>2357.4681363763621</v>
      </c>
      <c r="AB86" s="63">
        <f t="shared" ca="1" si="12"/>
        <v>2357.4681363763621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45952</v>
      </c>
      <c r="K87">
        <f ca="1"/>
        <v>2140.3092649544915</v>
      </c>
      <c r="L87">
        <f ca="1"/>
        <v>111.67459759713392</v>
      </c>
      <c r="M87">
        <f ca="1"/>
        <v>9.9803397028543017E-2</v>
      </c>
      <c r="N87">
        <f ca="1"/>
        <v>0.25358108632041038</v>
      </c>
      <c r="O87">
        <f ca="1"/>
        <v>0</v>
      </c>
      <c r="P87">
        <f ca="1"/>
        <v>3064.7650816483447</v>
      </c>
      <c r="Q87">
        <f ca="1"/>
        <v>2871.642898421188</v>
      </c>
      <c r="R87">
        <f ca="1"/>
        <v>0</v>
      </c>
      <c r="S87">
        <f ca="1"/>
        <v>0.9671019798851237</v>
      </c>
      <c r="T87">
        <f ca="1"/>
        <v>0</v>
      </c>
      <c r="U87">
        <f ca="1"/>
        <v>0</v>
      </c>
      <c r="V87">
        <f ca="1"/>
        <v>0.99988805703815431</v>
      </c>
      <c r="X87" s="2">
        <f t="shared" ca="1" si="8"/>
        <v>45952</v>
      </c>
      <c r="Y87">
        <f t="shared" ca="1" si="9"/>
        <v>0</v>
      </c>
      <c r="AA87" s="63">
        <f t="shared" ca="1" si="11"/>
        <v>2251.9838625516254</v>
      </c>
      <c r="AB87" s="63">
        <f t="shared" ca="1" si="12"/>
        <v>2251.9838625516254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45953</v>
      </c>
      <c r="K88">
        <f ca="1"/>
        <v>2022.0636955293412</v>
      </c>
      <c r="L88">
        <f ca="1"/>
        <v>118.60667781462098</v>
      </c>
      <c r="M88">
        <f ca="1"/>
        <v>9.929108668781339E-2</v>
      </c>
      <c r="N88">
        <f ca="1"/>
        <v>0.26181730278261678</v>
      </c>
      <c r="O88">
        <f ca="1"/>
        <v>0</v>
      </c>
      <c r="P88">
        <f ca="1"/>
        <v>3183.3717594629657</v>
      </c>
      <c r="Q88">
        <f ca="1"/>
        <v>2982.7757307844772</v>
      </c>
      <c r="R88">
        <f ca="1"/>
        <v>0</v>
      </c>
      <c r="S88">
        <f ca="1"/>
        <v>0.98275430625087101</v>
      </c>
      <c r="T88">
        <f ca="1"/>
        <v>0</v>
      </c>
      <c r="U88">
        <f ca="1"/>
        <v>0</v>
      </c>
      <c r="V88">
        <f ca="1"/>
        <v>0.99990941844846737</v>
      </c>
      <c r="X88" s="2">
        <f t="shared" ca="1" si="8"/>
        <v>45953</v>
      </c>
      <c r="Y88">
        <f t="shared" ca="1" si="9"/>
        <v>0</v>
      </c>
      <c r="AA88" s="63">
        <f t="shared" ca="1" si="11"/>
        <v>2140.6703733439622</v>
      </c>
      <c r="AB88" s="63">
        <f t="shared" ca="1" si="12"/>
        <v>2140.6703733439622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45954</v>
      </c>
      <c r="K89">
        <f ca="1"/>
        <v>1905.0447850170597</v>
      </c>
      <c r="L89">
        <f ca="1"/>
        <v>117.36010095974234</v>
      </c>
      <c r="M89">
        <f ca="1"/>
        <v>9.2430209742584424E-2</v>
      </c>
      <c r="N89">
        <f ca="1"/>
        <v>0.24876023771832864</v>
      </c>
      <c r="O89">
        <f ca="1"/>
        <v>0</v>
      </c>
      <c r="P89">
        <f ca="1"/>
        <v>3300.731860422708</v>
      </c>
      <c r="Q89">
        <f ca="1"/>
        <v>3092.7405377111395</v>
      </c>
      <c r="R89">
        <f ca="1"/>
        <v>0</v>
      </c>
      <c r="S89">
        <f ca="1"/>
        <v>0.98347900419146295</v>
      </c>
      <c r="T89">
        <f ca="1"/>
        <v>0</v>
      </c>
      <c r="U89">
        <f ca="1"/>
        <v>0</v>
      </c>
      <c r="V89">
        <f ca="1"/>
        <v>0.99992604358359527</v>
      </c>
      <c r="X89" s="2">
        <f t="shared" ca="1" si="8"/>
        <v>45954</v>
      </c>
      <c r="Y89">
        <f t="shared" ca="1" si="9"/>
        <v>0</v>
      </c>
      <c r="AA89" s="63">
        <f t="shared" ca="1" si="11"/>
        <v>2022.404885976802</v>
      </c>
      <c r="AB89" s="63">
        <f t="shared" ca="1" si="12"/>
        <v>2022.404885976802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45955</v>
      </c>
      <c r="K90">
        <f ca="1"/>
        <v>1780.1041101950152</v>
      </c>
      <c r="L90">
        <f ca="1"/>
        <v>125.29179651627237</v>
      </c>
      <c r="M90">
        <f ca="1"/>
        <v>9.247749859704868E-2</v>
      </c>
      <c r="N90">
        <f ca="1"/>
        <v>0.25864419563103858</v>
      </c>
      <c r="O90">
        <f ca="1"/>
        <v>0</v>
      </c>
      <c r="P90">
        <f ca="1"/>
        <v>3426.0236569389804</v>
      </c>
      <c r="Q90">
        <f ca="1"/>
        <v>3210.1372347209071</v>
      </c>
      <c r="R90">
        <f ca="1"/>
        <v>0</v>
      </c>
      <c r="S90">
        <f ca="1"/>
        <v>0.96043557489510301</v>
      </c>
      <c r="T90">
        <f ca="1"/>
        <v>0</v>
      </c>
      <c r="U90">
        <f ca="1"/>
        <v>0</v>
      </c>
      <c r="V90">
        <f ca="1"/>
        <v>0.99994002919181468</v>
      </c>
      <c r="X90" s="2">
        <f t="shared" ca="1" si="8"/>
        <v>45955</v>
      </c>
      <c r="Y90">
        <f t="shared" ca="1" si="9"/>
        <v>0</v>
      </c>
      <c r="AA90" s="63">
        <f t="shared" ca="1" si="11"/>
        <v>1905.3959067112876</v>
      </c>
      <c r="AB90" s="63">
        <f t="shared" ca="1" si="12"/>
        <v>1905.3959067112876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45956</v>
      </c>
      <c r="K91">
        <f ca="1"/>
        <v>6817.5603149902863</v>
      </c>
      <c r="L91">
        <f ca="1"/>
        <v>132.18547513086605</v>
      </c>
      <c r="M91">
        <f ca="1"/>
        <v>9.1419941073885624E-2</v>
      </c>
      <c r="N91">
        <f ca="1"/>
        <v>0.25344641353855013</v>
      </c>
      <c r="O91">
        <f ca="1"/>
        <v>5169.2968135715246</v>
      </c>
      <c r="P91">
        <f ca="1"/>
        <v>3558.2091320698464</v>
      </c>
      <c r="Q91">
        <f ca="1"/>
        <v>3333.993214158595</v>
      </c>
      <c r="R91">
        <f ca="1"/>
        <v>0</v>
      </c>
      <c r="S91">
        <f ca="1"/>
        <v>0.92434870943132297</v>
      </c>
      <c r="T91">
        <f ca="1"/>
        <v>0</v>
      </c>
      <c r="U91">
        <f ca="1"/>
        <v>0</v>
      </c>
      <c r="V91">
        <f ca="1"/>
        <v>0.9999515840677301</v>
      </c>
      <c r="X91" s="2">
        <f t="shared" ca="1" si="8"/>
        <v>45956</v>
      </c>
      <c r="Y91">
        <f t="shared" ca="1" si="9"/>
        <v>5169.2968135715246</v>
      </c>
      <c r="AA91" s="63">
        <f t="shared" ca="1" si="11"/>
        <v>6949.7457901211519</v>
      </c>
      <c r="AB91" s="63">
        <f t="shared" ca="1" si="12"/>
        <v>6949.7457901211528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45957</v>
      </c>
      <c r="K92">
        <f ca="1"/>
        <v>6673.8437402356667</v>
      </c>
      <c r="L92">
        <f ca="1"/>
        <v>144.08064034953259</v>
      </c>
      <c r="M92">
        <f ca="1"/>
        <v>9.3245242810501949E-2</v>
      </c>
      <c r="N92">
        <f ca="1"/>
        <v>0.27082035210203415</v>
      </c>
      <c r="O92">
        <f ca="1"/>
        <v>0</v>
      </c>
      <c r="P92">
        <f ca="1"/>
        <v>3702.289772419379</v>
      </c>
      <c r="Q92">
        <f ca="1"/>
        <v>3468.994800458705</v>
      </c>
      <c r="R92">
        <f ca="1"/>
        <v>0</v>
      </c>
      <c r="S92">
        <f ca="1"/>
        <v>0.92608797966365863</v>
      </c>
      <c r="T92">
        <f ca="1"/>
        <v>0</v>
      </c>
      <c r="U92">
        <f ca="1"/>
        <v>0</v>
      </c>
      <c r="V92">
        <f ca="1"/>
        <v>0.99996136166716854</v>
      </c>
      <c r="X92" s="2">
        <f t="shared" ca="1" si="8"/>
        <v>45957</v>
      </c>
      <c r="Y92">
        <f t="shared" ca="1" si="9"/>
        <v>0</v>
      </c>
      <c r="AA92" s="63">
        <f t="shared" ca="1" si="11"/>
        <v>6817.9243805851993</v>
      </c>
      <c r="AB92" s="63">
        <f t="shared" ca="1" si="12"/>
        <v>6817.9243805851993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45958</v>
      </c>
      <c r="K93">
        <f ca="1"/>
        <v>6530.9424567853475</v>
      </c>
      <c r="L93">
        <f ca="1"/>
        <v>143.25192417354947</v>
      </c>
      <c r="M93">
        <f ca="1"/>
        <v>8.6701374988610524E-2</v>
      </c>
      <c r="N93">
        <f ca="1"/>
        <v>0.26393934824104864</v>
      </c>
      <c r="O93">
        <f ca="1"/>
        <v>0</v>
      </c>
      <c r="P93">
        <f ca="1"/>
        <v>3845.5416965929285</v>
      </c>
      <c r="Q93">
        <f ca="1"/>
        <v>3603.2198910541956</v>
      </c>
      <c r="R93">
        <f ca="1"/>
        <v>0</v>
      </c>
      <c r="S93">
        <f ca="1"/>
        <v>0.94376923703835036</v>
      </c>
      <c r="T93">
        <f ca="1"/>
        <v>0</v>
      </c>
      <c r="U93">
        <f ca="1"/>
        <v>0</v>
      </c>
      <c r="V93">
        <f ca="1"/>
        <v>0.99996889640100484</v>
      </c>
      <c r="X93" s="2">
        <f t="shared" ca="1" si="8"/>
        <v>45958</v>
      </c>
      <c r="Y93">
        <f t="shared" ca="1" si="9"/>
        <v>0</v>
      </c>
      <c r="AA93" s="63">
        <f t="shared" ca="1" si="11"/>
        <v>6674.1943809588965</v>
      </c>
      <c r="AB93" s="63">
        <f t="shared" ca="1" si="12"/>
        <v>6674.1943809588975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45959</v>
      </c>
      <c r="K94">
        <f ca="1"/>
        <v>6383.1177774079597</v>
      </c>
      <c r="L94">
        <f ca="1"/>
        <v>148.16979870346586</v>
      </c>
      <c r="M94">
        <f ca="1"/>
        <v>8.4025976646403322E-2</v>
      </c>
      <c r="N94">
        <f ca="1"/>
        <v>0.26109334943175172</v>
      </c>
      <c r="O94">
        <f ca="1"/>
        <v>0</v>
      </c>
      <c r="P94">
        <f ca="1"/>
        <v>3993.7114952963943</v>
      </c>
      <c r="Q94">
        <f ca="1"/>
        <v>3742.0529627160731</v>
      </c>
      <c r="R94">
        <f ca="1"/>
        <v>0</v>
      </c>
      <c r="S94">
        <f ca="1"/>
        <v>0.93376930190511509</v>
      </c>
      <c r="T94">
        <f ca="1"/>
        <v>0</v>
      </c>
      <c r="U94">
        <f ca="1"/>
        <v>0</v>
      </c>
      <c r="V94">
        <f ca="1"/>
        <v>0.99997496945916287</v>
      </c>
      <c r="X94" s="2">
        <f t="shared" ca="1" si="8"/>
        <v>45959</v>
      </c>
      <c r="Y94">
        <f t="shared" ca="1" si="9"/>
        <v>0</v>
      </c>
      <c r="AA94" s="63">
        <f t="shared" ca="1" si="11"/>
        <v>6531.2875761114256</v>
      </c>
      <c r="AB94" s="63">
        <f t="shared" ca="1" si="12"/>
        <v>6531.2875761114256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45960</v>
      </c>
      <c r="K95">
        <f ca="1"/>
        <v>6225.8068561817145</v>
      </c>
      <c r="L95">
        <f ca="1"/>
        <v>157.6590240146802</v>
      </c>
      <c r="M95">
        <f ca="1"/>
        <v>8.3728357488622507E-2</v>
      </c>
      <c r="N95">
        <f ca="1"/>
        <v>0.26437443094707558</v>
      </c>
      <c r="O95">
        <f ca="1"/>
        <v>0</v>
      </c>
      <c r="P95">
        <f ca="1"/>
        <v>4151.3705193110745</v>
      </c>
      <c r="Q95">
        <f ca="1"/>
        <v>3889.7773085051708</v>
      </c>
      <c r="R95">
        <f ca="1"/>
        <v>0</v>
      </c>
      <c r="S95">
        <f ca="1"/>
        <v>0.91492878539199451</v>
      </c>
      <c r="T95">
        <f ca="1"/>
        <v>0</v>
      </c>
      <c r="U95">
        <f ca="1"/>
        <v>0</v>
      </c>
      <c r="V95">
        <f ca="1"/>
        <v>0.99997998800015242</v>
      </c>
      <c r="X95" s="2">
        <f t="shared" ca="1" si="8"/>
        <v>45960</v>
      </c>
      <c r="Y95">
        <f t="shared" ca="1" si="9"/>
        <v>0</v>
      </c>
      <c r="AA95" s="63">
        <f t="shared" ca="1" si="11"/>
        <v>6383.4658801963951</v>
      </c>
      <c r="AB95" s="63">
        <f t="shared" ca="1" si="12"/>
        <v>6383.4658801963942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45961</v>
      </c>
      <c r="K96">
        <f ca="1"/>
        <v>6065.4150468562621</v>
      </c>
      <c r="L96">
        <f ca="1"/>
        <v>160.7223139177222</v>
      </c>
      <c r="M96">
        <f ca="1"/>
        <v>7.9891730283458529E-2</v>
      </c>
      <c r="N96">
        <f ca="1"/>
        <v>0.25061286198592392</v>
      </c>
      <c r="O96">
        <f ca="1"/>
        <v>0</v>
      </c>
      <c r="P96">
        <f ca="1"/>
        <v>4312.0928332287967</v>
      </c>
      <c r="Q96">
        <f ca="1"/>
        <v>4040.371914970543</v>
      </c>
      <c r="R96">
        <f ca="1"/>
        <v>0</v>
      </c>
      <c r="S96">
        <f ca="1"/>
        <v>0.88536364297930803</v>
      </c>
      <c r="T96">
        <f ca="1"/>
        <v>0</v>
      </c>
      <c r="U96">
        <f ca="1"/>
        <v>0</v>
      </c>
      <c r="V96">
        <f ca="1"/>
        <v>0.99998395407797636</v>
      </c>
      <c r="X96" s="2">
        <f t="shared" ca="1" si="8"/>
        <v>45961</v>
      </c>
      <c r="Y96">
        <f t="shared" ca="1" si="9"/>
        <v>0</v>
      </c>
      <c r="AA96" s="63">
        <f t="shared" ca="1" si="11"/>
        <v>6226.1373607739843</v>
      </c>
      <c r="AB96" s="63">
        <f t="shared" ca="1" si="12"/>
        <v>6226.1373607739843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45962</v>
      </c>
      <c r="K97">
        <f ca="1"/>
        <v>5905.5271001866486</v>
      </c>
      <c r="L97">
        <f ca="1"/>
        <v>160.19599988473601</v>
      </c>
      <c r="M97">
        <f ca="1"/>
        <v>7.4713423602469575E-2</v>
      </c>
      <c r="N97">
        <f ca="1"/>
        <v>0.23333979152031961</v>
      </c>
      <c r="O97">
        <f ca="1"/>
        <v>0</v>
      </c>
      <c r="P97">
        <f ca="1"/>
        <v>4472.2888331135327</v>
      </c>
      <c r="Q97">
        <f ca="1"/>
        <v>4190.4733723967893</v>
      </c>
      <c r="R97">
        <f ca="1"/>
        <v>0</v>
      </c>
      <c r="S97">
        <f ca="1"/>
        <v>0.86203038997187365</v>
      </c>
      <c r="T97">
        <f ca="1"/>
        <v>0</v>
      </c>
      <c r="U97">
        <f ca="1"/>
        <v>0</v>
      </c>
      <c r="V97">
        <f ca="1"/>
        <v>0.99998703795643484</v>
      </c>
      <c r="X97" s="2">
        <f t="shared" ca="1" si="8"/>
        <v>45962</v>
      </c>
      <c r="Y97">
        <f t="shared" ca="1" si="9"/>
        <v>0</v>
      </c>
      <c r="AA97" s="63">
        <f t="shared" ca="1" si="11"/>
        <v>6065.7231000713846</v>
      </c>
      <c r="AB97" s="63">
        <f t="shared" ca="1" si="12"/>
        <v>6065.7231000713846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45963</v>
      </c>
      <c r="K98">
        <f ca="1"/>
        <v>5740.0253128961722</v>
      </c>
      <c r="L98">
        <f ca="1"/>
        <v>165.79693905825025</v>
      </c>
      <c r="M98">
        <f ca="1"/>
        <v>7.2615881880079058E-2</v>
      </c>
      <c r="N98">
        <f ca="1"/>
        <v>0.22253588589434645</v>
      </c>
      <c r="O98">
        <f ca="1"/>
        <v>0</v>
      </c>
      <c r="P98">
        <f ca="1"/>
        <v>4638.085772171783</v>
      </c>
      <c r="Q98">
        <f ca="1"/>
        <v>4345.8228331034234</v>
      </c>
      <c r="R98">
        <f ca="1"/>
        <v>0</v>
      </c>
      <c r="S98">
        <f ca="1"/>
        <v>0.82130583073323005</v>
      </c>
      <c r="T98">
        <f ca="1"/>
        <v>0</v>
      </c>
      <c r="U98">
        <f ca="1"/>
        <v>0</v>
      </c>
      <c r="V98">
        <f ca="1"/>
        <v>0.99998953869411444</v>
      </c>
      <c r="X98" s="2">
        <f t="shared" ca="1" si="8"/>
        <v>45963</v>
      </c>
      <c r="Y98">
        <f t="shared" ca="1" si="9"/>
        <v>0</v>
      </c>
      <c r="AA98" s="63">
        <f t="shared" ca="1" si="11"/>
        <v>5905.8222519544224</v>
      </c>
      <c r="AB98" s="63">
        <f t="shared" ca="1" si="12"/>
        <v>5905.8222519544224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45964</v>
      </c>
      <c r="K99">
        <f ca="1"/>
        <v>5570.869946349263</v>
      </c>
      <c r="L99">
        <f ca="1"/>
        <v>169.44215058565715</v>
      </c>
      <c r="M99">
        <f ca="1"/>
        <v>6.9748995894636678E-2</v>
      </c>
      <c r="N99">
        <f ca="1"/>
        <v>0.21703504285333447</v>
      </c>
      <c r="O99">
        <f ca="1"/>
        <v>0</v>
      </c>
      <c r="P99">
        <f ca="1"/>
        <v>4807.5279227574401</v>
      </c>
      <c r="Q99">
        <f ca="1"/>
        <v>4504.5878070768331</v>
      </c>
      <c r="R99">
        <f ca="1"/>
        <v>0</v>
      </c>
      <c r="S99">
        <f ca="1"/>
        <v>0.80927691640778687</v>
      </c>
      <c r="T99">
        <f ca="1"/>
        <v>0</v>
      </c>
      <c r="U99">
        <f ca="1"/>
        <v>0</v>
      </c>
      <c r="V99">
        <f ca="1"/>
        <v>0.99999154284416769</v>
      </c>
      <c r="X99" s="2">
        <f t="shared" ca="1" si="8"/>
        <v>45964</v>
      </c>
      <c r="Y99">
        <f t="shared" ca="1" si="9"/>
        <v>0</v>
      </c>
      <c r="AA99" s="63">
        <f t="shared" ca="1" si="11"/>
        <v>5740.3120969349202</v>
      </c>
      <c r="AB99" s="63">
        <f t="shared" ca="1" si="12"/>
        <v>5740.3120969349202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45965</v>
      </c>
      <c r="K100">
        <f ca="1"/>
        <v>5394.0767166910036</v>
      </c>
      <c r="L100">
        <f ca="1"/>
        <v>177.0819696549388</v>
      </c>
      <c r="M100">
        <f ca="1"/>
        <v>6.8485368316506978E-2</v>
      </c>
      <c r="N100">
        <f ca="1"/>
        <v>0.22025462836256177</v>
      </c>
      <c r="O100">
        <f ca="1"/>
        <v>0</v>
      </c>
      <c r="P100">
        <f ca="1"/>
        <v>4984.6098924123789</v>
      </c>
      <c r="Q100">
        <f ca="1"/>
        <v>4670.5111868631047</v>
      </c>
      <c r="R100">
        <f ca="1"/>
        <v>0</v>
      </c>
      <c r="S100">
        <f ca="1"/>
        <v>0.80681321215201152</v>
      </c>
      <c r="T100">
        <f ca="1"/>
        <v>0</v>
      </c>
      <c r="U100">
        <f ca="1"/>
        <v>0</v>
      </c>
      <c r="V100">
        <f ca="1"/>
        <v>0.99999318483804311</v>
      </c>
      <c r="X100" s="2">
        <f t="shared" ca="1" si="8"/>
        <v>45965</v>
      </c>
      <c r="Y100">
        <f t="shared" ca="1" si="9"/>
        <v>0</v>
      </c>
      <c r="AA100" s="63">
        <f t="shared" ca="1" si="11"/>
        <v>5571.1586863459424</v>
      </c>
      <c r="AB100" s="63">
        <f t="shared" ca="1" si="12"/>
        <v>5571.1586863459424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45966</v>
      </c>
      <c r="K101">
        <f ca="1"/>
        <v>5207.5476191380349</v>
      </c>
      <c r="L101">
        <f ca="1"/>
        <v>186.83575037354422</v>
      </c>
      <c r="M101">
        <f ca="1"/>
        <v>6.7852070874916848E-2</v>
      </c>
      <c r="N101">
        <f ca="1"/>
        <v>0.23880074970035992</v>
      </c>
      <c r="O101">
        <f ca="1"/>
        <v>0</v>
      </c>
      <c r="P101">
        <f ca="1"/>
        <v>5171.4456427859232</v>
      </c>
      <c r="Q101">
        <f ca="1"/>
        <v>4845.5737255692748</v>
      </c>
      <c r="R101">
        <f ca="1"/>
        <v>0</v>
      </c>
      <c r="S101">
        <f ca="1"/>
        <v>0.84637848292237927</v>
      </c>
      <c r="T101">
        <f ca="1"/>
        <v>0</v>
      </c>
      <c r="U101">
        <f ca="1"/>
        <v>0</v>
      </c>
      <c r="V101">
        <f ca="1"/>
        <v>0.99999453717621534</v>
      </c>
      <c r="X101" s="2">
        <f t="shared" ca="1" si="8"/>
        <v>45966</v>
      </c>
      <c r="Y101">
        <f t="shared" ca="1" si="9"/>
        <v>0</v>
      </c>
      <c r="AA101" s="63">
        <f t="shared" ca="1" si="11"/>
        <v>5394.3833695115791</v>
      </c>
      <c r="AB101" s="63">
        <f t="shared" ca="1" si="12"/>
        <v>5394.3833695115791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45967</v>
      </c>
      <c r="K102">
        <f ca="1"/>
        <v>5020.7245041311453</v>
      </c>
      <c r="L102">
        <f ca="1"/>
        <v>187.12049247371306</v>
      </c>
      <c r="M102">
        <f ca="1"/>
        <v>6.3862117441122024E-2</v>
      </c>
      <c r="N102">
        <f ca="1"/>
        <v>0.23351534938230203</v>
      </c>
      <c r="O102">
        <f ca="1"/>
        <v>0</v>
      </c>
      <c r="P102">
        <f ca="1"/>
        <v>5358.5661352596362</v>
      </c>
      <c r="Q102">
        <f ca="1"/>
        <v>5020.9030637227279</v>
      </c>
      <c r="R102">
        <f ca="1"/>
        <v>0</v>
      </c>
      <c r="S102">
        <f ca="1"/>
        <v>0.85463938808697815</v>
      </c>
      <c r="T102">
        <f ca="1"/>
        <v>0</v>
      </c>
      <c r="U102">
        <f ca="1"/>
        <v>0</v>
      </c>
      <c r="V102">
        <f ca="1"/>
        <v>0.99999559513231739</v>
      </c>
      <c r="X102" s="2">
        <f t="shared" ca="1" si="8"/>
        <v>45967</v>
      </c>
      <c r="Y102">
        <f t="shared" ca="1" si="9"/>
        <v>0</v>
      </c>
      <c r="AA102" s="63">
        <f t="shared" ca="1" si="11"/>
        <v>5207.8449966048584</v>
      </c>
      <c r="AB102" s="63">
        <f t="shared" ca="1" si="12"/>
        <v>5207.8449966048584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45968</v>
      </c>
      <c r="K103">
        <f ca="1"/>
        <v>4824.3710885546434</v>
      </c>
      <c r="L103">
        <f ca="1"/>
        <v>196.66011157627327</v>
      </c>
      <c r="M103">
        <f ca="1"/>
        <v>6.3097786821504798E-2</v>
      </c>
      <c r="N103">
        <f ca="1"/>
        <v>0.24359821294966405</v>
      </c>
      <c r="O103">
        <f ca="1"/>
        <v>0</v>
      </c>
      <c r="P103">
        <f ca="1"/>
        <v>5555.2262468359095</v>
      </c>
      <c r="Q103">
        <f ca="1"/>
        <v>5205.1708942955638</v>
      </c>
      <c r="R103">
        <f ca="1"/>
        <v>0</v>
      </c>
      <c r="S103">
        <f ca="1"/>
        <v>0.86710318092799221</v>
      </c>
      <c r="T103">
        <f ca="1"/>
        <v>0</v>
      </c>
      <c r="U103">
        <f ca="1"/>
        <v>0</v>
      </c>
      <c r="V103">
        <f ca="1"/>
        <v>0.9999964648989631</v>
      </c>
      <c r="X103" s="2">
        <f t="shared" ca="1" si="8"/>
        <v>45968</v>
      </c>
      <c r="Y103">
        <f t="shared" ca="1" si="9"/>
        <v>0</v>
      </c>
      <c r="AA103" s="63">
        <f t="shared" ca="1" si="11"/>
        <v>5021.0312001309167</v>
      </c>
      <c r="AB103" s="63">
        <f t="shared" ca="1" si="12"/>
        <v>5021.0312001309167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45969</v>
      </c>
      <c r="K104">
        <f ca="1"/>
        <v>4618.7933910974689</v>
      </c>
      <c r="L104">
        <f ca="1"/>
        <v>205.88833865519155</v>
      </c>
      <c r="M104">
        <f ca="1"/>
        <v>6.2082186429925912E-2</v>
      </c>
      <c r="N104">
        <f ca="1"/>
        <v>0.24855901158732308</v>
      </c>
      <c r="O104">
        <f ca="1"/>
        <v>0</v>
      </c>
      <c r="P104">
        <f ca="1"/>
        <v>5761.114585491101</v>
      </c>
      <c r="Q104">
        <f ca="1"/>
        <v>5398.0854472272777</v>
      </c>
      <c r="R104">
        <f ca="1"/>
        <v>0</v>
      </c>
      <c r="S104">
        <f ca="1"/>
        <v>0.86579885253258115</v>
      </c>
      <c r="T104">
        <f ca="1"/>
        <v>0</v>
      </c>
      <c r="U104">
        <f ca="1"/>
        <v>0</v>
      </c>
      <c r="V104">
        <f ca="1"/>
        <v>0.99999717411687272</v>
      </c>
      <c r="X104" s="2">
        <f t="shared" ca="1" si="8"/>
        <v>45969</v>
      </c>
      <c r="Y104">
        <f t="shared" ca="1" si="9"/>
        <v>0</v>
      </c>
      <c r="AA104" s="63">
        <f t="shared" ca="1" si="11"/>
        <v>4824.6817297526604</v>
      </c>
      <c r="AB104" s="63">
        <f t="shared" ca="1" si="12"/>
        <v>4824.6817297526604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45970</v>
      </c>
      <c r="K105">
        <f ca="1"/>
        <v>4412.6661279614082</v>
      </c>
      <c r="L105">
        <f ca="1"/>
        <v>206.42665779317031</v>
      </c>
      <c r="M105">
        <f ca="1"/>
        <v>5.8517413124944184E-2</v>
      </c>
      <c r="N105">
        <f ca="1"/>
        <v>0.24087724398448407</v>
      </c>
      <c r="O105">
        <f ca="1"/>
        <v>0</v>
      </c>
      <c r="P105">
        <f ca="1"/>
        <v>5967.5412432842713</v>
      </c>
      <c r="Q105">
        <f ca="1"/>
        <v>5591.5043978170424</v>
      </c>
      <c r="R105">
        <f ca="1"/>
        <v>0</v>
      </c>
      <c r="S105">
        <f ca="1"/>
        <v>0.86492930321869532</v>
      </c>
      <c r="T105">
        <f ca="1"/>
        <v>0</v>
      </c>
      <c r="U105">
        <f ca="1"/>
        <v>0</v>
      </c>
      <c r="V105">
        <f ca="1"/>
        <v>0.9999977286543662</v>
      </c>
      <c r="X105" s="2">
        <f t="shared" ca="1" si="8"/>
        <v>45970</v>
      </c>
      <c r="Y105">
        <f t="shared" ca="1" si="9"/>
        <v>0</v>
      </c>
      <c r="AA105" s="63">
        <f t="shared" ca="1" si="11"/>
        <v>4619.0927857545785</v>
      </c>
      <c r="AB105" s="63">
        <f t="shared" ca="1" si="12"/>
        <v>4619.0927857545785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45971</v>
      </c>
      <c r="K106">
        <f ca="1"/>
        <v>4195.7839825439351</v>
      </c>
      <c r="L106">
        <f ca="1"/>
        <v>217.18362827197871</v>
      </c>
      <c r="M106">
        <f ca="1"/>
        <v>5.793833001284554E-2</v>
      </c>
      <c r="N106">
        <f ca="1"/>
        <v>0.24354452449284741</v>
      </c>
      <c r="O106">
        <f ca="1"/>
        <v>0</v>
      </c>
      <c r="P106">
        <f ca="1"/>
        <v>6184.72487155625</v>
      </c>
      <c r="Q106">
        <f ca="1"/>
        <v>5795.002482389692</v>
      </c>
      <c r="R106">
        <f ca="1"/>
        <v>0</v>
      </c>
      <c r="S106">
        <f ca="1"/>
        <v>0.85058149095985924</v>
      </c>
      <c r="T106">
        <f ca="1"/>
        <v>0</v>
      </c>
      <c r="U106">
        <f ca="1"/>
        <v>0</v>
      </c>
      <c r="V106">
        <f ca="1"/>
        <v>0.99999818405997087</v>
      </c>
      <c r="X106" s="2">
        <f t="shared" ca="1" si="8"/>
        <v>45971</v>
      </c>
      <c r="Y106">
        <f t="shared" ca="1" si="9"/>
        <v>0</v>
      </c>
      <c r="AA106" s="63">
        <f t="shared" ca="1" si="11"/>
        <v>4412.9676108159138</v>
      </c>
      <c r="AB106" s="63">
        <f t="shared" ca="1" si="12"/>
        <v>4412.9676108159138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45972</v>
      </c>
      <c r="K107">
        <f ca="1"/>
        <v>3971.545386842321</v>
      </c>
      <c r="L107">
        <f ca="1"/>
        <v>224.53177004449572</v>
      </c>
      <c r="M107">
        <f ca="1"/>
        <v>5.6347193509674653E-2</v>
      </c>
      <c r="N107">
        <f ca="1"/>
        <v>0.23682714937216717</v>
      </c>
      <c r="O107">
        <f ca="1"/>
        <v>0</v>
      </c>
      <c r="P107">
        <f ca="1"/>
        <v>6409.2566416007458</v>
      </c>
      <c r="Q107">
        <f ca="1"/>
        <v>6005.3856751437115</v>
      </c>
      <c r="R107">
        <f ca="1"/>
        <v>0</v>
      </c>
      <c r="S107">
        <f ca="1"/>
        <v>0.82246555985518555</v>
      </c>
      <c r="T107">
        <f ca="1"/>
        <v>0</v>
      </c>
      <c r="U107">
        <f ca="1"/>
        <v>0</v>
      </c>
      <c r="V107">
        <f ca="1"/>
        <v>0.99999855036209762</v>
      </c>
      <c r="X107" s="2">
        <f t="shared" ca="1" si="8"/>
        <v>45972</v>
      </c>
      <c r="Y107">
        <f t="shared" ca="1" si="9"/>
        <v>0</v>
      </c>
      <c r="AA107" s="63">
        <f t="shared" ca="1" si="11"/>
        <v>4196.0771568868167</v>
      </c>
      <c r="AB107" s="63">
        <f t="shared" ca="1" si="12"/>
        <v>4196.0771568868167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45973</v>
      </c>
      <c r="K108">
        <f ca="1"/>
        <v>3741.880165369224</v>
      </c>
      <c r="L108">
        <f ca="1"/>
        <v>229.95624733213572</v>
      </c>
      <c r="M108">
        <f ca="1"/>
        <v>5.4301878332278619E-2</v>
      </c>
      <c r="N108">
        <f ca="1"/>
        <v>0.23672398070626921</v>
      </c>
      <c r="O108">
        <f ca="1"/>
        <v>0</v>
      </c>
      <c r="P108">
        <f ca="1"/>
        <v>6639.2128889328815</v>
      </c>
      <c r="Q108">
        <f ca="1"/>
        <v>6220.8515288083427</v>
      </c>
      <c r="R108">
        <f ca="1"/>
        <v>0</v>
      </c>
      <c r="S108">
        <f ca="1"/>
        <v>0.82405977317972301</v>
      </c>
      <c r="T108">
        <f ca="1"/>
        <v>0</v>
      </c>
      <c r="U108">
        <f ca="1"/>
        <v>0</v>
      </c>
      <c r="V108">
        <f ca="1"/>
        <v>0.99999884224784552</v>
      </c>
      <c r="X108" s="2">
        <f t="shared" ca="1" si="8"/>
        <v>45973</v>
      </c>
      <c r="Y108">
        <f t="shared" ca="1" si="9"/>
        <v>0</v>
      </c>
      <c r="AA108" s="63">
        <f t="shared" ca="1" si="11"/>
        <v>3971.8364127013597</v>
      </c>
      <c r="AB108" s="63">
        <f t="shared" ca="1" si="12"/>
        <v>3971.8364127013597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45974</v>
      </c>
      <c r="K109">
        <f ca="1"/>
        <v>3510.0510798615578</v>
      </c>
      <c r="L109">
        <f ca="1"/>
        <v>232.10953627990966</v>
      </c>
      <c r="M109">
        <f ca="1"/>
        <v>5.1625088840514977E-2</v>
      </c>
      <c r="N109">
        <f ca="1"/>
        <v>0.22882568340317028</v>
      </c>
      <c r="O109">
        <f ca="1"/>
        <v>0</v>
      </c>
      <c r="P109">
        <f ca="1"/>
        <v>6871.3224252127911</v>
      </c>
      <c r="Q109">
        <f ca="1"/>
        <v>6438.3349847199297</v>
      </c>
      <c r="R109">
        <f ca="1"/>
        <v>0</v>
      </c>
      <c r="S109">
        <f ca="1"/>
        <v>0.81275543443889642</v>
      </c>
      <c r="T109">
        <f ca="1"/>
        <v>0</v>
      </c>
      <c r="U109">
        <f ca="1"/>
        <v>0</v>
      </c>
      <c r="V109">
        <f ca="1"/>
        <v>0.99999907212366013</v>
      </c>
      <c r="X109" s="2">
        <f t="shared" ca="1" si="8"/>
        <v>45974</v>
      </c>
      <c r="Y109">
        <f t="shared" ca="1" si="9"/>
        <v>0</v>
      </c>
      <c r="AA109" s="63">
        <f t="shared" ca="1" si="11"/>
        <v>3742.1606161414675</v>
      </c>
      <c r="AB109" s="63">
        <f t="shared" ca="1" si="12"/>
        <v>3742.1606161414675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45975</v>
      </c>
      <c r="K110">
        <f ca="1"/>
        <v>8442.6975032728187</v>
      </c>
      <c r="L110">
        <f ca="1"/>
        <v>236.94854671979647</v>
      </c>
      <c r="M110">
        <f ca="1"/>
        <v>4.9712200009006224E-2</v>
      </c>
      <c r="N110">
        <f ca="1"/>
        <v>0.22508946198290747</v>
      </c>
      <c r="O110">
        <f ca="1"/>
        <v>5169.3201684690648</v>
      </c>
      <c r="P110">
        <f ca="1"/>
        <v>7108.2709719325876</v>
      </c>
      <c r="Q110">
        <f ca="1"/>
        <v>6660.3525271258768</v>
      </c>
      <c r="R110">
        <f ca="1"/>
        <v>0</v>
      </c>
      <c r="S110">
        <f ca="1"/>
        <v>0.80333515254085475</v>
      </c>
      <c r="T110">
        <f ca="1"/>
        <v>0</v>
      </c>
      <c r="U110">
        <f ca="1"/>
        <v>0</v>
      </c>
      <c r="V110">
        <f ca="1"/>
        <v>0.9999992557913987</v>
      </c>
      <c r="X110" s="2">
        <f t="shared" ca="1" si="8"/>
        <v>45975</v>
      </c>
      <c r="Y110">
        <f t="shared" ca="1" si="9"/>
        <v>5169.3201684690648</v>
      </c>
      <c r="AA110" s="63">
        <f t="shared" ca="1" si="11"/>
        <v>8679.6460499926143</v>
      </c>
      <c r="AB110" s="63">
        <f t="shared" ca="1" si="12"/>
        <v>8679.6460499926143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45976</v>
      </c>
      <c r="K111">
        <f ca="1"/>
        <v>8194.5079352112771</v>
      </c>
      <c r="L111">
        <f ca="1"/>
        <v>248.46299706264472</v>
      </c>
      <c r="M111">
        <f ca="1"/>
        <v>4.9197661932806724E-2</v>
      </c>
      <c r="N111">
        <f ca="1"/>
        <v>0.22423133917134694</v>
      </c>
      <c r="O111">
        <f ca="1"/>
        <v>0</v>
      </c>
      <c r="P111">
        <f ca="1"/>
        <v>7356.7339689952323</v>
      </c>
      <c r="Q111">
        <f ca="1"/>
        <v>6893.1589517708735</v>
      </c>
      <c r="R111">
        <f ca="1"/>
        <v>0</v>
      </c>
      <c r="S111">
        <f ca="1"/>
        <v>0.77797284016469492</v>
      </c>
      <c r="T111">
        <f ca="1"/>
        <v>0</v>
      </c>
      <c r="U111">
        <f ca="1"/>
        <v>0</v>
      </c>
      <c r="V111">
        <f ca="1"/>
        <v>0.9999994062706149</v>
      </c>
      <c r="X111" s="2">
        <f t="shared" ca="1" si="8"/>
        <v>45976</v>
      </c>
      <c r="Y111">
        <f t="shared" ca="1" si="9"/>
        <v>0</v>
      </c>
      <c r="AA111" s="63">
        <f t="shared" ca="1" si="11"/>
        <v>8442.9709322739218</v>
      </c>
      <c r="AB111" s="63">
        <f t="shared" ca="1" si="12"/>
        <v>8442.9709322739218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45977</v>
      </c>
      <c r="K112">
        <f ca="1"/>
        <v>7934.793102445753</v>
      </c>
      <c r="L112">
        <f ca="1"/>
        <v>259.99671393126391</v>
      </c>
      <c r="M112">
        <f ca="1"/>
        <v>4.8580348281953789E-2</v>
      </c>
      <c r="N112">
        <f ca="1"/>
        <v>0.23330081745777262</v>
      </c>
      <c r="O112">
        <f ca="1"/>
        <v>0</v>
      </c>
      <c r="P112">
        <f ca="1"/>
        <v>7616.7306829264962</v>
      </c>
      <c r="Q112">
        <f ca="1"/>
        <v>7136.7723111256473</v>
      </c>
      <c r="R112">
        <f ca="1"/>
        <v>0</v>
      </c>
      <c r="S112">
        <f ca="1"/>
        <v>0.78739313528224431</v>
      </c>
      <c r="T112">
        <f ca="1"/>
        <v>0</v>
      </c>
      <c r="U112">
        <f ca="1"/>
        <v>0</v>
      </c>
      <c r="V112">
        <f ca="1"/>
        <v>0.99999952869318542</v>
      </c>
      <c r="X112" s="2">
        <f t="shared" ca="1" si="8"/>
        <v>45977</v>
      </c>
      <c r="Y112">
        <f t="shared" ca="1" si="9"/>
        <v>0</v>
      </c>
      <c r="AA112" s="63">
        <f t="shared" ca="1" si="11"/>
        <v>8194.7898163770169</v>
      </c>
      <c r="AB112" s="63">
        <f t="shared" ca="1" si="12"/>
        <v>8194.7898163770169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45978</v>
      </c>
      <c r="K113">
        <f ca="1"/>
        <v>7675.772209640254</v>
      </c>
      <c r="L113">
        <f ca="1"/>
        <v>259.28578175149869</v>
      </c>
      <c r="M113">
        <f ca="1"/>
        <v>4.5669436434190303E-2</v>
      </c>
      <c r="N113">
        <f ca="1"/>
        <v>0.21921950956608521</v>
      </c>
      <c r="O113">
        <f ca="1"/>
        <v>0</v>
      </c>
      <c r="P113">
        <f ca="1"/>
        <v>7876.0164646779949</v>
      </c>
      <c r="Q113">
        <f ca="1"/>
        <v>7379.7195367667773</v>
      </c>
      <c r="R113">
        <f ca="1"/>
        <v>0</v>
      </c>
      <c r="S113">
        <f ca="1"/>
        <v>0.76391487872587105</v>
      </c>
      <c r="T113">
        <f ca="1"/>
        <v>0</v>
      </c>
      <c r="U113">
        <f ca="1"/>
        <v>0</v>
      </c>
      <c r="V113">
        <f ca="1"/>
        <v>0.99999962370568662</v>
      </c>
      <c r="X113" s="2">
        <f t="shared" ca="1" si="8"/>
        <v>45978</v>
      </c>
      <c r="Y113">
        <f t="shared" ca="1" si="9"/>
        <v>0</v>
      </c>
      <c r="AA113" s="63">
        <f t="shared" ca="1" si="11"/>
        <v>7935.0579913917527</v>
      </c>
      <c r="AB113" s="63">
        <f t="shared" ca="1" si="12"/>
        <v>7935.0579913917527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45979</v>
      </c>
      <c r="K114">
        <f ca="1"/>
        <v>7417.778832194721</v>
      </c>
      <c r="L114">
        <f ca="1"/>
        <v>258.24235165149912</v>
      </c>
      <c r="M114">
        <f ca="1"/>
        <v>4.3001829078995968E-2</v>
      </c>
      <c r="N114">
        <f ca="1"/>
        <v>0.20597237688678427</v>
      </c>
      <c r="O114">
        <f ca="1"/>
        <v>0</v>
      </c>
      <c r="P114">
        <f ca="1"/>
        <v>8134.258816329494</v>
      </c>
      <c r="Q114">
        <f ca="1"/>
        <v>7621.6890826977715</v>
      </c>
      <c r="R114">
        <f ca="1"/>
        <v>0</v>
      </c>
      <c r="S114">
        <f ca="1"/>
        <v>0.74014676680511415</v>
      </c>
      <c r="T114">
        <f ca="1"/>
        <v>0</v>
      </c>
      <c r="U114">
        <f ca="1"/>
        <v>0</v>
      </c>
      <c r="V114">
        <f ca="1"/>
        <v>0.99999969786966347</v>
      </c>
      <c r="X114" s="2">
        <f t="shared" ca="1" si="8"/>
        <v>45979</v>
      </c>
      <c r="Y114">
        <f t="shared" ca="1" si="9"/>
        <v>0</v>
      </c>
      <c r="AA114" s="63">
        <f t="shared" ca="1" si="11"/>
        <v>7676.0211838462201</v>
      </c>
      <c r="AB114" s="63">
        <f t="shared" ca="1" si="12"/>
        <v>7676.0211838462201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45980</v>
      </c>
      <c r="K115">
        <f ca="1"/>
        <v>7155.0468285606421</v>
      </c>
      <c r="L115">
        <f ca="1"/>
        <v>262.97025749618388</v>
      </c>
      <c r="M115">
        <f ca="1"/>
        <v>4.1475727441929067E-2</v>
      </c>
      <c r="N115">
        <f ca="1"/>
        <v>0.19677813466292626</v>
      </c>
      <c r="O115">
        <f ca="1"/>
        <v>0</v>
      </c>
      <c r="P115">
        <f ca="1"/>
        <v>8397.2290738256779</v>
      </c>
      <c r="Q115">
        <f ca="1"/>
        <v>7868.0886116394004</v>
      </c>
      <c r="R115">
        <f ca="1"/>
        <v>0</v>
      </c>
      <c r="S115">
        <f ca="1"/>
        <v>0.70753807472661356</v>
      </c>
      <c r="T115">
        <f ca="1"/>
        <v>0</v>
      </c>
      <c r="U115">
        <f ca="1"/>
        <v>0</v>
      </c>
      <c r="V115">
        <f ca="1"/>
        <v>0.99999975730598412</v>
      </c>
      <c r="X115" s="2">
        <f t="shared" ca="1" si="8"/>
        <v>45980</v>
      </c>
      <c r="Y115">
        <f t="shared" ca="1" si="9"/>
        <v>0</v>
      </c>
      <c r="AA115" s="63">
        <f t="shared" ca="1" si="11"/>
        <v>7418.017086056826</v>
      </c>
      <c r="AB115" s="63">
        <f t="shared" ca="1" si="12"/>
        <v>7418.017086056826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45981</v>
      </c>
      <c r="K116">
        <f ca="1"/>
        <v>6879.2635840966459</v>
      </c>
      <c r="L116">
        <f ca="1"/>
        <v>276.0231459755887</v>
      </c>
      <c r="M116">
        <f ca="1"/>
        <v>4.1252474579382081E-2</v>
      </c>
      <c r="N116">
        <f ca="1"/>
        <v>0.19864903701245934</v>
      </c>
      <c r="O116">
        <f ca="1"/>
        <v>0</v>
      </c>
      <c r="P116">
        <f ca="1"/>
        <v>8673.2522198012666</v>
      </c>
      <c r="Q116">
        <f ca="1"/>
        <v>8126.7185182795411</v>
      </c>
      <c r="R116">
        <f ca="1"/>
        <v>0</v>
      </c>
      <c r="S116">
        <f ca="1"/>
        <v>0.68811778795870038</v>
      </c>
      <c r="T116">
        <f ca="1"/>
        <v>0</v>
      </c>
      <c r="U116">
        <f ca="1"/>
        <v>0</v>
      </c>
      <c r="V116">
        <f ca="1"/>
        <v>0.99999980629048957</v>
      </c>
      <c r="X116" s="2">
        <f t="shared" ca="1" si="8"/>
        <v>45981</v>
      </c>
      <c r="Y116">
        <f t="shared" ca="1" si="9"/>
        <v>0</v>
      </c>
      <c r="AA116" s="63">
        <f t="shared" ca="1" si="11"/>
        <v>7155.2867300722346</v>
      </c>
      <c r="AB116" s="63">
        <f t="shared" ca="1" si="12"/>
        <v>7155.2867300722346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45982</v>
      </c>
      <c r="K117">
        <f ca="1"/>
        <v>6596.7919091320655</v>
      </c>
      <c r="L117">
        <f ca="1"/>
        <v>282.70879345328831</v>
      </c>
      <c r="M117">
        <f ca="1"/>
        <v>4.0023949145361115E-2</v>
      </c>
      <c r="N117">
        <f ca="1"/>
        <v>0.19709453956223957</v>
      </c>
      <c r="O117">
        <f ca="1"/>
        <v>0</v>
      </c>
      <c r="P117">
        <f ca="1"/>
        <v>8955.9610132545549</v>
      </c>
      <c r="Q117">
        <f ca="1"/>
        <v>8391.6127850220746</v>
      </c>
      <c r="R117">
        <f ca="1"/>
        <v>0</v>
      </c>
      <c r="S117">
        <f ca="1"/>
        <v>0.67782793536451758</v>
      </c>
      <c r="T117">
        <f ca="1"/>
        <v>0</v>
      </c>
      <c r="U117">
        <f ca="1"/>
        <v>0</v>
      </c>
      <c r="V117">
        <f ca="1"/>
        <v>0.99999984555257482</v>
      </c>
      <c r="X117" s="2">
        <f t="shared" ca="1" si="8"/>
        <v>45982</v>
      </c>
      <c r="Y117">
        <f t="shared" ca="1" si="9"/>
        <v>0</v>
      </c>
      <c r="AA117" s="63">
        <f t="shared" ca="1" si="11"/>
        <v>6879.5007025853538</v>
      </c>
      <c r="AB117" s="63">
        <f t="shared" ca="1" si="12"/>
        <v>6879.5007025853538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45983</v>
      </c>
      <c r="K118">
        <f ca="1"/>
        <v>6304.5830804956577</v>
      </c>
      <c r="L118">
        <f ca="1"/>
        <v>292.45052028178543</v>
      </c>
      <c r="M118">
        <f ca="1"/>
        <v>3.9251434783599493E-2</v>
      </c>
      <c r="N118">
        <f ca="1"/>
        <v>0.20244021059487738</v>
      </c>
      <c r="O118">
        <f ca="1"/>
        <v>0</v>
      </c>
      <c r="P118">
        <f ca="1"/>
        <v>9248.4115335363404</v>
      </c>
      <c r="Q118">
        <f ca="1"/>
        <v>8665.6349163545965</v>
      </c>
      <c r="R118">
        <f ca="1"/>
        <v>0</v>
      </c>
      <c r="S118">
        <f ca="1"/>
        <v>0.68362503893377624</v>
      </c>
      <c r="T118">
        <f ca="1"/>
        <v>0</v>
      </c>
      <c r="U118">
        <f ca="1"/>
        <v>0</v>
      </c>
      <c r="V118">
        <f ca="1"/>
        <v>0.99999987728661655</v>
      </c>
      <c r="X118" s="2">
        <f t="shared" ca="1" si="8"/>
        <v>45983</v>
      </c>
      <c r="Y118">
        <f t="shared" ca="1" si="9"/>
        <v>0</v>
      </c>
      <c r="AA118" s="63">
        <f t="shared" ca="1" si="11"/>
        <v>6597.0336007774431</v>
      </c>
      <c r="AB118" s="63">
        <f t="shared" ca="1" si="12"/>
        <v>6597.0336007774431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45984</v>
      </c>
      <c r="K119">
        <f ca="1"/>
        <v>6002.5518757116261</v>
      </c>
      <c r="L119">
        <f ca="1"/>
        <v>302.27243263618584</v>
      </c>
      <c r="M119">
        <f ca="1"/>
        <v>3.8472868268758731E-2</v>
      </c>
      <c r="N119">
        <f ca="1"/>
        <v>0.20275498388554172</v>
      </c>
      <c r="O119">
        <f ca="1"/>
        <v>0</v>
      </c>
      <c r="P119">
        <f ca="1"/>
        <v>9550.6839661725262</v>
      </c>
      <c r="Q119">
        <f ca="1"/>
        <v>8948.8600450164486</v>
      </c>
      <c r="R119">
        <f ca="1"/>
        <v>0</v>
      </c>
      <c r="S119">
        <f ca="1"/>
        <v>0.67058156242813638</v>
      </c>
      <c r="T119">
        <f ca="1"/>
        <v>0</v>
      </c>
      <c r="U119">
        <f ca="1"/>
        <v>0</v>
      </c>
      <c r="V119">
        <f ca="1"/>
        <v>0.99999990284062357</v>
      </c>
      <c r="X119" s="2">
        <f t="shared" ca="1" si="8"/>
        <v>45984</v>
      </c>
      <c r="Y119">
        <f t="shared" ca="1" si="9"/>
        <v>0</v>
      </c>
      <c r="AA119" s="63">
        <f t="shared" ca="1" si="11"/>
        <v>6304.8243083478119</v>
      </c>
      <c r="AB119" s="63">
        <f t="shared" ca="1" si="12"/>
        <v>6304.8243083478119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45985</v>
      </c>
      <c r="K120">
        <f ca="1"/>
        <v>5698.3102844736795</v>
      </c>
      <c r="L120">
        <f ca="1"/>
        <v>304.47370256618524</v>
      </c>
      <c r="M120">
        <f ca="1"/>
        <v>3.6726794882227409E-2</v>
      </c>
      <c r="N120">
        <f ca="1"/>
        <v>0.19538453335652903</v>
      </c>
      <c r="O120">
        <f ca="1"/>
        <v>0</v>
      </c>
      <c r="P120">
        <f ca="1"/>
        <v>9855.1576687387114</v>
      </c>
      <c r="Q120">
        <f ca="1"/>
        <v>9234.1477334483261</v>
      </c>
      <c r="R120">
        <f ca="1"/>
        <v>0</v>
      </c>
      <c r="S120">
        <f ca="1"/>
        <v>0.65203083917083271</v>
      </c>
      <c r="T120">
        <f ca="1"/>
        <v>0</v>
      </c>
      <c r="U120">
        <f ca="1"/>
        <v>0</v>
      </c>
      <c r="V120">
        <f ca="1"/>
        <v>0.99999992289761552</v>
      </c>
      <c r="X120" s="2">
        <f t="shared" ca="1" si="8"/>
        <v>45985</v>
      </c>
      <c r="Y120">
        <f t="shared" ca="1" si="9"/>
        <v>0</v>
      </c>
      <c r="AA120" s="63">
        <f t="shared" ca="1" si="11"/>
        <v>6002.7839870398648</v>
      </c>
      <c r="AB120" s="63">
        <f t="shared" ca="1" si="12"/>
        <v>6002.7839870398648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45986</v>
      </c>
      <c r="K121">
        <f ca="1"/>
        <v>5376.4341590510721</v>
      </c>
      <c r="L121">
        <f ca="1"/>
        <v>322.11345684416665</v>
      </c>
      <c r="M121">
        <f ca="1"/>
        <v>3.6961391424677359E-2</v>
      </c>
      <c r="N121">
        <f ca="1"/>
        <v>0.20037003013465374</v>
      </c>
      <c r="O121">
        <f ca="1"/>
        <v>0</v>
      </c>
      <c r="P121">
        <f ca="1"/>
        <v>10177.271125582878</v>
      </c>
      <c r="Q121">
        <f ca="1"/>
        <v>9535.963629998203</v>
      </c>
      <c r="R121">
        <f ca="1"/>
        <v>0</v>
      </c>
      <c r="S121">
        <f ca="1"/>
        <v>0.6330453331807494</v>
      </c>
      <c r="T121">
        <f ca="1"/>
        <v>0</v>
      </c>
      <c r="U121">
        <f ca="1"/>
        <v>0</v>
      </c>
      <c r="V121">
        <f ca="1"/>
        <v>0.99999993938813636</v>
      </c>
      <c r="X121" s="2">
        <f t="shared" ca="1" si="8"/>
        <v>45986</v>
      </c>
      <c r="Y121">
        <f t="shared" ca="1" si="9"/>
        <v>0</v>
      </c>
      <c r="AA121" s="63">
        <f t="shared" ca="1" si="11"/>
        <v>5698.5476158952388</v>
      </c>
      <c r="AB121" s="63">
        <f t="shared" ca="1" si="12"/>
        <v>5698.5476158952388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45987</v>
      </c>
      <c r="K122">
        <f ca="1"/>
        <v>5048.4196384613697</v>
      </c>
      <c r="L122">
        <f ca="1"/>
        <v>328.24450745205468</v>
      </c>
      <c r="M122">
        <f ca="1"/>
        <v>3.57274023658114E-2</v>
      </c>
      <c r="N122">
        <f ca="1"/>
        <v>0.19425945998679442</v>
      </c>
      <c r="O122">
        <f ca="1"/>
        <v>0</v>
      </c>
      <c r="P122">
        <f ca="1"/>
        <v>10505.515633034933</v>
      </c>
      <c r="Q122">
        <f ca="1"/>
        <v>9843.5242369806747</v>
      </c>
      <c r="R122">
        <f ca="1"/>
        <v>0</v>
      </c>
      <c r="S122">
        <f ca="1"/>
        <v>0.60681345015587485</v>
      </c>
      <c r="T122">
        <f ca="1"/>
        <v>0</v>
      </c>
      <c r="U122">
        <f ca="1"/>
        <v>0</v>
      </c>
      <c r="V122">
        <f ca="1"/>
        <v>0.99999995238789707</v>
      </c>
      <c r="X122" s="2">
        <f t="shared" ca="1" si="8"/>
        <v>45987</v>
      </c>
      <c r="Y122">
        <f t="shared" ca="1" si="9"/>
        <v>0</v>
      </c>
      <c r="AA122" s="63">
        <f t="shared" ca="1" si="11"/>
        <v>5376.6641459134244</v>
      </c>
      <c r="AB122" s="63">
        <f t="shared" ca="1" si="12"/>
        <v>5376.6641459134244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45988</v>
      </c>
      <c r="K123">
        <f ca="1"/>
        <v>4723.1453017437334</v>
      </c>
      <c r="L123">
        <f ca="1"/>
        <v>325.49479064409024</v>
      </c>
      <c r="M123">
        <f ca="1"/>
        <v>3.3581784802802161E-2</v>
      </c>
      <c r="N123">
        <f ca="1"/>
        <v>0.18687214165140043</v>
      </c>
      <c r="O123">
        <f ca="1"/>
        <v>0</v>
      </c>
      <c r="P123">
        <f ca="1"/>
        <v>10831.010423679023</v>
      </c>
      <c r="Q123">
        <f ca="1"/>
        <v>10148.50839698144</v>
      </c>
      <c r="R123">
        <f ca="1"/>
        <v>0</v>
      </c>
      <c r="S123">
        <f ca="1"/>
        <v>0.59961036458775829</v>
      </c>
      <c r="T123">
        <f ca="1"/>
        <v>0</v>
      </c>
      <c r="U123">
        <f ca="1"/>
        <v>0</v>
      </c>
      <c r="V123">
        <f ca="1"/>
        <v>0.99999996239428779</v>
      </c>
      <c r="X123" s="2">
        <f t="shared" ca="1" si="8"/>
        <v>45988</v>
      </c>
      <c r="Y123">
        <f t="shared" ca="1" si="9"/>
        <v>0</v>
      </c>
      <c r="AA123" s="63">
        <f t="shared" ca="1" si="11"/>
        <v>5048.6400923878236</v>
      </c>
      <c r="AB123" s="63">
        <f t="shared" ca="1" si="12"/>
        <v>5048.6400923878236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45989</v>
      </c>
      <c r="K124">
        <f ca="1"/>
        <v>9564.5624285135455</v>
      </c>
      <c r="L124">
        <f ca="1"/>
        <v>328.15081957114853</v>
      </c>
      <c r="M124">
        <f ca="1"/>
        <v>3.2203430253337828E-2</v>
      </c>
      <c r="N124">
        <f ca="1"/>
        <v>0.18855065154908157</v>
      </c>
      <c r="O124">
        <f ca="1"/>
        <v>5169.3471922591589</v>
      </c>
      <c r="P124">
        <f ca="1"/>
        <v>11159.161243250172</v>
      </c>
      <c r="Q124">
        <f ca="1"/>
        <v>10455.981219702899</v>
      </c>
      <c r="R124">
        <f ca="1"/>
        <v>0</v>
      </c>
      <c r="S124">
        <f ca="1"/>
        <v>0.61120456814032953</v>
      </c>
      <c r="T124">
        <f ca="1"/>
        <v>0</v>
      </c>
      <c r="U124">
        <f ca="1"/>
        <v>0</v>
      </c>
      <c r="V124">
        <f ca="1"/>
        <v>0.99999997026154253</v>
      </c>
      <c r="X124" s="2">
        <f t="shared" ca="1" si="8"/>
        <v>45989</v>
      </c>
      <c r="Y124">
        <f t="shared" ca="1" si="9"/>
        <v>5169.3471922591589</v>
      </c>
      <c r="AA124" s="63">
        <f t="shared" ca="1" si="11"/>
        <v>9892.7132480846958</v>
      </c>
      <c r="AB124" s="63">
        <f t="shared" ca="1" si="12"/>
        <v>9892.713248084694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45990</v>
      </c>
      <c r="K125">
        <f ca="1"/>
        <v>9230.2073125863699</v>
      </c>
      <c r="L125">
        <f ca="1"/>
        <v>334.57200670407838</v>
      </c>
      <c r="M125">
        <f ca="1"/>
        <v>3.1291625284598723E-2</v>
      </c>
      <c r="N125">
        <f ca="1"/>
        <v>0.1855991516188315</v>
      </c>
      <c r="O125">
        <f ca="1"/>
        <v>0</v>
      </c>
      <c r="P125">
        <f ca="1"/>
        <v>11493.73324995425</v>
      </c>
      <c r="Q125">
        <f ca="1"/>
        <v>10769.470606806444</v>
      </c>
      <c r="R125">
        <f ca="1"/>
        <v>0</v>
      </c>
      <c r="S125">
        <f ca="1"/>
        <v>0.59265384401990451</v>
      </c>
      <c r="T125">
        <f ca="1"/>
        <v>0</v>
      </c>
      <c r="U125">
        <f ca="1"/>
        <v>0</v>
      </c>
      <c r="V125">
        <f ca="1"/>
        <v>0.99999997652223083</v>
      </c>
      <c r="X125" s="2">
        <f t="shared" ca="1" si="8"/>
        <v>45990</v>
      </c>
      <c r="Y125">
        <f t="shared" ca="1" si="9"/>
        <v>0</v>
      </c>
      <c r="AA125" s="63">
        <f t="shared" ca="1" si="11"/>
        <v>9564.7793192904483</v>
      </c>
      <c r="AB125" s="63">
        <f t="shared" ca="1" si="12"/>
        <v>9564.7793192904483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45991</v>
      </c>
      <c r="K126">
        <f ca="1"/>
        <v>8885.9319222817849</v>
      </c>
      <c r="L126">
        <f ca="1"/>
        <v>344.49226051621372</v>
      </c>
      <c r="M126">
        <f ca="1"/>
        <v>3.0752697245421956E-2</v>
      </c>
      <c r="N126">
        <f ca="1"/>
        <v>0.1861175143838944</v>
      </c>
      <c r="O126">
        <f ca="1"/>
        <v>0</v>
      </c>
      <c r="P126">
        <f ca="1"/>
        <v>11838.225510470464</v>
      </c>
      <c r="Q126">
        <f ca="1"/>
        <v>11092.255135838077</v>
      </c>
      <c r="R126">
        <f ca="1"/>
        <v>0</v>
      </c>
      <c r="S126">
        <f ca="1"/>
        <v>0.57772630817155435</v>
      </c>
      <c r="T126">
        <f ca="1"/>
        <v>0</v>
      </c>
      <c r="U126">
        <f ca="1"/>
        <v>0</v>
      </c>
      <c r="V126">
        <f ca="1"/>
        <v>0.99999998154361436</v>
      </c>
      <c r="X126" s="2">
        <f t="shared" ca="1" si="8"/>
        <v>45991</v>
      </c>
      <c r="Y126">
        <f t="shared" ca="1" si="9"/>
        <v>0</v>
      </c>
      <c r="AA126" s="63">
        <f t="shared" ca="1" si="11"/>
        <v>9230.4241827979986</v>
      </c>
      <c r="AB126" s="63">
        <f t="shared" ca="1" si="12"/>
        <v>9230.4241827979986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45992</v>
      </c>
      <c r="K127">
        <f ca="1"/>
        <v>8532.5320949820634</v>
      </c>
      <c r="L127">
        <f ca="1"/>
        <v>353.61191976056216</v>
      </c>
      <c r="M127">
        <f ca="1"/>
        <v>3.0141760371304116E-2</v>
      </c>
      <c r="N127">
        <f ca="1"/>
        <v>0.18195070046911596</v>
      </c>
      <c r="O127">
        <f ca="1"/>
        <v>0</v>
      </c>
      <c r="P127">
        <f ca="1"/>
        <v>12191.837430231026</v>
      </c>
      <c r="Q127">
        <f ca="1"/>
        <v>11423.584660654822</v>
      </c>
      <c r="R127">
        <f ca="1"/>
        <v>0</v>
      </c>
      <c r="S127">
        <f ca="1"/>
        <v>0.54560585077730939</v>
      </c>
      <c r="T127">
        <f ca="1"/>
        <v>0</v>
      </c>
      <c r="U127">
        <f ca="1"/>
        <v>0</v>
      </c>
      <c r="V127">
        <f ca="1"/>
        <v>0.99999998554606928</v>
      </c>
      <c r="X127" s="2">
        <f t="shared" ca="1" si="8"/>
        <v>45992</v>
      </c>
      <c r="Y127">
        <f t="shared" ca="1" si="9"/>
        <v>0</v>
      </c>
      <c r="AA127" s="63">
        <f t="shared" ca="1" si="11"/>
        <v>8886.1440147426256</v>
      </c>
      <c r="AB127" s="63">
        <f t="shared" ca="1" si="12"/>
        <v>8886.1440147426256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45993</v>
      </c>
      <c r="K128">
        <f ca="1"/>
        <v>8166.6620120872103</v>
      </c>
      <c r="L128">
        <f ca="1"/>
        <v>366.09383294648069</v>
      </c>
      <c r="M128">
        <f ca="1"/>
        <v>2.9848828278542072E-2</v>
      </c>
      <c r="N128">
        <f ca="1"/>
        <v>0.19390122334924081</v>
      </c>
      <c r="O128">
        <f ca="1"/>
        <v>0</v>
      </c>
      <c r="P128">
        <f ca="1"/>
        <v>12557.931263177506</v>
      </c>
      <c r="Q128">
        <f ca="1"/>
        <v>11766.609567141661</v>
      </c>
      <c r="R128">
        <f ca="1"/>
        <v>0</v>
      </c>
      <c r="S128">
        <f ca="1"/>
        <v>0.56893918436992341</v>
      </c>
      <c r="T128">
        <f ca="1"/>
        <v>0</v>
      </c>
      <c r="U128">
        <f ca="1"/>
        <v>0</v>
      </c>
      <c r="V128">
        <f ca="1"/>
        <v>0.99999998875088247</v>
      </c>
      <c r="X128" s="2">
        <f t="shared" ca="1" si="8"/>
        <v>45993</v>
      </c>
      <c r="Y128">
        <f t="shared" ca="1" si="9"/>
        <v>0</v>
      </c>
      <c r="AA128" s="63">
        <f t="shared" ca="1" si="11"/>
        <v>8532.755845033691</v>
      </c>
      <c r="AB128" s="63">
        <f t="shared" ca="1" si="12"/>
        <v>8532.755845033691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45994</v>
      </c>
      <c r="K129">
        <f ca="1"/>
        <v>7791.1722147219352</v>
      </c>
      <c r="L129">
        <f ca="1"/>
        <v>375.70933890322885</v>
      </c>
      <c r="M129">
        <f ca="1"/>
        <v>2.9288941266333524E-2</v>
      </c>
      <c r="N129">
        <f ca="1"/>
        <v>0.19025259668679578</v>
      </c>
      <c r="O129">
        <f ca="1"/>
        <v>0</v>
      </c>
      <c r="P129">
        <f ca="1"/>
        <v>12933.640602080735</v>
      </c>
      <c r="Q129">
        <f ca="1"/>
        <v>12118.644070990715</v>
      </c>
      <c r="R129">
        <f ca="1"/>
        <v>0</v>
      </c>
      <c r="S129">
        <f ca="1"/>
        <v>0.53748990921888418</v>
      </c>
      <c r="T129">
        <f ca="1"/>
        <v>0</v>
      </c>
      <c r="U129">
        <f ca="1"/>
        <v>0</v>
      </c>
      <c r="V129">
        <f ca="1"/>
        <v>0.99999999128361627</v>
      </c>
      <c r="X129" s="2">
        <f t="shared" ca="1" si="8"/>
        <v>45994</v>
      </c>
      <c r="Y129">
        <f t="shared" ca="1" si="9"/>
        <v>0</v>
      </c>
      <c r="AA129" s="63">
        <f t="shared" ca="1" si="11"/>
        <v>8166.8815536251641</v>
      </c>
      <c r="AB129" s="63">
        <f t="shared" ca="1" si="12"/>
        <v>8166.8815536251641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45995</v>
      </c>
      <c r="K130">
        <f ca="1"/>
        <v>7411.8055144721611</v>
      </c>
      <c r="L130">
        <f ca="1"/>
        <v>379.59502845865791</v>
      </c>
      <c r="M130">
        <f ca="1"/>
        <v>2.8254956743614557E-2</v>
      </c>
      <c r="N130">
        <f ca="1"/>
        <v>0.20007325214007368</v>
      </c>
      <c r="O130">
        <f ca="1"/>
        <v>0</v>
      </c>
      <c r="P130">
        <f ca="1"/>
        <v>13313.235630539393</v>
      </c>
      <c r="Q130">
        <f ca="1"/>
        <v>12474.319412724582</v>
      </c>
      <c r="R130">
        <f ca="1"/>
        <v>0</v>
      </c>
      <c r="S130">
        <f ca="1"/>
        <v>0.57241744561497943</v>
      </c>
      <c r="T130">
        <f ca="1"/>
        <v>0</v>
      </c>
      <c r="U130">
        <f ca="1"/>
        <v>0</v>
      </c>
      <c r="V130">
        <f ca="1"/>
        <v>0.99999999325123778</v>
      </c>
      <c r="X130" s="2">
        <f t="shared" ca="1" si="8"/>
        <v>45995</v>
      </c>
      <c r="Y130">
        <f t="shared" ca="1" si="9"/>
        <v>0</v>
      </c>
      <c r="AA130" s="63">
        <f t="shared" ca="1" si="11"/>
        <v>7791.400542930819</v>
      </c>
      <c r="AB130" s="63">
        <f t="shared" ca="1" si="12"/>
        <v>7791.400542930819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45996</v>
      </c>
      <c r="K131">
        <f ca="1"/>
        <v>7034.2341513239908</v>
      </c>
      <c r="L131">
        <f ca="1"/>
        <v>377.79962649008121</v>
      </c>
      <c r="M131">
        <f ca="1"/>
        <v>2.6833686978203986E-2</v>
      </c>
      <c r="N131">
        <f ca="1"/>
        <v>0.20142965493227966</v>
      </c>
      <c r="O131">
        <f ca="1"/>
        <v>0</v>
      </c>
      <c r="P131">
        <f ca="1"/>
        <v>13691.035257029474</v>
      </c>
      <c r="Q131">
        <f ca="1"/>
        <v>12828.312487408439</v>
      </c>
      <c r="R131">
        <f ca="1"/>
        <v>0</v>
      </c>
      <c r="S131">
        <f ca="1"/>
        <v>0.58806961965205518</v>
      </c>
      <c r="T131">
        <f ca="1"/>
        <v>0</v>
      </c>
      <c r="U131">
        <f ca="1"/>
        <v>0</v>
      </c>
      <c r="V131">
        <f ca="1"/>
        <v>0.99999999476037393</v>
      </c>
      <c r="X131" s="2">
        <f t="shared" ca="1" si="8"/>
        <v>45996</v>
      </c>
      <c r="Y131">
        <f t="shared" ca="1" si="9"/>
        <v>0</v>
      </c>
      <c r="AA131" s="63">
        <f t="shared" ca="1" si="11"/>
        <v>7412.033777814072</v>
      </c>
      <c r="AB131" s="63">
        <f t="shared" ca="1" si="12"/>
        <v>7412.033777814072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45997</v>
      </c>
      <c r="K132">
        <f ca="1"/>
        <v>6654.1930851856214</v>
      </c>
      <c r="L132">
        <f ca="1"/>
        <v>380.26786353801981</v>
      </c>
      <c r="M132">
        <f ca="1"/>
        <v>2.5865542315072432E-2</v>
      </c>
      <c r="N132">
        <f ca="1"/>
        <v>0.20093185733542215</v>
      </c>
      <c r="O132">
        <f ca="1"/>
        <v>0</v>
      </c>
      <c r="P132">
        <f ca="1"/>
        <v>14071.303120567494</v>
      </c>
      <c r="Q132">
        <f ca="1"/>
        <v>13184.618266394749</v>
      </c>
      <c r="R132">
        <f ca="1"/>
        <v>0</v>
      </c>
      <c r="S132">
        <f ca="1"/>
        <v>0.58444643134287111</v>
      </c>
      <c r="T132">
        <f ca="1"/>
        <v>0</v>
      </c>
      <c r="U132">
        <f ca="1"/>
        <v>0</v>
      </c>
      <c r="V132">
        <f ca="1"/>
        <v>0.99999999593389699</v>
      </c>
      <c r="X132" s="2">
        <f t="shared" ca="1" si="8"/>
        <v>45997</v>
      </c>
      <c r="Y132">
        <f t="shared" ca="1" si="9"/>
        <v>0</v>
      </c>
      <c r="AA132" s="63">
        <f t="shared" ca="1" si="11"/>
        <v>7034.4609487236412</v>
      </c>
      <c r="AB132" s="63">
        <f t="shared" ca="1" si="12"/>
        <v>7034.4609487236412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45998</v>
      </c>
      <c r="K133">
        <f ca="1"/>
        <v>6284.7424716437217</v>
      </c>
      <c r="L133">
        <f ca="1"/>
        <v>369.66734980866204</v>
      </c>
      <c r="M133">
        <f ca="1"/>
        <v>2.4017668154730387E-2</v>
      </c>
      <c r="N133">
        <f ca="1"/>
        <v>0.19271859860767915</v>
      </c>
      <c r="O133">
        <f ca="1"/>
        <v>0</v>
      </c>
      <c r="P133">
        <f ca="1"/>
        <v>14440.970470376156</v>
      </c>
      <c r="Q133">
        <f ca="1"/>
        <v>13530.991509229163</v>
      </c>
      <c r="R133">
        <f ca="1"/>
        <v>0</v>
      </c>
      <c r="S133">
        <f ca="1"/>
        <v>0.58401164881079293</v>
      </c>
      <c r="T133">
        <f ca="1"/>
        <v>0</v>
      </c>
      <c r="U133">
        <f ca="1"/>
        <v>0</v>
      </c>
      <c r="V133">
        <f ca="1"/>
        <v>0.99999999681954299</v>
      </c>
      <c r="X133" s="2">
        <f t="shared" ca="1" si="8"/>
        <v>45998</v>
      </c>
      <c r="Y133">
        <f t="shared" ca="1" si="9"/>
        <v>0</v>
      </c>
      <c r="AA133" s="63">
        <f t="shared" ca="1" si="11"/>
        <v>6654.4098214523838</v>
      </c>
      <c r="AB133" s="63">
        <f t="shared" ca="1" si="12"/>
        <v>6654.4098214523838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45999</v>
      </c>
      <c r="K134">
        <f ca="1"/>
        <v>5915.6432640371477</v>
      </c>
      <c r="L134">
        <f ca="1"/>
        <v>369.30838260098972</v>
      </c>
      <c r="M134">
        <f ca="1"/>
        <v>2.3060157620308885E-2</v>
      </c>
      <c r="N134">
        <f ca="1"/>
        <v>0.18611483679535892</v>
      </c>
      <c r="O134">
        <f ca="1"/>
        <v>0</v>
      </c>
      <c r="P134">
        <f ca="1"/>
        <v>14810.278852977146</v>
      </c>
      <c r="Q134">
        <f ca="1"/>
        <v>13877.028404707353</v>
      </c>
      <c r="R134">
        <f ca="1"/>
        <v>0</v>
      </c>
      <c r="S134">
        <f ca="1"/>
        <v>0.5608278751482989</v>
      </c>
      <c r="T134">
        <f ca="1"/>
        <v>0</v>
      </c>
      <c r="U134">
        <f ca="1"/>
        <v>0</v>
      </c>
      <c r="V134">
        <f ca="1"/>
        <v>0.99999999751039303</v>
      </c>
      <c r="X134" s="2">
        <f t="shared" ca="1" si="8"/>
        <v>45999</v>
      </c>
      <c r="Y134">
        <f t="shared" ca="1" si="9"/>
        <v>0</v>
      </c>
      <c r="AA134" s="63">
        <f t="shared" ca="1" si="11"/>
        <v>6284.9516466381374</v>
      </c>
      <c r="AB134" s="63">
        <f t="shared" ca="1" si="12"/>
        <v>6284.9516466381374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46000</v>
      </c>
      <c r="K135">
        <f ca="1"/>
        <v>5535.6453624848591</v>
      </c>
      <c r="L135">
        <f ca="1"/>
        <v>380.20554629615617</v>
      </c>
      <c r="M135">
        <f ca="1"/>
        <v>2.2927843892505351E-2</v>
      </c>
      <c r="N135">
        <f ca="1"/>
        <v>0.18471689997492369</v>
      </c>
      <c r="O135">
        <f ca="1"/>
        <v>0</v>
      </c>
      <c r="P135">
        <f ca="1"/>
        <v>15190.484399273302</v>
      </c>
      <c r="Q135">
        <f ca="1"/>
        <v>14233.275793291694</v>
      </c>
      <c r="R135">
        <f ca="1"/>
        <v>0</v>
      </c>
      <c r="S135">
        <f ca="1"/>
        <v>0.52764363828999783</v>
      </c>
      <c r="T135">
        <f ca="1"/>
        <v>0</v>
      </c>
      <c r="U135">
        <f ca="1"/>
        <v>0</v>
      </c>
      <c r="V135">
        <f ca="1"/>
        <v>0.9999999980647587</v>
      </c>
      <c r="X135" s="2">
        <f t="shared" ca="1" si="8"/>
        <v>46000</v>
      </c>
      <c r="Y135">
        <f t="shared" ca="1" si="9"/>
        <v>0</v>
      </c>
      <c r="AA135" s="63">
        <f t="shared" ca="1" si="11"/>
        <v>5915.8509087810153</v>
      </c>
      <c r="AB135" s="63">
        <f t="shared" ca="1" si="12"/>
        <v>5915.8509087810153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46001</v>
      </c>
      <c r="K136">
        <f ca="1"/>
        <v>10327.19169293845</v>
      </c>
      <c r="L136">
        <f ca="1"/>
        <v>378.02161588737181</v>
      </c>
      <c r="M136">
        <f ca="1"/>
        <v>2.1935529532632003E-2</v>
      </c>
      <c r="N136">
        <f ca="1"/>
        <v>0.18106802077566181</v>
      </c>
      <c r="O136">
        <f ca="1"/>
        <v>5169.3649427906539</v>
      </c>
      <c r="P136">
        <f ca="1"/>
        <v>15568.506015160674</v>
      </c>
      <c r="Q136">
        <f ca="1"/>
        <v>14587.476868999865</v>
      </c>
      <c r="R136">
        <f ca="1"/>
        <v>0</v>
      </c>
      <c r="S136">
        <f ca="1"/>
        <v>0.51792275267521448</v>
      </c>
      <c r="T136">
        <f ca="1"/>
        <v>0</v>
      </c>
      <c r="U136">
        <f ca="1"/>
        <v>0</v>
      </c>
      <c r="V136">
        <f ca="1"/>
        <v>0.9999999984936232</v>
      </c>
      <c r="X136" s="2">
        <f t="shared" ca="1" si="8"/>
        <v>46001</v>
      </c>
      <c r="Y136">
        <f t="shared" ca="1" si="9"/>
        <v>5169.3649427906539</v>
      </c>
      <c r="AA136" s="63">
        <f t="shared" ca="1" si="11"/>
        <v>10705.213308825822</v>
      </c>
      <c r="AB136" s="63">
        <f t="shared" ca="1" si="12"/>
        <v>10705.213308825822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46002</v>
      </c>
      <c r="K137">
        <f ca="1"/>
        <v>9937.6129006639603</v>
      </c>
      <c r="L137">
        <f ca="1"/>
        <v>389.78024737022133</v>
      </c>
      <c r="M137">
        <f ca="1"/>
        <v>2.1160338397121947E-2</v>
      </c>
      <c r="N137">
        <f ca="1"/>
        <v>0.18029475733343703</v>
      </c>
      <c r="O137">
        <f ca="1"/>
        <v>0</v>
      </c>
      <c r="P137">
        <f ca="1"/>
        <v>15958.286262530895</v>
      </c>
      <c r="Q137">
        <f ca="1"/>
        <v>14952.695621330316</v>
      </c>
      <c r="R137">
        <f ca="1"/>
        <v>0</v>
      </c>
      <c r="S137">
        <f ca="1"/>
        <v>0.48250728896566913</v>
      </c>
      <c r="T137">
        <f ca="1"/>
        <v>0</v>
      </c>
      <c r="U137">
        <f ca="1"/>
        <v>0</v>
      </c>
      <c r="V137">
        <f ca="1"/>
        <v>0.99999999883703405</v>
      </c>
      <c r="X137" s="2">
        <f t="shared" ca="1" si="8"/>
        <v>46002</v>
      </c>
      <c r="Y137">
        <f t="shared" ca="1" si="9"/>
        <v>0</v>
      </c>
      <c r="AA137" s="63">
        <f t="shared" ca="1" si="11"/>
        <v>10327.393148034182</v>
      </c>
      <c r="AB137" s="63">
        <f t="shared" ca="1" si="12"/>
        <v>10327.393148034182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46003</v>
      </c>
      <c r="K138">
        <f ca="1"/>
        <v>9538.7030923433904</v>
      </c>
      <c r="L138">
        <f ca="1"/>
        <v>399.11185313850547</v>
      </c>
      <c r="M138">
        <f ca="1"/>
        <v>2.0151310913137266E-2</v>
      </c>
      <c r="N138">
        <f ca="1"/>
        <v>0.18189350702285406</v>
      </c>
      <c r="O138">
        <f ca="1"/>
        <v>0</v>
      </c>
      <c r="P138">
        <f ca="1"/>
        <v>16357.398115669401</v>
      </c>
      <c r="Q138">
        <f ca="1"/>
        <v>15326.657960435439</v>
      </c>
      <c r="R138">
        <f ca="1"/>
        <v>0</v>
      </c>
      <c r="S138">
        <f ca="1"/>
        <v>0.46208264700137081</v>
      </c>
      <c r="T138">
        <f ca="1"/>
        <v>0</v>
      </c>
      <c r="U138">
        <f ca="1"/>
        <v>0</v>
      </c>
      <c r="V138">
        <f ca="1"/>
        <v>0.99999999910841342</v>
      </c>
      <c r="X138" s="2">
        <f t="shared" ca="1" si="8"/>
        <v>46003</v>
      </c>
      <c r="Y138">
        <f t="shared" ca="1" si="9"/>
        <v>0</v>
      </c>
      <c r="AA138" s="63">
        <f t="shared" ca="1" si="11"/>
        <v>9937.8149454818958</v>
      </c>
      <c r="AB138" s="63">
        <f t="shared" ca="1" si="12"/>
        <v>9937.8149454818958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46004</v>
      </c>
      <c r="K139">
        <f ca="1"/>
        <v>9146.7675255339109</v>
      </c>
      <c r="L139">
        <f ca="1"/>
        <v>392.12848076077171</v>
      </c>
      <c r="M139">
        <f ca="1"/>
        <v>1.8373682912445233E-2</v>
      </c>
      <c r="N139">
        <f ca="1"/>
        <v>0.17454026837838332</v>
      </c>
      <c r="O139">
        <f ca="1"/>
        <v>0</v>
      </c>
      <c r="P139">
        <f ca="1"/>
        <v>16749.526596430173</v>
      </c>
      <c r="Q139">
        <f ca="1"/>
        <v>15694.076975285256</v>
      </c>
      <c r="R139">
        <f ca="1"/>
        <v>0</v>
      </c>
      <c r="S139">
        <f ca="1"/>
        <v>0.44384539677386758</v>
      </c>
      <c r="T139">
        <f ca="1"/>
        <v>0</v>
      </c>
      <c r="U139">
        <f ca="1"/>
        <v>0</v>
      </c>
      <c r="V139">
        <f ca="1"/>
        <v>0.99999999931407224</v>
      </c>
      <c r="X139" s="2">
        <f t="shared" ref="X139:X202" ca="1" si="15">IFERROR(J139,$X$9)</f>
        <v>46004</v>
      </c>
      <c r="Y139">
        <f t="shared" ref="Y139:Y202" ca="1" si="16">IFERROR(O139,0)</f>
        <v>0</v>
      </c>
      <c r="AA139" s="63">
        <f t="shared" ca="1" si="11"/>
        <v>9538.8960062946826</v>
      </c>
      <c r="AB139" s="63">
        <f t="shared" ca="1" si="12"/>
        <v>9538.8960062946826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46005</v>
      </c>
      <c r="K140">
        <f ca="1"/>
        <v>8758.8830656206719</v>
      </c>
      <c r="L140">
        <f ca="1"/>
        <v>388.07964231912774</v>
      </c>
      <c r="M140">
        <f ca="1"/>
        <v>1.8243775771827231E-2</v>
      </c>
      <c r="N140">
        <f ca="1"/>
        <v>0.17693863011622932</v>
      </c>
      <c r="O140">
        <f ca="1"/>
        <v>0</v>
      </c>
      <c r="P140">
        <f ca="1"/>
        <v>17137.6062387493</v>
      </c>
      <c r="Q140">
        <f ca="1"/>
        <v>16057.702283978795</v>
      </c>
      <c r="R140">
        <f ca="1"/>
        <v>0</v>
      </c>
      <c r="S140">
        <f ca="1"/>
        <v>0.45917100201032057</v>
      </c>
      <c r="T140">
        <f ca="1"/>
        <v>0</v>
      </c>
      <c r="U140">
        <f ca="1"/>
        <v>0</v>
      </c>
      <c r="V140">
        <f ca="1"/>
        <v>0.99999999947165019</v>
      </c>
      <c r="X140" s="2">
        <f t="shared" ca="1" si="15"/>
        <v>46005</v>
      </c>
      <c r="Y140">
        <f t="shared" ca="1" si="16"/>
        <v>0</v>
      </c>
      <c r="AA140" s="63">
        <f t="shared" ca="1" si="11"/>
        <v>9146.9627079397997</v>
      </c>
      <c r="AB140" s="63">
        <f t="shared" ca="1" si="12"/>
        <v>9146.9627079397997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46006</v>
      </c>
      <c r="K141">
        <f ca="1"/>
        <v>8377.3007316100011</v>
      </c>
      <c r="L141">
        <f ca="1"/>
        <v>381.77226621048976</v>
      </c>
      <c r="M141">
        <f ca="1"/>
        <v>1.7092498524844402E-2</v>
      </c>
      <c r="N141">
        <f ca="1"/>
        <v>0.1728397012937517</v>
      </c>
      <c r="O141">
        <f ca="1"/>
        <v>0</v>
      </c>
      <c r="P141">
        <f ca="1"/>
        <v>17519.37850495979</v>
      </c>
      <c r="Q141">
        <f ca="1"/>
        <v>16415.417667660953</v>
      </c>
      <c r="R141">
        <f ca="1"/>
        <v>0</v>
      </c>
      <c r="S141">
        <f ca="1"/>
        <v>0.45064520614576647</v>
      </c>
      <c r="T141">
        <f ca="1"/>
        <v>0</v>
      </c>
      <c r="U141">
        <f ca="1"/>
        <v>0</v>
      </c>
      <c r="V141">
        <f ca="1"/>
        <v>0.99999999959203678</v>
      </c>
      <c r="X141" s="2">
        <f t="shared" ca="1" si="15"/>
        <v>46006</v>
      </c>
      <c r="Y141">
        <f t="shared" ca="1" si="16"/>
        <v>0</v>
      </c>
      <c r="AA141" s="63">
        <f t="shared" ref="AA141:AA204" ca="1" si="18">K140+M141+N141+O141</f>
        <v>8759.0729978204909</v>
      </c>
      <c r="AB141" s="63">
        <f t="shared" ref="AB141:AB204" ca="1" si="19">K141+L141+R141</f>
        <v>8759.0729978204909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46007</v>
      </c>
      <c r="K142">
        <f ca="1"/>
        <v>7996.6691213062368</v>
      </c>
      <c r="L142">
        <f ca="1"/>
        <v>380.83115017953969</v>
      </c>
      <c r="M142">
        <f ca="1"/>
        <v>1.7803280005757927E-2</v>
      </c>
      <c r="N142">
        <f ca="1"/>
        <v>0.18173659577105342</v>
      </c>
      <c r="O142">
        <f ca="1"/>
        <v>0</v>
      </c>
      <c r="P142">
        <f ca="1"/>
        <v>17900.20965513933</v>
      </c>
      <c r="Q142">
        <f ca="1"/>
        <v>16772.251238514113</v>
      </c>
      <c r="R142">
        <f ca="1"/>
        <v>0</v>
      </c>
      <c r="S142">
        <f ca="1"/>
        <v>0.48326184494326285</v>
      </c>
      <c r="T142">
        <f ca="1"/>
        <v>0</v>
      </c>
      <c r="U142">
        <f ca="1"/>
        <v>0</v>
      </c>
      <c r="V142">
        <f ca="1"/>
        <v>0.99999999968547137</v>
      </c>
      <c r="X142" s="2">
        <f t="shared" ca="1" si="15"/>
        <v>46007</v>
      </c>
      <c r="Y142">
        <f t="shared" ca="1" si="16"/>
        <v>0</v>
      </c>
      <c r="AA142" s="63">
        <f t="shared" ca="1" si="18"/>
        <v>8377.5002714857765</v>
      </c>
      <c r="AB142" s="63">
        <f t="shared" ca="1" si="19"/>
        <v>8377.5002714857765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46008</v>
      </c>
      <c r="K143">
        <f ca="1"/>
        <v>7618.8282414362866</v>
      </c>
      <c r="L143">
        <f ca="1"/>
        <v>378.04568778706744</v>
      </c>
      <c r="M143">
        <f ca="1"/>
        <v>1.7782220446871833E-2</v>
      </c>
      <c r="N143">
        <f ca="1"/>
        <v>0.18702569667029953</v>
      </c>
      <c r="O143">
        <f ca="1"/>
        <v>0</v>
      </c>
      <c r="P143">
        <f ca="1"/>
        <v>18278.255342926397</v>
      </c>
      <c r="Q143">
        <f ca="1"/>
        <v>17126.47486926254</v>
      </c>
      <c r="R143">
        <f ca="1"/>
        <v>0</v>
      </c>
      <c r="S143">
        <f ca="1"/>
        <v>0.50276174739865187</v>
      </c>
      <c r="T143">
        <f ca="1"/>
        <v>0</v>
      </c>
      <c r="U143">
        <f ca="1"/>
        <v>0</v>
      </c>
      <c r="V143">
        <f ca="1"/>
        <v>0.9999999997576543</v>
      </c>
      <c r="X143" s="2">
        <f t="shared" ca="1" si="15"/>
        <v>46008</v>
      </c>
      <c r="Y143">
        <f t="shared" ca="1" si="16"/>
        <v>0</v>
      </c>
      <c r="AA143" s="63">
        <f t="shared" ca="1" si="18"/>
        <v>7996.873929223354</v>
      </c>
      <c r="AB143" s="63">
        <f t="shared" ca="1" si="19"/>
        <v>7996.873929223354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46009</v>
      </c>
      <c r="K144">
        <f ca="1"/>
        <v>7251.6208239804382</v>
      </c>
      <c r="L144">
        <f ca="1"/>
        <v>367.41021305341565</v>
      </c>
      <c r="M144">
        <f ca="1"/>
        <v>1.6764323204061071E-2</v>
      </c>
      <c r="N144">
        <f ca="1"/>
        <v>0.18603127436290404</v>
      </c>
      <c r="O144">
        <f ca="1"/>
        <v>0</v>
      </c>
      <c r="P144">
        <f ca="1"/>
        <v>18645.665555979813</v>
      </c>
      <c r="Q144">
        <f ca="1"/>
        <v>17470.733205876975</v>
      </c>
      <c r="R144">
        <f ca="1"/>
        <v>0</v>
      </c>
      <c r="S144">
        <f ca="1"/>
        <v>0.51639861613177174</v>
      </c>
      <c r="T144">
        <f ca="1"/>
        <v>0</v>
      </c>
      <c r="U144">
        <f ca="1"/>
        <v>0</v>
      </c>
      <c r="V144">
        <f ca="1"/>
        <v>0.99999999981241805</v>
      </c>
      <c r="X144" s="2">
        <f t="shared" ca="1" si="15"/>
        <v>46009</v>
      </c>
      <c r="Y144">
        <f t="shared" ca="1" si="16"/>
        <v>0</v>
      </c>
      <c r="AA144" s="63">
        <f t="shared" ca="1" si="18"/>
        <v>7619.0310370338539</v>
      </c>
      <c r="AB144" s="63">
        <f t="shared" ca="1" si="19"/>
        <v>7619.0310370338539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46010</v>
      </c>
      <c r="K145">
        <f ca="1"/>
        <v>6884.9651636965</v>
      </c>
      <c r="L145">
        <f ca="1"/>
        <v>366.86345339631589</v>
      </c>
      <c r="M145">
        <f ca="1"/>
        <v>1.6344786900784669E-2</v>
      </c>
      <c r="N145">
        <f ca="1"/>
        <v>0.19144832547657939</v>
      </c>
      <c r="O145">
        <f ca="1"/>
        <v>0</v>
      </c>
      <c r="P145">
        <f ca="1"/>
        <v>19012.529009376129</v>
      </c>
      <c r="Q145">
        <f ca="1"/>
        <v>17814.479236182564</v>
      </c>
      <c r="R145">
        <f ca="1"/>
        <v>0</v>
      </c>
      <c r="S145">
        <f ca="1"/>
        <v>0.52751237770248149</v>
      </c>
      <c r="T145">
        <f ca="1"/>
        <v>0</v>
      </c>
      <c r="U145">
        <f ca="1"/>
        <v>0</v>
      </c>
      <c r="V145">
        <f ca="1"/>
        <v>0.99999999985520338</v>
      </c>
      <c r="X145" s="2">
        <f t="shared" ca="1" si="15"/>
        <v>46010</v>
      </c>
      <c r="Y145">
        <f t="shared" ca="1" si="16"/>
        <v>0</v>
      </c>
      <c r="AA145" s="63">
        <f t="shared" ca="1" si="18"/>
        <v>7251.8286170928159</v>
      </c>
      <c r="AB145" s="63">
        <f t="shared" ca="1" si="19"/>
        <v>7251.8286170928159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46011</v>
      </c>
      <c r="K146">
        <f ca="1"/>
        <v>6517.2919271497885</v>
      </c>
      <c r="L146">
        <f ca="1"/>
        <v>367.87651848037422</v>
      </c>
      <c r="M146">
        <f ca="1"/>
        <v>1.5879327705622615E-2</v>
      </c>
      <c r="N146">
        <f ca="1"/>
        <v>0.18740260595660396</v>
      </c>
      <c r="O146">
        <f ca="1"/>
        <v>0</v>
      </c>
      <c r="P146">
        <f ca="1"/>
        <v>19380.405527856503</v>
      </c>
      <c r="Q146">
        <f ca="1"/>
        <v>18159.17449459431</v>
      </c>
      <c r="R146">
        <f ca="1"/>
        <v>0</v>
      </c>
      <c r="S146">
        <f ca="1"/>
        <v>0.49490606746484911</v>
      </c>
      <c r="T146">
        <f ca="1"/>
        <v>0</v>
      </c>
      <c r="U146">
        <f ca="1"/>
        <v>0</v>
      </c>
      <c r="V146">
        <f ca="1"/>
        <v>0.99999999988870458</v>
      </c>
      <c r="X146" s="2">
        <f t="shared" ca="1" si="15"/>
        <v>46011</v>
      </c>
      <c r="Y146">
        <f t="shared" ca="1" si="16"/>
        <v>0</v>
      </c>
      <c r="AA146" s="63">
        <f t="shared" ca="1" si="18"/>
        <v>6885.1684456301628</v>
      </c>
      <c r="AB146" s="63">
        <f t="shared" ca="1" si="19"/>
        <v>6885.1684456301628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46012</v>
      </c>
      <c r="K147">
        <f ca="1"/>
        <v>6155.0729719694045</v>
      </c>
      <c r="L147">
        <f ca="1"/>
        <v>362.42262868253965</v>
      </c>
      <c r="M147">
        <f ca="1"/>
        <v>1.5394049791504827E-2</v>
      </c>
      <c r="N147">
        <f ca="1"/>
        <v>0.18827945236478674</v>
      </c>
      <c r="O147">
        <f ca="1"/>
        <v>0</v>
      </c>
      <c r="P147">
        <f ca="1"/>
        <v>19742.828156539043</v>
      </c>
      <c r="Q147">
        <f ca="1"/>
        <v>18498.759532976306</v>
      </c>
      <c r="R147">
        <f ca="1"/>
        <v>0</v>
      </c>
      <c r="S147">
        <f ca="1"/>
        <v>0.4984589389768348</v>
      </c>
      <c r="T147">
        <f ca="1"/>
        <v>0</v>
      </c>
      <c r="U147">
        <f ca="1"/>
        <v>0</v>
      </c>
      <c r="V147">
        <f ca="1"/>
        <v>0.99999999991445465</v>
      </c>
      <c r="X147" s="2">
        <f t="shared" ca="1" si="15"/>
        <v>46012</v>
      </c>
      <c r="Y147">
        <f t="shared" ca="1" si="16"/>
        <v>0</v>
      </c>
      <c r="AA147" s="63">
        <f t="shared" ca="1" si="18"/>
        <v>6517.4956006519442</v>
      </c>
      <c r="AB147" s="63">
        <f t="shared" ca="1" si="19"/>
        <v>6517.4956006519442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46013</v>
      </c>
      <c r="K148">
        <f ca="1"/>
        <v>5795.4054649296986</v>
      </c>
      <c r="L148">
        <f ca="1"/>
        <v>359.86666858434546</v>
      </c>
      <c r="M148">
        <f ca="1"/>
        <v>1.4291861482156776E-2</v>
      </c>
      <c r="N148">
        <f ca="1"/>
        <v>0.18486968315763067</v>
      </c>
      <c r="O148">
        <f ca="1"/>
        <v>0</v>
      </c>
      <c r="P148">
        <f ca="1"/>
        <v>20102.694825123388</v>
      </c>
      <c r="Q148">
        <f ca="1"/>
        <v>18835.949671759445</v>
      </c>
      <c r="R148">
        <f ca="1"/>
        <v>0</v>
      </c>
      <c r="S148">
        <f ca="1"/>
        <v>0.47513478420752014</v>
      </c>
      <c r="T148">
        <f ca="1"/>
        <v>0</v>
      </c>
      <c r="U148">
        <f ca="1"/>
        <v>0</v>
      </c>
      <c r="V148">
        <f ca="1"/>
        <v>0.99999999993440691</v>
      </c>
      <c r="X148" s="2">
        <f t="shared" ca="1" si="15"/>
        <v>46013</v>
      </c>
      <c r="Y148">
        <f t="shared" ca="1" si="16"/>
        <v>0</v>
      </c>
      <c r="AA148" s="63">
        <f t="shared" ca="1" si="18"/>
        <v>6155.2721335140441</v>
      </c>
      <c r="AB148" s="63">
        <f t="shared" ca="1" si="19"/>
        <v>6155.2721335140441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46014</v>
      </c>
      <c r="K149">
        <f ca="1"/>
        <v>5449.6332800898936</v>
      </c>
      <c r="L149">
        <f ca="1"/>
        <v>345.96117463351038</v>
      </c>
      <c r="M149">
        <f ca="1"/>
        <v>1.3000518154381524E-2</v>
      </c>
      <c r="N149">
        <f ca="1"/>
        <v>0.17598927555101571</v>
      </c>
      <c r="O149">
        <f ca="1"/>
        <v>0</v>
      </c>
      <c r="P149">
        <f ca="1"/>
        <v>20448.655999756898</v>
      </c>
      <c r="Q149">
        <f ca="1"/>
        <v>19160.110553196871</v>
      </c>
      <c r="R149">
        <f ca="1"/>
        <v>0</v>
      </c>
      <c r="S149">
        <f ca="1"/>
        <v>0.45979521882880425</v>
      </c>
      <c r="T149">
        <f ca="1"/>
        <v>0</v>
      </c>
      <c r="U149">
        <f ca="1"/>
        <v>0</v>
      </c>
      <c r="V149">
        <f ca="1"/>
        <v>0.99999999994941402</v>
      </c>
      <c r="X149" s="2">
        <f t="shared" ca="1" si="15"/>
        <v>46014</v>
      </c>
      <c r="Y149">
        <f t="shared" ca="1" si="16"/>
        <v>0</v>
      </c>
      <c r="AA149" s="63">
        <f t="shared" ca="1" si="18"/>
        <v>5795.5944547234039</v>
      </c>
      <c r="AB149" s="63">
        <f t="shared" ca="1" si="19"/>
        <v>5795.5944547234039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46015</v>
      </c>
      <c r="K150">
        <f ca="1"/>
        <v>5107.4221067457675</v>
      </c>
      <c r="L150">
        <f ca="1"/>
        <v>342.40137663579299</v>
      </c>
      <c r="M150">
        <f ca="1"/>
        <v>1.2641947198771319E-2</v>
      </c>
      <c r="N150">
        <f ca="1"/>
        <v>0.17756134446831856</v>
      </c>
      <c r="O150">
        <f ca="1"/>
        <v>0</v>
      </c>
      <c r="P150">
        <f ca="1"/>
        <v>20791.057376392691</v>
      </c>
      <c r="Q150">
        <f ca="1"/>
        <v>19480.935952674794</v>
      </c>
      <c r="R150">
        <f ca="1"/>
        <v>0</v>
      </c>
      <c r="S150">
        <f ca="1"/>
        <v>0.45830845056813158</v>
      </c>
      <c r="T150">
        <f ca="1"/>
        <v>0</v>
      </c>
      <c r="U150">
        <f ca="1"/>
        <v>0</v>
      </c>
      <c r="V150">
        <f ca="1"/>
        <v>0.9999999999610707</v>
      </c>
      <c r="X150" s="2">
        <f t="shared" ca="1" si="15"/>
        <v>46015</v>
      </c>
      <c r="Y150">
        <f t="shared" ca="1" si="16"/>
        <v>0</v>
      </c>
      <c r="AA150" s="63">
        <f t="shared" ca="1" si="18"/>
        <v>5449.8234833815604</v>
      </c>
      <c r="AB150" s="63">
        <f t="shared" ca="1" si="19"/>
        <v>5449.8234833815604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46016</v>
      </c>
      <c r="K151">
        <f ca="1"/>
        <v>4767.0989901098928</v>
      </c>
      <c r="L151">
        <f ca="1"/>
        <v>340.52157097572854</v>
      </c>
      <c r="M151">
        <f ca="1"/>
        <v>1.2928998698274796E-2</v>
      </c>
      <c r="N151">
        <f ca="1"/>
        <v>0.18552534115565533</v>
      </c>
      <c r="O151">
        <f ca="1"/>
        <v>0</v>
      </c>
      <c r="P151">
        <f ca="1"/>
        <v>21131.57894736842</v>
      </c>
      <c r="Q151">
        <f ca="1"/>
        <v>19799.999999999996</v>
      </c>
      <c r="R151">
        <f ca="1"/>
        <v>0</v>
      </c>
      <c r="S151">
        <f ca="1"/>
        <v>0.47726021420621328</v>
      </c>
      <c r="T151">
        <f ca="1"/>
        <v>0</v>
      </c>
      <c r="U151">
        <f ca="1"/>
        <v>0</v>
      </c>
      <c r="V151">
        <f ca="1"/>
        <v>0.99999999997015498</v>
      </c>
      <c r="X151" s="2">
        <f t="shared" ca="1" si="15"/>
        <v>46016</v>
      </c>
      <c r="Y151">
        <f t="shared" ca="1" si="16"/>
        <v>0</v>
      </c>
      <c r="AA151" s="63">
        <f t="shared" ca="1" si="18"/>
        <v>5107.6205610856214</v>
      </c>
      <c r="AB151" s="63">
        <f t="shared" ca="1" si="19"/>
        <v>5107.6205610856214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46017</v>
      </c>
      <c r="K152">
        <f ca="1"/>
        <v>4774.7819301500867</v>
      </c>
      <c r="L152">
        <f ca="1"/>
        <v>0</v>
      </c>
      <c r="M152">
        <f ca="1"/>
        <v>7.5046907897963209</v>
      </c>
      <c r="N152">
        <f ca="1"/>
        <v>0.17824925039708306</v>
      </c>
      <c r="O152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0.46366418870412879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46017</v>
      </c>
      <c r="Y152">
        <f t="shared" ca="1" si="16"/>
        <v>0</v>
      </c>
      <c r="AA152" s="63">
        <f t="shared" ca="1" si="18"/>
        <v>4774.7819301500867</v>
      </c>
      <c r="AB152" s="63">
        <f t="shared" ca="1" si="19"/>
        <v>4774.7819301500867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46018</v>
      </c>
      <c r="K153">
        <f ca="1"/>
        <v>4781.8817798950749</v>
      </c>
      <c r="L153">
        <f ca="1"/>
        <v>0</v>
      </c>
      <c r="M153">
        <f ca="1"/>
        <v>6.9208010818182366</v>
      </c>
      <c r="N153">
        <f ca="1"/>
        <v>0.17904866316965831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0.46295231378324886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46018</v>
      </c>
      <c r="Y153">
        <f t="shared" ca="1" si="16"/>
        <v>0</v>
      </c>
      <c r="AA153" s="63">
        <f t="shared" ca="1" si="18"/>
        <v>4781.8817798950749</v>
      </c>
      <c r="AB153" s="63">
        <f t="shared" ca="1" si="19"/>
        <v>4781.8817798950749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46019</v>
      </c>
      <c r="K154">
        <f ca="1"/>
        <v>4788.5112978347497</v>
      </c>
      <c r="L154">
        <f ca="1"/>
        <v>0</v>
      </c>
      <c r="M154">
        <f ca="1"/>
        <v>6.4433688394886381</v>
      </c>
      <c r="N154">
        <f ca="1"/>
        <v>0.18614910018649955</v>
      </c>
      <c r="O154">
        <f ca="1"/>
        <v>0</v>
      </c>
      <c r="P154">
        <f ca="1"/>
        <v>0</v>
      </c>
      <c r="Q154">
        <f ca="1"/>
        <v>0</v>
      </c>
      <c r="R154">
        <f ca="1"/>
        <v>0</v>
      </c>
      <c r="S154">
        <f ca="1"/>
        <v>0.44597498185582407</v>
      </c>
      <c r="T154">
        <f ca="1"/>
        <v>0</v>
      </c>
      <c r="U154">
        <f ca="1"/>
        <v>0</v>
      </c>
      <c r="V154">
        <f ca="1"/>
        <v>0</v>
      </c>
      <c r="X154" s="2">
        <f t="shared" ca="1" si="15"/>
        <v>46019</v>
      </c>
      <c r="Y154">
        <f t="shared" ca="1" si="16"/>
        <v>0</v>
      </c>
      <c r="AA154" s="63">
        <f t="shared" ca="1" si="18"/>
        <v>4788.5112978347497</v>
      </c>
      <c r="AB154" s="63">
        <f t="shared" ca="1" si="19"/>
        <v>4788.5112978347497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46020</v>
      </c>
      <c r="K155">
        <f ca="1"/>
        <v>4794.9009530994626</v>
      </c>
      <c r="L155">
        <f ca="1"/>
        <v>0</v>
      </c>
      <c r="M155">
        <f ca="1"/>
        <v>6.1948404622865922</v>
      </c>
      <c r="N155">
        <f ca="1"/>
        <v>0.19481480242641522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0.46206406268617467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46020</v>
      </c>
      <c r="Y155">
        <f t="shared" ca="1" si="16"/>
        <v>0</v>
      </c>
      <c r="AA155" s="63">
        <f t="shared" ca="1" si="18"/>
        <v>4794.9009530994626</v>
      </c>
      <c r="AB155" s="63">
        <f t="shared" ca="1" si="19"/>
        <v>4794.9009530994626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46021</v>
      </c>
      <c r="K156">
        <f ca="1"/>
        <v>4801.0194047833374</v>
      </c>
      <c r="L156">
        <f ca="1"/>
        <v>0</v>
      </c>
      <c r="M156">
        <f ca="1"/>
        <v>5.9170362832443715</v>
      </c>
      <c r="N156">
        <f ca="1"/>
        <v>0.20141540062982932</v>
      </c>
      <c r="O156">
        <f ca="1"/>
        <v>0</v>
      </c>
      <c r="P156">
        <f ca="1"/>
        <v>0</v>
      </c>
      <c r="Q156">
        <f ca="1"/>
        <v>0</v>
      </c>
      <c r="R156">
        <f ca="1"/>
        <v>0</v>
      </c>
      <c r="S156">
        <f ca="1"/>
        <v>0.50067502734983471</v>
      </c>
      <c r="T156">
        <f ca="1"/>
        <v>0</v>
      </c>
      <c r="U156">
        <f ca="1"/>
        <v>0</v>
      </c>
      <c r="V156">
        <f ca="1"/>
        <v>0</v>
      </c>
      <c r="X156" s="2">
        <f t="shared" ca="1" si="15"/>
        <v>46021</v>
      </c>
      <c r="Y156">
        <f t="shared" ca="1" si="16"/>
        <v>0</v>
      </c>
      <c r="AA156" s="63">
        <f t="shared" ca="1" si="18"/>
        <v>4801.0194047833374</v>
      </c>
      <c r="AB156" s="63">
        <f t="shared" ca="1" si="19"/>
        <v>4801.0194047833374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46022</v>
      </c>
      <c r="K157">
        <f ca="1"/>
        <v>4806.3838171931529</v>
      </c>
      <c r="L157">
        <f ca="1"/>
        <v>0</v>
      </c>
      <c r="M157">
        <f ca="1"/>
        <v>5.1405132726776515</v>
      </c>
      <c r="N157">
        <f ca="1"/>
        <v>0.22389913713805443</v>
      </c>
      <c r="O157">
        <f ca="1"/>
        <v>0</v>
      </c>
      <c r="P157">
        <f ca="1"/>
        <v>0</v>
      </c>
      <c r="Q157">
        <f ca="1"/>
        <v>0</v>
      </c>
      <c r="R157">
        <f ca="1"/>
        <v>0</v>
      </c>
      <c r="S157">
        <f ca="1"/>
        <v>0.60027523959983653</v>
      </c>
      <c r="T157">
        <f ca="1"/>
        <v>0</v>
      </c>
      <c r="U157">
        <f ca="1"/>
        <v>0</v>
      </c>
      <c r="V157">
        <f ca="1"/>
        <v>0</v>
      </c>
      <c r="X157" s="2">
        <f t="shared" ca="1" si="15"/>
        <v>46022</v>
      </c>
      <c r="Y157">
        <f t="shared" ca="1" si="16"/>
        <v>0</v>
      </c>
      <c r="AA157" s="63">
        <f t="shared" ca="1" si="18"/>
        <v>4806.3838171931529</v>
      </c>
      <c r="AB157" s="63">
        <f t="shared" ca="1" si="19"/>
        <v>4806.3838171931529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46023</v>
      </c>
      <c r="K158">
        <f ca="1"/>
        <v>4811.1122247066869</v>
      </c>
      <c r="L158">
        <f ca="1"/>
        <v>0</v>
      </c>
      <c r="M158">
        <f ca="1"/>
        <v>4.5067352279552466</v>
      </c>
      <c r="N158">
        <f ca="1"/>
        <v>0.22167228557844765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0.60245927027654345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46023</v>
      </c>
      <c r="Y158">
        <f t="shared" ca="1" si="16"/>
        <v>0</v>
      </c>
      <c r="AA158" s="63">
        <f t="shared" ca="1" si="18"/>
        <v>4811.1122247066869</v>
      </c>
      <c r="AB158" s="63">
        <f t="shared" ca="1" si="19"/>
        <v>4811.1122247066869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46024</v>
      </c>
      <c r="K159">
        <f ca="1"/>
        <v>4815.4095100411623</v>
      </c>
      <c r="L159">
        <f ca="1"/>
        <v>0</v>
      </c>
      <c r="M159">
        <f ca="1"/>
        <v>4.0753745686662199</v>
      </c>
      <c r="N159">
        <f ca="1"/>
        <v>0.22191076580913363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0.58226205642574225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46024</v>
      </c>
      <c r="Y159">
        <f t="shared" ca="1" si="16"/>
        <v>0</v>
      </c>
      <c r="AA159" s="63">
        <f t="shared" ca="1" si="18"/>
        <v>4815.4095100411623</v>
      </c>
      <c r="AB159" s="63">
        <f t="shared" ca="1" si="19"/>
        <v>4815.4095100411623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46025</v>
      </c>
      <c r="K160">
        <f ca="1"/>
        <v>4819.1460284831928</v>
      </c>
      <c r="L160">
        <f ca="1"/>
        <v>0</v>
      </c>
      <c r="M160">
        <f ca="1"/>
        <v>3.5232809060987336</v>
      </c>
      <c r="N160">
        <f ca="1"/>
        <v>0.21323753593184835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0.56252546954104143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46025</v>
      </c>
      <c r="Y160">
        <f t="shared" ca="1" si="16"/>
        <v>0</v>
      </c>
      <c r="AA160" s="63">
        <f t="shared" ca="1" si="18"/>
        <v>4819.1460284831928</v>
      </c>
      <c r="AB160" s="63">
        <f t="shared" ca="1" si="19"/>
        <v>4819.1460284831928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46026</v>
      </c>
      <c r="K161">
        <f ca="1"/>
        <v>4822.4731909003985</v>
      </c>
      <c r="L161">
        <f ca="1"/>
        <v>0</v>
      </c>
      <c r="M161">
        <f ca="1"/>
        <v>3.1153365206210708</v>
      </c>
      <c r="N161">
        <f ca="1"/>
        <v>0.21182589658458029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0.54390963006314264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46026</v>
      </c>
      <c r="Y161">
        <f t="shared" ca="1" si="16"/>
        <v>0</v>
      </c>
      <c r="AA161" s="63">
        <f t="shared" ca="1" si="18"/>
        <v>4822.4731909003985</v>
      </c>
      <c r="AB161" s="63">
        <f t="shared" ca="1" si="19"/>
        <v>4822.4731909003985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46027</v>
      </c>
      <c r="K162">
        <f ca="1"/>
        <v>4825.2924834004943</v>
      </c>
      <c r="L162">
        <f ca="1"/>
        <v>0</v>
      </c>
      <c r="M162">
        <f ca="1"/>
        <v>2.6176214291717201</v>
      </c>
      <c r="N162">
        <f ca="1"/>
        <v>0.20167107092383069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0.53023469176169435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46027</v>
      </c>
      <c r="Y162">
        <f t="shared" ca="1" si="16"/>
        <v>0</v>
      </c>
      <c r="AA162" s="63">
        <f t="shared" ca="1" si="18"/>
        <v>4825.2924834004943</v>
      </c>
      <c r="AB162" s="63">
        <f t="shared" ca="1" si="19"/>
        <v>4825.2924834004943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46028</v>
      </c>
      <c r="K163">
        <f ca="1"/>
        <v>4827.7562368865774</v>
      </c>
      <c r="L163">
        <f ca="1"/>
        <v>0</v>
      </c>
      <c r="M163">
        <f ca="1"/>
        <v>2.2631856439264197</v>
      </c>
      <c r="N163">
        <f ca="1"/>
        <v>0.20056784215646106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0.52149306072762269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46028</v>
      </c>
      <c r="Y163">
        <f t="shared" ca="1" si="16"/>
        <v>0</v>
      </c>
      <c r="AA163" s="63">
        <f t="shared" ca="1" si="18"/>
        <v>4827.7562368865774</v>
      </c>
      <c r="AB163" s="63">
        <f t="shared" ca="1" si="19"/>
        <v>4827.7562368865774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46029</v>
      </c>
      <c r="K164">
        <f ca="1"/>
        <v>4829.9460361055471</v>
      </c>
      <c r="L164">
        <f ca="1"/>
        <v>0</v>
      </c>
      <c r="M164">
        <f ca="1"/>
        <v>1.9850028500167696</v>
      </c>
      <c r="N164">
        <f ca="1"/>
        <v>0.2047963689532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0.51217557350478249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46029</v>
      </c>
      <c r="Y164">
        <f t="shared" ca="1" si="16"/>
        <v>0</v>
      </c>
      <c r="AA164" s="63">
        <f t="shared" ca="1" si="18"/>
        <v>4829.9460361055471</v>
      </c>
      <c r="AB164" s="63">
        <f t="shared" ca="1" si="19"/>
        <v>4829.9460361055471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46030</v>
      </c>
      <c r="K165">
        <f ca="1"/>
        <v>4831.8483610142266</v>
      </c>
      <c r="L165">
        <f ca="1"/>
        <v>0</v>
      </c>
      <c r="M165">
        <f ca="1"/>
        <v>1.6917675491381203</v>
      </c>
      <c r="N165">
        <f ca="1"/>
        <v>0.21055735954170071</v>
      </c>
      <c r="O165">
        <f ca="1"/>
        <v>0</v>
      </c>
      <c r="P165">
        <f ca="1"/>
        <v>0</v>
      </c>
      <c r="Q165">
        <f ca="1"/>
        <v>0</v>
      </c>
      <c r="R165">
        <f ca="1"/>
        <v>0</v>
      </c>
      <c r="S165">
        <f ca="1"/>
        <v>0.52131775731696628</v>
      </c>
      <c r="T165">
        <f ca="1"/>
        <v>0</v>
      </c>
      <c r="U165">
        <f ca="1"/>
        <v>0</v>
      </c>
      <c r="V165">
        <f ca="1"/>
        <v>0</v>
      </c>
      <c r="X165" s="2">
        <f t="shared" ca="1" si="15"/>
        <v>46030</v>
      </c>
      <c r="Y165">
        <f t="shared" ca="1" si="16"/>
        <v>0</v>
      </c>
      <c r="AA165" s="63">
        <f t="shared" ca="1" si="18"/>
        <v>4831.8483610142266</v>
      </c>
      <c r="AB165" s="63">
        <f t="shared" ca="1" si="19"/>
        <v>4831.8483610142266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46031</v>
      </c>
      <c r="K166">
        <f ca="1"/>
        <v>4833.4899169497885</v>
      </c>
      <c r="L166">
        <f ca="1"/>
        <v>0</v>
      </c>
      <c r="M166">
        <f ca="1"/>
        <v>1.4241222868442094</v>
      </c>
      <c r="N166">
        <f ca="1"/>
        <v>0.21743364871742774</v>
      </c>
      <c r="O166">
        <f ca="1"/>
        <v>0</v>
      </c>
      <c r="P166">
        <f ca="1"/>
        <v>2.9312127528323582</v>
      </c>
      <c r="Q166">
        <f ca="1"/>
        <v>2.5019556551372428</v>
      </c>
      <c r="R166">
        <f ca="1"/>
        <v>0</v>
      </c>
      <c r="S166">
        <f ca="1"/>
        <v>0.53327873013301863</v>
      </c>
      <c r="T166">
        <f ca="1"/>
        <v>0</v>
      </c>
      <c r="U166">
        <f ca="1"/>
        <v>0</v>
      </c>
      <c r="V166">
        <f ca="1"/>
        <v>8.040405506341726E-3</v>
      </c>
      <c r="X166" s="2">
        <f t="shared" ca="1" si="15"/>
        <v>46031</v>
      </c>
      <c r="Y166">
        <f t="shared" ca="1" si="16"/>
        <v>0</v>
      </c>
      <c r="AA166" s="63">
        <f t="shared" ca="1" si="18"/>
        <v>4833.4899169497885</v>
      </c>
      <c r="AB166" s="63">
        <f t="shared" ca="1" si="19"/>
        <v>4833.4899169497885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46032</v>
      </c>
      <c r="K167">
        <f ca="1"/>
        <v>4834.6707611227166</v>
      </c>
      <c r="L167">
        <f ca="1"/>
        <v>0.18258974621079327</v>
      </c>
      <c r="M167">
        <f ca="1"/>
        <v>1.1532896886610047</v>
      </c>
      <c r="N167">
        <f ca="1"/>
        <v>0.21014423047775155</v>
      </c>
      <c r="O167">
        <f ca="1"/>
        <v>0</v>
      </c>
      <c r="P167">
        <f ca="1"/>
        <v>3.1138024990431514</v>
      </c>
      <c r="Q167">
        <f ca="1"/>
        <v>2.6578063171749076</v>
      </c>
      <c r="R167">
        <f ca="1"/>
        <v>0</v>
      </c>
      <c r="S167">
        <f ca="1"/>
        <v>0.5164563020429197</v>
      </c>
      <c r="T167">
        <f ca="1"/>
        <v>0</v>
      </c>
      <c r="U167">
        <f ca="1"/>
        <v>0</v>
      </c>
      <c r="V167">
        <f ca="1"/>
        <v>9.6358880291325024E-3</v>
      </c>
      <c r="X167" s="2">
        <f t="shared" ca="1" si="15"/>
        <v>46032</v>
      </c>
      <c r="Y167">
        <f t="shared" ca="1" si="16"/>
        <v>0</v>
      </c>
      <c r="AA167" s="63">
        <f t="shared" ca="1" si="18"/>
        <v>4834.853350868927</v>
      </c>
      <c r="AB167" s="63">
        <f t="shared" ca="1" si="19"/>
        <v>4834.853350868927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46033</v>
      </c>
      <c r="K168">
        <f ca="1"/>
        <v>4835.6006711912123</v>
      </c>
      <c r="L168">
        <f ca="1"/>
        <v>0.19001270424343186</v>
      </c>
      <c r="M168">
        <f ca="1"/>
        <v>0.91780735157320237</v>
      </c>
      <c r="N168">
        <f ca="1"/>
        <v>0.2021154211661311</v>
      </c>
      <c r="O168">
        <f ca="1"/>
        <v>0</v>
      </c>
      <c r="P168">
        <f ca="1"/>
        <v>3.3038152032865833</v>
      </c>
      <c r="Q168">
        <f ca="1"/>
        <v>2.8199928931818534</v>
      </c>
      <c r="R168">
        <f ca="1"/>
        <v>0</v>
      </c>
      <c r="S168">
        <f ca="1"/>
        <v>0.50160490831150928</v>
      </c>
      <c r="T168">
        <f ca="1"/>
        <v>0</v>
      </c>
      <c r="U168">
        <f ca="1"/>
        <v>0</v>
      </c>
      <c r="V168">
        <f ca="1"/>
        <v>1.1504067774118634E-2</v>
      </c>
      <c r="X168" s="2">
        <f t="shared" ca="1" si="15"/>
        <v>46033</v>
      </c>
      <c r="Y168">
        <f t="shared" ca="1" si="16"/>
        <v>0</v>
      </c>
      <c r="AA168" s="63">
        <f t="shared" ca="1" si="18"/>
        <v>4835.7906838954559</v>
      </c>
      <c r="AB168" s="63">
        <f t="shared" ca="1" si="19"/>
        <v>4835.7906838954559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46034</v>
      </c>
      <c r="K169">
        <f ca="1"/>
        <v>4836.3166869259403</v>
      </c>
      <c r="L169">
        <f ca="1"/>
        <v>0.20339650925325303</v>
      </c>
      <c r="M169">
        <f ca="1"/>
        <v>0.71983176275844585</v>
      </c>
      <c r="N169">
        <f ca="1"/>
        <v>0.19958048122271249</v>
      </c>
      <c r="O169">
        <f ca="1"/>
        <v>0</v>
      </c>
      <c r="P169">
        <f ca="1"/>
        <v>3.5072117125398363</v>
      </c>
      <c r="Q169">
        <f ca="1"/>
        <v>2.9936033027536681</v>
      </c>
      <c r="R169">
        <f ca="1"/>
        <v>0</v>
      </c>
      <c r="S169">
        <f ca="1"/>
        <v>0.48516026741506668</v>
      </c>
      <c r="T169">
        <f ca="1"/>
        <v>0</v>
      </c>
      <c r="U169">
        <f ca="1"/>
        <v>0</v>
      </c>
      <c r="V169">
        <f ca="1"/>
        <v>1.3751504577425364E-2</v>
      </c>
      <c r="X169" s="2">
        <f t="shared" ca="1" si="15"/>
        <v>46034</v>
      </c>
      <c r="Y169">
        <f t="shared" ca="1" si="16"/>
        <v>0</v>
      </c>
      <c r="AA169" s="63">
        <f t="shared" ca="1" si="18"/>
        <v>4836.5200834351936</v>
      </c>
      <c r="AB169" s="63">
        <f t="shared" ca="1" si="19"/>
        <v>4836.5200834351936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46035</v>
      </c>
      <c r="K170">
        <f ca="1"/>
        <v>4836.8959459619346</v>
      </c>
      <c r="L170">
        <f ca="1"/>
        <v>0.21847701559115196</v>
      </c>
      <c r="M170">
        <f ca="1"/>
        <v>0.58964680619271803</v>
      </c>
      <c r="N170">
        <f ca="1"/>
        <v>0.20808924539203402</v>
      </c>
      <c r="O170">
        <f ca="1"/>
        <v>0</v>
      </c>
      <c r="P170">
        <f ca="1"/>
        <v>3.7256887281309883</v>
      </c>
      <c r="Q170">
        <f ca="1"/>
        <v>3.1800857763126431</v>
      </c>
      <c r="R170">
        <f ca="1"/>
        <v>0</v>
      </c>
      <c r="S170">
        <f ca="1"/>
        <v>0.50788114165671261</v>
      </c>
      <c r="T170">
        <f ca="1"/>
        <v>0</v>
      </c>
      <c r="U170">
        <f ca="1"/>
        <v>0</v>
      </c>
      <c r="V170">
        <f ca="1"/>
        <v>1.6465848922673002E-2</v>
      </c>
      <c r="X170" s="2">
        <f t="shared" ca="1" si="15"/>
        <v>46035</v>
      </c>
      <c r="Y170">
        <f t="shared" ca="1" si="16"/>
        <v>0</v>
      </c>
      <c r="AA170" s="63">
        <f t="shared" ca="1" si="18"/>
        <v>4837.1144229775255</v>
      </c>
      <c r="AB170" s="63">
        <f t="shared" ca="1" si="19"/>
        <v>4837.1144229775255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46036</v>
      </c>
      <c r="K171">
        <f ca="1"/>
        <v>4837.3285239311153</v>
      </c>
      <c r="L171">
        <f ca="1"/>
        <v>0.23585964733057851</v>
      </c>
      <c r="M171">
        <f ca="1"/>
        <v>0.45725551397063668</v>
      </c>
      <c r="N171">
        <f ca="1"/>
        <v>0.21118210254075565</v>
      </c>
      <c r="O171">
        <f ca="1"/>
        <v>0</v>
      </c>
      <c r="P171">
        <f ca="1"/>
        <v>3.9615483754615668</v>
      </c>
      <c r="Q171">
        <f ca="1"/>
        <v>3.3814053079253541</v>
      </c>
      <c r="R171">
        <f ca="1"/>
        <v>0</v>
      </c>
      <c r="S171">
        <f ca="1"/>
        <v>0.50673286496333636</v>
      </c>
      <c r="T171">
        <f ca="1"/>
        <v>0</v>
      </c>
      <c r="U171">
        <f ca="1"/>
        <v>0</v>
      </c>
      <c r="V171">
        <f ca="1"/>
        <v>1.9763046013849355E-2</v>
      </c>
      <c r="X171" s="2">
        <f t="shared" ca="1" si="15"/>
        <v>46036</v>
      </c>
      <c r="Y171">
        <f t="shared" ca="1" si="16"/>
        <v>0</v>
      </c>
      <c r="AA171" s="63">
        <f t="shared" ca="1" si="18"/>
        <v>4837.5643835784458</v>
      </c>
      <c r="AB171" s="63">
        <f t="shared" ca="1" si="19"/>
        <v>4837.5643835784458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46037</v>
      </c>
      <c r="K172">
        <f ca="1"/>
        <v>4837.618316474227</v>
      </c>
      <c r="L172">
        <f ca="1"/>
        <v>0.25007094873813118</v>
      </c>
      <c r="M172">
        <f ca="1"/>
        <v>0.33342176385272637</v>
      </c>
      <c r="N172">
        <f ca="1"/>
        <v>0.20644172799750171</v>
      </c>
      <c r="O172">
        <f ca="1"/>
        <v>0</v>
      </c>
      <c r="P172">
        <f ca="1"/>
        <v>4.211619324199698</v>
      </c>
      <c r="Q172">
        <f ca="1"/>
        <v>3.5948549880198257</v>
      </c>
      <c r="R172">
        <f ca="1"/>
        <v>0</v>
      </c>
      <c r="S172">
        <f ca="1"/>
        <v>0.49114629981164781</v>
      </c>
      <c r="T172">
        <f ca="1"/>
        <v>0</v>
      </c>
      <c r="U172">
        <f ca="1"/>
        <v>0</v>
      </c>
      <c r="V172">
        <f ca="1"/>
        <v>2.3695150967566688E-2</v>
      </c>
      <c r="X172" s="2">
        <f t="shared" ca="1" si="15"/>
        <v>46037</v>
      </c>
      <c r="Y172">
        <f t="shared" ca="1" si="16"/>
        <v>0</v>
      </c>
      <c r="AA172" s="63">
        <f t="shared" ca="1" si="18"/>
        <v>4837.8683874229655</v>
      </c>
      <c r="AB172" s="63">
        <f t="shared" ca="1" si="19"/>
        <v>4837.8683874229655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46038</v>
      </c>
      <c r="K173">
        <f ca="1"/>
        <v>4837.8063421092083</v>
      </c>
      <c r="L173">
        <f ca="1"/>
        <v>0.26528247689539342</v>
      </c>
      <c r="M173">
        <f ca="1"/>
        <v>0.24414529110026706</v>
      </c>
      <c r="N173">
        <f ca="1"/>
        <v>0.20916282077627382</v>
      </c>
      <c r="O173">
        <f ca="1"/>
        <v>0</v>
      </c>
      <c r="P173">
        <f ca="1"/>
        <v>4.4769018010950914</v>
      </c>
      <c r="Q173">
        <f ca="1"/>
        <v>3.8212885666250989</v>
      </c>
      <c r="R173">
        <f ca="1"/>
        <v>0</v>
      </c>
      <c r="S173">
        <f ca="1"/>
        <v>0.50223604526479892</v>
      </c>
      <c r="T173">
        <f ca="1"/>
        <v>0</v>
      </c>
      <c r="U173">
        <f ca="1"/>
        <v>0</v>
      </c>
      <c r="V173">
        <f ca="1"/>
        <v>2.8379452310092628E-2</v>
      </c>
      <c r="X173" s="2">
        <f t="shared" ca="1" si="15"/>
        <v>46038</v>
      </c>
      <c r="Y173">
        <f t="shared" ca="1" si="16"/>
        <v>0</v>
      </c>
      <c r="AA173" s="63">
        <f t="shared" ca="1" si="18"/>
        <v>4838.071624586104</v>
      </c>
      <c r="AB173" s="63">
        <f t="shared" ca="1" si="19"/>
        <v>4838.071624586104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46039</v>
      </c>
      <c r="K174">
        <f ca="1"/>
        <v>4837.9037258477438</v>
      </c>
      <c r="L174">
        <f ca="1"/>
        <v>0.27711580914653311</v>
      </c>
      <c r="M174">
        <f ca="1"/>
        <v>0.16614011034633336</v>
      </c>
      <c r="N174">
        <f ca="1"/>
        <v>0.20835943733557019</v>
      </c>
      <c r="O174">
        <f ca="1"/>
        <v>0</v>
      </c>
      <c r="P174">
        <f ca="1"/>
        <v>4.7540176102416245</v>
      </c>
      <c r="Q174">
        <f ca="1"/>
        <v>4.0578225627167006</v>
      </c>
      <c r="R174">
        <f ca="1"/>
        <v>0</v>
      </c>
      <c r="S174">
        <f ca="1"/>
        <v>0.5116814103168863</v>
      </c>
      <c r="T174">
        <f ca="1"/>
        <v>0</v>
      </c>
      <c r="U174">
        <f ca="1"/>
        <v>0</v>
      </c>
      <c r="V174">
        <f ca="1"/>
        <v>3.3859729051817812E-2</v>
      </c>
      <c r="X174" s="2">
        <f t="shared" ca="1" si="15"/>
        <v>46039</v>
      </c>
      <c r="Y174">
        <f t="shared" ca="1" si="16"/>
        <v>0</v>
      </c>
      <c r="AA174" s="63">
        <f t="shared" ca="1" si="18"/>
        <v>4838.1808416568902</v>
      </c>
      <c r="AB174" s="63">
        <f t="shared" ca="1" si="19"/>
        <v>4838.1808416568902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46040</v>
      </c>
      <c r="K175">
        <f ca="1"/>
        <v>4837.9266858804149</v>
      </c>
      <c r="L175">
        <f ca="1"/>
        <v>0.29518501940309516</v>
      </c>
      <c r="M175">
        <f ca="1"/>
        <v>0.10972143943169499</v>
      </c>
      <c r="N175">
        <f ca="1"/>
        <v>0.20842361264318859</v>
      </c>
      <c r="O175">
        <f ca="1"/>
        <v>0</v>
      </c>
      <c r="P175">
        <f ca="1"/>
        <v>5.0492026296447197</v>
      </c>
      <c r="Q175">
        <f ca="1"/>
        <v>4.3097796504080446</v>
      </c>
      <c r="R175">
        <f ca="1"/>
        <v>0</v>
      </c>
      <c r="S175">
        <f ca="1"/>
        <v>0.50909937981505127</v>
      </c>
      <c r="T175">
        <f ca="1"/>
        <v>0</v>
      </c>
      <c r="U175">
        <f ca="1"/>
        <v>0</v>
      </c>
      <c r="V175">
        <f ca="1"/>
        <v>4.0380632395515703E-2</v>
      </c>
      <c r="X175" s="2">
        <f t="shared" ca="1" si="15"/>
        <v>46040</v>
      </c>
      <c r="Y175">
        <f t="shared" ca="1" si="16"/>
        <v>0</v>
      </c>
      <c r="AA175" s="63">
        <f t="shared" ca="1" si="18"/>
        <v>4838.221870899818</v>
      </c>
      <c r="AB175" s="63">
        <f t="shared" ca="1" si="19"/>
        <v>4838.221870899818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46041</v>
      </c>
      <c r="K176">
        <f ca="1"/>
        <v>4837.8874603565791</v>
      </c>
      <c r="L176">
        <f ca="1"/>
        <v>0.32022350759065965</v>
      </c>
      <c r="M176">
        <f ca="1"/>
        <v>6.8915011318438246E-2</v>
      </c>
      <c r="N176">
        <f ca="1"/>
        <v>0.21208297243606863</v>
      </c>
      <c r="O176">
        <f ca="1"/>
        <v>0</v>
      </c>
      <c r="P176">
        <f ca="1"/>
        <v>5.3694261372353793</v>
      </c>
      <c r="Q176">
        <f ca="1"/>
        <v>4.5831085020753868</v>
      </c>
      <c r="R176">
        <f ca="1"/>
        <v>0</v>
      </c>
      <c r="S176">
        <f ca="1"/>
        <v>0.50605279946584414</v>
      </c>
      <c r="T176">
        <f ca="1"/>
        <v>0</v>
      </c>
      <c r="U176">
        <f ca="1"/>
        <v>0</v>
      </c>
      <c r="V176">
        <f ca="1"/>
        <v>4.8275446051989274E-2</v>
      </c>
      <c r="X176" s="2">
        <f t="shared" ca="1" si="15"/>
        <v>46041</v>
      </c>
      <c r="Y176">
        <f t="shared" ca="1" si="16"/>
        <v>0</v>
      </c>
      <c r="AA176" s="63">
        <f t="shared" ca="1" si="18"/>
        <v>4838.2076838641697</v>
      </c>
      <c r="AB176" s="63">
        <f t="shared" ca="1" si="19"/>
        <v>4838.2076838641697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46042</v>
      </c>
      <c r="K177">
        <f ca="1"/>
        <v>4837.7939745947087</v>
      </c>
      <c r="L177">
        <f ca="1"/>
        <v>0.33846372016189541</v>
      </c>
      <c r="M177">
        <f ca="1"/>
        <v>3.8873172045384763E-2</v>
      </c>
      <c r="N177">
        <f ca="1"/>
        <v>0.20610478624645878</v>
      </c>
      <c r="O177">
        <f ca="1"/>
        <v>0</v>
      </c>
      <c r="P177">
        <f ca="1"/>
        <v>5.7078898573972747</v>
      </c>
      <c r="Q177">
        <f ca="1"/>
        <v>4.8720064054771717</v>
      </c>
      <c r="R177">
        <f ca="1"/>
        <v>0</v>
      </c>
      <c r="S177">
        <f ca="1"/>
        <v>0.48821383034575405</v>
      </c>
      <c r="T177">
        <f ca="1"/>
        <v>0</v>
      </c>
      <c r="U177">
        <f ca="1"/>
        <v>0</v>
      </c>
      <c r="V177">
        <f ca="1"/>
        <v>5.7569503172221967E-2</v>
      </c>
      <c r="X177" s="2">
        <f t="shared" ca="1" si="15"/>
        <v>46042</v>
      </c>
      <c r="Y177">
        <f t="shared" ca="1" si="16"/>
        <v>0</v>
      </c>
      <c r="AA177" s="63">
        <f t="shared" ca="1" si="18"/>
        <v>4838.1324383148703</v>
      </c>
      <c r="AB177" s="63">
        <f t="shared" ca="1" si="19"/>
        <v>4838.1324383148703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46043</v>
      </c>
      <c r="K178">
        <f ca="1"/>
        <v>4837.6879924979939</v>
      </c>
      <c r="L178">
        <f ca="1"/>
        <v>0.36570669315028415</v>
      </c>
      <c r="M178">
        <f ca="1"/>
        <v>2.3675684465388258E-2</v>
      </c>
      <c r="N178">
        <f ca="1"/>
        <v>0.23604891197017891</v>
      </c>
      <c r="O178">
        <f ca="1"/>
        <v>0</v>
      </c>
      <c r="P178">
        <f ca="1"/>
        <v>6.0735965505475589</v>
      </c>
      <c r="Q178">
        <f ca="1"/>
        <v>5.1841577251535655</v>
      </c>
      <c r="R178">
        <f ca="1"/>
        <v>0</v>
      </c>
      <c r="S178">
        <f ca="1"/>
        <v>0.57793622015287816</v>
      </c>
      <c r="T178">
        <f ca="1"/>
        <v>0</v>
      </c>
      <c r="U178">
        <f ca="1"/>
        <v>0</v>
      </c>
      <c r="V178">
        <f ca="1"/>
        <v>6.8723637551112285E-2</v>
      </c>
      <c r="X178" s="2">
        <f t="shared" ca="1" si="15"/>
        <v>46043</v>
      </c>
      <c r="Y178">
        <f t="shared" ca="1" si="16"/>
        <v>0</v>
      </c>
      <c r="AA178" s="63">
        <f t="shared" ca="1" si="18"/>
        <v>4838.053699191144</v>
      </c>
      <c r="AB178" s="63">
        <f t="shared" ca="1" si="19"/>
        <v>4838.053699191144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46044</v>
      </c>
      <c r="K179">
        <f ca="1"/>
        <v>4837.558103717598</v>
      </c>
      <c r="L179">
        <f ca="1"/>
        <v>0.39135655546312442</v>
      </c>
      <c r="M179">
        <f ca="1"/>
        <v>1.7980644812553237E-2</v>
      </c>
      <c r="N179">
        <f ca="1"/>
        <v>0.24348713025518035</v>
      </c>
      <c r="O179">
        <f ca="1"/>
        <v>0</v>
      </c>
      <c r="P179">
        <f ca="1"/>
        <v>6.4649531060106833</v>
      </c>
      <c r="Q179">
        <f ca="1"/>
        <v>5.518202651155562</v>
      </c>
      <c r="R179">
        <f ca="1"/>
        <v>0</v>
      </c>
      <c r="S179">
        <f ca="1"/>
        <v>0.59627554529732518</v>
      </c>
      <c r="T179">
        <f ca="1"/>
        <v>0</v>
      </c>
      <c r="U179">
        <f ca="1"/>
        <v>0</v>
      </c>
      <c r="V179">
        <f ca="1"/>
        <v>8.1943081796913009E-2</v>
      </c>
      <c r="X179" s="2">
        <f t="shared" ca="1" si="15"/>
        <v>46044</v>
      </c>
      <c r="Y179">
        <f t="shared" ca="1" si="16"/>
        <v>0</v>
      </c>
      <c r="AA179" s="63">
        <f t="shared" ca="1" si="18"/>
        <v>4837.949460273061</v>
      </c>
      <c r="AB179" s="63">
        <f t="shared" ca="1" si="19"/>
        <v>4837.949460273061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46045</v>
      </c>
      <c r="K180">
        <f ca="1"/>
        <v>4837.4058069503471</v>
      </c>
      <c r="L180">
        <f ca="1"/>
        <v>0.41675889556123646</v>
      </c>
      <c r="M180">
        <f ca="1"/>
        <v>2.2252647011669069E-2</v>
      </c>
      <c r="N180">
        <f ca="1"/>
        <v>0.24220948129877889</v>
      </c>
      <c r="O180">
        <f ca="1"/>
        <v>0</v>
      </c>
      <c r="P180">
        <f ca="1"/>
        <v>6.8817120015719198</v>
      </c>
      <c r="Q180">
        <f ca="1"/>
        <v>5.8739299092915145</v>
      </c>
      <c r="R180">
        <f ca="1"/>
        <v>0</v>
      </c>
      <c r="S180">
        <f ca="1"/>
        <v>0.5912367611605619</v>
      </c>
      <c r="T180">
        <f ca="1"/>
        <v>0</v>
      </c>
      <c r="U180">
        <f ca="1"/>
        <v>0</v>
      </c>
      <c r="V180">
        <f ca="1"/>
        <v>9.7463200454477789E-2</v>
      </c>
      <c r="X180" s="2">
        <f t="shared" ca="1" si="15"/>
        <v>46045</v>
      </c>
      <c r="Y180">
        <f t="shared" ca="1" si="16"/>
        <v>0</v>
      </c>
      <c r="AA180" s="63">
        <f t="shared" ca="1" si="18"/>
        <v>4837.8225658459087</v>
      </c>
      <c r="AB180" s="63">
        <f t="shared" ca="1" si="19"/>
        <v>4837.8225658459087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46046</v>
      </c>
      <c r="K181">
        <f ca="1"/>
        <v>4837.243147790532</v>
      </c>
      <c r="L181">
        <f ca="1"/>
        <v>0.44444231844094872</v>
      </c>
      <c r="M181">
        <f ca="1"/>
        <v>3.5344382982486877E-2</v>
      </c>
      <c r="N181">
        <f ca="1"/>
        <v>0.24643877564338093</v>
      </c>
      <c r="O181">
        <f ca="1"/>
        <v>0</v>
      </c>
      <c r="P181">
        <f ca="1"/>
        <v>7.3261543200128685</v>
      </c>
      <c r="Q181">
        <f ca="1"/>
        <v>6.253286532563286</v>
      </c>
      <c r="R181">
        <f ca="1"/>
        <v>0</v>
      </c>
      <c r="S181">
        <f ca="1"/>
        <v>0.6020297093339394</v>
      </c>
      <c r="T181">
        <f ca="1"/>
        <v>0</v>
      </c>
      <c r="U181">
        <f ca="1"/>
        <v>0</v>
      </c>
      <c r="V181">
        <f ca="1"/>
        <v>0.11560837812016497</v>
      </c>
      <c r="X181" s="2">
        <f t="shared" ca="1" si="15"/>
        <v>46046</v>
      </c>
      <c r="Y181">
        <f t="shared" ca="1" si="16"/>
        <v>0</v>
      </c>
      <c r="AA181" s="63">
        <f t="shared" ca="1" si="18"/>
        <v>4837.6875901089734</v>
      </c>
      <c r="AB181" s="63">
        <f t="shared" ca="1" si="19"/>
        <v>4837.6875901089734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46047</v>
      </c>
      <c r="K182">
        <f ca="1"/>
        <v>4837.0734173076107</v>
      </c>
      <c r="L182">
        <f ca="1"/>
        <v>0.48056186066590723</v>
      </c>
      <c r="M182">
        <f ca="1"/>
        <v>5.6960696134694899E-2</v>
      </c>
      <c r="N182">
        <f ca="1"/>
        <v>0.2538706816106896</v>
      </c>
      <c r="O182">
        <f ca="1"/>
        <v>0</v>
      </c>
      <c r="P182">
        <f ca="1"/>
        <v>7.8067161806787757</v>
      </c>
      <c r="Q182">
        <f ca="1"/>
        <v>6.6634732253492475</v>
      </c>
      <c r="R182">
        <f ca="1"/>
        <v>0</v>
      </c>
      <c r="S182">
        <f ca="1"/>
        <v>0.61178792459794418</v>
      </c>
      <c r="T182">
        <f ca="1"/>
        <v>0</v>
      </c>
      <c r="U182">
        <f ca="1"/>
        <v>0</v>
      </c>
      <c r="V182">
        <f ca="1"/>
        <v>0.13698914790435357</v>
      </c>
      <c r="X182" s="2">
        <f t="shared" ca="1" si="15"/>
        <v>46047</v>
      </c>
      <c r="Y182">
        <f t="shared" ca="1" si="16"/>
        <v>0</v>
      </c>
      <c r="AA182" s="63">
        <f t="shared" ca="1" si="18"/>
        <v>4837.5539791682768</v>
      </c>
      <c r="AB182" s="63">
        <f t="shared" ca="1" si="19"/>
        <v>4837.5539791682768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46048</v>
      </c>
      <c r="K183">
        <f ca="1"/>
        <v>4836.8907051222004</v>
      </c>
      <c r="L183">
        <f ca="1"/>
        <v>0.51586420422995172</v>
      </c>
      <c r="M183">
        <f ca="1"/>
        <v>8.5552716055076417E-2</v>
      </c>
      <c r="N183">
        <f ca="1"/>
        <v>0.24759930276503272</v>
      </c>
      <c r="O183">
        <f ca="1"/>
        <v>0</v>
      </c>
      <c r="P183">
        <f ca="1"/>
        <v>8.3225803849087274</v>
      </c>
      <c r="Q183">
        <f ca="1"/>
        <v>7.1037924624325548</v>
      </c>
      <c r="R183">
        <f ca="1"/>
        <v>0</v>
      </c>
      <c r="S183">
        <f ca="1"/>
        <v>0.58654137929924488</v>
      </c>
      <c r="T183">
        <f ca="1"/>
        <v>0</v>
      </c>
      <c r="U183">
        <f ca="1"/>
        <v>0</v>
      </c>
      <c r="V183">
        <f ca="1"/>
        <v>0.16182245080015026</v>
      </c>
      <c r="X183" s="2">
        <f t="shared" ca="1" si="15"/>
        <v>46048</v>
      </c>
      <c r="Y183">
        <f t="shared" ca="1" si="16"/>
        <v>0</v>
      </c>
      <c r="AA183" s="63">
        <f t="shared" ca="1" si="18"/>
        <v>4837.4065693264301</v>
      </c>
      <c r="AB183" s="63">
        <f t="shared" ca="1" si="19"/>
        <v>4837.4065693264301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46049</v>
      </c>
      <c r="K184">
        <f ca="1"/>
        <v>4836.7102516735049</v>
      </c>
      <c r="L184">
        <f ca="1"/>
        <v>0.53624786602730445</v>
      </c>
      <c r="M184">
        <f ca="1"/>
        <v>0.11621913856799893</v>
      </c>
      <c r="N184">
        <f ca="1"/>
        <v>0.23957527876332332</v>
      </c>
      <c r="O184">
        <f ca="1"/>
        <v>0</v>
      </c>
      <c r="P184">
        <f ca="1"/>
        <v>8.8588282509360319</v>
      </c>
      <c r="Q184">
        <f ca="1"/>
        <v>7.5615103062382865</v>
      </c>
      <c r="R184">
        <f ca="1"/>
        <v>0</v>
      </c>
      <c r="S184">
        <f ca="1"/>
        <v>0.57975446862703395</v>
      </c>
      <c r="T184">
        <f ca="1"/>
        <v>0</v>
      </c>
      <c r="U184">
        <f ca="1"/>
        <v>0</v>
      </c>
      <c r="V184">
        <f ca="1"/>
        <v>0.18947645893504064</v>
      </c>
      <c r="X184" s="2">
        <f t="shared" ca="1" si="15"/>
        <v>46049</v>
      </c>
      <c r="Y184">
        <f t="shared" ca="1" si="16"/>
        <v>0</v>
      </c>
      <c r="AA184" s="63">
        <f t="shared" ca="1" si="18"/>
        <v>4837.2464995395321</v>
      </c>
      <c r="AB184" s="63">
        <f t="shared" ca="1" si="19"/>
        <v>4837.2464995395321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46050</v>
      </c>
      <c r="K185">
        <f ca="1"/>
        <v>4836.5240259301936</v>
      </c>
      <c r="L185">
        <f ca="1"/>
        <v>0.57666679637713258</v>
      </c>
      <c r="M185">
        <f ca="1"/>
        <v>0.15461056028271969</v>
      </c>
      <c r="N185">
        <f ca="1"/>
        <v>0.23583049278293852</v>
      </c>
      <c r="O185">
        <f ca="1"/>
        <v>0</v>
      </c>
      <c r="P185">
        <f ca="1"/>
        <v>9.4354950473131645</v>
      </c>
      <c r="Q185">
        <f ca="1"/>
        <v>8.0537279901752541</v>
      </c>
      <c r="R185">
        <f ca="1"/>
        <v>0</v>
      </c>
      <c r="S185">
        <f ca="1"/>
        <v>0.55919519223248082</v>
      </c>
      <c r="T185">
        <f ca="1"/>
        <v>0</v>
      </c>
      <c r="U185">
        <f ca="1"/>
        <v>0</v>
      </c>
      <c r="V185">
        <f ca="1"/>
        <v>0.22098619960239616</v>
      </c>
      <c r="X185" s="2">
        <f t="shared" ca="1" si="15"/>
        <v>46050</v>
      </c>
      <c r="Y185">
        <f t="shared" ca="1" si="16"/>
        <v>0</v>
      </c>
      <c r="AA185" s="63">
        <f t="shared" ca="1" si="18"/>
        <v>4837.1006927265707</v>
      </c>
      <c r="AB185" s="63">
        <f t="shared" ca="1" si="19"/>
        <v>4837.1006927265707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46051</v>
      </c>
      <c r="K186">
        <f ca="1"/>
        <v>4836.3338931649996</v>
      </c>
      <c r="L186">
        <f ca="1"/>
        <v>0.62392392419031317</v>
      </c>
      <c r="M186">
        <f ca="1"/>
        <v>0.19897783467638419</v>
      </c>
      <c r="N186">
        <f ca="1"/>
        <v>0.2348133243202381</v>
      </c>
      <c r="O186">
        <f ca="1"/>
        <v>0</v>
      </c>
      <c r="P186">
        <f ca="1"/>
        <v>10.059418971503478</v>
      </c>
      <c r="Q186">
        <f ca="1"/>
        <v>8.5862823020364409</v>
      </c>
      <c r="R186">
        <f ca="1"/>
        <v>0</v>
      </c>
      <c r="S186">
        <f ca="1"/>
        <v>0.54290524881417601</v>
      </c>
      <c r="T186">
        <f ca="1"/>
        <v>0</v>
      </c>
      <c r="U186">
        <f ca="1"/>
        <v>0</v>
      </c>
      <c r="V186">
        <f ca="1"/>
        <v>0.25670170890618121</v>
      </c>
      <c r="X186" s="2">
        <f t="shared" ca="1" si="15"/>
        <v>46051</v>
      </c>
      <c r="Y186">
        <f t="shared" ca="1" si="16"/>
        <v>0</v>
      </c>
      <c r="AA186" s="63">
        <f t="shared" ca="1" si="18"/>
        <v>4836.95781708919</v>
      </c>
      <c r="AB186" s="63">
        <f t="shared" ca="1" si="19"/>
        <v>4836.95781708919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46052</v>
      </c>
      <c r="K187">
        <f ca="1"/>
        <v>4836.1460102248866</v>
      </c>
      <c r="L187">
        <f ca="1"/>
        <v>0.67543290704043457</v>
      </c>
      <c r="M187">
        <f ca="1"/>
        <v>0.2483251891988516</v>
      </c>
      <c r="N187">
        <f ca="1"/>
        <v>0.23922477772853754</v>
      </c>
      <c r="O187">
        <f ca="1"/>
        <v>0</v>
      </c>
      <c r="P187">
        <f ca="1"/>
        <v>10.734851878543912</v>
      </c>
      <c r="Q187">
        <f ca="1"/>
        <v>9.1628024402634232</v>
      </c>
      <c r="R187">
        <f ca="1"/>
        <v>0</v>
      </c>
      <c r="S187">
        <f ca="1"/>
        <v>0.54397520144047562</v>
      </c>
      <c r="T187">
        <f ca="1"/>
        <v>0</v>
      </c>
      <c r="U187">
        <f ca="1"/>
        <v>0</v>
      </c>
      <c r="V187">
        <f ca="1"/>
        <v>0.2966757694336391</v>
      </c>
      <c r="X187" s="2">
        <f t="shared" ca="1" si="15"/>
        <v>46052</v>
      </c>
      <c r="Y187">
        <f t="shared" ca="1" si="16"/>
        <v>0</v>
      </c>
      <c r="AA187" s="63">
        <f t="shared" ca="1" si="18"/>
        <v>4836.8214431319275</v>
      </c>
      <c r="AB187" s="63">
        <f t="shared" ca="1" si="19"/>
        <v>4836.8214431319275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46053</v>
      </c>
      <c r="K188">
        <f ca="1"/>
        <v>4835.9624172294716</v>
      </c>
      <c r="L188">
        <f ca="1"/>
        <v>0.71646821990654708</v>
      </c>
      <c r="M188">
        <f ca="1"/>
        <v>0.2954585597549908</v>
      </c>
      <c r="N188">
        <f ca="1"/>
        <v>0.23741666473592016</v>
      </c>
      <c r="O188">
        <f ca="1"/>
        <v>0</v>
      </c>
      <c r="P188">
        <f ca="1"/>
        <v>11.451320098450459</v>
      </c>
      <c r="Q188">
        <f ca="1"/>
        <v>9.774348535915875</v>
      </c>
      <c r="R188">
        <f ca="1"/>
        <v>0</v>
      </c>
      <c r="S188">
        <f ca="1"/>
        <v>0.54148792696641845</v>
      </c>
      <c r="T188">
        <f ca="1"/>
        <v>0</v>
      </c>
      <c r="U188">
        <f ca="1"/>
        <v>0</v>
      </c>
      <c r="V188">
        <f ca="1"/>
        <v>0.33984427155128089</v>
      </c>
      <c r="X188" s="2">
        <f t="shared" ca="1" si="15"/>
        <v>46053</v>
      </c>
      <c r="Y188">
        <f t="shared" ca="1" si="16"/>
        <v>0</v>
      </c>
      <c r="AA188" s="63">
        <f t="shared" ca="1" si="18"/>
        <v>4836.678885449378</v>
      </c>
      <c r="AB188" s="63">
        <f t="shared" ca="1" si="19"/>
        <v>4836.678885449378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46054</v>
      </c>
      <c r="K189">
        <f ca="1"/>
        <v>4835.7709696066631</v>
      </c>
      <c r="L189">
        <f ca="1"/>
        <v>0.76819665362041434</v>
      </c>
      <c r="M189">
        <f ca="1"/>
        <v>0.34745450857622018</v>
      </c>
      <c r="N189">
        <f ca="1"/>
        <v>0.2292945222355347</v>
      </c>
      <c r="O189">
        <f ca="1"/>
        <v>0</v>
      </c>
      <c r="P189">
        <f ca="1"/>
        <v>12.219516752070874</v>
      </c>
      <c r="Q189">
        <f ca="1"/>
        <v>10.430047771642084</v>
      </c>
      <c r="R189">
        <f ca="1"/>
        <v>0</v>
      </c>
      <c r="S189">
        <f ca="1"/>
        <v>0.50977558773562603</v>
      </c>
      <c r="T189">
        <f ca="1"/>
        <v>0</v>
      </c>
      <c r="U189">
        <f ca="1"/>
        <v>0</v>
      </c>
      <c r="V189">
        <f ca="1"/>
        <v>0.386169935807188</v>
      </c>
      <c r="X189" s="2">
        <f t="shared" ca="1" si="15"/>
        <v>46054</v>
      </c>
      <c r="Y189">
        <f t="shared" ca="1" si="16"/>
        <v>0</v>
      </c>
      <c r="AA189" s="63">
        <f t="shared" ca="1" si="18"/>
        <v>4836.5391662602833</v>
      </c>
      <c r="AB189" s="63">
        <f t="shared" ca="1" si="19"/>
        <v>4836.5391662602833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46055</v>
      </c>
      <c r="K190">
        <f ca="1"/>
        <v>4835.5861497347414</v>
      </c>
      <c r="L190">
        <f ca="1"/>
        <v>0.80548750309992201</v>
      </c>
      <c r="M190">
        <f ca="1"/>
        <v>0.39190859256939348</v>
      </c>
      <c r="N190">
        <f ca="1"/>
        <v>0.22875903860914013</v>
      </c>
      <c r="O190">
        <f ca="1"/>
        <v>0</v>
      </c>
      <c r="P190">
        <f ca="1"/>
        <v>13.025004255170796</v>
      </c>
      <c r="Q190">
        <f ca="1"/>
        <v>11.117576853785952</v>
      </c>
      <c r="R190">
        <f ca="1"/>
        <v>0</v>
      </c>
      <c r="S190">
        <f ca="1"/>
        <v>0.51992640980459937</v>
      </c>
      <c r="T190">
        <f ca="1"/>
        <v>0</v>
      </c>
      <c r="U190">
        <f ca="1"/>
        <v>0</v>
      </c>
      <c r="V190">
        <f ca="1"/>
        <v>0.43391880298877256</v>
      </c>
      <c r="X190" s="2">
        <f t="shared" ca="1" si="15"/>
        <v>46055</v>
      </c>
      <c r="Y190">
        <f t="shared" ca="1" si="16"/>
        <v>0</v>
      </c>
      <c r="AA190" s="63">
        <f t="shared" ca="1" si="18"/>
        <v>4836.3916372378417</v>
      </c>
      <c r="AB190" s="63">
        <f t="shared" ca="1" si="19"/>
        <v>4836.3916372378417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46056</v>
      </c>
      <c r="K191">
        <f ca="1"/>
        <v>4835.3820947199201</v>
      </c>
      <c r="L191">
        <f ca="1"/>
        <v>0.84338949650612882</v>
      </c>
      <c r="M191">
        <f ca="1"/>
        <v>0.42342928255999368</v>
      </c>
      <c r="N191">
        <f ca="1"/>
        <v>0.21590519912490164</v>
      </c>
      <c r="O191">
        <f ca="1"/>
        <v>0</v>
      </c>
      <c r="P191">
        <f ca="1"/>
        <v>13.868393751676924</v>
      </c>
      <c r="Q191">
        <f ca="1"/>
        <v>11.837457428209593</v>
      </c>
      <c r="R191">
        <f ca="1"/>
        <v>0</v>
      </c>
      <c r="S191">
        <f ca="1"/>
        <v>0.48802784334813243</v>
      </c>
      <c r="T191">
        <f ca="1"/>
        <v>0</v>
      </c>
      <c r="U191">
        <f ca="1"/>
        <v>0</v>
      </c>
      <c r="V191">
        <f ca="1"/>
        <v>0.48218085818202422</v>
      </c>
      <c r="X191" s="2">
        <f t="shared" ca="1" si="15"/>
        <v>46056</v>
      </c>
      <c r="Y191">
        <f t="shared" ca="1" si="16"/>
        <v>0</v>
      </c>
      <c r="AA191" s="63">
        <f t="shared" ca="1" si="18"/>
        <v>4836.2254842164266</v>
      </c>
      <c r="AB191" s="63">
        <f t="shared" ca="1" si="19"/>
        <v>4836.2254842164266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46057</v>
      </c>
      <c r="K192">
        <f ca="1"/>
        <v>4835.2001551544126</v>
      </c>
      <c r="L192">
        <f ca="1"/>
        <v>0.8560853034412883</v>
      </c>
      <c r="M192">
        <f ca="1"/>
        <v>0.45986509043308388</v>
      </c>
      <c r="N192">
        <f ca="1"/>
        <v>0.21428064750083475</v>
      </c>
      <c r="O192">
        <f ca="1"/>
        <v>0</v>
      </c>
      <c r="P192">
        <f ca="1"/>
        <v>14.724479055118213</v>
      </c>
      <c r="Q192">
        <f ca="1"/>
        <v>12.568174590979563</v>
      </c>
      <c r="R192">
        <f ca="1"/>
        <v>0</v>
      </c>
      <c r="S192">
        <f ca="1"/>
        <v>0.51665943726517416</v>
      </c>
      <c r="T192">
        <f ca="1"/>
        <v>0</v>
      </c>
      <c r="U192">
        <f ca="1"/>
        <v>0</v>
      </c>
      <c r="V192">
        <f ca="1"/>
        <v>0.52868052723863379</v>
      </c>
      <c r="X192" s="2">
        <f t="shared" ca="1" si="15"/>
        <v>46057</v>
      </c>
      <c r="Y192">
        <f t="shared" ca="1" si="16"/>
        <v>0</v>
      </c>
      <c r="AA192" s="63">
        <f t="shared" ca="1" si="18"/>
        <v>4836.0562404578541</v>
      </c>
      <c r="AB192" s="63">
        <f t="shared" ca="1" si="19"/>
        <v>4836.0562404578541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46058</v>
      </c>
      <c r="K193">
        <f ca="1"/>
        <v>4834.9997603823685</v>
      </c>
      <c r="L193">
        <f ca="1"/>
        <v>0.93887705218373263</v>
      </c>
      <c r="M193">
        <f ca="1"/>
        <v>0.5206269135711068</v>
      </c>
      <c r="N193">
        <f ca="1"/>
        <v>0.21785536656794144</v>
      </c>
      <c r="O193">
        <f ca="1"/>
        <v>0</v>
      </c>
      <c r="P193">
        <f ca="1"/>
        <v>15.663356107301945</v>
      </c>
      <c r="Q193">
        <f ca="1"/>
        <v>13.369559187822579</v>
      </c>
      <c r="R193">
        <f ca="1"/>
        <v>0</v>
      </c>
      <c r="S193">
        <f ca="1"/>
        <v>0.50314438126740957</v>
      </c>
      <c r="T193">
        <f ca="1"/>
        <v>0</v>
      </c>
      <c r="U193">
        <f ca="1"/>
        <v>0</v>
      </c>
      <c r="V193">
        <f ca="1"/>
        <v>0.57624679428812298</v>
      </c>
      <c r="X193" s="2">
        <f t="shared" ca="1" si="15"/>
        <v>46058</v>
      </c>
      <c r="Y193">
        <f t="shared" ca="1" si="16"/>
        <v>0</v>
      </c>
      <c r="AA193" s="63">
        <f t="shared" ca="1" si="18"/>
        <v>4835.9386374345522</v>
      </c>
      <c r="AB193" s="63">
        <f t="shared" ca="1" si="19"/>
        <v>4835.9386374345522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46059</v>
      </c>
      <c r="K194">
        <f ca="1"/>
        <v>4834.7228832212004</v>
      </c>
      <c r="L194">
        <f ca="1"/>
        <v>0.98755194308902183</v>
      </c>
      <c r="M194">
        <f ca="1"/>
        <v>0.50806042066841428</v>
      </c>
      <c r="N194">
        <f ca="1"/>
        <v>0.20261436125181198</v>
      </c>
      <c r="O194">
        <f ca="1"/>
        <v>0</v>
      </c>
      <c r="P194">
        <f ca="1"/>
        <v>16.650908050390967</v>
      </c>
      <c r="Q194">
        <f ca="1"/>
        <v>14.21249055347179</v>
      </c>
      <c r="R194">
        <f ca="1"/>
        <v>0</v>
      </c>
      <c r="S194">
        <f ca="1"/>
        <v>0.454304448166857</v>
      </c>
      <c r="T194">
        <f ca="1"/>
        <v>0</v>
      </c>
      <c r="U194">
        <f ca="1"/>
        <v>0</v>
      </c>
      <c r="V194">
        <f ca="1"/>
        <v>0.62205787721305439</v>
      </c>
      <c r="X194" s="2">
        <f t="shared" ca="1" si="15"/>
        <v>46059</v>
      </c>
      <c r="Y194">
        <f t="shared" ca="1" si="16"/>
        <v>0</v>
      </c>
      <c r="AA194" s="63">
        <f t="shared" ca="1" si="18"/>
        <v>4835.7104351642893</v>
      </c>
      <c r="AB194" s="63">
        <f t="shared" ca="1" si="19"/>
        <v>4835.7104351642893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46060</v>
      </c>
      <c r="K195">
        <f ca="1"/>
        <v>4834.3616418487281</v>
      </c>
      <c r="L195">
        <f ca="1"/>
        <v>1.0554696888243988</v>
      </c>
      <c r="M195">
        <f ca="1"/>
        <v>0.4999549355852082</v>
      </c>
      <c r="N195">
        <f ca="1"/>
        <v>0.19427338076750594</v>
      </c>
      <c r="O195">
        <f ca="1"/>
        <v>0</v>
      </c>
      <c r="P195">
        <f ca="1"/>
        <v>17.706377739215366</v>
      </c>
      <c r="Q195">
        <f ca="1"/>
        <v>15.113393551464162</v>
      </c>
      <c r="R195">
        <f ca="1"/>
        <v>0</v>
      </c>
      <c r="S195">
        <f ca="1"/>
        <v>0.41531604208434925</v>
      </c>
      <c r="T195">
        <f ca="1"/>
        <v>0</v>
      </c>
      <c r="U195">
        <f ca="1"/>
        <v>0</v>
      </c>
      <c r="V195">
        <f ca="1"/>
        <v>0.66612105143789568</v>
      </c>
      <c r="X195" s="2">
        <f t="shared" ca="1" si="15"/>
        <v>46060</v>
      </c>
      <c r="Y195">
        <f t="shared" ca="1" si="16"/>
        <v>0</v>
      </c>
      <c r="AA195" s="63">
        <f t="shared" ca="1" si="18"/>
        <v>4835.417111537553</v>
      </c>
      <c r="AB195" s="63">
        <f t="shared" ca="1" si="19"/>
        <v>4835.417111537553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46061</v>
      </c>
      <c r="K196">
        <f ca="1"/>
        <v>4833.9390310281515</v>
      </c>
      <c r="L196">
        <f ca="1"/>
        <v>1.117561730274975</v>
      </c>
      <c r="M196">
        <f ca="1"/>
        <v>0.50535657910404552</v>
      </c>
      <c r="N196">
        <f ca="1"/>
        <v>0.18959433059408878</v>
      </c>
      <c r="O196">
        <f ca="1"/>
        <v>0</v>
      </c>
      <c r="P196">
        <f ca="1"/>
        <v>18.823939469490341</v>
      </c>
      <c r="Q196">
        <f ca="1"/>
        <v>16.067295614125648</v>
      </c>
      <c r="R196">
        <f ca="1"/>
        <v>0</v>
      </c>
      <c r="S196">
        <f ca="1"/>
        <v>0.3971786951863997</v>
      </c>
      <c r="T196">
        <f ca="1"/>
        <v>0</v>
      </c>
      <c r="U196">
        <f ca="1"/>
        <v>0</v>
      </c>
      <c r="V196">
        <f ca="1"/>
        <v>0.70740670880076251</v>
      </c>
      <c r="X196" s="2">
        <f t="shared" ca="1" si="15"/>
        <v>46061</v>
      </c>
      <c r="Y196">
        <f t="shared" ca="1" si="16"/>
        <v>0</v>
      </c>
      <c r="AA196" s="63">
        <f t="shared" ca="1" si="18"/>
        <v>4835.0565927584266</v>
      </c>
      <c r="AB196" s="63">
        <f t="shared" ca="1" si="19"/>
        <v>4835.0565927584266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46062</v>
      </c>
      <c r="K197">
        <f ca="1"/>
        <v>4833.4234824477926</v>
      </c>
      <c r="L197">
        <f ca="1"/>
        <v>1.1957223369363525</v>
      </c>
      <c r="M197">
        <f ca="1"/>
        <v>0.495733019974125</v>
      </c>
      <c r="N197">
        <f ca="1"/>
        <v>0.18444073660331903</v>
      </c>
      <c r="O197">
        <f ca="1"/>
        <v>0</v>
      </c>
      <c r="P197">
        <f ca="1"/>
        <v>20.019661806426694</v>
      </c>
      <c r="Q197">
        <f ca="1"/>
        <v>17.087912169502285</v>
      </c>
      <c r="R197">
        <f ca="1"/>
        <v>0</v>
      </c>
      <c r="S197">
        <f ca="1"/>
        <v>0.367461121565896</v>
      </c>
      <c r="T197">
        <f ca="1"/>
        <v>0</v>
      </c>
      <c r="U197">
        <f ca="1"/>
        <v>0</v>
      </c>
      <c r="V197">
        <f ca="1"/>
        <v>0.74587213351791359</v>
      </c>
      <c r="X197" s="2">
        <f t="shared" ca="1" si="15"/>
        <v>46062</v>
      </c>
      <c r="Y197">
        <f t="shared" ca="1" si="16"/>
        <v>0</v>
      </c>
      <c r="AA197" s="63">
        <f t="shared" ca="1" si="18"/>
        <v>4834.6192047847289</v>
      </c>
      <c r="AB197" s="63">
        <f t="shared" ca="1" si="19"/>
        <v>4834.6192047847289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46063</v>
      </c>
      <c r="K198">
        <f ca="1"/>
        <v>4832.8101273604943</v>
      </c>
      <c r="L198">
        <f ca="1"/>
        <v>1.3013952197837035</v>
      </c>
      <c r="M198">
        <f ca="1"/>
        <v>0.50309205144202451</v>
      </c>
      <c r="N198">
        <f ca="1"/>
        <v>0.1849480810437715</v>
      </c>
      <c r="O198">
        <f ca="1"/>
        <v>0</v>
      </c>
      <c r="P198">
        <f ca="1"/>
        <v>21.321057026210397</v>
      </c>
      <c r="Q198">
        <f ca="1"/>
        <v>18.198726499359502</v>
      </c>
      <c r="R198">
        <f ca="1"/>
        <v>0</v>
      </c>
      <c r="S198">
        <f ca="1"/>
        <v>0.34791484614090223</v>
      </c>
      <c r="T198">
        <f ca="1"/>
        <v>0</v>
      </c>
      <c r="U198">
        <f ca="1"/>
        <v>0</v>
      </c>
      <c r="V198">
        <f ca="1"/>
        <v>0.78170583008596839</v>
      </c>
      <c r="X198" s="2">
        <f t="shared" ca="1" si="15"/>
        <v>46063</v>
      </c>
      <c r="Y198">
        <f t="shared" ca="1" si="16"/>
        <v>0</v>
      </c>
      <c r="AA198" s="63">
        <f t="shared" ca="1" si="18"/>
        <v>4834.1115225802778</v>
      </c>
      <c r="AB198" s="63">
        <f t="shared" ca="1" si="19"/>
        <v>4834.1115225802778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46064</v>
      </c>
      <c r="K199">
        <f ca="1"/>
        <v>4832.1206656246122</v>
      </c>
      <c r="L199">
        <f ca="1"/>
        <v>1.3995473450672726</v>
      </c>
      <c r="M199">
        <f ca="1"/>
        <v>0.52364863869001965</v>
      </c>
      <c r="N199">
        <f ca="1"/>
        <v>0.18643697049440716</v>
      </c>
      <c r="O199">
        <f ca="1"/>
        <v>0</v>
      </c>
      <c r="P199">
        <f ca="1"/>
        <v>22.72060437127767</v>
      </c>
      <c r="Q199">
        <f ca="1"/>
        <v>19.393319212303954</v>
      </c>
      <c r="R199">
        <f ca="1"/>
        <v>0</v>
      </c>
      <c r="S199">
        <f ca="1"/>
        <v>0.3433353030180572</v>
      </c>
      <c r="T199">
        <f ca="1"/>
        <v>0</v>
      </c>
      <c r="U199">
        <f ca="1"/>
        <v>0</v>
      </c>
      <c r="V199">
        <f ca="1"/>
        <v>0.81413915739893927</v>
      </c>
      <c r="X199" s="2">
        <f t="shared" ca="1" si="15"/>
        <v>46064</v>
      </c>
      <c r="Y199">
        <f t="shared" ca="1" si="16"/>
        <v>0</v>
      </c>
      <c r="AA199" s="63">
        <f t="shared" ca="1" si="18"/>
        <v>4833.5202129696791</v>
      </c>
      <c r="AB199" s="63">
        <f t="shared" ca="1" si="19"/>
        <v>4833.5202129696791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46065</v>
      </c>
      <c r="K200">
        <f ca="1"/>
        <v>4831.3696757163207</v>
      </c>
      <c r="L200">
        <f ca="1"/>
        <v>1.4785058274539296</v>
      </c>
      <c r="M200">
        <f ca="1"/>
        <v>0.54187281341745575</v>
      </c>
      <c r="N200">
        <f ca="1"/>
        <v>0.18564310574459089</v>
      </c>
      <c r="O200">
        <f ca="1"/>
        <v>0</v>
      </c>
      <c r="P200">
        <f ca="1"/>
        <v>24.199110198731599</v>
      </c>
      <c r="Q200">
        <f ca="1"/>
        <v>20.655307449963374</v>
      </c>
      <c r="R200">
        <f ca="1"/>
        <v>0</v>
      </c>
      <c r="S200">
        <f ca="1"/>
        <v>0.34392995825733175</v>
      </c>
      <c r="T200">
        <f ca="1"/>
        <v>0</v>
      </c>
      <c r="U200">
        <f ca="1"/>
        <v>0</v>
      </c>
      <c r="V200">
        <f ca="1"/>
        <v>0.84259717879303953</v>
      </c>
      <c r="X200" s="2">
        <f t="shared" ca="1" si="15"/>
        <v>46065</v>
      </c>
      <c r="Y200">
        <f t="shared" ca="1" si="16"/>
        <v>0</v>
      </c>
      <c r="AA200" s="63">
        <f t="shared" ca="1" si="18"/>
        <v>4832.8481815437744</v>
      </c>
      <c r="AB200" s="63">
        <f t="shared" ca="1" si="19"/>
        <v>4832.8481815437744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46066</v>
      </c>
      <c r="K201">
        <f ca="1"/>
        <v>4830.5066491508715</v>
      </c>
      <c r="L201">
        <f ca="1"/>
        <v>1.546490987508264</v>
      </c>
      <c r="M201">
        <f ca="1"/>
        <v>0.50657476618533792</v>
      </c>
      <c r="N201">
        <f ca="1"/>
        <v>0.17688965587313363</v>
      </c>
      <c r="O201">
        <f ca="1"/>
        <v>0</v>
      </c>
      <c r="P201">
        <f ca="1"/>
        <v>25.745601186239863</v>
      </c>
      <c r="Q201">
        <f ca="1"/>
        <v>21.975324861895114</v>
      </c>
      <c r="R201">
        <f ca="1"/>
        <v>0</v>
      </c>
      <c r="S201">
        <f ca="1"/>
        <v>0.31538483153808966</v>
      </c>
      <c r="T201">
        <f ca="1"/>
        <v>0</v>
      </c>
      <c r="U201">
        <f ca="1"/>
        <v>0</v>
      </c>
      <c r="V201">
        <f ca="1"/>
        <v>0.86709486719596018</v>
      </c>
      <c r="X201" s="2">
        <f t="shared" ca="1" si="15"/>
        <v>46066</v>
      </c>
      <c r="Y201">
        <f t="shared" ca="1" si="16"/>
        <v>0</v>
      </c>
      <c r="AA201" s="63">
        <f t="shared" ca="1" si="18"/>
        <v>4832.0531401383796</v>
      </c>
      <c r="AB201" s="63">
        <f t="shared" ca="1" si="19"/>
        <v>4832.0531401383796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46067</v>
      </c>
      <c r="K202">
        <f ca="1"/>
        <v>4829.5533094545472</v>
      </c>
      <c r="L202">
        <f ca="1"/>
        <v>1.6406572981506393</v>
      </c>
      <c r="M202">
        <f ca="1"/>
        <v>0.51152017076520906</v>
      </c>
      <c r="N202">
        <f ca="1"/>
        <v>0.17579743106118725</v>
      </c>
      <c r="O202">
        <f ca="1"/>
        <v>0</v>
      </c>
      <c r="P202">
        <f ca="1"/>
        <v>27.386258484390503</v>
      </c>
      <c r="Q202">
        <f ca="1"/>
        <v>23.375718538977669</v>
      </c>
      <c r="R202">
        <f ca="1"/>
        <v>0</v>
      </c>
      <c r="S202">
        <f ca="1"/>
        <v>0.30886495070116193</v>
      </c>
      <c r="T202">
        <f ca="1"/>
        <v>0</v>
      </c>
      <c r="U202">
        <f ca="1"/>
        <v>0</v>
      </c>
      <c r="V202">
        <f ca="1"/>
        <v>0.88831226439011179</v>
      </c>
      <c r="X202" s="2">
        <f t="shared" ca="1" si="15"/>
        <v>46067</v>
      </c>
      <c r="Y202">
        <f t="shared" ca="1" si="16"/>
        <v>0</v>
      </c>
      <c r="AA202" s="63">
        <f t="shared" ca="1" si="18"/>
        <v>4831.1939667526976</v>
      </c>
      <c r="AB202" s="63">
        <f t="shared" ca="1" si="19"/>
        <v>4831.1939667526976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46068</v>
      </c>
      <c r="K203">
        <f ca="1"/>
        <v>4828.5498878919489</v>
      </c>
      <c r="L203">
        <f ca="1"/>
        <v>1.7091642428657359</v>
      </c>
      <c r="M203">
        <f ca="1"/>
        <v>0.53115556459454183</v>
      </c>
      <c r="N203">
        <f ca="1"/>
        <v>0.17458711567308077</v>
      </c>
      <c r="O203">
        <f ca="1"/>
        <v>0</v>
      </c>
      <c r="P203">
        <f ca="1"/>
        <v>29.095422727256238</v>
      </c>
      <c r="Q203">
        <f ca="1"/>
        <v>24.834586763013693</v>
      </c>
      <c r="R203">
        <f ca="1"/>
        <v>0</v>
      </c>
      <c r="S203">
        <f ca="1"/>
        <v>0.31709373194434082</v>
      </c>
      <c r="T203">
        <f ca="1"/>
        <v>0</v>
      </c>
      <c r="U203">
        <f ca="1"/>
        <v>0</v>
      </c>
      <c r="V203">
        <f ca="1"/>
        <v>0.90624265575595597</v>
      </c>
      <c r="X203" s="2">
        <f t="shared" ref="X203:X266" ca="1" si="22">IFERROR(J203,$X$9)</f>
        <v>46068</v>
      </c>
      <c r="Y203">
        <f t="shared" ref="Y203:Y266" ca="1" si="23">IFERROR(O203,0)</f>
        <v>0</v>
      </c>
      <c r="AA203" s="63">
        <f t="shared" ca="1" si="18"/>
        <v>4830.2590521348147</v>
      </c>
      <c r="AB203" s="63">
        <f t="shared" ca="1" si="19"/>
        <v>4830.2590521348147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46069</v>
      </c>
      <c r="K204">
        <f ca="1"/>
        <v>4827.4565809790756</v>
      </c>
      <c r="L204">
        <f ca="1"/>
        <v>1.7943263651463468</v>
      </c>
      <c r="M204">
        <f ca="1"/>
        <v>0.52910834305862409</v>
      </c>
      <c r="N204">
        <f ca="1"/>
        <v>0.17191110921415037</v>
      </c>
      <c r="O204">
        <f ca="1"/>
        <v>0</v>
      </c>
      <c r="P204">
        <f ca="1"/>
        <v>30.889749092402585</v>
      </c>
      <c r="Q204">
        <f ca="1"/>
        <v>26.366145668828981</v>
      </c>
      <c r="R204">
        <f ca="1"/>
        <v>0</v>
      </c>
      <c r="S204">
        <f ca="1"/>
        <v>0.31008154583610781</v>
      </c>
      <c r="T204">
        <f ca="1"/>
        <v>0</v>
      </c>
      <c r="U204">
        <f ca="1"/>
        <v>0</v>
      </c>
      <c r="V204">
        <f ca="1"/>
        <v>0.921450493629411</v>
      </c>
      <c r="X204" s="2">
        <f t="shared" ca="1" si="22"/>
        <v>46069</v>
      </c>
      <c r="Y204">
        <f t="shared" ca="1" si="23"/>
        <v>0</v>
      </c>
      <c r="AA204" s="63">
        <f t="shared" ca="1" si="18"/>
        <v>4829.2509073442216</v>
      </c>
      <c r="AB204" s="63">
        <f t="shared" ca="1" si="19"/>
        <v>4829.2509073442216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46070</v>
      </c>
      <c r="K205">
        <f ca="1"/>
        <v>4826.3385259352517</v>
      </c>
      <c r="L205">
        <f ca="1"/>
        <v>1.8982394632946331</v>
      </c>
      <c r="M205">
        <f ca="1"/>
        <v>0.60112216622940196</v>
      </c>
      <c r="N205">
        <f ca="1"/>
        <v>0.17906225324210873</v>
      </c>
      <c r="O205">
        <f ca="1"/>
        <v>0</v>
      </c>
      <c r="P205">
        <f ca="1"/>
        <v>32.787988555697218</v>
      </c>
      <c r="Q205">
        <f ca="1"/>
        <v>27.986400273482143</v>
      </c>
      <c r="R205">
        <f ca="1"/>
        <v>0</v>
      </c>
      <c r="S205">
        <f ca="1"/>
        <v>0.34318505282622991</v>
      </c>
      <c r="T205">
        <f ca="1"/>
        <v>0</v>
      </c>
      <c r="U205">
        <f ca="1"/>
        <v>0</v>
      </c>
      <c r="V205">
        <f ca="1"/>
        <v>0.93438684979315789</v>
      </c>
      <c r="X205" s="2">
        <f t="shared" ca="1" si="22"/>
        <v>46070</v>
      </c>
      <c r="Y205">
        <f t="shared" ca="1" si="23"/>
        <v>0</v>
      </c>
      <c r="AA205" s="63">
        <f ca="1">K204+M205+N205+O205</f>
        <v>4828.2367653985466</v>
      </c>
      <c r="AB205" s="63">
        <f ca="1">K205+L205+R205</f>
        <v>4828.2367653985466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46071</v>
      </c>
      <c r="K206">
        <f ca="1"/>
        <v>4825.0861390842747</v>
      </c>
      <c r="L206">
        <f ca="1"/>
        <v>2.0244295252768012</v>
      </c>
      <c r="M206">
        <f ca="1"/>
        <v>0.59439952868461887</v>
      </c>
      <c r="N206">
        <f ca="1"/>
        <v>0.17764314561575648</v>
      </c>
      <c r="O206">
        <f ca="1"/>
        <v>0</v>
      </c>
      <c r="P206">
        <f ca="1"/>
        <v>34.81241808097402</v>
      </c>
      <c r="Q206">
        <f ca="1"/>
        <v>29.714365223927615</v>
      </c>
      <c r="R206">
        <f ca="1"/>
        <v>0</v>
      </c>
      <c r="S206">
        <f ca="1"/>
        <v>0.32810578393143081</v>
      </c>
      <c r="T206">
        <f ca="1"/>
        <v>0</v>
      </c>
      <c r="U206">
        <f ca="1"/>
        <v>0</v>
      </c>
      <c r="V206">
        <f ca="1"/>
        <v>0.94541731672255402</v>
      </c>
      <c r="X206" s="2">
        <f t="shared" ca="1" si="22"/>
        <v>46071</v>
      </c>
      <c r="Y206">
        <f t="shared" ca="1" si="23"/>
        <v>0</v>
      </c>
      <c r="AA206" s="63">
        <f ca="1">K205+M206+N206+O206</f>
        <v>4827.1105686095516</v>
      </c>
      <c r="AB206" s="63">
        <f ca="1">K206+L206+R206</f>
        <v>4827.1105686095516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46072</v>
      </c>
      <c r="K207">
        <f ca="1"/>
        <v>4823.7086371757277</v>
      </c>
      <c r="L207">
        <f ca="1"/>
        <v>2.1372438499777076</v>
      </c>
      <c r="M207">
        <f ca="1"/>
        <v>0.58465969891437908</v>
      </c>
      <c r="N207">
        <f ca="1"/>
        <v>0.17508224251650883</v>
      </c>
      <c r="O207">
        <f ca="1"/>
        <v>0</v>
      </c>
      <c r="P207">
        <f ca="1"/>
        <v>36.949661930951727</v>
      </c>
      <c r="Q207">
        <f ca="1"/>
        <v>31.538623572862562</v>
      </c>
      <c r="R207">
        <f ca="1"/>
        <v>0</v>
      </c>
      <c r="S207">
        <f ca="1"/>
        <v>0.31582164251198852</v>
      </c>
      <c r="T207">
        <f ca="1"/>
        <v>0</v>
      </c>
      <c r="U207">
        <f ca="1"/>
        <v>0</v>
      </c>
      <c r="V207">
        <f ca="1"/>
        <v>0.95468334631842433</v>
      </c>
      <c r="X207" s="2">
        <f t="shared" ca="1" si="22"/>
        <v>46072</v>
      </c>
      <c r="Y207">
        <f t="shared" ca="1" si="23"/>
        <v>0</v>
      </c>
      <c r="AA207" s="63">
        <f ca="1">K206+M207+N207+O207</f>
        <v>4825.8458810257052</v>
      </c>
      <c r="AB207" s="63">
        <f ca="1">K207+L207+R207</f>
        <v>4825.8458810257052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46073</v>
      </c>
      <c r="K208">
        <f ca="1"/>
        <v>4822.2660677459289</v>
      </c>
      <c r="L208">
        <f ca="1"/>
        <v>2.2692692181562251</v>
      </c>
      <c r="M208">
        <f ca="1"/>
        <v>0.64546782763380861</v>
      </c>
      <c r="N208">
        <f ca="1"/>
        <v>0.18123196072349945</v>
      </c>
      <c r="O208">
        <f ca="1"/>
        <v>0</v>
      </c>
      <c r="P208">
        <f ca="1"/>
        <v>39.218931149107952</v>
      </c>
      <c r="Q208">
        <f ca="1"/>
        <v>33.475573031037747</v>
      </c>
      <c r="R208">
        <f ca="1"/>
        <v>0</v>
      </c>
      <c r="S208">
        <f ca="1"/>
        <v>0.33941495343324246</v>
      </c>
      <c r="T208">
        <f ca="1"/>
        <v>0</v>
      </c>
      <c r="U208">
        <f ca="1"/>
        <v>0</v>
      </c>
      <c r="V208">
        <f ca="1"/>
        <v>0.96248300921399543</v>
      </c>
      <c r="X208" s="2">
        <f t="shared" ca="1" si="22"/>
        <v>46073</v>
      </c>
      <c r="Y208">
        <f t="shared" ca="1" si="23"/>
        <v>0</v>
      </c>
      <c r="AA208" s="63">
        <f t="shared" ref="AA208:AA271" ca="1" si="25">K207+M208+N208+O208</f>
        <v>4824.5353369640852</v>
      </c>
      <c r="AB208" s="63">
        <f t="shared" ref="AB208:AB271" ca="1" si="26">K208+L208+R208</f>
        <v>4824.5353369640852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46074</v>
      </c>
      <c r="K209">
        <f ca="1"/>
        <v>4820.7398299109418</v>
      </c>
      <c r="L209">
        <f ca="1"/>
        <v>2.3813222417099098</v>
      </c>
      <c r="M209">
        <f ca="1"/>
        <v>0.6728000625176378</v>
      </c>
      <c r="N209">
        <f ca="1"/>
        <v>0.18228434420508408</v>
      </c>
      <c r="O209">
        <f ca="1"/>
        <v>0</v>
      </c>
      <c r="P209">
        <f ca="1"/>
        <v>41.600253390817862</v>
      </c>
      <c r="Q209">
        <f ca="1"/>
        <v>35.508166074170894</v>
      </c>
      <c r="R209">
        <f ca="1"/>
        <v>0</v>
      </c>
      <c r="S209">
        <f ca="1"/>
        <v>0.34838210767132916</v>
      </c>
      <c r="T209">
        <f ca="1"/>
        <v>0</v>
      </c>
      <c r="U209">
        <f ca="1"/>
        <v>0</v>
      </c>
      <c r="V209">
        <f ca="1"/>
        <v>0.96895527091465783</v>
      </c>
      <c r="X209" s="2">
        <f t="shared" ca="1" si="22"/>
        <v>46074</v>
      </c>
      <c r="Y209">
        <f t="shared" ca="1" si="23"/>
        <v>0</v>
      </c>
      <c r="AA209" s="63">
        <f t="shared" ca="1" si="25"/>
        <v>4823.121152152652</v>
      </c>
      <c r="AB209" s="63">
        <f t="shared" ca="1" si="26"/>
        <v>4823.121152152652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46075</v>
      </c>
      <c r="K210">
        <f ca="1"/>
        <v>4819.0952005969202</v>
      </c>
      <c r="L210">
        <f ca="1"/>
        <v>2.4713818447727007</v>
      </c>
      <c r="M210">
        <f ca="1"/>
        <v>0.65003202480676237</v>
      </c>
      <c r="N210">
        <f ca="1"/>
        <v>0.17672050594441774</v>
      </c>
      <c r="O210">
        <f ca="1"/>
        <v>0</v>
      </c>
      <c r="P210">
        <f ca="1"/>
        <v>44.071635235590563</v>
      </c>
      <c r="Q210">
        <f ca="1"/>
        <v>37.617630075566844</v>
      </c>
      <c r="R210">
        <f ca="1"/>
        <v>0</v>
      </c>
      <c r="S210">
        <f ca="1"/>
        <v>0.3352462204510584</v>
      </c>
      <c r="T210">
        <f ca="1"/>
        <v>0</v>
      </c>
      <c r="U210">
        <f ca="1"/>
        <v>0</v>
      </c>
      <c r="V210">
        <f ca="1"/>
        <v>0.9742693506004646</v>
      </c>
      <c r="X210" s="2">
        <f t="shared" ca="1" si="22"/>
        <v>46075</v>
      </c>
      <c r="Y210">
        <f t="shared" ca="1" si="23"/>
        <v>0</v>
      </c>
      <c r="AA210" s="63">
        <f t="shared" ca="1" si="25"/>
        <v>4821.5665824416928</v>
      </c>
      <c r="AB210" s="63">
        <f t="shared" ca="1" si="26"/>
        <v>4821.5665824416928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46076</v>
      </c>
      <c r="K211">
        <f ca="1"/>
        <v>4817.3575623260895</v>
      </c>
      <c r="L211">
        <f ca="1"/>
        <v>2.5978273338041333</v>
      </c>
      <c r="M211">
        <f ca="1"/>
        <v>0.68136183015712959</v>
      </c>
      <c r="N211">
        <f ca="1"/>
        <v>0.17882723281616944</v>
      </c>
      <c r="O211">
        <f ca="1"/>
        <v>0</v>
      </c>
      <c r="P211">
        <f ca="1"/>
        <v>46.669462569394696</v>
      </c>
      <c r="Q211">
        <f ca="1"/>
        <v>39.835022444169532</v>
      </c>
      <c r="R211">
        <f ca="1"/>
        <v>0</v>
      </c>
      <c r="S211">
        <f ca="1"/>
        <v>0.34569567052024341</v>
      </c>
      <c r="T211">
        <f ca="1"/>
        <v>0</v>
      </c>
      <c r="U211">
        <f ca="1"/>
        <v>0</v>
      </c>
      <c r="V211">
        <f ca="1"/>
        <v>0.97869096336666705</v>
      </c>
      <c r="X211" s="2">
        <f t="shared" ca="1" si="22"/>
        <v>46076</v>
      </c>
      <c r="Y211">
        <f t="shared" ca="1" si="23"/>
        <v>0</v>
      </c>
      <c r="AA211" s="63">
        <f t="shared" ca="1" si="25"/>
        <v>4819.9553896598936</v>
      </c>
      <c r="AB211" s="63">
        <f t="shared" ca="1" si="26"/>
        <v>4819.9553896598936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46077</v>
      </c>
      <c r="K212">
        <f ca="1"/>
        <v>4815.535629102299</v>
      </c>
      <c r="L212">
        <f ca="1"/>
        <v>2.6458457892861205</v>
      </c>
      <c r="M212">
        <f ca="1"/>
        <v>0.65265291511303758</v>
      </c>
      <c r="N212">
        <f ca="1"/>
        <v>0.171259650382386</v>
      </c>
      <c r="O212">
        <f ca="1"/>
        <v>0</v>
      </c>
      <c r="P212">
        <f ca="1"/>
        <v>49.315308358680817</v>
      </c>
      <c r="Q212">
        <f ca="1"/>
        <v>42.093401276865634</v>
      </c>
      <c r="R212">
        <f ca="1"/>
        <v>0</v>
      </c>
      <c r="S212">
        <f ca="1"/>
        <v>0.33584404222940056</v>
      </c>
      <c r="T212">
        <f ca="1"/>
        <v>0</v>
      </c>
      <c r="U212">
        <f ca="1"/>
        <v>0</v>
      </c>
      <c r="V212">
        <f ca="1"/>
        <v>0.98226508428833181</v>
      </c>
      <c r="X212" s="2">
        <f t="shared" ca="1" si="22"/>
        <v>46077</v>
      </c>
      <c r="Y212">
        <f t="shared" ca="1" si="23"/>
        <v>0</v>
      </c>
      <c r="AA212" s="63">
        <f t="shared" ca="1" si="25"/>
        <v>4818.1814748915849</v>
      </c>
      <c r="AB212" s="63">
        <f t="shared" ca="1" si="26"/>
        <v>4818.1814748915849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46078</v>
      </c>
      <c r="K213">
        <f ca="1"/>
        <v>4813.6314784031665</v>
      </c>
      <c r="L213">
        <f ca="1"/>
        <v>2.6736265300740669</v>
      </c>
      <c r="M213">
        <f ca="1"/>
        <v>0.60757473047908661</v>
      </c>
      <c r="N213">
        <f ca="1"/>
        <v>0.16190110046189579</v>
      </c>
      <c r="O213">
        <f ca="1"/>
        <v>0</v>
      </c>
      <c r="P213">
        <f ca="1"/>
        <v>51.988934888754883</v>
      </c>
      <c r="Q213">
        <f ca="1"/>
        <v>44.375492541029274</v>
      </c>
      <c r="R213">
        <f ca="1"/>
        <v>0</v>
      </c>
      <c r="S213">
        <f ca="1"/>
        <v>0.3190806759958334</v>
      </c>
      <c r="T213">
        <f ca="1"/>
        <v>0</v>
      </c>
      <c r="U213">
        <f ca="1"/>
        <v>0</v>
      </c>
      <c r="V213">
        <f ca="1"/>
        <v>0.98515175223383411</v>
      </c>
      <c r="X213" s="2">
        <f t="shared" ca="1" si="22"/>
        <v>46078</v>
      </c>
      <c r="Y213">
        <f t="shared" ca="1" si="23"/>
        <v>0</v>
      </c>
      <c r="AA213" s="63">
        <f t="shared" ca="1" si="25"/>
        <v>4816.3051049332407</v>
      </c>
      <c r="AB213" s="63">
        <f t="shared" ca="1" si="26"/>
        <v>4816.3051049332407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46079</v>
      </c>
      <c r="K214">
        <f ca="1"/>
        <v>4811.5879722029995</v>
      </c>
      <c r="L214">
        <f ca="1"/>
        <v>2.820332550259657</v>
      </c>
      <c r="M214">
        <f ca="1"/>
        <v>0.61414335490974281</v>
      </c>
      <c r="N214">
        <f ca="1"/>
        <v>0.16268299518310883</v>
      </c>
      <c r="O214">
        <f ca="1"/>
        <v>0</v>
      </c>
      <c r="P214">
        <f ca="1"/>
        <v>54.80926743901454</v>
      </c>
      <c r="Q214">
        <f ca="1"/>
        <v>46.782805680163044</v>
      </c>
      <c r="R214">
        <f ca="1"/>
        <v>0</v>
      </c>
      <c r="S214">
        <f ca="1"/>
        <v>0.31621502730051232</v>
      </c>
      <c r="T214">
        <f ca="1"/>
        <v>0</v>
      </c>
      <c r="U214">
        <f ca="1"/>
        <v>0</v>
      </c>
      <c r="V214">
        <f ca="1"/>
        <v>0.98759282262716053</v>
      </c>
      <c r="X214" s="2">
        <f t="shared" ca="1" si="22"/>
        <v>46079</v>
      </c>
      <c r="Y214">
        <f t="shared" ca="1" si="23"/>
        <v>0</v>
      </c>
      <c r="AA214" s="63">
        <f t="shared" ca="1" si="25"/>
        <v>4814.4083047532595</v>
      </c>
      <c r="AB214" s="63">
        <f t="shared" ca="1" si="26"/>
        <v>4814.4083047532595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46080</v>
      </c>
      <c r="K215">
        <f ca="1"/>
        <v>4809.3840404760294</v>
      </c>
      <c r="L215">
        <f ca="1"/>
        <v>2.9735122386452133</v>
      </c>
      <c r="M215">
        <f ca="1"/>
        <v>0.60734542548726722</v>
      </c>
      <c r="N215">
        <f ca="1"/>
        <v>0.16223508618820026</v>
      </c>
      <c r="O215">
        <f ca="1"/>
        <v>0</v>
      </c>
      <c r="P215">
        <f ca="1"/>
        <v>57.782779677659754</v>
      </c>
      <c r="Q215">
        <f ca="1"/>
        <v>49.320866335743055</v>
      </c>
      <c r="R215">
        <f ca="1"/>
        <v>0</v>
      </c>
      <c r="S215">
        <f ca="1"/>
        <v>0.30687566412379097</v>
      </c>
      <c r="T215">
        <f ca="1"/>
        <v>0</v>
      </c>
      <c r="U215">
        <f ca="1"/>
        <v>0</v>
      </c>
      <c r="V215">
        <f ca="1"/>
        <v>0.98965210631820755</v>
      </c>
      <c r="X215" s="2">
        <f t="shared" ca="1" si="22"/>
        <v>46080</v>
      </c>
      <c r="Y215">
        <f t="shared" ca="1" si="23"/>
        <v>0</v>
      </c>
      <c r="AA215" s="63">
        <f t="shared" ca="1" si="25"/>
        <v>4812.357552714675</v>
      </c>
      <c r="AB215" s="63">
        <f t="shared" ca="1" si="26"/>
        <v>4812.357552714675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46081</v>
      </c>
      <c r="K216">
        <f ca="1"/>
        <v>4807.1437424254218</v>
      </c>
      <c r="L216">
        <f ca="1"/>
        <v>3.0439450719886096</v>
      </c>
      <c r="M216">
        <f ca="1"/>
        <v>0.6409290969685344</v>
      </c>
      <c r="N216">
        <f ca="1"/>
        <v>0.16271792441272792</v>
      </c>
      <c r="O216">
        <f ca="1"/>
        <v>0</v>
      </c>
      <c r="P216">
        <f ca="1"/>
        <v>60.826724749648363</v>
      </c>
      <c r="Q216">
        <f ca="1"/>
        <v>51.919045393005305</v>
      </c>
      <c r="R216">
        <f ca="1"/>
        <v>0</v>
      </c>
      <c r="S216">
        <f ca="1"/>
        <v>0.32648886586512055</v>
      </c>
      <c r="T216">
        <f ca="1"/>
        <v>0</v>
      </c>
      <c r="U216">
        <f ca="1"/>
        <v>0</v>
      </c>
      <c r="V216">
        <f ca="1"/>
        <v>0.99134117341363337</v>
      </c>
      <c r="X216" s="2">
        <f t="shared" ca="1" si="22"/>
        <v>46081</v>
      </c>
      <c r="Y216">
        <f t="shared" ca="1" si="23"/>
        <v>0</v>
      </c>
      <c r="AA216" s="63">
        <f t="shared" ca="1" si="25"/>
        <v>4810.1876874974105</v>
      </c>
      <c r="AB216" s="63">
        <f t="shared" ca="1" si="26"/>
        <v>4810.1876874974105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46082</v>
      </c>
      <c r="K217">
        <f ca="1"/>
        <v>4804.8285229768981</v>
      </c>
      <c r="L217">
        <f ca="1"/>
        <v>3.1900034477595369</v>
      </c>
      <c r="M217">
        <f ca="1"/>
        <v>0.70577516964891629</v>
      </c>
      <c r="N217">
        <f ca="1"/>
        <v>0.16900882958625255</v>
      </c>
      <c r="O217">
        <f ca="1"/>
        <v>0</v>
      </c>
      <c r="P217">
        <f ca="1"/>
        <v>64.0167281974079</v>
      </c>
      <c r="Q217">
        <f ca="1"/>
        <v>54.641893524147328</v>
      </c>
      <c r="R217">
        <f ca="1"/>
        <v>0</v>
      </c>
      <c r="S217">
        <f ca="1"/>
        <v>0.35429332071276354</v>
      </c>
      <c r="T217">
        <f ca="1"/>
        <v>0</v>
      </c>
      <c r="U217">
        <f ca="1"/>
        <v>0</v>
      </c>
      <c r="V217">
        <f ca="1"/>
        <v>0.99276241121915376</v>
      </c>
      <c r="X217" s="2">
        <f t="shared" ca="1" si="22"/>
        <v>46082</v>
      </c>
      <c r="Y217">
        <f t="shared" ca="1" si="23"/>
        <v>0</v>
      </c>
      <c r="AA217" s="63">
        <f t="shared" ca="1" si="25"/>
        <v>4808.0185264246575</v>
      </c>
      <c r="AB217" s="63">
        <f t="shared" ca="1" si="26"/>
        <v>4808.0185264246575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46083</v>
      </c>
      <c r="K218">
        <f ca="1"/>
        <v>4802.3099251554422</v>
      </c>
      <c r="L218">
        <f ca="1"/>
        <v>3.4247135016967007</v>
      </c>
      <c r="M218">
        <f ca="1"/>
        <v>0.73218947803331957</v>
      </c>
      <c r="N218">
        <f ca="1"/>
        <v>0.17392620220741475</v>
      </c>
      <c r="O218">
        <f ca="1"/>
        <v>0</v>
      </c>
      <c r="P218">
        <f ca="1"/>
        <v>67.441441699104601</v>
      </c>
      <c r="Q218">
        <f ca="1"/>
        <v>57.565079944005596</v>
      </c>
      <c r="R218">
        <f ca="1"/>
        <v>0</v>
      </c>
      <c r="S218">
        <f ca="1"/>
        <v>0.35410984235615495</v>
      </c>
      <c r="T218">
        <f ca="1"/>
        <v>0</v>
      </c>
      <c r="U218">
        <f ca="1"/>
        <v>0</v>
      </c>
      <c r="V218">
        <f ca="1"/>
        <v>0.99398354495264785</v>
      </c>
      <c r="X218" s="2">
        <f t="shared" ca="1" si="22"/>
        <v>46083</v>
      </c>
      <c r="Y218">
        <f t="shared" ca="1" si="23"/>
        <v>0</v>
      </c>
      <c r="AA218" s="63">
        <f t="shared" ca="1" si="25"/>
        <v>4805.7346386571389</v>
      </c>
      <c r="AB218" s="63">
        <f t="shared" ca="1" si="26"/>
        <v>4805.7346386571389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46084</v>
      </c>
      <c r="K219">
        <f ca="1"/>
        <v>4799.6770894912779</v>
      </c>
      <c r="L219">
        <f ca="1"/>
        <v>3.5864968892442874</v>
      </c>
      <c r="M219">
        <f ca="1"/>
        <v>0.77554878588762222</v>
      </c>
      <c r="N219">
        <f ca="1"/>
        <v>0.17811243919263342</v>
      </c>
      <c r="O219">
        <f ca="1"/>
        <v>0</v>
      </c>
      <c r="P219">
        <f ca="1"/>
        <v>71.027938588348889</v>
      </c>
      <c r="Q219">
        <f ca="1"/>
        <v>60.626357623527916</v>
      </c>
      <c r="R219">
        <f ca="1"/>
        <v>0</v>
      </c>
      <c r="S219">
        <f ca="1"/>
        <v>0.36990961646211706</v>
      </c>
      <c r="T219">
        <f ca="1"/>
        <v>0</v>
      </c>
      <c r="U219">
        <f ca="1"/>
        <v>0</v>
      </c>
      <c r="V219">
        <f ca="1"/>
        <v>0.99500373708966894</v>
      </c>
      <c r="X219" s="2">
        <f t="shared" ca="1" si="22"/>
        <v>46084</v>
      </c>
      <c r="Y219">
        <f t="shared" ca="1" si="23"/>
        <v>0</v>
      </c>
      <c r="AA219" s="63">
        <f t="shared" ca="1" si="25"/>
        <v>4803.2635863805226</v>
      </c>
      <c r="AB219" s="63">
        <f t="shared" ca="1" si="26"/>
        <v>4803.2635863805226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46085</v>
      </c>
      <c r="K220">
        <f ca="1"/>
        <v>4797.1465787415127</v>
      </c>
      <c r="L220">
        <f ca="1"/>
        <v>3.5338588343334862</v>
      </c>
      <c r="M220">
        <f ca="1"/>
        <v>0.82585511821821456</v>
      </c>
      <c r="N220">
        <f ca="1"/>
        <v>0.17749296635109765</v>
      </c>
      <c r="O220">
        <f ca="1"/>
        <v>0</v>
      </c>
      <c r="P220">
        <f ca="1"/>
        <v>74.561797422682375</v>
      </c>
      <c r="Q220">
        <f ca="1"/>
        <v>63.642705749904614</v>
      </c>
      <c r="R220">
        <f ca="1"/>
        <v>0</v>
      </c>
      <c r="S220">
        <f ca="1"/>
        <v>0.41051693724441857</v>
      </c>
      <c r="T220">
        <f ca="1"/>
        <v>0</v>
      </c>
      <c r="U220">
        <f ca="1"/>
        <v>0</v>
      </c>
      <c r="V220">
        <f ca="1"/>
        <v>0.99581051073671245</v>
      </c>
      <c r="X220" s="2">
        <f t="shared" ca="1" si="22"/>
        <v>46085</v>
      </c>
      <c r="Y220">
        <f t="shared" ca="1" si="23"/>
        <v>0</v>
      </c>
      <c r="AA220" s="63">
        <f t="shared" ca="1" si="25"/>
        <v>4800.6804375758466</v>
      </c>
      <c r="AB220" s="63">
        <f t="shared" ca="1" si="26"/>
        <v>4800.6804375758466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46086</v>
      </c>
      <c r="K221">
        <f ca="1"/>
        <v>4794.4959150623145</v>
      </c>
      <c r="L221">
        <f ca="1"/>
        <v>3.646392045197075</v>
      </c>
      <c r="M221">
        <f ca="1"/>
        <v>0.82019852901737522</v>
      </c>
      <c r="N221">
        <f ca="1"/>
        <v>0.17552983698175384</v>
      </c>
      <c r="O221">
        <f ca="1"/>
        <v>0</v>
      </c>
      <c r="P221">
        <f ca="1"/>
        <v>78.20818946787945</v>
      </c>
      <c r="Q221">
        <f ca="1"/>
        <v>66.75510732823183</v>
      </c>
      <c r="R221">
        <f ca="1"/>
        <v>0</v>
      </c>
      <c r="S221">
        <f ca="1"/>
        <v>0.40649012375770976</v>
      </c>
      <c r="T221">
        <f ca="1"/>
        <v>0</v>
      </c>
      <c r="U221">
        <f ca="1"/>
        <v>0</v>
      </c>
      <c r="V221">
        <f ca="1"/>
        <v>0.99648366604915395</v>
      </c>
      <c r="X221" s="2">
        <f t="shared" ca="1" si="22"/>
        <v>46086</v>
      </c>
      <c r="Y221">
        <f t="shared" ca="1" si="23"/>
        <v>0</v>
      </c>
      <c r="AA221" s="63">
        <f t="shared" ca="1" si="25"/>
        <v>4798.1423071075114</v>
      </c>
      <c r="AB221" s="63">
        <f t="shared" ca="1" si="26"/>
        <v>4798.1423071075114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46087</v>
      </c>
      <c r="K222">
        <f ca="1"/>
        <v>4791.6071039832523</v>
      </c>
      <c r="L222">
        <f ca="1"/>
        <v>3.9033180246518526</v>
      </c>
      <c r="M222">
        <f ca="1"/>
        <v>0.83514659810236935</v>
      </c>
      <c r="N222">
        <f ca="1"/>
        <v>0.17936034748697771</v>
      </c>
      <c r="O222">
        <f ca="1"/>
        <v>0</v>
      </c>
      <c r="P222">
        <f ca="1"/>
        <v>82.111507492531302</v>
      </c>
      <c r="Q222">
        <f ca="1"/>
        <v>70.086809742579021</v>
      </c>
      <c r="R222">
        <f ca="1"/>
        <v>0</v>
      </c>
      <c r="S222">
        <f ca="1"/>
        <v>0.39925281076486491</v>
      </c>
      <c r="T222">
        <f ca="1"/>
        <v>0</v>
      </c>
      <c r="U222">
        <f ca="1"/>
        <v>0</v>
      </c>
      <c r="V222">
        <f ca="1"/>
        <v>0.99706531578399049</v>
      </c>
      <c r="X222" s="2">
        <f t="shared" ca="1" si="22"/>
        <v>46087</v>
      </c>
      <c r="Y222">
        <f t="shared" ca="1" si="23"/>
        <v>0</v>
      </c>
      <c r="AA222" s="63">
        <f t="shared" ca="1" si="25"/>
        <v>4795.5104220079038</v>
      </c>
      <c r="AB222" s="63">
        <f t="shared" ca="1" si="26"/>
        <v>4795.5104220079038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46088</v>
      </c>
      <c r="K223">
        <f ca="1"/>
        <v>4788.7192154007125</v>
      </c>
      <c r="L223">
        <f ca="1"/>
        <v>3.8721825864757307</v>
      </c>
      <c r="M223">
        <f ca="1"/>
        <v>0.81203687132790492</v>
      </c>
      <c r="N223">
        <f ca="1"/>
        <v>0.17225713260831887</v>
      </c>
      <c r="O223">
        <f ca="1"/>
        <v>0</v>
      </c>
      <c r="P223">
        <f ca="1"/>
        <v>85.983690079007033</v>
      </c>
      <c r="Q223">
        <f ca="1"/>
        <v>73.391936301746583</v>
      </c>
      <c r="R223">
        <f ca="1"/>
        <v>0</v>
      </c>
      <c r="S223">
        <f ca="1"/>
        <v>0.40116174881331867</v>
      </c>
      <c r="T223">
        <f ca="1"/>
        <v>0</v>
      </c>
      <c r="U223">
        <f ca="1"/>
        <v>0</v>
      </c>
      <c r="V223">
        <f ca="1"/>
        <v>0.99753200849789447</v>
      </c>
      <c r="X223" s="2">
        <f t="shared" ca="1" si="22"/>
        <v>46088</v>
      </c>
      <c r="Y223">
        <f t="shared" ca="1" si="23"/>
        <v>0</v>
      </c>
      <c r="AA223" s="63">
        <f t="shared" ca="1" si="25"/>
        <v>4792.5913979871884</v>
      </c>
      <c r="AB223" s="63">
        <f t="shared" ca="1" si="26"/>
        <v>4792.5913979871884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46089</v>
      </c>
      <c r="K224">
        <f ca="1"/>
        <v>4785.5585692782888</v>
      </c>
      <c r="L224">
        <f ca="1"/>
        <v>4.116433200198756</v>
      </c>
      <c r="M224">
        <f ca="1"/>
        <v>0.78438608850626679</v>
      </c>
      <c r="N224">
        <f ca="1"/>
        <v>0.17140098926960107</v>
      </c>
      <c r="O224">
        <f ca="1"/>
        <v>0</v>
      </c>
      <c r="P224">
        <f ca="1"/>
        <v>90.100123279205789</v>
      </c>
      <c r="Q224">
        <f ca="1"/>
        <v>76.905544556309536</v>
      </c>
      <c r="R224">
        <f ca="1"/>
        <v>0</v>
      </c>
      <c r="S224">
        <f ca="1"/>
        <v>0.37607228366634066</v>
      </c>
      <c r="T224">
        <f ca="1"/>
        <v>0</v>
      </c>
      <c r="U224">
        <f ca="1"/>
        <v>0</v>
      </c>
      <c r="V224">
        <f ca="1"/>
        <v>0.99793445820314952</v>
      </c>
      <c r="X224" s="2">
        <f t="shared" ca="1" si="22"/>
        <v>46089</v>
      </c>
      <c r="Y224">
        <f t="shared" ca="1" si="23"/>
        <v>0</v>
      </c>
      <c r="AA224" s="63">
        <f t="shared" ca="1" si="25"/>
        <v>4789.6750024784878</v>
      </c>
      <c r="AB224" s="63">
        <f t="shared" ca="1" si="26"/>
        <v>4789.6750024784878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46090</v>
      </c>
      <c r="K225">
        <f ca="1"/>
        <v>4782.2223333981337</v>
      </c>
      <c r="L225">
        <f ca="1"/>
        <v>4.3355063014136306</v>
      </c>
      <c r="M225">
        <f ca="1"/>
        <v>0.82260928891668073</v>
      </c>
      <c r="N225">
        <f ca="1"/>
        <v>0.17666113234184563</v>
      </c>
      <c r="O225">
        <f ca="1"/>
        <v>0</v>
      </c>
      <c r="P225">
        <f ca="1"/>
        <v>94.43562958061942</v>
      </c>
      <c r="Q225">
        <f ca="1"/>
        <v>80.606144077181426</v>
      </c>
      <c r="R225">
        <f ca="1"/>
        <v>0</v>
      </c>
      <c r="S225">
        <f ca="1"/>
        <v>0.38596729228554205</v>
      </c>
      <c r="T225">
        <f ca="1"/>
        <v>0</v>
      </c>
      <c r="U225">
        <f ca="1"/>
        <v>0</v>
      </c>
      <c r="V225">
        <f ca="1"/>
        <v>0.99827700928076701</v>
      </c>
      <c r="X225" s="2">
        <f t="shared" ca="1" si="22"/>
        <v>46090</v>
      </c>
      <c r="Y225">
        <f t="shared" ca="1" si="23"/>
        <v>0</v>
      </c>
      <c r="AA225" s="63">
        <f t="shared" ca="1" si="25"/>
        <v>4786.557839699547</v>
      </c>
      <c r="AB225" s="63">
        <f t="shared" ca="1" si="26"/>
        <v>4786.557839699547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46091</v>
      </c>
      <c r="K226">
        <f ca="1"/>
        <v>4778.7901283700203</v>
      </c>
      <c r="L226">
        <f ca="1"/>
        <v>4.3847891488442343</v>
      </c>
      <c r="M226">
        <f ca="1"/>
        <v>0.78240806101763383</v>
      </c>
      <c r="N226">
        <f ca="1"/>
        <v>0.17017605971291652</v>
      </c>
      <c r="O226">
        <f ca="1"/>
        <v>0</v>
      </c>
      <c r="P226">
        <f ca="1"/>
        <v>98.820418729463654</v>
      </c>
      <c r="Q226">
        <f ca="1"/>
        <v>84.348809292094501</v>
      </c>
      <c r="R226">
        <f ca="1"/>
        <v>0</v>
      </c>
      <c r="S226">
        <f ca="1"/>
        <v>0.3727012486782903</v>
      </c>
      <c r="T226">
        <f ca="1"/>
        <v>0</v>
      </c>
      <c r="U226">
        <f ca="1"/>
        <v>0</v>
      </c>
      <c r="V226">
        <f ca="1"/>
        <v>0.99855736683393148</v>
      </c>
      <c r="X226" s="2">
        <f t="shared" ca="1" si="22"/>
        <v>46091</v>
      </c>
      <c r="Y226">
        <f t="shared" ca="1" si="23"/>
        <v>0</v>
      </c>
      <c r="AA226" s="63">
        <f t="shared" ca="1" si="25"/>
        <v>4783.1749175188643</v>
      </c>
      <c r="AB226" s="63">
        <f t="shared" ca="1" si="26"/>
        <v>4783.1749175188643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46092</v>
      </c>
      <c r="K227">
        <f ca="1"/>
        <v>4775.4178571306829</v>
      </c>
      <c r="L227">
        <f ca="1"/>
        <v>4.462565678516043</v>
      </c>
      <c r="M227">
        <f ca="1"/>
        <v>0.90827958087862726</v>
      </c>
      <c r="N227">
        <f ca="1"/>
        <v>0.18201485829929848</v>
      </c>
      <c r="O227">
        <f ca="1"/>
        <v>0</v>
      </c>
      <c r="P227">
        <f ca="1"/>
        <v>103.2829844079797</v>
      </c>
      <c r="Q227">
        <f ca="1"/>
        <v>88.157861168317396</v>
      </c>
      <c r="R227">
        <f ca="1"/>
        <v>0</v>
      </c>
      <c r="S227">
        <f ca="1"/>
        <v>0.43613307060173706</v>
      </c>
      <c r="T227">
        <f ca="1"/>
        <v>0</v>
      </c>
      <c r="U227">
        <f ca="1"/>
        <v>0</v>
      </c>
      <c r="V227">
        <f ca="1"/>
        <v>0.99878937316487781</v>
      </c>
      <c r="X227" s="2">
        <f t="shared" ca="1" si="22"/>
        <v>46092</v>
      </c>
      <c r="Y227">
        <f t="shared" ca="1" si="23"/>
        <v>0</v>
      </c>
      <c r="AA227" s="63">
        <f t="shared" ca="1" si="25"/>
        <v>4779.8804228091985</v>
      </c>
      <c r="AB227" s="63">
        <f t="shared" ca="1" si="26"/>
        <v>4779.8804228091985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46093</v>
      </c>
      <c r="K228">
        <f ca="1"/>
        <v>4771.8669010063177</v>
      </c>
      <c r="L228">
        <f ca="1"/>
        <v>4.6595506810340055</v>
      </c>
      <c r="M228">
        <f ca="1"/>
        <v>0.92396350987490905</v>
      </c>
      <c r="N228">
        <f ca="1"/>
        <v>0.18463104679342615</v>
      </c>
      <c r="O228">
        <f ca="1"/>
        <v>0</v>
      </c>
      <c r="P228">
        <f ca="1"/>
        <v>107.9425350890137</v>
      </c>
      <c r="Q228">
        <f ca="1"/>
        <v>92.135050870957301</v>
      </c>
      <c r="R228">
        <f ca="1"/>
        <v>0</v>
      </c>
      <c r="S228">
        <f ca="1"/>
        <v>0.43669998636192581</v>
      </c>
      <c r="T228">
        <f ca="1"/>
        <v>0</v>
      </c>
      <c r="U228">
        <f ca="1"/>
        <v>0</v>
      </c>
      <c r="V228">
        <f ca="1"/>
        <v>0.99898658321359057</v>
      </c>
      <c r="X228" s="2">
        <f t="shared" ca="1" si="22"/>
        <v>46093</v>
      </c>
      <c r="Y228">
        <f t="shared" ca="1" si="23"/>
        <v>0</v>
      </c>
      <c r="AA228" s="63">
        <f t="shared" ca="1" si="25"/>
        <v>4776.5264516873513</v>
      </c>
      <c r="AB228" s="63">
        <f t="shared" ca="1" si="26"/>
        <v>4776.5264516873513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46094</v>
      </c>
      <c r="K229">
        <f ca="1"/>
        <v>4768.2493506540059</v>
      </c>
      <c r="L229">
        <f ca="1"/>
        <v>4.6559166431917163</v>
      </c>
      <c r="M229">
        <f ca="1"/>
        <v>0.86317249581998112</v>
      </c>
      <c r="N229">
        <f ca="1"/>
        <v>0.17519379505970809</v>
      </c>
      <c r="O229">
        <f ca="1"/>
        <v>0</v>
      </c>
      <c r="P229">
        <f ca="1"/>
        <v>112.59845173220542</v>
      </c>
      <c r="Q229">
        <f ca="1"/>
        <v>96.109138717028884</v>
      </c>
      <c r="R229">
        <f ca="1"/>
        <v>0</v>
      </c>
      <c r="S229">
        <f ca="1"/>
        <v>0.41750461103710779</v>
      </c>
      <c r="T229">
        <f ca="1"/>
        <v>0</v>
      </c>
      <c r="U229">
        <f ca="1"/>
        <v>0</v>
      </c>
      <c r="V229">
        <f ca="1"/>
        <v>0.99914742634543685</v>
      </c>
      <c r="X229" s="2">
        <f t="shared" ca="1" si="22"/>
        <v>46094</v>
      </c>
      <c r="Y229">
        <f t="shared" ca="1" si="23"/>
        <v>0</v>
      </c>
      <c r="AA229" s="63">
        <f t="shared" ca="1" si="25"/>
        <v>4772.9052672971975</v>
      </c>
      <c r="AB229" s="63">
        <f t="shared" ca="1" si="26"/>
        <v>4772.9052672971975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46095</v>
      </c>
      <c r="K230">
        <f ca="1"/>
        <v>4764.4754552048907</v>
      </c>
      <c r="L230">
        <f ca="1"/>
        <v>4.7792087149967273</v>
      </c>
      <c r="M230">
        <f ca="1"/>
        <v>0.83343865588017252</v>
      </c>
      <c r="N230">
        <f ca="1"/>
        <v>0.17187461000168172</v>
      </c>
      <c r="O230">
        <f ca="1"/>
        <v>0</v>
      </c>
      <c r="P230">
        <f ca="1"/>
        <v>117.37766044720215</v>
      </c>
      <c r="Q230">
        <f ca="1"/>
        <v>100.18846331058259</v>
      </c>
      <c r="R230">
        <f ca="1"/>
        <v>0</v>
      </c>
      <c r="S230">
        <f ca="1"/>
        <v>0.40240619123512372</v>
      </c>
      <c r="T230">
        <f ca="1"/>
        <v>0</v>
      </c>
      <c r="U230">
        <f ca="1"/>
        <v>0</v>
      </c>
      <c r="V230">
        <f ca="1"/>
        <v>0.99928275979635661</v>
      </c>
      <c r="X230" s="2">
        <f t="shared" ca="1" si="22"/>
        <v>46095</v>
      </c>
      <c r="Y230">
        <f t="shared" ca="1" si="23"/>
        <v>0</v>
      </c>
      <c r="AA230" s="63">
        <f t="shared" ca="1" si="25"/>
        <v>4769.2546639198872</v>
      </c>
      <c r="AB230" s="63">
        <f t="shared" ca="1" si="26"/>
        <v>4769.2546639198872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46096</v>
      </c>
      <c r="K231">
        <f ca="1"/>
        <v>4760.6470710626099</v>
      </c>
      <c r="L231">
        <f ca="1"/>
        <v>4.8369504030925867</v>
      </c>
      <c r="M231">
        <f ca="1"/>
        <v>0.83748369025477132</v>
      </c>
      <c r="N231">
        <f ca="1"/>
        <v>0.17108257055642537</v>
      </c>
      <c r="O231">
        <f ca="1"/>
        <v>0</v>
      </c>
      <c r="P231">
        <f ca="1"/>
        <v>122.21461085029473</v>
      </c>
      <c r="Q231">
        <f ca="1"/>
        <v>104.31707369648588</v>
      </c>
      <c r="R231">
        <f ca="1"/>
        <v>0</v>
      </c>
      <c r="S231">
        <f ca="1"/>
        <v>0.40838617130179844</v>
      </c>
      <c r="T231">
        <f ca="1"/>
        <v>0</v>
      </c>
      <c r="U231">
        <f ca="1"/>
        <v>0</v>
      </c>
      <c r="V231">
        <f ca="1"/>
        <v>0.99939531257994685</v>
      </c>
      <c r="X231" s="2">
        <f t="shared" ca="1" si="22"/>
        <v>46096</v>
      </c>
      <c r="Y231">
        <f t="shared" ca="1" si="23"/>
        <v>0</v>
      </c>
      <c r="AA231" s="63">
        <f t="shared" ca="1" si="25"/>
        <v>4765.4840214657024</v>
      </c>
      <c r="AB231" s="63">
        <f t="shared" ca="1" si="26"/>
        <v>4765.4840214657024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46097</v>
      </c>
      <c r="K232">
        <f ca="1"/>
        <v>4756.6649349652889</v>
      </c>
      <c r="L232">
        <f ca="1"/>
        <v>5.005945657853502</v>
      </c>
      <c r="M232">
        <f ca="1"/>
        <v>0.85044454089023702</v>
      </c>
      <c r="N232">
        <f ca="1"/>
        <v>0.17336501964311188</v>
      </c>
      <c r="O232">
        <f ca="1"/>
        <v>0</v>
      </c>
      <c r="P232">
        <f ca="1"/>
        <v>127.22055650814823</v>
      </c>
      <c r="Q232">
        <f ca="1"/>
        <v>108.58993107808469</v>
      </c>
      <c r="R232">
        <f ca="1"/>
        <v>0</v>
      </c>
      <c r="S232">
        <f ca="1"/>
        <v>0.41043661859493147</v>
      </c>
      <c r="T232">
        <f ca="1"/>
        <v>0</v>
      </c>
      <c r="U232">
        <f ca="1"/>
        <v>0</v>
      </c>
      <c r="V232">
        <f ca="1"/>
        <v>0.99949117970568535</v>
      </c>
      <c r="X232" s="2">
        <f t="shared" ca="1" si="22"/>
        <v>46097</v>
      </c>
      <c r="Y232">
        <f t="shared" ca="1" si="23"/>
        <v>0</v>
      </c>
      <c r="AA232" s="63">
        <f t="shared" ca="1" si="25"/>
        <v>4761.6708806231427</v>
      </c>
      <c r="AB232" s="63">
        <f t="shared" ca="1" si="26"/>
        <v>4761.6708806231427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46098</v>
      </c>
      <c r="K233">
        <f ca="1"/>
        <v>4752.5711421439346</v>
      </c>
      <c r="L233">
        <f ca="1"/>
        <v>5.1092118291151394</v>
      </c>
      <c r="M233">
        <f ca="1"/>
        <v>0.84299121881468864</v>
      </c>
      <c r="N233">
        <f ca="1"/>
        <v>0.17242778894603331</v>
      </c>
      <c r="O233">
        <f ca="1"/>
        <v>0</v>
      </c>
      <c r="P233">
        <f ca="1"/>
        <v>132.32976833726337</v>
      </c>
      <c r="Q233">
        <f ca="1"/>
        <v>112.95093196988172</v>
      </c>
      <c r="R233">
        <f ca="1"/>
        <v>0</v>
      </c>
      <c r="S233">
        <f ca="1"/>
        <v>0.4073552844128942</v>
      </c>
      <c r="T233">
        <f ca="1"/>
        <v>0</v>
      </c>
      <c r="U233">
        <f ca="1"/>
        <v>0</v>
      </c>
      <c r="V233">
        <f ca="1"/>
        <v>0.99957173833784341</v>
      </c>
      <c r="X233" s="2">
        <f t="shared" ca="1" si="22"/>
        <v>46098</v>
      </c>
      <c r="Y233">
        <f t="shared" ca="1" si="23"/>
        <v>0</v>
      </c>
      <c r="AA233" s="63">
        <f t="shared" ca="1" si="25"/>
        <v>4757.6803539730499</v>
      </c>
      <c r="AB233" s="63">
        <f t="shared" ca="1" si="26"/>
        <v>4757.6803539730499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46099</v>
      </c>
      <c r="K234">
        <f ca="1"/>
        <v>4748.3615305920985</v>
      </c>
      <c r="L234">
        <f ca="1"/>
        <v>5.1821137595513562</v>
      </c>
      <c r="M234">
        <f ca="1"/>
        <v>0.80459053963369342</v>
      </c>
      <c r="N234">
        <f ca="1"/>
        <v>0.16791166808147298</v>
      </c>
      <c r="O234">
        <f ca="1"/>
        <v>0</v>
      </c>
      <c r="P234">
        <f ca="1"/>
        <v>137.51188209681473</v>
      </c>
      <c r="Q234">
        <f ca="1"/>
        <v>117.37415877719752</v>
      </c>
      <c r="R234">
        <f ca="1"/>
        <v>0</v>
      </c>
      <c r="S234">
        <f ca="1"/>
        <v>0.39110573518611252</v>
      </c>
      <c r="T234">
        <f ca="1"/>
        <v>0</v>
      </c>
      <c r="U234">
        <f ca="1"/>
        <v>0</v>
      </c>
      <c r="V234">
        <f ca="1"/>
        <v>0.99963915556740612</v>
      </c>
      <c r="X234" s="2">
        <f t="shared" ca="1" si="22"/>
        <v>46099</v>
      </c>
      <c r="Y234">
        <f t="shared" ca="1" si="23"/>
        <v>0</v>
      </c>
      <c r="AA234" s="63">
        <f t="shared" ca="1" si="25"/>
        <v>4753.5436443516501</v>
      </c>
      <c r="AB234" s="63">
        <f t="shared" ca="1" si="26"/>
        <v>4753.5436443516501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46100</v>
      </c>
      <c r="K235">
        <f ca="1"/>
        <v>4744.1741043421162</v>
      </c>
      <c r="L235">
        <f ca="1"/>
        <v>5.0914594122886569</v>
      </c>
      <c r="M235">
        <f ca="1"/>
        <v>0.74523431795427086</v>
      </c>
      <c r="N235">
        <f ca="1"/>
        <v>0.1587988443521218</v>
      </c>
      <c r="O235">
        <f ca="1"/>
        <v>0</v>
      </c>
      <c r="P235">
        <f ca="1"/>
        <v>142.60334150910339</v>
      </c>
      <c r="Q235">
        <f ca="1"/>
        <v>121.72000697848154</v>
      </c>
      <c r="R235">
        <f ca="1"/>
        <v>0</v>
      </c>
      <c r="S235">
        <f ca="1"/>
        <v>0.3740182865922419</v>
      </c>
      <c r="T235">
        <f ca="1"/>
        <v>0</v>
      </c>
      <c r="U235">
        <f ca="1"/>
        <v>0</v>
      </c>
      <c r="V235">
        <f ca="1"/>
        <v>0.99969410034279738</v>
      </c>
      <c r="X235" s="2">
        <f t="shared" ca="1" si="22"/>
        <v>46100</v>
      </c>
      <c r="Y235">
        <f t="shared" ca="1" si="23"/>
        <v>0</v>
      </c>
      <c r="AA235" s="63">
        <f t="shared" ca="1" si="25"/>
        <v>4749.2655637544049</v>
      </c>
      <c r="AB235" s="63">
        <f t="shared" ca="1" si="26"/>
        <v>4749.2655637544049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46101</v>
      </c>
      <c r="K236">
        <f ca="1"/>
        <v>4739.9117404806993</v>
      </c>
      <c r="L236">
        <f ca="1"/>
        <v>5.1999165841973252</v>
      </c>
      <c r="M236">
        <f ca="1"/>
        <v>0.77530192001734122</v>
      </c>
      <c r="N236">
        <f ca="1"/>
        <v>0.16225080276340303</v>
      </c>
      <c r="O236">
        <f ca="1"/>
        <v>0</v>
      </c>
      <c r="P236">
        <f ca="1"/>
        <v>147.80325809330071</v>
      </c>
      <c r="Q236">
        <f ca="1"/>
        <v>126.15842950223158</v>
      </c>
      <c r="R236">
        <f ca="1"/>
        <v>0</v>
      </c>
      <c r="S236">
        <f ca="1"/>
        <v>0.38820616579433143</v>
      </c>
      <c r="T236">
        <f ca="1"/>
        <v>0</v>
      </c>
      <c r="U236">
        <f ca="1"/>
        <v>0</v>
      </c>
      <c r="V236">
        <f ca="1"/>
        <v>0.99974085694764581</v>
      </c>
      <c r="X236" s="2">
        <f t="shared" ca="1" si="22"/>
        <v>46101</v>
      </c>
      <c r="Y236">
        <f t="shared" ca="1" si="23"/>
        <v>0</v>
      </c>
      <c r="AA236" s="63">
        <f t="shared" ca="1" si="25"/>
        <v>4745.1116570648965</v>
      </c>
      <c r="AB236" s="63">
        <f t="shared" ca="1" si="26"/>
        <v>4745.1116570648965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46102</v>
      </c>
      <c r="K237">
        <f ca="1"/>
        <v>4735.402592296733</v>
      </c>
      <c r="L237">
        <f ca="1"/>
        <v>5.4037026980617497</v>
      </c>
      <c r="M237">
        <f ca="1"/>
        <v>0.73424175483296494</v>
      </c>
      <c r="N237">
        <f ca="1"/>
        <v>0.16031275926170516</v>
      </c>
      <c r="O237">
        <f ca="1"/>
        <v>0</v>
      </c>
      <c r="P237">
        <f ca="1"/>
        <v>153.20696079136246</v>
      </c>
      <c r="Q237">
        <f ca="1"/>
        <v>130.77079498509602</v>
      </c>
      <c r="R237">
        <f ca="1"/>
        <v>0</v>
      </c>
      <c r="S237">
        <f ca="1"/>
        <v>0.36112059459658957</v>
      </c>
      <c r="T237">
        <f ca="1"/>
        <v>0</v>
      </c>
      <c r="U237">
        <f ca="1"/>
        <v>0</v>
      </c>
      <c r="V237">
        <f ca="1"/>
        <v>0.99978130125879239</v>
      </c>
      <c r="X237" s="2">
        <f t="shared" ca="1" si="22"/>
        <v>46102</v>
      </c>
      <c r="Y237">
        <f t="shared" ca="1" si="23"/>
        <v>0</v>
      </c>
      <c r="AA237" s="63">
        <f t="shared" ca="1" si="25"/>
        <v>4740.8062949947935</v>
      </c>
      <c r="AB237" s="63">
        <f t="shared" ca="1" si="26"/>
        <v>4740.8062949947944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46103</v>
      </c>
      <c r="K238">
        <f ca="1"/>
        <v>4730.8663636763886</v>
      </c>
      <c r="L238">
        <f ca="1"/>
        <v>5.4340160577007453</v>
      </c>
      <c r="M238">
        <f ca="1"/>
        <v>0.7378040891557589</v>
      </c>
      <c r="N238">
        <f ca="1"/>
        <v>0.15998334820016522</v>
      </c>
      <c r="O238">
        <f ca="1"/>
        <v>0</v>
      </c>
      <c r="P238">
        <f ca="1"/>
        <v>158.64097684906321</v>
      </c>
      <c r="Q238">
        <f ca="1"/>
        <v>135.40903463267321</v>
      </c>
      <c r="R238">
        <f ca="1"/>
        <v>0</v>
      </c>
      <c r="S238">
        <f ca="1"/>
        <v>0.36630966155162636</v>
      </c>
      <c r="T238">
        <f ca="1"/>
        <v>0</v>
      </c>
      <c r="U238">
        <f ca="1"/>
        <v>0</v>
      </c>
      <c r="V238">
        <f ca="1"/>
        <v>0.99981515879525218</v>
      </c>
      <c r="X238" s="2">
        <f t="shared" ca="1" si="22"/>
        <v>46103</v>
      </c>
      <c r="Y238">
        <f t="shared" ca="1" si="23"/>
        <v>0</v>
      </c>
      <c r="AA238" s="63">
        <f t="shared" ca="1" si="25"/>
        <v>4736.3003797340889</v>
      </c>
      <c r="AB238" s="63">
        <f t="shared" ca="1" si="26"/>
        <v>4736.3003797340889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46104</v>
      </c>
      <c r="K239">
        <f ca="1"/>
        <v>4726.403174385825</v>
      </c>
      <c r="L239">
        <f ca="1"/>
        <v>5.3525645588024986</v>
      </c>
      <c r="M239">
        <f ca="1"/>
        <v>0.73224114840411403</v>
      </c>
      <c r="N239">
        <f ca="1"/>
        <v>0.15713411983511366</v>
      </c>
      <c r="O239">
        <f ca="1"/>
        <v>0</v>
      </c>
      <c r="P239">
        <f ca="1"/>
        <v>163.99354140786571</v>
      </c>
      <c r="Q239">
        <f ca="1"/>
        <v>139.97775082512388</v>
      </c>
      <c r="R239">
        <f ca="1"/>
        <v>0</v>
      </c>
      <c r="S239">
        <f ca="1"/>
        <v>0.37300938746351647</v>
      </c>
      <c r="T239">
        <f ca="1"/>
        <v>0</v>
      </c>
      <c r="U239">
        <f ca="1"/>
        <v>0</v>
      </c>
      <c r="V239">
        <f ca="1"/>
        <v>0.99984305277472307</v>
      </c>
      <c r="X239" s="2">
        <f t="shared" ca="1" si="22"/>
        <v>46104</v>
      </c>
      <c r="Y239">
        <f t="shared" ca="1" si="23"/>
        <v>0</v>
      </c>
      <c r="AA239" s="63">
        <f t="shared" ca="1" si="25"/>
        <v>4731.7557389446274</v>
      </c>
      <c r="AB239" s="63">
        <f t="shared" ca="1" si="26"/>
        <v>4731.7557389446274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46105</v>
      </c>
      <c r="K240">
        <f ca="1"/>
        <v>4721.8867648210398</v>
      </c>
      <c r="L240">
        <f ca="1"/>
        <v>5.3762793683099233</v>
      </c>
      <c r="M240">
        <f ca="1"/>
        <v>0.70574097857468132</v>
      </c>
      <c r="N240">
        <f ca="1"/>
        <v>0.15412882495042335</v>
      </c>
      <c r="O240">
        <f ca="1"/>
        <v>0</v>
      </c>
      <c r="P240">
        <f ca="1"/>
        <v>169.36982077617563</v>
      </c>
      <c r="Q240">
        <f ca="1"/>
        <v>144.56670894702856</v>
      </c>
      <c r="R240">
        <f ca="1"/>
        <v>0</v>
      </c>
      <c r="S240">
        <f ca="1"/>
        <v>0.36237285806263153</v>
      </c>
      <c r="T240">
        <f ca="1"/>
        <v>0</v>
      </c>
      <c r="U240">
        <f ca="1"/>
        <v>0</v>
      </c>
      <c r="V240">
        <f ca="1"/>
        <v>0.9998665930817966</v>
      </c>
      <c r="X240" s="2">
        <f t="shared" ca="1" si="22"/>
        <v>46105</v>
      </c>
      <c r="Y240">
        <f t="shared" ca="1" si="23"/>
        <v>0</v>
      </c>
      <c r="AA240" s="63">
        <f t="shared" ca="1" si="25"/>
        <v>4727.2630441893498</v>
      </c>
      <c r="AB240" s="63">
        <f t="shared" ca="1" si="26"/>
        <v>4727.2630441893498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46106</v>
      </c>
      <c r="K241">
        <f ca="1"/>
        <v>4717.2860464553023</v>
      </c>
      <c r="L241">
        <f ca="1"/>
        <v>5.4374028133869956</v>
      </c>
      <c r="M241">
        <f ca="1"/>
        <v>0.68429837249937009</v>
      </c>
      <c r="N241">
        <f ca="1"/>
        <v>0.15238607514997152</v>
      </c>
      <c r="O241">
        <f ca="1"/>
        <v>0</v>
      </c>
      <c r="P241">
        <f ca="1"/>
        <v>174.80722358956262</v>
      </c>
      <c r="Q241">
        <f ca="1"/>
        <v>149.20783938188612</v>
      </c>
      <c r="R241">
        <f ca="1"/>
        <v>0</v>
      </c>
      <c r="S241">
        <f ca="1"/>
        <v>0.3517859600461396</v>
      </c>
      <c r="T241">
        <f ca="1"/>
        <v>0</v>
      </c>
      <c r="U241">
        <f ca="1"/>
        <v>0</v>
      </c>
      <c r="V241">
        <f ca="1"/>
        <v>0.99988663379624843</v>
      </c>
      <c r="X241" s="2">
        <f t="shared" ca="1" si="22"/>
        <v>46106</v>
      </c>
      <c r="Y241">
        <f t="shared" ca="1" si="23"/>
        <v>0</v>
      </c>
      <c r="AA241" s="63">
        <f t="shared" ca="1" si="25"/>
        <v>4722.7234492686894</v>
      </c>
      <c r="AB241" s="63">
        <f t="shared" ca="1" si="26"/>
        <v>4722.7234492686894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46107</v>
      </c>
      <c r="K242">
        <f ca="1"/>
        <v>4712.6419248142956</v>
      </c>
      <c r="L242">
        <f ca="1"/>
        <v>5.514362770123995</v>
      </c>
      <c r="M242">
        <f ca="1"/>
        <v>0.71425002863907139</v>
      </c>
      <c r="N242">
        <f ca="1"/>
        <v>0.15599110047829209</v>
      </c>
      <c r="O242">
        <f ca="1"/>
        <v>0</v>
      </c>
      <c r="P242">
        <f ca="1"/>
        <v>180.32158635968662</v>
      </c>
      <c r="Q242">
        <f ca="1"/>
        <v>153.91465948692914</v>
      </c>
      <c r="R242">
        <f ca="1"/>
        <v>0</v>
      </c>
      <c r="S242">
        <f ca="1"/>
        <v>0.36646089574929563</v>
      </c>
      <c r="T242">
        <f ca="1"/>
        <v>0</v>
      </c>
      <c r="U242">
        <f ca="1"/>
        <v>0</v>
      </c>
      <c r="V242">
        <f ca="1"/>
        <v>0.99990375574674784</v>
      </c>
      <c r="X242" s="2">
        <f t="shared" ca="1" si="22"/>
        <v>46107</v>
      </c>
      <c r="Y242">
        <f t="shared" ca="1" si="23"/>
        <v>0</v>
      </c>
      <c r="AA242" s="63">
        <f t="shared" ca="1" si="25"/>
        <v>4718.1562875844193</v>
      </c>
      <c r="AB242" s="63">
        <f t="shared" ca="1" si="26"/>
        <v>4718.1562875844193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46108</v>
      </c>
      <c r="K243">
        <f ca="1"/>
        <v>4707.849320487675</v>
      </c>
      <c r="L243">
        <f ca="1"/>
        <v>5.6212417489791449</v>
      </c>
      <c r="M243">
        <f ca="1"/>
        <v>0.67511174800290519</v>
      </c>
      <c r="N243">
        <f ca="1"/>
        <v>0.15352567435578196</v>
      </c>
      <c r="O243">
        <f ca="1"/>
        <v>0</v>
      </c>
      <c r="P243">
        <f ca="1"/>
        <v>185.94282810866576</v>
      </c>
      <c r="Q243">
        <f ca="1"/>
        <v>158.71270683752226</v>
      </c>
      <c r="R243">
        <f ca="1"/>
        <v>0</v>
      </c>
      <c r="S243">
        <f ca="1"/>
        <v>0.34387142167702006</v>
      </c>
      <c r="T243">
        <f ca="1"/>
        <v>0</v>
      </c>
      <c r="U243">
        <f ca="1"/>
        <v>0</v>
      </c>
      <c r="V243">
        <f ca="1"/>
        <v>0.99991845817460612</v>
      </c>
      <c r="X243" s="2">
        <f t="shared" ca="1" si="22"/>
        <v>46108</v>
      </c>
      <c r="Y243">
        <f t="shared" ca="1" si="23"/>
        <v>0</v>
      </c>
      <c r="AA243" s="63">
        <f t="shared" ca="1" si="25"/>
        <v>4713.4705622366537</v>
      </c>
      <c r="AB243" s="63">
        <f t="shared" ca="1" si="26"/>
        <v>4713.4705622366537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46109</v>
      </c>
      <c r="K244">
        <f ca="1"/>
        <v>4703.0543564374275</v>
      </c>
      <c r="L244">
        <f ca="1"/>
        <v>5.6190722157390951</v>
      </c>
      <c r="M244">
        <f ca="1"/>
        <v>0.67125757451731261</v>
      </c>
      <c r="N244">
        <f ca="1"/>
        <v>0.15285059097459114</v>
      </c>
      <c r="O244">
        <f ca="1"/>
        <v>0</v>
      </c>
      <c r="P244">
        <f ca="1"/>
        <v>191.56190032440486</v>
      </c>
      <c r="Q244">
        <f ca="1"/>
        <v>163.50890236894807</v>
      </c>
      <c r="R244">
        <f ca="1"/>
        <v>0</v>
      </c>
      <c r="S244">
        <f ca="1"/>
        <v>0.34470075411529771</v>
      </c>
      <c r="T244">
        <f ca="1"/>
        <v>0</v>
      </c>
      <c r="U244">
        <f ca="1"/>
        <v>0</v>
      </c>
      <c r="V244">
        <f ca="1"/>
        <v>0.99993084910137309</v>
      </c>
      <c r="X244" s="2">
        <f t="shared" ca="1" si="22"/>
        <v>46109</v>
      </c>
      <c r="Y244">
        <f t="shared" ca="1" si="23"/>
        <v>0</v>
      </c>
      <c r="AA244" s="63">
        <f t="shared" ca="1" si="25"/>
        <v>4708.6734286531673</v>
      </c>
      <c r="AB244" s="63">
        <f t="shared" ca="1" si="26"/>
        <v>4708.6734286531664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46110</v>
      </c>
      <c r="K245">
        <f ca="1"/>
        <v>4698.1677934969684</v>
      </c>
      <c r="L245">
        <f ca="1"/>
        <v>5.7337908419216035</v>
      </c>
      <c r="M245">
        <f ca="1"/>
        <v>0.69079393876575068</v>
      </c>
      <c r="N245">
        <f ca="1"/>
        <v>0.15643396269660689</v>
      </c>
      <c r="O245">
        <f ca="1"/>
        <v>0</v>
      </c>
      <c r="P245">
        <f ca="1"/>
        <v>197.29569116632646</v>
      </c>
      <c r="Q245">
        <f ca="1"/>
        <v>168.40301672774308</v>
      </c>
      <c r="R245">
        <f ca="1"/>
        <v>0</v>
      </c>
      <c r="S245">
        <f ca="1"/>
        <v>0.35109943170234853</v>
      </c>
      <c r="T245">
        <f ca="1"/>
        <v>0</v>
      </c>
      <c r="U245">
        <f ca="1"/>
        <v>0</v>
      </c>
      <c r="V245">
        <f ca="1"/>
        <v>0.99994151626445027</v>
      </c>
      <c r="X245" s="2">
        <f t="shared" ca="1" si="22"/>
        <v>46110</v>
      </c>
      <c r="Y245">
        <f t="shared" ca="1" si="23"/>
        <v>0</v>
      </c>
      <c r="AA245" s="63">
        <f t="shared" ca="1" si="25"/>
        <v>4703.9015843388897</v>
      </c>
      <c r="AB245" s="63">
        <f t="shared" ca="1" si="26"/>
        <v>4703.9015843388897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46111</v>
      </c>
      <c r="K246">
        <f ca="1"/>
        <v>4693.3074361430399</v>
      </c>
      <c r="L246">
        <f ca="1"/>
        <v>5.6541043190221671</v>
      </c>
      <c r="M246">
        <f ca="1"/>
        <v>0.64309253782670339</v>
      </c>
      <c r="N246">
        <f ca="1"/>
        <v>0.15065442726727943</v>
      </c>
      <c r="O246">
        <f ca="1"/>
        <v>0</v>
      </c>
      <c r="P246">
        <f ca="1"/>
        <v>202.94979548534863</v>
      </c>
      <c r="Q246">
        <f ca="1"/>
        <v>173.22911413812184</v>
      </c>
      <c r="R246">
        <f ca="1"/>
        <v>0</v>
      </c>
      <c r="S246">
        <f ca="1"/>
        <v>0.33265535519639911</v>
      </c>
      <c r="T246">
        <f ca="1"/>
        <v>0</v>
      </c>
      <c r="U246">
        <f ca="1"/>
        <v>0</v>
      </c>
      <c r="V246">
        <f ca="1"/>
        <v>0.99995040350547248</v>
      </c>
      <c r="X246" s="2">
        <f t="shared" ca="1" si="22"/>
        <v>46111</v>
      </c>
      <c r="Y246">
        <f t="shared" ca="1" si="23"/>
        <v>0</v>
      </c>
      <c r="AA246" s="63">
        <f t="shared" ca="1" si="25"/>
        <v>4698.9615404620617</v>
      </c>
      <c r="AB246" s="63">
        <f t="shared" ca="1" si="26"/>
        <v>4698.9615404620617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46112</v>
      </c>
      <c r="K247">
        <f ca="1"/>
        <v>4688.5506210637077</v>
      </c>
      <c r="L247">
        <f ca="1"/>
        <v>5.5561481859998594</v>
      </c>
      <c r="M247">
        <f ca="1"/>
        <v>0.64948121833464256</v>
      </c>
      <c r="N247">
        <f ca="1"/>
        <v>0.14985188833229426</v>
      </c>
      <c r="O247">
        <f ca="1"/>
        <v>0</v>
      </c>
      <c r="P247">
        <f ca="1"/>
        <v>208.50594367134849</v>
      </c>
      <c r="Q247">
        <f ca="1"/>
        <v>177.97160045587904</v>
      </c>
      <c r="R247">
        <f ca="1"/>
        <v>0</v>
      </c>
      <c r="S247">
        <f ca="1"/>
        <v>0.34243272033747896</v>
      </c>
      <c r="T247">
        <f ca="1"/>
        <v>0</v>
      </c>
      <c r="U247">
        <f ca="1"/>
        <v>0</v>
      </c>
      <c r="V247">
        <f ca="1"/>
        <v>0.99995781446816889</v>
      </c>
      <c r="X247" s="2">
        <f t="shared" ca="1" si="22"/>
        <v>46112</v>
      </c>
      <c r="Y247">
        <f t="shared" ca="1" si="23"/>
        <v>0</v>
      </c>
      <c r="AA247" s="63">
        <f t="shared" ca="1" si="25"/>
        <v>4694.1067692497072</v>
      </c>
      <c r="AB247" s="63">
        <f t="shared" ca="1" si="26"/>
        <v>4694.1067692497072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46113</v>
      </c>
      <c r="K248">
        <f ca="1"/>
        <v>4683.8959376484627</v>
      </c>
      <c r="L248">
        <f ca="1"/>
        <v>5.4175048949510654</v>
      </c>
      <c r="M248">
        <f ca="1"/>
        <v>0.61786064734212687</v>
      </c>
      <c r="N248">
        <f ca="1"/>
        <v>0.14496083236379481</v>
      </c>
      <c r="O248">
        <f ca="1"/>
        <v>0</v>
      </c>
      <c r="P248">
        <f ca="1"/>
        <v>213.92344856629956</v>
      </c>
      <c r="Q248">
        <f ca="1"/>
        <v>182.59574689341051</v>
      </c>
      <c r="R248">
        <f ca="1"/>
        <v>0</v>
      </c>
      <c r="S248">
        <f ca="1"/>
        <v>0.3336961815903815</v>
      </c>
      <c r="T248">
        <f ca="1"/>
        <v>0</v>
      </c>
      <c r="U248">
        <f ca="1"/>
        <v>0</v>
      </c>
      <c r="V248">
        <f ca="1"/>
        <v>0.99996397652332003</v>
      </c>
      <c r="X248" s="2">
        <f t="shared" ca="1" si="22"/>
        <v>46113</v>
      </c>
      <c r="Y248">
        <f t="shared" ca="1" si="23"/>
        <v>0</v>
      </c>
      <c r="AA248" s="63">
        <f t="shared" ca="1" si="25"/>
        <v>4689.3134425434137</v>
      </c>
      <c r="AB248" s="63">
        <f t="shared" ca="1" si="26"/>
        <v>4689.3134425434137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46114</v>
      </c>
      <c r="K249">
        <f ca="1"/>
        <v>4679.3162075354576</v>
      </c>
      <c r="L249">
        <f ca="1"/>
        <v>5.3647528516528666</v>
      </c>
      <c r="M249">
        <f ca="1"/>
        <v>0.63850686408898127</v>
      </c>
      <c r="N249">
        <f ca="1"/>
        <v>0.1465158745585472</v>
      </c>
      <c r="O249">
        <f ca="1"/>
        <v>0</v>
      </c>
      <c r="P249">
        <f ca="1"/>
        <v>219.28820141795242</v>
      </c>
      <c r="Q249">
        <f ca="1"/>
        <v>187.17486648226904</v>
      </c>
      <c r="R249">
        <f ca="1"/>
        <v>0</v>
      </c>
      <c r="S249">
        <f ca="1"/>
        <v>0.34844212563811661</v>
      </c>
      <c r="T249">
        <f ca="1"/>
        <v>0</v>
      </c>
      <c r="U249">
        <f ca="1"/>
        <v>0</v>
      </c>
      <c r="V249">
        <f ca="1"/>
        <v>0.99996920089955732</v>
      </c>
      <c r="X249" s="2">
        <f t="shared" ca="1" si="22"/>
        <v>46114</v>
      </c>
      <c r="Y249">
        <f t="shared" ca="1" si="23"/>
        <v>0</v>
      </c>
      <c r="AA249" s="63">
        <f t="shared" ca="1" si="25"/>
        <v>4684.6809603871106</v>
      </c>
      <c r="AB249" s="63">
        <f t="shared" ca="1" si="26"/>
        <v>4684.6809603871106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46115</v>
      </c>
      <c r="K250">
        <f ca="1"/>
        <v>4674.7026360677646</v>
      </c>
      <c r="L250">
        <f ca="1"/>
        <v>5.4160402567771087</v>
      </c>
      <c r="M250">
        <f ca="1"/>
        <v>0.65315102247785717</v>
      </c>
      <c r="N250">
        <f ca="1"/>
        <v>0.14931776660605367</v>
      </c>
      <c r="O250">
        <f ca="1"/>
        <v>0</v>
      </c>
      <c r="P250">
        <f ca="1"/>
        <v>224.70424167472953</v>
      </c>
      <c r="Q250">
        <f ca="1"/>
        <v>191.7977627683884</v>
      </c>
      <c r="R250">
        <f ca="1"/>
        <v>0</v>
      </c>
      <c r="S250">
        <f ca="1"/>
        <v>0.35432217254631826</v>
      </c>
      <c r="T250">
        <f ca="1"/>
        <v>0</v>
      </c>
      <c r="U250">
        <f ca="1"/>
        <v>0</v>
      </c>
      <c r="V250">
        <f ca="1"/>
        <v>0.99997372119554362</v>
      </c>
      <c r="X250" s="2">
        <f t="shared" ca="1" si="22"/>
        <v>46115</v>
      </c>
      <c r="Y250">
        <f t="shared" ca="1" si="23"/>
        <v>0</v>
      </c>
      <c r="AA250" s="63">
        <f t="shared" ca="1" si="25"/>
        <v>4680.1186763245414</v>
      </c>
      <c r="AB250" s="63">
        <f t="shared" ca="1" si="26"/>
        <v>4680.1186763245414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46116</v>
      </c>
      <c r="K251">
        <f ca="1"/>
        <v>4670.2453394460863</v>
      </c>
      <c r="L251">
        <f ca="1"/>
        <v>5.2061446045760817</v>
      </c>
      <c r="M251">
        <f ca="1"/>
        <v>0.60667636197945285</v>
      </c>
      <c r="N251">
        <f ca="1"/>
        <v>0.14217162091852575</v>
      </c>
      <c r="O251">
        <f ca="1"/>
        <v>0</v>
      </c>
      <c r="P251">
        <f ca="1"/>
        <v>229.91038627930561</v>
      </c>
      <c r="Q251">
        <f ca="1"/>
        <v>196.2415012593236</v>
      </c>
      <c r="R251">
        <f ca="1"/>
        <v>0</v>
      </c>
      <c r="S251">
        <f ca="1"/>
        <v>0.33990409495917834</v>
      </c>
      <c r="T251">
        <f ca="1"/>
        <v>0</v>
      </c>
      <c r="U251">
        <f ca="1"/>
        <v>0</v>
      </c>
      <c r="V251">
        <f ca="1"/>
        <v>0.99997745596860099</v>
      </c>
      <c r="X251" s="2">
        <f t="shared" ca="1" si="22"/>
        <v>46116</v>
      </c>
      <c r="Y251">
        <f t="shared" ca="1" si="23"/>
        <v>0</v>
      </c>
      <c r="AA251" s="63">
        <f t="shared" ca="1" si="25"/>
        <v>4675.4514840506627</v>
      </c>
      <c r="AB251" s="63">
        <f t="shared" ca="1" si="26"/>
        <v>4675.4514840506627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46117</v>
      </c>
      <c r="K252">
        <f ca="1"/>
        <v>4665.8014114062844</v>
      </c>
      <c r="L252">
        <f ca="1"/>
        <v>5.1707769954169294</v>
      </c>
      <c r="M252">
        <f ca="1"/>
        <v>0.58642120065997005</v>
      </c>
      <c r="N252">
        <f ca="1"/>
        <v>0.14042775495570856</v>
      </c>
      <c r="O252">
        <f ca="1"/>
        <v>0</v>
      </c>
      <c r="P252">
        <f ca="1"/>
        <v>235.08116327472254</v>
      </c>
      <c r="Q252">
        <f ca="1"/>
        <v>200.65505149808953</v>
      </c>
      <c r="R252">
        <f ca="1"/>
        <v>0</v>
      </c>
      <c r="S252">
        <f ca="1"/>
        <v>0.33026122950722575</v>
      </c>
      <c r="T252">
        <f ca="1"/>
        <v>0</v>
      </c>
      <c r="U252">
        <f ca="1"/>
        <v>0</v>
      </c>
      <c r="V252">
        <f ca="1"/>
        <v>0.99998065733567743</v>
      </c>
      <c r="X252" s="2">
        <f t="shared" ca="1" si="22"/>
        <v>46117</v>
      </c>
      <c r="Y252">
        <f t="shared" ca="1" si="23"/>
        <v>0</v>
      </c>
      <c r="AA252" s="63">
        <f t="shared" ca="1" si="25"/>
        <v>4670.9721884017017</v>
      </c>
      <c r="AB252" s="63">
        <f t="shared" ca="1" si="26"/>
        <v>4670.9721884017017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46118</v>
      </c>
      <c r="K253">
        <f ca="1"/>
        <v>4661.4112375500117</v>
      </c>
      <c r="L253">
        <f ca="1"/>
        <v>5.1381648922708223</v>
      </c>
      <c r="M253">
        <f ca="1"/>
        <v>0.60540737855120597</v>
      </c>
      <c r="N253">
        <f ca="1"/>
        <v>0.14258365744675072</v>
      </c>
      <c r="O253">
        <f ca="1"/>
        <v>0</v>
      </c>
      <c r="P253">
        <f ca="1"/>
        <v>240.21932816699336</v>
      </c>
      <c r="Q253">
        <f ca="1"/>
        <v>205.04076546471401</v>
      </c>
      <c r="R253">
        <f ca="1"/>
        <v>0</v>
      </c>
      <c r="S253">
        <f ca="1"/>
        <v>0.34230734476119073</v>
      </c>
      <c r="T253">
        <f ca="1"/>
        <v>0</v>
      </c>
      <c r="U253">
        <f ca="1"/>
        <v>0</v>
      </c>
      <c r="V253">
        <f ca="1"/>
        <v>0.99998340635310545</v>
      </c>
      <c r="X253" s="2">
        <f t="shared" ca="1" si="22"/>
        <v>46118</v>
      </c>
      <c r="Y253">
        <f t="shared" ca="1" si="23"/>
        <v>0</v>
      </c>
      <c r="AA253" s="63">
        <f t="shared" ca="1" si="25"/>
        <v>4666.5494024422824</v>
      </c>
      <c r="AB253" s="63">
        <f t="shared" ca="1" si="26"/>
        <v>4666.5494024422824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46119</v>
      </c>
      <c r="K254">
        <f ca="1"/>
        <v>4657.0756729146815</v>
      </c>
      <c r="L254">
        <f ca="1"/>
        <v>5.0767584835210755</v>
      </c>
      <c r="M254">
        <f ca="1"/>
        <v>0.5992166763477087</v>
      </c>
      <c r="N254">
        <f ca="1"/>
        <v>0.14197717184278605</v>
      </c>
      <c r="O254">
        <f ca="1"/>
        <v>0</v>
      </c>
      <c r="P254">
        <f ca="1"/>
        <v>245.29608665051444</v>
      </c>
      <c r="Q254">
        <f ca="1"/>
        <v>209.3740655929077</v>
      </c>
      <c r="R254">
        <f ca="1"/>
        <v>0</v>
      </c>
      <c r="S254">
        <f ca="1"/>
        <v>0.34140974789174228</v>
      </c>
      <c r="T254">
        <f ca="1"/>
        <v>0</v>
      </c>
      <c r="U254">
        <f ca="1"/>
        <v>0</v>
      </c>
      <c r="V254">
        <f ca="1"/>
        <v>0.99998575694684111</v>
      </c>
      <c r="X254" s="2">
        <f t="shared" ca="1" si="22"/>
        <v>46119</v>
      </c>
      <c r="Y254">
        <f t="shared" ca="1" si="23"/>
        <v>0</v>
      </c>
      <c r="AA254" s="63">
        <f t="shared" ca="1" si="25"/>
        <v>4662.1524313982027</v>
      </c>
      <c r="AB254" s="63">
        <f t="shared" ca="1" si="26"/>
        <v>4662.1524313982027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46120</v>
      </c>
      <c r="K255">
        <f ca="1"/>
        <v>4652.9068920339469</v>
      </c>
      <c r="L255">
        <f ca="1"/>
        <v>4.9120789105568008</v>
      </c>
      <c r="M255">
        <f ca="1"/>
        <v>0.60256174276247521</v>
      </c>
      <c r="N255">
        <f ca="1"/>
        <v>0.14073628705924107</v>
      </c>
      <c r="O255">
        <f ca="1"/>
        <v>0</v>
      </c>
      <c r="P255">
        <f ca="1"/>
        <v>250.20816556107124</v>
      </c>
      <c r="Q255">
        <f ca="1"/>
        <v>213.56680240359222</v>
      </c>
      <c r="R255">
        <f ca="1"/>
        <v>0</v>
      </c>
      <c r="S255">
        <f ca="1"/>
        <v>0.35132659296170432</v>
      </c>
      <c r="T255">
        <f ca="1"/>
        <v>0</v>
      </c>
      <c r="U255">
        <f ca="1"/>
        <v>0</v>
      </c>
      <c r="V255">
        <f ca="1"/>
        <v>0.99998773133329188</v>
      </c>
      <c r="X255" s="2">
        <f t="shared" ca="1" si="22"/>
        <v>46120</v>
      </c>
      <c r="Y255">
        <f t="shared" ca="1" si="23"/>
        <v>0</v>
      </c>
      <c r="AA255" s="63">
        <f t="shared" ca="1" si="25"/>
        <v>4657.8189709445032</v>
      </c>
      <c r="AB255" s="63">
        <f t="shared" ca="1" si="26"/>
        <v>4657.8189709445032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46121</v>
      </c>
      <c r="K256">
        <f ca="1"/>
        <v>4648.9594133838918</v>
      </c>
      <c r="L256">
        <f ca="1"/>
        <v>4.7323865519609001</v>
      </c>
      <c r="M256">
        <f ca="1"/>
        <v>0.64180317061138226</v>
      </c>
      <c r="N256">
        <f ca="1"/>
        <v>0.14310473129412835</v>
      </c>
      <c r="O256">
        <f ca="1"/>
        <v>0</v>
      </c>
      <c r="P256">
        <f ca="1"/>
        <v>254.94055211303214</v>
      </c>
      <c r="Q256">
        <f ca="1"/>
        <v>217.60616163622828</v>
      </c>
      <c r="R256">
        <f ca="1"/>
        <v>0</v>
      </c>
      <c r="S256">
        <f ca="1"/>
        <v>0.38387496019388501</v>
      </c>
      <c r="T256">
        <f ca="1"/>
        <v>0</v>
      </c>
      <c r="U256">
        <f ca="1"/>
        <v>0</v>
      </c>
      <c r="V256">
        <f ca="1"/>
        <v>0.99998939033682088</v>
      </c>
      <c r="X256" s="2">
        <f t="shared" ca="1" si="22"/>
        <v>46121</v>
      </c>
      <c r="Y256">
        <f t="shared" ca="1" si="23"/>
        <v>0</v>
      </c>
      <c r="AA256" s="63">
        <f t="shared" ca="1" si="25"/>
        <v>4653.6917999358529</v>
      </c>
      <c r="AB256" s="63">
        <f t="shared" ca="1" si="26"/>
        <v>4653.6917999358529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46122</v>
      </c>
      <c r="K257">
        <f ca="1"/>
        <v>4645.1044441350423</v>
      </c>
      <c r="L257">
        <f ca="1"/>
        <v>4.6391307669611592</v>
      </c>
      <c r="M257">
        <f ca="1"/>
        <v>0.64132480317312002</v>
      </c>
      <c r="N257">
        <f ca="1"/>
        <v>0.1428367149386644</v>
      </c>
      <c r="O257">
        <f ca="1"/>
        <v>0</v>
      </c>
      <c r="P257">
        <f ca="1"/>
        <v>259.5796828799933</v>
      </c>
      <c r="Q257">
        <f ca="1"/>
        <v>221.56592178878094</v>
      </c>
      <c r="R257">
        <f ca="1"/>
        <v>0</v>
      </c>
      <c r="S257">
        <f ca="1"/>
        <v>0.38822300037100638</v>
      </c>
      <c r="T257">
        <f ca="1"/>
        <v>0</v>
      </c>
      <c r="U257">
        <f ca="1"/>
        <v>0</v>
      </c>
      <c r="V257">
        <f ca="1"/>
        <v>0.99999081378848775</v>
      </c>
      <c r="X257" s="2">
        <f t="shared" ca="1" si="22"/>
        <v>46122</v>
      </c>
      <c r="Y257">
        <f t="shared" ca="1" si="23"/>
        <v>0</v>
      </c>
      <c r="AA257" s="63">
        <f t="shared" ca="1" si="25"/>
        <v>4649.7435749020033</v>
      </c>
      <c r="AB257" s="63">
        <f t="shared" ca="1" si="26"/>
        <v>4649.7435749020033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46123</v>
      </c>
      <c r="K258">
        <f ca="1"/>
        <v>4641.4101470193227</v>
      </c>
      <c r="L258">
        <f ca="1"/>
        <v>4.4656987982193073</v>
      </c>
      <c r="M258">
        <f ca="1"/>
        <v>0.63109335338245387</v>
      </c>
      <c r="N258">
        <f ca="1"/>
        <v>0.14030832911663157</v>
      </c>
      <c r="O258">
        <f ca="1"/>
        <v>0</v>
      </c>
      <c r="P258">
        <f ca="1"/>
        <v>264.04538167821261</v>
      </c>
      <c r="Q258">
        <f ca="1"/>
        <v>225.37764795964591</v>
      </c>
      <c r="R258">
        <f ca="1"/>
        <v>0</v>
      </c>
      <c r="S258">
        <f ca="1"/>
        <v>0.39155650711407797</v>
      </c>
      <c r="T258">
        <f ca="1"/>
        <v>0</v>
      </c>
      <c r="U258">
        <f ca="1"/>
        <v>0</v>
      </c>
      <c r="V258">
        <f ca="1"/>
        <v>0.99999201705120233</v>
      </c>
      <c r="X258" s="2">
        <f t="shared" ca="1" si="22"/>
        <v>46123</v>
      </c>
      <c r="Y258">
        <f t="shared" ca="1" si="23"/>
        <v>0</v>
      </c>
      <c r="AA258" s="63">
        <f t="shared" ca="1" si="25"/>
        <v>4645.8758458175416</v>
      </c>
      <c r="AB258" s="63">
        <f t="shared" ca="1" si="26"/>
        <v>4645.8758458175416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46124</v>
      </c>
      <c r="K259">
        <f ca="1"/>
        <v>4637.7916666687943</v>
      </c>
      <c r="L259">
        <f ca="1"/>
        <v>4.4283531446895381</v>
      </c>
      <c r="M259">
        <f ca="1"/>
        <v>0.66499292093661211</v>
      </c>
      <c r="N259">
        <f ca="1"/>
        <v>0.14487987322411208</v>
      </c>
      <c r="O259">
        <f ca="1"/>
        <v>0</v>
      </c>
      <c r="P259">
        <f ca="1"/>
        <v>268.47373482290214</v>
      </c>
      <c r="Q259">
        <f ca="1"/>
        <v>229.15749750574071</v>
      </c>
      <c r="R259">
        <f ca="1"/>
        <v>0</v>
      </c>
      <c r="S259">
        <f ca="1"/>
        <v>0.41373057543208269</v>
      </c>
      <c r="T259">
        <f ca="1"/>
        <v>0</v>
      </c>
      <c r="U259">
        <f ca="1"/>
        <v>0</v>
      </c>
      <c r="V259">
        <f ca="1"/>
        <v>0.99999306741286587</v>
      </c>
      <c r="X259" s="2">
        <f t="shared" ca="1" si="22"/>
        <v>46124</v>
      </c>
      <c r="Y259">
        <f t="shared" ca="1" si="23"/>
        <v>0</v>
      </c>
      <c r="AA259" s="63">
        <f t="shared" ca="1" si="25"/>
        <v>4642.2200198134842</v>
      </c>
      <c r="AB259" s="63">
        <f t="shared" ca="1" si="26"/>
        <v>4642.2200198134842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46125</v>
      </c>
      <c r="K260">
        <f ca="1"/>
        <v>4634.136107222962</v>
      </c>
      <c r="L260">
        <f ca="1"/>
        <v>4.4740515485798937</v>
      </c>
      <c r="M260">
        <f ca="1"/>
        <v>0.67072799407603156</v>
      </c>
      <c r="N260">
        <f ca="1"/>
        <v>0.14776410867242298</v>
      </c>
      <c r="O260">
        <f ca="1"/>
        <v>0</v>
      </c>
      <c r="P260">
        <f ca="1"/>
        <v>272.94778637148204</v>
      </c>
      <c r="Q260">
        <f ca="1"/>
        <v>232.97635322084659</v>
      </c>
      <c r="R260">
        <f ca="1"/>
        <v>0</v>
      </c>
      <c r="S260">
        <f ca="1"/>
        <v>0.41257128308506247</v>
      </c>
      <c r="T260">
        <f ca="1"/>
        <v>0</v>
      </c>
      <c r="U260">
        <f ca="1"/>
        <v>0</v>
      </c>
      <c r="V260">
        <f ca="1"/>
        <v>0.99999400078960199</v>
      </c>
      <c r="X260" s="2">
        <f t="shared" ca="1" si="22"/>
        <v>46125</v>
      </c>
      <c r="Y260">
        <f t="shared" ca="1" si="23"/>
        <v>0</v>
      </c>
      <c r="AA260" s="63">
        <f t="shared" ca="1" si="25"/>
        <v>4638.610158771542</v>
      </c>
      <c r="AB260" s="63">
        <f t="shared" ca="1" si="26"/>
        <v>4638.610158771542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46126</v>
      </c>
      <c r="K261">
        <f ca="1"/>
        <v>4630.6809269487276</v>
      </c>
      <c r="L261">
        <f ca="1"/>
        <v>4.2773130291189432</v>
      </c>
      <c r="M261">
        <f ca="1"/>
        <v>0.67531795141869111</v>
      </c>
      <c r="N261">
        <f ca="1"/>
        <v>0.14681480346520789</v>
      </c>
      <c r="O261">
        <f ca="1"/>
        <v>0</v>
      </c>
      <c r="P261">
        <f ca="1"/>
        <v>277.22509940060098</v>
      </c>
      <c r="Q261">
        <f ca="1"/>
        <v>236.62728149674726</v>
      </c>
      <c r="R261">
        <f ca="1"/>
        <v>0</v>
      </c>
      <c r="S261">
        <f ca="1"/>
        <v>0.42735400407235313</v>
      </c>
      <c r="T261">
        <f ca="1"/>
        <v>0</v>
      </c>
      <c r="U261">
        <f ca="1"/>
        <v>0</v>
      </c>
      <c r="V261">
        <f ca="1"/>
        <v>0.99999478660279306</v>
      </c>
      <c r="X261" s="2">
        <f t="shared" ca="1" si="22"/>
        <v>46126</v>
      </c>
      <c r="Y261">
        <f t="shared" ca="1" si="23"/>
        <v>0</v>
      </c>
      <c r="AA261" s="63">
        <f t="shared" ca="1" si="25"/>
        <v>4634.9582399778465</v>
      </c>
      <c r="AB261" s="63">
        <f t="shared" ca="1" si="26"/>
        <v>4634.9582399778465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46127</v>
      </c>
      <c r="K262">
        <f ca="1"/>
        <v>4627.3643794293212</v>
      </c>
      <c r="L262">
        <f ca="1"/>
        <v>4.1359917643650306</v>
      </c>
      <c r="M262">
        <f ca="1"/>
        <v>0.67343620698690643</v>
      </c>
      <c r="N262">
        <f ca="1"/>
        <v>0.14600803797182887</v>
      </c>
      <c r="O262">
        <f ca="1"/>
        <v>0</v>
      </c>
      <c r="P262">
        <f ca="1"/>
        <v>281.36109116496601</v>
      </c>
      <c r="Q262">
        <f ca="1"/>
        <v>240.15758409059862</v>
      </c>
      <c r="R262">
        <f ca="1"/>
        <v>0</v>
      </c>
      <c r="S262">
        <f ca="1"/>
        <v>0.43460046569033783</v>
      </c>
      <c r="T262">
        <f ca="1"/>
        <v>0</v>
      </c>
      <c r="U262">
        <f ca="1"/>
        <v>0</v>
      </c>
      <c r="V262">
        <f ca="1"/>
        <v>0.99999545839955928</v>
      </c>
      <c r="X262" s="2">
        <f t="shared" ca="1" si="22"/>
        <v>46127</v>
      </c>
      <c r="Y262">
        <f t="shared" ca="1" si="23"/>
        <v>0</v>
      </c>
      <c r="AA262" s="63">
        <f t="shared" ca="1" si="25"/>
        <v>4631.5003711936861</v>
      </c>
      <c r="AB262" s="63">
        <f t="shared" ca="1" si="26"/>
        <v>4631.5003711936861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46128</v>
      </c>
      <c r="K263">
        <f ca="1"/>
        <v>4623.9801743378757</v>
      </c>
      <c r="L263">
        <f ca="1"/>
        <v>4.2653108613147879</v>
      </c>
      <c r="M263">
        <f ca="1"/>
        <v>0.72488440096853424</v>
      </c>
      <c r="N263">
        <f ca="1"/>
        <v>0.15622136890085145</v>
      </c>
      <c r="O263">
        <f ca="1"/>
        <v>0</v>
      </c>
      <c r="P263">
        <f ca="1"/>
        <v>285.6264020262808</v>
      </c>
      <c r="Q263">
        <f ca="1"/>
        <v>243.79826783833175</v>
      </c>
      <c r="R263">
        <f ca="1"/>
        <v>0</v>
      </c>
      <c r="S263">
        <f ca="1"/>
        <v>0.45532517871933342</v>
      </c>
      <c r="T263">
        <f ca="1"/>
        <v>0</v>
      </c>
      <c r="U263">
        <f ca="1"/>
        <v>0</v>
      </c>
      <c r="V263">
        <f ca="1"/>
        <v>0.99999607039795069</v>
      </c>
      <c r="X263" s="2">
        <f t="shared" ca="1" si="22"/>
        <v>46128</v>
      </c>
      <c r="Y263">
        <f t="shared" ca="1" si="23"/>
        <v>0</v>
      </c>
      <c r="AA263" s="63">
        <f t="shared" ca="1" si="25"/>
        <v>4628.2454851991906</v>
      </c>
      <c r="AB263" s="63">
        <f t="shared" ca="1" si="26"/>
        <v>4628.2454851991906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46129</v>
      </c>
      <c r="K264">
        <f ca="1"/>
        <v>4620.7659098670647</v>
      </c>
      <c r="L264">
        <f ca="1"/>
        <v>4.0892374069810558</v>
      </c>
      <c r="M264">
        <f ca="1"/>
        <v>0.7201627697774029</v>
      </c>
      <c r="N264">
        <f ca="1"/>
        <v>0.15481016639236275</v>
      </c>
      <c r="O264">
        <f ca="1"/>
        <v>0</v>
      </c>
      <c r="P264">
        <f ca="1"/>
        <v>289.71563943326186</v>
      </c>
      <c r="Q264">
        <f ca="1"/>
        <v>247.28866294721931</v>
      </c>
      <c r="R264">
        <f ca="1"/>
        <v>0</v>
      </c>
      <c r="S264">
        <f ca="1"/>
        <v>0.46402088717879342</v>
      </c>
      <c r="T264">
        <f ca="1"/>
        <v>0</v>
      </c>
      <c r="U264">
        <f ca="1"/>
        <v>0</v>
      </c>
      <c r="V264">
        <f ca="1"/>
        <v>0.99999658836629679</v>
      </c>
      <c r="X264" s="2">
        <f t="shared" ca="1" si="22"/>
        <v>46129</v>
      </c>
      <c r="Y264">
        <f t="shared" ca="1" si="23"/>
        <v>0</v>
      </c>
      <c r="AA264" s="63">
        <f t="shared" ca="1" si="25"/>
        <v>4624.8551472740455</v>
      </c>
      <c r="AB264" s="63">
        <f t="shared" ca="1" si="26"/>
        <v>4624.8551472740455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46130</v>
      </c>
      <c r="K265">
        <f ca="1"/>
        <v>4617.6371598607602</v>
      </c>
      <c r="L265">
        <f ca="1"/>
        <v>4.0154947555476497</v>
      </c>
      <c r="M265">
        <f ca="1"/>
        <v>0.72980669257901809</v>
      </c>
      <c r="N265">
        <f ca="1"/>
        <v>0.15693805666403571</v>
      </c>
      <c r="O265">
        <f ca="1"/>
        <v>0</v>
      </c>
      <c r="P265">
        <f ca="1"/>
        <v>293.73113418880951</v>
      </c>
      <c r="Q265">
        <f ca="1"/>
        <v>250.71611453772863</v>
      </c>
      <c r="R265">
        <f ca="1"/>
        <v>0</v>
      </c>
      <c r="S265">
        <f ca="1"/>
        <v>0.47387600956269427</v>
      </c>
      <c r="T265">
        <f ca="1"/>
        <v>0</v>
      </c>
      <c r="U265">
        <f ca="1"/>
        <v>0</v>
      </c>
      <c r="V265">
        <f ca="1"/>
        <v>0.9999970384625938</v>
      </c>
      <c r="X265" s="2">
        <f t="shared" ca="1" si="22"/>
        <v>46130</v>
      </c>
      <c r="Y265">
        <f t="shared" ca="1" si="23"/>
        <v>0</v>
      </c>
      <c r="AA265" s="63">
        <f t="shared" ca="1" si="25"/>
        <v>4621.6526546163077</v>
      </c>
      <c r="AB265" s="63">
        <f t="shared" ca="1" si="26"/>
        <v>4621.6526546163077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46131</v>
      </c>
      <c r="K266">
        <f ca="1"/>
        <v>4614.6568185948063</v>
      </c>
      <c r="L266">
        <f ca="1"/>
        <v>3.8496475346004217</v>
      </c>
      <c r="M266">
        <f ca="1"/>
        <v>0.71492289277748</v>
      </c>
      <c r="N266">
        <f ca="1"/>
        <v>0.15438337586910081</v>
      </c>
      <c r="O266">
        <f ca="1"/>
        <v>0</v>
      </c>
      <c r="P266">
        <f ca="1"/>
        <v>297.58078172340993</v>
      </c>
      <c r="Q266">
        <f ca="1"/>
        <v>254.00200615722019</v>
      </c>
      <c r="R266">
        <f ca="1"/>
        <v>0</v>
      </c>
      <c r="S266">
        <f ca="1"/>
        <v>0.47576011276043484</v>
      </c>
      <c r="T266">
        <f ca="1"/>
        <v>0</v>
      </c>
      <c r="U266">
        <f ca="1"/>
        <v>0</v>
      </c>
      <c r="V266">
        <f ca="1"/>
        <v>0.99999742113683332</v>
      </c>
      <c r="X266" s="2">
        <f t="shared" ca="1" si="22"/>
        <v>46131</v>
      </c>
      <c r="Y266">
        <f t="shared" ca="1" si="23"/>
        <v>0</v>
      </c>
      <c r="AA266" s="63">
        <f t="shared" ca="1" si="25"/>
        <v>4618.5064661294064</v>
      </c>
      <c r="AB266" s="63">
        <f t="shared" ca="1" si="26"/>
        <v>4618.5064661294064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46132</v>
      </c>
      <c r="K267">
        <f ca="1"/>
        <v>4611.6668614250866</v>
      </c>
      <c r="L267">
        <f ca="1"/>
        <v>3.8520673777017009</v>
      </c>
      <c r="M267">
        <f ca="1"/>
        <v>0.70665666629170687</v>
      </c>
      <c r="N267">
        <f ca="1"/>
        <v>0.15545354169115017</v>
      </c>
      <c r="O267">
        <f ca="1"/>
        <v>0</v>
      </c>
      <c r="P267">
        <f ca="1"/>
        <v>301.43284910111163</v>
      </c>
      <c r="Q267">
        <f ca="1"/>
        <v>257.2899632494844</v>
      </c>
      <c r="R267">
        <f ca="1"/>
        <v>0</v>
      </c>
      <c r="S267">
        <f ca="1"/>
        <v>0.46720942758765327</v>
      </c>
      <c r="T267">
        <f ca="1"/>
        <v>0</v>
      </c>
      <c r="U267">
        <f ca="1"/>
        <v>0</v>
      </c>
      <c r="V267">
        <f ca="1"/>
        <v>0.99999776106210803</v>
      </c>
      <c r="X267" s="2">
        <f t="shared" ref="X267:X330" ca="1" si="29">IFERROR(J267,$X$9)</f>
        <v>46132</v>
      </c>
      <c r="Y267">
        <f t="shared" ref="Y267:Y330" ca="1" si="30">IFERROR(O267,0)</f>
        <v>0</v>
      </c>
      <c r="AA267" s="63">
        <f t="shared" ca="1" si="25"/>
        <v>4615.5189288027887</v>
      </c>
      <c r="AB267" s="63">
        <f t="shared" ca="1" si="26"/>
        <v>4615.5189288027887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46133</v>
      </c>
      <c r="K268">
        <f ca="1"/>
        <v>4608.8395782073458</v>
      </c>
      <c r="L268">
        <f ca="1"/>
        <v>3.7151841046248251</v>
      </c>
      <c r="M268">
        <f ca="1"/>
        <v>0.72935212005936023</v>
      </c>
      <c r="N268">
        <f ca="1"/>
        <v>0.15854876682567881</v>
      </c>
      <c r="O268">
        <f ca="1"/>
        <v>0</v>
      </c>
      <c r="P268">
        <f ca="1"/>
        <v>305.14803320573645</v>
      </c>
      <c r="Q268">
        <f ca="1"/>
        <v>260.46108273627715</v>
      </c>
      <c r="R268">
        <f ca="1"/>
        <v>0</v>
      </c>
      <c r="S268">
        <f ca="1"/>
        <v>0.49170221625403404</v>
      </c>
      <c r="T268">
        <f ca="1"/>
        <v>0</v>
      </c>
      <c r="U268">
        <f ca="1"/>
        <v>0</v>
      </c>
      <c r="V268">
        <f ca="1"/>
        <v>0.99999805221820348</v>
      </c>
      <c r="X268" s="2">
        <f t="shared" ca="1" si="29"/>
        <v>46133</v>
      </c>
      <c r="Y268">
        <f t="shared" ca="1" si="30"/>
        <v>0</v>
      </c>
      <c r="AA268" s="63">
        <f t="shared" ca="1" si="25"/>
        <v>4612.554762311971</v>
      </c>
      <c r="AB268" s="63">
        <f t="shared" ca="1" si="26"/>
        <v>4612.554762311971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46134</v>
      </c>
      <c r="K269">
        <f ca="1"/>
        <v>4606.3137990521182</v>
      </c>
      <c r="L269">
        <f ca="1"/>
        <v>3.3773102105863586</v>
      </c>
      <c r="M269">
        <f ca="1"/>
        <v>0.69854745937132634</v>
      </c>
      <c r="N269">
        <f ca="1"/>
        <v>0.15298359598707298</v>
      </c>
      <c r="O269">
        <f ca="1"/>
        <v>0</v>
      </c>
      <c r="P269">
        <f ca="1"/>
        <v>308.52534341632281</v>
      </c>
      <c r="Q269">
        <f ca="1"/>
        <v>263.34380776958096</v>
      </c>
      <c r="R269">
        <f ca="1"/>
        <v>0</v>
      </c>
      <c r="S269">
        <f ca="1"/>
        <v>0.51068775148799095</v>
      </c>
      <c r="T269">
        <f ca="1"/>
        <v>0</v>
      </c>
      <c r="U269">
        <f ca="1"/>
        <v>0</v>
      </c>
      <c r="V269">
        <f ca="1"/>
        <v>0.99999828863262219</v>
      </c>
      <c r="X269" s="2">
        <f t="shared" ca="1" si="29"/>
        <v>46134</v>
      </c>
      <c r="Y269">
        <f t="shared" ca="1" si="30"/>
        <v>0</v>
      </c>
      <c r="AA269" s="63">
        <f t="shared" ca="1" si="25"/>
        <v>4609.6911092627042</v>
      </c>
      <c r="AB269" s="63">
        <f t="shared" ca="1" si="26"/>
        <v>4609.6911092627042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46135</v>
      </c>
      <c r="K270">
        <f ca="1"/>
        <v>4603.8110963175423</v>
      </c>
      <c r="L270">
        <f ca="1"/>
        <v>3.3570276851619383</v>
      </c>
      <c r="M270">
        <f ca="1"/>
        <v>0.6992841712207678</v>
      </c>
      <c r="N270">
        <f ca="1"/>
        <v>0.15504077936558924</v>
      </c>
      <c r="O270">
        <f ca="1"/>
        <v>0</v>
      </c>
      <c r="P270">
        <f ca="1"/>
        <v>311.88237110148475</v>
      </c>
      <c r="Q270">
        <f ca="1"/>
        <v>266.20922052176945</v>
      </c>
      <c r="R270">
        <f ca="1"/>
        <v>0</v>
      </c>
      <c r="S270">
        <f ca="1"/>
        <v>0.51126748557606194</v>
      </c>
      <c r="T270">
        <f ca="1"/>
        <v>0</v>
      </c>
      <c r="U270">
        <f ca="1"/>
        <v>0</v>
      </c>
      <c r="V270">
        <f ca="1"/>
        <v>0.99999849941136043</v>
      </c>
      <c r="X270" s="2">
        <f t="shared" ca="1" si="29"/>
        <v>46135</v>
      </c>
      <c r="Y270">
        <f t="shared" ca="1" si="30"/>
        <v>0</v>
      </c>
      <c r="AA270" s="63">
        <f t="shared" ca="1" si="25"/>
        <v>4607.1681240027046</v>
      </c>
      <c r="AB270" s="63">
        <f t="shared" ca="1" si="26"/>
        <v>4607.1681240027046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46136</v>
      </c>
      <c r="K271">
        <f ca="1"/>
        <v>4601.4350011454108</v>
      </c>
      <c r="L271">
        <f ca="1"/>
        <v>3.2185687281728406</v>
      </c>
      <c r="M271">
        <f ca="1"/>
        <v>0.68361839725318418</v>
      </c>
      <c r="N271">
        <f ca="1"/>
        <v>0.15885515878864306</v>
      </c>
      <c r="O271">
        <f ca="1"/>
        <v>0</v>
      </c>
      <c r="P271">
        <f ca="1"/>
        <v>315.10093982965759</v>
      </c>
      <c r="Q271">
        <f ca="1"/>
        <v>268.95645073326421</v>
      </c>
      <c r="R271">
        <f ca="1"/>
        <v>0</v>
      </c>
      <c r="S271">
        <f ca="1"/>
        <v>0.54170228911482421</v>
      </c>
      <c r="T271">
        <f ca="1"/>
        <v>0</v>
      </c>
      <c r="U271">
        <f ca="1"/>
        <v>0</v>
      </c>
      <c r="V271">
        <f ca="1"/>
        <v>0.99999868083095578</v>
      </c>
      <c r="X271" s="2">
        <f t="shared" ca="1" si="29"/>
        <v>46136</v>
      </c>
      <c r="Y271">
        <f t="shared" ca="1" si="30"/>
        <v>0</v>
      </c>
      <c r="AA271" s="63">
        <f t="shared" ca="1" si="25"/>
        <v>4604.6535698735834</v>
      </c>
      <c r="AB271" s="63">
        <f t="shared" ca="1" si="26"/>
        <v>4604.6535698735834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46137</v>
      </c>
      <c r="K272">
        <f ca="1"/>
        <v>4599.0646244212312</v>
      </c>
      <c r="L272">
        <f ca="1"/>
        <v>3.2378966858236709</v>
      </c>
      <c r="M272">
        <f ca="1"/>
        <v>0.69030756372092128</v>
      </c>
      <c r="N272">
        <f ca="1"/>
        <v>0.1772123979233608</v>
      </c>
      <c r="O272">
        <f ca="1"/>
        <v>0</v>
      </c>
      <c r="P272">
        <f ca="1"/>
        <v>318.33883651548126</v>
      </c>
      <c r="Q272">
        <f ca="1"/>
        <v>271.72017844836057</v>
      </c>
      <c r="R272">
        <f ca="1"/>
        <v>0</v>
      </c>
      <c r="S272">
        <f ca="1"/>
        <v>0.60619505816150676</v>
      </c>
      <c r="T272">
        <f ca="1"/>
        <v>0</v>
      </c>
      <c r="U272">
        <f ca="1"/>
        <v>0</v>
      </c>
      <c r="V272">
        <f ca="1"/>
        <v>0.99999884471770417</v>
      </c>
      <c r="X272" s="2">
        <f t="shared" ca="1" si="29"/>
        <v>46137</v>
      </c>
      <c r="Y272">
        <f t="shared" ca="1" si="30"/>
        <v>0</v>
      </c>
      <c r="AA272" s="63">
        <f t="shared" ref="AA272:AA335" ca="1" si="32">K271+M272+N272+O272</f>
        <v>4602.3025211070553</v>
      </c>
      <c r="AB272" s="63">
        <f t="shared" ref="AB272:AB335" ca="1" si="33">K272+L272+R272</f>
        <v>4602.3025211070544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46138</v>
      </c>
      <c r="K273">
        <f ca="1"/>
        <v>4596.7092032581186</v>
      </c>
      <c r="L273">
        <f ca="1"/>
        <v>3.2342224386701446</v>
      </c>
      <c r="M273">
        <f ca="1"/>
        <v>0.69442486892324951</v>
      </c>
      <c r="N273">
        <f ca="1"/>
        <v>0.18437640663452937</v>
      </c>
      <c r="O273">
        <f ca="1"/>
        <v>0</v>
      </c>
      <c r="P273">
        <f ca="1"/>
        <v>321.57305895415141</v>
      </c>
      <c r="Q273">
        <f ca="1"/>
        <v>274.48076998597026</v>
      </c>
      <c r="R273">
        <f ca="1"/>
        <v>0</v>
      </c>
      <c r="S273">
        <f ca="1"/>
        <v>0.62155738926323545</v>
      </c>
      <c r="T273">
        <f ca="1"/>
        <v>0</v>
      </c>
      <c r="U273">
        <f ca="1"/>
        <v>0</v>
      </c>
      <c r="V273">
        <f ca="1"/>
        <v>0.99999899139876092</v>
      </c>
      <c r="X273" s="2">
        <f t="shared" ca="1" si="29"/>
        <v>46138</v>
      </c>
      <c r="Y273">
        <f t="shared" ca="1" si="30"/>
        <v>0</v>
      </c>
      <c r="AA273" s="63">
        <f t="shared" ca="1" si="32"/>
        <v>4599.9434256967888</v>
      </c>
      <c r="AB273" s="63">
        <f t="shared" ca="1" si="33"/>
        <v>4599.9434256967888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46139</v>
      </c>
      <c r="K274">
        <f ca="1"/>
        <v>4594.3314433120067</v>
      </c>
      <c r="L274">
        <f ca="1"/>
        <v>3.2775624421323073</v>
      </c>
      <c r="M274">
        <f ca="1"/>
        <v>0.70658161271254016</v>
      </c>
      <c r="N274">
        <f ca="1"/>
        <v>0.19322088330768028</v>
      </c>
      <c r="O274">
        <f ca="1"/>
        <v>0</v>
      </c>
      <c r="P274">
        <f ca="1"/>
        <v>324.85062139628371</v>
      </c>
      <c r="Q274">
        <f ca="1"/>
        <v>277.27835466461039</v>
      </c>
      <c r="R274">
        <f ca="1"/>
        <v>0</v>
      </c>
      <c r="S274">
        <f ca="1"/>
        <v>0.63199218210303909</v>
      </c>
      <c r="T274">
        <f ca="1"/>
        <v>0</v>
      </c>
      <c r="U274">
        <f ca="1"/>
        <v>0</v>
      </c>
      <c r="V274">
        <f ca="1"/>
        <v>0.99999912422584747</v>
      </c>
      <c r="X274" s="2">
        <f t="shared" ca="1" si="29"/>
        <v>46139</v>
      </c>
      <c r="Y274">
        <f t="shared" ca="1" si="30"/>
        <v>0</v>
      </c>
      <c r="AA274" s="63">
        <f t="shared" ca="1" si="32"/>
        <v>4597.6090057541387</v>
      </c>
      <c r="AB274" s="63">
        <f t="shared" ca="1" si="33"/>
        <v>4597.6090057541387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46140</v>
      </c>
      <c r="K275">
        <f ca="1"/>
        <v>4591.9834872634056</v>
      </c>
      <c r="L275">
        <f ca="1"/>
        <v>3.2623194491767435</v>
      </c>
      <c r="M275">
        <f ca="1"/>
        <v>0.71074604335549907</v>
      </c>
      <c r="N275">
        <f ca="1"/>
        <v>0.20361735722085894</v>
      </c>
      <c r="O275">
        <f ca="1"/>
        <v>0</v>
      </c>
      <c r="P275">
        <f ca="1"/>
        <v>328.11294084546046</v>
      </c>
      <c r="Q275">
        <f ca="1"/>
        <v>280.06292858775703</v>
      </c>
      <c r="R275">
        <f ca="1"/>
        <v>0</v>
      </c>
      <c r="S275">
        <f ca="1"/>
        <v>0.65662987150930041</v>
      </c>
      <c r="T275">
        <f ca="1"/>
        <v>0</v>
      </c>
      <c r="U275">
        <f ca="1"/>
        <v>0</v>
      </c>
      <c r="V275">
        <f ca="1"/>
        <v>0.99999924203440271</v>
      </c>
      <c r="X275" s="2">
        <f t="shared" ca="1" si="29"/>
        <v>46140</v>
      </c>
      <c r="Y275">
        <f t="shared" ca="1" si="30"/>
        <v>0</v>
      </c>
      <c r="AA275" s="63">
        <f t="shared" ca="1" si="32"/>
        <v>4595.2458067125826</v>
      </c>
      <c r="AB275" s="63">
        <f t="shared" ca="1" si="33"/>
        <v>4595.2458067125826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46141</v>
      </c>
      <c r="K276">
        <f ca="1"/>
        <v>4589.9340829833036</v>
      </c>
      <c r="L276">
        <f ca="1"/>
        <v>2.9029266937134253</v>
      </c>
      <c r="M276">
        <f ca="1"/>
        <v>0.66022084559975269</v>
      </c>
      <c r="N276">
        <f ca="1"/>
        <v>0.19330156801130613</v>
      </c>
      <c r="O276">
        <f ca="1"/>
        <v>0</v>
      </c>
      <c r="P276">
        <f ca="1"/>
        <v>331.01586753917388</v>
      </c>
      <c r="Q276">
        <f ca="1"/>
        <v>282.54074049368819</v>
      </c>
      <c r="R276">
        <f ca="1"/>
        <v>0</v>
      </c>
      <c r="S276">
        <f ca="1"/>
        <v>0.67387625532773598</v>
      </c>
      <c r="T276">
        <f ca="1"/>
        <v>0</v>
      </c>
      <c r="U276">
        <f ca="1"/>
        <v>0</v>
      </c>
      <c r="V276">
        <f ca="1"/>
        <v>0.99999933583955791</v>
      </c>
      <c r="X276" s="2">
        <f t="shared" ca="1" si="29"/>
        <v>46141</v>
      </c>
      <c r="Y276">
        <f t="shared" ca="1" si="30"/>
        <v>0</v>
      </c>
      <c r="AA276" s="63">
        <f t="shared" ca="1" si="32"/>
        <v>4592.8370096770168</v>
      </c>
      <c r="AB276" s="63">
        <f t="shared" ca="1" si="33"/>
        <v>4592.8370096770168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46142</v>
      </c>
      <c r="K277">
        <f ca="1"/>
        <v>4588.0548505196939</v>
      </c>
      <c r="L277">
        <f ca="1"/>
        <v>2.7116795000585512</v>
      </c>
      <c r="M277">
        <f ca="1"/>
        <v>0.63557454119924728</v>
      </c>
      <c r="N277">
        <f ca="1"/>
        <v>0.19687249524981223</v>
      </c>
      <c r="O277">
        <f ca="1"/>
        <v>0</v>
      </c>
      <c r="P277">
        <f ca="1"/>
        <v>333.72754703923243</v>
      </c>
      <c r="Q277">
        <f ca="1"/>
        <v>284.85531211716909</v>
      </c>
      <c r="R277">
        <f ca="1"/>
        <v>0</v>
      </c>
      <c r="S277">
        <f ca="1"/>
        <v>0.71300669489482404</v>
      </c>
      <c r="T277">
        <f ca="1"/>
        <v>0</v>
      </c>
      <c r="U277">
        <f ca="1"/>
        <v>0</v>
      </c>
      <c r="V277">
        <f ca="1"/>
        <v>0.999999414866104</v>
      </c>
      <c r="X277" s="2">
        <f t="shared" ca="1" si="29"/>
        <v>46142</v>
      </c>
      <c r="Y277">
        <f t="shared" ca="1" si="30"/>
        <v>0</v>
      </c>
      <c r="AA277" s="63">
        <f t="shared" ca="1" si="32"/>
        <v>4590.7665300197523</v>
      </c>
      <c r="AB277" s="63">
        <f t="shared" ca="1" si="33"/>
        <v>4590.7665300197523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46143</v>
      </c>
      <c r="K278">
        <f ca="1"/>
        <v>4586.2286130023531</v>
      </c>
      <c r="L278">
        <f ca="1"/>
        <v>2.6611513791345942</v>
      </c>
      <c r="M278">
        <f ca="1"/>
        <v>0.63210628039814765</v>
      </c>
      <c r="N278">
        <f ca="1"/>
        <v>0.20280758139559421</v>
      </c>
      <c r="O278">
        <f ca="1"/>
        <v>0</v>
      </c>
      <c r="P278">
        <f ca="1"/>
        <v>336.38869841836703</v>
      </c>
      <c r="Q278">
        <f ca="1"/>
        <v>287.12675513534259</v>
      </c>
      <c r="R278">
        <f ca="1"/>
        <v>0</v>
      </c>
      <c r="S278">
        <f ca="1"/>
        <v>0.73097771354332497</v>
      </c>
      <c r="T278">
        <f ca="1"/>
        <v>0</v>
      </c>
      <c r="U278">
        <f ca="1"/>
        <v>0</v>
      </c>
      <c r="V278">
        <f ca="1"/>
        <v>0.99999948497925339</v>
      </c>
      <c r="X278" s="2">
        <f t="shared" ca="1" si="29"/>
        <v>46143</v>
      </c>
      <c r="Y278">
        <f t="shared" ca="1" si="30"/>
        <v>0</v>
      </c>
      <c r="AA278" s="63">
        <f t="shared" ca="1" si="32"/>
        <v>4588.889764381488</v>
      </c>
      <c r="AB278" s="63">
        <f t="shared" ca="1" si="33"/>
        <v>4588.889764381488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46144</v>
      </c>
      <c r="K279">
        <f ca="1"/>
        <v>4584.5061646613567</v>
      </c>
      <c r="L279">
        <f ca="1"/>
        <v>2.5632530977317742</v>
      </c>
      <c r="M279">
        <f ca="1"/>
        <v>0.62122568482379847</v>
      </c>
      <c r="N279">
        <f ca="1"/>
        <v>0.21957907191177145</v>
      </c>
      <c r="O279">
        <f ca="1"/>
        <v>0</v>
      </c>
      <c r="P279">
        <f ca="1"/>
        <v>338.9519515160988</v>
      </c>
      <c r="Q279">
        <f ca="1"/>
        <v>289.31463644051951</v>
      </c>
      <c r="R279">
        <f ca="1"/>
        <v>0</v>
      </c>
      <c r="S279">
        <f ca="1"/>
        <v>0.79793423855657664</v>
      </c>
      <c r="T279">
        <f ca="1"/>
        <v>0</v>
      </c>
      <c r="U279">
        <f ca="1"/>
        <v>0</v>
      </c>
      <c r="V279">
        <f ca="1"/>
        <v>0.99999954607523844</v>
      </c>
      <c r="X279" s="2">
        <f t="shared" ca="1" si="29"/>
        <v>46144</v>
      </c>
      <c r="Y279">
        <f t="shared" ca="1" si="30"/>
        <v>0</v>
      </c>
      <c r="AA279" s="63">
        <f t="shared" ca="1" si="32"/>
        <v>4587.0694177590885</v>
      </c>
      <c r="AB279" s="63">
        <f t="shared" ca="1" si="33"/>
        <v>4587.0694177590885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46145</v>
      </c>
      <c r="K280">
        <f ca="1"/>
        <v>4582.8713186754258</v>
      </c>
      <c r="L280">
        <f ca="1"/>
        <v>2.465445275381569</v>
      </c>
      <c r="M280">
        <f ca="1"/>
        <v>0.61008609847104367</v>
      </c>
      <c r="N280">
        <f ca="1"/>
        <v>0.22051319097981337</v>
      </c>
      <c r="O280">
        <f ca="1"/>
        <v>0</v>
      </c>
      <c r="P280">
        <f ca="1"/>
        <v>341.41739679148037</v>
      </c>
      <c r="Q280">
        <f ca="1"/>
        <v>291.41903324461089</v>
      </c>
      <c r="R280">
        <f ca="1"/>
        <v>0</v>
      </c>
      <c r="S280">
        <f ca="1"/>
        <v>0.80836902335947591</v>
      </c>
      <c r="T280">
        <f ca="1"/>
        <v>0</v>
      </c>
      <c r="U280">
        <f ca="1"/>
        <v>0</v>
      </c>
      <c r="V280">
        <f ca="1"/>
        <v>0.99999959932552529</v>
      </c>
      <c r="X280" s="2">
        <f t="shared" ca="1" si="29"/>
        <v>46145</v>
      </c>
      <c r="Y280">
        <f t="shared" ca="1" si="30"/>
        <v>0</v>
      </c>
      <c r="AA280" s="63">
        <f t="shared" ca="1" si="32"/>
        <v>4585.3367639508069</v>
      </c>
      <c r="AB280" s="63">
        <f t="shared" ca="1" si="33"/>
        <v>4585.3367639508069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46146</v>
      </c>
      <c r="K281">
        <f ca="1"/>
        <v>4581.3535224341804</v>
      </c>
      <c r="L281">
        <f ca="1"/>
        <v>2.326826840835281</v>
      </c>
      <c r="M281">
        <f ca="1"/>
        <v>0.59214678021811551</v>
      </c>
      <c r="N281">
        <f ca="1"/>
        <v>0.21688381937234996</v>
      </c>
      <c r="O281">
        <f ca="1"/>
        <v>0</v>
      </c>
      <c r="P281">
        <f ca="1"/>
        <v>343.74422363231565</v>
      </c>
      <c r="Q281">
        <f ca="1"/>
        <v>293.40511138490541</v>
      </c>
      <c r="R281">
        <f ca="1"/>
        <v>0</v>
      </c>
      <c r="S281">
        <f ca="1"/>
        <v>0.81402119912615811</v>
      </c>
      <c r="T281">
        <f ca="1"/>
        <v>0</v>
      </c>
      <c r="U281">
        <f ca="1"/>
        <v>0</v>
      </c>
      <c r="V281">
        <f ca="1"/>
        <v>0.99999964498181593</v>
      </c>
      <c r="X281" s="2">
        <f t="shared" ca="1" si="29"/>
        <v>46146</v>
      </c>
      <c r="Y281">
        <f t="shared" ca="1" si="30"/>
        <v>0</v>
      </c>
      <c r="AA281" s="63">
        <f t="shared" ca="1" si="32"/>
        <v>4583.6803492750159</v>
      </c>
      <c r="AB281" s="63">
        <f t="shared" ca="1" si="33"/>
        <v>4583.6803492750159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46147</v>
      </c>
      <c r="K282">
        <f ca="1"/>
        <v>4579.8795281297307</v>
      </c>
      <c r="L282">
        <f ca="1"/>
        <v>2.2874813477426983</v>
      </c>
      <c r="M282">
        <f ca="1"/>
        <v>0.58964540853310154</v>
      </c>
      <c r="N282">
        <f ca="1"/>
        <v>0.22384163476025906</v>
      </c>
      <c r="O282">
        <f ca="1"/>
        <v>0</v>
      </c>
      <c r="P282">
        <f ca="1"/>
        <v>346.03170498005835</v>
      </c>
      <c r="Q282">
        <f ca="1"/>
        <v>295.3576059244013</v>
      </c>
      <c r="R282">
        <f ca="1"/>
        <v>0</v>
      </c>
      <c r="S282">
        <f ca="1"/>
        <v>0.83242699790431884</v>
      </c>
      <c r="T282">
        <f ca="1"/>
        <v>0</v>
      </c>
      <c r="U282">
        <f ca="1"/>
        <v>0</v>
      </c>
      <c r="V282">
        <f ca="1"/>
        <v>0.99999968581980847</v>
      </c>
      <c r="X282" s="2">
        <f t="shared" ca="1" si="29"/>
        <v>46147</v>
      </c>
      <c r="Y282">
        <f t="shared" ca="1" si="30"/>
        <v>0</v>
      </c>
      <c r="AA282" s="63">
        <f t="shared" ca="1" si="32"/>
        <v>4582.1670094774736</v>
      </c>
      <c r="AB282" s="63">
        <f t="shared" ca="1" si="33"/>
        <v>4582.1670094774736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46148</v>
      </c>
      <c r="K283">
        <f ca="1"/>
        <v>4578.4394948219506</v>
      </c>
      <c r="L283">
        <f ca="1"/>
        <v>2.2640001845239794</v>
      </c>
      <c r="M283">
        <f ca="1"/>
        <v>0.5898969542662087</v>
      </c>
      <c r="N283">
        <f ca="1"/>
        <v>0.23406992247783509</v>
      </c>
      <c r="O283">
        <f ca="1"/>
        <v>0</v>
      </c>
      <c r="P283">
        <f ca="1"/>
        <v>348.29570516458233</v>
      </c>
      <c r="Q283">
        <f ca="1"/>
        <v>297.29005796474814</v>
      </c>
      <c r="R283">
        <f ca="1"/>
        <v>0</v>
      </c>
      <c r="S283">
        <f ca="1"/>
        <v>0.85648497012487879</v>
      </c>
      <c r="T283">
        <f ca="1"/>
        <v>0</v>
      </c>
      <c r="U283">
        <f ca="1"/>
        <v>0</v>
      </c>
      <c r="V283">
        <f ca="1"/>
        <v>0.99999972256356118</v>
      </c>
      <c r="X283" s="2">
        <f t="shared" ca="1" si="29"/>
        <v>46148</v>
      </c>
      <c r="Y283">
        <f t="shared" ca="1" si="30"/>
        <v>0</v>
      </c>
      <c r="AA283" s="63">
        <f t="shared" ca="1" si="32"/>
        <v>4580.7034950064744</v>
      </c>
      <c r="AB283" s="63">
        <f t="shared" ca="1" si="33"/>
        <v>4580.7034950064744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46149</v>
      </c>
      <c r="K284">
        <f ca="1"/>
        <v>4577.1135923263409</v>
      </c>
      <c r="L284">
        <f ca="1"/>
        <v>2.1242884785312981</v>
      </c>
      <c r="M284">
        <f ca="1"/>
        <v>0.57081425981237999</v>
      </c>
      <c r="N284">
        <f ca="1"/>
        <v>0.22757172310999957</v>
      </c>
      <c r="O284">
        <f ca="1"/>
        <v>0</v>
      </c>
      <c r="P284">
        <f ca="1"/>
        <v>350.41999364311363</v>
      </c>
      <c r="Q284">
        <f ca="1"/>
        <v>299.10325817236475</v>
      </c>
      <c r="R284">
        <f ca="1"/>
        <v>0</v>
      </c>
      <c r="S284">
        <f ca="1"/>
        <v>0.85590526094209807</v>
      </c>
      <c r="T284">
        <f ca="1"/>
        <v>0</v>
      </c>
      <c r="U284">
        <f ca="1"/>
        <v>0</v>
      </c>
      <c r="V284">
        <f ca="1"/>
        <v>0.99999975394329843</v>
      </c>
      <c r="X284" s="2">
        <f t="shared" ca="1" si="29"/>
        <v>46149</v>
      </c>
      <c r="Y284">
        <f t="shared" ca="1" si="30"/>
        <v>0</v>
      </c>
      <c r="AA284" s="63">
        <f t="shared" ca="1" si="32"/>
        <v>4579.2378808048725</v>
      </c>
      <c r="AB284" s="63">
        <f t="shared" ca="1" si="33"/>
        <v>4579.2378808048725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46150</v>
      </c>
      <c r="K285">
        <f ca="1"/>
        <v>4575.8917551232335</v>
      </c>
      <c r="L285">
        <f ca="1"/>
        <v>2.005605864697884</v>
      </c>
      <c r="M285">
        <f ca="1"/>
        <v>0.55471800367800483</v>
      </c>
      <c r="N285">
        <f ca="1"/>
        <v>0.22905065791244295</v>
      </c>
      <c r="O285">
        <f ca="1"/>
        <v>0</v>
      </c>
      <c r="P285">
        <f ca="1"/>
        <v>352.42559950781151</v>
      </c>
      <c r="Q285">
        <f ca="1"/>
        <v>300.81515606524499</v>
      </c>
      <c r="R285">
        <f ca="1"/>
        <v>0</v>
      </c>
      <c r="S285">
        <f ca="1"/>
        <v>0.87851395744035088</v>
      </c>
      <c r="T285">
        <f ca="1"/>
        <v>0</v>
      </c>
      <c r="U285">
        <f ca="1"/>
        <v>0</v>
      </c>
      <c r="V285">
        <f ca="1"/>
        <v>0.99999978100203535</v>
      </c>
      <c r="X285" s="2">
        <f t="shared" ca="1" si="29"/>
        <v>46150</v>
      </c>
      <c r="Y285">
        <f t="shared" ca="1" si="30"/>
        <v>0</v>
      </c>
      <c r="AA285" s="63">
        <f t="shared" ca="1" si="32"/>
        <v>4577.8973609879313</v>
      </c>
      <c r="AB285" s="63">
        <f t="shared" ca="1" si="33"/>
        <v>4577.8973609879313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46151</v>
      </c>
      <c r="K286">
        <f ca="1"/>
        <v>4574.7914670726677</v>
      </c>
      <c r="L286">
        <f ca="1"/>
        <v>1.8567534333649292</v>
      </c>
      <c r="M286">
        <f ca="1"/>
        <v>0.53321552425558139</v>
      </c>
      <c r="N286">
        <f ca="1"/>
        <v>0.22324985854316703</v>
      </c>
      <c r="O286">
        <f ca="1"/>
        <v>0</v>
      </c>
      <c r="P286">
        <f ca="1"/>
        <v>354.28235294117644</v>
      </c>
      <c r="Q286">
        <f ca="1"/>
        <v>302.40000000000003</v>
      </c>
      <c r="R286">
        <f ca="1"/>
        <v>0</v>
      </c>
      <c r="S286">
        <f ca="1"/>
        <v>0.88720960961426398</v>
      </c>
      <c r="T286">
        <f ca="1"/>
        <v>0</v>
      </c>
      <c r="U286">
        <f ca="1"/>
        <v>0</v>
      </c>
      <c r="V286">
        <f ca="1"/>
        <v>1</v>
      </c>
      <c r="X286" s="2">
        <f t="shared" ca="1" si="29"/>
        <v>46151</v>
      </c>
      <c r="Y286">
        <f t="shared" ca="1" si="30"/>
        <v>0</v>
      </c>
      <c r="AA286" s="63">
        <f t="shared" ca="1" si="32"/>
        <v>4576.6482205060329</v>
      </c>
      <c r="AB286" s="63">
        <f t="shared" ca="1" si="33"/>
        <v>4576.6482205060329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14" sqref="E14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2025-11-20T02:47:42Z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