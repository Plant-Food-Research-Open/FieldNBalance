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0B6CD0E9-846C-4489-9D0A-8BF9820F8A97}" xr6:coauthVersionLast="47" xr6:coauthVersionMax="47" xr10:uidLastSave="{00000000-0000-0000-0000-000000000000}"/>
  <bookViews>
    <workbookView xWindow="-120" yWindow="-120" windowWidth="29040" windowHeight="1572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russel_sprout_">ListMembers!$AX$2:$AX$10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Interface'!$J$11:$V$1004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3" l="1"/>
  <c r="D20" i="1"/>
  <c r="B9" i="3" s="1"/>
  <c r="D24" i="1"/>
  <c r="B12" i="3" s="1"/>
  <c r="D22" i="1"/>
  <c r="B7" i="3" s="1"/>
  <c r="D19" i="1"/>
  <c r="B10" i="3" s="1"/>
  <c r="D21" i="1"/>
  <c r="B8" i="3" s="1"/>
  <c r="D9" i="1"/>
  <c r="D51" i="1" s="1"/>
  <c r="D25" i="1"/>
  <c r="B11" i="3" s="1"/>
  <c r="G4" i="1"/>
  <c r="B13" i="3" s="1"/>
  <c r="G5" i="1"/>
  <c r="B14" i="3" s="1"/>
  <c r="G6" i="1"/>
  <c r="B15" i="3" s="1"/>
  <c r="C25" i="1"/>
  <c r="B1" i="1"/>
  <c r="G55" i="1"/>
  <c r="B28" i="3" s="1"/>
  <c r="G66" i="1"/>
  <c r="B54" i="3" s="1"/>
  <c r="G15" i="1"/>
  <c r="B41" i="3" s="1"/>
  <c r="G65" i="1"/>
  <c r="B53" i="3" s="1"/>
  <c r="G54" i="1"/>
  <c r="B27" i="3" s="1"/>
  <c r="G14" i="1"/>
  <c r="B40" i="3" s="1"/>
  <c r="D7" i="1"/>
  <c r="D8" i="1" s="1"/>
  <c r="D47" i="1"/>
  <c r="D48" i="1"/>
  <c r="D49" i="1"/>
  <c r="D59" i="1"/>
  <c r="D61" i="1" s="1"/>
  <c r="D58" i="1"/>
  <c r="D60" i="1"/>
  <c r="D14" i="3"/>
  <c r="E14" i="3"/>
  <c r="E13" i="3"/>
  <c r="D13" i="3"/>
  <c r="E12" i="3"/>
  <c r="D12" i="3"/>
  <c r="E11" i="3"/>
  <c r="D11" i="3"/>
  <c r="E10" i="3"/>
  <c r="D10" i="3"/>
  <c r="E9" i="3"/>
  <c r="E8" i="3"/>
  <c r="D8" i="3"/>
  <c r="D7" i="3"/>
  <c r="E18" i="3"/>
  <c r="D20" i="3"/>
  <c r="E20" i="3"/>
  <c r="D21" i="3"/>
  <c r="E21" i="3"/>
  <c r="D22" i="3"/>
  <c r="E22" i="3"/>
  <c r="D23" i="3"/>
  <c r="E23" i="3"/>
  <c r="E19" i="3"/>
  <c r="D19" i="3"/>
  <c r="D16" i="3"/>
  <c r="D17" i="3"/>
  <c r="E17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AG20" i="4"/>
  <c r="H21" i="4"/>
  <c r="P21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AA19" i="4"/>
  <c r="B20" i="4"/>
  <c r="J20" i="4"/>
  <c r="R20" i="4"/>
  <c r="Z20" i="4"/>
  <c r="A21" i="4"/>
  <c r="I21" i="4"/>
  <c r="F1" i="4"/>
  <c r="E2" i="4"/>
  <c r="D3" i="4"/>
  <c r="C4" i="4"/>
  <c r="B5" i="4"/>
  <c r="A6" i="4"/>
  <c r="AG6" i="4"/>
  <c r="AF7" i="4"/>
  <c r="AE8" i="4"/>
  <c r="AD9" i="4"/>
  <c r="V10" i="4"/>
  <c r="L11" i="4"/>
  <c r="AD11" i="4"/>
  <c r="T12" i="4"/>
  <c r="J13" i="4"/>
  <c r="AB13" i="4"/>
  <c r="R14" i="4"/>
  <c r="H15" i="4"/>
  <c r="Z15" i="4"/>
  <c r="P16" i="4"/>
  <c r="F17" i="4"/>
  <c r="X17" i="4"/>
  <c r="N18" i="4"/>
  <c r="D19" i="4"/>
  <c r="V19" i="4"/>
  <c r="L20" i="4"/>
  <c r="AB20" i="4"/>
  <c r="K21" i="4"/>
  <c r="V21" i="4"/>
  <c r="AD21" i="4"/>
  <c r="E22" i="4"/>
  <c r="M22" i="4"/>
  <c r="U22" i="4"/>
  <c r="AC22" i="4"/>
  <c r="D23" i="4"/>
  <c r="L23" i="4"/>
  <c r="T23" i="4"/>
  <c r="AB23" i="4"/>
  <c r="C24" i="4"/>
  <c r="K24" i="4"/>
  <c r="S24" i="4"/>
  <c r="AA24" i="4"/>
  <c r="B25" i="4"/>
  <c r="J25" i="4"/>
  <c r="R25" i="4"/>
  <c r="Z25" i="4"/>
  <c r="A26" i="4"/>
  <c r="I26" i="4"/>
  <c r="Q26" i="4"/>
  <c r="Y26" i="4"/>
  <c r="AG26" i="4"/>
  <c r="H27" i="4"/>
  <c r="P27" i="4"/>
  <c r="X27" i="4"/>
  <c r="AF27" i="4"/>
  <c r="G28" i="4"/>
  <c r="O28" i="4"/>
  <c r="W28" i="4"/>
  <c r="AE28" i="4"/>
  <c r="F29" i="4"/>
  <c r="N29" i="4"/>
  <c r="V29" i="4"/>
  <c r="AD29" i="4"/>
  <c r="E30" i="4"/>
  <c r="M30" i="4"/>
  <c r="U30" i="4"/>
  <c r="AC30" i="4"/>
  <c r="D31" i="4"/>
  <c r="L31" i="4"/>
  <c r="T31" i="4"/>
  <c r="AB31" i="4"/>
  <c r="C32" i="4"/>
  <c r="K32" i="4"/>
  <c r="S32" i="4"/>
  <c r="AA32" i="4"/>
  <c r="B33" i="4"/>
  <c r="J33" i="4"/>
  <c r="R33" i="4"/>
  <c r="Z33" i="4"/>
  <c r="A34" i="4"/>
  <c r="I34" i="4"/>
  <c r="Q34" i="4"/>
  <c r="Y34" i="4"/>
  <c r="AG34" i="4"/>
  <c r="H35" i="4"/>
  <c r="G1" i="4"/>
  <c r="F2" i="4"/>
  <c r="E3" i="4"/>
  <c r="D4" i="4"/>
  <c r="C5" i="4"/>
  <c r="B6" i="4"/>
  <c r="A7" i="4"/>
  <c r="AG7" i="4"/>
  <c r="AF8" i="4"/>
  <c r="AE9" i="4"/>
  <c r="W10" i="4"/>
  <c r="M11" i="4"/>
  <c r="C12" i="4"/>
  <c r="U12" i="4"/>
  <c r="K13" i="4"/>
  <c r="A14" i="4"/>
  <c r="S14" i="4"/>
  <c r="I15" i="4"/>
  <c r="AF15" i="4"/>
  <c r="Q16" i="4"/>
  <c r="G17" i="4"/>
  <c r="AD17" i="4"/>
  <c r="O18" i="4"/>
  <c r="E19" i="4"/>
  <c r="AB19" i="4"/>
  <c r="M20" i="4"/>
  <c r="AC20" i="4"/>
  <c r="L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N1" i="4"/>
  <c r="M2" i="4"/>
  <c r="L3" i="4"/>
  <c r="K4" i="4"/>
  <c r="J5" i="4"/>
  <c r="I6" i="4"/>
  <c r="H7" i="4"/>
  <c r="G8" i="4"/>
  <c r="F9" i="4"/>
  <c r="E10" i="4"/>
  <c r="AC10" i="4"/>
  <c r="N11" i="4"/>
  <c r="D12" i="4"/>
  <c r="AA12" i="4"/>
  <c r="L13" i="4"/>
  <c r="B14" i="4"/>
  <c r="Y14" i="4"/>
  <c r="J15" i="4"/>
  <c r="AG15" i="4"/>
  <c r="W16" i="4"/>
  <c r="H17" i="4"/>
  <c r="AE17" i="4"/>
  <c r="U18" i="4"/>
  <c r="F19" i="4"/>
  <c r="AC19" i="4"/>
  <c r="P20" i="4"/>
  <c r="AF20" i="4"/>
  <c r="O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O1" i="4"/>
  <c r="N2" i="4"/>
  <c r="M3" i="4"/>
  <c r="L4" i="4"/>
  <c r="K5" i="4"/>
  <c r="J6" i="4"/>
  <c r="I7" i="4"/>
  <c r="H8" i="4"/>
  <c r="G9" i="4"/>
  <c r="F10" i="4"/>
  <c r="AD10" i="4"/>
  <c r="T11" i="4"/>
  <c r="E12" i="4"/>
  <c r="AB12" i="4"/>
  <c r="R13" i="4"/>
  <c r="C14" i="4"/>
  <c r="Z14" i="4"/>
  <c r="P15" i="4"/>
  <c r="A16" i="4"/>
  <c r="X16" i="4"/>
  <c r="N17" i="4"/>
  <c r="AF17" i="4"/>
  <c r="V18" i="4"/>
  <c r="L19" i="4"/>
  <c r="AD19" i="4"/>
  <c r="S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V1" i="4"/>
  <c r="U2" i="4"/>
  <c r="T3" i="4"/>
  <c r="S4" i="4"/>
  <c r="R5" i="4"/>
  <c r="Q6" i="4"/>
  <c r="P7" i="4"/>
  <c r="O8" i="4"/>
  <c r="N9" i="4"/>
  <c r="M10" i="4"/>
  <c r="AE10" i="4"/>
  <c r="U11" i="4"/>
  <c r="K12" i="4"/>
  <c r="AC12" i="4"/>
  <c r="S13" i="4"/>
  <c r="I14" i="4"/>
  <c r="AA14" i="4"/>
  <c r="Q15" i="4"/>
  <c r="G16" i="4"/>
  <c r="Y16" i="4"/>
  <c r="O17" i="4"/>
  <c r="E18" i="4"/>
  <c r="W18" i="4"/>
  <c r="M19" i="4"/>
  <c r="C20" i="4"/>
  <c r="T20" i="4"/>
  <c r="W1" i="4"/>
  <c r="V2" i="4"/>
  <c r="U3" i="4"/>
  <c r="T4" i="4"/>
  <c r="S5" i="4"/>
  <c r="R6" i="4"/>
  <c r="Q7" i="4"/>
  <c r="P8" i="4"/>
  <c r="O9" i="4"/>
  <c r="N10" i="4"/>
  <c r="D11" i="4"/>
  <c r="V11" i="4"/>
  <c r="L12" i="4"/>
  <c r="B13" i="4"/>
  <c r="T13" i="4"/>
  <c r="J14" i="4"/>
  <c r="AG14" i="4"/>
  <c r="R15" i="4"/>
  <c r="H16" i="4"/>
  <c r="AE16" i="4"/>
  <c r="P17" i="4"/>
  <c r="F18" i="4"/>
  <c r="AC18" i="4"/>
  <c r="N19" i="4"/>
  <c r="D20" i="4"/>
  <c r="U20" i="4"/>
  <c r="D21" i="4"/>
  <c r="S21" i="4"/>
  <c r="AA21" i="4"/>
  <c r="B22" i="4"/>
  <c r="J22" i="4"/>
  <c r="AD1" i="4"/>
  <c r="Z5" i="4"/>
  <c r="V9" i="4"/>
  <c r="M12" i="4"/>
  <c r="A15" i="4"/>
  <c r="V17" i="4"/>
  <c r="E20" i="4"/>
  <c r="T21" i="4"/>
  <c r="I22" i="4"/>
  <c r="Z22" i="4"/>
  <c r="I23" i="4"/>
  <c r="Y23" i="4"/>
  <c r="H24" i="4"/>
  <c r="X24" i="4"/>
  <c r="F25" i="4"/>
  <c r="Q25" i="4"/>
  <c r="AE25" i="4"/>
  <c r="L26" i="4"/>
  <c r="W26" i="4"/>
  <c r="D27" i="4"/>
  <c r="O27" i="4"/>
  <c r="AC27" i="4"/>
  <c r="J28" i="4"/>
  <c r="U28" i="4"/>
  <c r="B29" i="4"/>
  <c r="M29" i="4"/>
  <c r="AA29" i="4"/>
  <c r="H30" i="4"/>
  <c r="S30" i="4"/>
  <c r="AG30" i="4"/>
  <c r="K31" i="4"/>
  <c r="Y31" i="4"/>
  <c r="F32" i="4"/>
  <c r="Q32" i="4"/>
  <c r="AE32" i="4"/>
  <c r="I33" i="4"/>
  <c r="V33" i="4"/>
  <c r="AF33" i="4"/>
  <c r="H34" i="4"/>
  <c r="R34" i="4"/>
  <c r="AA34" i="4"/>
  <c r="C35" i="4"/>
  <c r="L35" i="4"/>
  <c r="T35" i="4"/>
  <c r="AB35" i="4"/>
  <c r="C36" i="4"/>
  <c r="K36" i="4"/>
  <c r="S36" i="4"/>
  <c r="AA36" i="4"/>
  <c r="B37" i="4"/>
  <c r="J37" i="4"/>
  <c r="R37" i="4"/>
  <c r="Z37" i="4"/>
  <c r="A38" i="4"/>
  <c r="I38" i="4"/>
  <c r="Q38" i="4"/>
  <c r="Y38" i="4"/>
  <c r="AG38" i="4"/>
  <c r="H39" i="4"/>
  <c r="P39" i="4"/>
  <c r="X39" i="4"/>
  <c r="AF39" i="4"/>
  <c r="G40" i="4"/>
  <c r="O40" i="4"/>
  <c r="W40" i="4"/>
  <c r="AE40" i="4"/>
  <c r="F41" i="4"/>
  <c r="N41" i="4"/>
  <c r="V41" i="4"/>
  <c r="AD41" i="4"/>
  <c r="E42" i="4"/>
  <c r="M42" i="4"/>
  <c r="U42" i="4"/>
  <c r="AC42" i="4"/>
  <c r="D43" i="4"/>
  <c r="L43" i="4"/>
  <c r="T43" i="4"/>
  <c r="AB43" i="4"/>
  <c r="C44" i="4"/>
  <c r="K44" i="4"/>
  <c r="S44" i="4"/>
  <c r="AA44" i="4"/>
  <c r="B45" i="4"/>
  <c r="J45" i="4"/>
  <c r="R45" i="4"/>
  <c r="Z45" i="4"/>
  <c r="A46" i="4"/>
  <c r="I46" i="4"/>
  <c r="Q46" i="4"/>
  <c r="Y46" i="4"/>
  <c r="AG46" i="4"/>
  <c r="H47" i="4"/>
  <c r="P47" i="4"/>
  <c r="X47" i="4"/>
  <c r="AF47" i="4"/>
  <c r="G48" i="4"/>
  <c r="O48" i="4"/>
  <c r="W48" i="4"/>
  <c r="AE48" i="4"/>
  <c r="F49" i="4"/>
  <c r="N49" i="4"/>
  <c r="V49" i="4"/>
  <c r="AD49" i="4"/>
  <c r="E50" i="4"/>
  <c r="M50" i="4"/>
  <c r="U50" i="4"/>
  <c r="AC50" i="4"/>
  <c r="D51" i="4"/>
  <c r="L51" i="4"/>
  <c r="T51" i="4"/>
  <c r="AB51" i="4"/>
  <c r="C52" i="4"/>
  <c r="K52" i="4"/>
  <c r="S52" i="4"/>
  <c r="AA52" i="4"/>
  <c r="B53" i="4"/>
  <c r="J53" i="4"/>
  <c r="R53" i="4"/>
  <c r="Z53" i="4"/>
  <c r="A54" i="4"/>
  <c r="I54" i="4"/>
  <c r="Q54" i="4"/>
  <c r="Y54" i="4"/>
  <c r="AG54" i="4"/>
  <c r="H55" i="4"/>
  <c r="P55" i="4"/>
  <c r="X55" i="4"/>
  <c r="AF55" i="4"/>
  <c r="G56" i="4"/>
  <c r="O56" i="4"/>
  <c r="W56" i="4"/>
  <c r="AE56" i="4"/>
  <c r="F57" i="4"/>
  <c r="N57" i="4"/>
  <c r="V57" i="4"/>
  <c r="AD57" i="4"/>
  <c r="E58" i="4"/>
  <c r="M58" i="4"/>
  <c r="AE1" i="4"/>
  <c r="AA5" i="4"/>
  <c r="W9" i="4"/>
  <c r="S12" i="4"/>
  <c r="B15" i="4"/>
  <c r="W17" i="4"/>
  <c r="K20" i="4"/>
  <c r="U21" i="4"/>
  <c r="K22" i="4"/>
  <c r="AA22" i="4"/>
  <c r="J23" i="4"/>
  <c r="Z23" i="4"/>
  <c r="I24" i="4"/>
  <c r="Y24" i="4"/>
  <c r="G25" i="4"/>
  <c r="U25" i="4"/>
  <c r="AF25" i="4"/>
  <c r="M26" i="4"/>
  <c r="X26" i="4"/>
  <c r="E27" i="4"/>
  <c r="S27" i="4"/>
  <c r="AD27" i="4"/>
  <c r="K28" i="4"/>
  <c r="V28" i="4"/>
  <c r="C29" i="4"/>
  <c r="Q29" i="4"/>
  <c r="AB29" i="4"/>
  <c r="I30" i="4"/>
  <c r="T30" i="4"/>
  <c r="A31" i="4"/>
  <c r="O31" i="4"/>
  <c r="Z31" i="4"/>
  <c r="G32" i="4"/>
  <c r="R32" i="4"/>
  <c r="AF32" i="4"/>
  <c r="M33" i="4"/>
  <c r="W33" i="4"/>
  <c r="AG33" i="4"/>
  <c r="J34" i="4"/>
  <c r="S34" i="4"/>
  <c r="AB34" i="4"/>
  <c r="D35" i="4"/>
  <c r="M35" i="4"/>
  <c r="U35" i="4"/>
  <c r="AC35" i="4"/>
  <c r="D36" i="4"/>
  <c r="L36" i="4"/>
  <c r="T36" i="4"/>
  <c r="AB36" i="4"/>
  <c r="C37" i="4"/>
  <c r="K37" i="4"/>
  <c r="S37" i="4"/>
  <c r="AA37" i="4"/>
  <c r="B38" i="4"/>
  <c r="J38" i="4"/>
  <c r="R38" i="4"/>
  <c r="Z38" i="4"/>
  <c r="A39" i="4"/>
  <c r="I39" i="4"/>
  <c r="Q39" i="4"/>
  <c r="Y39" i="4"/>
  <c r="AG39" i="4"/>
  <c r="H40" i="4"/>
  <c r="P40" i="4"/>
  <c r="X40" i="4"/>
  <c r="AF40" i="4"/>
  <c r="G41" i="4"/>
  <c r="O41" i="4"/>
  <c r="W41" i="4"/>
  <c r="AE41" i="4"/>
  <c r="F42" i="4"/>
  <c r="N42" i="4"/>
  <c r="V42" i="4"/>
  <c r="AD42" i="4"/>
  <c r="E43" i="4"/>
  <c r="M43" i="4"/>
  <c r="U43" i="4"/>
  <c r="AC43" i="4"/>
  <c r="D44" i="4"/>
  <c r="L44" i="4"/>
  <c r="T44" i="4"/>
  <c r="AB44" i="4"/>
  <c r="C45" i="4"/>
  <c r="K45" i="4"/>
  <c r="S45" i="4"/>
  <c r="AA45" i="4"/>
  <c r="B46" i="4"/>
  <c r="J46" i="4"/>
  <c r="R46" i="4"/>
  <c r="Z46" i="4"/>
  <c r="A47" i="4"/>
  <c r="I47" i="4"/>
  <c r="Q47" i="4"/>
  <c r="Y47" i="4"/>
  <c r="AG47" i="4"/>
  <c r="H48" i="4"/>
  <c r="P48" i="4"/>
  <c r="X48" i="4"/>
  <c r="AF48" i="4"/>
  <c r="G49" i="4"/>
  <c r="O49" i="4"/>
  <c r="W49" i="4"/>
  <c r="AE49" i="4"/>
  <c r="F50" i="4"/>
  <c r="N50" i="4"/>
  <c r="V50" i="4"/>
  <c r="AD50" i="4"/>
  <c r="E51" i="4"/>
  <c r="M51" i="4"/>
  <c r="U51" i="4"/>
  <c r="AC51" i="4"/>
  <c r="D52" i="4"/>
  <c r="L52" i="4"/>
  <c r="T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2" i="4"/>
  <c r="Y6" i="4"/>
  <c r="O10" i="4"/>
  <c r="C13" i="4"/>
  <c r="X15" i="4"/>
  <c r="G18" i="4"/>
  <c r="X20" i="4"/>
  <c r="Z21" i="4"/>
  <c r="L22" i="4"/>
  <c r="AB22" i="4"/>
  <c r="K23" i="4"/>
  <c r="AA23" i="4"/>
  <c r="J24" i="4"/>
  <c r="Z24" i="4"/>
  <c r="H25" i="4"/>
  <c r="V25" i="4"/>
  <c r="AG25" i="4"/>
  <c r="N26" i="4"/>
  <c r="AB26" i="4"/>
  <c r="F27" i="4"/>
  <c r="T27" i="4"/>
  <c r="AE27" i="4"/>
  <c r="L28" i="4"/>
  <c r="Z28" i="4"/>
  <c r="D29" i="4"/>
  <c r="R29" i="4"/>
  <c r="AC29" i="4"/>
  <c r="J30" i="4"/>
  <c r="X30" i="4"/>
  <c r="B31" i="4"/>
  <c r="P31" i="4"/>
  <c r="AA31" i="4"/>
  <c r="H32" i="4"/>
  <c r="V32" i="4"/>
  <c r="AG32" i="4"/>
  <c r="N33" i="4"/>
  <c r="X33" i="4"/>
  <c r="B34" i="4"/>
  <c r="K34" i="4"/>
  <c r="T34" i="4"/>
  <c r="AC34" i="4"/>
  <c r="E35" i="4"/>
  <c r="N35" i="4"/>
  <c r="V35" i="4"/>
  <c r="AD35" i="4"/>
  <c r="E36" i="4"/>
  <c r="M36" i="4"/>
  <c r="U36" i="4"/>
  <c r="AC36" i="4"/>
  <c r="D37" i="4"/>
  <c r="L37" i="4"/>
  <c r="T37" i="4"/>
  <c r="AB37" i="4"/>
  <c r="C38" i="4"/>
  <c r="K38" i="4"/>
  <c r="S38" i="4"/>
  <c r="AA38" i="4"/>
  <c r="B39" i="4"/>
  <c r="J39" i="4"/>
  <c r="R39" i="4"/>
  <c r="Z39" i="4"/>
  <c r="A40" i="4"/>
  <c r="I40" i="4"/>
  <c r="Q40" i="4"/>
  <c r="Y40" i="4"/>
  <c r="AG40" i="4"/>
  <c r="H41" i="4"/>
  <c r="P41" i="4"/>
  <c r="X41" i="4"/>
  <c r="AF41" i="4"/>
  <c r="G42" i="4"/>
  <c r="O42" i="4"/>
  <c r="W42" i="4"/>
  <c r="AE42" i="4"/>
  <c r="F43" i="4"/>
  <c r="N43" i="4"/>
  <c r="V43" i="4"/>
  <c r="AD43" i="4"/>
  <c r="E44" i="4"/>
  <c r="M44" i="4"/>
  <c r="U44" i="4"/>
  <c r="AC44" i="4"/>
  <c r="D45" i="4"/>
  <c r="L45" i="4"/>
  <c r="T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M52" i="4"/>
  <c r="U52" i="4"/>
  <c r="AC52" i="4"/>
  <c r="D53" i="4"/>
  <c r="L53" i="4"/>
  <c r="T53" i="4"/>
  <c r="AB53" i="4"/>
  <c r="AD2" i="4"/>
  <c r="Z6" i="4"/>
  <c r="U10" i="4"/>
  <c r="D13" i="4"/>
  <c r="Y15" i="4"/>
  <c r="M18" i="4"/>
  <c r="AA20" i="4"/>
  <c r="AB21" i="4"/>
  <c r="Q22" i="4"/>
  <c r="AG22" i="4"/>
  <c r="P23" i="4"/>
  <c r="AF23" i="4"/>
  <c r="O24" i="4"/>
  <c r="AE24" i="4"/>
  <c r="I25" i="4"/>
  <c r="W25" i="4"/>
  <c r="D26" i="4"/>
  <c r="O26" i="4"/>
  <c r="AC26" i="4"/>
  <c r="G27" i="4"/>
  <c r="U27" i="4"/>
  <c r="B28" i="4"/>
  <c r="M28" i="4"/>
  <c r="AA28" i="4"/>
  <c r="E29" i="4"/>
  <c r="S29" i="4"/>
  <c r="AG29" i="4"/>
  <c r="K30" i="4"/>
  <c r="Y30" i="4"/>
  <c r="C31" i="4"/>
  <c r="Q31" i="4"/>
  <c r="AE31" i="4"/>
  <c r="I32" i="4"/>
  <c r="W32" i="4"/>
  <c r="A33" i="4"/>
  <c r="O33" i="4"/>
  <c r="Y33" i="4"/>
  <c r="C34" i="4"/>
  <c r="L34" i="4"/>
  <c r="U34" i="4"/>
  <c r="AD34" i="4"/>
  <c r="F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B3" i="4"/>
  <c r="X7" i="4"/>
  <c r="E11" i="4"/>
  <c r="Z13" i="4"/>
  <c r="I16" i="4"/>
  <c r="AD18" i="4"/>
  <c r="C21" i="4"/>
  <c r="AC21" i="4"/>
  <c r="R22" i="4"/>
  <c r="A23" i="4"/>
  <c r="Q23" i="4"/>
  <c r="AG23" i="4"/>
  <c r="P24" i="4"/>
  <c r="AF24" i="4"/>
  <c r="M25" i="4"/>
  <c r="X25" i="4"/>
  <c r="E26" i="4"/>
  <c r="P26" i="4"/>
  <c r="AD26" i="4"/>
  <c r="K27" i="4"/>
  <c r="V27" i="4"/>
  <c r="C28" i="4"/>
  <c r="N28" i="4"/>
  <c r="AB28" i="4"/>
  <c r="I29" i="4"/>
  <c r="T29" i="4"/>
  <c r="A30" i="4"/>
  <c r="L30" i="4"/>
  <c r="Z30" i="4"/>
  <c r="G31" i="4"/>
  <c r="R31" i="4"/>
  <c r="AF31" i="4"/>
  <c r="J32" i="4"/>
  <c r="X32" i="4"/>
  <c r="E33" i="4"/>
  <c r="P33" i="4"/>
  <c r="AB33" i="4"/>
  <c r="D34" i="4"/>
  <c r="M34" i="4"/>
  <c r="V34" i="4"/>
  <c r="AE34" i="4"/>
  <c r="G35" i="4"/>
  <c r="P35" i="4"/>
  <c r="X35" i="4"/>
  <c r="AF35" i="4"/>
  <c r="G36" i="4"/>
  <c r="O36" i="4"/>
  <c r="W36" i="4"/>
  <c r="AE36" i="4"/>
  <c r="F37" i="4"/>
  <c r="N37" i="4"/>
  <c r="V37" i="4"/>
  <c r="AD37" i="4"/>
  <c r="E38" i="4"/>
  <c r="M38" i="4"/>
  <c r="U38" i="4"/>
  <c r="AC38" i="4"/>
  <c r="D39" i="4"/>
  <c r="L39" i="4"/>
  <c r="T39" i="4"/>
  <c r="AB39" i="4"/>
  <c r="C40" i="4"/>
  <c r="K40" i="4"/>
  <c r="S40" i="4"/>
  <c r="AA40" i="4"/>
  <c r="B41" i="4"/>
  <c r="J41" i="4"/>
  <c r="AC3" i="4"/>
  <c r="Y7" i="4"/>
  <c r="F11" i="4"/>
  <c r="AA13" i="4"/>
  <c r="O16" i="4"/>
  <c r="AE18" i="4"/>
  <c r="G21" i="4"/>
  <c r="A22" i="4"/>
  <c r="S22" i="4"/>
  <c r="B23" i="4"/>
  <c r="R23" i="4"/>
  <c r="A24" i="4"/>
  <c r="Q24" i="4"/>
  <c r="AG24" i="4"/>
  <c r="N25" i="4"/>
  <c r="Y25" i="4"/>
  <c r="F26" i="4"/>
  <c r="T26" i="4"/>
  <c r="AE26" i="4"/>
  <c r="L27" i="4"/>
  <c r="W27" i="4"/>
  <c r="D28" i="4"/>
  <c r="R28" i="4"/>
  <c r="AC28" i="4"/>
  <c r="J29" i="4"/>
  <c r="U29" i="4"/>
  <c r="B30" i="4"/>
  <c r="P30" i="4"/>
  <c r="AA30" i="4"/>
  <c r="H31" i="4"/>
  <c r="S31" i="4"/>
  <c r="AG31" i="4"/>
  <c r="N32" i="4"/>
  <c r="Y32" i="4"/>
  <c r="F33" i="4"/>
  <c r="Q33" i="4"/>
  <c r="AC33" i="4"/>
  <c r="E34" i="4"/>
  <c r="N34" i="4"/>
  <c r="W34" i="4"/>
  <c r="AF34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AB40" i="4"/>
  <c r="AA4" i="4"/>
  <c r="W8" i="4"/>
  <c r="AB11" i="4"/>
  <c r="K14" i="4"/>
  <c r="AF16" i="4"/>
  <c r="T19" i="4"/>
  <c r="J21" i="4"/>
  <c r="C22" i="4"/>
  <c r="T22" i="4"/>
  <c r="C23" i="4"/>
  <c r="S23" i="4"/>
  <c r="B24" i="4"/>
  <c r="R24" i="4"/>
  <c r="A25" i="4"/>
  <c r="O25" i="4"/>
  <c r="AC25" i="4"/>
  <c r="G26" i="4"/>
  <c r="U26" i="4"/>
  <c r="AF26" i="4"/>
  <c r="M27" i="4"/>
  <c r="AA27" i="4"/>
  <c r="E28" i="4"/>
  <c r="S28" i="4"/>
  <c r="AD28" i="4"/>
  <c r="K29" i="4"/>
  <c r="Y29" i="4"/>
  <c r="C30" i="4"/>
  <c r="Q30" i="4"/>
  <c r="AB30" i="4"/>
  <c r="I31" i="4"/>
  <c r="W31" i="4"/>
  <c r="A32" i="4"/>
  <c r="O32" i="4"/>
  <c r="Z32" i="4"/>
  <c r="G33" i="4"/>
  <c r="T33" i="4"/>
  <c r="AD33" i="4"/>
  <c r="F34" i="4"/>
  <c r="O34" i="4"/>
  <c r="X34" i="4"/>
  <c r="A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B4" i="4"/>
  <c r="Y22" i="4"/>
  <c r="H26" i="4"/>
  <c r="L29" i="4"/>
  <c r="P32" i="4"/>
  <c r="B35" i="4"/>
  <c r="A37" i="4"/>
  <c r="AF38" i="4"/>
  <c r="M40" i="4"/>
  <c r="E41" i="4"/>
  <c r="Z41" i="4"/>
  <c r="I42" i="4"/>
  <c r="Y42" i="4"/>
  <c r="H43" i="4"/>
  <c r="X43" i="4"/>
  <c r="G44" i="4"/>
  <c r="W44" i="4"/>
  <c r="F45" i="4"/>
  <c r="V45" i="4"/>
  <c r="AG45" i="4"/>
  <c r="N46" i="4"/>
  <c r="AB46" i="4"/>
  <c r="F47" i="4"/>
  <c r="T47" i="4"/>
  <c r="AE47" i="4"/>
  <c r="L48" i="4"/>
  <c r="Z48" i="4"/>
  <c r="D49" i="4"/>
  <c r="R49" i="4"/>
  <c r="AC49" i="4"/>
  <c r="J50" i="4"/>
  <c r="X50" i="4"/>
  <c r="B51" i="4"/>
  <c r="P51" i="4"/>
  <c r="AA51" i="4"/>
  <c r="H52" i="4"/>
  <c r="V52" i="4"/>
  <c r="AG52" i="4"/>
  <c r="N53" i="4"/>
  <c r="Y53" i="4"/>
  <c r="E54" i="4"/>
  <c r="O54" i="4"/>
  <c r="AA54" i="4"/>
  <c r="D55" i="4"/>
  <c r="N55" i="4"/>
  <c r="Z55" i="4"/>
  <c r="C56" i="4"/>
  <c r="M56" i="4"/>
  <c r="Y56" i="4"/>
  <c r="B57" i="4"/>
  <c r="L57" i="4"/>
  <c r="X57" i="4"/>
  <c r="A58" i="4"/>
  <c r="K58" i="4"/>
  <c r="U58" i="4"/>
  <c r="AE58" i="4"/>
  <c r="G59" i="4"/>
  <c r="P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S73" i="4"/>
  <c r="AA73" i="4"/>
  <c r="B74" i="4"/>
  <c r="J74" i="4"/>
  <c r="R74" i="4"/>
  <c r="Z74" i="4"/>
  <c r="A75" i="4"/>
  <c r="I75" i="4"/>
  <c r="Q75" i="4"/>
  <c r="Y75" i="4"/>
  <c r="AG75" i="4"/>
  <c r="H76" i="4"/>
  <c r="P76" i="4"/>
  <c r="X76" i="4"/>
  <c r="AF76" i="4"/>
  <c r="G77" i="4"/>
  <c r="O77" i="4"/>
  <c r="W77" i="4"/>
  <c r="AE77" i="4"/>
  <c r="F78" i="4"/>
  <c r="N78" i="4"/>
  <c r="V78" i="4"/>
  <c r="AD78" i="4"/>
  <c r="E79" i="4"/>
  <c r="M79" i="4"/>
  <c r="U79" i="4"/>
  <c r="AC79" i="4"/>
  <c r="D80" i="4"/>
  <c r="L80" i="4"/>
  <c r="T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X8" i="4"/>
  <c r="H23" i="4"/>
  <c r="V26" i="4"/>
  <c r="Z29" i="4"/>
  <c r="AD32" i="4"/>
  <c r="K35" i="4"/>
  <c r="I37" i="4"/>
  <c r="G39" i="4"/>
  <c r="N40" i="4"/>
  <c r="K41" i="4"/>
  <c r="AA41" i="4"/>
  <c r="J42" i="4"/>
  <c r="Z42" i="4"/>
  <c r="I43" i="4"/>
  <c r="Y43" i="4"/>
  <c r="H44" i="4"/>
  <c r="X44" i="4"/>
  <c r="G45" i="4"/>
  <c r="W45" i="4"/>
  <c r="D46" i="4"/>
  <c r="O46" i="4"/>
  <c r="AC46" i="4"/>
  <c r="G47" i="4"/>
  <c r="U47" i="4"/>
  <c r="B48" i="4"/>
  <c r="M48" i="4"/>
  <c r="AA48" i="4"/>
  <c r="E49" i="4"/>
  <c r="S49" i="4"/>
  <c r="AG49" i="4"/>
  <c r="K50" i="4"/>
  <c r="Y50" i="4"/>
  <c r="C51" i="4"/>
  <c r="Q51" i="4"/>
  <c r="AE51" i="4"/>
  <c r="I52" i="4"/>
  <c r="W52" i="4"/>
  <c r="A53" i="4"/>
  <c r="O53" i="4"/>
  <c r="AC53" i="4"/>
  <c r="F54" i="4"/>
  <c r="P54" i="4"/>
  <c r="AB54" i="4"/>
  <c r="E55" i="4"/>
  <c r="O55" i="4"/>
  <c r="AA55" i="4"/>
  <c r="D56" i="4"/>
  <c r="N56" i="4"/>
  <c r="Z56" i="4"/>
  <c r="C57" i="4"/>
  <c r="M57" i="4"/>
  <c r="Y57" i="4"/>
  <c r="B58" i="4"/>
  <c r="L58" i="4"/>
  <c r="W58" i="4"/>
  <c r="AF58" i="4"/>
  <c r="H59" i="4"/>
  <c r="Q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AC11" i="4"/>
  <c r="X23" i="4"/>
  <c r="C27" i="4"/>
  <c r="D30" i="4"/>
  <c r="H33" i="4"/>
  <c r="S35" i="4"/>
  <c r="Q37" i="4"/>
  <c r="O39" i="4"/>
  <c r="U40" i="4"/>
  <c r="L41" i="4"/>
  <c r="AB41" i="4"/>
  <c r="K42" i="4"/>
  <c r="AA42" i="4"/>
  <c r="J43" i="4"/>
  <c r="Z43" i="4"/>
  <c r="I44" i="4"/>
  <c r="Y44" i="4"/>
  <c r="H45" i="4"/>
  <c r="X45" i="4"/>
  <c r="E46" i="4"/>
  <c r="P46" i="4"/>
  <c r="AD46" i="4"/>
  <c r="K47" i="4"/>
  <c r="V47" i="4"/>
  <c r="C48" i="4"/>
  <c r="N48" i="4"/>
  <c r="AB48" i="4"/>
  <c r="I49" i="4"/>
  <c r="T49" i="4"/>
  <c r="A50" i="4"/>
  <c r="L50" i="4"/>
  <c r="Z50" i="4"/>
  <c r="G51" i="4"/>
  <c r="R51" i="4"/>
  <c r="AF51" i="4"/>
  <c r="J52" i="4"/>
  <c r="X52" i="4"/>
  <c r="E53" i="4"/>
  <c r="P53" i="4"/>
  <c r="AD53" i="4"/>
  <c r="G54" i="4"/>
  <c r="S54" i="4"/>
  <c r="AC54" i="4"/>
  <c r="F55" i="4"/>
  <c r="R55" i="4"/>
  <c r="AB55" i="4"/>
  <c r="E56" i="4"/>
  <c r="Q56" i="4"/>
  <c r="AA56" i="4"/>
  <c r="D57" i="4"/>
  <c r="P57" i="4"/>
  <c r="Z57" i="4"/>
  <c r="C58" i="4"/>
  <c r="O58" i="4"/>
  <c r="X58" i="4"/>
  <c r="AG58" i="4"/>
  <c r="I59" i="4"/>
  <c r="R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A69" i="4"/>
  <c r="I69" i="4"/>
  <c r="Q69" i="4"/>
  <c r="Y69" i="4"/>
  <c r="AG69" i="4"/>
  <c r="H70" i="4"/>
  <c r="P70" i="4"/>
  <c r="X70" i="4"/>
  <c r="AF70" i="4"/>
  <c r="G71" i="4"/>
  <c r="O71" i="4"/>
  <c r="W71" i="4"/>
  <c r="AE71" i="4"/>
  <c r="F72" i="4"/>
  <c r="N72" i="4"/>
  <c r="V72" i="4"/>
  <c r="AD72" i="4"/>
  <c r="E73" i="4"/>
  <c r="M73" i="4"/>
  <c r="U73" i="4"/>
  <c r="AC73" i="4"/>
  <c r="D74" i="4"/>
  <c r="L74" i="4"/>
  <c r="T74" i="4"/>
  <c r="AB74" i="4"/>
  <c r="C75" i="4"/>
  <c r="K75" i="4"/>
  <c r="S75" i="4"/>
  <c r="AA75" i="4"/>
  <c r="B76" i="4"/>
  <c r="Q14" i="4"/>
  <c r="G24" i="4"/>
  <c r="N27" i="4"/>
  <c r="R30" i="4"/>
  <c r="U33" i="4"/>
  <c r="AA35" i="4"/>
  <c r="Y37" i="4"/>
  <c r="W39" i="4"/>
  <c r="V40" i="4"/>
  <c r="M41" i="4"/>
  <c r="AC41" i="4"/>
  <c r="L42" i="4"/>
  <c r="AB42" i="4"/>
  <c r="K43" i="4"/>
  <c r="AA43" i="4"/>
  <c r="J44" i="4"/>
  <c r="Z44" i="4"/>
  <c r="I45" i="4"/>
  <c r="Y45" i="4"/>
  <c r="F46" i="4"/>
  <c r="T46" i="4"/>
  <c r="AE46" i="4"/>
  <c r="L47" i="4"/>
  <c r="W47" i="4"/>
  <c r="D48" i="4"/>
  <c r="R48" i="4"/>
  <c r="AC48" i="4"/>
  <c r="J49" i="4"/>
  <c r="U49" i="4"/>
  <c r="B50" i="4"/>
  <c r="P50" i="4"/>
  <c r="AA50" i="4"/>
  <c r="H51" i="4"/>
  <c r="S51" i="4"/>
  <c r="AG51" i="4"/>
  <c r="N52" i="4"/>
  <c r="Y52" i="4"/>
  <c r="F53" i="4"/>
  <c r="Q53" i="4"/>
  <c r="AE53" i="4"/>
  <c r="H54" i="4"/>
  <c r="T54" i="4"/>
  <c r="AD54" i="4"/>
  <c r="G55" i="4"/>
  <c r="S55" i="4"/>
  <c r="AC55" i="4"/>
  <c r="F56" i="4"/>
  <c r="R56" i="4"/>
  <c r="AB56" i="4"/>
  <c r="E57" i="4"/>
  <c r="Q57" i="4"/>
  <c r="AA57" i="4"/>
  <c r="D58" i="4"/>
  <c r="P58" i="4"/>
  <c r="Y58" i="4"/>
  <c r="A59" i="4"/>
  <c r="J59" i="4"/>
  <c r="S59" i="4"/>
  <c r="AB59" i="4"/>
  <c r="C60" i="4"/>
  <c r="K60" i="4"/>
  <c r="S60" i="4"/>
  <c r="AA60" i="4"/>
  <c r="B61" i="4"/>
  <c r="J61" i="4"/>
  <c r="R61" i="4"/>
  <c r="Z61" i="4"/>
  <c r="A62" i="4"/>
  <c r="I62" i="4"/>
  <c r="Q62" i="4"/>
  <c r="Y62" i="4"/>
  <c r="AG62" i="4"/>
  <c r="H63" i="4"/>
  <c r="P63" i="4"/>
  <c r="X63" i="4"/>
  <c r="AF63" i="4"/>
  <c r="G64" i="4"/>
  <c r="O64" i="4"/>
  <c r="W64" i="4"/>
  <c r="AE64" i="4"/>
  <c r="F65" i="4"/>
  <c r="N65" i="4"/>
  <c r="V65" i="4"/>
  <c r="AD65" i="4"/>
  <c r="E66" i="4"/>
  <c r="M66" i="4"/>
  <c r="U66" i="4"/>
  <c r="AC66" i="4"/>
  <c r="D67" i="4"/>
  <c r="L67" i="4"/>
  <c r="T67" i="4"/>
  <c r="AB67" i="4"/>
  <c r="C68" i="4"/>
  <c r="K68" i="4"/>
  <c r="S68" i="4"/>
  <c r="AA68" i="4"/>
  <c r="B69" i="4"/>
  <c r="J69" i="4"/>
  <c r="R69" i="4"/>
  <c r="Z69" i="4"/>
  <c r="A70" i="4"/>
  <c r="I70" i="4"/>
  <c r="Q70" i="4"/>
  <c r="Y70" i="4"/>
  <c r="AG70" i="4"/>
  <c r="H71" i="4"/>
  <c r="P71" i="4"/>
  <c r="X71" i="4"/>
  <c r="AF71" i="4"/>
  <c r="G72" i="4"/>
  <c r="O72" i="4"/>
  <c r="W72" i="4"/>
  <c r="AE72" i="4"/>
  <c r="F73" i="4"/>
  <c r="N73" i="4"/>
  <c r="V73" i="4"/>
  <c r="AD73" i="4"/>
  <c r="E74" i="4"/>
  <c r="M74" i="4"/>
  <c r="U74" i="4"/>
  <c r="AC74" i="4"/>
  <c r="D75" i="4"/>
  <c r="L75" i="4"/>
  <c r="T75" i="4"/>
  <c r="AB75" i="4"/>
  <c r="C76" i="4"/>
  <c r="K76" i="4"/>
  <c r="S76" i="4"/>
  <c r="AG16" i="4"/>
  <c r="W24" i="4"/>
  <c r="AB27" i="4"/>
  <c r="AF30" i="4"/>
  <c r="AE33" i="4"/>
  <c r="B36" i="4"/>
  <c r="AG37" i="4"/>
  <c r="AD39" i="4"/>
  <c r="AC40" i="4"/>
  <c r="R41" i="4"/>
  <c r="A42" i="4"/>
  <c r="Q42" i="4"/>
  <c r="AG42" i="4"/>
  <c r="P43" i="4"/>
  <c r="AF43" i="4"/>
  <c r="O44" i="4"/>
  <c r="AE44" i="4"/>
  <c r="N45" i="4"/>
  <c r="AC45" i="4"/>
  <c r="G46" i="4"/>
  <c r="U46" i="4"/>
  <c r="AF46" i="4"/>
  <c r="M47" i="4"/>
  <c r="AA47" i="4"/>
  <c r="E48" i="4"/>
  <c r="S48" i="4"/>
  <c r="AD48" i="4"/>
  <c r="K49" i="4"/>
  <c r="Y49" i="4"/>
  <c r="C50" i="4"/>
  <c r="Q50" i="4"/>
  <c r="AB50" i="4"/>
  <c r="I51" i="4"/>
  <c r="W51" i="4"/>
  <c r="A52" i="4"/>
  <c r="O52" i="4"/>
  <c r="Z52" i="4"/>
  <c r="G53" i="4"/>
  <c r="U53" i="4"/>
  <c r="AF53" i="4"/>
  <c r="K54" i="4"/>
  <c r="U54" i="4"/>
  <c r="AE54" i="4"/>
  <c r="J55" i="4"/>
  <c r="T55" i="4"/>
  <c r="AD55" i="4"/>
  <c r="I56" i="4"/>
  <c r="S56" i="4"/>
  <c r="AC56" i="4"/>
  <c r="H57" i="4"/>
  <c r="R57" i="4"/>
  <c r="AB57" i="4"/>
  <c r="G58" i="4"/>
  <c r="Q58" i="4"/>
  <c r="Z58" i="4"/>
  <c r="B59" i="4"/>
  <c r="K59" i="4"/>
  <c r="T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D22" i="4"/>
  <c r="AD25" i="4"/>
  <c r="A29" i="4"/>
  <c r="B32" i="4"/>
  <c r="Z34" i="4"/>
  <c r="Z36" i="4"/>
  <c r="X38" i="4"/>
  <c r="F40" i="4"/>
  <c r="D41" i="4"/>
  <c r="U41" i="4"/>
  <c r="D42" i="4"/>
  <c r="T42" i="4"/>
  <c r="C43" i="4"/>
  <c r="S43" i="4"/>
  <c r="B44" i="4"/>
  <c r="R44" i="4"/>
  <c r="A45" i="4"/>
  <c r="Q45" i="4"/>
  <c r="AF45" i="4"/>
  <c r="M46" i="4"/>
  <c r="X46" i="4"/>
  <c r="E47" i="4"/>
  <c r="S47" i="4"/>
  <c r="AD47" i="4"/>
  <c r="K48" i="4"/>
  <c r="V48" i="4"/>
  <c r="C49" i="4"/>
  <c r="Q49" i="4"/>
  <c r="AB49" i="4"/>
  <c r="I50" i="4"/>
  <c r="T50" i="4"/>
  <c r="A51" i="4"/>
  <c r="O51" i="4"/>
  <c r="Z51" i="4"/>
  <c r="G52" i="4"/>
  <c r="R52" i="4"/>
  <c r="AF52" i="4"/>
  <c r="M53" i="4"/>
  <c r="X53" i="4"/>
  <c r="D54" i="4"/>
  <c r="N54" i="4"/>
  <c r="X54" i="4"/>
  <c r="C55" i="4"/>
  <c r="M55" i="4"/>
  <c r="W55" i="4"/>
  <c r="B56" i="4"/>
  <c r="L56" i="4"/>
  <c r="V56" i="4"/>
  <c r="A57" i="4"/>
  <c r="K57" i="4"/>
  <c r="U57" i="4"/>
  <c r="AG57" i="4"/>
  <c r="J58" i="4"/>
  <c r="T58" i="4"/>
  <c r="AC58" i="4"/>
  <c r="F59" i="4"/>
  <c r="O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U19" i="4"/>
  <c r="G34" i="4"/>
  <c r="AD40" i="4"/>
  <c r="A43" i="4"/>
  <c r="AF44" i="4"/>
  <c r="V46" i="4"/>
  <c r="F48" i="4"/>
  <c r="Z49" i="4"/>
  <c r="J51" i="4"/>
  <c r="AD52" i="4"/>
  <c r="L54" i="4"/>
  <c r="U55" i="4"/>
  <c r="AD56" i="4"/>
  <c r="H58" i="4"/>
  <c r="L59" i="4"/>
  <c r="M60" i="4"/>
  <c r="L61" i="4"/>
  <c r="K62" i="4"/>
  <c r="J63" i="4"/>
  <c r="I64" i="4"/>
  <c r="H65" i="4"/>
  <c r="G66" i="4"/>
  <c r="AE66" i="4"/>
  <c r="P67" i="4"/>
  <c r="F68" i="4"/>
  <c r="AC68" i="4"/>
  <c r="N69" i="4"/>
  <c r="D70" i="4"/>
  <c r="AA70" i="4"/>
  <c r="L71" i="4"/>
  <c r="B72" i="4"/>
  <c r="R72" i="4"/>
  <c r="A73" i="4"/>
  <c r="Q73" i="4"/>
  <c r="AG73" i="4"/>
  <c r="P74" i="4"/>
  <c r="AF74" i="4"/>
  <c r="O75" i="4"/>
  <c r="AE75" i="4"/>
  <c r="M76" i="4"/>
  <c r="Z76" i="4"/>
  <c r="C77" i="4"/>
  <c r="M77" i="4"/>
  <c r="Y77" i="4"/>
  <c r="B78" i="4"/>
  <c r="L78" i="4"/>
  <c r="X78" i="4"/>
  <c r="A79" i="4"/>
  <c r="K79" i="4"/>
  <c r="W79" i="4"/>
  <c r="AG79" i="4"/>
  <c r="J80" i="4"/>
  <c r="V80" i="4"/>
  <c r="AF80" i="4"/>
  <c r="I81" i="4"/>
  <c r="U81" i="4"/>
  <c r="AE81" i="4"/>
  <c r="H82" i="4"/>
  <c r="T82" i="4"/>
  <c r="AD82" i="4"/>
  <c r="G83" i="4"/>
  <c r="S83" i="4"/>
  <c r="AC83" i="4"/>
  <c r="F84" i="4"/>
  <c r="O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Y91" i="4"/>
  <c r="AG91" i="4"/>
  <c r="H92" i="4"/>
  <c r="P92" i="4"/>
  <c r="X92" i="4"/>
  <c r="AF92" i="4"/>
  <c r="G93" i="4"/>
  <c r="O93" i="4"/>
  <c r="W93" i="4"/>
  <c r="AE93" i="4"/>
  <c r="F94" i="4"/>
  <c r="N94" i="4"/>
  <c r="V94" i="4"/>
  <c r="AD94" i="4"/>
  <c r="E95" i="4"/>
  <c r="M95" i="4"/>
  <c r="U95" i="4"/>
  <c r="AC95" i="4"/>
  <c r="D96" i="4"/>
  <c r="L96" i="4"/>
  <c r="T96" i="4"/>
  <c r="AB96" i="4"/>
  <c r="C97" i="4"/>
  <c r="K97" i="4"/>
  <c r="S97" i="4"/>
  <c r="AA97" i="4"/>
  <c r="B98" i="4"/>
  <c r="J98" i="4"/>
  <c r="R98" i="4"/>
  <c r="Z98" i="4"/>
  <c r="A99" i="4"/>
  <c r="I99" i="4"/>
  <c r="Q99" i="4"/>
  <c r="Y99" i="4"/>
  <c r="AG99" i="4"/>
  <c r="H100" i="4"/>
  <c r="P100" i="4"/>
  <c r="X100" i="4"/>
  <c r="AF100" i="4"/>
  <c r="G101" i="4"/>
  <c r="O101" i="4"/>
  <c r="W101" i="4"/>
  <c r="AE101" i="4"/>
  <c r="F102" i="4"/>
  <c r="N102" i="4"/>
  <c r="V102" i="4"/>
  <c r="AD102" i="4"/>
  <c r="E103" i="4"/>
  <c r="M103" i="4"/>
  <c r="U103" i="4"/>
  <c r="AC103" i="4"/>
  <c r="D104" i="4"/>
  <c r="L104" i="4"/>
  <c r="T104" i="4"/>
  <c r="AB104" i="4"/>
  <c r="C105" i="4"/>
  <c r="K105" i="4"/>
  <c r="S105" i="4"/>
  <c r="AA105" i="4"/>
  <c r="B106" i="4"/>
  <c r="J106" i="4"/>
  <c r="R106" i="4"/>
  <c r="Z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R21" i="4"/>
  <c r="P34" i="4"/>
  <c r="C41" i="4"/>
  <c r="B43" i="4"/>
  <c r="AG44" i="4"/>
  <c r="W46" i="4"/>
  <c r="J48" i="4"/>
  <c r="AA49" i="4"/>
  <c r="K51" i="4"/>
  <c r="AE52" i="4"/>
  <c r="M54" i="4"/>
  <c r="V55" i="4"/>
  <c r="AG56" i="4"/>
  <c r="I58" i="4"/>
  <c r="N59" i="4"/>
  <c r="N60" i="4"/>
  <c r="M61" i="4"/>
  <c r="L62" i="4"/>
  <c r="K63" i="4"/>
  <c r="J64" i="4"/>
  <c r="I65" i="4"/>
  <c r="H66" i="4"/>
  <c r="AF66" i="4"/>
  <c r="V67" i="4"/>
  <c r="G68" i="4"/>
  <c r="AD68" i="4"/>
  <c r="T69" i="4"/>
  <c r="E70" i="4"/>
  <c r="AB70" i="4"/>
  <c r="R71" i="4"/>
  <c r="C72" i="4"/>
  <c r="S72" i="4"/>
  <c r="B73" i="4"/>
  <c r="R73" i="4"/>
  <c r="A74" i="4"/>
  <c r="Q74" i="4"/>
  <c r="AG74" i="4"/>
  <c r="P75" i="4"/>
  <c r="AF75" i="4"/>
  <c r="N76" i="4"/>
  <c r="AA76" i="4"/>
  <c r="D77" i="4"/>
  <c r="N77" i="4"/>
  <c r="Z77" i="4"/>
  <c r="C78" i="4"/>
  <c r="M78" i="4"/>
  <c r="Y78" i="4"/>
  <c r="B79" i="4"/>
  <c r="L79" i="4"/>
  <c r="X79" i="4"/>
  <c r="A80" i="4"/>
  <c r="K80" i="4"/>
  <c r="W80" i="4"/>
  <c r="AG80" i="4"/>
  <c r="J81" i="4"/>
  <c r="V81" i="4"/>
  <c r="AF81" i="4"/>
  <c r="I82" i="4"/>
  <c r="U82" i="4"/>
  <c r="AE82" i="4"/>
  <c r="H83" i="4"/>
  <c r="T83" i="4"/>
  <c r="AD83" i="4"/>
  <c r="G84" i="4"/>
  <c r="P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A92" i="4"/>
  <c r="I92" i="4"/>
  <c r="Q92" i="4"/>
  <c r="Y92" i="4"/>
  <c r="AG92" i="4"/>
  <c r="H93" i="4"/>
  <c r="P93" i="4"/>
  <c r="X93" i="4"/>
  <c r="AF93" i="4"/>
  <c r="G94" i="4"/>
  <c r="O94" i="4"/>
  <c r="W94" i="4"/>
  <c r="AE94" i="4"/>
  <c r="F95" i="4"/>
  <c r="N95" i="4"/>
  <c r="V95" i="4"/>
  <c r="AD95" i="4"/>
  <c r="E96" i="4"/>
  <c r="M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E25" i="4"/>
  <c r="J36" i="4"/>
  <c r="S41" i="4"/>
  <c r="Q43" i="4"/>
  <c r="O45" i="4"/>
  <c r="C47" i="4"/>
  <c r="T48" i="4"/>
  <c r="D50" i="4"/>
  <c r="X51" i="4"/>
  <c r="H53" i="4"/>
  <c r="V54" i="4"/>
  <c r="AE55" i="4"/>
  <c r="I57" i="4"/>
  <c r="R58" i="4"/>
  <c r="V59" i="4"/>
  <c r="U60" i="4"/>
  <c r="T61" i="4"/>
  <c r="S62" i="4"/>
  <c r="R63" i="4"/>
  <c r="Q64" i="4"/>
  <c r="P65" i="4"/>
  <c r="O66" i="4"/>
  <c r="AG66" i="4"/>
  <c r="W67" i="4"/>
  <c r="M68" i="4"/>
  <c r="AE68" i="4"/>
  <c r="U69" i="4"/>
  <c r="K70" i="4"/>
  <c r="AC70" i="4"/>
  <c r="S71" i="4"/>
  <c r="H72" i="4"/>
  <c r="X72" i="4"/>
  <c r="G73" i="4"/>
  <c r="W73" i="4"/>
  <c r="F74" i="4"/>
  <c r="V74" i="4"/>
  <c r="E75" i="4"/>
  <c r="U75" i="4"/>
  <c r="D76" i="4"/>
  <c r="O76" i="4"/>
  <c r="AB76" i="4"/>
  <c r="E77" i="4"/>
  <c r="Q77" i="4"/>
  <c r="AA77" i="4"/>
  <c r="D78" i="4"/>
  <c r="P78" i="4"/>
  <c r="Z78" i="4"/>
  <c r="C79" i="4"/>
  <c r="O79" i="4"/>
  <c r="Y79" i="4"/>
  <c r="B80" i="4"/>
  <c r="N80" i="4"/>
  <c r="X80" i="4"/>
  <c r="A81" i="4"/>
  <c r="M81" i="4"/>
  <c r="W81" i="4"/>
  <c r="AG81" i="4"/>
  <c r="L82" i="4"/>
  <c r="V82" i="4"/>
  <c r="AF82" i="4"/>
  <c r="K83" i="4"/>
  <c r="U83" i="4"/>
  <c r="AE83" i="4"/>
  <c r="H84" i="4"/>
  <c r="R84" i="4"/>
  <c r="Z84" i="4"/>
  <c r="A85" i="4"/>
  <c r="I85" i="4"/>
  <c r="Q85" i="4"/>
  <c r="Y85" i="4"/>
  <c r="AG85" i="4"/>
  <c r="H86" i="4"/>
  <c r="P86" i="4"/>
  <c r="X86" i="4"/>
  <c r="AF86" i="4"/>
  <c r="G87" i="4"/>
  <c r="O87" i="4"/>
  <c r="W87" i="4"/>
  <c r="AE87" i="4"/>
  <c r="F88" i="4"/>
  <c r="N88" i="4"/>
  <c r="V88" i="4"/>
  <c r="AD88" i="4"/>
  <c r="E89" i="4"/>
  <c r="M89" i="4"/>
  <c r="U89" i="4"/>
  <c r="AC89" i="4"/>
  <c r="D90" i="4"/>
  <c r="L90" i="4"/>
  <c r="T90" i="4"/>
  <c r="AB90" i="4"/>
  <c r="C91" i="4"/>
  <c r="K91" i="4"/>
  <c r="S91" i="4"/>
  <c r="AA91" i="4"/>
  <c r="B92" i="4"/>
  <c r="J92" i="4"/>
  <c r="R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P25" i="4"/>
  <c r="R36" i="4"/>
  <c r="T41" i="4"/>
  <c r="R43" i="4"/>
  <c r="P45" i="4"/>
  <c r="D47" i="4"/>
  <c r="U48" i="4"/>
  <c r="H50" i="4"/>
  <c r="Y51" i="4"/>
  <c r="I53" i="4"/>
  <c r="W54" i="4"/>
  <c r="A56" i="4"/>
  <c r="J57" i="4"/>
  <c r="S58" i="4"/>
  <c r="W59" i="4"/>
  <c r="V60" i="4"/>
  <c r="U61" i="4"/>
  <c r="T62" i="4"/>
  <c r="S63" i="4"/>
  <c r="R64" i="4"/>
  <c r="Q65" i="4"/>
  <c r="P66" i="4"/>
  <c r="F67" i="4"/>
  <c r="X67" i="4"/>
  <c r="N68" i="4"/>
  <c r="D69" i="4"/>
  <c r="V69" i="4"/>
  <c r="L70" i="4"/>
  <c r="B71" i="4"/>
  <c r="T71" i="4"/>
  <c r="I72" i="4"/>
  <c r="Y72" i="4"/>
  <c r="H73" i="4"/>
  <c r="X73" i="4"/>
  <c r="G74" i="4"/>
  <c r="W74" i="4"/>
  <c r="F75" i="4"/>
  <c r="V75" i="4"/>
  <c r="E76" i="4"/>
  <c r="R76" i="4"/>
  <c r="AC76" i="4"/>
  <c r="F77" i="4"/>
  <c r="R77" i="4"/>
  <c r="AB77" i="4"/>
  <c r="E78" i="4"/>
  <c r="Q78" i="4"/>
  <c r="AA78" i="4"/>
  <c r="D79" i="4"/>
  <c r="P79" i="4"/>
  <c r="Z79" i="4"/>
  <c r="C80" i="4"/>
  <c r="O80" i="4"/>
  <c r="Y80" i="4"/>
  <c r="B81" i="4"/>
  <c r="N81" i="4"/>
  <c r="X81" i="4"/>
  <c r="A82" i="4"/>
  <c r="M82" i="4"/>
  <c r="W82" i="4"/>
  <c r="AG82" i="4"/>
  <c r="L83" i="4"/>
  <c r="V83" i="4"/>
  <c r="AF83" i="4"/>
  <c r="J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F28" i="4"/>
  <c r="H38" i="4"/>
  <c r="B42" i="4"/>
  <c r="AG43" i="4"/>
  <c r="AD45" i="4"/>
  <c r="N47" i="4"/>
  <c r="A49" i="4"/>
  <c r="R50" i="4"/>
  <c r="B52" i="4"/>
  <c r="V53" i="4"/>
  <c r="AF54" i="4"/>
  <c r="J56" i="4"/>
  <c r="S57" i="4"/>
  <c r="AA58" i="4"/>
  <c r="AD59" i="4"/>
  <c r="AC60" i="4"/>
  <c r="AB61" i="4"/>
  <c r="AA62" i="4"/>
  <c r="Z63" i="4"/>
  <c r="Y64" i="4"/>
  <c r="X65" i="4"/>
  <c r="Q66" i="4"/>
  <c r="G67" i="4"/>
  <c r="AD67" i="4"/>
  <c r="O68" i="4"/>
  <c r="E69" i="4"/>
  <c r="AB69" i="4"/>
  <c r="M70" i="4"/>
  <c r="C71" i="4"/>
  <c r="Z71" i="4"/>
  <c r="J72" i="4"/>
  <c r="Z72" i="4"/>
  <c r="I73" i="4"/>
  <c r="Y73" i="4"/>
  <c r="H74" i="4"/>
  <c r="X74" i="4"/>
  <c r="G75" i="4"/>
  <c r="W75" i="4"/>
  <c r="F76" i="4"/>
  <c r="T76" i="4"/>
  <c r="AD76" i="4"/>
  <c r="I77" i="4"/>
  <c r="S77" i="4"/>
  <c r="AC77" i="4"/>
  <c r="H78" i="4"/>
  <c r="R78" i="4"/>
  <c r="AB78" i="4"/>
  <c r="G79" i="4"/>
  <c r="Q79" i="4"/>
  <c r="AA79" i="4"/>
  <c r="F80" i="4"/>
  <c r="P80" i="4"/>
  <c r="Z80" i="4"/>
  <c r="E81" i="4"/>
  <c r="O81" i="4"/>
  <c r="Y81" i="4"/>
  <c r="D82" i="4"/>
  <c r="N82" i="4"/>
  <c r="X82" i="4"/>
  <c r="C83" i="4"/>
  <c r="M83" i="4"/>
  <c r="W83" i="4"/>
  <c r="B84" i="4"/>
  <c r="K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T28" i="4"/>
  <c r="P38" i="4"/>
  <c r="C42" i="4"/>
  <c r="A44" i="4"/>
  <c r="AE45" i="4"/>
  <c r="O47" i="4"/>
  <c r="B49" i="4"/>
  <c r="S50" i="4"/>
  <c r="F52" i="4"/>
  <c r="W53" i="4"/>
  <c r="B55" i="4"/>
  <c r="K56" i="4"/>
  <c r="T57" i="4"/>
  <c r="AB58" i="4"/>
  <c r="AE59" i="4"/>
  <c r="AD60" i="4"/>
  <c r="AC61" i="4"/>
  <c r="AB62" i="4"/>
  <c r="AA63" i="4"/>
  <c r="Z64" i="4"/>
  <c r="Y65" i="4"/>
  <c r="W66" i="4"/>
  <c r="H67" i="4"/>
  <c r="AE67" i="4"/>
  <c r="U68" i="4"/>
  <c r="F69" i="4"/>
  <c r="AC69" i="4"/>
  <c r="S70" i="4"/>
  <c r="D71" i="4"/>
  <c r="AA71" i="4"/>
  <c r="K72" i="4"/>
  <c r="AA72" i="4"/>
  <c r="J73" i="4"/>
  <c r="Z73" i="4"/>
  <c r="I74" i="4"/>
  <c r="Y74" i="4"/>
  <c r="H75" i="4"/>
  <c r="X75" i="4"/>
  <c r="G76" i="4"/>
  <c r="U76" i="4"/>
  <c r="AE76" i="4"/>
  <c r="J77" i="4"/>
  <c r="T77" i="4"/>
  <c r="AD77" i="4"/>
  <c r="I78" i="4"/>
  <c r="S78" i="4"/>
  <c r="AC78" i="4"/>
  <c r="H79" i="4"/>
  <c r="R79" i="4"/>
  <c r="AB79" i="4"/>
  <c r="G80" i="4"/>
  <c r="Q80" i="4"/>
  <c r="AA80" i="4"/>
  <c r="F81" i="4"/>
  <c r="P81" i="4"/>
  <c r="Z81" i="4"/>
  <c r="E82" i="4"/>
  <c r="O82" i="4"/>
  <c r="Y82" i="4"/>
  <c r="D83" i="4"/>
  <c r="N83" i="4"/>
  <c r="X83" i="4"/>
  <c r="C84" i="4"/>
  <c r="L84" i="4"/>
  <c r="U84" i="4"/>
  <c r="AC84" i="4"/>
  <c r="D85" i="4"/>
  <c r="L85" i="4"/>
  <c r="T85" i="4"/>
  <c r="AB85" i="4"/>
  <c r="C86" i="4"/>
  <c r="K86" i="4"/>
  <c r="X31" i="4"/>
  <c r="E40" i="4"/>
  <c r="S42" i="4"/>
  <c r="Q44" i="4"/>
  <c r="L46" i="4"/>
  <c r="AC47" i="4"/>
  <c r="M49" i="4"/>
  <c r="AG50" i="4"/>
  <c r="Q52" i="4"/>
  <c r="C54" i="4"/>
  <c r="L55" i="4"/>
  <c r="U56" i="4"/>
  <c r="AF57" i="4"/>
  <c r="D59" i="4"/>
  <c r="F60" i="4"/>
  <c r="E61" i="4"/>
  <c r="D62" i="4"/>
  <c r="C63" i="4"/>
  <c r="B64" i="4"/>
  <c r="A65" i="4"/>
  <c r="AG65" i="4"/>
  <c r="Y66" i="4"/>
  <c r="O67" i="4"/>
  <c r="E68" i="4"/>
  <c r="W68" i="4"/>
  <c r="M69" i="4"/>
  <c r="C70" i="4"/>
  <c r="U70" i="4"/>
  <c r="K71" i="4"/>
  <c r="A72" i="4"/>
  <c r="Q72" i="4"/>
  <c r="AG72" i="4"/>
  <c r="P73" i="4"/>
  <c r="AF73" i="4"/>
  <c r="O74" i="4"/>
  <c r="AE74" i="4"/>
  <c r="N75" i="4"/>
  <c r="AD75" i="4"/>
  <c r="L76" i="4"/>
  <c r="W76" i="4"/>
  <c r="B77" i="4"/>
  <c r="L77" i="4"/>
  <c r="V77" i="4"/>
  <c r="A78" i="4"/>
  <c r="K78" i="4"/>
  <c r="U78" i="4"/>
  <c r="AG78" i="4"/>
  <c r="J79" i="4"/>
  <c r="T79" i="4"/>
  <c r="AF79" i="4"/>
  <c r="I80" i="4"/>
  <c r="S80" i="4"/>
  <c r="AE80" i="4"/>
  <c r="H81" i="4"/>
  <c r="R81" i="4"/>
  <c r="AD81" i="4"/>
  <c r="G82" i="4"/>
  <c r="Q82" i="4"/>
  <c r="AC82" i="4"/>
  <c r="F83" i="4"/>
  <c r="P83" i="4"/>
  <c r="AB83" i="4"/>
  <c r="E84" i="4"/>
  <c r="N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Z89" i="4"/>
  <c r="A90" i="4"/>
  <c r="I90" i="4"/>
  <c r="Q90" i="4"/>
  <c r="Y90" i="4"/>
  <c r="AG90" i="4"/>
  <c r="H91" i="4"/>
  <c r="P91" i="4"/>
  <c r="X91" i="4"/>
  <c r="AF91" i="4"/>
  <c r="G92" i="4"/>
  <c r="O92" i="4"/>
  <c r="W92" i="4"/>
  <c r="AE92" i="4"/>
  <c r="F93" i="4"/>
  <c r="N93" i="4"/>
  <c r="V93" i="4"/>
  <c r="AD93" i="4"/>
  <c r="E94" i="4"/>
  <c r="M94" i="4"/>
  <c r="J31" i="4"/>
  <c r="P52" i="4"/>
  <c r="C62" i="4"/>
  <c r="V68" i="4"/>
  <c r="O73" i="4"/>
  <c r="A77" i="4"/>
  <c r="S79" i="4"/>
  <c r="F82" i="4"/>
  <c r="V84" i="4"/>
  <c r="S86" i="4"/>
  <c r="R87" i="4"/>
  <c r="Q88" i="4"/>
  <c r="P89" i="4"/>
  <c r="O90" i="4"/>
  <c r="N91" i="4"/>
  <c r="L92" i="4"/>
  <c r="AD92" i="4"/>
  <c r="T93" i="4"/>
  <c r="J94" i="4"/>
  <c r="AA94" i="4"/>
  <c r="J95" i="4"/>
  <c r="Z95" i="4"/>
  <c r="I96" i="4"/>
  <c r="W96" i="4"/>
  <c r="A97" i="4"/>
  <c r="O97" i="4"/>
  <c r="Z97" i="4"/>
  <c r="G98" i="4"/>
  <c r="U98" i="4"/>
  <c r="AF98" i="4"/>
  <c r="M99" i="4"/>
  <c r="X99" i="4"/>
  <c r="E100" i="4"/>
  <c r="S100" i="4"/>
  <c r="AD100" i="4"/>
  <c r="K101" i="4"/>
  <c r="U101" i="4"/>
  <c r="AD101" i="4"/>
  <c r="G102" i="4"/>
  <c r="P102" i="4"/>
  <c r="Y102" i="4"/>
  <c r="A103" i="4"/>
  <c r="J103" i="4"/>
  <c r="S103" i="4"/>
  <c r="AB103" i="4"/>
  <c r="E104" i="4"/>
  <c r="N104" i="4"/>
  <c r="W104" i="4"/>
  <c r="AF104" i="4"/>
  <c r="H105" i="4"/>
  <c r="Q105" i="4"/>
  <c r="Z105" i="4"/>
  <c r="C106" i="4"/>
  <c r="L106" i="4"/>
  <c r="U106" i="4"/>
  <c r="AD106" i="4"/>
  <c r="F107" i="4"/>
  <c r="O107" i="4"/>
  <c r="X107" i="4"/>
  <c r="A108" i="4"/>
  <c r="J108" i="4"/>
  <c r="S108" i="4"/>
  <c r="AB108" i="4"/>
  <c r="D109" i="4"/>
  <c r="M109" i="4"/>
  <c r="V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AE39" i="4"/>
  <c r="AG53" i="4"/>
  <c r="B63" i="4"/>
  <c r="L69" i="4"/>
  <c r="AE73" i="4"/>
  <c r="K77" i="4"/>
  <c r="AE79" i="4"/>
  <c r="P82" i="4"/>
  <c r="AD84" i="4"/>
  <c r="T86" i="4"/>
  <c r="S87" i="4"/>
  <c r="R88" i="4"/>
  <c r="Q89" i="4"/>
  <c r="P90" i="4"/>
  <c r="O91" i="4"/>
  <c r="M92" i="4"/>
  <c r="C93" i="4"/>
  <c r="U93" i="4"/>
  <c r="K94" i="4"/>
  <c r="AB94" i="4"/>
  <c r="K95" i="4"/>
  <c r="AA95" i="4"/>
  <c r="J96" i="4"/>
  <c r="X96" i="4"/>
  <c r="B97" i="4"/>
  <c r="P97" i="4"/>
  <c r="AD97" i="4"/>
  <c r="H98" i="4"/>
  <c r="V98" i="4"/>
  <c r="AG98" i="4"/>
  <c r="N99" i="4"/>
  <c r="AB99" i="4"/>
  <c r="F100" i="4"/>
  <c r="T100" i="4"/>
  <c r="AE100" i="4"/>
  <c r="L101" i="4"/>
  <c r="V101" i="4"/>
  <c r="AF101" i="4"/>
  <c r="H102" i="4"/>
  <c r="Q102" i="4"/>
  <c r="Z102" i="4"/>
  <c r="B103" i="4"/>
  <c r="K103" i="4"/>
  <c r="T103" i="4"/>
  <c r="AD103" i="4"/>
  <c r="F104" i="4"/>
  <c r="O104" i="4"/>
  <c r="X104" i="4"/>
  <c r="AG104" i="4"/>
  <c r="I105" i="4"/>
  <c r="R105" i="4"/>
  <c r="AB105" i="4"/>
  <c r="D106" i="4"/>
  <c r="M106" i="4"/>
  <c r="V106" i="4"/>
  <c r="AE106" i="4"/>
  <c r="G107" i="4"/>
  <c r="P107" i="4"/>
  <c r="Z107" i="4"/>
  <c r="B108" i="4"/>
  <c r="K108" i="4"/>
  <c r="T108" i="4"/>
  <c r="AC108" i="4"/>
  <c r="E109" i="4"/>
  <c r="N109" i="4"/>
  <c r="X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R42" i="4"/>
  <c r="K55" i="4"/>
  <c r="A64" i="4"/>
  <c r="AD69" i="4"/>
  <c r="N74" i="4"/>
  <c r="U77" i="4"/>
  <c r="H80" i="4"/>
  <c r="AB82" i="4"/>
  <c r="E85" i="4"/>
  <c r="AA86" i="4"/>
  <c r="Z87" i="4"/>
  <c r="Y88" i="4"/>
  <c r="X89" i="4"/>
  <c r="W90" i="4"/>
  <c r="V91" i="4"/>
  <c r="N92" i="4"/>
  <c r="D93" i="4"/>
  <c r="AA93" i="4"/>
  <c r="L94" i="4"/>
  <c r="AC94" i="4"/>
  <c r="L95" i="4"/>
  <c r="AB95" i="4"/>
  <c r="K96" i="4"/>
  <c r="Y96" i="4"/>
  <c r="F97" i="4"/>
  <c r="Q97" i="4"/>
  <c r="AE97" i="4"/>
  <c r="I98" i="4"/>
  <c r="W98" i="4"/>
  <c r="D99" i="4"/>
  <c r="O99" i="4"/>
  <c r="AC99" i="4"/>
  <c r="G100" i="4"/>
  <c r="U100" i="4"/>
  <c r="B101" i="4"/>
  <c r="M101" i="4"/>
  <c r="X101" i="4"/>
  <c r="AG101" i="4"/>
  <c r="I102" i="4"/>
  <c r="R102" i="4"/>
  <c r="AA102" i="4"/>
  <c r="C103" i="4"/>
  <c r="L103" i="4"/>
  <c r="V103" i="4"/>
  <c r="AE103" i="4"/>
  <c r="G104" i="4"/>
  <c r="P104" i="4"/>
  <c r="Y104" i="4"/>
  <c r="A105" i="4"/>
  <c r="J105" i="4"/>
  <c r="T105" i="4"/>
  <c r="AC105" i="4"/>
  <c r="E106" i="4"/>
  <c r="N106" i="4"/>
  <c r="W106" i="4"/>
  <c r="AF106" i="4"/>
  <c r="H107" i="4"/>
  <c r="R107" i="4"/>
  <c r="AA107" i="4"/>
  <c r="C108" i="4"/>
  <c r="L108" i="4"/>
  <c r="U108" i="4"/>
  <c r="AD108" i="4"/>
  <c r="F109" i="4"/>
  <c r="P109" i="4"/>
  <c r="Y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P44" i="4"/>
  <c r="T56" i="4"/>
  <c r="AG64" i="4"/>
  <c r="T70" i="4"/>
  <c r="AD74" i="4"/>
  <c r="AG77" i="4"/>
  <c r="R80" i="4"/>
  <c r="E83" i="4"/>
  <c r="M85" i="4"/>
  <c r="AB86" i="4"/>
  <c r="AA87" i="4"/>
  <c r="Z88" i="4"/>
  <c r="Y89" i="4"/>
  <c r="X90" i="4"/>
  <c r="W91" i="4"/>
  <c r="T92" i="4"/>
  <c r="E93" i="4"/>
  <c r="AB93" i="4"/>
  <c r="R94" i="4"/>
  <c r="A95" i="4"/>
  <c r="Q95" i="4"/>
  <c r="AG95" i="4"/>
  <c r="O96" i="4"/>
  <c r="Z96" i="4"/>
  <c r="G97" i="4"/>
  <c r="R97" i="4"/>
  <c r="AF97" i="4"/>
  <c r="M98" i="4"/>
  <c r="X98" i="4"/>
  <c r="E99" i="4"/>
  <c r="P99" i="4"/>
  <c r="AD99" i="4"/>
  <c r="K100" i="4"/>
  <c r="V100" i="4"/>
  <c r="C101" i="4"/>
  <c r="N101" i="4"/>
  <c r="Y101" i="4"/>
  <c r="A102" i="4"/>
  <c r="J102" i="4"/>
  <c r="S102" i="4"/>
  <c r="AB102" i="4"/>
  <c r="D103" i="4"/>
  <c r="N103" i="4"/>
  <c r="W103" i="4"/>
  <c r="AF103" i="4"/>
  <c r="H104" i="4"/>
  <c r="Q104" i="4"/>
  <c r="Z104" i="4"/>
  <c r="B105" i="4"/>
  <c r="L105" i="4"/>
  <c r="U105" i="4"/>
  <c r="AD105" i="4"/>
  <c r="F106" i="4"/>
  <c r="O106" i="4"/>
  <c r="X106" i="4"/>
  <c r="AG106" i="4"/>
  <c r="J107" i="4"/>
  <c r="S107" i="4"/>
  <c r="AB107" i="4"/>
  <c r="D108" i="4"/>
  <c r="M108" i="4"/>
  <c r="V108" i="4"/>
  <c r="AE108" i="4"/>
  <c r="H109" i="4"/>
  <c r="Q109" i="4"/>
  <c r="Z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H46" i="4"/>
  <c r="AC57" i="4"/>
  <c r="AF65" i="4"/>
  <c r="J71" i="4"/>
  <c r="M75" i="4"/>
  <c r="J78" i="4"/>
  <c r="AD80" i="4"/>
  <c r="O83" i="4"/>
  <c r="U85" i="4"/>
  <c r="B87" i="4"/>
  <c r="A88" i="4"/>
  <c r="AG88" i="4"/>
  <c r="AF89" i="4"/>
  <c r="AE90" i="4"/>
  <c r="AD91" i="4"/>
  <c r="U92" i="4"/>
  <c r="K93" i="4"/>
  <c r="AC93" i="4"/>
  <c r="S94" i="4"/>
  <c r="B95" i="4"/>
  <c r="R95" i="4"/>
  <c r="A96" i="4"/>
  <c r="P96" i="4"/>
  <c r="AA96" i="4"/>
  <c r="H97" i="4"/>
  <c r="V97" i="4"/>
  <c r="AG97" i="4"/>
  <c r="N98" i="4"/>
  <c r="Y98" i="4"/>
  <c r="F99" i="4"/>
  <c r="T99" i="4"/>
  <c r="AE99" i="4"/>
  <c r="L100" i="4"/>
  <c r="W100" i="4"/>
  <c r="D101" i="4"/>
  <c r="P101" i="4"/>
  <c r="Z101" i="4"/>
  <c r="B102" i="4"/>
  <c r="K102" i="4"/>
  <c r="T102" i="4"/>
  <c r="AC102" i="4"/>
  <c r="F103" i="4"/>
  <c r="O103" i="4"/>
  <c r="X103" i="4"/>
  <c r="AG103" i="4"/>
  <c r="I104" i="4"/>
  <c r="R104" i="4"/>
  <c r="AA104" i="4"/>
  <c r="D105" i="4"/>
  <c r="M105" i="4"/>
  <c r="V105" i="4"/>
  <c r="AE105" i="4"/>
  <c r="G106" i="4"/>
  <c r="P106" i="4"/>
  <c r="Y106" i="4"/>
  <c r="B107" i="4"/>
  <c r="K107" i="4"/>
  <c r="T107" i="4"/>
  <c r="AC107" i="4"/>
  <c r="E108" i="4"/>
  <c r="N108" i="4"/>
  <c r="W108" i="4"/>
  <c r="AG108" i="4"/>
  <c r="I109" i="4"/>
  <c r="R109" i="4"/>
  <c r="AA109" i="4"/>
  <c r="C110" i="4"/>
  <c r="K110" i="4"/>
  <c r="S110" i="4"/>
  <c r="AA110" i="4"/>
  <c r="B111" i="4"/>
  <c r="AB47" i="4"/>
  <c r="C59" i="4"/>
  <c r="X66" i="4"/>
  <c r="AB71" i="4"/>
  <c r="AC75" i="4"/>
  <c r="T78" i="4"/>
  <c r="G81" i="4"/>
  <c r="AA83" i="4"/>
  <c r="AC85" i="4"/>
  <c r="C87" i="4"/>
  <c r="B88" i="4"/>
  <c r="A89" i="4"/>
  <c r="AG89" i="4"/>
  <c r="AF90" i="4"/>
  <c r="AE91" i="4"/>
  <c r="V92" i="4"/>
  <c r="L93" i="4"/>
  <c r="B94" i="4"/>
  <c r="T94" i="4"/>
  <c r="C95" i="4"/>
  <c r="S95" i="4"/>
  <c r="B96" i="4"/>
  <c r="Q96" i="4"/>
  <c r="AE96" i="4"/>
  <c r="I97" i="4"/>
  <c r="W97" i="4"/>
  <c r="A98" i="4"/>
  <c r="O98" i="4"/>
  <c r="AC98" i="4"/>
  <c r="G99" i="4"/>
  <c r="U99" i="4"/>
  <c r="AF99" i="4"/>
  <c r="M100" i="4"/>
  <c r="AA100" i="4"/>
  <c r="E101" i="4"/>
  <c r="R101" i="4"/>
  <c r="AA101" i="4"/>
  <c r="C102" i="4"/>
  <c r="L102" i="4"/>
  <c r="U102" i="4"/>
  <c r="AE102" i="4"/>
  <c r="G103" i="4"/>
  <c r="P103" i="4"/>
  <c r="Y103" i="4"/>
  <c r="A104" i="4"/>
  <c r="J104" i="4"/>
  <c r="S104" i="4"/>
  <c r="AC104" i="4"/>
  <c r="E105" i="4"/>
  <c r="N105" i="4"/>
  <c r="W105" i="4"/>
  <c r="AF105" i="4"/>
  <c r="H106" i="4"/>
  <c r="Q106" i="4"/>
  <c r="AA106" i="4"/>
  <c r="C107" i="4"/>
  <c r="L107" i="4"/>
  <c r="U107" i="4"/>
  <c r="AD107" i="4"/>
  <c r="F108" i="4"/>
  <c r="O108" i="4"/>
  <c r="Y108" i="4"/>
  <c r="A109" i="4"/>
  <c r="J109" i="4"/>
  <c r="S109" i="4"/>
  <c r="AB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L49" i="4"/>
  <c r="J76" i="4"/>
  <c r="D86" i="4"/>
  <c r="G90" i="4"/>
  <c r="M93" i="4"/>
  <c r="T95" i="4"/>
  <c r="J97" i="4"/>
  <c r="AD98" i="4"/>
  <c r="N100" i="4"/>
  <c r="AB101" i="4"/>
  <c r="AF102" i="4"/>
  <c r="B104" i="4"/>
  <c r="F105" i="4"/>
  <c r="I106" i="4"/>
  <c r="M107" i="4"/>
  <c r="Q108" i="4"/>
  <c r="T109" i="4"/>
  <c r="U110" i="4"/>
  <c r="M111" i="4"/>
  <c r="C112" i="4"/>
  <c r="Y112" i="4"/>
  <c r="K113" i="4"/>
  <c r="A114" i="4"/>
  <c r="W114" i="4"/>
  <c r="F115" i="4"/>
  <c r="V115" i="4"/>
  <c r="AG115" i="4"/>
  <c r="N116" i="4"/>
  <c r="AB116" i="4"/>
  <c r="F117" i="4"/>
  <c r="T117" i="4"/>
  <c r="AE117" i="4"/>
  <c r="L118" i="4"/>
  <c r="Z118" i="4"/>
  <c r="D119" i="4"/>
  <c r="R119" i="4"/>
  <c r="AC119" i="4"/>
  <c r="J120" i="4"/>
  <c r="X120" i="4"/>
  <c r="B121" i="4"/>
  <c r="P121" i="4"/>
  <c r="AA121" i="4"/>
  <c r="H122" i="4"/>
  <c r="R122" i="4"/>
  <c r="AD122" i="4"/>
  <c r="G123" i="4"/>
  <c r="Q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B132" i="4"/>
  <c r="J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AF50" i="4"/>
  <c r="V76" i="4"/>
  <c r="L86" i="4"/>
  <c r="H90" i="4"/>
  <c r="S93" i="4"/>
  <c r="Y95" i="4"/>
  <c r="N97" i="4"/>
  <c r="AE98" i="4"/>
  <c r="O100" i="4"/>
  <c r="AC101" i="4"/>
  <c r="AG102" i="4"/>
  <c r="C104" i="4"/>
  <c r="G105" i="4"/>
  <c r="K106" i="4"/>
  <c r="N107" i="4"/>
  <c r="R108" i="4"/>
  <c r="U109" i="4"/>
  <c r="V110" i="4"/>
  <c r="R111" i="4"/>
  <c r="D112" i="4"/>
  <c r="AA112" i="4"/>
  <c r="P113" i="4"/>
  <c r="B114" i="4"/>
  <c r="X114" i="4"/>
  <c r="G115" i="4"/>
  <c r="W115" i="4"/>
  <c r="D116" i="4"/>
  <c r="O116" i="4"/>
  <c r="AC116" i="4"/>
  <c r="G117" i="4"/>
  <c r="U117" i="4"/>
  <c r="B118" i="4"/>
  <c r="M118" i="4"/>
  <c r="AA118" i="4"/>
  <c r="E119" i="4"/>
  <c r="S119" i="4"/>
  <c r="AG119" i="4"/>
  <c r="K120" i="4"/>
  <c r="Y120" i="4"/>
  <c r="C121" i="4"/>
  <c r="Q121" i="4"/>
  <c r="AE121" i="4"/>
  <c r="I122" i="4"/>
  <c r="U122" i="4"/>
  <c r="AE122" i="4"/>
  <c r="H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S132" i="4"/>
  <c r="AA132" i="4"/>
  <c r="B133" i="4"/>
  <c r="J133" i="4"/>
  <c r="R133" i="4"/>
  <c r="Z133" i="4"/>
  <c r="A134" i="4"/>
  <c r="I134" i="4"/>
  <c r="Q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E60" i="4"/>
  <c r="AF78" i="4"/>
  <c r="J87" i="4"/>
  <c r="F91" i="4"/>
  <c r="C94" i="4"/>
  <c r="C96" i="4"/>
  <c r="X97" i="4"/>
  <c r="H99" i="4"/>
  <c r="AB100" i="4"/>
  <c r="D102" i="4"/>
  <c r="H103" i="4"/>
  <c r="K104" i="4"/>
  <c r="O105" i="4"/>
  <c r="S106" i="4"/>
  <c r="V107" i="4"/>
  <c r="Z108" i="4"/>
  <c r="AC109" i="4"/>
  <c r="AC110" i="4"/>
  <c r="T111" i="4"/>
  <c r="I112" i="4"/>
  <c r="AB112" i="4"/>
  <c r="R113" i="4"/>
  <c r="G114" i="4"/>
  <c r="Y114" i="4"/>
  <c r="H115" i="4"/>
  <c r="X115" i="4"/>
  <c r="E116" i="4"/>
  <c r="P116" i="4"/>
  <c r="AD116" i="4"/>
  <c r="K117" i="4"/>
  <c r="V117" i="4"/>
  <c r="C118" i="4"/>
  <c r="N118" i="4"/>
  <c r="AB118" i="4"/>
  <c r="I119" i="4"/>
  <c r="T119" i="4"/>
  <c r="A120" i="4"/>
  <c r="L120" i="4"/>
  <c r="Z120" i="4"/>
  <c r="G121" i="4"/>
  <c r="R121" i="4"/>
  <c r="AF121" i="4"/>
  <c r="J122" i="4"/>
  <c r="V122" i="4"/>
  <c r="AF122" i="4"/>
  <c r="I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AC131" i="4"/>
  <c r="D132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D61" i="4"/>
  <c r="I79" i="4"/>
  <c r="K87" i="4"/>
  <c r="G91" i="4"/>
  <c r="D94" i="4"/>
  <c r="H96" i="4"/>
  <c r="Y97" i="4"/>
  <c r="L99" i="4"/>
  <c r="AC100" i="4"/>
  <c r="E102" i="4"/>
  <c r="I103" i="4"/>
  <c r="M104" i="4"/>
  <c r="P105" i="4"/>
  <c r="T106" i="4"/>
  <c r="W107" i="4"/>
  <c r="AA108" i="4"/>
  <c r="AD109" i="4"/>
  <c r="AD110" i="4"/>
  <c r="U111" i="4"/>
  <c r="K112" i="4"/>
  <c r="AG112" i="4"/>
  <c r="S113" i="4"/>
  <c r="I114" i="4"/>
  <c r="Z114" i="4"/>
  <c r="I115" i="4"/>
  <c r="Y115" i="4"/>
  <c r="F116" i="4"/>
  <c r="T116" i="4"/>
  <c r="AE116" i="4"/>
  <c r="L117" i="4"/>
  <c r="W117" i="4"/>
  <c r="D118" i="4"/>
  <c r="R118" i="4"/>
  <c r="AC118" i="4"/>
  <c r="J119" i="4"/>
  <c r="U119" i="4"/>
  <c r="B120" i="4"/>
  <c r="P120" i="4"/>
  <c r="AA120" i="4"/>
  <c r="H121" i="4"/>
  <c r="S121" i="4"/>
  <c r="AG121" i="4"/>
  <c r="M122" i="4"/>
  <c r="W122" i="4"/>
  <c r="AG122" i="4"/>
  <c r="L123" i="4"/>
  <c r="V123" i="4"/>
  <c r="AD123" i="4"/>
  <c r="E124" i="4"/>
  <c r="M124" i="4"/>
  <c r="U124" i="4"/>
  <c r="AC124" i="4"/>
  <c r="D125" i="4"/>
  <c r="L125" i="4"/>
  <c r="T125" i="4"/>
  <c r="AB125" i="4"/>
  <c r="C126" i="4"/>
  <c r="K126" i="4"/>
  <c r="S126" i="4"/>
  <c r="AA126" i="4"/>
  <c r="B127" i="4"/>
  <c r="J127" i="4"/>
  <c r="R127" i="4"/>
  <c r="Z127" i="4"/>
  <c r="A128" i="4"/>
  <c r="I128" i="4"/>
  <c r="Q128" i="4"/>
  <c r="Y128" i="4"/>
  <c r="AG128" i="4"/>
  <c r="H129" i="4"/>
  <c r="P129" i="4"/>
  <c r="X129" i="4"/>
  <c r="AF129" i="4"/>
  <c r="G130" i="4"/>
  <c r="O130" i="4"/>
  <c r="W130" i="4"/>
  <c r="AE130" i="4"/>
  <c r="F131" i="4"/>
  <c r="N131" i="4"/>
  <c r="V131" i="4"/>
  <c r="AD131" i="4"/>
  <c r="E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N67" i="4"/>
  <c r="Q81" i="4"/>
  <c r="I88" i="4"/>
  <c r="E92" i="4"/>
  <c r="U94" i="4"/>
  <c r="R96" i="4"/>
  <c r="E98" i="4"/>
  <c r="V99" i="4"/>
  <c r="F101" i="4"/>
  <c r="M102" i="4"/>
  <c r="Q103" i="4"/>
  <c r="U104" i="4"/>
  <c r="X105" i="4"/>
  <c r="AB106" i="4"/>
  <c r="AE107" i="4"/>
  <c r="B109" i="4"/>
  <c r="E110" i="4"/>
  <c r="D111" i="4"/>
  <c r="Z111" i="4"/>
  <c r="L112" i="4"/>
  <c r="B113" i="4"/>
  <c r="X113" i="4"/>
  <c r="J114" i="4"/>
  <c r="AE114" i="4"/>
  <c r="N115" i="4"/>
  <c r="AC115" i="4"/>
  <c r="G116" i="4"/>
  <c r="U116" i="4"/>
  <c r="AF116" i="4"/>
  <c r="M117" i="4"/>
  <c r="AA117" i="4"/>
  <c r="E118" i="4"/>
  <c r="S118" i="4"/>
  <c r="AD118" i="4"/>
  <c r="K119" i="4"/>
  <c r="Y119" i="4"/>
  <c r="C120" i="4"/>
  <c r="Q120" i="4"/>
  <c r="AB120" i="4"/>
  <c r="I121" i="4"/>
  <c r="W121" i="4"/>
  <c r="A122" i="4"/>
  <c r="N122" i="4"/>
  <c r="X122" i="4"/>
  <c r="A123" i="4"/>
  <c r="M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F67" i="4"/>
  <c r="AC81" i="4"/>
  <c r="J88" i="4"/>
  <c r="F92" i="4"/>
  <c r="Z94" i="4"/>
  <c r="S96" i="4"/>
  <c r="F98" i="4"/>
  <c r="W99" i="4"/>
  <c r="J101" i="4"/>
  <c r="O102" i="4"/>
  <c r="R103" i="4"/>
  <c r="V104" i="4"/>
  <c r="Y105" i="4"/>
  <c r="AC106" i="4"/>
  <c r="AF107" i="4"/>
  <c r="C109" i="4"/>
  <c r="F110" i="4"/>
  <c r="E111" i="4"/>
  <c r="AB111" i="4"/>
  <c r="Q112" i="4"/>
  <c r="C113" i="4"/>
  <c r="Z113" i="4"/>
  <c r="O114" i="4"/>
  <c r="AF114" i="4"/>
  <c r="O115" i="4"/>
  <c r="AD115" i="4"/>
  <c r="H116" i="4"/>
  <c r="V116" i="4"/>
  <c r="C117" i="4"/>
  <c r="N117" i="4"/>
  <c r="AB117" i="4"/>
  <c r="F118" i="4"/>
  <c r="T118" i="4"/>
  <c r="A119" i="4"/>
  <c r="L119" i="4"/>
  <c r="Z119" i="4"/>
  <c r="D120" i="4"/>
  <c r="R120" i="4"/>
  <c r="AF120" i="4"/>
  <c r="J121" i="4"/>
  <c r="X121" i="4"/>
  <c r="B122" i="4"/>
  <c r="O122" i="4"/>
  <c r="Y122" i="4"/>
  <c r="D123" i="4"/>
  <c r="N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P72" i="4"/>
  <c r="D84" i="4"/>
  <c r="H89" i="4"/>
  <c r="AB92" i="4"/>
  <c r="D95" i="4"/>
  <c r="AF96" i="4"/>
  <c r="P98" i="4"/>
  <c r="C100" i="4"/>
  <c r="S101" i="4"/>
  <c r="W102" i="4"/>
  <c r="Z103" i="4"/>
  <c r="AD104" i="4"/>
  <c r="AG105" i="4"/>
  <c r="D107" i="4"/>
  <c r="G108" i="4"/>
  <c r="K109" i="4"/>
  <c r="M110" i="4"/>
  <c r="J111" i="4"/>
  <c r="AC111" i="4"/>
  <c r="S112" i="4"/>
  <c r="H113" i="4"/>
  <c r="AA113" i="4"/>
  <c r="Q114" i="4"/>
  <c r="AG114" i="4"/>
  <c r="P115" i="4"/>
  <c r="AE115" i="4"/>
  <c r="L116" i="4"/>
  <c r="W116" i="4"/>
  <c r="D117" i="4"/>
  <c r="O117" i="4"/>
  <c r="AC117" i="4"/>
  <c r="J118" i="4"/>
  <c r="U118" i="4"/>
  <c r="B119" i="4"/>
  <c r="M119" i="4"/>
  <c r="AA119" i="4"/>
  <c r="H120" i="4"/>
  <c r="S120" i="4"/>
  <c r="AG120" i="4"/>
  <c r="K121" i="4"/>
  <c r="Y121" i="4"/>
  <c r="F122" i="4"/>
  <c r="P122" i="4"/>
  <c r="Z122" i="4"/>
  <c r="E123" i="4"/>
  <c r="O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T128" i="4"/>
  <c r="AB128" i="4"/>
  <c r="C129" i="4"/>
  <c r="K129" i="4"/>
  <c r="S129" i="4"/>
  <c r="AA129" i="4"/>
  <c r="B130" i="4"/>
  <c r="J130" i="4"/>
  <c r="R130" i="4"/>
  <c r="Z130" i="4"/>
  <c r="A131" i="4"/>
  <c r="I131" i="4"/>
  <c r="Q131" i="4"/>
  <c r="Y131" i="4"/>
  <c r="AG131" i="4"/>
  <c r="H132" i="4"/>
  <c r="P132" i="4"/>
  <c r="X132" i="4"/>
  <c r="AF132" i="4"/>
  <c r="AF72" i="4"/>
  <c r="T101" i="4"/>
  <c r="N110" i="4"/>
  <c r="Q115" i="4"/>
  <c r="V118" i="4"/>
  <c r="Z121" i="4"/>
  <c r="I124" i="4"/>
  <c r="G126" i="4"/>
  <c r="E128" i="4"/>
  <c r="C130" i="4"/>
  <c r="A132" i="4"/>
  <c r="H133" i="4"/>
  <c r="AE133" i="4"/>
  <c r="U134" i="4"/>
  <c r="F135" i="4"/>
  <c r="AC135" i="4"/>
  <c r="S136" i="4"/>
  <c r="D137" i="4"/>
  <c r="X137" i="4"/>
  <c r="C138" i="4"/>
  <c r="Q138" i="4"/>
  <c r="AE138" i="4"/>
  <c r="I139" i="4"/>
  <c r="W139" i="4"/>
  <c r="A140" i="4"/>
  <c r="O140" i="4"/>
  <c r="AC140" i="4"/>
  <c r="G141" i="4"/>
  <c r="U141" i="4"/>
  <c r="AF141" i="4"/>
  <c r="H141" i="4"/>
  <c r="L137" i="4"/>
  <c r="O139" i="4"/>
  <c r="U140" i="4"/>
  <c r="X141" i="4"/>
  <c r="E136" i="4"/>
  <c r="J138" i="4"/>
  <c r="P139" i="4"/>
  <c r="V140" i="4"/>
  <c r="AB141" i="4"/>
  <c r="I108" i="4"/>
  <c r="Z123" i="4"/>
  <c r="V127" i="4"/>
  <c r="F133" i="4"/>
  <c r="L136" i="4"/>
  <c r="S137" i="4"/>
  <c r="Z138" i="4"/>
  <c r="M140" i="4"/>
  <c r="P141" i="4"/>
  <c r="K118" i="4"/>
  <c r="AD127" i="4"/>
  <c r="O134" i="4"/>
  <c r="P138" i="4"/>
  <c r="T141" i="4"/>
  <c r="M84" i="4"/>
  <c r="X102" i="4"/>
  <c r="L111" i="4"/>
  <c r="AF115" i="4"/>
  <c r="C119" i="4"/>
  <c r="G122" i="4"/>
  <c r="Q124" i="4"/>
  <c r="O126" i="4"/>
  <c r="M128" i="4"/>
  <c r="K130" i="4"/>
  <c r="I132" i="4"/>
  <c r="N133" i="4"/>
  <c r="AF133" i="4"/>
  <c r="V134" i="4"/>
  <c r="L135" i="4"/>
  <c r="AD135" i="4"/>
  <c r="T136" i="4"/>
  <c r="J137" i="4"/>
  <c r="Z137" i="4"/>
  <c r="G138" i="4"/>
  <c r="R138" i="4"/>
  <c r="AF138" i="4"/>
  <c r="J139" i="4"/>
  <c r="X139" i="4"/>
  <c r="E140" i="4"/>
  <c r="P140" i="4"/>
  <c r="AD140" i="4"/>
  <c r="V141" i="4"/>
  <c r="D100" i="4"/>
  <c r="M136" i="4"/>
  <c r="AG139" i="4"/>
  <c r="I89" i="4"/>
  <c r="AA103" i="4"/>
  <c r="A112" i="4"/>
  <c r="M116" i="4"/>
  <c r="Q119" i="4"/>
  <c r="Q122" i="4"/>
  <c r="Y124" i="4"/>
  <c r="W126" i="4"/>
  <c r="U128" i="4"/>
  <c r="S130" i="4"/>
  <c r="Q132" i="4"/>
  <c r="O133" i="4"/>
  <c r="E134" i="4"/>
  <c r="W134" i="4"/>
  <c r="M135" i="4"/>
  <c r="C136" i="4"/>
  <c r="U136" i="4"/>
  <c r="K137" i="4"/>
  <c r="AA137" i="4"/>
  <c r="H138" i="4"/>
  <c r="S138" i="4"/>
  <c r="AG138" i="4"/>
  <c r="N139" i="4"/>
  <c r="Y139" i="4"/>
  <c r="F140" i="4"/>
  <c r="Q140" i="4"/>
  <c r="AE140" i="4"/>
  <c r="L141" i="4"/>
  <c r="W141" i="4"/>
  <c r="I138" i="4"/>
  <c r="A139" i="4"/>
  <c r="G140" i="4"/>
  <c r="M141" i="4"/>
  <c r="AB136" i="4"/>
  <c r="AF137" i="4"/>
  <c r="X138" i="4"/>
  <c r="AD139" i="4"/>
  <c r="H140" i="4"/>
  <c r="AG140" i="4"/>
  <c r="R114" i="4"/>
  <c r="A121" i="4"/>
  <c r="T129" i="4"/>
  <c r="X133" i="4"/>
  <c r="V135" i="4"/>
  <c r="A138" i="4"/>
  <c r="AF139" i="4"/>
  <c r="AD141" i="4"/>
  <c r="O121" i="4"/>
  <c r="AB129" i="4"/>
  <c r="E135" i="4"/>
  <c r="B138" i="4"/>
  <c r="V139" i="4"/>
  <c r="AE141" i="4"/>
  <c r="AC92" i="4"/>
  <c r="AE104" i="4"/>
  <c r="T112" i="4"/>
  <c r="X116" i="4"/>
  <c r="AB119" i="4"/>
  <c r="AC122" i="4"/>
  <c r="AG124" i="4"/>
  <c r="AE126" i="4"/>
  <c r="AC128" i="4"/>
  <c r="AA130" i="4"/>
  <c r="Y132" i="4"/>
  <c r="P133" i="4"/>
  <c r="F134" i="4"/>
  <c r="AC134" i="4"/>
  <c r="N135" i="4"/>
  <c r="D136" i="4"/>
  <c r="AA136" i="4"/>
  <c r="AB137" i="4"/>
  <c r="W138" i="4"/>
  <c r="Z139" i="4"/>
  <c r="AF140" i="4"/>
  <c r="AD117" i="4"/>
  <c r="D135" i="4"/>
  <c r="O138" i="4"/>
  <c r="X140" i="4"/>
  <c r="A124" i="4"/>
  <c r="Z131" i="4"/>
  <c r="AB135" i="4"/>
  <c r="AA138" i="4"/>
  <c r="Y140" i="4"/>
  <c r="I95" i="4"/>
  <c r="A106" i="4"/>
  <c r="J113" i="4"/>
  <c r="E117" i="4"/>
  <c r="I120" i="4"/>
  <c r="F123" i="4"/>
  <c r="H125" i="4"/>
  <c r="F127" i="4"/>
  <c r="D129" i="4"/>
  <c r="B131" i="4"/>
  <c r="AE132" i="4"/>
  <c r="V133" i="4"/>
  <c r="G134" i="4"/>
  <c r="AD134" i="4"/>
  <c r="T135" i="4"/>
  <c r="P137" i="4"/>
  <c r="B139" i="4"/>
  <c r="N141" i="4"/>
  <c r="R131" i="4"/>
  <c r="G139" i="4"/>
  <c r="E141" i="4"/>
  <c r="L109" i="4"/>
  <c r="G133" i="4"/>
  <c r="C137" i="4"/>
  <c r="N140" i="4"/>
  <c r="AG96" i="4"/>
  <c r="E107" i="4"/>
  <c r="AF113" i="4"/>
  <c r="S117" i="4"/>
  <c r="T120" i="4"/>
  <c r="P123" i="4"/>
  <c r="P125" i="4"/>
  <c r="N127" i="4"/>
  <c r="L129" i="4"/>
  <c r="J131" i="4"/>
  <c r="AG132" i="4"/>
  <c r="W133" i="4"/>
  <c r="M134" i="4"/>
  <c r="AE134" i="4"/>
  <c r="U135" i="4"/>
  <c r="K136" i="4"/>
  <c r="AC136" i="4"/>
  <c r="R137" i="4"/>
  <c r="AG137" i="4"/>
  <c r="K138" i="4"/>
  <c r="Y138" i="4"/>
  <c r="F139" i="4"/>
  <c r="Q139" i="4"/>
  <c r="AE139" i="4"/>
  <c r="I140" i="4"/>
  <c r="W140" i="4"/>
  <c r="D141" i="4"/>
  <c r="O141" i="4"/>
  <c r="AC141" i="4"/>
  <c r="Q98" i="4"/>
  <c r="X125" i="4"/>
  <c r="N134" i="4"/>
  <c r="B137" i="4"/>
  <c r="R139" i="4"/>
  <c r="A115" i="4"/>
  <c r="AF125" i="4"/>
  <c r="AD133" i="4"/>
  <c r="T137" i="4"/>
  <c r="H139" i="4"/>
  <c r="F141" i="4"/>
  <c r="D52" i="1"/>
  <c r="R14" i="1" s="1"/>
  <c r="D50" i="1"/>
  <c r="G9" i="1"/>
  <c r="D10" i="1"/>
  <c r="B38" i="3" s="1"/>
  <c r="J8" i="3" s="1"/>
  <c r="B21" i="1"/>
  <c r="B44" i="1"/>
  <c r="D44" i="1"/>
  <c r="B36" i="3"/>
  <c r="B29" i="3"/>
  <c r="D18" i="3"/>
  <c r="D9" i="3"/>
  <c r="AI9" i="3" a="1"/>
  <c r="AI10" i="3" a="1"/>
  <c r="AI11" i="3" a="1"/>
  <c r="G52" i="1" l="1"/>
  <c r="D54" i="1"/>
  <c r="B17" i="3" s="1"/>
  <c r="AI9" i="3"/>
  <c r="AI11" i="3"/>
  <c r="AI10" i="3"/>
  <c r="D62" i="1"/>
  <c r="B49" i="3" s="1"/>
  <c r="G58" i="1"/>
  <c r="G63" i="1"/>
  <c r="D13" i="1"/>
  <c r="G11" i="1"/>
  <c r="G10" i="1"/>
  <c r="D12" i="1"/>
  <c r="B30" i="3" s="1"/>
  <c r="G13" i="1"/>
  <c r="G12" i="1"/>
  <c r="D55" i="1"/>
  <c r="D53" i="1" s="1"/>
  <c r="G51" i="1"/>
  <c r="G49" i="1"/>
  <c r="G48" i="1"/>
  <c r="G47" i="1"/>
  <c r="G59" i="1"/>
  <c r="G62" i="1"/>
  <c r="G60" i="1"/>
  <c r="D65" i="1"/>
  <c r="B43" i="3" s="1"/>
  <c r="D66" i="1"/>
  <c r="D64" i="1" s="1"/>
  <c r="B50" i="1" l="1"/>
  <c r="D63" i="1"/>
  <c r="B51" i="3" s="1"/>
  <c r="B44" i="3"/>
  <c r="B45" i="3"/>
  <c r="B18" i="3"/>
  <c r="B19" i="3"/>
  <c r="D11" i="1"/>
  <c r="B31" i="3" s="1"/>
  <c r="B32" i="3"/>
  <c r="C12" i="1"/>
  <c r="B35" i="3"/>
  <c r="B37" i="3"/>
  <c r="B34" i="3"/>
  <c r="B39" i="3"/>
  <c r="B33" i="3"/>
  <c r="B61" i="1" l="1"/>
  <c r="C67" i="1" s="1"/>
  <c r="C56" i="1"/>
  <c r="B14" i="1"/>
  <c r="C14" i="1" s="1"/>
  <c r="B42" i="3"/>
  <c r="B48" i="3"/>
  <c r="B47" i="3"/>
  <c r="B46" i="3"/>
  <c r="B52" i="3"/>
  <c r="B50" i="3"/>
  <c r="B16" i="3"/>
  <c r="B26" i="3"/>
  <c r="B22" i="3"/>
  <c r="B21" i="3"/>
  <c r="B20" i="3"/>
  <c r="B24" i="3"/>
  <c r="B25" i="3"/>
  <c r="J7" i="3" s="1"/>
  <c r="B23" i="3"/>
  <c r="I1" i="3" a="1"/>
  <c r="AG10" i="3" a="1"/>
  <c r="AG5" i="3" a="1"/>
  <c r="J10" i="3" a="1"/>
  <c r="AH10" i="3" a="1"/>
  <c r="AG9" i="3" a="1"/>
  <c r="AG11" i="3" a="1"/>
  <c r="AH11" i="3" a="1"/>
  <c r="AH9" i="3" a="1"/>
  <c r="I1" i="3" l="1"/>
  <c r="I2" i="3"/>
  <c r="I3" i="3"/>
  <c r="M3" i="3"/>
  <c r="N3" i="3"/>
  <c r="P3" i="3"/>
  <c r="J1" i="3"/>
  <c r="J2" i="3"/>
  <c r="J3" i="3"/>
  <c r="K1" i="3"/>
  <c r="K2" i="3"/>
  <c r="K3" i="3"/>
  <c r="M2" i="3"/>
  <c r="N2" i="3"/>
  <c r="P1" i="3"/>
  <c r="L1" i="3"/>
  <c r="L2" i="3"/>
  <c r="L3" i="3"/>
  <c r="M1" i="3"/>
  <c r="N1" i="3"/>
  <c r="P2" i="3"/>
  <c r="O1" i="3"/>
  <c r="O2" i="3"/>
  <c r="O3" i="3"/>
  <c r="J10" i="3"/>
  <c r="R10" i="3"/>
  <c r="M11" i="3"/>
  <c r="U11" i="3"/>
  <c r="P12" i="3"/>
  <c r="K13" i="3"/>
  <c r="S13" i="3"/>
  <c r="N14" i="3"/>
  <c r="V14" i="3"/>
  <c r="Q15" i="3"/>
  <c r="L16" i="3"/>
  <c r="T16" i="3"/>
  <c r="O17" i="3"/>
  <c r="J18" i="3"/>
  <c r="R18" i="3"/>
  <c r="M19" i="3"/>
  <c r="U19" i="3"/>
  <c r="P20" i="3"/>
  <c r="K21" i="3"/>
  <c r="S21" i="3"/>
  <c r="N22" i="3"/>
  <c r="V22" i="3"/>
  <c r="Q23" i="3"/>
  <c r="L24" i="3"/>
  <c r="T24" i="3"/>
  <c r="O25" i="3"/>
  <c r="J26" i="3"/>
  <c r="R26" i="3"/>
  <c r="M27" i="3"/>
  <c r="U27" i="3"/>
  <c r="P28" i="3"/>
  <c r="K29" i="3"/>
  <c r="S29" i="3"/>
  <c r="N30" i="3"/>
  <c r="V30" i="3"/>
  <c r="Q31" i="3"/>
  <c r="L32" i="3"/>
  <c r="T32" i="3"/>
  <c r="O33" i="3"/>
  <c r="J34" i="3"/>
  <c r="R34" i="3"/>
  <c r="M35" i="3"/>
  <c r="U35" i="3"/>
  <c r="P36" i="3"/>
  <c r="K37" i="3"/>
  <c r="S37" i="3"/>
  <c r="N38" i="3"/>
  <c r="V38" i="3"/>
  <c r="Q39" i="3"/>
  <c r="L40" i="3"/>
  <c r="T40" i="3"/>
  <c r="O41" i="3"/>
  <c r="J42" i="3"/>
  <c r="R42" i="3"/>
  <c r="M43" i="3"/>
  <c r="U43" i="3"/>
  <c r="P44" i="3"/>
  <c r="K45" i="3"/>
  <c r="S45" i="3"/>
  <c r="N46" i="3"/>
  <c r="V46" i="3"/>
  <c r="Q47" i="3"/>
  <c r="L48" i="3"/>
  <c r="T48" i="3"/>
  <c r="O49" i="3"/>
  <c r="J50" i="3"/>
  <c r="R50" i="3"/>
  <c r="M51" i="3"/>
  <c r="U51" i="3"/>
  <c r="P52" i="3"/>
  <c r="K53" i="3"/>
  <c r="S53" i="3"/>
  <c r="N54" i="3"/>
  <c r="V54" i="3"/>
  <c r="Q55" i="3"/>
  <c r="L56" i="3"/>
  <c r="T56" i="3"/>
  <c r="O57" i="3"/>
  <c r="J58" i="3"/>
  <c r="R58" i="3"/>
  <c r="M59" i="3"/>
  <c r="U59" i="3"/>
  <c r="P60" i="3"/>
  <c r="K61" i="3"/>
  <c r="S61" i="3"/>
  <c r="K10" i="3"/>
  <c r="S10" i="3"/>
  <c r="N11" i="3"/>
  <c r="V11" i="3"/>
  <c r="Q12" i="3"/>
  <c r="L13" i="3"/>
  <c r="T13" i="3"/>
  <c r="O14" i="3"/>
  <c r="J15" i="3"/>
  <c r="R15" i="3"/>
  <c r="M16" i="3"/>
  <c r="U16" i="3"/>
  <c r="P17" i="3"/>
  <c r="K18" i="3"/>
  <c r="S18" i="3"/>
  <c r="N19" i="3"/>
  <c r="V19" i="3"/>
  <c r="Q20" i="3"/>
  <c r="L21" i="3"/>
  <c r="T21" i="3"/>
  <c r="O22" i="3"/>
  <c r="J23" i="3"/>
  <c r="R23" i="3"/>
  <c r="M24" i="3"/>
  <c r="U24" i="3"/>
  <c r="P25" i="3"/>
  <c r="K26" i="3"/>
  <c r="S26" i="3"/>
  <c r="N27" i="3"/>
  <c r="V27" i="3"/>
  <c r="Q28" i="3"/>
  <c r="L29" i="3"/>
  <c r="T29" i="3"/>
  <c r="O30" i="3"/>
  <c r="J31" i="3"/>
  <c r="R31" i="3"/>
  <c r="M32" i="3"/>
  <c r="U32" i="3"/>
  <c r="P33" i="3"/>
  <c r="K34" i="3"/>
  <c r="S34" i="3"/>
  <c r="N35" i="3"/>
  <c r="V35" i="3"/>
  <c r="Q36" i="3"/>
  <c r="L37" i="3"/>
  <c r="T37" i="3"/>
  <c r="O38" i="3"/>
  <c r="J39" i="3"/>
  <c r="R39" i="3"/>
  <c r="M40" i="3"/>
  <c r="U40" i="3"/>
  <c r="P41" i="3"/>
  <c r="K42" i="3"/>
  <c r="S42" i="3"/>
  <c r="N43" i="3"/>
  <c r="V43" i="3"/>
  <c r="Q44" i="3"/>
  <c r="L45" i="3"/>
  <c r="T45" i="3"/>
  <c r="O46" i="3"/>
  <c r="J47" i="3"/>
  <c r="R47" i="3"/>
  <c r="M48" i="3"/>
  <c r="U48" i="3"/>
  <c r="P49" i="3"/>
  <c r="K50" i="3"/>
  <c r="S50" i="3"/>
  <c r="N51" i="3"/>
  <c r="V51" i="3"/>
  <c r="Q52" i="3"/>
  <c r="L53" i="3"/>
  <c r="T53" i="3"/>
  <c r="O54" i="3"/>
  <c r="J55" i="3"/>
  <c r="R55" i="3"/>
  <c r="M56" i="3"/>
  <c r="U56" i="3"/>
  <c r="P57" i="3"/>
  <c r="K58" i="3"/>
  <c r="S58" i="3"/>
  <c r="N59" i="3"/>
  <c r="V59" i="3"/>
  <c r="Q60" i="3"/>
  <c r="L61" i="3"/>
  <c r="L10" i="3"/>
  <c r="T10" i="3"/>
  <c r="O11" i="3"/>
  <c r="J12" i="3"/>
  <c r="R12" i="3"/>
  <c r="M13" i="3"/>
  <c r="U13" i="3"/>
  <c r="P14" i="3"/>
  <c r="K15" i="3"/>
  <c r="S15" i="3"/>
  <c r="N16" i="3"/>
  <c r="V16" i="3"/>
  <c r="Q17" i="3"/>
  <c r="L18" i="3"/>
  <c r="T18" i="3"/>
  <c r="O19" i="3"/>
  <c r="J20" i="3"/>
  <c r="R20" i="3"/>
  <c r="M21" i="3"/>
  <c r="U21" i="3"/>
  <c r="P22" i="3"/>
  <c r="K23" i="3"/>
  <c r="S23" i="3"/>
  <c r="N24" i="3"/>
  <c r="V24" i="3"/>
  <c r="Q25" i="3"/>
  <c r="L26" i="3"/>
  <c r="T26" i="3"/>
  <c r="O27" i="3"/>
  <c r="J28" i="3"/>
  <c r="R28" i="3"/>
  <c r="M29" i="3"/>
  <c r="U29" i="3"/>
  <c r="P30" i="3"/>
  <c r="K31" i="3"/>
  <c r="S31" i="3"/>
  <c r="N32" i="3"/>
  <c r="V32" i="3"/>
  <c r="Q33" i="3"/>
  <c r="L34" i="3"/>
  <c r="T34" i="3"/>
  <c r="O35" i="3"/>
  <c r="J36" i="3"/>
  <c r="R36" i="3"/>
  <c r="M37" i="3"/>
  <c r="U37" i="3"/>
  <c r="P38" i="3"/>
  <c r="K39" i="3"/>
  <c r="S39" i="3"/>
  <c r="N40" i="3"/>
  <c r="V40" i="3"/>
  <c r="Q41" i="3"/>
  <c r="L42" i="3"/>
  <c r="T42" i="3"/>
  <c r="O43" i="3"/>
  <c r="J44" i="3"/>
  <c r="R44" i="3"/>
  <c r="M45" i="3"/>
  <c r="U45" i="3"/>
  <c r="P46" i="3"/>
  <c r="K47" i="3"/>
  <c r="S47" i="3"/>
  <c r="N48" i="3"/>
  <c r="V48" i="3"/>
  <c r="Q49" i="3"/>
  <c r="L50" i="3"/>
  <c r="T50" i="3"/>
  <c r="O51" i="3"/>
  <c r="J52" i="3"/>
  <c r="R52" i="3"/>
  <c r="M53" i="3"/>
  <c r="U53" i="3"/>
  <c r="P54" i="3"/>
  <c r="K55" i="3"/>
  <c r="S55" i="3"/>
  <c r="N56" i="3"/>
  <c r="V56" i="3"/>
  <c r="Q57" i="3"/>
  <c r="L58" i="3"/>
  <c r="T58" i="3"/>
  <c r="O59" i="3"/>
  <c r="N10" i="3"/>
  <c r="V10" i="3"/>
  <c r="Q11" i="3"/>
  <c r="L12" i="3"/>
  <c r="T12" i="3"/>
  <c r="O13" i="3"/>
  <c r="J14" i="3"/>
  <c r="R14" i="3"/>
  <c r="M15" i="3"/>
  <c r="U15" i="3"/>
  <c r="P16" i="3"/>
  <c r="K17" i="3"/>
  <c r="S17" i="3"/>
  <c r="N18" i="3"/>
  <c r="V18" i="3"/>
  <c r="Q19" i="3"/>
  <c r="L20" i="3"/>
  <c r="T20" i="3"/>
  <c r="O21" i="3"/>
  <c r="J22" i="3"/>
  <c r="R22" i="3"/>
  <c r="M23" i="3"/>
  <c r="U23" i="3"/>
  <c r="P24" i="3"/>
  <c r="K25" i="3"/>
  <c r="S25" i="3"/>
  <c r="N26" i="3"/>
  <c r="V26" i="3"/>
  <c r="Q27" i="3"/>
  <c r="L28" i="3"/>
  <c r="T28" i="3"/>
  <c r="O29" i="3"/>
  <c r="J30" i="3"/>
  <c r="R30" i="3"/>
  <c r="M31" i="3"/>
  <c r="U31" i="3"/>
  <c r="P32" i="3"/>
  <c r="K33" i="3"/>
  <c r="S33" i="3"/>
  <c r="N34" i="3"/>
  <c r="V34" i="3"/>
  <c r="Q35" i="3"/>
  <c r="L36" i="3"/>
  <c r="T36" i="3"/>
  <c r="O37" i="3"/>
  <c r="J38" i="3"/>
  <c r="R38" i="3"/>
  <c r="M39" i="3"/>
  <c r="U39" i="3"/>
  <c r="P40" i="3"/>
  <c r="K41" i="3"/>
  <c r="S41" i="3"/>
  <c r="N42" i="3"/>
  <c r="V42" i="3"/>
  <c r="Q43" i="3"/>
  <c r="L44" i="3"/>
  <c r="T44" i="3"/>
  <c r="O45" i="3"/>
  <c r="J46" i="3"/>
  <c r="R46" i="3"/>
  <c r="M47" i="3"/>
  <c r="U47" i="3"/>
  <c r="P48" i="3"/>
  <c r="K49" i="3"/>
  <c r="S49" i="3"/>
  <c r="N50" i="3"/>
  <c r="V50" i="3"/>
  <c r="Q51" i="3"/>
  <c r="L52" i="3"/>
  <c r="T52" i="3"/>
  <c r="O53" i="3"/>
  <c r="J54" i="3"/>
  <c r="R54" i="3"/>
  <c r="M55" i="3"/>
  <c r="U55" i="3"/>
  <c r="P56" i="3"/>
  <c r="K57" i="3"/>
  <c r="S57" i="3"/>
  <c r="N58" i="3"/>
  <c r="V58" i="3"/>
  <c r="Q59" i="3"/>
  <c r="L60" i="3"/>
  <c r="T60" i="3"/>
  <c r="O61" i="3"/>
  <c r="J62" i="3"/>
  <c r="O10" i="3"/>
  <c r="R11" i="3"/>
  <c r="U12" i="3"/>
  <c r="K14" i="3"/>
  <c r="N15" i="3"/>
  <c r="Q16" i="3"/>
  <c r="T17" i="3"/>
  <c r="J19" i="3"/>
  <c r="M20" i="3"/>
  <c r="P21" i="3"/>
  <c r="S22" i="3"/>
  <c r="V23" i="3"/>
  <c r="L25" i="3"/>
  <c r="O26" i="3"/>
  <c r="R27" i="3"/>
  <c r="U28" i="3"/>
  <c r="K30" i="3"/>
  <c r="N31" i="3"/>
  <c r="Q32" i="3"/>
  <c r="T33" i="3"/>
  <c r="J35" i="3"/>
  <c r="M36" i="3"/>
  <c r="P37" i="3"/>
  <c r="S38" i="3"/>
  <c r="V39" i="3"/>
  <c r="L41" i="3"/>
  <c r="O42" i="3"/>
  <c r="R43" i="3"/>
  <c r="U44" i="3"/>
  <c r="K46" i="3"/>
  <c r="N47" i="3"/>
  <c r="Q48" i="3"/>
  <c r="T49" i="3"/>
  <c r="J51" i="3"/>
  <c r="M52" i="3"/>
  <c r="P53" i="3"/>
  <c r="S54" i="3"/>
  <c r="V55" i="3"/>
  <c r="L57" i="3"/>
  <c r="O58" i="3"/>
  <c r="R59" i="3"/>
  <c r="R60" i="3"/>
  <c r="Q61" i="3"/>
  <c r="N62" i="3"/>
  <c r="V62" i="3"/>
  <c r="Q63" i="3"/>
  <c r="L64" i="3"/>
  <c r="T64" i="3"/>
  <c r="O65" i="3"/>
  <c r="J66" i="3"/>
  <c r="R66" i="3"/>
  <c r="M67" i="3"/>
  <c r="U67" i="3"/>
  <c r="P68" i="3"/>
  <c r="K69" i="3"/>
  <c r="S69" i="3"/>
  <c r="N70" i="3"/>
  <c r="V70" i="3"/>
  <c r="Q71" i="3"/>
  <c r="L72" i="3"/>
  <c r="T72" i="3"/>
  <c r="O73" i="3"/>
  <c r="J74" i="3"/>
  <c r="R74" i="3"/>
  <c r="M75" i="3"/>
  <c r="U75" i="3"/>
  <c r="P76" i="3"/>
  <c r="K77" i="3"/>
  <c r="S77" i="3"/>
  <c r="N78" i="3"/>
  <c r="V78" i="3"/>
  <c r="Q79" i="3"/>
  <c r="L80" i="3"/>
  <c r="T80" i="3"/>
  <c r="O81" i="3"/>
  <c r="J82" i="3"/>
  <c r="R82" i="3"/>
  <c r="M83" i="3"/>
  <c r="U83" i="3"/>
  <c r="P84" i="3"/>
  <c r="K85" i="3"/>
  <c r="S85" i="3"/>
  <c r="N86" i="3"/>
  <c r="V86" i="3"/>
  <c r="Q87" i="3"/>
  <c r="P10" i="3"/>
  <c r="S11" i="3"/>
  <c r="V12" i="3"/>
  <c r="L14" i="3"/>
  <c r="O15" i="3"/>
  <c r="R16" i="3"/>
  <c r="U17" i="3"/>
  <c r="K19" i="3"/>
  <c r="N20" i="3"/>
  <c r="Q21" i="3"/>
  <c r="T22" i="3"/>
  <c r="J24" i="3"/>
  <c r="M25" i="3"/>
  <c r="P26" i="3"/>
  <c r="S27" i="3"/>
  <c r="V28" i="3"/>
  <c r="L30" i="3"/>
  <c r="O31" i="3"/>
  <c r="R32" i="3"/>
  <c r="U33" i="3"/>
  <c r="K35" i="3"/>
  <c r="N36" i="3"/>
  <c r="Q37" i="3"/>
  <c r="T38" i="3"/>
  <c r="U10" i="3"/>
  <c r="K12" i="3"/>
  <c r="N13" i="3"/>
  <c r="Q14" i="3"/>
  <c r="T15" i="3"/>
  <c r="J17" i="3"/>
  <c r="M18" i="3"/>
  <c r="P19" i="3"/>
  <c r="S20" i="3"/>
  <c r="V21" i="3"/>
  <c r="L23" i="3"/>
  <c r="O24" i="3"/>
  <c r="R25" i="3"/>
  <c r="U26" i="3"/>
  <c r="K28" i="3"/>
  <c r="N29" i="3"/>
  <c r="Q30" i="3"/>
  <c r="T31" i="3"/>
  <c r="J33" i="3"/>
  <c r="M34" i="3"/>
  <c r="P35" i="3"/>
  <c r="S36" i="3"/>
  <c r="V37" i="3"/>
  <c r="L39" i="3"/>
  <c r="O40" i="3"/>
  <c r="R41" i="3"/>
  <c r="U42" i="3"/>
  <c r="K44" i="3"/>
  <c r="N45" i="3"/>
  <c r="Q46" i="3"/>
  <c r="T47" i="3"/>
  <c r="J49" i="3"/>
  <c r="M50" i="3"/>
  <c r="P51" i="3"/>
  <c r="S52" i="3"/>
  <c r="V53" i="3"/>
  <c r="L55" i="3"/>
  <c r="O56" i="3"/>
  <c r="R57" i="3"/>
  <c r="U58" i="3"/>
  <c r="J60" i="3"/>
  <c r="V60" i="3"/>
  <c r="U61" i="3"/>
  <c r="Q62" i="3"/>
  <c r="L63" i="3"/>
  <c r="T63" i="3"/>
  <c r="O64" i="3"/>
  <c r="J65" i="3"/>
  <c r="R65" i="3"/>
  <c r="M66" i="3"/>
  <c r="U66" i="3"/>
  <c r="P67" i="3"/>
  <c r="K68" i="3"/>
  <c r="S68" i="3"/>
  <c r="N69" i="3"/>
  <c r="V69" i="3"/>
  <c r="Q70" i="3"/>
  <c r="L71" i="3"/>
  <c r="T71" i="3"/>
  <c r="O72" i="3"/>
  <c r="J73" i="3"/>
  <c r="R73" i="3"/>
  <c r="M74" i="3"/>
  <c r="U74" i="3"/>
  <c r="P75" i="3"/>
  <c r="K76" i="3"/>
  <c r="S76" i="3"/>
  <c r="N77" i="3"/>
  <c r="V77" i="3"/>
  <c r="Q78" i="3"/>
  <c r="L79" i="3"/>
  <c r="T79" i="3"/>
  <c r="O80" i="3"/>
  <c r="J81" i="3"/>
  <c r="R81" i="3"/>
  <c r="M82" i="3"/>
  <c r="U82" i="3"/>
  <c r="P83" i="3"/>
  <c r="K84" i="3"/>
  <c r="S84" i="3"/>
  <c r="N85" i="3"/>
  <c r="V85" i="3"/>
  <c r="Q86" i="3"/>
  <c r="L87" i="3"/>
  <c r="T87" i="3"/>
  <c r="O88" i="3"/>
  <c r="M10" i="3"/>
  <c r="N12" i="3"/>
  <c r="M14" i="3"/>
  <c r="K16" i="3"/>
  <c r="O18" i="3"/>
  <c r="K20" i="3"/>
  <c r="L22" i="3"/>
  <c r="K24" i="3"/>
  <c r="V25" i="3"/>
  <c r="M28" i="3"/>
  <c r="V29" i="3"/>
  <c r="J32" i="3"/>
  <c r="V33" i="3"/>
  <c r="T35" i="3"/>
  <c r="K38" i="3"/>
  <c r="T39" i="3"/>
  <c r="N41" i="3"/>
  <c r="K43" i="3"/>
  <c r="S44" i="3"/>
  <c r="M46" i="3"/>
  <c r="J48" i="3"/>
  <c r="R49" i="3"/>
  <c r="L51" i="3"/>
  <c r="V52" i="3"/>
  <c r="Q54" i="3"/>
  <c r="K56" i="3"/>
  <c r="U57" i="3"/>
  <c r="P59" i="3"/>
  <c r="U60" i="3"/>
  <c r="K62" i="3"/>
  <c r="U62" i="3"/>
  <c r="S63" i="3"/>
  <c r="Q64" i="3"/>
  <c r="N65" i="3"/>
  <c r="L66" i="3"/>
  <c r="J67" i="3"/>
  <c r="T67" i="3"/>
  <c r="R68" i="3"/>
  <c r="P69" i="3"/>
  <c r="M70" i="3"/>
  <c r="K71" i="3"/>
  <c r="V71" i="3"/>
  <c r="S72" i="3"/>
  <c r="Q73" i="3"/>
  <c r="O74" i="3"/>
  <c r="L75" i="3"/>
  <c r="J76" i="3"/>
  <c r="U76" i="3"/>
  <c r="R77" i="3"/>
  <c r="P78" i="3"/>
  <c r="N79" i="3"/>
  <c r="K80" i="3"/>
  <c r="V80" i="3"/>
  <c r="T81" i="3"/>
  <c r="Q82" i="3"/>
  <c r="O83" i="3"/>
  <c r="M84" i="3"/>
  <c r="J85" i="3"/>
  <c r="U85" i="3"/>
  <c r="S86" i="3"/>
  <c r="P87" i="3"/>
  <c r="M88" i="3"/>
  <c r="V88" i="3"/>
  <c r="Q89" i="3"/>
  <c r="L90" i="3"/>
  <c r="T90" i="3"/>
  <c r="O91" i="3"/>
  <c r="J92" i="3"/>
  <c r="R92" i="3"/>
  <c r="M93" i="3"/>
  <c r="U93" i="3"/>
  <c r="P94" i="3"/>
  <c r="K95" i="3"/>
  <c r="S95" i="3"/>
  <c r="N96" i="3"/>
  <c r="V96" i="3"/>
  <c r="Q97" i="3"/>
  <c r="L98" i="3"/>
  <c r="T98" i="3"/>
  <c r="O99" i="3"/>
  <c r="J100" i="3"/>
  <c r="R100" i="3"/>
  <c r="M101" i="3"/>
  <c r="U101" i="3"/>
  <c r="P102" i="3"/>
  <c r="Q10" i="3"/>
  <c r="O12" i="3"/>
  <c r="S14" i="3"/>
  <c r="O16" i="3"/>
  <c r="P18" i="3"/>
  <c r="O20" i="3"/>
  <c r="M22" i="3"/>
  <c r="Q24" i="3"/>
  <c r="M26" i="3"/>
  <c r="N28" i="3"/>
  <c r="M30" i="3"/>
  <c r="K32" i="3"/>
  <c r="O34" i="3"/>
  <c r="K36" i="3"/>
  <c r="L38" i="3"/>
  <c r="J40" i="3"/>
  <c r="T41" i="3"/>
  <c r="L43" i="3"/>
  <c r="V44" i="3"/>
  <c r="S46" i="3"/>
  <c r="K48" i="3"/>
  <c r="U49" i="3"/>
  <c r="R51" i="3"/>
  <c r="J53" i="3"/>
  <c r="T54" i="3"/>
  <c r="Q56" i="3"/>
  <c r="V57" i="3"/>
  <c r="S59" i="3"/>
  <c r="J61" i="3"/>
  <c r="L62" i="3"/>
  <c r="J63" i="3"/>
  <c r="U63" i="3"/>
  <c r="R64" i="3"/>
  <c r="P65" i="3"/>
  <c r="N66" i="3"/>
  <c r="K67" i="3"/>
  <c r="V67" i="3"/>
  <c r="T68" i="3"/>
  <c r="Q69" i="3"/>
  <c r="O70" i="3"/>
  <c r="M71" i="3"/>
  <c r="J72" i="3"/>
  <c r="U72" i="3"/>
  <c r="S73" i="3"/>
  <c r="P74" i="3"/>
  <c r="N75" i="3"/>
  <c r="L76" i="3"/>
  <c r="V76" i="3"/>
  <c r="T77" i="3"/>
  <c r="R78" i="3"/>
  <c r="O79" i="3"/>
  <c r="M80" i="3"/>
  <c r="K81" i="3"/>
  <c r="U81" i="3"/>
  <c r="S82" i="3"/>
  <c r="Q83" i="3"/>
  <c r="N84" i="3"/>
  <c r="L85" i="3"/>
  <c r="J86" i="3"/>
  <c r="T86" i="3"/>
  <c r="R87" i="3"/>
  <c r="N88" i="3"/>
  <c r="J89" i="3"/>
  <c r="R89" i="3"/>
  <c r="M90" i="3"/>
  <c r="U90" i="3"/>
  <c r="P91" i="3"/>
  <c r="K92" i="3"/>
  <c r="S92" i="3"/>
  <c r="N93" i="3"/>
  <c r="V93" i="3"/>
  <c r="Q94" i="3"/>
  <c r="L95" i="3"/>
  <c r="T95" i="3"/>
  <c r="O96" i="3"/>
  <c r="J97" i="3"/>
  <c r="J11" i="3"/>
  <c r="S12" i="3"/>
  <c r="T14" i="3"/>
  <c r="S16" i="3"/>
  <c r="Q18" i="3"/>
  <c r="U20" i="3"/>
  <c r="Q22" i="3"/>
  <c r="R24" i="3"/>
  <c r="Q26" i="3"/>
  <c r="O28" i="3"/>
  <c r="S30" i="3"/>
  <c r="O32" i="3"/>
  <c r="P34" i="3"/>
  <c r="O36" i="3"/>
  <c r="M38" i="3"/>
  <c r="K40" i="3"/>
  <c r="U41" i="3"/>
  <c r="P43" i="3"/>
  <c r="J45" i="3"/>
  <c r="T46" i="3"/>
  <c r="O48" i="3"/>
  <c r="V49" i="3"/>
  <c r="S51" i="3"/>
  <c r="N53" i="3"/>
  <c r="U54" i="3"/>
  <c r="R56" i="3"/>
  <c r="M58" i="3"/>
  <c r="T59" i="3"/>
  <c r="M61" i="3"/>
  <c r="M62" i="3"/>
  <c r="K63" i="3"/>
  <c r="V63" i="3"/>
  <c r="S64" i="3"/>
  <c r="Q65" i="3"/>
  <c r="O66" i="3"/>
  <c r="L67" i="3"/>
  <c r="J68" i="3"/>
  <c r="U68" i="3"/>
  <c r="R69" i="3"/>
  <c r="P70" i="3"/>
  <c r="N71" i="3"/>
  <c r="K72" i="3"/>
  <c r="V72" i="3"/>
  <c r="T73" i="3"/>
  <c r="Q74" i="3"/>
  <c r="O75" i="3"/>
  <c r="M76" i="3"/>
  <c r="J77" i="3"/>
  <c r="U77" i="3"/>
  <c r="S78" i="3"/>
  <c r="P79" i="3"/>
  <c r="N80" i="3"/>
  <c r="L81" i="3"/>
  <c r="V81" i="3"/>
  <c r="T82" i="3"/>
  <c r="R83" i="3"/>
  <c r="O84" i="3"/>
  <c r="M85" i="3"/>
  <c r="K86" i="3"/>
  <c r="U86" i="3"/>
  <c r="S87" i="3"/>
  <c r="P88" i="3"/>
  <c r="K89" i="3"/>
  <c r="S89" i="3"/>
  <c r="N90" i="3"/>
  <c r="V90" i="3"/>
  <c r="Q91" i="3"/>
  <c r="L92" i="3"/>
  <c r="T92" i="3"/>
  <c r="O93" i="3"/>
  <c r="J94" i="3"/>
  <c r="R94" i="3"/>
  <c r="M95" i="3"/>
  <c r="U95" i="3"/>
  <c r="P96" i="3"/>
  <c r="K97" i="3"/>
  <c r="S97" i="3"/>
  <c r="N98" i="3"/>
  <c r="V98" i="3"/>
  <c r="Q99" i="3"/>
  <c r="L100" i="3"/>
  <c r="T100" i="3"/>
  <c r="O101" i="3"/>
  <c r="J102" i="3"/>
  <c r="R102" i="3"/>
  <c r="M103" i="3"/>
  <c r="U103" i="3"/>
  <c r="K11" i="3"/>
  <c r="J13" i="3"/>
  <c r="U14" i="3"/>
  <c r="L17" i="3"/>
  <c r="U18" i="3"/>
  <c r="V20" i="3"/>
  <c r="U22" i="3"/>
  <c r="S24" i="3"/>
  <c r="J27" i="3"/>
  <c r="S28" i="3"/>
  <c r="T30" i="3"/>
  <c r="S32" i="3"/>
  <c r="Q34" i="3"/>
  <c r="U36" i="3"/>
  <c r="Q38" i="3"/>
  <c r="Q40" i="3"/>
  <c r="V41" i="3"/>
  <c r="S43" i="3"/>
  <c r="P45" i="3"/>
  <c r="U46" i="3"/>
  <c r="R48" i="3"/>
  <c r="O50" i="3"/>
  <c r="T51" i="3"/>
  <c r="Q53" i="3"/>
  <c r="N55" i="3"/>
  <c r="S56" i="3"/>
  <c r="P58" i="3"/>
  <c r="K60" i="3"/>
  <c r="N61" i="3"/>
  <c r="O62" i="3"/>
  <c r="M63" i="3"/>
  <c r="J64" i="3"/>
  <c r="U64" i="3"/>
  <c r="S65" i="3"/>
  <c r="P66" i="3"/>
  <c r="N67" i="3"/>
  <c r="L68" i="3"/>
  <c r="V68" i="3"/>
  <c r="T69" i="3"/>
  <c r="R70" i="3"/>
  <c r="O71" i="3"/>
  <c r="M72" i="3"/>
  <c r="K73" i="3"/>
  <c r="U73" i="3"/>
  <c r="S74" i="3"/>
  <c r="Q75" i="3"/>
  <c r="N76" i="3"/>
  <c r="L77" i="3"/>
  <c r="J78" i="3"/>
  <c r="T78" i="3"/>
  <c r="R79" i="3"/>
  <c r="P80" i="3"/>
  <c r="M81" i="3"/>
  <c r="K82" i="3"/>
  <c r="V82" i="3"/>
  <c r="S83" i="3"/>
  <c r="Q84" i="3"/>
  <c r="O85" i="3"/>
  <c r="L86" i="3"/>
  <c r="J87" i="3"/>
  <c r="U87" i="3"/>
  <c r="Q88" i="3"/>
  <c r="L89" i="3"/>
  <c r="T89" i="3"/>
  <c r="O90" i="3"/>
  <c r="J91" i="3"/>
  <c r="R91" i="3"/>
  <c r="P11" i="3"/>
  <c r="Q13" i="3"/>
  <c r="P15" i="3"/>
  <c r="N17" i="3"/>
  <c r="R19" i="3"/>
  <c r="N21" i="3"/>
  <c r="O23" i="3"/>
  <c r="N25" i="3"/>
  <c r="L27" i="3"/>
  <c r="P29" i="3"/>
  <c r="L31" i="3"/>
  <c r="M33" i="3"/>
  <c r="L35" i="3"/>
  <c r="J37" i="3"/>
  <c r="N39" i="3"/>
  <c r="S40" i="3"/>
  <c r="P42" i="3"/>
  <c r="M44" i="3"/>
  <c r="R45" i="3"/>
  <c r="O47" i="3"/>
  <c r="L49" i="3"/>
  <c r="Q50" i="3"/>
  <c r="N52" i="3"/>
  <c r="K54" i="3"/>
  <c r="P55" i="3"/>
  <c r="M57" i="3"/>
  <c r="J59" i="3"/>
  <c r="N60" i="3"/>
  <c r="R61" i="3"/>
  <c r="R62" i="3"/>
  <c r="O63" i="3"/>
  <c r="M64" i="3"/>
  <c r="K65" i="3"/>
  <c r="U65" i="3"/>
  <c r="S66" i="3"/>
  <c r="Q67" i="3"/>
  <c r="N68" i="3"/>
  <c r="L69" i="3"/>
  <c r="J70" i="3"/>
  <c r="T70" i="3"/>
  <c r="R71" i="3"/>
  <c r="P72" i="3"/>
  <c r="M73" i="3"/>
  <c r="K74" i="3"/>
  <c r="V74" i="3"/>
  <c r="S75" i="3"/>
  <c r="Q76" i="3"/>
  <c r="O77" i="3"/>
  <c r="L78" i="3"/>
  <c r="J79" i="3"/>
  <c r="U79" i="3"/>
  <c r="R80" i="3"/>
  <c r="P81" i="3"/>
  <c r="N82" i="3"/>
  <c r="K83" i="3"/>
  <c r="V83" i="3"/>
  <c r="T84" i="3"/>
  <c r="Q85" i="3"/>
  <c r="O86" i="3"/>
  <c r="M87" i="3"/>
  <c r="J88" i="3"/>
  <c r="S88" i="3"/>
  <c r="N89" i="3"/>
  <c r="V89" i="3"/>
  <c r="Q90" i="3"/>
  <c r="L91" i="3"/>
  <c r="T91" i="3"/>
  <c r="O92" i="3"/>
  <c r="J93" i="3"/>
  <c r="R93" i="3"/>
  <c r="M94" i="3"/>
  <c r="U94" i="3"/>
  <c r="P95" i="3"/>
  <c r="K96" i="3"/>
  <c r="S96" i="3"/>
  <c r="N97" i="3"/>
  <c r="V97" i="3"/>
  <c r="Q98" i="3"/>
  <c r="L99" i="3"/>
  <c r="T99" i="3"/>
  <c r="O100" i="3"/>
  <c r="J101" i="3"/>
  <c r="R101" i="3"/>
  <c r="M12" i="3"/>
  <c r="R17" i="3"/>
  <c r="N23" i="3"/>
  <c r="T27" i="3"/>
  <c r="N33" i="3"/>
  <c r="U38" i="3"/>
  <c r="J43" i="3"/>
  <c r="P47" i="3"/>
  <c r="K52" i="3"/>
  <c r="J56" i="3"/>
  <c r="O60" i="3"/>
  <c r="N63" i="3"/>
  <c r="M65" i="3"/>
  <c r="R67" i="3"/>
  <c r="U69" i="3"/>
  <c r="U71" i="3"/>
  <c r="L74" i="3"/>
  <c r="O76" i="3"/>
  <c r="O78" i="3"/>
  <c r="S80" i="3"/>
  <c r="J83" i="3"/>
  <c r="V84" i="3"/>
  <c r="N87" i="3"/>
  <c r="M89" i="3"/>
  <c r="S90" i="3"/>
  <c r="N92" i="3"/>
  <c r="Q93" i="3"/>
  <c r="T94" i="3"/>
  <c r="J96" i="3"/>
  <c r="M97" i="3"/>
  <c r="M98" i="3"/>
  <c r="M99" i="3"/>
  <c r="M100" i="3"/>
  <c r="L101" i="3"/>
  <c r="L102" i="3"/>
  <c r="V102" i="3"/>
  <c r="R103" i="3"/>
  <c r="N104" i="3"/>
  <c r="V104" i="3"/>
  <c r="Q105" i="3"/>
  <c r="L106" i="3"/>
  <c r="T106" i="3"/>
  <c r="O107" i="3"/>
  <c r="J108" i="3"/>
  <c r="R108" i="3"/>
  <c r="M109" i="3"/>
  <c r="U109" i="3"/>
  <c r="P110" i="3"/>
  <c r="K111" i="3"/>
  <c r="S111" i="3"/>
  <c r="N112" i="3"/>
  <c r="V112" i="3"/>
  <c r="Q113" i="3"/>
  <c r="L114" i="3"/>
  <c r="T114" i="3"/>
  <c r="O115" i="3"/>
  <c r="J116" i="3"/>
  <c r="R116" i="3"/>
  <c r="M117" i="3"/>
  <c r="U117" i="3"/>
  <c r="P118" i="3"/>
  <c r="K119" i="3"/>
  <c r="S119" i="3"/>
  <c r="N120" i="3"/>
  <c r="V120" i="3"/>
  <c r="Q121" i="3"/>
  <c r="L122" i="3"/>
  <c r="T122" i="3"/>
  <c r="O123" i="3"/>
  <c r="J124" i="3"/>
  <c r="R124" i="3"/>
  <c r="M125" i="3"/>
  <c r="U125" i="3"/>
  <c r="P126" i="3"/>
  <c r="K127" i="3"/>
  <c r="S127" i="3"/>
  <c r="N128" i="3"/>
  <c r="V128" i="3"/>
  <c r="Q129" i="3"/>
  <c r="L130" i="3"/>
  <c r="T130" i="3"/>
  <c r="O131" i="3"/>
  <c r="J132" i="3"/>
  <c r="R132" i="3"/>
  <c r="M133" i="3"/>
  <c r="U133" i="3"/>
  <c r="P134" i="3"/>
  <c r="K135" i="3"/>
  <c r="S135" i="3"/>
  <c r="N136" i="3"/>
  <c r="V136" i="3"/>
  <c r="Q137" i="3"/>
  <c r="L138" i="3"/>
  <c r="T138" i="3"/>
  <c r="O139" i="3"/>
  <c r="J140" i="3"/>
  <c r="R140" i="3"/>
  <c r="M141" i="3"/>
  <c r="U141" i="3"/>
  <c r="P142" i="3"/>
  <c r="K143" i="3"/>
  <c r="S143" i="3"/>
  <c r="N144" i="3"/>
  <c r="V144" i="3"/>
  <c r="Q145" i="3"/>
  <c r="L146" i="3"/>
  <c r="T146" i="3"/>
  <c r="O147" i="3"/>
  <c r="J148" i="3"/>
  <c r="R148" i="3"/>
  <c r="M149" i="3"/>
  <c r="U149" i="3"/>
  <c r="P150" i="3"/>
  <c r="K151" i="3"/>
  <c r="S151" i="3"/>
  <c r="N152" i="3"/>
  <c r="V152" i="3"/>
  <c r="Q153" i="3"/>
  <c r="L154" i="3"/>
  <c r="T154" i="3"/>
  <c r="O155" i="3"/>
  <c r="J156" i="3"/>
  <c r="R156" i="3"/>
  <c r="M157" i="3"/>
  <c r="U157" i="3"/>
  <c r="P158" i="3"/>
  <c r="K159" i="3"/>
  <c r="S159" i="3"/>
  <c r="N160" i="3"/>
  <c r="V160" i="3"/>
  <c r="Q161" i="3"/>
  <c r="L162" i="3"/>
  <c r="T162" i="3"/>
  <c r="O163" i="3"/>
  <c r="J164" i="3"/>
  <c r="R164" i="3"/>
  <c r="M165" i="3"/>
  <c r="U165" i="3"/>
  <c r="P166" i="3"/>
  <c r="K167" i="3"/>
  <c r="S167" i="3"/>
  <c r="N168" i="3"/>
  <c r="V168" i="3"/>
  <c r="Q169" i="3"/>
  <c r="L170" i="3"/>
  <c r="T170" i="3"/>
  <c r="O171" i="3"/>
  <c r="J172" i="3"/>
  <c r="R172" i="3"/>
  <c r="M173" i="3"/>
  <c r="U173" i="3"/>
  <c r="P174" i="3"/>
  <c r="P13" i="3"/>
  <c r="V17" i="3"/>
  <c r="P23" i="3"/>
  <c r="J29" i="3"/>
  <c r="R33" i="3"/>
  <c r="O39" i="3"/>
  <c r="T43" i="3"/>
  <c r="V47" i="3"/>
  <c r="O52" i="3"/>
  <c r="J57" i="3"/>
  <c r="S60" i="3"/>
  <c r="P63" i="3"/>
  <c r="T65" i="3"/>
  <c r="S67" i="3"/>
  <c r="K70" i="3"/>
  <c r="N72" i="3"/>
  <c r="N74" i="3"/>
  <c r="R76" i="3"/>
  <c r="U78" i="3"/>
  <c r="U80" i="3"/>
  <c r="L83" i="3"/>
  <c r="P85" i="3"/>
  <c r="O87" i="3"/>
  <c r="O89" i="3"/>
  <c r="K91" i="3"/>
  <c r="P92" i="3"/>
  <c r="S93" i="3"/>
  <c r="V94" i="3"/>
  <c r="L96" i="3"/>
  <c r="O97" i="3"/>
  <c r="O98" i="3"/>
  <c r="N99" i="3"/>
  <c r="N100" i="3"/>
  <c r="N101" i="3"/>
  <c r="M102" i="3"/>
  <c r="J103" i="3"/>
  <c r="S103" i="3"/>
  <c r="O104" i="3"/>
  <c r="J105" i="3"/>
  <c r="R105" i="3"/>
  <c r="M106" i="3"/>
  <c r="U106" i="3"/>
  <c r="P107" i="3"/>
  <c r="K108" i="3"/>
  <c r="S108" i="3"/>
  <c r="N109" i="3"/>
  <c r="V109" i="3"/>
  <c r="Q110" i="3"/>
  <c r="L111" i="3"/>
  <c r="T111" i="3"/>
  <c r="O112" i="3"/>
  <c r="J113" i="3"/>
  <c r="R113" i="3"/>
  <c r="M114" i="3"/>
  <c r="U114" i="3"/>
  <c r="P115" i="3"/>
  <c r="K116" i="3"/>
  <c r="S116" i="3"/>
  <c r="N117" i="3"/>
  <c r="V117" i="3"/>
  <c r="Q118" i="3"/>
  <c r="L119" i="3"/>
  <c r="T119" i="3"/>
  <c r="O120" i="3"/>
  <c r="J121" i="3"/>
  <c r="R121" i="3"/>
  <c r="M122" i="3"/>
  <c r="U122" i="3"/>
  <c r="P123" i="3"/>
  <c r="K124" i="3"/>
  <c r="S124" i="3"/>
  <c r="N125" i="3"/>
  <c r="V125" i="3"/>
  <c r="Q126" i="3"/>
  <c r="L127" i="3"/>
  <c r="T127" i="3"/>
  <c r="O128" i="3"/>
  <c r="J129" i="3"/>
  <c r="R129" i="3"/>
  <c r="M130" i="3"/>
  <c r="U130" i="3"/>
  <c r="P131" i="3"/>
  <c r="K132" i="3"/>
  <c r="S132" i="3"/>
  <c r="N133" i="3"/>
  <c r="R13" i="3"/>
  <c r="L19" i="3"/>
  <c r="T23" i="3"/>
  <c r="Q29" i="3"/>
  <c r="U34" i="3"/>
  <c r="P39" i="3"/>
  <c r="N44" i="3"/>
  <c r="S48" i="3"/>
  <c r="U52" i="3"/>
  <c r="N57" i="3"/>
  <c r="P61" i="3"/>
  <c r="R63" i="3"/>
  <c r="V65" i="3"/>
  <c r="M68" i="3"/>
  <c r="L70" i="3"/>
  <c r="Q72" i="3"/>
  <c r="T74" i="3"/>
  <c r="T76" i="3"/>
  <c r="K79" i="3"/>
  <c r="N81" i="3"/>
  <c r="N83" i="3"/>
  <c r="R85" i="3"/>
  <c r="V87" i="3"/>
  <c r="P89" i="3"/>
  <c r="M91" i="3"/>
  <c r="Q92" i="3"/>
  <c r="T93" i="3"/>
  <c r="J95" i="3"/>
  <c r="M96" i="3"/>
  <c r="P97" i="3"/>
  <c r="P98" i="3"/>
  <c r="P99" i="3"/>
  <c r="P100" i="3"/>
  <c r="P101" i="3"/>
  <c r="N102" i="3"/>
  <c r="K103" i="3"/>
  <c r="T103" i="3"/>
  <c r="P104" i="3"/>
  <c r="K105" i="3"/>
  <c r="S105" i="3"/>
  <c r="N106" i="3"/>
  <c r="V106" i="3"/>
  <c r="Q107" i="3"/>
  <c r="L108" i="3"/>
  <c r="T108" i="3"/>
  <c r="O109" i="3"/>
  <c r="J110" i="3"/>
  <c r="R110" i="3"/>
  <c r="M111" i="3"/>
  <c r="U111" i="3"/>
  <c r="P112" i="3"/>
  <c r="K113" i="3"/>
  <c r="S113" i="3"/>
  <c r="N114" i="3"/>
  <c r="V114" i="3"/>
  <c r="Q115" i="3"/>
  <c r="L116" i="3"/>
  <c r="T116" i="3"/>
  <c r="O117" i="3"/>
  <c r="J118" i="3"/>
  <c r="R118" i="3"/>
  <c r="M119" i="3"/>
  <c r="U119" i="3"/>
  <c r="P120" i="3"/>
  <c r="K121" i="3"/>
  <c r="S121" i="3"/>
  <c r="N122" i="3"/>
  <c r="V122" i="3"/>
  <c r="Q123" i="3"/>
  <c r="L124" i="3"/>
  <c r="T124" i="3"/>
  <c r="O125" i="3"/>
  <c r="J126" i="3"/>
  <c r="R126" i="3"/>
  <c r="M127" i="3"/>
  <c r="U127" i="3"/>
  <c r="P128" i="3"/>
  <c r="K129" i="3"/>
  <c r="S129" i="3"/>
  <c r="N130" i="3"/>
  <c r="V13" i="3"/>
  <c r="S19" i="3"/>
  <c r="J25" i="3"/>
  <c r="R29" i="3"/>
  <c r="R35" i="3"/>
  <c r="R40" i="3"/>
  <c r="O44" i="3"/>
  <c r="M49" i="3"/>
  <c r="R53" i="3"/>
  <c r="T57" i="3"/>
  <c r="T61" i="3"/>
  <c r="K64" i="3"/>
  <c r="K66" i="3"/>
  <c r="O68" i="3"/>
  <c r="S70" i="3"/>
  <c r="R72" i="3"/>
  <c r="J75" i="3"/>
  <c r="M77" i="3"/>
  <c r="M79" i="3"/>
  <c r="Q81" i="3"/>
  <c r="T83" i="3"/>
  <c r="T85" i="3"/>
  <c r="K88" i="3"/>
  <c r="U89" i="3"/>
  <c r="N91" i="3"/>
  <c r="U92" i="3"/>
  <c r="K94" i="3"/>
  <c r="N95" i="3"/>
  <c r="Q96" i="3"/>
  <c r="R97" i="3"/>
  <c r="R98" i="3"/>
  <c r="R99" i="3"/>
  <c r="Q100" i="3"/>
  <c r="Q101" i="3"/>
  <c r="O102" i="3"/>
  <c r="L103" i="3"/>
  <c r="V103" i="3"/>
  <c r="Q104" i="3"/>
  <c r="L105" i="3"/>
  <c r="T105" i="3"/>
  <c r="O106" i="3"/>
  <c r="J107" i="3"/>
  <c r="R107" i="3"/>
  <c r="M108" i="3"/>
  <c r="U108" i="3"/>
  <c r="P109" i="3"/>
  <c r="K110" i="3"/>
  <c r="S110" i="3"/>
  <c r="N111" i="3"/>
  <c r="V111" i="3"/>
  <c r="Q112" i="3"/>
  <c r="L113" i="3"/>
  <c r="T113" i="3"/>
  <c r="O114" i="3"/>
  <c r="J115" i="3"/>
  <c r="R115" i="3"/>
  <c r="M116" i="3"/>
  <c r="U116" i="3"/>
  <c r="P117" i="3"/>
  <c r="K118" i="3"/>
  <c r="S118" i="3"/>
  <c r="N119" i="3"/>
  <c r="V119" i="3"/>
  <c r="Q120" i="3"/>
  <c r="L121" i="3"/>
  <c r="T121" i="3"/>
  <c r="O122" i="3"/>
  <c r="J123" i="3"/>
  <c r="R123" i="3"/>
  <c r="M124" i="3"/>
  <c r="U124" i="3"/>
  <c r="P125" i="3"/>
  <c r="K126" i="3"/>
  <c r="S126" i="3"/>
  <c r="N127" i="3"/>
  <c r="V127" i="3"/>
  <c r="Q128" i="3"/>
  <c r="L129" i="3"/>
  <c r="T129" i="3"/>
  <c r="O130" i="3"/>
  <c r="J131" i="3"/>
  <c r="R131" i="3"/>
  <c r="M132" i="3"/>
  <c r="U132" i="3"/>
  <c r="P133" i="3"/>
  <c r="K134" i="3"/>
  <c r="S134" i="3"/>
  <c r="N135" i="3"/>
  <c r="V135" i="3"/>
  <c r="Q136" i="3"/>
  <c r="L137" i="3"/>
  <c r="T137" i="3"/>
  <c r="O138" i="3"/>
  <c r="J139" i="3"/>
  <c r="R139" i="3"/>
  <c r="M140" i="3"/>
  <c r="U140" i="3"/>
  <c r="P141" i="3"/>
  <c r="K142" i="3"/>
  <c r="S142" i="3"/>
  <c r="N143" i="3"/>
  <c r="V143" i="3"/>
  <c r="Q144" i="3"/>
  <c r="L145" i="3"/>
  <c r="T145" i="3"/>
  <c r="O146" i="3"/>
  <c r="J147" i="3"/>
  <c r="R147" i="3"/>
  <c r="M148" i="3"/>
  <c r="U148" i="3"/>
  <c r="P149" i="3"/>
  <c r="K150" i="3"/>
  <c r="S150" i="3"/>
  <c r="N151" i="3"/>
  <c r="V151" i="3"/>
  <c r="Q152" i="3"/>
  <c r="L153" i="3"/>
  <c r="T153" i="3"/>
  <c r="O154" i="3"/>
  <c r="J155" i="3"/>
  <c r="R155" i="3"/>
  <c r="M156" i="3"/>
  <c r="U156" i="3"/>
  <c r="P157" i="3"/>
  <c r="K158" i="3"/>
  <c r="L15" i="3"/>
  <c r="T25" i="3"/>
  <c r="S35" i="3"/>
  <c r="Q45" i="3"/>
  <c r="L54" i="3"/>
  <c r="V61" i="3"/>
  <c r="Q66" i="3"/>
  <c r="U70" i="3"/>
  <c r="K75" i="3"/>
  <c r="S79" i="3"/>
  <c r="J84" i="3"/>
  <c r="L88" i="3"/>
  <c r="S91" i="3"/>
  <c r="L94" i="3"/>
  <c r="R96" i="3"/>
  <c r="S98" i="3"/>
  <c r="S100" i="3"/>
  <c r="Q102" i="3"/>
  <c r="J104" i="3"/>
  <c r="M105" i="3"/>
  <c r="P106" i="3"/>
  <c r="S107" i="3"/>
  <c r="V108" i="3"/>
  <c r="L110" i="3"/>
  <c r="O111" i="3"/>
  <c r="R112" i="3"/>
  <c r="U113" i="3"/>
  <c r="K115" i="3"/>
  <c r="N116" i="3"/>
  <c r="Q117" i="3"/>
  <c r="T118" i="3"/>
  <c r="J120" i="3"/>
  <c r="M121" i="3"/>
  <c r="P122" i="3"/>
  <c r="S123" i="3"/>
  <c r="V124" i="3"/>
  <c r="L126" i="3"/>
  <c r="O127" i="3"/>
  <c r="R128" i="3"/>
  <c r="U129" i="3"/>
  <c r="V130" i="3"/>
  <c r="U131" i="3"/>
  <c r="V132" i="3"/>
  <c r="T133" i="3"/>
  <c r="R134" i="3"/>
  <c r="P135" i="3"/>
  <c r="M136" i="3"/>
  <c r="K137" i="3"/>
  <c r="V137" i="3"/>
  <c r="S138" i="3"/>
  <c r="Q139" i="3"/>
  <c r="O140" i="3"/>
  <c r="L141" i="3"/>
  <c r="J142" i="3"/>
  <c r="U142" i="3"/>
  <c r="R143" i="3"/>
  <c r="P144" i="3"/>
  <c r="N145" i="3"/>
  <c r="K146" i="3"/>
  <c r="V146" i="3"/>
  <c r="T147" i="3"/>
  <c r="Q148" i="3"/>
  <c r="O149" i="3"/>
  <c r="M150" i="3"/>
  <c r="J151" i="3"/>
  <c r="U151" i="3"/>
  <c r="S152" i="3"/>
  <c r="P153" i="3"/>
  <c r="N154" i="3"/>
  <c r="L155" i="3"/>
  <c r="V155" i="3"/>
  <c r="T156" i="3"/>
  <c r="R157" i="3"/>
  <c r="O158" i="3"/>
  <c r="L159" i="3"/>
  <c r="U159" i="3"/>
  <c r="Q160" i="3"/>
  <c r="M161" i="3"/>
  <c r="V161" i="3"/>
  <c r="R162" i="3"/>
  <c r="N163" i="3"/>
  <c r="K164" i="3"/>
  <c r="T164" i="3"/>
  <c r="P165" i="3"/>
  <c r="L166" i="3"/>
  <c r="U166" i="3"/>
  <c r="Q167" i="3"/>
  <c r="M168" i="3"/>
  <c r="J169" i="3"/>
  <c r="S169" i="3"/>
  <c r="O170" i="3"/>
  <c r="K171" i="3"/>
  <c r="T171" i="3"/>
  <c r="P172" i="3"/>
  <c r="L173" i="3"/>
  <c r="V173" i="3"/>
  <c r="R174" i="3"/>
  <c r="M175" i="3"/>
  <c r="U175" i="3"/>
  <c r="P176" i="3"/>
  <c r="K177" i="3"/>
  <c r="S177" i="3"/>
  <c r="N178" i="3"/>
  <c r="V178" i="3"/>
  <c r="Q179" i="3"/>
  <c r="L180" i="3"/>
  <c r="T180" i="3"/>
  <c r="O181" i="3"/>
  <c r="J182" i="3"/>
  <c r="R182" i="3"/>
  <c r="M183" i="3"/>
  <c r="U183" i="3"/>
  <c r="P184" i="3"/>
  <c r="K185" i="3"/>
  <c r="S185" i="3"/>
  <c r="N186" i="3"/>
  <c r="V186" i="3"/>
  <c r="Q187" i="3"/>
  <c r="L188" i="3"/>
  <c r="T188" i="3"/>
  <c r="O189" i="3"/>
  <c r="J190" i="3"/>
  <c r="R190" i="3"/>
  <c r="M191" i="3"/>
  <c r="U191" i="3"/>
  <c r="P192" i="3"/>
  <c r="K193" i="3"/>
  <c r="S193" i="3"/>
  <c r="N194" i="3"/>
  <c r="V194" i="3"/>
  <c r="Q195" i="3"/>
  <c r="L196" i="3"/>
  <c r="T196" i="3"/>
  <c r="O197" i="3"/>
  <c r="J198" i="3"/>
  <c r="R198" i="3"/>
  <c r="M199" i="3"/>
  <c r="U199" i="3"/>
  <c r="P200" i="3"/>
  <c r="K201" i="3"/>
  <c r="S201" i="3"/>
  <c r="N202" i="3"/>
  <c r="V202" i="3"/>
  <c r="Q203" i="3"/>
  <c r="L204" i="3"/>
  <c r="T204" i="3"/>
  <c r="O205" i="3"/>
  <c r="J206" i="3"/>
  <c r="V15" i="3"/>
  <c r="U25" i="3"/>
  <c r="V36" i="3"/>
  <c r="V45" i="3"/>
  <c r="M54" i="3"/>
  <c r="P62" i="3"/>
  <c r="T66" i="3"/>
  <c r="J71" i="3"/>
  <c r="R75" i="3"/>
  <c r="V79" i="3"/>
  <c r="L84" i="3"/>
  <c r="R88" i="3"/>
  <c r="U91" i="3"/>
  <c r="N94" i="3"/>
  <c r="T96" i="3"/>
  <c r="U98" i="3"/>
  <c r="U100" i="3"/>
  <c r="S102" i="3"/>
  <c r="K104" i="3"/>
  <c r="N105" i="3"/>
  <c r="Q106" i="3"/>
  <c r="T107" i="3"/>
  <c r="J109" i="3"/>
  <c r="M110" i="3"/>
  <c r="P111" i="3"/>
  <c r="S112" i="3"/>
  <c r="V113" i="3"/>
  <c r="L115" i="3"/>
  <c r="O116" i="3"/>
  <c r="R117" i="3"/>
  <c r="U118" i="3"/>
  <c r="K120" i="3"/>
  <c r="N121" i="3"/>
  <c r="Q122" i="3"/>
  <c r="T123" i="3"/>
  <c r="J125" i="3"/>
  <c r="M126" i="3"/>
  <c r="P127" i="3"/>
  <c r="S128" i="3"/>
  <c r="V129" i="3"/>
  <c r="K131" i="3"/>
  <c r="V131" i="3"/>
  <c r="J133" i="3"/>
  <c r="V133" i="3"/>
  <c r="T134" i="3"/>
  <c r="Q135" i="3"/>
  <c r="O136" i="3"/>
  <c r="M137" i="3"/>
  <c r="J138" i="3"/>
  <c r="U138" i="3"/>
  <c r="S139" i="3"/>
  <c r="P140" i="3"/>
  <c r="N141" i="3"/>
  <c r="L142" i="3"/>
  <c r="V142" i="3"/>
  <c r="T143" i="3"/>
  <c r="R144" i="3"/>
  <c r="O145" i="3"/>
  <c r="M146" i="3"/>
  <c r="K147" i="3"/>
  <c r="U147" i="3"/>
  <c r="S148" i="3"/>
  <c r="Q149" i="3"/>
  <c r="N150" i="3"/>
  <c r="L151" i="3"/>
  <c r="J152" i="3"/>
  <c r="T152" i="3"/>
  <c r="R153" i="3"/>
  <c r="P154" i="3"/>
  <c r="M155" i="3"/>
  <c r="K156" i="3"/>
  <c r="V156" i="3"/>
  <c r="S157" i="3"/>
  <c r="Q158" i="3"/>
  <c r="M159" i="3"/>
  <c r="V159" i="3"/>
  <c r="R160" i="3"/>
  <c r="N161" i="3"/>
  <c r="J162" i="3"/>
  <c r="S162" i="3"/>
  <c r="P163" i="3"/>
  <c r="L164" i="3"/>
  <c r="U164" i="3"/>
  <c r="Q165" i="3"/>
  <c r="M166" i="3"/>
  <c r="V166" i="3"/>
  <c r="J16" i="3"/>
  <c r="K27" i="3"/>
  <c r="N37" i="3"/>
  <c r="L46" i="3"/>
  <c r="O55" i="3"/>
  <c r="S62" i="3"/>
  <c r="V66" i="3"/>
  <c r="P71" i="3"/>
  <c r="T75" i="3"/>
  <c r="J80" i="3"/>
  <c r="R84" i="3"/>
  <c r="T88" i="3"/>
  <c r="V91" i="3"/>
  <c r="O94" i="3"/>
  <c r="U96" i="3"/>
  <c r="J99" i="3"/>
  <c r="V100" i="3"/>
  <c r="T102" i="3"/>
  <c r="L104" i="3"/>
  <c r="O105" i="3"/>
  <c r="R106" i="3"/>
  <c r="U107" i="3"/>
  <c r="K109" i="3"/>
  <c r="N110" i="3"/>
  <c r="Q111" i="3"/>
  <c r="T112" i="3"/>
  <c r="J114" i="3"/>
  <c r="M115" i="3"/>
  <c r="P116" i="3"/>
  <c r="S117" i="3"/>
  <c r="V118" i="3"/>
  <c r="L120" i="3"/>
  <c r="O121" i="3"/>
  <c r="R122" i="3"/>
  <c r="U123" i="3"/>
  <c r="K125" i="3"/>
  <c r="N126" i="3"/>
  <c r="Q127" i="3"/>
  <c r="T128" i="3"/>
  <c r="J130" i="3"/>
  <c r="L131" i="3"/>
  <c r="L132" i="3"/>
  <c r="K133" i="3"/>
  <c r="J134" i="3"/>
  <c r="U134" i="3"/>
  <c r="R135" i="3"/>
  <c r="P136" i="3"/>
  <c r="N137" i="3"/>
  <c r="K138" i="3"/>
  <c r="V138" i="3"/>
  <c r="T139" i="3"/>
  <c r="Q140" i="3"/>
  <c r="O141" i="3"/>
  <c r="M142" i="3"/>
  <c r="J143" i="3"/>
  <c r="U143" i="3"/>
  <c r="S144" i="3"/>
  <c r="P145" i="3"/>
  <c r="N146" i="3"/>
  <c r="L147" i="3"/>
  <c r="V147" i="3"/>
  <c r="T148" i="3"/>
  <c r="R149" i="3"/>
  <c r="O150" i="3"/>
  <c r="M151" i="3"/>
  <c r="K152" i="3"/>
  <c r="U152" i="3"/>
  <c r="S153" i="3"/>
  <c r="Q154" i="3"/>
  <c r="N155" i="3"/>
  <c r="L156" i="3"/>
  <c r="J157" i="3"/>
  <c r="T157" i="3"/>
  <c r="R158" i="3"/>
  <c r="N159" i="3"/>
  <c r="J160" i="3"/>
  <c r="S160" i="3"/>
  <c r="O161" i="3"/>
  <c r="K162" i="3"/>
  <c r="U162" i="3"/>
  <c r="Q163" i="3"/>
  <c r="M164" i="3"/>
  <c r="V164" i="3"/>
  <c r="R165" i="3"/>
  <c r="N166" i="3"/>
  <c r="M17" i="3"/>
  <c r="P27" i="3"/>
  <c r="R37" i="3"/>
  <c r="L47" i="3"/>
  <c r="T55" i="3"/>
  <c r="T62" i="3"/>
  <c r="O67" i="3"/>
  <c r="S71" i="3"/>
  <c r="V75" i="3"/>
  <c r="Q80" i="3"/>
  <c r="U84" i="3"/>
  <c r="U88" i="3"/>
  <c r="M92" i="3"/>
  <c r="S94" i="3"/>
  <c r="L97" i="3"/>
  <c r="K99" i="3"/>
  <c r="K101" i="3"/>
  <c r="U102" i="3"/>
  <c r="M104" i="3"/>
  <c r="P105" i="3"/>
  <c r="S106" i="3"/>
  <c r="V107" i="3"/>
  <c r="L109" i="3"/>
  <c r="O110" i="3"/>
  <c r="R111" i="3"/>
  <c r="U112" i="3"/>
  <c r="K114" i="3"/>
  <c r="N115" i="3"/>
  <c r="Q116" i="3"/>
  <c r="T117" i="3"/>
  <c r="J119" i="3"/>
  <c r="M120" i="3"/>
  <c r="P121" i="3"/>
  <c r="S122" i="3"/>
  <c r="V123" i="3"/>
  <c r="L125" i="3"/>
  <c r="O126" i="3"/>
  <c r="R127" i="3"/>
  <c r="U128" i="3"/>
  <c r="K130" i="3"/>
  <c r="M131" i="3"/>
  <c r="N132" i="3"/>
  <c r="L133" i="3"/>
  <c r="L134" i="3"/>
  <c r="V134" i="3"/>
  <c r="T135" i="3"/>
  <c r="R136" i="3"/>
  <c r="O137" i="3"/>
  <c r="M138" i="3"/>
  <c r="K139" i="3"/>
  <c r="U139" i="3"/>
  <c r="S140" i="3"/>
  <c r="Q141" i="3"/>
  <c r="N142" i="3"/>
  <c r="L143" i="3"/>
  <c r="J144" i="3"/>
  <c r="T144" i="3"/>
  <c r="R145" i="3"/>
  <c r="P146" i="3"/>
  <c r="M147" i="3"/>
  <c r="K148" i="3"/>
  <c r="V148" i="3"/>
  <c r="S149" i="3"/>
  <c r="Q150" i="3"/>
  <c r="O151" i="3"/>
  <c r="L152" i="3"/>
  <c r="J153" i="3"/>
  <c r="U153" i="3"/>
  <c r="R154" i="3"/>
  <c r="P155" i="3"/>
  <c r="N156" i="3"/>
  <c r="K157" i="3"/>
  <c r="V157" i="3"/>
  <c r="S158" i="3"/>
  <c r="O159" i="3"/>
  <c r="K160" i="3"/>
  <c r="T160" i="3"/>
  <c r="P161" i="3"/>
  <c r="M162" i="3"/>
  <c r="V162" i="3"/>
  <c r="R163" i="3"/>
  <c r="N164" i="3"/>
  <c r="J165" i="3"/>
  <c r="S165" i="3"/>
  <c r="O166" i="3"/>
  <c r="L167" i="3"/>
  <c r="U167" i="3"/>
  <c r="Q168" i="3"/>
  <c r="M169" i="3"/>
  <c r="V169" i="3"/>
  <c r="R170" i="3"/>
  <c r="N171" i="3"/>
  <c r="K172" i="3"/>
  <c r="T172" i="3"/>
  <c r="P173" i="3"/>
  <c r="L174" i="3"/>
  <c r="U174" i="3"/>
  <c r="P175" i="3"/>
  <c r="K176" i="3"/>
  <c r="S176" i="3"/>
  <c r="N177" i="3"/>
  <c r="V177" i="3"/>
  <c r="Q178" i="3"/>
  <c r="L179" i="3"/>
  <c r="T179" i="3"/>
  <c r="O180" i="3"/>
  <c r="J181" i="3"/>
  <c r="R181" i="3"/>
  <c r="M182" i="3"/>
  <c r="U182" i="3"/>
  <c r="P183" i="3"/>
  <c r="K184" i="3"/>
  <c r="S184" i="3"/>
  <c r="T19" i="3"/>
  <c r="J41" i="3"/>
  <c r="Q58" i="3"/>
  <c r="Q68" i="3"/>
  <c r="P77" i="3"/>
  <c r="M86" i="3"/>
  <c r="V92" i="3"/>
  <c r="T97" i="3"/>
  <c r="S101" i="3"/>
  <c r="R104" i="3"/>
  <c r="K107" i="3"/>
  <c r="Q109" i="3"/>
  <c r="J112" i="3"/>
  <c r="P114" i="3"/>
  <c r="V116" i="3"/>
  <c r="O119" i="3"/>
  <c r="U121" i="3"/>
  <c r="N124" i="3"/>
  <c r="T126" i="3"/>
  <c r="M129" i="3"/>
  <c r="N131" i="3"/>
  <c r="O133" i="3"/>
  <c r="J135" i="3"/>
  <c r="S136" i="3"/>
  <c r="N138" i="3"/>
  <c r="V139" i="3"/>
  <c r="R141" i="3"/>
  <c r="M143" i="3"/>
  <c r="U144" i="3"/>
  <c r="Q146" i="3"/>
  <c r="L148" i="3"/>
  <c r="T149" i="3"/>
  <c r="P151" i="3"/>
  <c r="K153" i="3"/>
  <c r="S154" i="3"/>
  <c r="O156" i="3"/>
  <c r="J158" i="3"/>
  <c r="P159" i="3"/>
  <c r="U160" i="3"/>
  <c r="N162" i="3"/>
  <c r="S163" i="3"/>
  <c r="K165" i="3"/>
  <c r="Q166" i="3"/>
  <c r="P167" i="3"/>
  <c r="P168" i="3"/>
  <c r="O169" i="3"/>
  <c r="N170" i="3"/>
  <c r="M171" i="3"/>
  <c r="M172" i="3"/>
  <c r="K173" i="3"/>
  <c r="K174" i="3"/>
  <c r="J175" i="3"/>
  <c r="T175" i="3"/>
  <c r="R176" i="3"/>
  <c r="P177" i="3"/>
  <c r="M178" i="3"/>
  <c r="K179" i="3"/>
  <c r="V179" i="3"/>
  <c r="S180" i="3"/>
  <c r="Q181" i="3"/>
  <c r="O182" i="3"/>
  <c r="L183" i="3"/>
  <c r="J184" i="3"/>
  <c r="U184" i="3"/>
  <c r="Q185" i="3"/>
  <c r="M186" i="3"/>
  <c r="J187" i="3"/>
  <c r="S187" i="3"/>
  <c r="O188" i="3"/>
  <c r="K189" i="3"/>
  <c r="T189" i="3"/>
  <c r="P190" i="3"/>
  <c r="L191" i="3"/>
  <c r="V191" i="3"/>
  <c r="R192" i="3"/>
  <c r="N193" i="3"/>
  <c r="J194" i="3"/>
  <c r="S194" i="3"/>
  <c r="O195" i="3"/>
  <c r="K196" i="3"/>
  <c r="U196" i="3"/>
  <c r="Q197" i="3"/>
  <c r="M198" i="3"/>
  <c r="V198" i="3"/>
  <c r="R199" i="3"/>
  <c r="N200" i="3"/>
  <c r="J201" i="3"/>
  <c r="T201" i="3"/>
  <c r="P202" i="3"/>
  <c r="L203" i="3"/>
  <c r="U203" i="3"/>
  <c r="Q204" i="3"/>
  <c r="M205" i="3"/>
  <c r="V205" i="3"/>
  <c r="R206" i="3"/>
  <c r="M207" i="3"/>
  <c r="U207" i="3"/>
  <c r="P208" i="3"/>
  <c r="K209" i="3"/>
  <c r="S209" i="3"/>
  <c r="N210" i="3"/>
  <c r="V210" i="3"/>
  <c r="Q211" i="3"/>
  <c r="L212" i="3"/>
  <c r="T212" i="3"/>
  <c r="O213" i="3"/>
  <c r="J214" i="3"/>
  <c r="R214" i="3"/>
  <c r="M215" i="3"/>
  <c r="U215" i="3"/>
  <c r="P216" i="3"/>
  <c r="K217" i="3"/>
  <c r="S217" i="3"/>
  <c r="N218" i="3"/>
  <c r="V218" i="3"/>
  <c r="Q219" i="3"/>
  <c r="L220" i="3"/>
  <c r="T220" i="3"/>
  <c r="O221" i="3"/>
  <c r="J222" i="3"/>
  <c r="R222" i="3"/>
  <c r="M223" i="3"/>
  <c r="U223" i="3"/>
  <c r="P224" i="3"/>
  <c r="K225" i="3"/>
  <c r="S225" i="3"/>
  <c r="N226" i="3"/>
  <c r="V226" i="3"/>
  <c r="Q227" i="3"/>
  <c r="L228" i="3"/>
  <c r="T228" i="3"/>
  <c r="O229" i="3"/>
  <c r="J230" i="3"/>
  <c r="R230" i="3"/>
  <c r="M231" i="3"/>
  <c r="U231" i="3"/>
  <c r="P232" i="3"/>
  <c r="K233" i="3"/>
  <c r="S233" i="3"/>
  <c r="N234" i="3"/>
  <c r="V234" i="3"/>
  <c r="Q235" i="3"/>
  <c r="L236" i="3"/>
  <c r="T236" i="3"/>
  <c r="O237" i="3"/>
  <c r="J238" i="3"/>
  <c r="R238" i="3"/>
  <c r="M239" i="3"/>
  <c r="U239" i="3"/>
  <c r="P240" i="3"/>
  <c r="K241" i="3"/>
  <c r="S241" i="3"/>
  <c r="N242" i="3"/>
  <c r="V242" i="3"/>
  <c r="Q243" i="3"/>
  <c r="L244" i="3"/>
  <c r="T244" i="3"/>
  <c r="O245" i="3"/>
  <c r="J246" i="3"/>
  <c r="R246" i="3"/>
  <c r="M247" i="3"/>
  <c r="U247" i="3"/>
  <c r="P248" i="3"/>
  <c r="K249" i="3"/>
  <c r="S249" i="3"/>
  <c r="N250" i="3"/>
  <c r="V250" i="3"/>
  <c r="Q251" i="3"/>
  <c r="L252" i="3"/>
  <c r="T252" i="3"/>
  <c r="J21" i="3"/>
  <c r="M41" i="3"/>
  <c r="K59" i="3"/>
  <c r="J69" i="3"/>
  <c r="Q77" i="3"/>
  <c r="P86" i="3"/>
  <c r="K93" i="3"/>
  <c r="U97" i="3"/>
  <c r="T101" i="3"/>
  <c r="S104" i="3"/>
  <c r="L107" i="3"/>
  <c r="R109" i="3"/>
  <c r="K112" i="3"/>
  <c r="Q114" i="3"/>
  <c r="J117" i="3"/>
  <c r="P119" i="3"/>
  <c r="V121" i="3"/>
  <c r="O124" i="3"/>
  <c r="U126" i="3"/>
  <c r="N129" i="3"/>
  <c r="Q131" i="3"/>
  <c r="Q133" i="3"/>
  <c r="L135" i="3"/>
  <c r="T136" i="3"/>
  <c r="P138" i="3"/>
  <c r="K140" i="3"/>
  <c r="S141" i="3"/>
  <c r="O143" i="3"/>
  <c r="J145" i="3"/>
  <c r="R146" i="3"/>
  <c r="N148" i="3"/>
  <c r="V149" i="3"/>
  <c r="Q151" i="3"/>
  <c r="M153" i="3"/>
  <c r="U154" i="3"/>
  <c r="P156" i="3"/>
  <c r="L158" i="3"/>
  <c r="Q159" i="3"/>
  <c r="J161" i="3"/>
  <c r="O162" i="3"/>
  <c r="T163" i="3"/>
  <c r="L165" i="3"/>
  <c r="R166" i="3"/>
  <c r="R167" i="3"/>
  <c r="R168" i="3"/>
  <c r="P169" i="3"/>
  <c r="P170" i="3"/>
  <c r="P171" i="3"/>
  <c r="N172" i="3"/>
  <c r="N173" i="3"/>
  <c r="M174" i="3"/>
  <c r="K175" i="3"/>
  <c r="V175" i="3"/>
  <c r="T176" i="3"/>
  <c r="Q177" i="3"/>
  <c r="O178" i="3"/>
  <c r="M179" i="3"/>
  <c r="J180" i="3"/>
  <c r="U180" i="3"/>
  <c r="S181" i="3"/>
  <c r="P182" i="3"/>
  <c r="N183" i="3"/>
  <c r="L184" i="3"/>
  <c r="V184" i="3"/>
  <c r="R185" i="3"/>
  <c r="O186" i="3"/>
  <c r="K187" i="3"/>
  <c r="T187" i="3"/>
  <c r="P188" i="3"/>
  <c r="L189" i="3"/>
  <c r="U189" i="3"/>
  <c r="Q190" i="3"/>
  <c r="N191" i="3"/>
  <c r="J192" i="3"/>
  <c r="S192" i="3"/>
  <c r="O193" i="3"/>
  <c r="K194" i="3"/>
  <c r="T194" i="3"/>
  <c r="P195" i="3"/>
  <c r="M196" i="3"/>
  <c r="V196" i="3"/>
  <c r="R197" i="3"/>
  <c r="N198" i="3"/>
  <c r="J199" i="3"/>
  <c r="S199" i="3"/>
  <c r="O200" i="3"/>
  <c r="L201" i="3"/>
  <c r="U201" i="3"/>
  <c r="Q202" i="3"/>
  <c r="M203" i="3"/>
  <c r="V203" i="3"/>
  <c r="R204" i="3"/>
  <c r="R21" i="3"/>
  <c r="M42" i="3"/>
  <c r="L59" i="3"/>
  <c r="M69" i="3"/>
  <c r="K78" i="3"/>
  <c r="R86" i="3"/>
  <c r="L93" i="3"/>
  <c r="J98" i="3"/>
  <c r="V101" i="3"/>
  <c r="T104" i="3"/>
  <c r="M107" i="3"/>
  <c r="S109" i="3"/>
  <c r="L112" i="3"/>
  <c r="R114" i="3"/>
  <c r="K117" i="3"/>
  <c r="Q119" i="3"/>
  <c r="J122" i="3"/>
  <c r="P124" i="3"/>
  <c r="V126" i="3"/>
  <c r="O129" i="3"/>
  <c r="S131" i="3"/>
  <c r="R133" i="3"/>
  <c r="M135" i="3"/>
  <c r="U136" i="3"/>
  <c r="Q138" i="3"/>
  <c r="L140" i="3"/>
  <c r="T141" i="3"/>
  <c r="P143" i="3"/>
  <c r="K145" i="3"/>
  <c r="S146" i="3"/>
  <c r="O148" i="3"/>
  <c r="J150" i="3"/>
  <c r="R151" i="3"/>
  <c r="N153" i="3"/>
  <c r="V154" i="3"/>
  <c r="Q156" i="3"/>
  <c r="M158" i="3"/>
  <c r="R159" i="3"/>
  <c r="K161" i="3"/>
  <c r="P162" i="3"/>
  <c r="U163" i="3"/>
  <c r="N165" i="3"/>
  <c r="S166" i="3"/>
  <c r="T167" i="3"/>
  <c r="S168" i="3"/>
  <c r="R169" i="3"/>
  <c r="Q170" i="3"/>
  <c r="Q171" i="3"/>
  <c r="O172" i="3"/>
  <c r="O173" i="3"/>
  <c r="N174" i="3"/>
  <c r="L175" i="3"/>
  <c r="J176" i="3"/>
  <c r="U176" i="3"/>
  <c r="R177" i="3"/>
  <c r="P178" i="3"/>
  <c r="N179" i="3"/>
  <c r="K180" i="3"/>
  <c r="V180" i="3"/>
  <c r="T181" i="3"/>
  <c r="Q182" i="3"/>
  <c r="O183" i="3"/>
  <c r="M184" i="3"/>
  <c r="J185" i="3"/>
  <c r="T185" i="3"/>
  <c r="P186" i="3"/>
  <c r="L187" i="3"/>
  <c r="U187" i="3"/>
  <c r="Q188" i="3"/>
  <c r="M189" i="3"/>
  <c r="V189" i="3"/>
  <c r="S190" i="3"/>
  <c r="O191" i="3"/>
  <c r="K192" i="3"/>
  <c r="T192" i="3"/>
  <c r="P193" i="3"/>
  <c r="L194" i="3"/>
  <c r="U194" i="3"/>
  <c r="R195" i="3"/>
  <c r="N196" i="3"/>
  <c r="J197" i="3"/>
  <c r="S197" i="3"/>
  <c r="O198" i="3"/>
  <c r="K199" i="3"/>
  <c r="T199" i="3"/>
  <c r="Q200" i="3"/>
  <c r="M201" i="3"/>
  <c r="V201" i="3"/>
  <c r="R202" i="3"/>
  <c r="N203" i="3"/>
  <c r="J204" i="3"/>
  <c r="S204" i="3"/>
  <c r="K22" i="3"/>
  <c r="Q42" i="3"/>
  <c r="M60" i="3"/>
  <c r="O69" i="3"/>
  <c r="M78" i="3"/>
  <c r="K87" i="3"/>
  <c r="P93" i="3"/>
  <c r="K98" i="3"/>
  <c r="K102" i="3"/>
  <c r="U104" i="3"/>
  <c r="N107" i="3"/>
  <c r="T109" i="3"/>
  <c r="M112" i="3"/>
  <c r="S114" i="3"/>
  <c r="L117" i="3"/>
  <c r="R119" i="3"/>
  <c r="K122" i="3"/>
  <c r="Q124" i="3"/>
  <c r="J127" i="3"/>
  <c r="P129" i="3"/>
  <c r="T131" i="3"/>
  <c r="S133" i="3"/>
  <c r="O135" i="3"/>
  <c r="J137" i="3"/>
  <c r="R138" i="3"/>
  <c r="N140" i="3"/>
  <c r="V141" i="3"/>
  <c r="Q143" i="3"/>
  <c r="M145" i="3"/>
  <c r="U146" i="3"/>
  <c r="P148" i="3"/>
  <c r="L150" i="3"/>
  <c r="T151" i="3"/>
  <c r="O153" i="3"/>
  <c r="K155" i="3"/>
  <c r="S156" i="3"/>
  <c r="N158" i="3"/>
  <c r="T159" i="3"/>
  <c r="L161" i="3"/>
  <c r="Q162" i="3"/>
  <c r="V163" i="3"/>
  <c r="O165" i="3"/>
  <c r="T166" i="3"/>
  <c r="V167" i="3"/>
  <c r="T168" i="3"/>
  <c r="T169" i="3"/>
  <c r="S170" i="3"/>
  <c r="R171" i="3"/>
  <c r="Q172" i="3"/>
  <c r="Q173" i="3"/>
  <c r="O174" i="3"/>
  <c r="N175" i="3"/>
  <c r="L176" i="3"/>
  <c r="V176" i="3"/>
  <c r="T177" i="3"/>
  <c r="R178" i="3"/>
  <c r="O179" i="3"/>
  <c r="M180" i="3"/>
  <c r="K181" i="3"/>
  <c r="U181" i="3"/>
  <c r="S182" i="3"/>
  <c r="Q183" i="3"/>
  <c r="N184" i="3"/>
  <c r="L185" i="3"/>
  <c r="U185" i="3"/>
  <c r="Q186" i="3"/>
  <c r="M187" i="3"/>
  <c r="V187" i="3"/>
  <c r="R188" i="3"/>
  <c r="N189" i="3"/>
  <c r="K190" i="3"/>
  <c r="T190" i="3"/>
  <c r="P191" i="3"/>
  <c r="L192" i="3"/>
  <c r="U192" i="3"/>
  <c r="Q193" i="3"/>
  <c r="M194" i="3"/>
  <c r="J195" i="3"/>
  <c r="S195" i="3"/>
  <c r="O196" i="3"/>
  <c r="K197" i="3"/>
  <c r="T197" i="3"/>
  <c r="P198" i="3"/>
  <c r="L199" i="3"/>
  <c r="V199" i="3"/>
  <c r="R200" i="3"/>
  <c r="N201" i="3"/>
  <c r="J202" i="3"/>
  <c r="S202" i="3"/>
  <c r="O203" i="3"/>
  <c r="K204" i="3"/>
  <c r="U204" i="3"/>
  <c r="Q205" i="3"/>
  <c r="M206" i="3"/>
  <c r="U206" i="3"/>
  <c r="P207" i="3"/>
  <c r="K208" i="3"/>
  <c r="S208" i="3"/>
  <c r="N209" i="3"/>
  <c r="V209" i="3"/>
  <c r="Q210" i="3"/>
  <c r="L211" i="3"/>
  <c r="T211" i="3"/>
  <c r="O212" i="3"/>
  <c r="J213" i="3"/>
  <c r="R213" i="3"/>
  <c r="M214" i="3"/>
  <c r="U214" i="3"/>
  <c r="P215" i="3"/>
  <c r="K216" i="3"/>
  <c r="S216" i="3"/>
  <c r="N217" i="3"/>
  <c r="V217" i="3"/>
  <c r="Q218" i="3"/>
  <c r="L219" i="3"/>
  <c r="T219" i="3"/>
  <c r="O220" i="3"/>
  <c r="J221" i="3"/>
  <c r="U30" i="3"/>
  <c r="N64" i="3"/>
  <c r="S81" i="3"/>
  <c r="O95" i="3"/>
  <c r="N103" i="3"/>
  <c r="N108" i="3"/>
  <c r="M113" i="3"/>
  <c r="L118" i="3"/>
  <c r="K123" i="3"/>
  <c r="J128" i="3"/>
  <c r="O132" i="3"/>
  <c r="U135" i="3"/>
  <c r="L139" i="3"/>
  <c r="O142" i="3"/>
  <c r="S145" i="3"/>
  <c r="J149" i="3"/>
  <c r="M152" i="3"/>
  <c r="Q155" i="3"/>
  <c r="T158" i="3"/>
  <c r="R161" i="3"/>
  <c r="O164" i="3"/>
  <c r="J167" i="3"/>
  <c r="U168" i="3"/>
  <c r="U170" i="3"/>
  <c r="S172" i="3"/>
  <c r="Q174" i="3"/>
  <c r="M176" i="3"/>
  <c r="U177" i="3"/>
  <c r="P179" i="3"/>
  <c r="L181" i="3"/>
  <c r="T182" i="3"/>
  <c r="O184" i="3"/>
  <c r="V185" i="3"/>
  <c r="N187" i="3"/>
  <c r="S188" i="3"/>
  <c r="L190" i="3"/>
  <c r="Q191" i="3"/>
  <c r="V192" i="3"/>
  <c r="O194" i="3"/>
  <c r="T195" i="3"/>
  <c r="L197" i="3"/>
  <c r="Q198" i="3"/>
  <c r="J200" i="3"/>
  <c r="O201" i="3"/>
  <c r="T202" i="3"/>
  <c r="M204" i="3"/>
  <c r="N205" i="3"/>
  <c r="N206" i="3"/>
  <c r="K207" i="3"/>
  <c r="V207" i="3"/>
  <c r="T208" i="3"/>
  <c r="Q209" i="3"/>
  <c r="O210" i="3"/>
  <c r="M211" i="3"/>
  <c r="J212" i="3"/>
  <c r="U212" i="3"/>
  <c r="S213" i="3"/>
  <c r="P214" i="3"/>
  <c r="N215" i="3"/>
  <c r="L216" i="3"/>
  <c r="V216" i="3"/>
  <c r="T217" i="3"/>
  <c r="R218" i="3"/>
  <c r="O219" i="3"/>
  <c r="M220" i="3"/>
  <c r="K221" i="3"/>
  <c r="T221" i="3"/>
  <c r="P222" i="3"/>
  <c r="L223" i="3"/>
  <c r="V223" i="3"/>
  <c r="R224" i="3"/>
  <c r="N225" i="3"/>
  <c r="J226" i="3"/>
  <c r="S226" i="3"/>
  <c r="O227" i="3"/>
  <c r="K228" i="3"/>
  <c r="U228" i="3"/>
  <c r="Q229" i="3"/>
  <c r="M230" i="3"/>
  <c r="V230" i="3"/>
  <c r="R231" i="3"/>
  <c r="N232" i="3"/>
  <c r="J233" i="3"/>
  <c r="T233" i="3"/>
  <c r="P234" i="3"/>
  <c r="L235" i="3"/>
  <c r="U235" i="3"/>
  <c r="Q236" i="3"/>
  <c r="M237" i="3"/>
  <c r="V237" i="3"/>
  <c r="S238" i="3"/>
  <c r="O239" i="3"/>
  <c r="K240" i="3"/>
  <c r="T240" i="3"/>
  <c r="P241" i="3"/>
  <c r="L242" i="3"/>
  <c r="U242" i="3"/>
  <c r="R243" i="3"/>
  <c r="N244" i="3"/>
  <c r="J245" i="3"/>
  <c r="S245" i="3"/>
  <c r="O246" i="3"/>
  <c r="K247" i="3"/>
  <c r="T247" i="3"/>
  <c r="Q248" i="3"/>
  <c r="M249" i="3"/>
  <c r="V249" i="3"/>
  <c r="R250" i="3"/>
  <c r="N251" i="3"/>
  <c r="J252" i="3"/>
  <c r="S252" i="3"/>
  <c r="O253" i="3"/>
  <c r="J254" i="3"/>
  <c r="R254" i="3"/>
  <c r="M255" i="3"/>
  <c r="U255" i="3"/>
  <c r="P256" i="3"/>
  <c r="K257" i="3"/>
  <c r="S257" i="3"/>
  <c r="N258" i="3"/>
  <c r="V258" i="3"/>
  <c r="Q259" i="3"/>
  <c r="L260" i="3"/>
  <c r="T260" i="3"/>
  <c r="O261" i="3"/>
  <c r="J262" i="3"/>
  <c r="R262" i="3"/>
  <c r="M263" i="3"/>
  <c r="U263" i="3"/>
  <c r="P264" i="3"/>
  <c r="K265" i="3"/>
  <c r="S265" i="3"/>
  <c r="N266" i="3"/>
  <c r="V266" i="3"/>
  <c r="Q267" i="3"/>
  <c r="L268" i="3"/>
  <c r="T268" i="3"/>
  <c r="O269" i="3"/>
  <c r="J270" i="3"/>
  <c r="R270" i="3"/>
  <c r="M271" i="3"/>
  <c r="U271" i="3"/>
  <c r="P272" i="3"/>
  <c r="K273" i="3"/>
  <c r="S273" i="3"/>
  <c r="N274" i="3"/>
  <c r="V274" i="3"/>
  <c r="Q275" i="3"/>
  <c r="L276" i="3"/>
  <c r="T276" i="3"/>
  <c r="O277" i="3"/>
  <c r="J278" i="3"/>
  <c r="R278" i="3"/>
  <c r="M279" i="3"/>
  <c r="U279" i="3"/>
  <c r="P280" i="3"/>
  <c r="K281" i="3"/>
  <c r="S281" i="3"/>
  <c r="N282" i="3"/>
  <c r="V282" i="3"/>
  <c r="Q283" i="3"/>
  <c r="L284" i="3"/>
  <c r="T284" i="3"/>
  <c r="O285" i="3"/>
  <c r="J286" i="3"/>
  <c r="R286" i="3"/>
  <c r="M287" i="3"/>
  <c r="U287" i="3"/>
  <c r="P288" i="3"/>
  <c r="K289" i="3"/>
  <c r="S289" i="3"/>
  <c r="N290" i="3"/>
  <c r="V290" i="3"/>
  <c r="Q291" i="3"/>
  <c r="L292" i="3"/>
  <c r="T292" i="3"/>
  <c r="O293" i="3"/>
  <c r="J294" i="3"/>
  <c r="R294" i="3"/>
  <c r="M295" i="3"/>
  <c r="U295" i="3"/>
  <c r="P296" i="3"/>
  <c r="K297" i="3"/>
  <c r="S297" i="3"/>
  <c r="N298" i="3"/>
  <c r="V298" i="3"/>
  <c r="Q299" i="3"/>
  <c r="L300" i="3"/>
  <c r="T300" i="3"/>
  <c r="O301" i="3"/>
  <c r="J302" i="3"/>
  <c r="P31" i="3"/>
  <c r="P64" i="3"/>
  <c r="L82" i="3"/>
  <c r="Q95" i="3"/>
  <c r="O103" i="3"/>
  <c r="O108" i="3"/>
  <c r="N113" i="3"/>
  <c r="M118" i="3"/>
  <c r="L123" i="3"/>
  <c r="K128" i="3"/>
  <c r="P132" i="3"/>
  <c r="J136" i="3"/>
  <c r="M139" i="3"/>
  <c r="Q142" i="3"/>
  <c r="U145" i="3"/>
  <c r="K149" i="3"/>
  <c r="O152" i="3"/>
  <c r="S155" i="3"/>
  <c r="U158" i="3"/>
  <c r="S161" i="3"/>
  <c r="P164" i="3"/>
  <c r="M167" i="3"/>
  <c r="K169" i="3"/>
  <c r="V170" i="3"/>
  <c r="U172" i="3"/>
  <c r="S174" i="3"/>
  <c r="N176" i="3"/>
  <c r="J178" i="3"/>
  <c r="R179" i="3"/>
  <c r="M181" i="3"/>
  <c r="V182" i="3"/>
  <c r="Q184" i="3"/>
  <c r="J186" i="3"/>
  <c r="O187" i="3"/>
  <c r="U188" i="3"/>
  <c r="M190" i="3"/>
  <c r="R191" i="3"/>
  <c r="J193" i="3"/>
  <c r="P194" i="3"/>
  <c r="U195" i="3"/>
  <c r="M197" i="3"/>
  <c r="S198" i="3"/>
  <c r="K200" i="3"/>
  <c r="P201" i="3"/>
  <c r="U202" i="3"/>
  <c r="N204" i="3"/>
  <c r="P205" i="3"/>
  <c r="O206" i="3"/>
  <c r="L207" i="3"/>
  <c r="J208" i="3"/>
  <c r="U208" i="3"/>
  <c r="R209" i="3"/>
  <c r="P210" i="3"/>
  <c r="N211" i="3"/>
  <c r="K212" i="3"/>
  <c r="V212" i="3"/>
  <c r="T213" i="3"/>
  <c r="Q214" i="3"/>
  <c r="O215" i="3"/>
  <c r="M216" i="3"/>
  <c r="J217" i="3"/>
  <c r="U217" i="3"/>
  <c r="S218" i="3"/>
  <c r="P219" i="3"/>
  <c r="N220" i="3"/>
  <c r="L221" i="3"/>
  <c r="U221" i="3"/>
  <c r="Q222" i="3"/>
  <c r="N223" i="3"/>
  <c r="J224" i="3"/>
  <c r="S224" i="3"/>
  <c r="O225" i="3"/>
  <c r="K226" i="3"/>
  <c r="T226" i="3"/>
  <c r="P227" i="3"/>
  <c r="M228" i="3"/>
  <c r="V228" i="3"/>
  <c r="R229" i="3"/>
  <c r="N230" i="3"/>
  <c r="J231" i="3"/>
  <c r="S231" i="3"/>
  <c r="O232" i="3"/>
  <c r="L233" i="3"/>
  <c r="U233" i="3"/>
  <c r="Q234" i="3"/>
  <c r="M235" i="3"/>
  <c r="V235" i="3"/>
  <c r="R236" i="3"/>
  <c r="N237" i="3"/>
  <c r="K238" i="3"/>
  <c r="T238" i="3"/>
  <c r="P239" i="3"/>
  <c r="L240" i="3"/>
  <c r="U240" i="3"/>
  <c r="Q241" i="3"/>
  <c r="M242" i="3"/>
  <c r="J243" i="3"/>
  <c r="S243" i="3"/>
  <c r="O244" i="3"/>
  <c r="K245" i="3"/>
  <c r="T245" i="3"/>
  <c r="P246" i="3"/>
  <c r="L247" i="3"/>
  <c r="V247" i="3"/>
  <c r="R248" i="3"/>
  <c r="N249" i="3"/>
  <c r="J250" i="3"/>
  <c r="S250" i="3"/>
  <c r="O251" i="3"/>
  <c r="K252" i="3"/>
  <c r="U252" i="3"/>
  <c r="P253" i="3"/>
  <c r="K254" i="3"/>
  <c r="S254" i="3"/>
  <c r="N255" i="3"/>
  <c r="V255" i="3"/>
  <c r="Q256" i="3"/>
  <c r="L257" i="3"/>
  <c r="T257" i="3"/>
  <c r="O258" i="3"/>
  <c r="J259" i="3"/>
  <c r="R259" i="3"/>
  <c r="M260" i="3"/>
  <c r="U260" i="3"/>
  <c r="P261" i="3"/>
  <c r="K262" i="3"/>
  <c r="S262" i="3"/>
  <c r="N263" i="3"/>
  <c r="V263" i="3"/>
  <c r="Q264" i="3"/>
  <c r="L265" i="3"/>
  <c r="T265" i="3"/>
  <c r="O266" i="3"/>
  <c r="J267" i="3"/>
  <c r="R267" i="3"/>
  <c r="M268" i="3"/>
  <c r="U268" i="3"/>
  <c r="P269" i="3"/>
  <c r="K270" i="3"/>
  <c r="S270" i="3"/>
  <c r="N271" i="3"/>
  <c r="V271" i="3"/>
  <c r="Q272" i="3"/>
  <c r="L273" i="3"/>
  <c r="T273" i="3"/>
  <c r="O274" i="3"/>
  <c r="J275" i="3"/>
  <c r="R275" i="3"/>
  <c r="M276" i="3"/>
  <c r="U276" i="3"/>
  <c r="P277" i="3"/>
  <c r="K278" i="3"/>
  <c r="S278" i="3"/>
  <c r="N279" i="3"/>
  <c r="V279" i="3"/>
  <c r="Q280" i="3"/>
  <c r="V31" i="3"/>
  <c r="V64" i="3"/>
  <c r="O82" i="3"/>
  <c r="R95" i="3"/>
  <c r="P103" i="3"/>
  <c r="P108" i="3"/>
  <c r="O113" i="3"/>
  <c r="N118" i="3"/>
  <c r="M123" i="3"/>
  <c r="L128" i="3"/>
  <c r="Q132" i="3"/>
  <c r="K136" i="3"/>
  <c r="N139" i="3"/>
  <c r="R142" i="3"/>
  <c r="V145" i="3"/>
  <c r="L149" i="3"/>
  <c r="P152" i="3"/>
  <c r="T155" i="3"/>
  <c r="V158" i="3"/>
  <c r="T161" i="3"/>
  <c r="Q164" i="3"/>
  <c r="N167" i="3"/>
  <c r="L169" i="3"/>
  <c r="J171" i="3"/>
  <c r="V172" i="3"/>
  <c r="T174" i="3"/>
  <c r="O176" i="3"/>
  <c r="K178" i="3"/>
  <c r="S179" i="3"/>
  <c r="N181" i="3"/>
  <c r="J183" i="3"/>
  <c r="R184" i="3"/>
  <c r="K186" i="3"/>
  <c r="P187" i="3"/>
  <c r="V188" i="3"/>
  <c r="N190" i="3"/>
  <c r="S191" i="3"/>
  <c r="L193" i="3"/>
  <c r="Q194" i="3"/>
  <c r="V195" i="3"/>
  <c r="N197" i="3"/>
  <c r="T198" i="3"/>
  <c r="L200" i="3"/>
  <c r="Q201" i="3"/>
  <c r="J203" i="3"/>
  <c r="O204" i="3"/>
  <c r="R205" i="3"/>
  <c r="P206" i="3"/>
  <c r="N207" i="3"/>
  <c r="L208" i="3"/>
  <c r="V208" i="3"/>
  <c r="T209" i="3"/>
  <c r="R210" i="3"/>
  <c r="O211" i="3"/>
  <c r="M212" i="3"/>
  <c r="K213" i="3"/>
  <c r="U213" i="3"/>
  <c r="S214" i="3"/>
  <c r="Q215" i="3"/>
  <c r="N216" i="3"/>
  <c r="L217" i="3"/>
  <c r="J218" i="3"/>
  <c r="T218" i="3"/>
  <c r="R219" i="3"/>
  <c r="P220" i="3"/>
  <c r="M221" i="3"/>
  <c r="V221" i="3"/>
  <c r="S222" i="3"/>
  <c r="O223" i="3"/>
  <c r="K224" i="3"/>
  <c r="T224" i="3"/>
  <c r="P225" i="3"/>
  <c r="L226" i="3"/>
  <c r="U226" i="3"/>
  <c r="R227" i="3"/>
  <c r="N228" i="3"/>
  <c r="J229" i="3"/>
  <c r="S229" i="3"/>
  <c r="O230" i="3"/>
  <c r="K231" i="3"/>
  <c r="T231" i="3"/>
  <c r="Q232" i="3"/>
  <c r="M233" i="3"/>
  <c r="V233" i="3"/>
  <c r="R234" i="3"/>
  <c r="N235" i="3"/>
  <c r="J236" i="3"/>
  <c r="S236" i="3"/>
  <c r="P237" i="3"/>
  <c r="L238" i="3"/>
  <c r="U238" i="3"/>
  <c r="Q239" i="3"/>
  <c r="M240" i="3"/>
  <c r="V240" i="3"/>
  <c r="R241" i="3"/>
  <c r="O242" i="3"/>
  <c r="K243" i="3"/>
  <c r="T243" i="3"/>
  <c r="P244" i="3"/>
  <c r="L245" i="3"/>
  <c r="U245" i="3"/>
  <c r="Q246" i="3"/>
  <c r="N247" i="3"/>
  <c r="J248" i="3"/>
  <c r="S248" i="3"/>
  <c r="O249" i="3"/>
  <c r="K250" i="3"/>
  <c r="T250" i="3"/>
  <c r="P251" i="3"/>
  <c r="M252" i="3"/>
  <c r="V252" i="3"/>
  <c r="Q253" i="3"/>
  <c r="L254" i="3"/>
  <c r="T254" i="3"/>
  <c r="O255" i="3"/>
  <c r="J256" i="3"/>
  <c r="R256" i="3"/>
  <c r="M257" i="3"/>
  <c r="U257" i="3"/>
  <c r="P258" i="3"/>
  <c r="K259" i="3"/>
  <c r="S259" i="3"/>
  <c r="N260" i="3"/>
  <c r="V260" i="3"/>
  <c r="Q261" i="3"/>
  <c r="L262" i="3"/>
  <c r="T262" i="3"/>
  <c r="O263" i="3"/>
  <c r="J264" i="3"/>
  <c r="R264" i="3"/>
  <c r="M265" i="3"/>
  <c r="U265" i="3"/>
  <c r="P266" i="3"/>
  <c r="K267" i="3"/>
  <c r="S267" i="3"/>
  <c r="N268" i="3"/>
  <c r="V268" i="3"/>
  <c r="Q269" i="3"/>
  <c r="L270" i="3"/>
  <c r="T270" i="3"/>
  <c r="O271" i="3"/>
  <c r="J272" i="3"/>
  <c r="R272" i="3"/>
  <c r="M273" i="3"/>
  <c r="U273" i="3"/>
  <c r="P274" i="3"/>
  <c r="K275" i="3"/>
  <c r="S275" i="3"/>
  <c r="N276" i="3"/>
  <c r="V276" i="3"/>
  <c r="Q277" i="3"/>
  <c r="L278" i="3"/>
  <c r="T278" i="3"/>
  <c r="O279" i="3"/>
  <c r="J280" i="3"/>
  <c r="R280" i="3"/>
  <c r="M281" i="3"/>
  <c r="L33" i="3"/>
  <c r="L65" i="3"/>
  <c r="P82" i="3"/>
  <c r="V95" i="3"/>
  <c r="Q103" i="3"/>
  <c r="Q108" i="3"/>
  <c r="P113" i="3"/>
  <c r="O118" i="3"/>
  <c r="N123" i="3"/>
  <c r="M128" i="3"/>
  <c r="T132" i="3"/>
  <c r="L136" i="3"/>
  <c r="P139" i="3"/>
  <c r="T142" i="3"/>
  <c r="J146" i="3"/>
  <c r="N149" i="3"/>
  <c r="R152" i="3"/>
  <c r="U155" i="3"/>
  <c r="J159" i="3"/>
  <c r="U161" i="3"/>
  <c r="S164" i="3"/>
  <c r="O167" i="3"/>
  <c r="N169" i="3"/>
  <c r="L171" i="3"/>
  <c r="J173" i="3"/>
  <c r="V174" i="3"/>
  <c r="Q176" i="3"/>
  <c r="L178" i="3"/>
  <c r="U179" i="3"/>
  <c r="P181" i="3"/>
  <c r="K183" i="3"/>
  <c r="T184" i="3"/>
  <c r="L186" i="3"/>
  <c r="R187" i="3"/>
  <c r="J189" i="3"/>
  <c r="O190" i="3"/>
  <c r="T191" i="3"/>
  <c r="M193" i="3"/>
  <c r="R194" i="3"/>
  <c r="J196" i="3"/>
  <c r="P197" i="3"/>
  <c r="U198" i="3"/>
  <c r="M200" i="3"/>
  <c r="R201" i="3"/>
  <c r="K203" i="3"/>
  <c r="P204" i="3"/>
  <c r="S205" i="3"/>
  <c r="Q206" i="3"/>
  <c r="O207" i="3"/>
  <c r="M208" i="3"/>
  <c r="J209" i="3"/>
  <c r="U209" i="3"/>
  <c r="S210" i="3"/>
  <c r="P211" i="3"/>
  <c r="N212" i="3"/>
  <c r="L213" i="3"/>
  <c r="V213" i="3"/>
  <c r="T214" i="3"/>
  <c r="R215" i="3"/>
  <c r="O216" i="3"/>
  <c r="M217" i="3"/>
  <c r="K218" i="3"/>
  <c r="U218" i="3"/>
  <c r="S219" i="3"/>
  <c r="Q220" i="3"/>
  <c r="N221" i="3"/>
  <c r="K222" i="3"/>
  <c r="T222" i="3"/>
  <c r="P223" i="3"/>
  <c r="L224" i="3"/>
  <c r="U224" i="3"/>
  <c r="Q225" i="3"/>
  <c r="M226" i="3"/>
  <c r="J227" i="3"/>
  <c r="S227" i="3"/>
  <c r="O228" i="3"/>
  <c r="K229" i="3"/>
  <c r="T229" i="3"/>
  <c r="P230" i="3"/>
  <c r="L231" i="3"/>
  <c r="V231" i="3"/>
  <c r="R232" i="3"/>
  <c r="N233" i="3"/>
  <c r="J234" i="3"/>
  <c r="S234" i="3"/>
  <c r="O235" i="3"/>
  <c r="K236" i="3"/>
  <c r="U236" i="3"/>
  <c r="Q237" i="3"/>
  <c r="M238" i="3"/>
  <c r="V238" i="3"/>
  <c r="R239" i="3"/>
  <c r="N240" i="3"/>
  <c r="J241" i="3"/>
  <c r="T241" i="3"/>
  <c r="P242" i="3"/>
  <c r="L243" i="3"/>
  <c r="U243" i="3"/>
  <c r="Q244" i="3"/>
  <c r="M245" i="3"/>
  <c r="V245" i="3"/>
  <c r="S246" i="3"/>
  <c r="O247" i="3"/>
  <c r="K248" i="3"/>
  <c r="T248" i="3"/>
  <c r="P249" i="3"/>
  <c r="L250" i="3"/>
  <c r="U250" i="3"/>
  <c r="R251" i="3"/>
  <c r="N252" i="3"/>
  <c r="J253" i="3"/>
  <c r="R253" i="3"/>
  <c r="M254" i="3"/>
  <c r="U254" i="3"/>
  <c r="P255" i="3"/>
  <c r="K256" i="3"/>
  <c r="S256" i="3"/>
  <c r="N257" i="3"/>
  <c r="V257" i="3"/>
  <c r="Q258" i="3"/>
  <c r="L259" i="3"/>
  <c r="T259" i="3"/>
  <c r="O260" i="3"/>
  <c r="J261" i="3"/>
  <c r="R261" i="3"/>
  <c r="M262" i="3"/>
  <c r="U262" i="3"/>
  <c r="P263" i="3"/>
  <c r="K264" i="3"/>
  <c r="S264" i="3"/>
  <c r="N265" i="3"/>
  <c r="V265" i="3"/>
  <c r="Q266" i="3"/>
  <c r="L267" i="3"/>
  <c r="T267" i="3"/>
  <c r="O268" i="3"/>
  <c r="J269" i="3"/>
  <c r="R269" i="3"/>
  <c r="M270" i="3"/>
  <c r="U270" i="3"/>
  <c r="P271" i="3"/>
  <c r="K272" i="3"/>
  <c r="S272" i="3"/>
  <c r="N273" i="3"/>
  <c r="V273" i="3"/>
  <c r="Q274" i="3"/>
  <c r="L275" i="3"/>
  <c r="T275" i="3"/>
  <c r="O276" i="3"/>
  <c r="J277" i="3"/>
  <c r="R277" i="3"/>
  <c r="M278" i="3"/>
  <c r="U278" i="3"/>
  <c r="P279" i="3"/>
  <c r="K280" i="3"/>
  <c r="S280" i="3"/>
  <c r="N281" i="3"/>
  <c r="V281" i="3"/>
  <c r="Q282" i="3"/>
  <c r="L283" i="3"/>
  <c r="T283" i="3"/>
  <c r="O284" i="3"/>
  <c r="J285" i="3"/>
  <c r="R285" i="3"/>
  <c r="M286" i="3"/>
  <c r="U286" i="3"/>
  <c r="P287" i="3"/>
  <c r="K288" i="3"/>
  <c r="S288" i="3"/>
  <c r="N289" i="3"/>
  <c r="L11" i="3"/>
  <c r="P73" i="3"/>
  <c r="V99" i="3"/>
  <c r="V110" i="3"/>
  <c r="T120" i="3"/>
  <c r="R130" i="3"/>
  <c r="S137" i="3"/>
  <c r="M144" i="3"/>
  <c r="U150" i="3"/>
  <c r="O157" i="3"/>
  <c r="L163" i="3"/>
  <c r="L168" i="3"/>
  <c r="V171" i="3"/>
  <c r="R175" i="3"/>
  <c r="U178" i="3"/>
  <c r="L182" i="3"/>
  <c r="O185" i="3"/>
  <c r="M188" i="3"/>
  <c r="J191" i="3"/>
  <c r="U193" i="3"/>
  <c r="R196" i="3"/>
  <c r="P199" i="3"/>
  <c r="M202" i="3"/>
  <c r="K205" i="3"/>
  <c r="V206" i="3"/>
  <c r="Q208" i="3"/>
  <c r="L210" i="3"/>
  <c r="U211" i="3"/>
  <c r="P213" i="3"/>
  <c r="K215" i="3"/>
  <c r="T216" i="3"/>
  <c r="O218" i="3"/>
  <c r="J220" i="3"/>
  <c r="R221" i="3"/>
  <c r="J223" i="3"/>
  <c r="O224" i="3"/>
  <c r="U225" i="3"/>
  <c r="M227" i="3"/>
  <c r="R228" i="3"/>
  <c r="K230" i="3"/>
  <c r="P231" i="3"/>
  <c r="U232" i="3"/>
  <c r="M234" i="3"/>
  <c r="S235" i="3"/>
  <c r="K237" i="3"/>
  <c r="P238" i="3"/>
  <c r="V239" i="3"/>
  <c r="N241" i="3"/>
  <c r="S242" i="3"/>
  <c r="K244" i="3"/>
  <c r="Q245" i="3"/>
  <c r="V246" i="3"/>
  <c r="N248" i="3"/>
  <c r="T249" i="3"/>
  <c r="L251" i="3"/>
  <c r="Q252" i="3"/>
  <c r="U253" i="3"/>
  <c r="K255" i="3"/>
  <c r="N256" i="3"/>
  <c r="Q257" i="3"/>
  <c r="T258" i="3"/>
  <c r="J260" i="3"/>
  <c r="M261" i="3"/>
  <c r="P262" i="3"/>
  <c r="S263" i="3"/>
  <c r="V264" i="3"/>
  <c r="L266" i="3"/>
  <c r="O267" i="3"/>
  <c r="R268" i="3"/>
  <c r="U269" i="3"/>
  <c r="K271" i="3"/>
  <c r="N272" i="3"/>
  <c r="Q273" i="3"/>
  <c r="T274" i="3"/>
  <c r="J276" i="3"/>
  <c r="M277" i="3"/>
  <c r="P278" i="3"/>
  <c r="S279" i="3"/>
  <c r="V280" i="3"/>
  <c r="U281" i="3"/>
  <c r="S282" i="3"/>
  <c r="P283" i="3"/>
  <c r="N284" i="3"/>
  <c r="L285" i="3"/>
  <c r="V285" i="3"/>
  <c r="T286" i="3"/>
  <c r="R287" i="3"/>
  <c r="O288" i="3"/>
  <c r="M289" i="3"/>
  <c r="J290" i="3"/>
  <c r="S290" i="3"/>
  <c r="O291" i="3"/>
  <c r="K292" i="3"/>
  <c r="U292" i="3"/>
  <c r="Q293" i="3"/>
  <c r="M294" i="3"/>
  <c r="V294" i="3"/>
  <c r="R295" i="3"/>
  <c r="N296" i="3"/>
  <c r="J297" i="3"/>
  <c r="T297" i="3"/>
  <c r="P298" i="3"/>
  <c r="L299" i="3"/>
  <c r="U299" i="3"/>
  <c r="Q300" i="3"/>
  <c r="M301" i="3"/>
  <c r="V301" i="3"/>
  <c r="R302" i="3"/>
  <c r="M303" i="3"/>
  <c r="U303" i="3"/>
  <c r="P304" i="3"/>
  <c r="K305" i="3"/>
  <c r="S305" i="3"/>
  <c r="N306" i="3"/>
  <c r="V306" i="3"/>
  <c r="Q307" i="3"/>
  <c r="L308" i="3"/>
  <c r="T308" i="3"/>
  <c r="O309" i="3"/>
  <c r="J310" i="3"/>
  <c r="R310" i="3"/>
  <c r="M311" i="3"/>
  <c r="U311" i="3"/>
  <c r="P312" i="3"/>
  <c r="K313" i="3"/>
  <c r="S313" i="3"/>
  <c r="N314" i="3"/>
  <c r="V314" i="3"/>
  <c r="Q315" i="3"/>
  <c r="L316" i="3"/>
  <c r="T316" i="3"/>
  <c r="O317" i="3"/>
  <c r="J318" i="3"/>
  <c r="R318" i="3"/>
  <c r="M319" i="3"/>
  <c r="U319" i="3"/>
  <c r="P320" i="3"/>
  <c r="K321" i="3"/>
  <c r="S321" i="3"/>
  <c r="N322" i="3"/>
  <c r="V322" i="3"/>
  <c r="Q323" i="3"/>
  <c r="L324" i="3"/>
  <c r="T324" i="3"/>
  <c r="O325" i="3"/>
  <c r="J326" i="3"/>
  <c r="R326" i="3"/>
  <c r="M327" i="3"/>
  <c r="U327" i="3"/>
  <c r="P328" i="3"/>
  <c r="K329" i="3"/>
  <c r="S329" i="3"/>
  <c r="N330" i="3"/>
  <c r="V330" i="3"/>
  <c r="Q331" i="3"/>
  <c r="L332" i="3"/>
  <c r="T332" i="3"/>
  <c r="O333" i="3"/>
  <c r="J334" i="3"/>
  <c r="R334" i="3"/>
  <c r="M335" i="3"/>
  <c r="U335" i="3"/>
  <c r="P336" i="3"/>
  <c r="K337" i="3"/>
  <c r="S337" i="3"/>
  <c r="N338" i="3"/>
  <c r="V338" i="3"/>
  <c r="Q339" i="3"/>
  <c r="L340" i="3"/>
  <c r="T340" i="3"/>
  <c r="N49" i="3"/>
  <c r="J90" i="3"/>
  <c r="U105" i="3"/>
  <c r="S115" i="3"/>
  <c r="Q125" i="3"/>
  <c r="M134" i="3"/>
  <c r="T140" i="3"/>
  <c r="N147" i="3"/>
  <c r="V153" i="3"/>
  <c r="L160" i="3"/>
  <c r="T165" i="3"/>
  <c r="U169" i="3"/>
  <c r="R173" i="3"/>
  <c r="J177" i="3"/>
  <c r="N180" i="3"/>
  <c r="R183" i="3"/>
  <c r="R186" i="3"/>
  <c r="P189" i="3"/>
  <c r="M192" i="3"/>
  <c r="K195" i="3"/>
  <c r="U197" i="3"/>
  <c r="S200" i="3"/>
  <c r="P203" i="3"/>
  <c r="T205" i="3"/>
  <c r="Q207" i="3"/>
  <c r="L209" i="3"/>
  <c r="T210" i="3"/>
  <c r="P212" i="3"/>
  <c r="K214" i="3"/>
  <c r="S215" i="3"/>
  <c r="O217" i="3"/>
  <c r="J219" i="3"/>
  <c r="R220" i="3"/>
  <c r="L222" i="3"/>
  <c r="Q223" i="3"/>
  <c r="V224" i="3"/>
  <c r="O226" i="3"/>
  <c r="T227" i="3"/>
  <c r="L229" i="3"/>
  <c r="Q230" i="3"/>
  <c r="J232" i="3"/>
  <c r="O233" i="3"/>
  <c r="T234" i="3"/>
  <c r="M236" i="3"/>
  <c r="R237" i="3"/>
  <c r="J239" i="3"/>
  <c r="O240" i="3"/>
  <c r="U241" i="3"/>
  <c r="M243" i="3"/>
  <c r="R244" i="3"/>
  <c r="K246" i="3"/>
  <c r="P247" i="3"/>
  <c r="U248" i="3"/>
  <c r="M250" i="3"/>
  <c r="S251" i="3"/>
  <c r="K253" i="3"/>
  <c r="N254" i="3"/>
  <c r="Q255" i="3"/>
  <c r="T256" i="3"/>
  <c r="J258" i="3"/>
  <c r="M259" i="3"/>
  <c r="P260" i="3"/>
  <c r="S261" i="3"/>
  <c r="V262" i="3"/>
  <c r="L264" i="3"/>
  <c r="O265" i="3"/>
  <c r="R266" i="3"/>
  <c r="U267" i="3"/>
  <c r="K269" i="3"/>
  <c r="N270" i="3"/>
  <c r="Q271" i="3"/>
  <c r="T272" i="3"/>
  <c r="J274" i="3"/>
  <c r="M275" i="3"/>
  <c r="P276" i="3"/>
  <c r="S277" i="3"/>
  <c r="V278" i="3"/>
  <c r="L280" i="3"/>
  <c r="L281" i="3"/>
  <c r="K282" i="3"/>
  <c r="U282" i="3"/>
  <c r="S283" i="3"/>
  <c r="Q284" i="3"/>
  <c r="N285" i="3"/>
  <c r="L286" i="3"/>
  <c r="J287" i="3"/>
  <c r="T287" i="3"/>
  <c r="R288" i="3"/>
  <c r="P289" i="3"/>
  <c r="L290" i="3"/>
  <c r="U290" i="3"/>
  <c r="R291" i="3"/>
  <c r="N292" i="3"/>
  <c r="J293" i="3"/>
  <c r="S293" i="3"/>
  <c r="O294" i="3"/>
  <c r="K295" i="3"/>
  <c r="T295" i="3"/>
  <c r="Q296" i="3"/>
  <c r="M297" i="3"/>
  <c r="V297" i="3"/>
  <c r="R298" i="3"/>
  <c r="N299" i="3"/>
  <c r="J300" i="3"/>
  <c r="S300" i="3"/>
  <c r="P301" i="3"/>
  <c r="L302" i="3"/>
  <c r="T302" i="3"/>
  <c r="O303" i="3"/>
  <c r="J304" i="3"/>
  <c r="R304" i="3"/>
  <c r="M305" i="3"/>
  <c r="U305" i="3"/>
  <c r="P306" i="3"/>
  <c r="K307" i="3"/>
  <c r="S307" i="3"/>
  <c r="N308" i="3"/>
  <c r="V308" i="3"/>
  <c r="Q309" i="3"/>
  <c r="L310" i="3"/>
  <c r="T310" i="3"/>
  <c r="O311" i="3"/>
  <c r="J312" i="3"/>
  <c r="R312" i="3"/>
  <c r="M313" i="3"/>
  <c r="U313" i="3"/>
  <c r="P314" i="3"/>
  <c r="K315" i="3"/>
  <c r="S315" i="3"/>
  <c r="N316" i="3"/>
  <c r="V316" i="3"/>
  <c r="Q317" i="3"/>
  <c r="L318" i="3"/>
  <c r="T318" i="3"/>
  <c r="O319" i="3"/>
  <c r="J320" i="3"/>
  <c r="R320" i="3"/>
  <c r="M321" i="3"/>
  <c r="U321" i="3"/>
  <c r="P322" i="3"/>
  <c r="K323" i="3"/>
  <c r="S323" i="3"/>
  <c r="N324" i="3"/>
  <c r="V324" i="3"/>
  <c r="Q325" i="3"/>
  <c r="L326" i="3"/>
  <c r="T326" i="3"/>
  <c r="O327" i="3"/>
  <c r="J328" i="3"/>
  <c r="R328" i="3"/>
  <c r="M329" i="3"/>
  <c r="U329" i="3"/>
  <c r="P330" i="3"/>
  <c r="K331" i="3"/>
  <c r="S331" i="3"/>
  <c r="N332" i="3"/>
  <c r="V332" i="3"/>
  <c r="Q333" i="3"/>
  <c r="L334" i="3"/>
  <c r="T334" i="3"/>
  <c r="O335" i="3"/>
  <c r="J336" i="3"/>
  <c r="R336" i="3"/>
  <c r="M337" i="3"/>
  <c r="U337" i="3"/>
  <c r="P338" i="3"/>
  <c r="K339" i="3"/>
  <c r="S339" i="3"/>
  <c r="N340" i="3"/>
  <c r="V340" i="3"/>
  <c r="Q341" i="3"/>
  <c r="L342" i="3"/>
  <c r="T342" i="3"/>
  <c r="O343" i="3"/>
  <c r="J344" i="3"/>
  <c r="R344" i="3"/>
  <c r="M345" i="3"/>
  <c r="U345" i="3"/>
  <c r="P346" i="3"/>
  <c r="K347" i="3"/>
  <c r="S347" i="3"/>
  <c r="N348" i="3"/>
  <c r="V348" i="3"/>
  <c r="Q349" i="3"/>
  <c r="L350" i="3"/>
  <c r="T350" i="3"/>
  <c r="O351" i="3"/>
  <c r="J352" i="3"/>
  <c r="R352" i="3"/>
  <c r="P50" i="3"/>
  <c r="K90" i="3"/>
  <c r="V105" i="3"/>
  <c r="T115" i="3"/>
  <c r="R125" i="3"/>
  <c r="N134" i="3"/>
  <c r="V140" i="3"/>
  <c r="P147" i="3"/>
  <c r="J154" i="3"/>
  <c r="M160" i="3"/>
  <c r="V165" i="3"/>
  <c r="J170" i="3"/>
  <c r="S173" i="3"/>
  <c r="L177" i="3"/>
  <c r="P180" i="3"/>
  <c r="S183" i="3"/>
  <c r="S186" i="3"/>
  <c r="Q189" i="3"/>
  <c r="N192" i="3"/>
  <c r="L195" i="3"/>
  <c r="V197" i="3"/>
  <c r="T200" i="3"/>
  <c r="R203" i="3"/>
  <c r="U205" i="3"/>
  <c r="R207" i="3"/>
  <c r="M209" i="3"/>
  <c r="U210" i="3"/>
  <c r="Q212" i="3"/>
  <c r="L214" i="3"/>
  <c r="T215" i="3"/>
  <c r="P217" i="3"/>
  <c r="K219" i="3"/>
  <c r="S220" i="3"/>
  <c r="M222" i="3"/>
  <c r="R223" i="3"/>
  <c r="J225" i="3"/>
  <c r="P226" i="3"/>
  <c r="U227" i="3"/>
  <c r="M229" i="3"/>
  <c r="S230" i="3"/>
  <c r="K232" i="3"/>
  <c r="P233" i="3"/>
  <c r="U234" i="3"/>
  <c r="N236" i="3"/>
  <c r="S237" i="3"/>
  <c r="K239" i="3"/>
  <c r="Q240" i="3"/>
  <c r="V241" i="3"/>
  <c r="N243" i="3"/>
  <c r="S244" i="3"/>
  <c r="L246" i="3"/>
  <c r="Q247" i="3"/>
  <c r="V248" i="3"/>
  <c r="O250" i="3"/>
  <c r="T251" i="3"/>
  <c r="L253" i="3"/>
  <c r="O254" i="3"/>
  <c r="R255" i="3"/>
  <c r="U256" i="3"/>
  <c r="K258" i="3"/>
  <c r="N259" i="3"/>
  <c r="Q260" i="3"/>
  <c r="T261" i="3"/>
  <c r="J263" i="3"/>
  <c r="M264" i="3"/>
  <c r="P265" i="3"/>
  <c r="S266" i="3"/>
  <c r="V267" i="3"/>
  <c r="L269" i="3"/>
  <c r="O270" i="3"/>
  <c r="R271" i="3"/>
  <c r="U272" i="3"/>
  <c r="K274" i="3"/>
  <c r="N275" i="3"/>
  <c r="Q276" i="3"/>
  <c r="T277" i="3"/>
  <c r="J279" i="3"/>
  <c r="M280" i="3"/>
  <c r="O281" i="3"/>
  <c r="L282" i="3"/>
  <c r="J283" i="3"/>
  <c r="U283" i="3"/>
  <c r="R284" i="3"/>
  <c r="P285" i="3"/>
  <c r="N286" i="3"/>
  <c r="K287" i="3"/>
  <c r="V287" i="3"/>
  <c r="T288" i="3"/>
  <c r="Q289" i="3"/>
  <c r="M290" i="3"/>
  <c r="J291" i="3"/>
  <c r="S291" i="3"/>
  <c r="O292" i="3"/>
  <c r="K293" i="3"/>
  <c r="T293" i="3"/>
  <c r="P294" i="3"/>
  <c r="L295" i="3"/>
  <c r="V295" i="3"/>
  <c r="R296" i="3"/>
  <c r="N297" i="3"/>
  <c r="J298" i="3"/>
  <c r="S298" i="3"/>
  <c r="O299" i="3"/>
  <c r="K300" i="3"/>
  <c r="U300" i="3"/>
  <c r="Q301" i="3"/>
  <c r="M302" i="3"/>
  <c r="U302" i="3"/>
  <c r="P303" i="3"/>
  <c r="K304" i="3"/>
  <c r="S304" i="3"/>
  <c r="N305" i="3"/>
  <c r="V305" i="3"/>
  <c r="Q306" i="3"/>
  <c r="L307" i="3"/>
  <c r="T307" i="3"/>
  <c r="O308" i="3"/>
  <c r="J309" i="3"/>
  <c r="R309" i="3"/>
  <c r="M310" i="3"/>
  <c r="U310" i="3"/>
  <c r="P311" i="3"/>
  <c r="K312" i="3"/>
  <c r="S312" i="3"/>
  <c r="N313" i="3"/>
  <c r="V313" i="3"/>
  <c r="Q314" i="3"/>
  <c r="L315" i="3"/>
  <c r="T315" i="3"/>
  <c r="O316" i="3"/>
  <c r="J317" i="3"/>
  <c r="R317" i="3"/>
  <c r="M318" i="3"/>
  <c r="U318" i="3"/>
  <c r="P319" i="3"/>
  <c r="K320" i="3"/>
  <c r="S320" i="3"/>
  <c r="N321" i="3"/>
  <c r="V321" i="3"/>
  <c r="Q322" i="3"/>
  <c r="L323" i="3"/>
  <c r="T323" i="3"/>
  <c r="O324" i="3"/>
  <c r="J325" i="3"/>
  <c r="R325" i="3"/>
  <c r="M326" i="3"/>
  <c r="U326" i="3"/>
  <c r="P327" i="3"/>
  <c r="K328" i="3"/>
  <c r="S328" i="3"/>
  <c r="N329" i="3"/>
  <c r="V329" i="3"/>
  <c r="Q330" i="3"/>
  <c r="L331" i="3"/>
  <c r="T331" i="3"/>
  <c r="O332" i="3"/>
  <c r="J333" i="3"/>
  <c r="R333" i="3"/>
  <c r="M334" i="3"/>
  <c r="U334" i="3"/>
  <c r="P335" i="3"/>
  <c r="K336" i="3"/>
  <c r="S336" i="3"/>
  <c r="N337" i="3"/>
  <c r="V337" i="3"/>
  <c r="Q338" i="3"/>
  <c r="L339" i="3"/>
  <c r="T339" i="3"/>
  <c r="O340" i="3"/>
  <c r="J341" i="3"/>
  <c r="K51" i="3"/>
  <c r="R90" i="3"/>
  <c r="K106" i="3"/>
  <c r="V115" i="3"/>
  <c r="T125" i="3"/>
  <c r="Q134" i="3"/>
  <c r="K141" i="3"/>
  <c r="S147" i="3"/>
  <c r="M154" i="3"/>
  <c r="P160" i="3"/>
  <c r="K166" i="3"/>
  <c r="M170" i="3"/>
  <c r="J174" i="3"/>
  <c r="O177" i="3"/>
  <c r="R180" i="3"/>
  <c r="V183" i="3"/>
  <c r="U186" i="3"/>
  <c r="S189" i="3"/>
  <c r="Q192" i="3"/>
  <c r="N195" i="3"/>
  <c r="L198" i="3"/>
  <c r="V200" i="3"/>
  <c r="T203" i="3"/>
  <c r="L206" i="3"/>
  <c r="T207" i="3"/>
  <c r="P209" i="3"/>
  <c r="K211" i="3"/>
  <c r="S212" i="3"/>
  <c r="O214" i="3"/>
  <c r="J216" i="3"/>
  <c r="R217" i="3"/>
  <c r="N219" i="3"/>
  <c r="V220" i="3"/>
  <c r="O222" i="3"/>
  <c r="T223" i="3"/>
  <c r="M225" i="3"/>
  <c r="R226" i="3"/>
  <c r="J228" i="3"/>
  <c r="P229" i="3"/>
  <c r="U230" i="3"/>
  <c r="M232" i="3"/>
  <c r="R233" i="3"/>
  <c r="K235" i="3"/>
  <c r="P236" i="3"/>
  <c r="U237" i="3"/>
  <c r="N239" i="3"/>
  <c r="S240" i="3"/>
  <c r="K242" i="3"/>
  <c r="P243" i="3"/>
  <c r="V244" i="3"/>
  <c r="N246" i="3"/>
  <c r="S247" i="3"/>
  <c r="L249" i="3"/>
  <c r="Q250" i="3"/>
  <c r="V251" i="3"/>
  <c r="N253" i="3"/>
  <c r="Q254" i="3"/>
  <c r="T255" i="3"/>
  <c r="J257" i="3"/>
  <c r="M258" i="3"/>
  <c r="P259" i="3"/>
  <c r="S260" i="3"/>
  <c r="V261" i="3"/>
  <c r="L263" i="3"/>
  <c r="O264" i="3"/>
  <c r="R265" i="3"/>
  <c r="U266" i="3"/>
  <c r="K268" i="3"/>
  <c r="N269" i="3"/>
  <c r="Q270" i="3"/>
  <c r="T271" i="3"/>
  <c r="J273" i="3"/>
  <c r="M274" i="3"/>
  <c r="P275" i="3"/>
  <c r="S276" i="3"/>
  <c r="V277" i="3"/>
  <c r="L279" i="3"/>
  <c r="O280" i="3"/>
  <c r="Q281" i="3"/>
  <c r="O282" i="3"/>
  <c r="M283" i="3"/>
  <c r="J284" i="3"/>
  <c r="U284" i="3"/>
  <c r="S285" i="3"/>
  <c r="P286" i="3"/>
  <c r="N287" i="3"/>
  <c r="L288" i="3"/>
  <c r="V288" i="3"/>
  <c r="T289" i="3"/>
  <c r="P290" i="3"/>
  <c r="L291" i="3"/>
  <c r="U291" i="3"/>
  <c r="Q292" i="3"/>
  <c r="M293" i="3"/>
  <c r="V293" i="3"/>
  <c r="S294" i="3"/>
  <c r="O295" i="3"/>
  <c r="K296" i="3"/>
  <c r="T296" i="3"/>
  <c r="P297" i="3"/>
  <c r="L298" i="3"/>
  <c r="U298" i="3"/>
  <c r="R299" i="3"/>
  <c r="N300" i="3"/>
  <c r="J301" i="3"/>
  <c r="S301" i="3"/>
  <c r="O302" i="3"/>
  <c r="J303" i="3"/>
  <c r="R303" i="3"/>
  <c r="M304" i="3"/>
  <c r="U304" i="3"/>
  <c r="P305" i="3"/>
  <c r="K306" i="3"/>
  <c r="S306" i="3"/>
  <c r="N307" i="3"/>
  <c r="V307" i="3"/>
  <c r="Q308" i="3"/>
  <c r="L309" i="3"/>
  <c r="T309" i="3"/>
  <c r="O310" i="3"/>
  <c r="J311" i="3"/>
  <c r="R311" i="3"/>
  <c r="M312" i="3"/>
  <c r="U312" i="3"/>
  <c r="P313" i="3"/>
  <c r="K314" i="3"/>
  <c r="S314" i="3"/>
  <c r="N315" i="3"/>
  <c r="V315" i="3"/>
  <c r="Q316" i="3"/>
  <c r="L317" i="3"/>
  <c r="T317" i="3"/>
  <c r="O318" i="3"/>
  <c r="J319" i="3"/>
  <c r="R319" i="3"/>
  <c r="M320" i="3"/>
  <c r="U320" i="3"/>
  <c r="P321" i="3"/>
  <c r="K322" i="3"/>
  <c r="S322" i="3"/>
  <c r="N323" i="3"/>
  <c r="V323" i="3"/>
  <c r="Q324" i="3"/>
  <c r="L325" i="3"/>
  <c r="T325" i="3"/>
  <c r="O326" i="3"/>
  <c r="J327" i="3"/>
  <c r="R327" i="3"/>
  <c r="M328" i="3"/>
  <c r="U328" i="3"/>
  <c r="P329" i="3"/>
  <c r="K330" i="3"/>
  <c r="S330" i="3"/>
  <c r="N331" i="3"/>
  <c r="V331" i="3"/>
  <c r="Q332" i="3"/>
  <c r="L333" i="3"/>
  <c r="T333" i="3"/>
  <c r="O334" i="3"/>
  <c r="J335" i="3"/>
  <c r="R335" i="3"/>
  <c r="M336" i="3"/>
  <c r="U336" i="3"/>
  <c r="P337" i="3"/>
  <c r="K338" i="3"/>
  <c r="S338" i="3"/>
  <c r="N339" i="3"/>
  <c r="V339" i="3"/>
  <c r="Q340" i="3"/>
  <c r="L341" i="3"/>
  <c r="T341" i="3"/>
  <c r="O342" i="3"/>
  <c r="J343" i="3"/>
  <c r="R343" i="3"/>
  <c r="M344" i="3"/>
  <c r="U344" i="3"/>
  <c r="P345" i="3"/>
  <c r="K346" i="3"/>
  <c r="S346" i="3"/>
  <c r="N347" i="3"/>
  <c r="V347" i="3"/>
  <c r="Q348" i="3"/>
  <c r="L349" i="3"/>
  <c r="T349" i="3"/>
  <c r="O350" i="3"/>
  <c r="J351" i="3"/>
  <c r="R351" i="3"/>
  <c r="M352" i="3"/>
  <c r="U352" i="3"/>
  <c r="T11" i="3"/>
  <c r="K100" i="3"/>
  <c r="U120" i="3"/>
  <c r="U137" i="3"/>
  <c r="V150" i="3"/>
  <c r="M163" i="3"/>
  <c r="L172" i="3"/>
  <c r="J179" i="3"/>
  <c r="P185" i="3"/>
  <c r="K191" i="3"/>
  <c r="S196" i="3"/>
  <c r="O202" i="3"/>
  <c r="J207" i="3"/>
  <c r="M210" i="3"/>
  <c r="Q213" i="3"/>
  <c r="U216" i="3"/>
  <c r="K220" i="3"/>
  <c r="K223" i="3"/>
  <c r="V225" i="3"/>
  <c r="S228" i="3"/>
  <c r="Q231" i="3"/>
  <c r="O234" i="3"/>
  <c r="L237" i="3"/>
  <c r="J240" i="3"/>
  <c r="T242" i="3"/>
  <c r="R245" i="3"/>
  <c r="O248" i="3"/>
  <c r="M251" i="3"/>
  <c r="V253" i="3"/>
  <c r="O256" i="3"/>
  <c r="U258" i="3"/>
  <c r="N261" i="3"/>
  <c r="T263" i="3"/>
  <c r="M266" i="3"/>
  <c r="S268" i="3"/>
  <c r="L271" i="3"/>
  <c r="R273" i="3"/>
  <c r="K276" i="3"/>
  <c r="Q278" i="3"/>
  <c r="J281" i="3"/>
  <c r="T282" i="3"/>
  <c r="P284" i="3"/>
  <c r="K286" i="3"/>
  <c r="S287" i="3"/>
  <c r="O289" i="3"/>
  <c r="T290" i="3"/>
  <c r="M292" i="3"/>
  <c r="R293" i="3"/>
  <c r="J295" i="3"/>
  <c r="O296" i="3"/>
  <c r="U297" i="3"/>
  <c r="M299" i="3"/>
  <c r="R300" i="3"/>
  <c r="K302" i="3"/>
  <c r="N303" i="3"/>
  <c r="Q304" i="3"/>
  <c r="T305" i="3"/>
  <c r="J307" i="3"/>
  <c r="M308" i="3"/>
  <c r="P309" i="3"/>
  <c r="S310" i="3"/>
  <c r="V311" i="3"/>
  <c r="L313" i="3"/>
  <c r="O314" i="3"/>
  <c r="R315" i="3"/>
  <c r="U316" i="3"/>
  <c r="K318" i="3"/>
  <c r="N319" i="3"/>
  <c r="Q320" i="3"/>
  <c r="T321" i="3"/>
  <c r="J323" i="3"/>
  <c r="M324" i="3"/>
  <c r="P325" i="3"/>
  <c r="S326" i="3"/>
  <c r="V327" i="3"/>
  <c r="L329" i="3"/>
  <c r="O330" i="3"/>
  <c r="R331" i="3"/>
  <c r="U332" i="3"/>
  <c r="K334" i="3"/>
  <c r="N335" i="3"/>
  <c r="Q336" i="3"/>
  <c r="T337" i="3"/>
  <c r="J339" i="3"/>
  <c r="M340" i="3"/>
  <c r="O341" i="3"/>
  <c r="M342" i="3"/>
  <c r="K343" i="3"/>
  <c r="U343" i="3"/>
  <c r="S344" i="3"/>
  <c r="Q345" i="3"/>
  <c r="N346" i="3"/>
  <c r="L347" i="3"/>
  <c r="J348" i="3"/>
  <c r="T348" i="3"/>
  <c r="R349" i="3"/>
  <c r="P350" i="3"/>
  <c r="M351" i="3"/>
  <c r="K352" i="3"/>
  <c r="V352" i="3"/>
  <c r="Q353" i="3"/>
  <c r="L354" i="3"/>
  <c r="T354" i="3"/>
  <c r="O355" i="3"/>
  <c r="J356" i="3"/>
  <c r="R356" i="3"/>
  <c r="M357" i="3"/>
  <c r="U357" i="3"/>
  <c r="P358" i="3"/>
  <c r="K359" i="3"/>
  <c r="S359" i="3"/>
  <c r="N360" i="3"/>
  <c r="V360" i="3"/>
  <c r="Q361" i="3"/>
  <c r="L362" i="3"/>
  <c r="T362" i="3"/>
  <c r="O363" i="3"/>
  <c r="J364" i="3"/>
  <c r="R364" i="3"/>
  <c r="M365" i="3"/>
  <c r="U365" i="3"/>
  <c r="P366" i="3"/>
  <c r="K367" i="3"/>
  <c r="S367" i="3"/>
  <c r="N368" i="3"/>
  <c r="V368" i="3"/>
  <c r="Q369" i="3"/>
  <c r="L370" i="3"/>
  <c r="T370" i="3"/>
  <c r="O371" i="3"/>
  <c r="J372" i="3"/>
  <c r="R372" i="3"/>
  <c r="M373" i="3"/>
  <c r="U373" i="3"/>
  <c r="P374" i="3"/>
  <c r="K375" i="3"/>
  <c r="S375" i="3"/>
  <c r="N376" i="3"/>
  <c r="V376" i="3"/>
  <c r="Q377" i="3"/>
  <c r="L378" i="3"/>
  <c r="T378" i="3"/>
  <c r="O379" i="3"/>
  <c r="J380" i="3"/>
  <c r="R380" i="3"/>
  <c r="M381" i="3"/>
  <c r="U381" i="3"/>
  <c r="P382" i="3"/>
  <c r="K383" i="3"/>
  <c r="S383" i="3"/>
  <c r="N384" i="3"/>
  <c r="V384" i="3"/>
  <c r="Q385" i="3"/>
  <c r="L386" i="3"/>
  <c r="T386" i="3"/>
  <c r="O387" i="3"/>
  <c r="J388" i="3"/>
  <c r="R388" i="3"/>
  <c r="M389" i="3"/>
  <c r="U389" i="3"/>
  <c r="P390" i="3"/>
  <c r="K391" i="3"/>
  <c r="S391" i="3"/>
  <c r="U50" i="3"/>
  <c r="J106" i="3"/>
  <c r="S125" i="3"/>
  <c r="J141" i="3"/>
  <c r="K154" i="3"/>
  <c r="J166" i="3"/>
  <c r="T173" i="3"/>
  <c r="Q180" i="3"/>
  <c r="T186" i="3"/>
  <c r="O192" i="3"/>
  <c r="K198" i="3"/>
  <c r="S203" i="3"/>
  <c r="S207" i="3"/>
  <c r="J211" i="3"/>
  <c r="N214" i="3"/>
  <c r="Q217" i="3"/>
  <c r="U220" i="3"/>
  <c r="S223" i="3"/>
  <c r="Q226" i="3"/>
  <c r="N229" i="3"/>
  <c r="L232" i="3"/>
  <c r="J235" i="3"/>
  <c r="T237" i="3"/>
  <c r="R240" i="3"/>
  <c r="O243" i="3"/>
  <c r="M246" i="3"/>
  <c r="J249" i="3"/>
  <c r="U251" i="3"/>
  <c r="P254" i="3"/>
  <c r="V256" i="3"/>
  <c r="O259" i="3"/>
  <c r="U261" i="3"/>
  <c r="N264" i="3"/>
  <c r="T266" i="3"/>
  <c r="M269" i="3"/>
  <c r="S271" i="3"/>
  <c r="L274" i="3"/>
  <c r="R276" i="3"/>
  <c r="K279" i="3"/>
  <c r="P281" i="3"/>
  <c r="K283" i="3"/>
  <c r="S284" i="3"/>
  <c r="O286" i="3"/>
  <c r="J288" i="3"/>
  <c r="R289" i="3"/>
  <c r="K291" i="3"/>
  <c r="P292" i="3"/>
  <c r="U293" i="3"/>
  <c r="N295" i="3"/>
  <c r="S296" i="3"/>
  <c r="K298" i="3"/>
  <c r="P299" i="3"/>
  <c r="V300" i="3"/>
  <c r="N302" i="3"/>
  <c r="Q303" i="3"/>
  <c r="T304" i="3"/>
  <c r="J306" i="3"/>
  <c r="M307" i="3"/>
  <c r="P308" i="3"/>
  <c r="S309" i="3"/>
  <c r="V310" i="3"/>
  <c r="L312" i="3"/>
  <c r="O313" i="3"/>
  <c r="R314" i="3"/>
  <c r="U315" i="3"/>
  <c r="K317" i="3"/>
  <c r="N318" i="3"/>
  <c r="Q319" i="3"/>
  <c r="T320" i="3"/>
  <c r="J322" i="3"/>
  <c r="M323" i="3"/>
  <c r="P324" i="3"/>
  <c r="S325" i="3"/>
  <c r="V326" i="3"/>
  <c r="L328" i="3"/>
  <c r="O329" i="3"/>
  <c r="R330" i="3"/>
  <c r="U331" i="3"/>
  <c r="K333" i="3"/>
  <c r="N334" i="3"/>
  <c r="Q335" i="3"/>
  <c r="T336" i="3"/>
  <c r="J338" i="3"/>
  <c r="M339" i="3"/>
  <c r="P340" i="3"/>
  <c r="P341" i="3"/>
  <c r="N342" i="3"/>
  <c r="L343" i="3"/>
  <c r="V343" i="3"/>
  <c r="T344" i="3"/>
  <c r="R345" i="3"/>
  <c r="O346" i="3"/>
  <c r="M347" i="3"/>
  <c r="K348" i="3"/>
  <c r="U348" i="3"/>
  <c r="S349" i="3"/>
  <c r="Q350" i="3"/>
  <c r="N351" i="3"/>
  <c r="L352" i="3"/>
  <c r="J353" i="3"/>
  <c r="R353" i="3"/>
  <c r="M354" i="3"/>
  <c r="U354" i="3"/>
  <c r="P355" i="3"/>
  <c r="K356" i="3"/>
  <c r="S356" i="3"/>
  <c r="N357" i="3"/>
  <c r="V357" i="3"/>
  <c r="Q358" i="3"/>
  <c r="L359" i="3"/>
  <c r="T359" i="3"/>
  <c r="O360" i="3"/>
  <c r="J361" i="3"/>
  <c r="R361" i="3"/>
  <c r="M362" i="3"/>
  <c r="U362" i="3"/>
  <c r="P363" i="3"/>
  <c r="K364" i="3"/>
  <c r="S364" i="3"/>
  <c r="N365" i="3"/>
  <c r="V365" i="3"/>
  <c r="Q366" i="3"/>
  <c r="L367" i="3"/>
  <c r="T367" i="3"/>
  <c r="O368" i="3"/>
  <c r="J369" i="3"/>
  <c r="R369" i="3"/>
  <c r="M370" i="3"/>
  <c r="U370" i="3"/>
  <c r="P371" i="3"/>
  <c r="K372" i="3"/>
  <c r="S372" i="3"/>
  <c r="N373" i="3"/>
  <c r="V373" i="3"/>
  <c r="Q374" i="3"/>
  <c r="L375" i="3"/>
  <c r="T375" i="3"/>
  <c r="O376" i="3"/>
  <c r="J377" i="3"/>
  <c r="R377" i="3"/>
  <c r="M378" i="3"/>
  <c r="U378" i="3"/>
  <c r="P379" i="3"/>
  <c r="K380" i="3"/>
  <c r="S380" i="3"/>
  <c r="N381" i="3"/>
  <c r="V381" i="3"/>
  <c r="Q382" i="3"/>
  <c r="L383" i="3"/>
  <c r="T383" i="3"/>
  <c r="O384" i="3"/>
  <c r="J385" i="3"/>
  <c r="R385" i="3"/>
  <c r="M386" i="3"/>
  <c r="U386" i="3"/>
  <c r="P387" i="3"/>
  <c r="K388" i="3"/>
  <c r="S388" i="3"/>
  <c r="N389" i="3"/>
  <c r="V389" i="3"/>
  <c r="Q390" i="3"/>
  <c r="L391" i="3"/>
  <c r="T391" i="3"/>
  <c r="O392" i="3"/>
  <c r="J393" i="3"/>
  <c r="R393" i="3"/>
  <c r="L73" i="3"/>
  <c r="T110" i="3"/>
  <c r="P130" i="3"/>
  <c r="K144" i="3"/>
  <c r="L157" i="3"/>
  <c r="J168" i="3"/>
  <c r="O175" i="3"/>
  <c r="V181" i="3"/>
  <c r="J188" i="3"/>
  <c r="R193" i="3"/>
  <c r="N199" i="3"/>
  <c r="V204" i="3"/>
  <c r="N208" i="3"/>
  <c r="R211" i="3"/>
  <c r="V214" i="3"/>
  <c r="L218" i="3"/>
  <c r="P221" i="3"/>
  <c r="M224" i="3"/>
  <c r="K227" i="3"/>
  <c r="U229" i="3"/>
  <c r="S232" i="3"/>
  <c r="P235" i="3"/>
  <c r="N238" i="3"/>
  <c r="L241" i="3"/>
  <c r="V243" i="3"/>
  <c r="T246" i="3"/>
  <c r="Q249" i="3"/>
  <c r="O252" i="3"/>
  <c r="V254" i="3"/>
  <c r="O257" i="3"/>
  <c r="U259" i="3"/>
  <c r="N262" i="3"/>
  <c r="T264" i="3"/>
  <c r="M267" i="3"/>
  <c r="S269" i="3"/>
  <c r="L272" i="3"/>
  <c r="R274" i="3"/>
  <c r="K277" i="3"/>
  <c r="Q279" i="3"/>
  <c r="R281" i="3"/>
  <c r="N283" i="3"/>
  <c r="V284" i="3"/>
  <c r="Q286" i="3"/>
  <c r="M288" i="3"/>
  <c r="U289" i="3"/>
  <c r="M291" i="3"/>
  <c r="R292" i="3"/>
  <c r="K294" i="3"/>
  <c r="P295" i="3"/>
  <c r="U296" i="3"/>
  <c r="M298" i="3"/>
  <c r="S299" i="3"/>
  <c r="K301" i="3"/>
  <c r="P302" i="3"/>
  <c r="S303" i="3"/>
  <c r="V304" i="3"/>
  <c r="L306" i="3"/>
  <c r="O307" i="3"/>
  <c r="R308" i="3"/>
  <c r="U309" i="3"/>
  <c r="K311" i="3"/>
  <c r="N312" i="3"/>
  <c r="Q313" i="3"/>
  <c r="T314" i="3"/>
  <c r="J316" i="3"/>
  <c r="M317" i="3"/>
  <c r="P318" i="3"/>
  <c r="S319" i="3"/>
  <c r="V320" i="3"/>
  <c r="L322" i="3"/>
  <c r="O323" i="3"/>
  <c r="R324" i="3"/>
  <c r="U325" i="3"/>
  <c r="K327" i="3"/>
  <c r="N328" i="3"/>
  <c r="Q329" i="3"/>
  <c r="T330" i="3"/>
  <c r="J332" i="3"/>
  <c r="M333" i="3"/>
  <c r="P334" i="3"/>
  <c r="S335" i="3"/>
  <c r="V336" i="3"/>
  <c r="L338" i="3"/>
  <c r="O339" i="3"/>
  <c r="R340" i="3"/>
  <c r="R341" i="3"/>
  <c r="P342" i="3"/>
  <c r="M343" i="3"/>
  <c r="K344" i="3"/>
  <c r="V344" i="3"/>
  <c r="S345" i="3"/>
  <c r="Q346" i="3"/>
  <c r="O347" i="3"/>
  <c r="L348" i="3"/>
  <c r="J349" i="3"/>
  <c r="U349" i="3"/>
  <c r="R350" i="3"/>
  <c r="P351" i="3"/>
  <c r="N352" i="3"/>
  <c r="K353" i="3"/>
  <c r="S353" i="3"/>
  <c r="N354" i="3"/>
  <c r="V354" i="3"/>
  <c r="Q355" i="3"/>
  <c r="L356" i="3"/>
  <c r="T356" i="3"/>
  <c r="O357" i="3"/>
  <c r="J358" i="3"/>
  <c r="R358" i="3"/>
  <c r="M359" i="3"/>
  <c r="U359" i="3"/>
  <c r="P360" i="3"/>
  <c r="K361" i="3"/>
  <c r="S361" i="3"/>
  <c r="N362" i="3"/>
  <c r="V362" i="3"/>
  <c r="Q363" i="3"/>
  <c r="L364" i="3"/>
  <c r="T364" i="3"/>
  <c r="O365" i="3"/>
  <c r="J366" i="3"/>
  <c r="R366" i="3"/>
  <c r="M367" i="3"/>
  <c r="U367" i="3"/>
  <c r="P368" i="3"/>
  <c r="K369" i="3"/>
  <c r="S369" i="3"/>
  <c r="N370" i="3"/>
  <c r="V370" i="3"/>
  <c r="Q371" i="3"/>
  <c r="L372" i="3"/>
  <c r="T372" i="3"/>
  <c r="O373" i="3"/>
  <c r="J374" i="3"/>
  <c r="R374" i="3"/>
  <c r="M375" i="3"/>
  <c r="U375" i="3"/>
  <c r="P376" i="3"/>
  <c r="K377" i="3"/>
  <c r="S377" i="3"/>
  <c r="N378" i="3"/>
  <c r="V378" i="3"/>
  <c r="Q379" i="3"/>
  <c r="L380" i="3"/>
  <c r="T380" i="3"/>
  <c r="O381" i="3"/>
  <c r="J382" i="3"/>
  <c r="R382" i="3"/>
  <c r="M383" i="3"/>
  <c r="U383" i="3"/>
  <c r="P384" i="3"/>
  <c r="K385" i="3"/>
  <c r="S385" i="3"/>
  <c r="N386" i="3"/>
  <c r="V386" i="3"/>
  <c r="Q387" i="3"/>
  <c r="L388" i="3"/>
  <c r="T388" i="3"/>
  <c r="O389" i="3"/>
  <c r="J390" i="3"/>
  <c r="R390" i="3"/>
  <c r="M391" i="3"/>
  <c r="U391" i="3"/>
  <c r="P392" i="3"/>
  <c r="K393" i="3"/>
  <c r="S393" i="3"/>
  <c r="N394" i="3"/>
  <c r="V394" i="3"/>
  <c r="Q395" i="3"/>
  <c r="L396" i="3"/>
  <c r="T396" i="3"/>
  <c r="O397" i="3"/>
  <c r="J398" i="3"/>
  <c r="R398" i="3"/>
  <c r="M399" i="3"/>
  <c r="U399" i="3"/>
  <c r="P400" i="3"/>
  <c r="K401" i="3"/>
  <c r="S401" i="3"/>
  <c r="N402" i="3"/>
  <c r="V402" i="3"/>
  <c r="Q403" i="3"/>
  <c r="L404" i="3"/>
  <c r="T404" i="3"/>
  <c r="O405" i="3"/>
  <c r="J406" i="3"/>
  <c r="R406" i="3"/>
  <c r="M407" i="3"/>
  <c r="U407" i="3"/>
  <c r="P408" i="3"/>
  <c r="K409" i="3"/>
  <c r="N73" i="3"/>
  <c r="U110" i="3"/>
  <c r="Q130" i="3"/>
  <c r="L144" i="3"/>
  <c r="N157" i="3"/>
  <c r="K168" i="3"/>
  <c r="Q175" i="3"/>
  <c r="K182" i="3"/>
  <c r="K188" i="3"/>
  <c r="T193" i="3"/>
  <c r="O199" i="3"/>
  <c r="J205" i="3"/>
  <c r="O208" i="3"/>
  <c r="S211" i="3"/>
  <c r="J215" i="3"/>
  <c r="M218" i="3"/>
  <c r="Q221" i="3"/>
  <c r="N224" i="3"/>
  <c r="L227" i="3"/>
  <c r="V229" i="3"/>
  <c r="T232" i="3"/>
  <c r="R235" i="3"/>
  <c r="O238" i="3"/>
  <c r="M241" i="3"/>
  <c r="J244" i="3"/>
  <c r="U246" i="3"/>
  <c r="R249" i="3"/>
  <c r="P252" i="3"/>
  <c r="J255" i="3"/>
  <c r="P257" i="3"/>
  <c r="V259" i="3"/>
  <c r="O262" i="3"/>
  <c r="U264" i="3"/>
  <c r="N267" i="3"/>
  <c r="T269" i="3"/>
  <c r="M272" i="3"/>
  <c r="S274" i="3"/>
  <c r="L277" i="3"/>
  <c r="R279" i="3"/>
  <c r="T281" i="3"/>
  <c r="O283" i="3"/>
  <c r="K285" i="3"/>
  <c r="S286" i="3"/>
  <c r="N288" i="3"/>
  <c r="V289" i="3"/>
  <c r="N291" i="3"/>
  <c r="S292" i="3"/>
  <c r="L294" i="3"/>
  <c r="Q295" i="3"/>
  <c r="V296" i="3"/>
  <c r="O298" i="3"/>
  <c r="T299" i="3"/>
  <c r="L301" i="3"/>
  <c r="Q302" i="3"/>
  <c r="T303" i="3"/>
  <c r="J305" i="3"/>
  <c r="M306" i="3"/>
  <c r="P307" i="3"/>
  <c r="S308" i="3"/>
  <c r="V309" i="3"/>
  <c r="L311" i="3"/>
  <c r="O312" i="3"/>
  <c r="R313" i="3"/>
  <c r="U314" i="3"/>
  <c r="K316" i="3"/>
  <c r="N317" i="3"/>
  <c r="Q318" i="3"/>
  <c r="T319" i="3"/>
  <c r="J321" i="3"/>
  <c r="M322" i="3"/>
  <c r="P323" i="3"/>
  <c r="S324" i="3"/>
  <c r="V325" i="3"/>
  <c r="L327" i="3"/>
  <c r="O328" i="3"/>
  <c r="R329" i="3"/>
  <c r="U330" i="3"/>
  <c r="K332" i="3"/>
  <c r="N333" i="3"/>
  <c r="Q334" i="3"/>
  <c r="T335" i="3"/>
  <c r="J337" i="3"/>
  <c r="M338" i="3"/>
  <c r="P339" i="3"/>
  <c r="S340" i="3"/>
  <c r="S341" i="3"/>
  <c r="Q342" i="3"/>
  <c r="N343" i="3"/>
  <c r="L344" i="3"/>
  <c r="J345" i="3"/>
  <c r="T345" i="3"/>
  <c r="R346" i="3"/>
  <c r="P347" i="3"/>
  <c r="M348" i="3"/>
  <c r="K349" i="3"/>
  <c r="V349" i="3"/>
  <c r="S350" i="3"/>
  <c r="Q351" i="3"/>
  <c r="O352" i="3"/>
  <c r="L353" i="3"/>
  <c r="T353" i="3"/>
  <c r="O354" i="3"/>
  <c r="J355" i="3"/>
  <c r="R355" i="3"/>
  <c r="M356" i="3"/>
  <c r="U356" i="3"/>
  <c r="P357" i="3"/>
  <c r="K358" i="3"/>
  <c r="S358" i="3"/>
  <c r="N359" i="3"/>
  <c r="V359" i="3"/>
  <c r="Q360" i="3"/>
  <c r="L361" i="3"/>
  <c r="T361" i="3"/>
  <c r="O362" i="3"/>
  <c r="J363" i="3"/>
  <c r="R363" i="3"/>
  <c r="M364" i="3"/>
  <c r="U364" i="3"/>
  <c r="P365" i="3"/>
  <c r="K366" i="3"/>
  <c r="S366" i="3"/>
  <c r="N367" i="3"/>
  <c r="V367" i="3"/>
  <c r="Q368" i="3"/>
  <c r="L369" i="3"/>
  <c r="T369" i="3"/>
  <c r="O370" i="3"/>
  <c r="J371" i="3"/>
  <c r="R371" i="3"/>
  <c r="M372" i="3"/>
  <c r="U372" i="3"/>
  <c r="P373" i="3"/>
  <c r="K374" i="3"/>
  <c r="S374" i="3"/>
  <c r="N375" i="3"/>
  <c r="V375" i="3"/>
  <c r="Q376" i="3"/>
  <c r="L377" i="3"/>
  <c r="T377" i="3"/>
  <c r="O378" i="3"/>
  <c r="J379" i="3"/>
  <c r="R379" i="3"/>
  <c r="M380" i="3"/>
  <c r="U380" i="3"/>
  <c r="P381" i="3"/>
  <c r="K382" i="3"/>
  <c r="S382" i="3"/>
  <c r="N383" i="3"/>
  <c r="V383" i="3"/>
  <c r="Q384" i="3"/>
  <c r="L385" i="3"/>
  <c r="T385" i="3"/>
  <c r="O386" i="3"/>
  <c r="J387" i="3"/>
  <c r="R387" i="3"/>
  <c r="M388" i="3"/>
  <c r="U388" i="3"/>
  <c r="P389" i="3"/>
  <c r="P90" i="3"/>
  <c r="U115" i="3"/>
  <c r="O134" i="3"/>
  <c r="Q147" i="3"/>
  <c r="O160" i="3"/>
  <c r="K170" i="3"/>
  <c r="M177" i="3"/>
  <c r="T183" i="3"/>
  <c r="R189" i="3"/>
  <c r="M195" i="3"/>
  <c r="U200" i="3"/>
  <c r="K206" i="3"/>
  <c r="O209" i="3"/>
  <c r="R212" i="3"/>
  <c r="V215" i="3"/>
  <c r="M219" i="3"/>
  <c r="N222" i="3"/>
  <c r="L225" i="3"/>
  <c r="V227" i="3"/>
  <c r="T230" i="3"/>
  <c r="Q233" i="3"/>
  <c r="O236" i="3"/>
  <c r="L239" i="3"/>
  <c r="J242" i="3"/>
  <c r="U244" i="3"/>
  <c r="R247" i="3"/>
  <c r="P250" i="3"/>
  <c r="M253" i="3"/>
  <c r="S255" i="3"/>
  <c r="L258" i="3"/>
  <c r="R260" i="3"/>
  <c r="K263" i="3"/>
  <c r="Q265" i="3"/>
  <c r="J268" i="3"/>
  <c r="P270" i="3"/>
  <c r="V272" i="3"/>
  <c r="O275" i="3"/>
  <c r="U277" i="3"/>
  <c r="N280" i="3"/>
  <c r="M282" i="3"/>
  <c r="V283" i="3"/>
  <c r="Q285" i="3"/>
  <c r="L287" i="3"/>
  <c r="U288" i="3"/>
  <c r="O290" i="3"/>
  <c r="T291" i="3"/>
  <c r="L293" i="3"/>
  <c r="Q294" i="3"/>
  <c r="J296" i="3"/>
  <c r="O297" i="3"/>
  <c r="T298" i="3"/>
  <c r="M300" i="3"/>
  <c r="R301" i="3"/>
  <c r="V302" i="3"/>
  <c r="L304" i="3"/>
  <c r="O305" i="3"/>
  <c r="R306" i="3"/>
  <c r="U307" i="3"/>
  <c r="K309" i="3"/>
  <c r="N310" i="3"/>
  <c r="Q311" i="3"/>
  <c r="T312" i="3"/>
  <c r="J314" i="3"/>
  <c r="M315" i="3"/>
  <c r="P316" i="3"/>
  <c r="S317" i="3"/>
  <c r="V318" i="3"/>
  <c r="L320" i="3"/>
  <c r="O321" i="3"/>
  <c r="R322" i="3"/>
  <c r="U323" i="3"/>
  <c r="K325" i="3"/>
  <c r="N326" i="3"/>
  <c r="Q327" i="3"/>
  <c r="T328" i="3"/>
  <c r="J330" i="3"/>
  <c r="M331" i="3"/>
  <c r="P332" i="3"/>
  <c r="S333" i="3"/>
  <c r="V334" i="3"/>
  <c r="L336" i="3"/>
  <c r="O337" i="3"/>
  <c r="R338" i="3"/>
  <c r="U339" i="3"/>
  <c r="K341" i="3"/>
  <c r="V341" i="3"/>
  <c r="S342" i="3"/>
  <c r="Q343" i="3"/>
  <c r="O344" i="3"/>
  <c r="L345" i="3"/>
  <c r="J346" i="3"/>
  <c r="U346" i="3"/>
  <c r="R347" i="3"/>
  <c r="P348" i="3"/>
  <c r="N349" i="3"/>
  <c r="K350" i="3"/>
  <c r="V350" i="3"/>
  <c r="T351" i="3"/>
  <c r="Q352" i="3"/>
  <c r="N353" i="3"/>
  <c r="V353" i="3"/>
  <c r="Q354" i="3"/>
  <c r="L355" i="3"/>
  <c r="T355" i="3"/>
  <c r="O356" i="3"/>
  <c r="J357" i="3"/>
  <c r="R357" i="3"/>
  <c r="M358" i="3"/>
  <c r="U358" i="3"/>
  <c r="P359" i="3"/>
  <c r="K360" i="3"/>
  <c r="S360" i="3"/>
  <c r="N361" i="3"/>
  <c r="V361" i="3"/>
  <c r="Q362" i="3"/>
  <c r="L363" i="3"/>
  <c r="T363" i="3"/>
  <c r="O364" i="3"/>
  <c r="J365" i="3"/>
  <c r="R365" i="3"/>
  <c r="M366" i="3"/>
  <c r="U366" i="3"/>
  <c r="P367" i="3"/>
  <c r="K368" i="3"/>
  <c r="S368" i="3"/>
  <c r="N369" i="3"/>
  <c r="V369" i="3"/>
  <c r="Q370" i="3"/>
  <c r="L371" i="3"/>
  <c r="T371" i="3"/>
  <c r="O372" i="3"/>
  <c r="J373" i="3"/>
  <c r="R373" i="3"/>
  <c r="M374" i="3"/>
  <c r="U374" i="3"/>
  <c r="P375" i="3"/>
  <c r="K376" i="3"/>
  <c r="S376" i="3"/>
  <c r="N377" i="3"/>
  <c r="V377" i="3"/>
  <c r="Q378" i="3"/>
  <c r="L379" i="3"/>
  <c r="T379" i="3"/>
  <c r="O380" i="3"/>
  <c r="J381" i="3"/>
  <c r="R381" i="3"/>
  <c r="M382" i="3"/>
  <c r="U382" i="3"/>
  <c r="P383" i="3"/>
  <c r="K384" i="3"/>
  <c r="S384" i="3"/>
  <c r="N385" i="3"/>
  <c r="V385" i="3"/>
  <c r="Q386" i="3"/>
  <c r="L387" i="3"/>
  <c r="T387" i="3"/>
  <c r="O388" i="3"/>
  <c r="J389" i="3"/>
  <c r="R389" i="3"/>
  <c r="M390" i="3"/>
  <c r="U390" i="3"/>
  <c r="P391" i="3"/>
  <c r="K392" i="3"/>
  <c r="S392" i="3"/>
  <c r="N393" i="3"/>
  <c r="V393" i="3"/>
  <c r="Q394" i="3"/>
  <c r="L395" i="3"/>
  <c r="T395" i="3"/>
  <c r="O396" i="3"/>
  <c r="J397" i="3"/>
  <c r="R397" i="3"/>
  <c r="M398" i="3"/>
  <c r="U398" i="3"/>
  <c r="P399" i="3"/>
  <c r="K400" i="3"/>
  <c r="S400" i="3"/>
  <c r="N401" i="3"/>
  <c r="V401" i="3"/>
  <c r="Q402" i="3"/>
  <c r="L403" i="3"/>
  <c r="T403" i="3"/>
  <c r="O404" i="3"/>
  <c r="S99" i="3"/>
  <c r="R120" i="3"/>
  <c r="P137" i="3"/>
  <c r="R150" i="3"/>
  <c r="J163" i="3"/>
  <c r="S171" i="3"/>
  <c r="S178" i="3"/>
  <c r="M185" i="3"/>
  <c r="U190" i="3"/>
  <c r="P196" i="3"/>
  <c r="K202" i="3"/>
  <c r="S206" i="3"/>
  <c r="J210" i="3"/>
  <c r="M213" i="3"/>
  <c r="Q216" i="3"/>
  <c r="U219" i="3"/>
  <c r="U222" i="3"/>
  <c r="R225" i="3"/>
  <c r="P228" i="3"/>
  <c r="N231" i="3"/>
  <c r="K234" i="3"/>
  <c r="V236" i="3"/>
  <c r="S239" i="3"/>
  <c r="Q242" i="3"/>
  <c r="N245" i="3"/>
  <c r="L248" i="3"/>
  <c r="J251" i="3"/>
  <c r="S253" i="3"/>
  <c r="L256" i="3"/>
  <c r="R258" i="3"/>
  <c r="K261" i="3"/>
  <c r="Q263" i="3"/>
  <c r="J266" i="3"/>
  <c r="P268" i="3"/>
  <c r="V270" i="3"/>
  <c r="O273" i="3"/>
  <c r="U275" i="3"/>
  <c r="N278" i="3"/>
  <c r="T280" i="3"/>
  <c r="P282" i="3"/>
  <c r="K284" i="3"/>
  <c r="T285" i="3"/>
  <c r="O287" i="3"/>
  <c r="J289" i="3"/>
  <c r="Q290" i="3"/>
  <c r="V291" i="3"/>
  <c r="N293" i="3"/>
  <c r="T294" i="3"/>
  <c r="L296" i="3"/>
  <c r="Q297" i="3"/>
  <c r="J299" i="3"/>
  <c r="O300" i="3"/>
  <c r="T301" i="3"/>
  <c r="K303" i="3"/>
  <c r="N304" i="3"/>
  <c r="Q305" i="3"/>
  <c r="T306" i="3"/>
  <c r="J308" i="3"/>
  <c r="M309" i="3"/>
  <c r="P310" i="3"/>
  <c r="S311" i="3"/>
  <c r="V312" i="3"/>
  <c r="L314" i="3"/>
  <c r="O315" i="3"/>
  <c r="R316" i="3"/>
  <c r="U317" i="3"/>
  <c r="K319" i="3"/>
  <c r="N320" i="3"/>
  <c r="Q321" i="3"/>
  <c r="T322" i="3"/>
  <c r="J324" i="3"/>
  <c r="M325" i="3"/>
  <c r="P326" i="3"/>
  <c r="S327" i="3"/>
  <c r="V328" i="3"/>
  <c r="L330" i="3"/>
  <c r="O331" i="3"/>
  <c r="R332" i="3"/>
  <c r="U333" i="3"/>
  <c r="K335" i="3"/>
  <c r="N336" i="3"/>
  <c r="Q337" i="3"/>
  <c r="T338" i="3"/>
  <c r="J340" i="3"/>
  <c r="M341" i="3"/>
  <c r="V73" i="3"/>
  <c r="Q157" i="3"/>
  <c r="N188" i="3"/>
  <c r="R208" i="3"/>
  <c r="S221" i="3"/>
  <c r="V232" i="3"/>
  <c r="M244" i="3"/>
  <c r="L255" i="3"/>
  <c r="J265" i="3"/>
  <c r="U274" i="3"/>
  <c r="R283" i="3"/>
  <c r="K290" i="3"/>
  <c r="S295" i="3"/>
  <c r="N301" i="3"/>
  <c r="O306" i="3"/>
  <c r="N311" i="3"/>
  <c r="M316" i="3"/>
  <c r="L321" i="3"/>
  <c r="K326" i="3"/>
  <c r="J331" i="3"/>
  <c r="V335" i="3"/>
  <c r="U340" i="3"/>
  <c r="P343" i="3"/>
  <c r="O345" i="3"/>
  <c r="T347" i="3"/>
  <c r="J350" i="3"/>
  <c r="V351" i="3"/>
  <c r="J354" i="3"/>
  <c r="S355" i="3"/>
  <c r="L357" i="3"/>
  <c r="V358" i="3"/>
  <c r="R360" i="3"/>
  <c r="K362" i="3"/>
  <c r="U363" i="3"/>
  <c r="Q365" i="3"/>
  <c r="J367" i="3"/>
  <c r="T368" i="3"/>
  <c r="P370" i="3"/>
  <c r="V371" i="3"/>
  <c r="S373" i="3"/>
  <c r="O375" i="3"/>
  <c r="U376" i="3"/>
  <c r="R378" i="3"/>
  <c r="N380" i="3"/>
  <c r="T381" i="3"/>
  <c r="Q383" i="3"/>
  <c r="M385" i="3"/>
  <c r="S386" i="3"/>
  <c r="P388" i="3"/>
  <c r="K390" i="3"/>
  <c r="N391" i="3"/>
  <c r="N392" i="3"/>
  <c r="O393" i="3"/>
  <c r="M394" i="3"/>
  <c r="K395" i="3"/>
  <c r="V395" i="3"/>
  <c r="S396" i="3"/>
  <c r="Q397" i="3"/>
  <c r="O398" i="3"/>
  <c r="L399" i="3"/>
  <c r="J400" i="3"/>
  <c r="U400" i="3"/>
  <c r="R401" i="3"/>
  <c r="P402" i="3"/>
  <c r="N403" i="3"/>
  <c r="K404" i="3"/>
  <c r="V404" i="3"/>
  <c r="R405" i="3"/>
  <c r="N406" i="3"/>
  <c r="J407" i="3"/>
  <c r="S407" i="3"/>
  <c r="O408" i="3"/>
  <c r="L409" i="3"/>
  <c r="T409" i="3"/>
  <c r="O410" i="3"/>
  <c r="J411" i="3"/>
  <c r="R411" i="3"/>
  <c r="M412" i="3"/>
  <c r="U412" i="3"/>
  <c r="P413" i="3"/>
  <c r="K414" i="3"/>
  <c r="S414" i="3"/>
  <c r="N415" i="3"/>
  <c r="V415" i="3"/>
  <c r="Q416" i="3"/>
  <c r="L417" i="3"/>
  <c r="T417" i="3"/>
  <c r="O418" i="3"/>
  <c r="J419" i="3"/>
  <c r="R419" i="3"/>
  <c r="M420" i="3"/>
  <c r="U420" i="3"/>
  <c r="P421" i="3"/>
  <c r="K422" i="3"/>
  <c r="S422" i="3"/>
  <c r="N423" i="3"/>
  <c r="V423" i="3"/>
  <c r="Q424" i="3"/>
  <c r="L425" i="3"/>
  <c r="T425" i="3"/>
  <c r="O426" i="3"/>
  <c r="J427" i="3"/>
  <c r="R427" i="3"/>
  <c r="M428" i="3"/>
  <c r="U428" i="3"/>
  <c r="P429" i="3"/>
  <c r="K430" i="3"/>
  <c r="S430" i="3"/>
  <c r="N431" i="3"/>
  <c r="V431" i="3"/>
  <c r="Q432" i="3"/>
  <c r="L433" i="3"/>
  <c r="T433" i="3"/>
  <c r="O434" i="3"/>
  <c r="J435" i="3"/>
  <c r="R435" i="3"/>
  <c r="M436" i="3"/>
  <c r="U436" i="3"/>
  <c r="P437" i="3"/>
  <c r="K438" i="3"/>
  <c r="S438" i="3"/>
  <c r="N439" i="3"/>
  <c r="V439" i="3"/>
  <c r="Q440" i="3"/>
  <c r="L441" i="3"/>
  <c r="T441" i="3"/>
  <c r="O442" i="3"/>
  <c r="J443" i="3"/>
  <c r="R443" i="3"/>
  <c r="M444" i="3"/>
  <c r="U444" i="3"/>
  <c r="P445" i="3"/>
  <c r="K446" i="3"/>
  <c r="S446" i="3"/>
  <c r="N447" i="3"/>
  <c r="V447" i="3"/>
  <c r="Q448" i="3"/>
  <c r="L449" i="3"/>
  <c r="T449" i="3"/>
  <c r="O450" i="3"/>
  <c r="J451" i="3"/>
  <c r="R451" i="3"/>
  <c r="M452" i="3"/>
  <c r="U452" i="3"/>
  <c r="P453" i="3"/>
  <c r="K454" i="3"/>
  <c r="S454" i="3"/>
  <c r="N455" i="3"/>
  <c r="V455" i="3"/>
  <c r="Q456" i="3"/>
  <c r="L457" i="3"/>
  <c r="T457" i="3"/>
  <c r="O458" i="3"/>
  <c r="J459" i="3"/>
  <c r="U99" i="3"/>
  <c r="K163" i="3"/>
  <c r="V190" i="3"/>
  <c r="K210" i="3"/>
  <c r="V222" i="3"/>
  <c r="L234" i="3"/>
  <c r="P245" i="3"/>
  <c r="M256" i="3"/>
  <c r="K266" i="3"/>
  <c r="V275" i="3"/>
  <c r="M284" i="3"/>
  <c r="R290" i="3"/>
  <c r="M296" i="3"/>
  <c r="U301" i="3"/>
  <c r="U306" i="3"/>
  <c r="T311" i="3"/>
  <c r="S316" i="3"/>
  <c r="R321" i="3"/>
  <c r="Q326" i="3"/>
  <c r="P331" i="3"/>
  <c r="O336" i="3"/>
  <c r="N341" i="3"/>
  <c r="S343" i="3"/>
  <c r="V345" i="3"/>
  <c r="U347" i="3"/>
  <c r="M350" i="3"/>
  <c r="P352" i="3"/>
  <c r="K354" i="3"/>
  <c r="U355" i="3"/>
  <c r="Q357" i="3"/>
  <c r="J359" i="3"/>
  <c r="T360" i="3"/>
  <c r="P362" i="3"/>
  <c r="V363" i="3"/>
  <c r="S365" i="3"/>
  <c r="O367" i="3"/>
  <c r="U368" i="3"/>
  <c r="R370" i="3"/>
  <c r="N372" i="3"/>
  <c r="T373" i="3"/>
  <c r="Q375" i="3"/>
  <c r="M377" i="3"/>
  <c r="S378" i="3"/>
  <c r="P380" i="3"/>
  <c r="L382" i="3"/>
  <c r="R383" i="3"/>
  <c r="O385" i="3"/>
  <c r="K387" i="3"/>
  <c r="Q388" i="3"/>
  <c r="L390" i="3"/>
  <c r="O391" i="3"/>
  <c r="Q392" i="3"/>
  <c r="P393" i="3"/>
  <c r="O394" i="3"/>
  <c r="M395" i="3"/>
  <c r="J396" i="3"/>
  <c r="U396" i="3"/>
  <c r="S397" i="3"/>
  <c r="P398" i="3"/>
  <c r="N399" i="3"/>
  <c r="L400" i="3"/>
  <c r="V400" i="3"/>
  <c r="T401" i="3"/>
  <c r="R402" i="3"/>
  <c r="O403" i="3"/>
  <c r="M404" i="3"/>
  <c r="J405" i="3"/>
  <c r="S405" i="3"/>
  <c r="O406" i="3"/>
  <c r="K407" i="3"/>
  <c r="T407" i="3"/>
  <c r="Q408" i="3"/>
  <c r="M409" i="3"/>
  <c r="U409" i="3"/>
  <c r="P410" i="3"/>
  <c r="K411" i="3"/>
  <c r="S411" i="3"/>
  <c r="N412" i="3"/>
  <c r="V412" i="3"/>
  <c r="Q413" i="3"/>
  <c r="L414" i="3"/>
  <c r="T414" i="3"/>
  <c r="O415" i="3"/>
  <c r="J416" i="3"/>
  <c r="R416" i="3"/>
  <c r="M417" i="3"/>
  <c r="U417" i="3"/>
  <c r="P418" i="3"/>
  <c r="K419" i="3"/>
  <c r="S419" i="3"/>
  <c r="N420" i="3"/>
  <c r="V420" i="3"/>
  <c r="Q421" i="3"/>
  <c r="L422" i="3"/>
  <c r="T422" i="3"/>
  <c r="O423" i="3"/>
  <c r="J424" i="3"/>
  <c r="R424" i="3"/>
  <c r="M425" i="3"/>
  <c r="U425" i="3"/>
  <c r="P426" i="3"/>
  <c r="K427" i="3"/>
  <c r="S427" i="3"/>
  <c r="N428" i="3"/>
  <c r="V428" i="3"/>
  <c r="Q429" i="3"/>
  <c r="L430" i="3"/>
  <c r="T430" i="3"/>
  <c r="O431" i="3"/>
  <c r="J432" i="3"/>
  <c r="R432" i="3"/>
  <c r="M433" i="3"/>
  <c r="U433" i="3"/>
  <c r="P434" i="3"/>
  <c r="K435" i="3"/>
  <c r="S435" i="3"/>
  <c r="N436" i="3"/>
  <c r="V436" i="3"/>
  <c r="Q437" i="3"/>
  <c r="L438" i="3"/>
  <c r="T438" i="3"/>
  <c r="O439" i="3"/>
  <c r="J440" i="3"/>
  <c r="R440" i="3"/>
  <c r="M441" i="3"/>
  <c r="U441" i="3"/>
  <c r="P442" i="3"/>
  <c r="K443" i="3"/>
  <c r="S443" i="3"/>
  <c r="N444" i="3"/>
  <c r="V444" i="3"/>
  <c r="Q445" i="3"/>
  <c r="L446" i="3"/>
  <c r="T446" i="3"/>
  <c r="O447" i="3"/>
  <c r="J448" i="3"/>
  <c r="R448" i="3"/>
  <c r="M449" i="3"/>
  <c r="U449" i="3"/>
  <c r="P450" i="3"/>
  <c r="K451" i="3"/>
  <c r="S451" i="3"/>
  <c r="N452" i="3"/>
  <c r="V452" i="3"/>
  <c r="Q453" i="3"/>
  <c r="L454" i="3"/>
  <c r="T454" i="3"/>
  <c r="O455" i="3"/>
  <c r="J456" i="3"/>
  <c r="R456" i="3"/>
  <c r="M457" i="3"/>
  <c r="U457" i="3"/>
  <c r="P458" i="3"/>
  <c r="K459" i="3"/>
  <c r="S459" i="3"/>
  <c r="N460" i="3"/>
  <c r="V460" i="3"/>
  <c r="Q461" i="3"/>
  <c r="L462" i="3"/>
  <c r="T462" i="3"/>
  <c r="O463" i="3"/>
  <c r="J464" i="3"/>
  <c r="R464" i="3"/>
  <c r="M465" i="3"/>
  <c r="U465" i="3"/>
  <c r="P466" i="3"/>
  <c r="K467" i="3"/>
  <c r="S467" i="3"/>
  <c r="N468" i="3"/>
  <c r="V468" i="3"/>
  <c r="J111" i="3"/>
  <c r="O168" i="3"/>
  <c r="V193" i="3"/>
  <c r="V211" i="3"/>
  <c r="Q224" i="3"/>
  <c r="T235" i="3"/>
  <c r="J247" i="3"/>
  <c r="R257" i="3"/>
  <c r="P267" i="3"/>
  <c r="N277" i="3"/>
  <c r="M285" i="3"/>
  <c r="P291" i="3"/>
  <c r="L297" i="3"/>
  <c r="S302" i="3"/>
  <c r="R307" i="3"/>
  <c r="Q312" i="3"/>
  <c r="P317" i="3"/>
  <c r="O322" i="3"/>
  <c r="N327" i="3"/>
  <c r="M332" i="3"/>
  <c r="L337" i="3"/>
  <c r="U341" i="3"/>
  <c r="T343" i="3"/>
  <c r="L346" i="3"/>
  <c r="O348" i="3"/>
  <c r="N350" i="3"/>
  <c r="S352" i="3"/>
  <c r="P354" i="3"/>
  <c r="V355" i="3"/>
  <c r="S357" i="3"/>
  <c r="O359" i="3"/>
  <c r="U360" i="3"/>
  <c r="R362" i="3"/>
  <c r="N364" i="3"/>
  <c r="T365" i="3"/>
  <c r="Q367" i="3"/>
  <c r="M369" i="3"/>
  <c r="S370" i="3"/>
  <c r="P372" i="3"/>
  <c r="L374" i="3"/>
  <c r="R375" i="3"/>
  <c r="O377" i="3"/>
  <c r="K379" i="3"/>
  <c r="Q380" i="3"/>
  <c r="N382" i="3"/>
  <c r="J384" i="3"/>
  <c r="P385" i="3"/>
  <c r="M387" i="3"/>
  <c r="V388" i="3"/>
  <c r="N390" i="3"/>
  <c r="Q391" i="3"/>
  <c r="R392" i="3"/>
  <c r="Q393" i="3"/>
  <c r="P394" i="3"/>
  <c r="N395" i="3"/>
  <c r="K396" i="3"/>
  <c r="V396" i="3"/>
  <c r="T397" i="3"/>
  <c r="Q398" i="3"/>
  <c r="O399" i="3"/>
  <c r="M400" i="3"/>
  <c r="J401" i="3"/>
  <c r="U401" i="3"/>
  <c r="S402" i="3"/>
  <c r="P403" i="3"/>
  <c r="N404" i="3"/>
  <c r="K405" i="3"/>
  <c r="T405" i="3"/>
  <c r="P406" i="3"/>
  <c r="L407" i="3"/>
  <c r="V407" i="3"/>
  <c r="R408" i="3"/>
  <c r="N409" i="3"/>
  <c r="V409" i="3"/>
  <c r="Q410" i="3"/>
  <c r="L411" i="3"/>
  <c r="T411" i="3"/>
  <c r="O412" i="3"/>
  <c r="J413" i="3"/>
  <c r="R413" i="3"/>
  <c r="M414" i="3"/>
  <c r="U414" i="3"/>
  <c r="P415" i="3"/>
  <c r="K416" i="3"/>
  <c r="S416" i="3"/>
  <c r="N417" i="3"/>
  <c r="V417" i="3"/>
  <c r="Q418" i="3"/>
  <c r="L419" i="3"/>
  <c r="T419" i="3"/>
  <c r="O420" i="3"/>
  <c r="J421" i="3"/>
  <c r="R421" i="3"/>
  <c r="M422" i="3"/>
  <c r="U422" i="3"/>
  <c r="P423" i="3"/>
  <c r="K424" i="3"/>
  <c r="S424" i="3"/>
  <c r="N425" i="3"/>
  <c r="V425" i="3"/>
  <c r="Q426" i="3"/>
  <c r="L427" i="3"/>
  <c r="T427" i="3"/>
  <c r="O428" i="3"/>
  <c r="J429" i="3"/>
  <c r="R429" i="3"/>
  <c r="M430" i="3"/>
  <c r="U430" i="3"/>
  <c r="P431" i="3"/>
  <c r="K432" i="3"/>
  <c r="S432" i="3"/>
  <c r="N433" i="3"/>
  <c r="V433" i="3"/>
  <c r="Q434" i="3"/>
  <c r="L435" i="3"/>
  <c r="T435" i="3"/>
  <c r="O436" i="3"/>
  <c r="J437" i="3"/>
  <c r="R437" i="3"/>
  <c r="M438" i="3"/>
  <c r="U438" i="3"/>
  <c r="P439" i="3"/>
  <c r="K440" i="3"/>
  <c r="S440" i="3"/>
  <c r="N441" i="3"/>
  <c r="V441" i="3"/>
  <c r="Q442" i="3"/>
  <c r="L443" i="3"/>
  <c r="T443" i="3"/>
  <c r="O444" i="3"/>
  <c r="J445" i="3"/>
  <c r="R445" i="3"/>
  <c r="M446" i="3"/>
  <c r="U446" i="3"/>
  <c r="P447" i="3"/>
  <c r="K448" i="3"/>
  <c r="S448" i="3"/>
  <c r="N449" i="3"/>
  <c r="V449" i="3"/>
  <c r="Q450" i="3"/>
  <c r="L451" i="3"/>
  <c r="T451" i="3"/>
  <c r="O452" i="3"/>
  <c r="J453" i="3"/>
  <c r="R453" i="3"/>
  <c r="M454" i="3"/>
  <c r="U454" i="3"/>
  <c r="P455" i="3"/>
  <c r="K456" i="3"/>
  <c r="S456" i="3"/>
  <c r="N457" i="3"/>
  <c r="V457" i="3"/>
  <c r="Q458" i="3"/>
  <c r="L459" i="3"/>
  <c r="S120" i="3"/>
  <c r="U171" i="3"/>
  <c r="Q196" i="3"/>
  <c r="N213" i="3"/>
  <c r="T225" i="3"/>
  <c r="J237" i="3"/>
  <c r="M248" i="3"/>
  <c r="S258" i="3"/>
  <c r="Q268" i="3"/>
  <c r="O278" i="3"/>
  <c r="U285" i="3"/>
  <c r="J292" i="3"/>
  <c r="R297" i="3"/>
  <c r="L303" i="3"/>
  <c r="K308" i="3"/>
  <c r="J313" i="3"/>
  <c r="V317" i="3"/>
  <c r="U322" i="3"/>
  <c r="T327" i="3"/>
  <c r="S332" i="3"/>
  <c r="R337" i="3"/>
  <c r="J342" i="3"/>
  <c r="N344" i="3"/>
  <c r="M346" i="3"/>
  <c r="R348" i="3"/>
  <c r="U350" i="3"/>
  <c r="T352" i="3"/>
  <c r="R354" i="3"/>
  <c r="N356" i="3"/>
  <c r="T357" i="3"/>
  <c r="Q359" i="3"/>
  <c r="M361" i="3"/>
  <c r="S362" i="3"/>
  <c r="P364" i="3"/>
  <c r="L366" i="3"/>
  <c r="R367" i="3"/>
  <c r="O369" i="3"/>
  <c r="K371" i="3"/>
  <c r="Q372" i="3"/>
  <c r="N374" i="3"/>
  <c r="J376" i="3"/>
  <c r="P377" i="3"/>
  <c r="M379" i="3"/>
  <c r="V380" i="3"/>
  <c r="O382" i="3"/>
  <c r="L384" i="3"/>
  <c r="U385" i="3"/>
  <c r="N387" i="3"/>
  <c r="K389" i="3"/>
  <c r="O390" i="3"/>
  <c r="R391" i="3"/>
  <c r="T392" i="3"/>
  <c r="T393" i="3"/>
  <c r="R394" i="3"/>
  <c r="O395" i="3"/>
  <c r="M396" i="3"/>
  <c r="K397" i="3"/>
  <c r="U397" i="3"/>
  <c r="S398" i="3"/>
  <c r="Q399" i="3"/>
  <c r="N400" i="3"/>
  <c r="L401" i="3"/>
  <c r="J402" i="3"/>
  <c r="T402" i="3"/>
  <c r="R403" i="3"/>
  <c r="P404" i="3"/>
  <c r="L405" i="3"/>
  <c r="U405" i="3"/>
  <c r="Q406" i="3"/>
  <c r="N407" i="3"/>
  <c r="J408" i="3"/>
  <c r="S408" i="3"/>
  <c r="O409" i="3"/>
  <c r="J410" i="3"/>
  <c r="R410" i="3"/>
  <c r="M411" i="3"/>
  <c r="U411" i="3"/>
  <c r="P412" i="3"/>
  <c r="K413" i="3"/>
  <c r="S413" i="3"/>
  <c r="N414" i="3"/>
  <c r="V414" i="3"/>
  <c r="Q415" i="3"/>
  <c r="L416" i="3"/>
  <c r="T416" i="3"/>
  <c r="O417" i="3"/>
  <c r="J418" i="3"/>
  <c r="R418" i="3"/>
  <c r="M419" i="3"/>
  <c r="U419" i="3"/>
  <c r="P420" i="3"/>
  <c r="K421" i="3"/>
  <c r="S421" i="3"/>
  <c r="N422" i="3"/>
  <c r="V422" i="3"/>
  <c r="Q423" i="3"/>
  <c r="L424" i="3"/>
  <c r="T424" i="3"/>
  <c r="O425" i="3"/>
  <c r="J426" i="3"/>
  <c r="R426" i="3"/>
  <c r="M427" i="3"/>
  <c r="U427" i="3"/>
  <c r="P428" i="3"/>
  <c r="K429" i="3"/>
  <c r="S429" i="3"/>
  <c r="N430" i="3"/>
  <c r="V430" i="3"/>
  <c r="Q431" i="3"/>
  <c r="L432" i="3"/>
  <c r="T432" i="3"/>
  <c r="O433" i="3"/>
  <c r="J434" i="3"/>
  <c r="R434" i="3"/>
  <c r="M435" i="3"/>
  <c r="U435" i="3"/>
  <c r="P436" i="3"/>
  <c r="K437" i="3"/>
  <c r="S437" i="3"/>
  <c r="N438" i="3"/>
  <c r="V438" i="3"/>
  <c r="Q439" i="3"/>
  <c r="L440" i="3"/>
  <c r="T440" i="3"/>
  <c r="S130" i="3"/>
  <c r="S175" i="3"/>
  <c r="Q199" i="3"/>
  <c r="L215" i="3"/>
  <c r="N227" i="3"/>
  <c r="Q238" i="3"/>
  <c r="U249" i="3"/>
  <c r="K260" i="3"/>
  <c r="V269" i="3"/>
  <c r="T279" i="3"/>
  <c r="V286" i="3"/>
  <c r="V292" i="3"/>
  <c r="Q298" i="3"/>
  <c r="V303" i="3"/>
  <c r="U308" i="3"/>
  <c r="T313" i="3"/>
  <c r="S318" i="3"/>
  <c r="R323" i="3"/>
  <c r="Q328" i="3"/>
  <c r="P333" i="3"/>
  <c r="O338" i="3"/>
  <c r="K342" i="3"/>
  <c r="P344" i="3"/>
  <c r="T346" i="3"/>
  <c r="S348" i="3"/>
  <c r="K351" i="3"/>
  <c r="M353" i="3"/>
  <c r="S354" i="3"/>
  <c r="P356" i="3"/>
  <c r="L358" i="3"/>
  <c r="R359" i="3"/>
  <c r="O361" i="3"/>
  <c r="K363" i="3"/>
  <c r="Q364" i="3"/>
  <c r="N366" i="3"/>
  <c r="J368" i="3"/>
  <c r="P369" i="3"/>
  <c r="M371" i="3"/>
  <c r="V372" i="3"/>
  <c r="O374" i="3"/>
  <c r="L376" i="3"/>
  <c r="U377" i="3"/>
  <c r="N379" i="3"/>
  <c r="K381" i="3"/>
  <c r="T382" i="3"/>
  <c r="M384" i="3"/>
  <c r="J386" i="3"/>
  <c r="S387" i="3"/>
  <c r="L389" i="3"/>
  <c r="S390" i="3"/>
  <c r="V391" i="3"/>
  <c r="U392" i="3"/>
  <c r="U393" i="3"/>
  <c r="S394" i="3"/>
  <c r="P395" i="3"/>
  <c r="N396" i="3"/>
  <c r="L397" i="3"/>
  <c r="V397" i="3"/>
  <c r="T398" i="3"/>
  <c r="R399" i="3"/>
  <c r="O400" i="3"/>
  <c r="M401" i="3"/>
  <c r="K402" i="3"/>
  <c r="U402" i="3"/>
  <c r="S403" i="3"/>
  <c r="Q404" i="3"/>
  <c r="M405" i="3"/>
  <c r="V405" i="3"/>
  <c r="S406" i="3"/>
  <c r="O407" i="3"/>
  <c r="K408" i="3"/>
  <c r="T408" i="3"/>
  <c r="P409" i="3"/>
  <c r="K410" i="3"/>
  <c r="S410" i="3"/>
  <c r="N411" i="3"/>
  <c r="V411" i="3"/>
  <c r="Q412" i="3"/>
  <c r="L413" i="3"/>
  <c r="T413" i="3"/>
  <c r="O414" i="3"/>
  <c r="J415" i="3"/>
  <c r="R415" i="3"/>
  <c r="M416" i="3"/>
  <c r="U416" i="3"/>
  <c r="P417" i="3"/>
  <c r="K418" i="3"/>
  <c r="S418" i="3"/>
  <c r="N419" i="3"/>
  <c r="V419" i="3"/>
  <c r="Q420" i="3"/>
  <c r="L421" i="3"/>
  <c r="T421" i="3"/>
  <c r="O422" i="3"/>
  <c r="J423" i="3"/>
  <c r="R423" i="3"/>
  <c r="M424" i="3"/>
  <c r="U424" i="3"/>
  <c r="P425" i="3"/>
  <c r="K426" i="3"/>
  <c r="S426" i="3"/>
  <c r="N427" i="3"/>
  <c r="V427" i="3"/>
  <c r="Q428" i="3"/>
  <c r="R137" i="3"/>
  <c r="T178" i="3"/>
  <c r="L202" i="3"/>
  <c r="R216" i="3"/>
  <c r="Q228" i="3"/>
  <c r="T239" i="3"/>
  <c r="K251" i="3"/>
  <c r="L261" i="3"/>
  <c r="J271" i="3"/>
  <c r="U280" i="3"/>
  <c r="Q287" i="3"/>
  <c r="P293" i="3"/>
  <c r="K299" i="3"/>
  <c r="O304" i="3"/>
  <c r="N309" i="3"/>
  <c r="M314" i="3"/>
  <c r="L319" i="3"/>
  <c r="K324" i="3"/>
  <c r="J329" i="3"/>
  <c r="V333" i="3"/>
  <c r="U338" i="3"/>
  <c r="R342" i="3"/>
  <c r="Q344" i="3"/>
  <c r="V346" i="3"/>
  <c r="M349" i="3"/>
  <c r="L351" i="3"/>
  <c r="O353" i="3"/>
  <c r="K355" i="3"/>
  <c r="Q356" i="3"/>
  <c r="N358" i="3"/>
  <c r="J360" i="3"/>
  <c r="P361" i="3"/>
  <c r="M363" i="3"/>
  <c r="V364" i="3"/>
  <c r="O366" i="3"/>
  <c r="L368" i="3"/>
  <c r="U369" i="3"/>
  <c r="N371" i="3"/>
  <c r="K373" i="3"/>
  <c r="T374" i="3"/>
  <c r="M376" i="3"/>
  <c r="J378" i="3"/>
  <c r="S379" i="3"/>
  <c r="L381" i="3"/>
  <c r="V382" i="3"/>
  <c r="R384" i="3"/>
  <c r="K386" i="3"/>
  <c r="U387" i="3"/>
  <c r="Q389" i="3"/>
  <c r="T390" i="3"/>
  <c r="J392" i="3"/>
  <c r="V392" i="3"/>
  <c r="J394" i="3"/>
  <c r="T394" i="3"/>
  <c r="R395" i="3"/>
  <c r="P396" i="3"/>
  <c r="M397" i="3"/>
  <c r="K398" i="3"/>
  <c r="V398" i="3"/>
  <c r="S399" i="3"/>
  <c r="Q400" i="3"/>
  <c r="O401" i="3"/>
  <c r="L402" i="3"/>
  <c r="J403" i="3"/>
  <c r="U403" i="3"/>
  <c r="R404" i="3"/>
  <c r="N405" i="3"/>
  <c r="K406" i="3"/>
  <c r="T406" i="3"/>
  <c r="P407" i="3"/>
  <c r="L408" i="3"/>
  <c r="U408" i="3"/>
  <c r="Q409" i="3"/>
  <c r="L410" i="3"/>
  <c r="T410" i="3"/>
  <c r="O411" i="3"/>
  <c r="J412" i="3"/>
  <c r="R412" i="3"/>
  <c r="M413" i="3"/>
  <c r="U413" i="3"/>
  <c r="P414" i="3"/>
  <c r="K415" i="3"/>
  <c r="S415" i="3"/>
  <c r="N416" i="3"/>
  <c r="V416" i="3"/>
  <c r="Q417" i="3"/>
  <c r="L418" i="3"/>
  <c r="T418" i="3"/>
  <c r="O419" i="3"/>
  <c r="J420" i="3"/>
  <c r="R420" i="3"/>
  <c r="M421" i="3"/>
  <c r="U421" i="3"/>
  <c r="P422" i="3"/>
  <c r="K423" i="3"/>
  <c r="S423" i="3"/>
  <c r="N424" i="3"/>
  <c r="V424" i="3"/>
  <c r="Q425" i="3"/>
  <c r="L426" i="3"/>
  <c r="T426" i="3"/>
  <c r="O427" i="3"/>
  <c r="J428" i="3"/>
  <c r="R428" i="3"/>
  <c r="M429" i="3"/>
  <c r="U429" i="3"/>
  <c r="P430" i="3"/>
  <c r="K431" i="3"/>
  <c r="S431" i="3"/>
  <c r="N432" i="3"/>
  <c r="V432" i="3"/>
  <c r="O144" i="3"/>
  <c r="L230" i="3"/>
  <c r="O272" i="3"/>
  <c r="V299" i="3"/>
  <c r="V319" i="3"/>
  <c r="R339" i="3"/>
  <c r="O349" i="3"/>
  <c r="V356" i="3"/>
  <c r="N363" i="3"/>
  <c r="J370" i="3"/>
  <c r="R376" i="3"/>
  <c r="J383" i="3"/>
  <c r="S389" i="3"/>
  <c r="K394" i="3"/>
  <c r="N397" i="3"/>
  <c r="R400" i="3"/>
  <c r="V403" i="3"/>
  <c r="U406" i="3"/>
  <c r="R409" i="3"/>
  <c r="K412" i="3"/>
  <c r="Q414" i="3"/>
  <c r="J417" i="3"/>
  <c r="P419" i="3"/>
  <c r="V421" i="3"/>
  <c r="O424" i="3"/>
  <c r="U426" i="3"/>
  <c r="L429" i="3"/>
  <c r="R430" i="3"/>
  <c r="O432" i="3"/>
  <c r="S433" i="3"/>
  <c r="V434" i="3"/>
  <c r="L436" i="3"/>
  <c r="O437" i="3"/>
  <c r="R438" i="3"/>
  <c r="U439" i="3"/>
  <c r="K441" i="3"/>
  <c r="L442" i="3"/>
  <c r="M443" i="3"/>
  <c r="K444" i="3"/>
  <c r="L445" i="3"/>
  <c r="J446" i="3"/>
  <c r="K447" i="3"/>
  <c r="L448" i="3"/>
  <c r="J449" i="3"/>
  <c r="K450" i="3"/>
  <c r="V450" i="3"/>
  <c r="J452" i="3"/>
  <c r="K453" i="3"/>
  <c r="V453" i="3"/>
  <c r="J455" i="3"/>
  <c r="U455" i="3"/>
  <c r="V456" i="3"/>
  <c r="J458" i="3"/>
  <c r="U458" i="3"/>
  <c r="T459" i="3"/>
  <c r="P460" i="3"/>
  <c r="L461" i="3"/>
  <c r="U461" i="3"/>
  <c r="Q462" i="3"/>
  <c r="M463" i="3"/>
  <c r="V463" i="3"/>
  <c r="S464" i="3"/>
  <c r="O465" i="3"/>
  <c r="K466" i="3"/>
  <c r="T466" i="3"/>
  <c r="P467" i="3"/>
  <c r="L468" i="3"/>
  <c r="U468" i="3"/>
  <c r="Q469" i="3"/>
  <c r="L470" i="3"/>
  <c r="T470" i="3"/>
  <c r="O471" i="3"/>
  <c r="J472" i="3"/>
  <c r="R472" i="3"/>
  <c r="M473" i="3"/>
  <c r="U473" i="3"/>
  <c r="P474" i="3"/>
  <c r="K475" i="3"/>
  <c r="S475" i="3"/>
  <c r="N476" i="3"/>
  <c r="V476" i="3"/>
  <c r="Q477" i="3"/>
  <c r="L478" i="3"/>
  <c r="T478" i="3"/>
  <c r="O479" i="3"/>
  <c r="J480" i="3"/>
  <c r="R480" i="3"/>
  <c r="M481" i="3"/>
  <c r="U481" i="3"/>
  <c r="P482" i="3"/>
  <c r="K483" i="3"/>
  <c r="S483" i="3"/>
  <c r="N484" i="3"/>
  <c r="V484" i="3"/>
  <c r="Q485" i="3"/>
  <c r="L486" i="3"/>
  <c r="T486" i="3"/>
  <c r="O487" i="3"/>
  <c r="J488" i="3"/>
  <c r="R488" i="3"/>
  <c r="M489" i="3"/>
  <c r="U489" i="3"/>
  <c r="P490" i="3"/>
  <c r="K491" i="3"/>
  <c r="S491" i="3"/>
  <c r="N492" i="3"/>
  <c r="V492" i="3"/>
  <c r="Q493" i="3"/>
  <c r="L494" i="3"/>
  <c r="T494" i="3"/>
  <c r="O495" i="3"/>
  <c r="J496" i="3"/>
  <c r="R496" i="3"/>
  <c r="M497" i="3"/>
  <c r="U497" i="3"/>
  <c r="P498" i="3"/>
  <c r="K499" i="3"/>
  <c r="S499" i="3"/>
  <c r="N500" i="3"/>
  <c r="V500" i="3"/>
  <c r="Q501" i="3"/>
  <c r="L502" i="3"/>
  <c r="T502" i="3"/>
  <c r="O503" i="3"/>
  <c r="J504" i="3"/>
  <c r="R504" i="3"/>
  <c r="M505" i="3"/>
  <c r="U505" i="3"/>
  <c r="P506" i="3"/>
  <c r="K507" i="3"/>
  <c r="S507" i="3"/>
  <c r="N508" i="3"/>
  <c r="V508" i="3"/>
  <c r="Q509" i="3"/>
  <c r="L510" i="3"/>
  <c r="T510" i="3"/>
  <c r="O511" i="3"/>
  <c r="J512" i="3"/>
  <c r="R512" i="3"/>
  <c r="M513" i="3"/>
  <c r="U513" i="3"/>
  <c r="P514" i="3"/>
  <c r="K515" i="3"/>
  <c r="S515" i="3"/>
  <c r="N516" i="3"/>
  <c r="V516" i="3"/>
  <c r="Q517" i="3"/>
  <c r="L518" i="3"/>
  <c r="T518" i="3"/>
  <c r="O519" i="3"/>
  <c r="J520" i="3"/>
  <c r="R520" i="3"/>
  <c r="M521" i="3"/>
  <c r="U521" i="3"/>
  <c r="P522" i="3"/>
  <c r="K523" i="3"/>
  <c r="S523" i="3"/>
  <c r="N524" i="3"/>
  <c r="V524" i="3"/>
  <c r="Q525" i="3"/>
  <c r="L526" i="3"/>
  <c r="T526" i="3"/>
  <c r="O527" i="3"/>
  <c r="J528" i="3"/>
  <c r="R528" i="3"/>
  <c r="M529" i="3"/>
  <c r="U529" i="3"/>
  <c r="P530" i="3"/>
  <c r="K531" i="3"/>
  <c r="S531" i="3"/>
  <c r="N532" i="3"/>
  <c r="V532" i="3"/>
  <c r="Q533" i="3"/>
  <c r="L534" i="3"/>
  <c r="T534" i="3"/>
  <c r="O535" i="3"/>
  <c r="J536" i="3"/>
  <c r="R536" i="3"/>
  <c r="M537" i="3"/>
  <c r="U537" i="3"/>
  <c r="P538" i="3"/>
  <c r="K539" i="3"/>
  <c r="S539" i="3"/>
  <c r="N540" i="3"/>
  <c r="V540" i="3"/>
  <c r="Q541" i="3"/>
  <c r="L542" i="3"/>
  <c r="T542" i="3"/>
  <c r="O543" i="3"/>
  <c r="J544" i="3"/>
  <c r="R544" i="3"/>
  <c r="M545" i="3"/>
  <c r="U545" i="3"/>
  <c r="P546" i="3"/>
  <c r="K547" i="3"/>
  <c r="S547" i="3"/>
  <c r="N548" i="3"/>
  <c r="V548" i="3"/>
  <c r="Q549" i="3"/>
  <c r="L550" i="3"/>
  <c r="T550" i="3"/>
  <c r="O551" i="3"/>
  <c r="J552" i="3"/>
  <c r="R552" i="3"/>
  <c r="M553" i="3"/>
  <c r="U553" i="3"/>
  <c r="P554" i="3"/>
  <c r="T150" i="3"/>
  <c r="O231" i="3"/>
  <c r="P273" i="3"/>
  <c r="P300" i="3"/>
  <c r="O320" i="3"/>
  <c r="K340" i="3"/>
  <c r="P349" i="3"/>
  <c r="K357" i="3"/>
  <c r="S363" i="3"/>
  <c r="K370" i="3"/>
  <c r="T376" i="3"/>
  <c r="O383" i="3"/>
  <c r="T389" i="3"/>
  <c r="L394" i="3"/>
  <c r="P397" i="3"/>
  <c r="T400" i="3"/>
  <c r="J404" i="3"/>
  <c r="V406" i="3"/>
  <c r="S409" i="3"/>
  <c r="L412" i="3"/>
  <c r="R414" i="3"/>
  <c r="K417" i="3"/>
  <c r="Q419" i="3"/>
  <c r="J422" i="3"/>
  <c r="P424" i="3"/>
  <c r="V426" i="3"/>
  <c r="N429" i="3"/>
  <c r="J431" i="3"/>
  <c r="P432" i="3"/>
  <c r="K434" i="3"/>
  <c r="N435" i="3"/>
  <c r="Q436" i="3"/>
  <c r="T437" i="3"/>
  <c r="J439" i="3"/>
  <c r="M440" i="3"/>
  <c r="O441" i="3"/>
  <c r="M442" i="3"/>
  <c r="N443" i="3"/>
  <c r="L444" i="3"/>
  <c r="M445" i="3"/>
  <c r="N446" i="3"/>
  <c r="L447" i="3"/>
  <c r="M448" i="3"/>
  <c r="K449" i="3"/>
  <c r="L450" i="3"/>
  <c r="M451" i="3"/>
  <c r="K452" i="3"/>
  <c r="L453" i="3"/>
  <c r="J454" i="3"/>
  <c r="K455" i="3"/>
  <c r="L456" i="3"/>
  <c r="J457" i="3"/>
  <c r="K458" i="3"/>
  <c r="V458" i="3"/>
  <c r="U459" i="3"/>
  <c r="Q460" i="3"/>
  <c r="M461" i="3"/>
  <c r="V461" i="3"/>
  <c r="R462" i="3"/>
  <c r="N463" i="3"/>
  <c r="K464" i="3"/>
  <c r="T464" i="3"/>
  <c r="P465" i="3"/>
  <c r="L466" i="3"/>
  <c r="U466" i="3"/>
  <c r="Q467" i="3"/>
  <c r="M468" i="3"/>
  <c r="J469" i="3"/>
  <c r="R469" i="3"/>
  <c r="M470" i="3"/>
  <c r="U470" i="3"/>
  <c r="P471" i="3"/>
  <c r="K472" i="3"/>
  <c r="S472" i="3"/>
  <c r="N473" i="3"/>
  <c r="V473" i="3"/>
  <c r="Q474" i="3"/>
  <c r="L475" i="3"/>
  <c r="T475" i="3"/>
  <c r="O476" i="3"/>
  <c r="J477" i="3"/>
  <c r="R477" i="3"/>
  <c r="M478" i="3"/>
  <c r="U478" i="3"/>
  <c r="P479" i="3"/>
  <c r="K480" i="3"/>
  <c r="S480" i="3"/>
  <c r="N481" i="3"/>
  <c r="V481" i="3"/>
  <c r="Q482" i="3"/>
  <c r="L483" i="3"/>
  <c r="T483" i="3"/>
  <c r="O484" i="3"/>
  <c r="J485" i="3"/>
  <c r="R485" i="3"/>
  <c r="M486" i="3"/>
  <c r="U486" i="3"/>
  <c r="P487" i="3"/>
  <c r="K488" i="3"/>
  <c r="S488" i="3"/>
  <c r="N489" i="3"/>
  <c r="V489" i="3"/>
  <c r="Q490" i="3"/>
  <c r="L491" i="3"/>
  <c r="T491" i="3"/>
  <c r="O492" i="3"/>
  <c r="J493" i="3"/>
  <c r="R493" i="3"/>
  <c r="M494" i="3"/>
  <c r="U494" i="3"/>
  <c r="P495" i="3"/>
  <c r="K496" i="3"/>
  <c r="S496" i="3"/>
  <c r="N497" i="3"/>
  <c r="V497" i="3"/>
  <c r="Q498" i="3"/>
  <c r="L499" i="3"/>
  <c r="T499" i="3"/>
  <c r="O500" i="3"/>
  <c r="J501" i="3"/>
  <c r="R501" i="3"/>
  <c r="M502" i="3"/>
  <c r="U502" i="3"/>
  <c r="P503" i="3"/>
  <c r="K504" i="3"/>
  <c r="S504" i="3"/>
  <c r="N505" i="3"/>
  <c r="V505" i="3"/>
  <c r="Q506" i="3"/>
  <c r="L507" i="3"/>
  <c r="T507" i="3"/>
  <c r="O508" i="3"/>
  <c r="J509" i="3"/>
  <c r="R509" i="3"/>
  <c r="M510" i="3"/>
  <c r="U510" i="3"/>
  <c r="P511" i="3"/>
  <c r="K512" i="3"/>
  <c r="S512" i="3"/>
  <c r="N513" i="3"/>
  <c r="V513" i="3"/>
  <c r="Q514" i="3"/>
  <c r="L515" i="3"/>
  <c r="T515" i="3"/>
  <c r="O516" i="3"/>
  <c r="J517" i="3"/>
  <c r="R517" i="3"/>
  <c r="M518" i="3"/>
  <c r="U518" i="3"/>
  <c r="P519" i="3"/>
  <c r="K520" i="3"/>
  <c r="S520" i="3"/>
  <c r="N521" i="3"/>
  <c r="V521" i="3"/>
  <c r="Q522" i="3"/>
  <c r="L523" i="3"/>
  <c r="T523" i="3"/>
  <c r="O524" i="3"/>
  <c r="J525" i="3"/>
  <c r="R525" i="3"/>
  <c r="M526" i="3"/>
  <c r="U526" i="3"/>
  <c r="P527" i="3"/>
  <c r="K528" i="3"/>
  <c r="S528" i="3"/>
  <c r="N529" i="3"/>
  <c r="V529" i="3"/>
  <c r="Q530" i="3"/>
  <c r="L531" i="3"/>
  <c r="T531" i="3"/>
  <c r="O532" i="3"/>
  <c r="J533" i="3"/>
  <c r="R533" i="3"/>
  <c r="M534" i="3"/>
  <c r="U534" i="3"/>
  <c r="P535" i="3"/>
  <c r="K536" i="3"/>
  <c r="S536" i="3"/>
  <c r="N537" i="3"/>
  <c r="V537" i="3"/>
  <c r="Q538" i="3"/>
  <c r="L539" i="3"/>
  <c r="T539" i="3"/>
  <c r="O540" i="3"/>
  <c r="J541" i="3"/>
  <c r="R541" i="3"/>
  <c r="M542" i="3"/>
  <c r="U542" i="3"/>
  <c r="P543" i="3"/>
  <c r="K544" i="3"/>
  <c r="S544" i="3"/>
  <c r="N545" i="3"/>
  <c r="V545" i="3"/>
  <c r="Q546" i="3"/>
  <c r="L547" i="3"/>
  <c r="T547" i="3"/>
  <c r="O548" i="3"/>
  <c r="J549" i="3"/>
  <c r="R549" i="3"/>
  <c r="M550" i="3"/>
  <c r="U550" i="3"/>
  <c r="P551" i="3"/>
  <c r="K552" i="3"/>
  <c r="S552" i="3"/>
  <c r="N553" i="3"/>
  <c r="V553" i="3"/>
  <c r="Q554" i="3"/>
  <c r="L555" i="3"/>
  <c r="N182" i="3"/>
  <c r="O241" i="3"/>
  <c r="J282" i="3"/>
  <c r="L305" i="3"/>
  <c r="U324" i="3"/>
  <c r="U342" i="3"/>
  <c r="S351" i="3"/>
  <c r="O358" i="3"/>
  <c r="K365" i="3"/>
  <c r="S371" i="3"/>
  <c r="K378" i="3"/>
  <c r="T384" i="3"/>
  <c r="V390" i="3"/>
  <c r="U394" i="3"/>
  <c r="L398" i="3"/>
  <c r="P401" i="3"/>
  <c r="S404" i="3"/>
  <c r="Q407" i="3"/>
  <c r="M410" i="3"/>
  <c r="S412" i="3"/>
  <c r="L415" i="3"/>
  <c r="R417" i="3"/>
  <c r="K420" i="3"/>
  <c r="Q422" i="3"/>
  <c r="J425" i="3"/>
  <c r="P427" i="3"/>
  <c r="O429" i="3"/>
  <c r="L431" i="3"/>
  <c r="U432" i="3"/>
  <c r="L434" i="3"/>
  <c r="O435" i="3"/>
  <c r="R436" i="3"/>
  <c r="U437" i="3"/>
  <c r="K439" i="3"/>
  <c r="N440" i="3"/>
  <c r="P441" i="3"/>
  <c r="N442" i="3"/>
  <c r="O443" i="3"/>
  <c r="P444" i="3"/>
  <c r="N445" i="3"/>
  <c r="O446" i="3"/>
  <c r="M447" i="3"/>
  <c r="N448" i="3"/>
  <c r="O449" i="3"/>
  <c r="M450" i="3"/>
  <c r="N451" i="3"/>
  <c r="L452" i="3"/>
  <c r="M453" i="3"/>
  <c r="N454" i="3"/>
  <c r="L455" i="3"/>
  <c r="M456" i="3"/>
  <c r="K457" i="3"/>
  <c r="L458" i="3"/>
  <c r="M459" i="3"/>
  <c r="V459" i="3"/>
  <c r="R460" i="3"/>
  <c r="N461" i="3"/>
  <c r="J462" i="3"/>
  <c r="S462" i="3"/>
  <c r="P463" i="3"/>
  <c r="L464" i="3"/>
  <c r="U464" i="3"/>
  <c r="Q465" i="3"/>
  <c r="M466" i="3"/>
  <c r="V466" i="3"/>
  <c r="R467" i="3"/>
  <c r="O468" i="3"/>
  <c r="K469" i="3"/>
  <c r="S469" i="3"/>
  <c r="N470" i="3"/>
  <c r="V470" i="3"/>
  <c r="Q471" i="3"/>
  <c r="L472" i="3"/>
  <c r="T472" i="3"/>
  <c r="O473" i="3"/>
  <c r="J474" i="3"/>
  <c r="R474" i="3"/>
  <c r="M475" i="3"/>
  <c r="U475" i="3"/>
  <c r="P476" i="3"/>
  <c r="K477" i="3"/>
  <c r="S477" i="3"/>
  <c r="N478" i="3"/>
  <c r="V478" i="3"/>
  <c r="Q479" i="3"/>
  <c r="L480" i="3"/>
  <c r="T480" i="3"/>
  <c r="O481" i="3"/>
  <c r="J482" i="3"/>
  <c r="R482" i="3"/>
  <c r="M483" i="3"/>
  <c r="U483" i="3"/>
  <c r="P484" i="3"/>
  <c r="K485" i="3"/>
  <c r="S485" i="3"/>
  <c r="N486" i="3"/>
  <c r="V486" i="3"/>
  <c r="Q487" i="3"/>
  <c r="L488" i="3"/>
  <c r="T488" i="3"/>
  <c r="O489" i="3"/>
  <c r="J490" i="3"/>
  <c r="R490" i="3"/>
  <c r="M491" i="3"/>
  <c r="U491" i="3"/>
  <c r="P492" i="3"/>
  <c r="K493" i="3"/>
  <c r="S493" i="3"/>
  <c r="N494" i="3"/>
  <c r="V494" i="3"/>
  <c r="Q495" i="3"/>
  <c r="L496" i="3"/>
  <c r="T496" i="3"/>
  <c r="O497" i="3"/>
  <c r="J498" i="3"/>
  <c r="R498" i="3"/>
  <c r="M499" i="3"/>
  <c r="U499" i="3"/>
  <c r="P500" i="3"/>
  <c r="K501" i="3"/>
  <c r="S501" i="3"/>
  <c r="N502" i="3"/>
  <c r="V502" i="3"/>
  <c r="Q503" i="3"/>
  <c r="L504" i="3"/>
  <c r="T504" i="3"/>
  <c r="O505" i="3"/>
  <c r="J506" i="3"/>
  <c r="R506" i="3"/>
  <c r="M507" i="3"/>
  <c r="U507" i="3"/>
  <c r="P508" i="3"/>
  <c r="K509" i="3"/>
  <c r="S509" i="3"/>
  <c r="N510" i="3"/>
  <c r="V510" i="3"/>
  <c r="Q511" i="3"/>
  <c r="L512" i="3"/>
  <c r="T512" i="3"/>
  <c r="O513" i="3"/>
  <c r="J514" i="3"/>
  <c r="R514" i="3"/>
  <c r="M515" i="3"/>
  <c r="U515" i="3"/>
  <c r="P516" i="3"/>
  <c r="K517" i="3"/>
  <c r="S517" i="3"/>
  <c r="N518" i="3"/>
  <c r="V518" i="3"/>
  <c r="Q519" i="3"/>
  <c r="L520" i="3"/>
  <c r="T520" i="3"/>
  <c r="O521" i="3"/>
  <c r="J522" i="3"/>
  <c r="R522" i="3"/>
  <c r="M523" i="3"/>
  <c r="U523" i="3"/>
  <c r="P524" i="3"/>
  <c r="K525" i="3"/>
  <c r="S525" i="3"/>
  <c r="N526" i="3"/>
  <c r="V526" i="3"/>
  <c r="Q527" i="3"/>
  <c r="L528" i="3"/>
  <c r="T528" i="3"/>
  <c r="O529" i="3"/>
  <c r="J530" i="3"/>
  <c r="R530" i="3"/>
  <c r="M531" i="3"/>
  <c r="U531" i="3"/>
  <c r="P532" i="3"/>
  <c r="K533" i="3"/>
  <c r="S533" i="3"/>
  <c r="N534" i="3"/>
  <c r="V534" i="3"/>
  <c r="Q535" i="3"/>
  <c r="L536" i="3"/>
  <c r="T536" i="3"/>
  <c r="O537" i="3"/>
  <c r="J538" i="3"/>
  <c r="R538" i="3"/>
  <c r="M539" i="3"/>
  <c r="U539" i="3"/>
  <c r="P540" i="3"/>
  <c r="K541" i="3"/>
  <c r="S541" i="3"/>
  <c r="N542" i="3"/>
  <c r="V542" i="3"/>
  <c r="Q543" i="3"/>
  <c r="L544" i="3"/>
  <c r="T544" i="3"/>
  <c r="O545" i="3"/>
  <c r="J546" i="3"/>
  <c r="R546" i="3"/>
  <c r="M547" i="3"/>
  <c r="U547" i="3"/>
  <c r="P548" i="3"/>
  <c r="K549" i="3"/>
  <c r="S549" i="3"/>
  <c r="N550" i="3"/>
  <c r="V550" i="3"/>
  <c r="Q551" i="3"/>
  <c r="N185" i="3"/>
  <c r="R242" i="3"/>
  <c r="R282" i="3"/>
  <c r="R305" i="3"/>
  <c r="N325" i="3"/>
  <c r="V342" i="3"/>
  <c r="U351" i="3"/>
  <c r="T358" i="3"/>
  <c r="L365" i="3"/>
  <c r="U371" i="3"/>
  <c r="P378" i="3"/>
  <c r="U384" i="3"/>
  <c r="J391" i="3"/>
  <c r="J395" i="3"/>
  <c r="N398" i="3"/>
  <c r="Q401" i="3"/>
  <c r="U404" i="3"/>
  <c r="R407" i="3"/>
  <c r="N410" i="3"/>
  <c r="T412" i="3"/>
  <c r="M415" i="3"/>
  <c r="S417" i="3"/>
  <c r="L420" i="3"/>
  <c r="R422" i="3"/>
  <c r="K425" i="3"/>
  <c r="Q427" i="3"/>
  <c r="T429" i="3"/>
  <c r="M431" i="3"/>
  <c r="J433" i="3"/>
  <c r="M434" i="3"/>
  <c r="P435" i="3"/>
  <c r="S436" i="3"/>
  <c r="V437" i="3"/>
  <c r="L439" i="3"/>
  <c r="O440" i="3"/>
  <c r="Q441" i="3"/>
  <c r="R442" i="3"/>
  <c r="P443" i="3"/>
  <c r="Q444" i="3"/>
  <c r="O445" i="3"/>
  <c r="P446" i="3"/>
  <c r="Q447" i="3"/>
  <c r="O448" i="3"/>
  <c r="P449" i="3"/>
  <c r="N450" i="3"/>
  <c r="O451" i="3"/>
  <c r="P452" i="3"/>
  <c r="N453" i="3"/>
  <c r="O454" i="3"/>
  <c r="M455" i="3"/>
  <c r="N456" i="3"/>
  <c r="O457" i="3"/>
  <c r="M458" i="3"/>
  <c r="N459" i="3"/>
  <c r="J460" i="3"/>
  <c r="S460" i="3"/>
  <c r="O461" i="3"/>
  <c r="K462" i="3"/>
  <c r="U462" i="3"/>
  <c r="Q463" i="3"/>
  <c r="M464" i="3"/>
  <c r="V464" i="3"/>
  <c r="R465" i="3"/>
  <c r="N466" i="3"/>
  <c r="J467" i="3"/>
  <c r="T467" i="3"/>
  <c r="P468" i="3"/>
  <c r="L469" i="3"/>
  <c r="T469" i="3"/>
  <c r="O470" i="3"/>
  <c r="J471" i="3"/>
  <c r="R471" i="3"/>
  <c r="M472" i="3"/>
  <c r="U472" i="3"/>
  <c r="P473" i="3"/>
  <c r="K474" i="3"/>
  <c r="S474" i="3"/>
  <c r="N475" i="3"/>
  <c r="V475" i="3"/>
  <c r="Q476" i="3"/>
  <c r="L477" i="3"/>
  <c r="T477" i="3"/>
  <c r="O478" i="3"/>
  <c r="J479" i="3"/>
  <c r="R479" i="3"/>
  <c r="M480" i="3"/>
  <c r="U480" i="3"/>
  <c r="P481" i="3"/>
  <c r="K482" i="3"/>
  <c r="S482" i="3"/>
  <c r="N483" i="3"/>
  <c r="V483" i="3"/>
  <c r="Q484" i="3"/>
  <c r="L485" i="3"/>
  <c r="T485" i="3"/>
  <c r="O486" i="3"/>
  <c r="J487" i="3"/>
  <c r="R487" i="3"/>
  <c r="M488" i="3"/>
  <c r="U488" i="3"/>
  <c r="P489" i="3"/>
  <c r="K490" i="3"/>
  <c r="S490" i="3"/>
  <c r="N491" i="3"/>
  <c r="V491" i="3"/>
  <c r="Q492" i="3"/>
  <c r="L493" i="3"/>
  <c r="T493" i="3"/>
  <c r="O494" i="3"/>
  <c r="J495" i="3"/>
  <c r="R495" i="3"/>
  <c r="M496" i="3"/>
  <c r="U496" i="3"/>
  <c r="P497" i="3"/>
  <c r="K498" i="3"/>
  <c r="S498" i="3"/>
  <c r="N499" i="3"/>
  <c r="V499" i="3"/>
  <c r="Q500" i="3"/>
  <c r="L501" i="3"/>
  <c r="T501" i="3"/>
  <c r="O502" i="3"/>
  <c r="J503" i="3"/>
  <c r="R503" i="3"/>
  <c r="M504" i="3"/>
  <c r="U504" i="3"/>
  <c r="P505" i="3"/>
  <c r="K506" i="3"/>
  <c r="S506" i="3"/>
  <c r="N507" i="3"/>
  <c r="V507" i="3"/>
  <c r="Q508" i="3"/>
  <c r="L509" i="3"/>
  <c r="T509" i="3"/>
  <c r="O510" i="3"/>
  <c r="J511" i="3"/>
  <c r="R511" i="3"/>
  <c r="M512" i="3"/>
  <c r="U512" i="3"/>
  <c r="P513" i="3"/>
  <c r="K514" i="3"/>
  <c r="S514" i="3"/>
  <c r="N515" i="3"/>
  <c r="V515" i="3"/>
  <c r="Q516" i="3"/>
  <c r="L517" i="3"/>
  <c r="T517" i="3"/>
  <c r="O518" i="3"/>
  <c r="J519" i="3"/>
  <c r="R519" i="3"/>
  <c r="M520" i="3"/>
  <c r="U520" i="3"/>
  <c r="P521" i="3"/>
  <c r="K522" i="3"/>
  <c r="S522" i="3"/>
  <c r="N523" i="3"/>
  <c r="V523" i="3"/>
  <c r="Q524" i="3"/>
  <c r="L525" i="3"/>
  <c r="T525" i="3"/>
  <c r="O526" i="3"/>
  <c r="J527" i="3"/>
  <c r="R527" i="3"/>
  <c r="M528" i="3"/>
  <c r="U528" i="3"/>
  <c r="P529" i="3"/>
  <c r="K530" i="3"/>
  <c r="S530" i="3"/>
  <c r="N531" i="3"/>
  <c r="V531" i="3"/>
  <c r="Q532" i="3"/>
  <c r="L533" i="3"/>
  <c r="T533" i="3"/>
  <c r="O534" i="3"/>
  <c r="J535" i="3"/>
  <c r="R535" i="3"/>
  <c r="M536" i="3"/>
  <c r="L205" i="3"/>
  <c r="R252" i="3"/>
  <c r="Q288" i="3"/>
  <c r="K310" i="3"/>
  <c r="T329" i="3"/>
  <c r="K345" i="3"/>
  <c r="P353" i="3"/>
  <c r="L360" i="3"/>
  <c r="T366" i="3"/>
  <c r="L373" i="3"/>
  <c r="U379" i="3"/>
  <c r="P386" i="3"/>
  <c r="L392" i="3"/>
  <c r="S395" i="3"/>
  <c r="J399" i="3"/>
  <c r="M402" i="3"/>
  <c r="P405" i="3"/>
  <c r="M408" i="3"/>
  <c r="U410" i="3"/>
  <c r="N413" i="3"/>
  <c r="T415" i="3"/>
  <c r="M418" i="3"/>
  <c r="S420" i="3"/>
  <c r="L423" i="3"/>
  <c r="R425" i="3"/>
  <c r="K428" i="3"/>
  <c r="V429" i="3"/>
  <c r="R431" i="3"/>
  <c r="K433" i="3"/>
  <c r="N434" i="3"/>
  <c r="Q435" i="3"/>
  <c r="T436" i="3"/>
  <c r="J438" i="3"/>
  <c r="M439" i="3"/>
  <c r="P440" i="3"/>
  <c r="R441" i="3"/>
  <c r="S442" i="3"/>
  <c r="Q443" i="3"/>
  <c r="R444" i="3"/>
  <c r="S445" i="3"/>
  <c r="Q446" i="3"/>
  <c r="R447" i="3"/>
  <c r="P448" i="3"/>
  <c r="Q449" i="3"/>
  <c r="R450" i="3"/>
  <c r="P451" i="3"/>
  <c r="Q452" i="3"/>
  <c r="O453" i="3"/>
  <c r="P454" i="3"/>
  <c r="Q455" i="3"/>
  <c r="O456" i="3"/>
  <c r="P457" i="3"/>
  <c r="N458" i="3"/>
  <c r="O459" i="3"/>
  <c r="K460" i="3"/>
  <c r="T460" i="3"/>
  <c r="P461" i="3"/>
  <c r="M462" i="3"/>
  <c r="V462" i="3"/>
  <c r="R463" i="3"/>
  <c r="N464" i="3"/>
  <c r="J465" i="3"/>
  <c r="S465" i="3"/>
  <c r="O466" i="3"/>
  <c r="L467" i="3"/>
  <c r="U467" i="3"/>
  <c r="Q468" i="3"/>
  <c r="M469" i="3"/>
  <c r="U469" i="3"/>
  <c r="P470" i="3"/>
  <c r="K471" i="3"/>
  <c r="S471" i="3"/>
  <c r="N472" i="3"/>
  <c r="V472" i="3"/>
  <c r="Q473" i="3"/>
  <c r="L474" i="3"/>
  <c r="T474" i="3"/>
  <c r="O475" i="3"/>
  <c r="J476" i="3"/>
  <c r="R476" i="3"/>
  <c r="M477" i="3"/>
  <c r="U477" i="3"/>
  <c r="P478" i="3"/>
  <c r="K479" i="3"/>
  <c r="S479" i="3"/>
  <c r="N480" i="3"/>
  <c r="V480" i="3"/>
  <c r="Q481" i="3"/>
  <c r="L482" i="3"/>
  <c r="T482" i="3"/>
  <c r="O483" i="3"/>
  <c r="J484" i="3"/>
  <c r="R484" i="3"/>
  <c r="M485" i="3"/>
  <c r="U485" i="3"/>
  <c r="P486" i="3"/>
  <c r="K487" i="3"/>
  <c r="S487" i="3"/>
  <c r="N488" i="3"/>
  <c r="V488" i="3"/>
  <c r="Q489" i="3"/>
  <c r="L490" i="3"/>
  <c r="T490" i="3"/>
  <c r="O491" i="3"/>
  <c r="J492" i="3"/>
  <c r="R492" i="3"/>
  <c r="M493" i="3"/>
  <c r="U493" i="3"/>
  <c r="P494" i="3"/>
  <c r="K495" i="3"/>
  <c r="S495" i="3"/>
  <c r="N496" i="3"/>
  <c r="V496" i="3"/>
  <c r="Q497" i="3"/>
  <c r="L498" i="3"/>
  <c r="T498" i="3"/>
  <c r="O499" i="3"/>
  <c r="J500" i="3"/>
  <c r="R500" i="3"/>
  <c r="M501" i="3"/>
  <c r="U501" i="3"/>
  <c r="P502" i="3"/>
  <c r="K503" i="3"/>
  <c r="S503" i="3"/>
  <c r="N504" i="3"/>
  <c r="V504" i="3"/>
  <c r="Q505" i="3"/>
  <c r="L506" i="3"/>
  <c r="T506" i="3"/>
  <c r="O507" i="3"/>
  <c r="J508" i="3"/>
  <c r="R508" i="3"/>
  <c r="M509" i="3"/>
  <c r="U509" i="3"/>
  <c r="P510" i="3"/>
  <c r="K511" i="3"/>
  <c r="S511" i="3"/>
  <c r="N512" i="3"/>
  <c r="V512" i="3"/>
  <c r="Q513" i="3"/>
  <c r="L514" i="3"/>
  <c r="T514" i="3"/>
  <c r="O515" i="3"/>
  <c r="J516" i="3"/>
  <c r="R516" i="3"/>
  <c r="M517" i="3"/>
  <c r="U517" i="3"/>
  <c r="P518" i="3"/>
  <c r="K519" i="3"/>
  <c r="S519" i="3"/>
  <c r="N520" i="3"/>
  <c r="V520" i="3"/>
  <c r="Q521" i="3"/>
  <c r="L522" i="3"/>
  <c r="T522" i="3"/>
  <c r="O523" i="3"/>
  <c r="J524" i="3"/>
  <c r="R524" i="3"/>
  <c r="M525" i="3"/>
  <c r="U525" i="3"/>
  <c r="P526" i="3"/>
  <c r="K527" i="3"/>
  <c r="S527" i="3"/>
  <c r="N528" i="3"/>
  <c r="V528" i="3"/>
  <c r="Q529" i="3"/>
  <c r="L530" i="3"/>
  <c r="T530" i="3"/>
  <c r="O531" i="3"/>
  <c r="J532" i="3"/>
  <c r="T206" i="3"/>
  <c r="T253" i="3"/>
  <c r="L289" i="3"/>
  <c r="Q310" i="3"/>
  <c r="M330" i="3"/>
  <c r="N345" i="3"/>
  <c r="U353" i="3"/>
  <c r="M360" i="3"/>
  <c r="V366" i="3"/>
  <c r="Q373" i="3"/>
  <c r="V379" i="3"/>
  <c r="R386" i="3"/>
  <c r="M392" i="3"/>
  <c r="U395" i="3"/>
  <c r="K399" i="3"/>
  <c r="O402" i="3"/>
  <c r="Q405" i="3"/>
  <c r="N408" i="3"/>
  <c r="V410" i="3"/>
  <c r="O413" i="3"/>
  <c r="U415" i="3"/>
  <c r="N418" i="3"/>
  <c r="T420" i="3"/>
  <c r="M423" i="3"/>
  <c r="S425" i="3"/>
  <c r="L428" i="3"/>
  <c r="J430" i="3"/>
  <c r="T431" i="3"/>
  <c r="P433" i="3"/>
  <c r="S434" i="3"/>
  <c r="V435" i="3"/>
  <c r="L437" i="3"/>
  <c r="O438" i="3"/>
  <c r="R439" i="3"/>
  <c r="U440" i="3"/>
  <c r="S441" i="3"/>
  <c r="T442" i="3"/>
  <c r="U443" i="3"/>
  <c r="S444" i="3"/>
  <c r="T445" i="3"/>
  <c r="R446" i="3"/>
  <c r="S447" i="3"/>
  <c r="T448" i="3"/>
  <c r="R449" i="3"/>
  <c r="S450" i="3"/>
  <c r="Q451" i="3"/>
  <c r="R452" i="3"/>
  <c r="S453" i="3"/>
  <c r="Q454" i="3"/>
  <c r="R455" i="3"/>
  <c r="P456" i="3"/>
  <c r="Q457" i="3"/>
  <c r="R458" i="3"/>
  <c r="P459" i="3"/>
  <c r="L460" i="3"/>
  <c r="U460" i="3"/>
  <c r="R461" i="3"/>
  <c r="N462" i="3"/>
  <c r="J463" i="3"/>
  <c r="S463" i="3"/>
  <c r="O464" i="3"/>
  <c r="K465" i="3"/>
  <c r="T465" i="3"/>
  <c r="Q466" i="3"/>
  <c r="M467" i="3"/>
  <c r="V467" i="3"/>
  <c r="R468" i="3"/>
  <c r="N469" i="3"/>
  <c r="V469" i="3"/>
  <c r="Q470" i="3"/>
  <c r="L471" i="3"/>
  <c r="T471" i="3"/>
  <c r="O472" i="3"/>
  <c r="J473" i="3"/>
  <c r="R473" i="3"/>
  <c r="M474" i="3"/>
  <c r="U474" i="3"/>
  <c r="P475" i="3"/>
  <c r="K476" i="3"/>
  <c r="S476" i="3"/>
  <c r="N477" i="3"/>
  <c r="V477" i="3"/>
  <c r="Q478" i="3"/>
  <c r="L479" i="3"/>
  <c r="T479" i="3"/>
  <c r="O480" i="3"/>
  <c r="J481" i="3"/>
  <c r="R481" i="3"/>
  <c r="M482" i="3"/>
  <c r="U482" i="3"/>
  <c r="P483" i="3"/>
  <c r="K484" i="3"/>
  <c r="S484" i="3"/>
  <c r="N485" i="3"/>
  <c r="V485" i="3"/>
  <c r="Q486" i="3"/>
  <c r="L487" i="3"/>
  <c r="T487" i="3"/>
  <c r="O488" i="3"/>
  <c r="J489" i="3"/>
  <c r="R489" i="3"/>
  <c r="M490" i="3"/>
  <c r="U490" i="3"/>
  <c r="P491" i="3"/>
  <c r="K492" i="3"/>
  <c r="S492" i="3"/>
  <c r="N493" i="3"/>
  <c r="V493" i="3"/>
  <c r="Q494" i="3"/>
  <c r="L495" i="3"/>
  <c r="T495" i="3"/>
  <c r="O496" i="3"/>
  <c r="J497" i="3"/>
  <c r="R497" i="3"/>
  <c r="M498" i="3"/>
  <c r="U498" i="3"/>
  <c r="P499" i="3"/>
  <c r="K500" i="3"/>
  <c r="S500" i="3"/>
  <c r="N501" i="3"/>
  <c r="V501" i="3"/>
  <c r="Q502" i="3"/>
  <c r="L503" i="3"/>
  <c r="T503" i="3"/>
  <c r="O504" i="3"/>
  <c r="J505" i="3"/>
  <c r="R505" i="3"/>
  <c r="M506" i="3"/>
  <c r="U506" i="3"/>
  <c r="P507" i="3"/>
  <c r="K508" i="3"/>
  <c r="S508" i="3"/>
  <c r="N509" i="3"/>
  <c r="V509" i="3"/>
  <c r="Q510" i="3"/>
  <c r="L511" i="3"/>
  <c r="T511" i="3"/>
  <c r="O512" i="3"/>
  <c r="J513" i="3"/>
  <c r="R513" i="3"/>
  <c r="M514" i="3"/>
  <c r="U514" i="3"/>
  <c r="P515" i="3"/>
  <c r="K516" i="3"/>
  <c r="S516" i="3"/>
  <c r="N517" i="3"/>
  <c r="V517" i="3"/>
  <c r="Q518" i="3"/>
  <c r="L519" i="3"/>
  <c r="T519" i="3"/>
  <c r="O520" i="3"/>
  <c r="J521" i="3"/>
  <c r="R521" i="3"/>
  <c r="M522" i="3"/>
  <c r="U522" i="3"/>
  <c r="P523" i="3"/>
  <c r="K524" i="3"/>
  <c r="S524" i="3"/>
  <c r="N525" i="3"/>
  <c r="V525" i="3"/>
  <c r="Q526" i="3"/>
  <c r="L527" i="3"/>
  <c r="T527" i="3"/>
  <c r="O528" i="3"/>
  <c r="J529" i="3"/>
  <c r="R529" i="3"/>
  <c r="M530" i="3"/>
  <c r="U530" i="3"/>
  <c r="P531" i="3"/>
  <c r="K532" i="3"/>
  <c r="S532" i="3"/>
  <c r="N533" i="3"/>
  <c r="V533" i="3"/>
  <c r="Q534" i="3"/>
  <c r="L535" i="3"/>
  <c r="T535" i="3"/>
  <c r="O536" i="3"/>
  <c r="J537" i="3"/>
  <c r="R537" i="3"/>
  <c r="M538" i="3"/>
  <c r="U538" i="3"/>
  <c r="P539" i="3"/>
  <c r="K540" i="3"/>
  <c r="P218" i="3"/>
  <c r="S334" i="3"/>
  <c r="M368" i="3"/>
  <c r="L393" i="3"/>
  <c r="L406" i="3"/>
  <c r="O416" i="3"/>
  <c r="M426" i="3"/>
  <c r="Q433" i="3"/>
  <c r="P438" i="3"/>
  <c r="U442" i="3"/>
  <c r="V446" i="3"/>
  <c r="T450" i="3"/>
  <c r="R454" i="3"/>
  <c r="S458" i="3"/>
  <c r="S461" i="3"/>
  <c r="P464" i="3"/>
  <c r="N467" i="3"/>
  <c r="J470" i="3"/>
  <c r="P472" i="3"/>
  <c r="V474" i="3"/>
  <c r="O477" i="3"/>
  <c r="U479" i="3"/>
  <c r="N482" i="3"/>
  <c r="T484" i="3"/>
  <c r="M487" i="3"/>
  <c r="S489" i="3"/>
  <c r="L492" i="3"/>
  <c r="R494" i="3"/>
  <c r="K497" i="3"/>
  <c r="Q499" i="3"/>
  <c r="J502" i="3"/>
  <c r="P504" i="3"/>
  <c r="V506" i="3"/>
  <c r="O509" i="3"/>
  <c r="U511" i="3"/>
  <c r="N514" i="3"/>
  <c r="T516" i="3"/>
  <c r="M519" i="3"/>
  <c r="S521" i="3"/>
  <c r="L524" i="3"/>
  <c r="R526" i="3"/>
  <c r="K529" i="3"/>
  <c r="Q531" i="3"/>
  <c r="O533" i="3"/>
  <c r="K535" i="3"/>
  <c r="Q536" i="3"/>
  <c r="T537" i="3"/>
  <c r="J539" i="3"/>
  <c r="M540" i="3"/>
  <c r="N541" i="3"/>
  <c r="O542" i="3"/>
  <c r="M543" i="3"/>
  <c r="N544" i="3"/>
  <c r="L545" i="3"/>
  <c r="M546" i="3"/>
  <c r="N547" i="3"/>
  <c r="L548" i="3"/>
  <c r="M549" i="3"/>
  <c r="K550" i="3"/>
  <c r="L551" i="3"/>
  <c r="L552" i="3"/>
  <c r="V552" i="3"/>
  <c r="S553" i="3"/>
  <c r="R554" i="3"/>
  <c r="N555" i="3"/>
  <c r="V555" i="3"/>
  <c r="Q556" i="3"/>
  <c r="L557" i="3"/>
  <c r="T557" i="3"/>
  <c r="O558" i="3"/>
  <c r="J559" i="3"/>
  <c r="R559" i="3"/>
  <c r="M560" i="3"/>
  <c r="U560" i="3"/>
  <c r="P561" i="3"/>
  <c r="K562" i="3"/>
  <c r="S562" i="3"/>
  <c r="N563" i="3"/>
  <c r="V563" i="3"/>
  <c r="Q564" i="3"/>
  <c r="L565" i="3"/>
  <c r="T565" i="3"/>
  <c r="O566" i="3"/>
  <c r="J567" i="3"/>
  <c r="R567" i="3"/>
  <c r="M568" i="3"/>
  <c r="U568" i="3"/>
  <c r="P569" i="3"/>
  <c r="K570" i="3"/>
  <c r="S570" i="3"/>
  <c r="N571" i="3"/>
  <c r="V571" i="3"/>
  <c r="Q572" i="3"/>
  <c r="L573" i="3"/>
  <c r="T573" i="3"/>
  <c r="O574" i="3"/>
  <c r="J575" i="3"/>
  <c r="R575" i="3"/>
  <c r="M576" i="3"/>
  <c r="U576" i="3"/>
  <c r="P577" i="3"/>
  <c r="K578" i="3"/>
  <c r="S578" i="3"/>
  <c r="N579" i="3"/>
  <c r="V579" i="3"/>
  <c r="Q580" i="3"/>
  <c r="L581" i="3"/>
  <c r="T581" i="3"/>
  <c r="O582" i="3"/>
  <c r="J583" i="3"/>
  <c r="R583" i="3"/>
  <c r="M584" i="3"/>
  <c r="U584" i="3"/>
  <c r="P585" i="3"/>
  <c r="K586" i="3"/>
  <c r="S586" i="3"/>
  <c r="N587" i="3"/>
  <c r="V587" i="3"/>
  <c r="Q588" i="3"/>
  <c r="L589" i="3"/>
  <c r="T589" i="3"/>
  <c r="O590" i="3"/>
  <c r="J591" i="3"/>
  <c r="R591" i="3"/>
  <c r="M592" i="3"/>
  <c r="U592" i="3"/>
  <c r="P593" i="3"/>
  <c r="K594" i="3"/>
  <c r="S594" i="3"/>
  <c r="N595" i="3"/>
  <c r="V595" i="3"/>
  <c r="Q596" i="3"/>
  <c r="L597" i="3"/>
  <c r="T597" i="3"/>
  <c r="O598" i="3"/>
  <c r="J599" i="3"/>
  <c r="R599" i="3"/>
  <c r="M600" i="3"/>
  <c r="U600" i="3"/>
  <c r="P601" i="3"/>
  <c r="K602" i="3"/>
  <c r="S602" i="3"/>
  <c r="N603" i="3"/>
  <c r="V603" i="3"/>
  <c r="Q604" i="3"/>
  <c r="L605" i="3"/>
  <c r="T605" i="3"/>
  <c r="O606" i="3"/>
  <c r="J607" i="3"/>
  <c r="R607" i="3"/>
  <c r="M608" i="3"/>
  <c r="U608" i="3"/>
  <c r="P609" i="3"/>
  <c r="K610" i="3"/>
  <c r="S610" i="3"/>
  <c r="N611" i="3"/>
  <c r="V611" i="3"/>
  <c r="Q612" i="3"/>
  <c r="L613" i="3"/>
  <c r="T613" i="3"/>
  <c r="O614" i="3"/>
  <c r="J615" i="3"/>
  <c r="R615" i="3"/>
  <c r="M616" i="3"/>
  <c r="U616" i="3"/>
  <c r="P617" i="3"/>
  <c r="K618" i="3"/>
  <c r="S618" i="3"/>
  <c r="N619" i="3"/>
  <c r="V619" i="3"/>
  <c r="Q620" i="3"/>
  <c r="L621" i="3"/>
  <c r="T621" i="3"/>
  <c r="O622" i="3"/>
  <c r="J623" i="3"/>
  <c r="R623" i="3"/>
  <c r="M624" i="3"/>
  <c r="U624" i="3"/>
  <c r="P625" i="3"/>
  <c r="V219" i="3"/>
  <c r="L335" i="3"/>
  <c r="R368" i="3"/>
  <c r="M393" i="3"/>
  <c r="M406" i="3"/>
  <c r="P416" i="3"/>
  <c r="N426" i="3"/>
  <c r="R433" i="3"/>
  <c r="Q438" i="3"/>
  <c r="V442" i="3"/>
  <c r="J447" i="3"/>
  <c r="U450" i="3"/>
  <c r="V454" i="3"/>
  <c r="T458" i="3"/>
  <c r="T461" i="3"/>
  <c r="Q464" i="3"/>
  <c r="O467" i="3"/>
  <c r="K470" i="3"/>
  <c r="Q472" i="3"/>
  <c r="J475" i="3"/>
  <c r="P477" i="3"/>
  <c r="V479" i="3"/>
  <c r="O482" i="3"/>
  <c r="U484" i="3"/>
  <c r="N487" i="3"/>
  <c r="T489" i="3"/>
  <c r="M492" i="3"/>
  <c r="S494" i="3"/>
  <c r="L497" i="3"/>
  <c r="R499" i="3"/>
  <c r="K502" i="3"/>
  <c r="Q504" i="3"/>
  <c r="J507" i="3"/>
  <c r="P509" i="3"/>
  <c r="V511" i="3"/>
  <c r="O514" i="3"/>
  <c r="U516" i="3"/>
  <c r="N519" i="3"/>
  <c r="T521" i="3"/>
  <c r="M524" i="3"/>
  <c r="S526" i="3"/>
  <c r="L529" i="3"/>
  <c r="R531" i="3"/>
  <c r="P533" i="3"/>
  <c r="M535" i="3"/>
  <c r="U536" i="3"/>
  <c r="K538" i="3"/>
  <c r="N539" i="3"/>
  <c r="Q540" i="3"/>
  <c r="O541" i="3"/>
  <c r="P542" i="3"/>
  <c r="N543" i="3"/>
  <c r="O544" i="3"/>
  <c r="P545" i="3"/>
  <c r="N546" i="3"/>
  <c r="O547" i="3"/>
  <c r="M548" i="3"/>
  <c r="N549" i="3"/>
  <c r="O550" i="3"/>
  <c r="M551" i="3"/>
  <c r="M552" i="3"/>
  <c r="J553" i="3"/>
  <c r="T553" i="3"/>
  <c r="S554" i="3"/>
  <c r="O555" i="3"/>
  <c r="J556" i="3"/>
  <c r="R556" i="3"/>
  <c r="M557" i="3"/>
  <c r="U557" i="3"/>
  <c r="P558" i="3"/>
  <c r="K559" i="3"/>
  <c r="S559" i="3"/>
  <c r="N560" i="3"/>
  <c r="V560" i="3"/>
  <c r="Q561" i="3"/>
  <c r="L562" i="3"/>
  <c r="T562" i="3"/>
  <c r="O563" i="3"/>
  <c r="J564" i="3"/>
  <c r="R564" i="3"/>
  <c r="M565" i="3"/>
  <c r="U565" i="3"/>
  <c r="P566" i="3"/>
  <c r="K567" i="3"/>
  <c r="S567" i="3"/>
  <c r="N568" i="3"/>
  <c r="V568" i="3"/>
  <c r="Q569" i="3"/>
  <c r="L570" i="3"/>
  <c r="T570" i="3"/>
  <c r="O571" i="3"/>
  <c r="J572" i="3"/>
  <c r="R572" i="3"/>
  <c r="M573" i="3"/>
  <c r="U573" i="3"/>
  <c r="P574" i="3"/>
  <c r="K575" i="3"/>
  <c r="S575" i="3"/>
  <c r="N576" i="3"/>
  <c r="V576" i="3"/>
  <c r="Q577" i="3"/>
  <c r="L578" i="3"/>
  <c r="T578" i="3"/>
  <c r="O579" i="3"/>
  <c r="J580" i="3"/>
  <c r="R580" i="3"/>
  <c r="M581" i="3"/>
  <c r="U581" i="3"/>
  <c r="P582" i="3"/>
  <c r="K583" i="3"/>
  <c r="S583" i="3"/>
  <c r="N584" i="3"/>
  <c r="V584" i="3"/>
  <c r="Q585" i="3"/>
  <c r="L586" i="3"/>
  <c r="T586" i="3"/>
  <c r="O587" i="3"/>
  <c r="J588" i="3"/>
  <c r="R588" i="3"/>
  <c r="M589" i="3"/>
  <c r="U589" i="3"/>
  <c r="P590" i="3"/>
  <c r="K591" i="3"/>
  <c r="S591" i="3"/>
  <c r="N592" i="3"/>
  <c r="V592" i="3"/>
  <c r="Q593" i="3"/>
  <c r="L594" i="3"/>
  <c r="T594" i="3"/>
  <c r="O595" i="3"/>
  <c r="J596" i="3"/>
  <c r="R596" i="3"/>
  <c r="M597" i="3"/>
  <c r="U597" i="3"/>
  <c r="P598" i="3"/>
  <c r="K599" i="3"/>
  <c r="S599" i="3"/>
  <c r="N600" i="3"/>
  <c r="V600" i="3"/>
  <c r="Q601" i="3"/>
  <c r="L602" i="3"/>
  <c r="T602" i="3"/>
  <c r="O603" i="3"/>
  <c r="J604" i="3"/>
  <c r="R604" i="3"/>
  <c r="M605" i="3"/>
  <c r="U605" i="3"/>
  <c r="P606" i="3"/>
  <c r="K607" i="3"/>
  <c r="S607" i="3"/>
  <c r="N608" i="3"/>
  <c r="V608" i="3"/>
  <c r="Q609" i="3"/>
  <c r="L610" i="3"/>
  <c r="T610" i="3"/>
  <c r="O611" i="3"/>
  <c r="J612" i="3"/>
  <c r="R612" i="3"/>
  <c r="M613" i="3"/>
  <c r="U613" i="3"/>
  <c r="P614" i="3"/>
  <c r="K615" i="3"/>
  <c r="S615" i="3"/>
  <c r="N616" i="3"/>
  <c r="V616" i="3"/>
  <c r="Q617" i="3"/>
  <c r="L618" i="3"/>
  <c r="T618" i="3"/>
  <c r="O619" i="3"/>
  <c r="J620" i="3"/>
  <c r="R620" i="3"/>
  <c r="M621" i="3"/>
  <c r="U621" i="3"/>
  <c r="P622" i="3"/>
  <c r="K623" i="3"/>
  <c r="S623" i="3"/>
  <c r="N624" i="3"/>
  <c r="V624" i="3"/>
  <c r="Q625" i="3"/>
  <c r="L626" i="3"/>
  <c r="T626" i="3"/>
  <c r="O627" i="3"/>
  <c r="J628" i="3"/>
  <c r="Q262" i="3"/>
  <c r="J347" i="3"/>
  <c r="V374" i="3"/>
  <c r="Q396" i="3"/>
  <c r="V408" i="3"/>
  <c r="U418" i="3"/>
  <c r="S428" i="3"/>
  <c r="T434" i="3"/>
  <c r="S439" i="3"/>
  <c r="V443" i="3"/>
  <c r="T447" i="3"/>
  <c r="U451" i="3"/>
  <c r="S455" i="3"/>
  <c r="Q459" i="3"/>
  <c r="O462" i="3"/>
  <c r="L465" i="3"/>
  <c r="J468" i="3"/>
  <c r="R470" i="3"/>
  <c r="K473" i="3"/>
  <c r="Q475" i="3"/>
  <c r="J478" i="3"/>
  <c r="P480" i="3"/>
  <c r="V482" i="3"/>
  <c r="O485" i="3"/>
  <c r="U487" i="3"/>
  <c r="N490" i="3"/>
  <c r="T492" i="3"/>
  <c r="M495" i="3"/>
  <c r="S497" i="3"/>
  <c r="L500" i="3"/>
  <c r="R502" i="3"/>
  <c r="K505" i="3"/>
  <c r="Q507" i="3"/>
  <c r="J510" i="3"/>
  <c r="P512" i="3"/>
  <c r="V514" i="3"/>
  <c r="O517" i="3"/>
  <c r="U519" i="3"/>
  <c r="N522" i="3"/>
  <c r="T524" i="3"/>
  <c r="M527" i="3"/>
  <c r="S529" i="3"/>
  <c r="L532" i="3"/>
  <c r="U533" i="3"/>
  <c r="N535" i="3"/>
  <c r="V536" i="3"/>
  <c r="L538" i="3"/>
  <c r="O539" i="3"/>
  <c r="R540" i="3"/>
  <c r="P541" i="3"/>
  <c r="Q542" i="3"/>
  <c r="R543" i="3"/>
  <c r="P544" i="3"/>
  <c r="Q545" i="3"/>
  <c r="O546" i="3"/>
  <c r="P547" i="3"/>
  <c r="Q548" i="3"/>
  <c r="O549" i="3"/>
  <c r="P550" i="3"/>
  <c r="N551" i="3"/>
  <c r="N552" i="3"/>
  <c r="K553" i="3"/>
  <c r="J554" i="3"/>
  <c r="T554" i="3"/>
  <c r="P555" i="3"/>
  <c r="K556" i="3"/>
  <c r="S556" i="3"/>
  <c r="N557" i="3"/>
  <c r="V557" i="3"/>
  <c r="Q558" i="3"/>
  <c r="L559" i="3"/>
  <c r="T559" i="3"/>
  <c r="O560" i="3"/>
  <c r="J561" i="3"/>
  <c r="R561" i="3"/>
  <c r="M562" i="3"/>
  <c r="U562" i="3"/>
  <c r="P563" i="3"/>
  <c r="K564" i="3"/>
  <c r="S564" i="3"/>
  <c r="N565" i="3"/>
  <c r="V565" i="3"/>
  <c r="Q566" i="3"/>
  <c r="L567" i="3"/>
  <c r="T567" i="3"/>
  <c r="O568" i="3"/>
  <c r="J569" i="3"/>
  <c r="R569" i="3"/>
  <c r="M570" i="3"/>
  <c r="U570" i="3"/>
  <c r="P571" i="3"/>
  <c r="K572" i="3"/>
  <c r="S572" i="3"/>
  <c r="N573" i="3"/>
  <c r="V573" i="3"/>
  <c r="Q574" i="3"/>
  <c r="L575" i="3"/>
  <c r="T575" i="3"/>
  <c r="O576" i="3"/>
  <c r="J577" i="3"/>
  <c r="R577" i="3"/>
  <c r="M578" i="3"/>
  <c r="U578" i="3"/>
  <c r="P579" i="3"/>
  <c r="K580" i="3"/>
  <c r="S580" i="3"/>
  <c r="N581" i="3"/>
  <c r="V581" i="3"/>
  <c r="Q582" i="3"/>
  <c r="L583" i="3"/>
  <c r="T583" i="3"/>
  <c r="O584" i="3"/>
  <c r="J585" i="3"/>
  <c r="R585" i="3"/>
  <c r="M586" i="3"/>
  <c r="U586" i="3"/>
  <c r="P587" i="3"/>
  <c r="K588" i="3"/>
  <c r="S588" i="3"/>
  <c r="N589" i="3"/>
  <c r="V589" i="3"/>
  <c r="Q590" i="3"/>
  <c r="L591" i="3"/>
  <c r="T591" i="3"/>
  <c r="O592" i="3"/>
  <c r="J593" i="3"/>
  <c r="R593" i="3"/>
  <c r="M594" i="3"/>
  <c r="U594" i="3"/>
  <c r="P595" i="3"/>
  <c r="K596" i="3"/>
  <c r="S596" i="3"/>
  <c r="N597" i="3"/>
  <c r="V597" i="3"/>
  <c r="Q598" i="3"/>
  <c r="L599" i="3"/>
  <c r="T599" i="3"/>
  <c r="O600" i="3"/>
  <c r="J601" i="3"/>
  <c r="R601" i="3"/>
  <c r="M602" i="3"/>
  <c r="U602" i="3"/>
  <c r="P603" i="3"/>
  <c r="K604" i="3"/>
  <c r="S604" i="3"/>
  <c r="N605" i="3"/>
  <c r="V605" i="3"/>
  <c r="Q606" i="3"/>
  <c r="L607" i="3"/>
  <c r="T607" i="3"/>
  <c r="O608" i="3"/>
  <c r="J609" i="3"/>
  <c r="R609" i="3"/>
  <c r="M610" i="3"/>
  <c r="U610" i="3"/>
  <c r="P611" i="3"/>
  <c r="K612" i="3"/>
  <c r="S612" i="3"/>
  <c r="N613" i="3"/>
  <c r="V613" i="3"/>
  <c r="Q614" i="3"/>
  <c r="L615" i="3"/>
  <c r="T615" i="3"/>
  <c r="O616" i="3"/>
  <c r="J617" i="3"/>
  <c r="R617" i="3"/>
  <c r="M618" i="3"/>
  <c r="U618" i="3"/>
  <c r="P619" i="3"/>
  <c r="K620" i="3"/>
  <c r="S620" i="3"/>
  <c r="N621" i="3"/>
  <c r="V621" i="3"/>
  <c r="Q622" i="3"/>
  <c r="L623" i="3"/>
  <c r="T623" i="3"/>
  <c r="O624" i="3"/>
  <c r="J625" i="3"/>
  <c r="R625" i="3"/>
  <c r="M626" i="3"/>
  <c r="U626" i="3"/>
  <c r="P627" i="3"/>
  <c r="R263" i="3"/>
  <c r="Q347" i="3"/>
  <c r="J375" i="3"/>
  <c r="R396" i="3"/>
  <c r="J409" i="3"/>
  <c r="V418" i="3"/>
  <c r="T428" i="3"/>
  <c r="U434" i="3"/>
  <c r="T439" i="3"/>
  <c r="J444" i="3"/>
  <c r="U447" i="3"/>
  <c r="V451" i="3"/>
  <c r="T455" i="3"/>
  <c r="R459" i="3"/>
  <c r="P462" i="3"/>
  <c r="N465" i="3"/>
  <c r="K468" i="3"/>
  <c r="S470" i="3"/>
  <c r="L473" i="3"/>
  <c r="R475" i="3"/>
  <c r="K478" i="3"/>
  <c r="Q480" i="3"/>
  <c r="J483" i="3"/>
  <c r="P485" i="3"/>
  <c r="V487" i="3"/>
  <c r="O490" i="3"/>
  <c r="U492" i="3"/>
  <c r="N495" i="3"/>
  <c r="T497" i="3"/>
  <c r="M500" i="3"/>
  <c r="S502" i="3"/>
  <c r="L505" i="3"/>
  <c r="R507" i="3"/>
  <c r="K510" i="3"/>
  <c r="Q512" i="3"/>
  <c r="J515" i="3"/>
  <c r="P517" i="3"/>
  <c r="V519" i="3"/>
  <c r="O522" i="3"/>
  <c r="U524" i="3"/>
  <c r="N527" i="3"/>
  <c r="T529" i="3"/>
  <c r="M532" i="3"/>
  <c r="J534" i="3"/>
  <c r="S535" i="3"/>
  <c r="K537" i="3"/>
  <c r="N538" i="3"/>
  <c r="Q539" i="3"/>
  <c r="S540" i="3"/>
  <c r="T541" i="3"/>
  <c r="R542" i="3"/>
  <c r="S543" i="3"/>
  <c r="Q544" i="3"/>
  <c r="R545" i="3"/>
  <c r="S546" i="3"/>
  <c r="Q547" i="3"/>
  <c r="R548" i="3"/>
  <c r="P549" i="3"/>
  <c r="Q550" i="3"/>
  <c r="R551" i="3"/>
  <c r="O552" i="3"/>
  <c r="L553" i="3"/>
  <c r="K554" i="3"/>
  <c r="U554" i="3"/>
  <c r="Q555" i="3"/>
  <c r="L556" i="3"/>
  <c r="T556" i="3"/>
  <c r="O557" i="3"/>
  <c r="J558" i="3"/>
  <c r="R558" i="3"/>
  <c r="M559" i="3"/>
  <c r="U559" i="3"/>
  <c r="P560" i="3"/>
  <c r="K561" i="3"/>
  <c r="S561" i="3"/>
  <c r="N562" i="3"/>
  <c r="V562" i="3"/>
  <c r="Q563" i="3"/>
  <c r="L564" i="3"/>
  <c r="T564" i="3"/>
  <c r="O565" i="3"/>
  <c r="J566" i="3"/>
  <c r="R566" i="3"/>
  <c r="M567" i="3"/>
  <c r="U567" i="3"/>
  <c r="P568" i="3"/>
  <c r="K569" i="3"/>
  <c r="S569" i="3"/>
  <c r="N570" i="3"/>
  <c r="V570" i="3"/>
  <c r="Q571" i="3"/>
  <c r="L572" i="3"/>
  <c r="T572" i="3"/>
  <c r="O573" i="3"/>
  <c r="J574" i="3"/>
  <c r="R574" i="3"/>
  <c r="M575" i="3"/>
  <c r="U575" i="3"/>
  <c r="P576" i="3"/>
  <c r="K577" i="3"/>
  <c r="S577" i="3"/>
  <c r="N578" i="3"/>
  <c r="V578" i="3"/>
  <c r="Q579" i="3"/>
  <c r="L580" i="3"/>
  <c r="T580" i="3"/>
  <c r="O581" i="3"/>
  <c r="J582" i="3"/>
  <c r="R582" i="3"/>
  <c r="M583" i="3"/>
  <c r="U583" i="3"/>
  <c r="P584" i="3"/>
  <c r="K585" i="3"/>
  <c r="S585" i="3"/>
  <c r="N586" i="3"/>
  <c r="V586" i="3"/>
  <c r="Q587" i="3"/>
  <c r="L588" i="3"/>
  <c r="T588" i="3"/>
  <c r="O589" i="3"/>
  <c r="J590" i="3"/>
  <c r="R590" i="3"/>
  <c r="M591" i="3"/>
  <c r="U591" i="3"/>
  <c r="P592" i="3"/>
  <c r="K593" i="3"/>
  <c r="S593" i="3"/>
  <c r="N594" i="3"/>
  <c r="V594" i="3"/>
  <c r="Q595" i="3"/>
  <c r="L596" i="3"/>
  <c r="T596" i="3"/>
  <c r="O597" i="3"/>
  <c r="J598" i="3"/>
  <c r="R598" i="3"/>
  <c r="M599" i="3"/>
  <c r="U599" i="3"/>
  <c r="P600" i="3"/>
  <c r="K601" i="3"/>
  <c r="S601" i="3"/>
  <c r="N602" i="3"/>
  <c r="V602" i="3"/>
  <c r="Q603" i="3"/>
  <c r="L604" i="3"/>
  <c r="T604" i="3"/>
  <c r="O605" i="3"/>
  <c r="J606" i="3"/>
  <c r="R606" i="3"/>
  <c r="M607" i="3"/>
  <c r="U607" i="3"/>
  <c r="P608" i="3"/>
  <c r="K609" i="3"/>
  <c r="S609" i="3"/>
  <c r="N610" i="3"/>
  <c r="V610" i="3"/>
  <c r="Q611" i="3"/>
  <c r="L612" i="3"/>
  <c r="U294" i="3"/>
  <c r="N355" i="3"/>
  <c r="S381" i="3"/>
  <c r="V399" i="3"/>
  <c r="Q411" i="3"/>
  <c r="O421" i="3"/>
  <c r="Q430" i="3"/>
  <c r="K436" i="3"/>
  <c r="J441" i="3"/>
  <c r="K445" i="3"/>
  <c r="V448" i="3"/>
  <c r="T452" i="3"/>
  <c r="U456" i="3"/>
  <c r="O460" i="3"/>
  <c r="L463" i="3"/>
  <c r="J466" i="3"/>
  <c r="T468" i="3"/>
  <c r="N471" i="3"/>
  <c r="T473" i="3"/>
  <c r="M476" i="3"/>
  <c r="S478" i="3"/>
  <c r="L481" i="3"/>
  <c r="R483" i="3"/>
  <c r="K486" i="3"/>
  <c r="Q488" i="3"/>
  <c r="J491" i="3"/>
  <c r="P493" i="3"/>
  <c r="V495" i="3"/>
  <c r="O498" i="3"/>
  <c r="U500" i="3"/>
  <c r="N503" i="3"/>
  <c r="T505" i="3"/>
  <c r="M508" i="3"/>
  <c r="S510" i="3"/>
  <c r="L513" i="3"/>
  <c r="R515" i="3"/>
  <c r="K518" i="3"/>
  <c r="Q520" i="3"/>
  <c r="J523" i="3"/>
  <c r="P525" i="3"/>
  <c r="V527" i="3"/>
  <c r="O530" i="3"/>
  <c r="T532" i="3"/>
  <c r="P534" i="3"/>
  <c r="V535" i="3"/>
  <c r="P537" i="3"/>
  <c r="S538" i="3"/>
  <c r="V539" i="3"/>
  <c r="U540" i="3"/>
  <c r="V541" i="3"/>
  <c r="J543" i="3"/>
  <c r="U543" i="3"/>
  <c r="V544" i="3"/>
  <c r="T545" i="3"/>
  <c r="U546" i="3"/>
  <c r="V547" i="3"/>
  <c r="T548" i="3"/>
  <c r="U549" i="3"/>
  <c r="S550" i="3"/>
  <c r="T551" i="3"/>
  <c r="Q552" i="3"/>
  <c r="P553" i="3"/>
  <c r="M554" i="3"/>
  <c r="J555" i="3"/>
  <c r="S555" i="3"/>
  <c r="N556" i="3"/>
  <c r="V556" i="3"/>
  <c r="Q557" i="3"/>
  <c r="L558" i="3"/>
  <c r="T558" i="3"/>
  <c r="O559" i="3"/>
  <c r="J560" i="3"/>
  <c r="R560" i="3"/>
  <c r="M561" i="3"/>
  <c r="U561" i="3"/>
  <c r="P562" i="3"/>
  <c r="K563" i="3"/>
  <c r="S563" i="3"/>
  <c r="N564" i="3"/>
  <c r="V564" i="3"/>
  <c r="Q565" i="3"/>
  <c r="L566" i="3"/>
  <c r="T566" i="3"/>
  <c r="O567" i="3"/>
  <c r="J568" i="3"/>
  <c r="R568" i="3"/>
  <c r="M569" i="3"/>
  <c r="U569" i="3"/>
  <c r="P570" i="3"/>
  <c r="K571" i="3"/>
  <c r="S571" i="3"/>
  <c r="N572" i="3"/>
  <c r="V572" i="3"/>
  <c r="Q573" i="3"/>
  <c r="L574" i="3"/>
  <c r="T574" i="3"/>
  <c r="O575" i="3"/>
  <c r="J576" i="3"/>
  <c r="R576" i="3"/>
  <c r="M577" i="3"/>
  <c r="U577" i="3"/>
  <c r="P578" i="3"/>
  <c r="K579" i="3"/>
  <c r="S579" i="3"/>
  <c r="N580" i="3"/>
  <c r="V580" i="3"/>
  <c r="Q581" i="3"/>
  <c r="L582" i="3"/>
  <c r="T582" i="3"/>
  <c r="O583" i="3"/>
  <c r="J584" i="3"/>
  <c r="R584" i="3"/>
  <c r="M585" i="3"/>
  <c r="U585" i="3"/>
  <c r="P586" i="3"/>
  <c r="K587" i="3"/>
  <c r="S587" i="3"/>
  <c r="N588" i="3"/>
  <c r="V588" i="3"/>
  <c r="Q589" i="3"/>
  <c r="L590" i="3"/>
  <c r="T590" i="3"/>
  <c r="O591" i="3"/>
  <c r="J592" i="3"/>
  <c r="R592" i="3"/>
  <c r="M593" i="3"/>
  <c r="U593" i="3"/>
  <c r="P594" i="3"/>
  <c r="K595" i="3"/>
  <c r="S595" i="3"/>
  <c r="N596" i="3"/>
  <c r="V596" i="3"/>
  <c r="Q597" i="3"/>
  <c r="L598" i="3"/>
  <c r="T598" i="3"/>
  <c r="O599" i="3"/>
  <c r="J600" i="3"/>
  <c r="R600" i="3"/>
  <c r="M601" i="3"/>
  <c r="U601" i="3"/>
  <c r="P602" i="3"/>
  <c r="K603" i="3"/>
  <c r="S603" i="3"/>
  <c r="N604" i="3"/>
  <c r="V604" i="3"/>
  <c r="Q605" i="3"/>
  <c r="L606" i="3"/>
  <c r="T606" i="3"/>
  <c r="O607" i="3"/>
  <c r="J608" i="3"/>
  <c r="R608" i="3"/>
  <c r="M609" i="3"/>
  <c r="U609" i="3"/>
  <c r="P610" i="3"/>
  <c r="K611" i="3"/>
  <c r="S611" i="3"/>
  <c r="N612" i="3"/>
  <c r="V612" i="3"/>
  <c r="Q613" i="3"/>
  <c r="L614" i="3"/>
  <c r="T614" i="3"/>
  <c r="O615" i="3"/>
  <c r="J616" i="3"/>
  <c r="R616" i="3"/>
  <c r="M617" i="3"/>
  <c r="U617" i="3"/>
  <c r="P618" i="3"/>
  <c r="K619" i="3"/>
  <c r="S619" i="3"/>
  <c r="N620" i="3"/>
  <c r="V620" i="3"/>
  <c r="Q621" i="3"/>
  <c r="L622" i="3"/>
  <c r="T622" i="3"/>
  <c r="O623" i="3"/>
  <c r="J624" i="3"/>
  <c r="R624" i="3"/>
  <c r="M625" i="3"/>
  <c r="U625" i="3"/>
  <c r="P626" i="3"/>
  <c r="K627" i="3"/>
  <c r="S627" i="3"/>
  <c r="J315" i="3"/>
  <c r="U361" i="3"/>
  <c r="V387" i="3"/>
  <c r="K403" i="3"/>
  <c r="V413" i="3"/>
  <c r="T423" i="3"/>
  <c r="U431" i="3"/>
  <c r="M437" i="3"/>
  <c r="J442" i="3"/>
  <c r="U445" i="3"/>
  <c r="S449" i="3"/>
  <c r="T453" i="3"/>
  <c r="R457" i="3"/>
  <c r="J461" i="3"/>
  <c r="T463" i="3"/>
  <c r="R466" i="3"/>
  <c r="O469" i="3"/>
  <c r="U471" i="3"/>
  <c r="N474" i="3"/>
  <c r="T476" i="3"/>
  <c r="M479" i="3"/>
  <c r="S481" i="3"/>
  <c r="L484" i="3"/>
  <c r="R486" i="3"/>
  <c r="K489" i="3"/>
  <c r="Q491" i="3"/>
  <c r="J494" i="3"/>
  <c r="P496" i="3"/>
  <c r="V498" i="3"/>
  <c r="O501" i="3"/>
  <c r="U503" i="3"/>
  <c r="N506" i="3"/>
  <c r="T508" i="3"/>
  <c r="M511" i="3"/>
  <c r="S513" i="3"/>
  <c r="L516" i="3"/>
  <c r="R518" i="3"/>
  <c r="K521" i="3"/>
  <c r="Q523" i="3"/>
  <c r="J526" i="3"/>
  <c r="P528" i="3"/>
  <c r="V530" i="3"/>
  <c r="U532" i="3"/>
  <c r="R534" i="3"/>
  <c r="N536" i="3"/>
  <c r="Q537" i="3"/>
  <c r="T538" i="3"/>
  <c r="J540" i="3"/>
  <c r="L541" i="3"/>
  <c r="J542" i="3"/>
  <c r="K543" i="3"/>
  <c r="V543" i="3"/>
  <c r="J545" i="3"/>
  <c r="K546" i="3"/>
  <c r="V546" i="3"/>
  <c r="J548" i="3"/>
  <c r="U548" i="3"/>
  <c r="V549" i="3"/>
  <c r="J551" i="3"/>
  <c r="U551" i="3"/>
  <c r="T552" i="3"/>
  <c r="Q553" i="3"/>
  <c r="N554" i="3"/>
  <c r="K555" i="3"/>
  <c r="T555" i="3"/>
  <c r="O556" i="3"/>
  <c r="J557" i="3"/>
  <c r="R557" i="3"/>
  <c r="M558" i="3"/>
  <c r="U558" i="3"/>
  <c r="P559" i="3"/>
  <c r="K560" i="3"/>
  <c r="S560" i="3"/>
  <c r="N561" i="3"/>
  <c r="V561" i="3"/>
  <c r="Q562" i="3"/>
  <c r="L563" i="3"/>
  <c r="T563" i="3"/>
  <c r="O564" i="3"/>
  <c r="J565" i="3"/>
  <c r="R565" i="3"/>
  <c r="M566" i="3"/>
  <c r="U566" i="3"/>
  <c r="P567" i="3"/>
  <c r="K568" i="3"/>
  <c r="S568" i="3"/>
  <c r="N569" i="3"/>
  <c r="V569" i="3"/>
  <c r="Q570" i="3"/>
  <c r="L571" i="3"/>
  <c r="T571" i="3"/>
  <c r="O572" i="3"/>
  <c r="J573" i="3"/>
  <c r="R573" i="3"/>
  <c r="M574" i="3"/>
  <c r="U574" i="3"/>
  <c r="P575" i="3"/>
  <c r="K576" i="3"/>
  <c r="S576" i="3"/>
  <c r="N577" i="3"/>
  <c r="V577" i="3"/>
  <c r="Q578" i="3"/>
  <c r="L579" i="3"/>
  <c r="T579" i="3"/>
  <c r="O580" i="3"/>
  <c r="J581" i="3"/>
  <c r="R581" i="3"/>
  <c r="M582" i="3"/>
  <c r="U582" i="3"/>
  <c r="P583" i="3"/>
  <c r="K584" i="3"/>
  <c r="S584" i="3"/>
  <c r="N585" i="3"/>
  <c r="V585" i="3"/>
  <c r="Q586" i="3"/>
  <c r="L587" i="3"/>
  <c r="T587" i="3"/>
  <c r="O588" i="3"/>
  <c r="J589" i="3"/>
  <c r="R589" i="3"/>
  <c r="M590" i="3"/>
  <c r="U590" i="3"/>
  <c r="P591" i="3"/>
  <c r="K592" i="3"/>
  <c r="S592" i="3"/>
  <c r="N593" i="3"/>
  <c r="V593" i="3"/>
  <c r="Q594" i="3"/>
  <c r="L595" i="3"/>
  <c r="T595" i="3"/>
  <c r="O596" i="3"/>
  <c r="J597" i="3"/>
  <c r="R597" i="3"/>
  <c r="M598" i="3"/>
  <c r="U598" i="3"/>
  <c r="P599" i="3"/>
  <c r="K600" i="3"/>
  <c r="S600" i="3"/>
  <c r="N601" i="3"/>
  <c r="V601" i="3"/>
  <c r="Q602" i="3"/>
  <c r="L603" i="3"/>
  <c r="T603" i="3"/>
  <c r="O604" i="3"/>
  <c r="J605" i="3"/>
  <c r="R605" i="3"/>
  <c r="M606" i="3"/>
  <c r="U606" i="3"/>
  <c r="P607" i="3"/>
  <c r="K608" i="3"/>
  <c r="S608" i="3"/>
  <c r="N609" i="3"/>
  <c r="V609" i="3"/>
  <c r="Q610" i="3"/>
  <c r="L611" i="3"/>
  <c r="T611" i="3"/>
  <c r="O612" i="3"/>
  <c r="J613" i="3"/>
  <c r="R613" i="3"/>
  <c r="M614" i="3"/>
  <c r="U614" i="3"/>
  <c r="P615" i="3"/>
  <c r="K616" i="3"/>
  <c r="S616" i="3"/>
  <c r="N617" i="3"/>
  <c r="V617" i="3"/>
  <c r="Q618" i="3"/>
  <c r="L619" i="3"/>
  <c r="T619" i="3"/>
  <c r="O620" i="3"/>
  <c r="N294" i="3"/>
  <c r="P411" i="3"/>
  <c r="V440" i="3"/>
  <c r="T456" i="3"/>
  <c r="S468" i="3"/>
  <c r="R478" i="3"/>
  <c r="P488" i="3"/>
  <c r="N498" i="3"/>
  <c r="L508" i="3"/>
  <c r="J518" i="3"/>
  <c r="U527" i="3"/>
  <c r="U535" i="3"/>
  <c r="T540" i="3"/>
  <c r="U544" i="3"/>
  <c r="S548" i="3"/>
  <c r="P552" i="3"/>
  <c r="R555" i="3"/>
  <c r="K558" i="3"/>
  <c r="Q560" i="3"/>
  <c r="J563" i="3"/>
  <c r="P565" i="3"/>
  <c r="V567" i="3"/>
  <c r="O570" i="3"/>
  <c r="U572" i="3"/>
  <c r="N575" i="3"/>
  <c r="T577" i="3"/>
  <c r="M580" i="3"/>
  <c r="S582" i="3"/>
  <c r="L585" i="3"/>
  <c r="R587" i="3"/>
  <c r="K590" i="3"/>
  <c r="Q592" i="3"/>
  <c r="J595" i="3"/>
  <c r="P597" i="3"/>
  <c r="V599" i="3"/>
  <c r="O602" i="3"/>
  <c r="U604" i="3"/>
  <c r="N607" i="3"/>
  <c r="T609" i="3"/>
  <c r="M612" i="3"/>
  <c r="J614" i="3"/>
  <c r="Q615" i="3"/>
  <c r="L617" i="3"/>
  <c r="V618" i="3"/>
  <c r="P620" i="3"/>
  <c r="S621" i="3"/>
  <c r="V622" i="3"/>
  <c r="L624" i="3"/>
  <c r="O625" i="3"/>
  <c r="Q626" i="3"/>
  <c r="Q627" i="3"/>
  <c r="N628" i="3"/>
  <c r="V628" i="3"/>
  <c r="Q629" i="3"/>
  <c r="L630" i="3"/>
  <c r="T630" i="3"/>
  <c r="O631" i="3"/>
  <c r="J632" i="3"/>
  <c r="R632" i="3"/>
  <c r="M633" i="3"/>
  <c r="U633" i="3"/>
  <c r="P634" i="3"/>
  <c r="K635" i="3"/>
  <c r="S635" i="3"/>
  <c r="N636" i="3"/>
  <c r="V636" i="3"/>
  <c r="Q637" i="3"/>
  <c r="L638" i="3"/>
  <c r="T638" i="3"/>
  <c r="O639" i="3"/>
  <c r="J640" i="3"/>
  <c r="R640" i="3"/>
  <c r="M641" i="3"/>
  <c r="U641" i="3"/>
  <c r="P642" i="3"/>
  <c r="K643" i="3"/>
  <c r="S643" i="3"/>
  <c r="N644" i="3"/>
  <c r="V644" i="3"/>
  <c r="Q645" i="3"/>
  <c r="L646" i="3"/>
  <c r="T646" i="3"/>
  <c r="O647" i="3"/>
  <c r="J648" i="3"/>
  <c r="R648" i="3"/>
  <c r="M649" i="3"/>
  <c r="U649" i="3"/>
  <c r="P650" i="3"/>
  <c r="K651" i="3"/>
  <c r="S651" i="3"/>
  <c r="N652" i="3"/>
  <c r="V652" i="3"/>
  <c r="Q653" i="3"/>
  <c r="L654" i="3"/>
  <c r="T654" i="3"/>
  <c r="O655" i="3"/>
  <c r="J656" i="3"/>
  <c r="R656" i="3"/>
  <c r="M657" i="3"/>
  <c r="U657" i="3"/>
  <c r="P658" i="3"/>
  <c r="K659" i="3"/>
  <c r="S659" i="3"/>
  <c r="N660" i="3"/>
  <c r="V660" i="3"/>
  <c r="Q661" i="3"/>
  <c r="L662" i="3"/>
  <c r="P315" i="3"/>
  <c r="J414" i="3"/>
  <c r="K442" i="3"/>
  <c r="S457" i="3"/>
  <c r="P469" i="3"/>
  <c r="N479" i="3"/>
  <c r="L489" i="3"/>
  <c r="J499" i="3"/>
  <c r="U508" i="3"/>
  <c r="S518" i="3"/>
  <c r="Q528" i="3"/>
  <c r="P536" i="3"/>
  <c r="M541" i="3"/>
  <c r="K545" i="3"/>
  <c r="L549" i="3"/>
  <c r="U552" i="3"/>
  <c r="U555" i="3"/>
  <c r="N558" i="3"/>
  <c r="T560" i="3"/>
  <c r="M563" i="3"/>
  <c r="S565" i="3"/>
  <c r="L568" i="3"/>
  <c r="R570" i="3"/>
  <c r="K573" i="3"/>
  <c r="Q575" i="3"/>
  <c r="J578" i="3"/>
  <c r="P580" i="3"/>
  <c r="V582" i="3"/>
  <c r="O585" i="3"/>
  <c r="U587" i="3"/>
  <c r="N590" i="3"/>
  <c r="T592" i="3"/>
  <c r="M595" i="3"/>
  <c r="S597" i="3"/>
  <c r="L600" i="3"/>
  <c r="R602" i="3"/>
  <c r="K605" i="3"/>
  <c r="Q607" i="3"/>
  <c r="J610" i="3"/>
  <c r="P612" i="3"/>
  <c r="K614" i="3"/>
  <c r="U615" i="3"/>
  <c r="O617" i="3"/>
  <c r="J619" i="3"/>
  <c r="T620" i="3"/>
  <c r="J622" i="3"/>
  <c r="M623" i="3"/>
  <c r="P624" i="3"/>
  <c r="S625" i="3"/>
  <c r="R626" i="3"/>
  <c r="R627" i="3"/>
  <c r="O628" i="3"/>
  <c r="J629" i="3"/>
  <c r="R629" i="3"/>
  <c r="M630" i="3"/>
  <c r="U630" i="3"/>
  <c r="P631" i="3"/>
  <c r="K632" i="3"/>
  <c r="S632" i="3"/>
  <c r="N633" i="3"/>
  <c r="V633" i="3"/>
  <c r="Q634" i="3"/>
  <c r="L635" i="3"/>
  <c r="T635" i="3"/>
  <c r="O636" i="3"/>
  <c r="J637" i="3"/>
  <c r="R637" i="3"/>
  <c r="M638" i="3"/>
  <c r="U638" i="3"/>
  <c r="P639" i="3"/>
  <c r="K640" i="3"/>
  <c r="S640" i="3"/>
  <c r="N641" i="3"/>
  <c r="V641" i="3"/>
  <c r="Q642" i="3"/>
  <c r="L643" i="3"/>
  <c r="T643" i="3"/>
  <c r="O644" i="3"/>
  <c r="J645" i="3"/>
  <c r="R645" i="3"/>
  <c r="M646" i="3"/>
  <c r="U646" i="3"/>
  <c r="P647" i="3"/>
  <c r="K648" i="3"/>
  <c r="S648" i="3"/>
  <c r="N649" i="3"/>
  <c r="V649" i="3"/>
  <c r="Q650" i="3"/>
  <c r="L651" i="3"/>
  <c r="T651" i="3"/>
  <c r="O652" i="3"/>
  <c r="J653" i="3"/>
  <c r="R653" i="3"/>
  <c r="M654" i="3"/>
  <c r="U654" i="3"/>
  <c r="P655" i="3"/>
  <c r="K656" i="3"/>
  <c r="S656" i="3"/>
  <c r="N657" i="3"/>
  <c r="V657" i="3"/>
  <c r="Q658" i="3"/>
  <c r="L659" i="3"/>
  <c r="T659" i="3"/>
  <c r="O660" i="3"/>
  <c r="J661" i="3"/>
  <c r="R661" i="3"/>
  <c r="M355" i="3"/>
  <c r="N421" i="3"/>
  <c r="T444" i="3"/>
  <c r="M460" i="3"/>
  <c r="M471" i="3"/>
  <c r="K481" i="3"/>
  <c r="V490" i="3"/>
  <c r="T500" i="3"/>
  <c r="R510" i="3"/>
  <c r="P520" i="3"/>
  <c r="N530" i="3"/>
  <c r="L537" i="3"/>
  <c r="U541" i="3"/>
  <c r="S545" i="3"/>
  <c r="T549" i="3"/>
  <c r="O553" i="3"/>
  <c r="M556" i="3"/>
  <c r="S558" i="3"/>
  <c r="L561" i="3"/>
  <c r="R563" i="3"/>
  <c r="K566" i="3"/>
  <c r="Q568" i="3"/>
  <c r="J571" i="3"/>
  <c r="P573" i="3"/>
  <c r="V575" i="3"/>
  <c r="O578" i="3"/>
  <c r="U580" i="3"/>
  <c r="N583" i="3"/>
  <c r="T585" i="3"/>
  <c r="M588" i="3"/>
  <c r="S590" i="3"/>
  <c r="L593" i="3"/>
  <c r="R595" i="3"/>
  <c r="K598" i="3"/>
  <c r="Q600" i="3"/>
  <c r="J603" i="3"/>
  <c r="P605" i="3"/>
  <c r="V607" i="3"/>
  <c r="O610" i="3"/>
  <c r="T612" i="3"/>
  <c r="N614" i="3"/>
  <c r="V615" i="3"/>
  <c r="S617" i="3"/>
  <c r="M619" i="3"/>
  <c r="U620" i="3"/>
  <c r="K622" i="3"/>
  <c r="N623" i="3"/>
  <c r="Q624" i="3"/>
  <c r="T625" i="3"/>
  <c r="S626" i="3"/>
  <c r="T627" i="3"/>
  <c r="P628" i="3"/>
  <c r="K629" i="3"/>
  <c r="S629" i="3"/>
  <c r="N630" i="3"/>
  <c r="V630" i="3"/>
  <c r="Q631" i="3"/>
  <c r="L632" i="3"/>
  <c r="T632" i="3"/>
  <c r="O633" i="3"/>
  <c r="J634" i="3"/>
  <c r="R634" i="3"/>
  <c r="M635" i="3"/>
  <c r="U635" i="3"/>
  <c r="P636" i="3"/>
  <c r="K637" i="3"/>
  <c r="S637" i="3"/>
  <c r="N638" i="3"/>
  <c r="V638" i="3"/>
  <c r="Q639" i="3"/>
  <c r="L640" i="3"/>
  <c r="T640" i="3"/>
  <c r="O641" i="3"/>
  <c r="J642" i="3"/>
  <c r="R642" i="3"/>
  <c r="M643" i="3"/>
  <c r="U643" i="3"/>
  <c r="P644" i="3"/>
  <c r="K645" i="3"/>
  <c r="S645" i="3"/>
  <c r="N646" i="3"/>
  <c r="V646" i="3"/>
  <c r="Q647" i="3"/>
  <c r="L648" i="3"/>
  <c r="T648" i="3"/>
  <c r="O649" i="3"/>
  <c r="J650" i="3"/>
  <c r="R650" i="3"/>
  <c r="M651" i="3"/>
  <c r="U651" i="3"/>
  <c r="P652" i="3"/>
  <c r="K653" i="3"/>
  <c r="S653" i="3"/>
  <c r="N654" i="3"/>
  <c r="V654" i="3"/>
  <c r="Q655" i="3"/>
  <c r="L656" i="3"/>
  <c r="T656" i="3"/>
  <c r="O657" i="3"/>
  <c r="J658" i="3"/>
  <c r="R658" i="3"/>
  <c r="M659" i="3"/>
  <c r="U659" i="3"/>
  <c r="P660" i="3"/>
  <c r="K661" i="3"/>
  <c r="S661" i="3"/>
  <c r="N662" i="3"/>
  <c r="V662" i="3"/>
  <c r="Q663" i="3"/>
  <c r="L664" i="3"/>
  <c r="T664" i="3"/>
  <c r="O665" i="3"/>
  <c r="J666" i="3"/>
  <c r="R666" i="3"/>
  <c r="M667" i="3"/>
  <c r="U667" i="3"/>
  <c r="P668" i="3"/>
  <c r="K669" i="3"/>
  <c r="S669" i="3"/>
  <c r="N670" i="3"/>
  <c r="V670" i="3"/>
  <c r="Q671" i="3"/>
  <c r="L672" i="3"/>
  <c r="T672" i="3"/>
  <c r="O673" i="3"/>
  <c r="J674" i="3"/>
  <c r="R674" i="3"/>
  <c r="M675" i="3"/>
  <c r="U675" i="3"/>
  <c r="P676" i="3"/>
  <c r="K677" i="3"/>
  <c r="S677" i="3"/>
  <c r="N678" i="3"/>
  <c r="V678" i="3"/>
  <c r="Q679" i="3"/>
  <c r="L680" i="3"/>
  <c r="T680" i="3"/>
  <c r="O681" i="3"/>
  <c r="J682" i="3"/>
  <c r="R682" i="3"/>
  <c r="M683" i="3"/>
  <c r="U683" i="3"/>
  <c r="P684" i="3"/>
  <c r="K685" i="3"/>
  <c r="S685" i="3"/>
  <c r="N686" i="3"/>
  <c r="V686" i="3"/>
  <c r="Q687" i="3"/>
  <c r="L688" i="3"/>
  <c r="T688" i="3"/>
  <c r="O689" i="3"/>
  <c r="J690" i="3"/>
  <c r="R690" i="3"/>
  <c r="M691" i="3"/>
  <c r="U691" i="3"/>
  <c r="P692" i="3"/>
  <c r="K693" i="3"/>
  <c r="S693" i="3"/>
  <c r="N694" i="3"/>
  <c r="V694" i="3"/>
  <c r="Q695" i="3"/>
  <c r="L696" i="3"/>
  <c r="T696" i="3"/>
  <c r="O697" i="3"/>
  <c r="J698" i="3"/>
  <c r="R698" i="3"/>
  <c r="M699" i="3"/>
  <c r="U699" i="3"/>
  <c r="P700" i="3"/>
  <c r="K701" i="3"/>
  <c r="S701" i="3"/>
  <c r="N702" i="3"/>
  <c r="V702" i="3"/>
  <c r="Q703" i="3"/>
  <c r="L704" i="3"/>
  <c r="T704" i="3"/>
  <c r="O705" i="3"/>
  <c r="J706" i="3"/>
  <c r="R706" i="3"/>
  <c r="M707" i="3"/>
  <c r="U707" i="3"/>
  <c r="P708" i="3"/>
  <c r="K709" i="3"/>
  <c r="S709" i="3"/>
  <c r="N710" i="3"/>
  <c r="V710" i="3"/>
  <c r="Q711" i="3"/>
  <c r="L712" i="3"/>
  <c r="T712" i="3"/>
  <c r="O713" i="3"/>
  <c r="J714" i="3"/>
  <c r="R714" i="3"/>
  <c r="M715" i="3"/>
  <c r="U715" i="3"/>
  <c r="P716" i="3"/>
  <c r="K717" i="3"/>
  <c r="S717" i="3"/>
  <c r="N718" i="3"/>
  <c r="V718" i="3"/>
  <c r="Q719" i="3"/>
  <c r="L720" i="3"/>
  <c r="T720" i="3"/>
  <c r="O721" i="3"/>
  <c r="J722" i="3"/>
  <c r="R722" i="3"/>
  <c r="M723" i="3"/>
  <c r="U723" i="3"/>
  <c r="P724" i="3"/>
  <c r="K725" i="3"/>
  <c r="S725" i="3"/>
  <c r="N726" i="3"/>
  <c r="V726" i="3"/>
  <c r="Q727" i="3"/>
  <c r="L728" i="3"/>
  <c r="T728" i="3"/>
  <c r="O729" i="3"/>
  <c r="J730" i="3"/>
  <c r="R730" i="3"/>
  <c r="M731" i="3"/>
  <c r="U731" i="3"/>
  <c r="P732" i="3"/>
  <c r="K733" i="3"/>
  <c r="S733" i="3"/>
  <c r="N734" i="3"/>
  <c r="V734" i="3"/>
  <c r="Q735" i="3"/>
  <c r="L736" i="3"/>
  <c r="T736" i="3"/>
  <c r="O737" i="3"/>
  <c r="J738" i="3"/>
  <c r="R738" i="3"/>
  <c r="M739" i="3"/>
  <c r="U739" i="3"/>
  <c r="P740" i="3"/>
  <c r="K741" i="3"/>
  <c r="S741" i="3"/>
  <c r="N742" i="3"/>
  <c r="V742" i="3"/>
  <c r="Q743" i="3"/>
  <c r="L744" i="3"/>
  <c r="T744" i="3"/>
  <c r="O745" i="3"/>
  <c r="J746" i="3"/>
  <c r="R746" i="3"/>
  <c r="M747" i="3"/>
  <c r="U747" i="3"/>
  <c r="P748" i="3"/>
  <c r="K749" i="3"/>
  <c r="S749" i="3"/>
  <c r="N750" i="3"/>
  <c r="V750" i="3"/>
  <c r="Q751" i="3"/>
  <c r="L752" i="3"/>
  <c r="T752" i="3"/>
  <c r="O753" i="3"/>
  <c r="J754" i="3"/>
  <c r="R754" i="3"/>
  <c r="M755" i="3"/>
  <c r="U755" i="3"/>
  <c r="P756" i="3"/>
  <c r="K757" i="3"/>
  <c r="S757" i="3"/>
  <c r="N758" i="3"/>
  <c r="V758" i="3"/>
  <c r="Q759" i="3"/>
  <c r="L760" i="3"/>
  <c r="T760" i="3"/>
  <c r="O761" i="3"/>
  <c r="J762" i="3"/>
  <c r="R762" i="3"/>
  <c r="M763" i="3"/>
  <c r="U763" i="3"/>
  <c r="P764" i="3"/>
  <c r="K765" i="3"/>
  <c r="S765" i="3"/>
  <c r="N766" i="3"/>
  <c r="V766" i="3"/>
  <c r="Q767" i="3"/>
  <c r="L768" i="3"/>
  <c r="T768" i="3"/>
  <c r="O769" i="3"/>
  <c r="J770" i="3"/>
  <c r="R770" i="3"/>
  <c r="M771" i="3"/>
  <c r="U771" i="3"/>
  <c r="P772" i="3"/>
  <c r="K773" i="3"/>
  <c r="S773" i="3"/>
  <c r="N774" i="3"/>
  <c r="V774" i="3"/>
  <c r="Q775" i="3"/>
  <c r="L776" i="3"/>
  <c r="T776" i="3"/>
  <c r="O777" i="3"/>
  <c r="J778" i="3"/>
  <c r="R778" i="3"/>
  <c r="M779" i="3"/>
  <c r="U779" i="3"/>
  <c r="P780" i="3"/>
  <c r="K781" i="3"/>
  <c r="S781" i="3"/>
  <c r="N782" i="3"/>
  <c r="V782" i="3"/>
  <c r="Q783" i="3"/>
  <c r="L784" i="3"/>
  <c r="T784" i="3"/>
  <c r="O785" i="3"/>
  <c r="J786" i="3"/>
  <c r="R786" i="3"/>
  <c r="M787" i="3"/>
  <c r="U787" i="3"/>
  <c r="P788" i="3"/>
  <c r="K789" i="3"/>
  <c r="S789" i="3"/>
  <c r="N790" i="3"/>
  <c r="V790" i="3"/>
  <c r="Q791" i="3"/>
  <c r="L792" i="3"/>
  <c r="T792" i="3"/>
  <c r="O793" i="3"/>
  <c r="J794" i="3"/>
  <c r="R794" i="3"/>
  <c r="M795" i="3"/>
  <c r="U795" i="3"/>
  <c r="P796" i="3"/>
  <c r="K797" i="3"/>
  <c r="S797" i="3"/>
  <c r="N798" i="3"/>
  <c r="V798" i="3"/>
  <c r="Q799" i="3"/>
  <c r="L800" i="3"/>
  <c r="T800" i="3"/>
  <c r="O801" i="3"/>
  <c r="J802" i="3"/>
  <c r="R802" i="3"/>
  <c r="M803" i="3"/>
  <c r="U803" i="3"/>
  <c r="P804" i="3"/>
  <c r="K805" i="3"/>
  <c r="S805" i="3"/>
  <c r="N806" i="3"/>
  <c r="J362" i="3"/>
  <c r="U423" i="3"/>
  <c r="V445" i="3"/>
  <c r="K461" i="3"/>
  <c r="V471" i="3"/>
  <c r="T481" i="3"/>
  <c r="R491" i="3"/>
  <c r="P501" i="3"/>
  <c r="N511" i="3"/>
  <c r="L521" i="3"/>
  <c r="J531" i="3"/>
  <c r="S537" i="3"/>
  <c r="K542" i="3"/>
  <c r="L546" i="3"/>
  <c r="J550" i="3"/>
  <c r="R553" i="3"/>
  <c r="P556" i="3"/>
  <c r="V558" i="3"/>
  <c r="O561" i="3"/>
  <c r="U563" i="3"/>
  <c r="N566" i="3"/>
  <c r="T568" i="3"/>
  <c r="M571" i="3"/>
  <c r="S573" i="3"/>
  <c r="L576" i="3"/>
  <c r="R578" i="3"/>
  <c r="K581" i="3"/>
  <c r="Q583" i="3"/>
  <c r="J586" i="3"/>
  <c r="P588" i="3"/>
  <c r="V590" i="3"/>
  <c r="O593" i="3"/>
  <c r="U595" i="3"/>
  <c r="N598" i="3"/>
  <c r="T600" i="3"/>
  <c r="M603" i="3"/>
  <c r="S605" i="3"/>
  <c r="L608" i="3"/>
  <c r="R610" i="3"/>
  <c r="U612" i="3"/>
  <c r="R614" i="3"/>
  <c r="L616" i="3"/>
  <c r="T617" i="3"/>
  <c r="Q619" i="3"/>
  <c r="J621" i="3"/>
  <c r="M622" i="3"/>
  <c r="P623" i="3"/>
  <c r="S624" i="3"/>
  <c r="V625" i="3"/>
  <c r="V626" i="3"/>
  <c r="U627" i="3"/>
  <c r="Q628" i="3"/>
  <c r="L629" i="3"/>
  <c r="T629" i="3"/>
  <c r="O630" i="3"/>
  <c r="J631" i="3"/>
  <c r="R631" i="3"/>
  <c r="M632" i="3"/>
  <c r="U632" i="3"/>
  <c r="P633" i="3"/>
  <c r="K634" i="3"/>
  <c r="S634" i="3"/>
  <c r="N635" i="3"/>
  <c r="V635" i="3"/>
  <c r="Q636" i="3"/>
  <c r="L637" i="3"/>
  <c r="T637" i="3"/>
  <c r="O638" i="3"/>
  <c r="J639" i="3"/>
  <c r="R639" i="3"/>
  <c r="M640" i="3"/>
  <c r="U640" i="3"/>
  <c r="P641" i="3"/>
  <c r="K642" i="3"/>
  <c r="S642" i="3"/>
  <c r="N643" i="3"/>
  <c r="V643" i="3"/>
  <c r="Q644" i="3"/>
  <c r="L645" i="3"/>
  <c r="T645" i="3"/>
  <c r="O646" i="3"/>
  <c r="J647" i="3"/>
  <c r="R647" i="3"/>
  <c r="M648" i="3"/>
  <c r="U648" i="3"/>
  <c r="P649" i="3"/>
  <c r="K650" i="3"/>
  <c r="S650" i="3"/>
  <c r="N651" i="3"/>
  <c r="V651" i="3"/>
  <c r="Q652" i="3"/>
  <c r="L653" i="3"/>
  <c r="T653" i="3"/>
  <c r="O654" i="3"/>
  <c r="J655" i="3"/>
  <c r="R655" i="3"/>
  <c r="M656" i="3"/>
  <c r="U656" i="3"/>
  <c r="P657" i="3"/>
  <c r="K658" i="3"/>
  <c r="S658" i="3"/>
  <c r="N659" i="3"/>
  <c r="V659" i="3"/>
  <c r="Q660" i="3"/>
  <c r="L661" i="3"/>
  <c r="T661" i="3"/>
  <c r="O662" i="3"/>
  <c r="J663" i="3"/>
  <c r="R663" i="3"/>
  <c r="M664" i="3"/>
  <c r="U664" i="3"/>
  <c r="P665" i="3"/>
  <c r="K666" i="3"/>
  <c r="S666" i="3"/>
  <c r="N667" i="3"/>
  <c r="V667" i="3"/>
  <c r="Q668" i="3"/>
  <c r="L669" i="3"/>
  <c r="T669" i="3"/>
  <c r="O670" i="3"/>
  <c r="J671" i="3"/>
  <c r="R671" i="3"/>
  <c r="M672" i="3"/>
  <c r="U672" i="3"/>
  <c r="P673" i="3"/>
  <c r="K674" i="3"/>
  <c r="S674" i="3"/>
  <c r="N675" i="3"/>
  <c r="V675" i="3"/>
  <c r="Q676" i="3"/>
  <c r="L677" i="3"/>
  <c r="T677" i="3"/>
  <c r="O678" i="3"/>
  <c r="J679" i="3"/>
  <c r="R679" i="3"/>
  <c r="M680" i="3"/>
  <c r="U680" i="3"/>
  <c r="P681" i="3"/>
  <c r="K682" i="3"/>
  <c r="S682" i="3"/>
  <c r="N683" i="3"/>
  <c r="V683" i="3"/>
  <c r="Q684" i="3"/>
  <c r="L685" i="3"/>
  <c r="T685" i="3"/>
  <c r="O686" i="3"/>
  <c r="J687" i="3"/>
  <c r="R687" i="3"/>
  <c r="M688" i="3"/>
  <c r="U688" i="3"/>
  <c r="P689" i="3"/>
  <c r="K690" i="3"/>
  <c r="S690" i="3"/>
  <c r="N691" i="3"/>
  <c r="V691" i="3"/>
  <c r="Q692" i="3"/>
  <c r="L693" i="3"/>
  <c r="T693" i="3"/>
  <c r="O694" i="3"/>
  <c r="J695" i="3"/>
  <c r="R695" i="3"/>
  <c r="M696" i="3"/>
  <c r="U696" i="3"/>
  <c r="P697" i="3"/>
  <c r="K698" i="3"/>
  <c r="S698" i="3"/>
  <c r="N699" i="3"/>
  <c r="V699" i="3"/>
  <c r="Q700" i="3"/>
  <c r="L701" i="3"/>
  <c r="T701" i="3"/>
  <c r="O702" i="3"/>
  <c r="J703" i="3"/>
  <c r="R703" i="3"/>
  <c r="M704" i="3"/>
  <c r="U704" i="3"/>
  <c r="P705" i="3"/>
  <c r="K706" i="3"/>
  <c r="S706" i="3"/>
  <c r="N707" i="3"/>
  <c r="V707" i="3"/>
  <c r="Q708" i="3"/>
  <c r="L709" i="3"/>
  <c r="T709" i="3"/>
  <c r="O710" i="3"/>
  <c r="J711" i="3"/>
  <c r="R711" i="3"/>
  <c r="M712" i="3"/>
  <c r="U712" i="3"/>
  <c r="P713" i="3"/>
  <c r="K714" i="3"/>
  <c r="S714" i="3"/>
  <c r="N715" i="3"/>
  <c r="V715" i="3"/>
  <c r="Q716" i="3"/>
  <c r="L717" i="3"/>
  <c r="T717" i="3"/>
  <c r="O718" i="3"/>
  <c r="J719" i="3"/>
  <c r="R719" i="3"/>
  <c r="M720" i="3"/>
  <c r="U720" i="3"/>
  <c r="P721" i="3"/>
  <c r="K722" i="3"/>
  <c r="S722" i="3"/>
  <c r="N723" i="3"/>
  <c r="V723" i="3"/>
  <c r="Q724" i="3"/>
  <c r="L725" i="3"/>
  <c r="T725" i="3"/>
  <c r="O726" i="3"/>
  <c r="J727" i="3"/>
  <c r="R727" i="3"/>
  <c r="M728" i="3"/>
  <c r="U728" i="3"/>
  <c r="P729" i="3"/>
  <c r="K730" i="3"/>
  <c r="S730" i="3"/>
  <c r="N731" i="3"/>
  <c r="V731" i="3"/>
  <c r="Q732" i="3"/>
  <c r="L733" i="3"/>
  <c r="T733" i="3"/>
  <c r="O734" i="3"/>
  <c r="J735" i="3"/>
  <c r="R735" i="3"/>
  <c r="M736" i="3"/>
  <c r="U736" i="3"/>
  <c r="P737" i="3"/>
  <c r="K738" i="3"/>
  <c r="S738" i="3"/>
  <c r="N739" i="3"/>
  <c r="V739" i="3"/>
  <c r="Q740" i="3"/>
  <c r="L741" i="3"/>
  <c r="T741" i="3"/>
  <c r="O742" i="3"/>
  <c r="J743" i="3"/>
  <c r="R743" i="3"/>
  <c r="M744" i="3"/>
  <c r="U744" i="3"/>
  <c r="P745" i="3"/>
  <c r="K746" i="3"/>
  <c r="S746" i="3"/>
  <c r="N747" i="3"/>
  <c r="V747" i="3"/>
  <c r="Q748" i="3"/>
  <c r="L749" i="3"/>
  <c r="T749" i="3"/>
  <c r="O750" i="3"/>
  <c r="J751" i="3"/>
  <c r="R751" i="3"/>
  <c r="M752" i="3"/>
  <c r="U752" i="3"/>
  <c r="P753" i="3"/>
  <c r="K754" i="3"/>
  <c r="S754" i="3"/>
  <c r="N755" i="3"/>
  <c r="V755" i="3"/>
  <c r="Q756" i="3"/>
  <c r="L757" i="3"/>
  <c r="T757" i="3"/>
  <c r="O758" i="3"/>
  <c r="J759" i="3"/>
  <c r="R759" i="3"/>
  <c r="M760" i="3"/>
  <c r="U760" i="3"/>
  <c r="P761" i="3"/>
  <c r="K762" i="3"/>
  <c r="S762" i="3"/>
  <c r="N763" i="3"/>
  <c r="V763" i="3"/>
  <c r="Q764" i="3"/>
  <c r="L765" i="3"/>
  <c r="T765" i="3"/>
  <c r="O766" i="3"/>
  <c r="J767" i="3"/>
  <c r="R767" i="3"/>
  <c r="M768" i="3"/>
  <c r="U768" i="3"/>
  <c r="P769" i="3"/>
  <c r="K770" i="3"/>
  <c r="S770" i="3"/>
  <c r="N771" i="3"/>
  <c r="V771" i="3"/>
  <c r="Q772" i="3"/>
  <c r="L773" i="3"/>
  <c r="T773" i="3"/>
  <c r="O774" i="3"/>
  <c r="J775" i="3"/>
  <c r="R775" i="3"/>
  <c r="M776" i="3"/>
  <c r="U776" i="3"/>
  <c r="P777" i="3"/>
  <c r="K778" i="3"/>
  <c r="S778" i="3"/>
  <c r="N779" i="3"/>
  <c r="V779" i="3"/>
  <c r="Q780" i="3"/>
  <c r="L781" i="3"/>
  <c r="T781" i="3"/>
  <c r="O782" i="3"/>
  <c r="J783" i="3"/>
  <c r="R783" i="3"/>
  <c r="M784" i="3"/>
  <c r="U784" i="3"/>
  <c r="P785" i="3"/>
  <c r="K786" i="3"/>
  <c r="S786" i="3"/>
  <c r="N787" i="3"/>
  <c r="V787" i="3"/>
  <c r="Q788" i="3"/>
  <c r="L789" i="3"/>
  <c r="T789" i="3"/>
  <c r="O790" i="3"/>
  <c r="J791" i="3"/>
  <c r="R791" i="3"/>
  <c r="M792" i="3"/>
  <c r="U792" i="3"/>
  <c r="P793" i="3"/>
  <c r="Q381" i="3"/>
  <c r="O430" i="3"/>
  <c r="U448" i="3"/>
  <c r="K463" i="3"/>
  <c r="S473" i="3"/>
  <c r="Q483" i="3"/>
  <c r="O493" i="3"/>
  <c r="M503" i="3"/>
  <c r="K513" i="3"/>
  <c r="V522" i="3"/>
  <c r="R532" i="3"/>
  <c r="O538" i="3"/>
  <c r="S542" i="3"/>
  <c r="T546" i="3"/>
  <c r="R550" i="3"/>
  <c r="L554" i="3"/>
  <c r="U556" i="3"/>
  <c r="N559" i="3"/>
  <c r="T561" i="3"/>
  <c r="M564" i="3"/>
  <c r="S566" i="3"/>
  <c r="L569" i="3"/>
  <c r="R571" i="3"/>
  <c r="K574" i="3"/>
  <c r="Q576" i="3"/>
  <c r="J579" i="3"/>
  <c r="P581" i="3"/>
  <c r="V583" i="3"/>
  <c r="O586" i="3"/>
  <c r="U588" i="3"/>
  <c r="N591" i="3"/>
  <c r="T593" i="3"/>
  <c r="M596" i="3"/>
  <c r="S598" i="3"/>
  <c r="L601" i="3"/>
  <c r="R603" i="3"/>
  <c r="K606" i="3"/>
  <c r="Q608" i="3"/>
  <c r="J611" i="3"/>
  <c r="K613" i="3"/>
  <c r="S614" i="3"/>
  <c r="P616" i="3"/>
  <c r="J618" i="3"/>
  <c r="R619" i="3"/>
  <c r="K621" i="3"/>
  <c r="N622" i="3"/>
  <c r="Q623" i="3"/>
  <c r="T624" i="3"/>
  <c r="J626" i="3"/>
  <c r="J627" i="3"/>
  <c r="V627" i="3"/>
  <c r="R628" i="3"/>
  <c r="M629" i="3"/>
  <c r="U629" i="3"/>
  <c r="P630" i="3"/>
  <c r="K631" i="3"/>
  <c r="S631" i="3"/>
  <c r="N632" i="3"/>
  <c r="V632" i="3"/>
  <c r="Q633" i="3"/>
  <c r="L634" i="3"/>
  <c r="T634" i="3"/>
  <c r="O635" i="3"/>
  <c r="J636" i="3"/>
  <c r="R636" i="3"/>
  <c r="M637" i="3"/>
  <c r="U637" i="3"/>
  <c r="P638" i="3"/>
  <c r="K639" i="3"/>
  <c r="S639" i="3"/>
  <c r="N640" i="3"/>
  <c r="V640" i="3"/>
  <c r="Q641" i="3"/>
  <c r="L642" i="3"/>
  <c r="T642" i="3"/>
  <c r="O643" i="3"/>
  <c r="J644" i="3"/>
  <c r="R644" i="3"/>
  <c r="M645" i="3"/>
  <c r="U645" i="3"/>
  <c r="P646" i="3"/>
  <c r="K647" i="3"/>
  <c r="S647" i="3"/>
  <c r="N648" i="3"/>
  <c r="V648" i="3"/>
  <c r="Q649" i="3"/>
  <c r="L650" i="3"/>
  <c r="T650" i="3"/>
  <c r="O651" i="3"/>
  <c r="J652" i="3"/>
  <c r="R652" i="3"/>
  <c r="M653" i="3"/>
  <c r="U653" i="3"/>
  <c r="P654" i="3"/>
  <c r="K655" i="3"/>
  <c r="S655" i="3"/>
  <c r="N656" i="3"/>
  <c r="V656" i="3"/>
  <c r="Q657" i="3"/>
  <c r="L658" i="3"/>
  <c r="T658" i="3"/>
  <c r="O659" i="3"/>
  <c r="J660" i="3"/>
  <c r="R660" i="3"/>
  <c r="M661" i="3"/>
  <c r="U661" i="3"/>
  <c r="P662" i="3"/>
  <c r="K663" i="3"/>
  <c r="S663" i="3"/>
  <c r="N664" i="3"/>
  <c r="V664" i="3"/>
  <c r="Q665" i="3"/>
  <c r="L666" i="3"/>
  <c r="T666" i="3"/>
  <c r="O667" i="3"/>
  <c r="J668" i="3"/>
  <c r="R668" i="3"/>
  <c r="M669" i="3"/>
  <c r="U669" i="3"/>
  <c r="P670" i="3"/>
  <c r="K671" i="3"/>
  <c r="S671" i="3"/>
  <c r="N672" i="3"/>
  <c r="V672" i="3"/>
  <c r="Q673" i="3"/>
  <c r="L674" i="3"/>
  <c r="T674" i="3"/>
  <c r="O675" i="3"/>
  <c r="J676" i="3"/>
  <c r="R676" i="3"/>
  <c r="M677" i="3"/>
  <c r="U677" i="3"/>
  <c r="P678" i="3"/>
  <c r="K679" i="3"/>
  <c r="S679" i="3"/>
  <c r="N680" i="3"/>
  <c r="V680" i="3"/>
  <c r="Q681" i="3"/>
  <c r="L682" i="3"/>
  <c r="T682" i="3"/>
  <c r="O683" i="3"/>
  <c r="J684" i="3"/>
  <c r="R684" i="3"/>
  <c r="M685" i="3"/>
  <c r="U685" i="3"/>
  <c r="P686" i="3"/>
  <c r="K687" i="3"/>
  <c r="S687" i="3"/>
  <c r="N688" i="3"/>
  <c r="V688" i="3"/>
  <c r="Q689" i="3"/>
  <c r="L690" i="3"/>
  <c r="T690" i="3"/>
  <c r="O691" i="3"/>
  <c r="J692" i="3"/>
  <c r="R692" i="3"/>
  <c r="M693" i="3"/>
  <c r="U693" i="3"/>
  <c r="P694" i="3"/>
  <c r="K695" i="3"/>
  <c r="S695" i="3"/>
  <c r="N696" i="3"/>
  <c r="V696" i="3"/>
  <c r="Q697" i="3"/>
  <c r="L698" i="3"/>
  <c r="T698" i="3"/>
  <c r="O699" i="3"/>
  <c r="J700" i="3"/>
  <c r="R700" i="3"/>
  <c r="M701" i="3"/>
  <c r="U701" i="3"/>
  <c r="P702" i="3"/>
  <c r="K703" i="3"/>
  <c r="S703" i="3"/>
  <c r="N704" i="3"/>
  <c r="V704" i="3"/>
  <c r="Q705" i="3"/>
  <c r="L706" i="3"/>
  <c r="T706" i="3"/>
  <c r="O707" i="3"/>
  <c r="J708" i="3"/>
  <c r="R708" i="3"/>
  <c r="M709" i="3"/>
  <c r="U709" i="3"/>
  <c r="P710" i="3"/>
  <c r="K711" i="3"/>
  <c r="S711" i="3"/>
  <c r="N712" i="3"/>
  <c r="V712" i="3"/>
  <c r="Q713" i="3"/>
  <c r="L714" i="3"/>
  <c r="T714" i="3"/>
  <c r="O715" i="3"/>
  <c r="J716" i="3"/>
  <c r="R716" i="3"/>
  <c r="M717" i="3"/>
  <c r="U717" i="3"/>
  <c r="P718" i="3"/>
  <c r="K719" i="3"/>
  <c r="S719" i="3"/>
  <c r="N720" i="3"/>
  <c r="V720" i="3"/>
  <c r="Q721" i="3"/>
  <c r="L722" i="3"/>
  <c r="T722" i="3"/>
  <c r="O723" i="3"/>
  <c r="J724" i="3"/>
  <c r="R724" i="3"/>
  <c r="M725" i="3"/>
  <c r="U725" i="3"/>
  <c r="P726" i="3"/>
  <c r="K727" i="3"/>
  <c r="S727" i="3"/>
  <c r="N728" i="3"/>
  <c r="V728" i="3"/>
  <c r="Q729" i="3"/>
  <c r="L730" i="3"/>
  <c r="T730" i="3"/>
  <c r="O731" i="3"/>
  <c r="J732" i="3"/>
  <c r="R732" i="3"/>
  <c r="M733" i="3"/>
  <c r="U733" i="3"/>
  <c r="P734" i="3"/>
  <c r="K735" i="3"/>
  <c r="S735" i="3"/>
  <c r="N736" i="3"/>
  <c r="V736" i="3"/>
  <c r="Q737" i="3"/>
  <c r="L738" i="3"/>
  <c r="T738" i="3"/>
  <c r="O739" i="3"/>
  <c r="J740" i="3"/>
  <c r="R740" i="3"/>
  <c r="M741" i="3"/>
  <c r="U741" i="3"/>
  <c r="P742" i="3"/>
  <c r="K743" i="3"/>
  <c r="S743" i="3"/>
  <c r="N744" i="3"/>
  <c r="V744" i="3"/>
  <c r="Q745" i="3"/>
  <c r="L746" i="3"/>
  <c r="T746" i="3"/>
  <c r="O747" i="3"/>
  <c r="J748" i="3"/>
  <c r="R748" i="3"/>
  <c r="M749" i="3"/>
  <c r="U749" i="3"/>
  <c r="P750" i="3"/>
  <c r="K751" i="3"/>
  <c r="S751" i="3"/>
  <c r="N752" i="3"/>
  <c r="V752" i="3"/>
  <c r="Q753" i="3"/>
  <c r="L754" i="3"/>
  <c r="T754" i="3"/>
  <c r="O755" i="3"/>
  <c r="J756" i="3"/>
  <c r="R756" i="3"/>
  <c r="M757" i="3"/>
  <c r="U757" i="3"/>
  <c r="P758" i="3"/>
  <c r="K759" i="3"/>
  <c r="S759" i="3"/>
  <c r="N760" i="3"/>
  <c r="V760" i="3"/>
  <c r="Q761" i="3"/>
  <c r="L762" i="3"/>
  <c r="T762" i="3"/>
  <c r="O763" i="3"/>
  <c r="J764" i="3"/>
  <c r="R764" i="3"/>
  <c r="M765" i="3"/>
  <c r="U765" i="3"/>
  <c r="P766" i="3"/>
  <c r="K767" i="3"/>
  <c r="S767" i="3"/>
  <c r="N388" i="3"/>
  <c r="M432" i="3"/>
  <c r="J450" i="3"/>
  <c r="U463" i="3"/>
  <c r="O474" i="3"/>
  <c r="M484" i="3"/>
  <c r="K494" i="3"/>
  <c r="V503" i="3"/>
  <c r="T513" i="3"/>
  <c r="R523" i="3"/>
  <c r="M533" i="3"/>
  <c r="V538" i="3"/>
  <c r="L543" i="3"/>
  <c r="J547" i="3"/>
  <c r="K551" i="3"/>
  <c r="O554" i="3"/>
  <c r="K557" i="3"/>
  <c r="Q559" i="3"/>
  <c r="J562" i="3"/>
  <c r="P564" i="3"/>
  <c r="V566" i="3"/>
  <c r="O569" i="3"/>
  <c r="U571" i="3"/>
  <c r="N574" i="3"/>
  <c r="T576" i="3"/>
  <c r="M579" i="3"/>
  <c r="S581" i="3"/>
  <c r="L584" i="3"/>
  <c r="R586" i="3"/>
  <c r="K589" i="3"/>
  <c r="Q591" i="3"/>
  <c r="J594" i="3"/>
  <c r="P596" i="3"/>
  <c r="V598" i="3"/>
  <c r="O601" i="3"/>
  <c r="U603" i="3"/>
  <c r="N606" i="3"/>
  <c r="T608" i="3"/>
  <c r="M611" i="3"/>
  <c r="O613" i="3"/>
  <c r="V614" i="3"/>
  <c r="Q616" i="3"/>
  <c r="N618" i="3"/>
  <c r="U619" i="3"/>
  <c r="O621" i="3"/>
  <c r="R622" i="3"/>
  <c r="U623" i="3"/>
  <c r="K625" i="3"/>
  <c r="K626" i="3"/>
  <c r="L627" i="3"/>
  <c r="K628" i="3"/>
  <c r="S628" i="3"/>
  <c r="N629" i="3"/>
  <c r="V629" i="3"/>
  <c r="Q630" i="3"/>
  <c r="L631" i="3"/>
  <c r="T631" i="3"/>
  <c r="O632" i="3"/>
  <c r="J633" i="3"/>
  <c r="R633" i="3"/>
  <c r="M634" i="3"/>
  <c r="U634" i="3"/>
  <c r="P635" i="3"/>
  <c r="K636" i="3"/>
  <c r="S636" i="3"/>
  <c r="N637" i="3"/>
  <c r="V637" i="3"/>
  <c r="Q638" i="3"/>
  <c r="L639" i="3"/>
  <c r="T639" i="3"/>
  <c r="O640" i="3"/>
  <c r="J641" i="3"/>
  <c r="R641" i="3"/>
  <c r="M642" i="3"/>
  <c r="U642" i="3"/>
  <c r="P643" i="3"/>
  <c r="K644" i="3"/>
  <c r="S644" i="3"/>
  <c r="N645" i="3"/>
  <c r="V645" i="3"/>
  <c r="Q646" i="3"/>
  <c r="L647" i="3"/>
  <c r="T647" i="3"/>
  <c r="O648" i="3"/>
  <c r="J649" i="3"/>
  <c r="R649" i="3"/>
  <c r="M650" i="3"/>
  <c r="U650" i="3"/>
  <c r="P651" i="3"/>
  <c r="K652" i="3"/>
  <c r="S652" i="3"/>
  <c r="N653" i="3"/>
  <c r="V653" i="3"/>
  <c r="Q654" i="3"/>
  <c r="L655" i="3"/>
  <c r="T655" i="3"/>
  <c r="O656" i="3"/>
  <c r="J657" i="3"/>
  <c r="R657" i="3"/>
  <c r="M658" i="3"/>
  <c r="U658" i="3"/>
  <c r="P659" i="3"/>
  <c r="K660" i="3"/>
  <c r="S660" i="3"/>
  <c r="N661" i="3"/>
  <c r="V661" i="3"/>
  <c r="Q662" i="3"/>
  <c r="L663" i="3"/>
  <c r="T663" i="3"/>
  <c r="O664" i="3"/>
  <c r="J665" i="3"/>
  <c r="R665" i="3"/>
  <c r="M666" i="3"/>
  <c r="U666" i="3"/>
  <c r="P667" i="3"/>
  <c r="K668" i="3"/>
  <c r="S668" i="3"/>
  <c r="N669" i="3"/>
  <c r="V669" i="3"/>
  <c r="Q670" i="3"/>
  <c r="L671" i="3"/>
  <c r="T671" i="3"/>
  <c r="O672" i="3"/>
  <c r="J673" i="3"/>
  <c r="R673" i="3"/>
  <c r="M674" i="3"/>
  <c r="U674" i="3"/>
  <c r="P675" i="3"/>
  <c r="K676" i="3"/>
  <c r="S676" i="3"/>
  <c r="N677" i="3"/>
  <c r="V677" i="3"/>
  <c r="Q678" i="3"/>
  <c r="L679" i="3"/>
  <c r="T679" i="3"/>
  <c r="O680" i="3"/>
  <c r="J681" i="3"/>
  <c r="R681" i="3"/>
  <c r="M682" i="3"/>
  <c r="U682" i="3"/>
  <c r="P683" i="3"/>
  <c r="K684" i="3"/>
  <c r="S684" i="3"/>
  <c r="N685" i="3"/>
  <c r="V685" i="3"/>
  <c r="Q686" i="3"/>
  <c r="L687" i="3"/>
  <c r="T687" i="3"/>
  <c r="O688" i="3"/>
  <c r="J689" i="3"/>
  <c r="R689" i="3"/>
  <c r="M690" i="3"/>
  <c r="U690" i="3"/>
  <c r="P691" i="3"/>
  <c r="K692" i="3"/>
  <c r="S692" i="3"/>
  <c r="N693" i="3"/>
  <c r="V693" i="3"/>
  <c r="Q694" i="3"/>
  <c r="L695" i="3"/>
  <c r="T695" i="3"/>
  <c r="O696" i="3"/>
  <c r="J697" i="3"/>
  <c r="R697" i="3"/>
  <c r="M698" i="3"/>
  <c r="U698" i="3"/>
  <c r="P699" i="3"/>
  <c r="K700" i="3"/>
  <c r="S700" i="3"/>
  <c r="N701" i="3"/>
  <c r="V701" i="3"/>
  <c r="Q702" i="3"/>
  <c r="L703" i="3"/>
  <c r="T703" i="3"/>
  <c r="O704" i="3"/>
  <c r="J705" i="3"/>
  <c r="R705" i="3"/>
  <c r="M706" i="3"/>
  <c r="U706" i="3"/>
  <c r="P707" i="3"/>
  <c r="K708" i="3"/>
  <c r="S708" i="3"/>
  <c r="N709" i="3"/>
  <c r="V709" i="3"/>
  <c r="Q710" i="3"/>
  <c r="L711" i="3"/>
  <c r="T711" i="3"/>
  <c r="O712" i="3"/>
  <c r="J713" i="3"/>
  <c r="R713" i="3"/>
  <c r="M714" i="3"/>
  <c r="U714" i="3"/>
  <c r="P715" i="3"/>
  <c r="K716" i="3"/>
  <c r="S716" i="3"/>
  <c r="N717" i="3"/>
  <c r="V717" i="3"/>
  <c r="Q718" i="3"/>
  <c r="L719" i="3"/>
  <c r="T719" i="3"/>
  <c r="O720" i="3"/>
  <c r="J721" i="3"/>
  <c r="R721" i="3"/>
  <c r="M722" i="3"/>
  <c r="U722" i="3"/>
  <c r="P723" i="3"/>
  <c r="K724" i="3"/>
  <c r="S724" i="3"/>
  <c r="N725" i="3"/>
  <c r="V725" i="3"/>
  <c r="Q726" i="3"/>
  <c r="L727" i="3"/>
  <c r="T727" i="3"/>
  <c r="O728" i="3"/>
  <c r="J729" i="3"/>
  <c r="R729" i="3"/>
  <c r="M730" i="3"/>
  <c r="U730" i="3"/>
  <c r="P731" i="3"/>
  <c r="K732" i="3"/>
  <c r="S732" i="3"/>
  <c r="N733" i="3"/>
  <c r="V733" i="3"/>
  <c r="Q734" i="3"/>
  <c r="L735" i="3"/>
  <c r="T735" i="3"/>
  <c r="O736" i="3"/>
  <c r="J737" i="3"/>
  <c r="R737" i="3"/>
  <c r="M738" i="3"/>
  <c r="U738" i="3"/>
  <c r="P739" i="3"/>
  <c r="K740" i="3"/>
  <c r="S740" i="3"/>
  <c r="N741" i="3"/>
  <c r="V741" i="3"/>
  <c r="Q742" i="3"/>
  <c r="L743" i="3"/>
  <c r="T743" i="3"/>
  <c r="O744" i="3"/>
  <c r="J745" i="3"/>
  <c r="R745" i="3"/>
  <c r="M746" i="3"/>
  <c r="U746" i="3"/>
  <c r="P747" i="3"/>
  <c r="K748" i="3"/>
  <c r="S748" i="3"/>
  <c r="N749" i="3"/>
  <c r="V749" i="3"/>
  <c r="Q750" i="3"/>
  <c r="L751" i="3"/>
  <c r="T751" i="3"/>
  <c r="O752" i="3"/>
  <c r="J753" i="3"/>
  <c r="R753" i="3"/>
  <c r="M754" i="3"/>
  <c r="U754" i="3"/>
  <c r="P755" i="3"/>
  <c r="K756" i="3"/>
  <c r="S756" i="3"/>
  <c r="N757" i="3"/>
  <c r="V757" i="3"/>
  <c r="Q758" i="3"/>
  <c r="L759" i="3"/>
  <c r="T759" i="3"/>
  <c r="O760" i="3"/>
  <c r="J761" i="3"/>
  <c r="R761" i="3"/>
  <c r="M762" i="3"/>
  <c r="U762" i="3"/>
  <c r="P763" i="3"/>
  <c r="K764" i="3"/>
  <c r="S764" i="3"/>
  <c r="N765" i="3"/>
  <c r="V765" i="3"/>
  <c r="Q766" i="3"/>
  <c r="L767" i="3"/>
  <c r="T767" i="3"/>
  <c r="O768" i="3"/>
  <c r="J769" i="3"/>
  <c r="R769" i="3"/>
  <c r="M770" i="3"/>
  <c r="U770" i="3"/>
  <c r="P771" i="3"/>
  <c r="K772" i="3"/>
  <c r="S772" i="3"/>
  <c r="N773" i="3"/>
  <c r="V773" i="3"/>
  <c r="Q774" i="3"/>
  <c r="L775" i="3"/>
  <c r="T775" i="3"/>
  <c r="O776" i="3"/>
  <c r="J777" i="3"/>
  <c r="R777" i="3"/>
  <c r="M778" i="3"/>
  <c r="U778" i="3"/>
  <c r="P779" i="3"/>
  <c r="K780" i="3"/>
  <c r="S780" i="3"/>
  <c r="N781" i="3"/>
  <c r="V781" i="3"/>
  <c r="Q782" i="3"/>
  <c r="L783" i="3"/>
  <c r="T783" i="3"/>
  <c r="O784" i="3"/>
  <c r="J785" i="3"/>
  <c r="R785" i="3"/>
  <c r="M786" i="3"/>
  <c r="U786" i="3"/>
  <c r="P787" i="3"/>
  <c r="K788" i="3"/>
  <c r="S788" i="3"/>
  <c r="N789" i="3"/>
  <c r="V789" i="3"/>
  <c r="Q790" i="3"/>
  <c r="L791" i="3"/>
  <c r="T791" i="3"/>
  <c r="O792" i="3"/>
  <c r="J793" i="3"/>
  <c r="R793" i="3"/>
  <c r="M794" i="3"/>
  <c r="U794" i="3"/>
  <c r="P795" i="3"/>
  <c r="K796" i="3"/>
  <c r="S796" i="3"/>
  <c r="N797" i="3"/>
  <c r="V797" i="3"/>
  <c r="Q798" i="3"/>
  <c r="L799" i="3"/>
  <c r="T799" i="3"/>
  <c r="O800" i="3"/>
  <c r="J801" i="3"/>
  <c r="R801" i="3"/>
  <c r="M802" i="3"/>
  <c r="U802" i="3"/>
  <c r="P803" i="3"/>
  <c r="K804" i="3"/>
  <c r="S804" i="3"/>
  <c r="N805" i="3"/>
  <c r="V805" i="3"/>
  <c r="Q806" i="3"/>
  <c r="T399" i="3"/>
  <c r="L476" i="3"/>
  <c r="Q515" i="3"/>
  <c r="T543" i="3"/>
  <c r="P557" i="3"/>
  <c r="N567" i="3"/>
  <c r="L577" i="3"/>
  <c r="J587" i="3"/>
  <c r="U596" i="3"/>
  <c r="S606" i="3"/>
  <c r="M615" i="3"/>
  <c r="P621" i="3"/>
  <c r="N626" i="3"/>
  <c r="O629" i="3"/>
  <c r="U631" i="3"/>
  <c r="N634" i="3"/>
  <c r="T636" i="3"/>
  <c r="M639" i="3"/>
  <c r="S641" i="3"/>
  <c r="L644" i="3"/>
  <c r="R646" i="3"/>
  <c r="K649" i="3"/>
  <c r="Q651" i="3"/>
  <c r="J654" i="3"/>
  <c r="P656" i="3"/>
  <c r="V658" i="3"/>
  <c r="O661" i="3"/>
  <c r="U662" i="3"/>
  <c r="K664" i="3"/>
  <c r="N665" i="3"/>
  <c r="Q666" i="3"/>
  <c r="T667" i="3"/>
  <c r="J669" i="3"/>
  <c r="M670" i="3"/>
  <c r="P671" i="3"/>
  <c r="S672" i="3"/>
  <c r="V673" i="3"/>
  <c r="L675" i="3"/>
  <c r="O676" i="3"/>
  <c r="R677" i="3"/>
  <c r="U678" i="3"/>
  <c r="K680" i="3"/>
  <c r="N681" i="3"/>
  <c r="Q682" i="3"/>
  <c r="T683" i="3"/>
  <c r="J685" i="3"/>
  <c r="M686" i="3"/>
  <c r="P687" i="3"/>
  <c r="S688" i="3"/>
  <c r="V689" i="3"/>
  <c r="L691" i="3"/>
  <c r="O692" i="3"/>
  <c r="R693" i="3"/>
  <c r="U694" i="3"/>
  <c r="K696" i="3"/>
  <c r="N697" i="3"/>
  <c r="Q698" i="3"/>
  <c r="T699" i="3"/>
  <c r="J701" i="3"/>
  <c r="M702" i="3"/>
  <c r="P703" i="3"/>
  <c r="S704" i="3"/>
  <c r="V705" i="3"/>
  <c r="L707" i="3"/>
  <c r="O708" i="3"/>
  <c r="R709" i="3"/>
  <c r="U710" i="3"/>
  <c r="K712" i="3"/>
  <c r="N713" i="3"/>
  <c r="Q714" i="3"/>
  <c r="T715" i="3"/>
  <c r="J717" i="3"/>
  <c r="M718" i="3"/>
  <c r="P719" i="3"/>
  <c r="S720" i="3"/>
  <c r="V721" i="3"/>
  <c r="L723" i="3"/>
  <c r="O724" i="3"/>
  <c r="R725" i="3"/>
  <c r="U726" i="3"/>
  <c r="K728" i="3"/>
  <c r="N729" i="3"/>
  <c r="Q730" i="3"/>
  <c r="T731" i="3"/>
  <c r="J733" i="3"/>
  <c r="M734" i="3"/>
  <c r="P735" i="3"/>
  <c r="S736" i="3"/>
  <c r="V737" i="3"/>
  <c r="L739" i="3"/>
  <c r="O740" i="3"/>
  <c r="R741" i="3"/>
  <c r="U742" i="3"/>
  <c r="K744" i="3"/>
  <c r="N745" i="3"/>
  <c r="Q746" i="3"/>
  <c r="T747" i="3"/>
  <c r="J749" i="3"/>
  <c r="M750" i="3"/>
  <c r="P751" i="3"/>
  <c r="S752" i="3"/>
  <c r="V753" i="3"/>
  <c r="L755" i="3"/>
  <c r="O756" i="3"/>
  <c r="R757" i="3"/>
  <c r="U758" i="3"/>
  <c r="K760" i="3"/>
  <c r="N761" i="3"/>
  <c r="Q762" i="3"/>
  <c r="T763" i="3"/>
  <c r="J765" i="3"/>
  <c r="M766" i="3"/>
  <c r="P767" i="3"/>
  <c r="R768" i="3"/>
  <c r="S769" i="3"/>
  <c r="Q770" i="3"/>
  <c r="R771" i="3"/>
  <c r="R772" i="3"/>
  <c r="Q773" i="3"/>
  <c r="R774" i="3"/>
  <c r="P775" i="3"/>
  <c r="Q776" i="3"/>
  <c r="Q777" i="3"/>
  <c r="P778" i="3"/>
  <c r="Q779" i="3"/>
  <c r="O780" i="3"/>
  <c r="P781" i="3"/>
  <c r="P782" i="3"/>
  <c r="O783" i="3"/>
  <c r="P784" i="3"/>
  <c r="N785" i="3"/>
  <c r="O786" i="3"/>
  <c r="O787" i="3"/>
  <c r="N788" i="3"/>
  <c r="O789" i="3"/>
  <c r="M790" i="3"/>
  <c r="N791" i="3"/>
  <c r="N792" i="3"/>
  <c r="M793" i="3"/>
  <c r="L794" i="3"/>
  <c r="J795" i="3"/>
  <c r="T795" i="3"/>
  <c r="R796" i="3"/>
  <c r="P797" i="3"/>
  <c r="M798" i="3"/>
  <c r="K799" i="3"/>
  <c r="V799" i="3"/>
  <c r="S800" i="3"/>
  <c r="Q801" i="3"/>
  <c r="O802" i="3"/>
  <c r="L803" i="3"/>
  <c r="J804" i="3"/>
  <c r="U804" i="3"/>
  <c r="R805" i="3"/>
  <c r="P806" i="3"/>
  <c r="L807" i="3"/>
  <c r="T807" i="3"/>
  <c r="O808" i="3"/>
  <c r="J809" i="3"/>
  <c r="R809" i="3"/>
  <c r="M810" i="3"/>
  <c r="U810" i="3"/>
  <c r="P811" i="3"/>
  <c r="K812" i="3"/>
  <c r="S812" i="3"/>
  <c r="N813" i="3"/>
  <c r="V813" i="3"/>
  <c r="Q814" i="3"/>
  <c r="L815" i="3"/>
  <c r="T815" i="3"/>
  <c r="O816" i="3"/>
  <c r="J817" i="3"/>
  <c r="R817" i="3"/>
  <c r="M818" i="3"/>
  <c r="U818" i="3"/>
  <c r="P819" i="3"/>
  <c r="K820" i="3"/>
  <c r="S820" i="3"/>
  <c r="N821" i="3"/>
  <c r="V821" i="3"/>
  <c r="Q822" i="3"/>
  <c r="L823" i="3"/>
  <c r="T823" i="3"/>
  <c r="O824" i="3"/>
  <c r="J825" i="3"/>
  <c r="R825" i="3"/>
  <c r="M826" i="3"/>
  <c r="U826" i="3"/>
  <c r="P827" i="3"/>
  <c r="K828" i="3"/>
  <c r="S828" i="3"/>
  <c r="N829" i="3"/>
  <c r="V829" i="3"/>
  <c r="Q830" i="3"/>
  <c r="L831" i="3"/>
  <c r="T831" i="3"/>
  <c r="O832" i="3"/>
  <c r="J833" i="3"/>
  <c r="R833" i="3"/>
  <c r="M834" i="3"/>
  <c r="U834" i="3"/>
  <c r="P835" i="3"/>
  <c r="K836" i="3"/>
  <c r="S836" i="3"/>
  <c r="N837" i="3"/>
  <c r="V837" i="3"/>
  <c r="Q838" i="3"/>
  <c r="L839" i="3"/>
  <c r="T839" i="3"/>
  <c r="O840" i="3"/>
  <c r="J841" i="3"/>
  <c r="R841" i="3"/>
  <c r="M842" i="3"/>
  <c r="U842" i="3"/>
  <c r="P843" i="3"/>
  <c r="K844" i="3"/>
  <c r="S844" i="3"/>
  <c r="N845" i="3"/>
  <c r="V845" i="3"/>
  <c r="Q846" i="3"/>
  <c r="L847" i="3"/>
  <c r="T847" i="3"/>
  <c r="O848" i="3"/>
  <c r="J849" i="3"/>
  <c r="R849" i="3"/>
  <c r="M850" i="3"/>
  <c r="U850" i="3"/>
  <c r="P851" i="3"/>
  <c r="K852" i="3"/>
  <c r="S852" i="3"/>
  <c r="N853" i="3"/>
  <c r="V853" i="3"/>
  <c r="Q854" i="3"/>
  <c r="L855" i="3"/>
  <c r="T855" i="3"/>
  <c r="O856" i="3"/>
  <c r="J857" i="3"/>
  <c r="R857" i="3"/>
  <c r="M858" i="3"/>
  <c r="U858" i="3"/>
  <c r="P859" i="3"/>
  <c r="K860" i="3"/>
  <c r="S860" i="3"/>
  <c r="N861" i="3"/>
  <c r="V861" i="3"/>
  <c r="Q862" i="3"/>
  <c r="L863" i="3"/>
  <c r="T863" i="3"/>
  <c r="O864" i="3"/>
  <c r="J865" i="3"/>
  <c r="R865" i="3"/>
  <c r="M866" i="3"/>
  <c r="U866" i="3"/>
  <c r="P867" i="3"/>
  <c r="K868" i="3"/>
  <c r="S868" i="3"/>
  <c r="N869" i="3"/>
  <c r="V869" i="3"/>
  <c r="Q870" i="3"/>
  <c r="L871" i="3"/>
  <c r="T871" i="3"/>
  <c r="O872" i="3"/>
  <c r="J873" i="3"/>
  <c r="R873" i="3"/>
  <c r="M874" i="3"/>
  <c r="U874" i="3"/>
  <c r="P875" i="3"/>
  <c r="K876" i="3"/>
  <c r="S876" i="3"/>
  <c r="N877" i="3"/>
  <c r="V877" i="3"/>
  <c r="Q878" i="3"/>
  <c r="L879" i="3"/>
  <c r="T879" i="3"/>
  <c r="O880" i="3"/>
  <c r="J881" i="3"/>
  <c r="R881" i="3"/>
  <c r="M882" i="3"/>
  <c r="U882" i="3"/>
  <c r="P883" i="3"/>
  <c r="K884" i="3"/>
  <c r="S884" i="3"/>
  <c r="N885" i="3"/>
  <c r="V885" i="3"/>
  <c r="Q886" i="3"/>
  <c r="L887" i="3"/>
  <c r="T887" i="3"/>
  <c r="O888" i="3"/>
  <c r="J889" i="3"/>
  <c r="R889" i="3"/>
  <c r="M890" i="3"/>
  <c r="U890" i="3"/>
  <c r="P891" i="3"/>
  <c r="K892" i="3"/>
  <c r="S892" i="3"/>
  <c r="N893" i="3"/>
  <c r="V893" i="3"/>
  <c r="Q894" i="3"/>
  <c r="L895" i="3"/>
  <c r="T895" i="3"/>
  <c r="O896" i="3"/>
  <c r="J897" i="3"/>
  <c r="R897" i="3"/>
  <c r="M898" i="3"/>
  <c r="U898" i="3"/>
  <c r="P899" i="3"/>
  <c r="K900" i="3"/>
  <c r="S900" i="3"/>
  <c r="N901" i="3"/>
  <c r="V901" i="3"/>
  <c r="Q902" i="3"/>
  <c r="L903" i="3"/>
  <c r="T903" i="3"/>
  <c r="O904" i="3"/>
  <c r="J905" i="3"/>
  <c r="R905" i="3"/>
  <c r="M906" i="3"/>
  <c r="U906" i="3"/>
  <c r="P907" i="3"/>
  <c r="K908" i="3"/>
  <c r="S908" i="3"/>
  <c r="N909" i="3"/>
  <c r="V909" i="3"/>
  <c r="Q910" i="3"/>
  <c r="L911" i="3"/>
  <c r="T911" i="3"/>
  <c r="O912" i="3"/>
  <c r="J913" i="3"/>
  <c r="R913" i="3"/>
  <c r="M914" i="3"/>
  <c r="U914" i="3"/>
  <c r="P915" i="3"/>
  <c r="K916" i="3"/>
  <c r="S916" i="3"/>
  <c r="N917" i="3"/>
  <c r="V917" i="3"/>
  <c r="Q918" i="3"/>
  <c r="L919" i="3"/>
  <c r="T919" i="3"/>
  <c r="O920" i="3"/>
  <c r="J921" i="3"/>
  <c r="M403" i="3"/>
  <c r="U476" i="3"/>
  <c r="M516" i="3"/>
  <c r="M544" i="3"/>
  <c r="S557" i="3"/>
  <c r="Q567" i="3"/>
  <c r="O577" i="3"/>
  <c r="M587" i="3"/>
  <c r="K597" i="3"/>
  <c r="V606" i="3"/>
  <c r="N615" i="3"/>
  <c r="R621" i="3"/>
  <c r="O626" i="3"/>
  <c r="P629" i="3"/>
  <c r="V631" i="3"/>
  <c r="O634" i="3"/>
  <c r="U636" i="3"/>
  <c r="N639" i="3"/>
  <c r="T641" i="3"/>
  <c r="M644" i="3"/>
  <c r="S646" i="3"/>
  <c r="L649" i="3"/>
  <c r="R651" i="3"/>
  <c r="K654" i="3"/>
  <c r="Q656" i="3"/>
  <c r="J659" i="3"/>
  <c r="P661" i="3"/>
  <c r="M663" i="3"/>
  <c r="P664" i="3"/>
  <c r="S665" i="3"/>
  <c r="V666" i="3"/>
  <c r="L668" i="3"/>
  <c r="O669" i="3"/>
  <c r="R670" i="3"/>
  <c r="U671" i="3"/>
  <c r="K673" i="3"/>
  <c r="N674" i="3"/>
  <c r="Q675" i="3"/>
  <c r="T676" i="3"/>
  <c r="J678" i="3"/>
  <c r="M679" i="3"/>
  <c r="P680" i="3"/>
  <c r="S681" i="3"/>
  <c r="V682" i="3"/>
  <c r="L684" i="3"/>
  <c r="O685" i="3"/>
  <c r="R686" i="3"/>
  <c r="U687" i="3"/>
  <c r="K689" i="3"/>
  <c r="N690" i="3"/>
  <c r="Q691" i="3"/>
  <c r="T692" i="3"/>
  <c r="J694" i="3"/>
  <c r="M695" i="3"/>
  <c r="P696" i="3"/>
  <c r="S697" i="3"/>
  <c r="V698" i="3"/>
  <c r="L700" i="3"/>
  <c r="O701" i="3"/>
  <c r="R702" i="3"/>
  <c r="U703" i="3"/>
  <c r="K705" i="3"/>
  <c r="N706" i="3"/>
  <c r="Q707" i="3"/>
  <c r="T708" i="3"/>
  <c r="J710" i="3"/>
  <c r="M711" i="3"/>
  <c r="P712" i="3"/>
  <c r="S713" i="3"/>
  <c r="V714" i="3"/>
  <c r="L716" i="3"/>
  <c r="O717" i="3"/>
  <c r="R718" i="3"/>
  <c r="U719" i="3"/>
  <c r="K721" i="3"/>
  <c r="N722" i="3"/>
  <c r="Q723" i="3"/>
  <c r="T724" i="3"/>
  <c r="J726" i="3"/>
  <c r="M727" i="3"/>
  <c r="P728" i="3"/>
  <c r="S729" i="3"/>
  <c r="V730" i="3"/>
  <c r="L732" i="3"/>
  <c r="O733" i="3"/>
  <c r="R734" i="3"/>
  <c r="U735" i="3"/>
  <c r="K737" i="3"/>
  <c r="N738" i="3"/>
  <c r="Q739" i="3"/>
  <c r="T740" i="3"/>
  <c r="J742" i="3"/>
  <c r="M743" i="3"/>
  <c r="P744" i="3"/>
  <c r="S745" i="3"/>
  <c r="V746" i="3"/>
  <c r="L748" i="3"/>
  <c r="O749" i="3"/>
  <c r="R750" i="3"/>
  <c r="U751" i="3"/>
  <c r="K753" i="3"/>
  <c r="N754" i="3"/>
  <c r="Q755" i="3"/>
  <c r="T756" i="3"/>
  <c r="J758" i="3"/>
  <c r="M759" i="3"/>
  <c r="P760" i="3"/>
  <c r="S761" i="3"/>
  <c r="V762" i="3"/>
  <c r="L764" i="3"/>
  <c r="O765" i="3"/>
  <c r="R766" i="3"/>
  <c r="U767" i="3"/>
  <c r="S768" i="3"/>
  <c r="T769" i="3"/>
  <c r="T770" i="3"/>
  <c r="S771" i="3"/>
  <c r="T772" i="3"/>
  <c r="R773" i="3"/>
  <c r="S774" i="3"/>
  <c r="S775" i="3"/>
  <c r="R776" i="3"/>
  <c r="S777" i="3"/>
  <c r="Q778" i="3"/>
  <c r="R779" i="3"/>
  <c r="R780" i="3"/>
  <c r="Q781" i="3"/>
  <c r="R782" i="3"/>
  <c r="P783" i="3"/>
  <c r="Q784" i="3"/>
  <c r="Q785" i="3"/>
  <c r="P786" i="3"/>
  <c r="Q787" i="3"/>
  <c r="O788" i="3"/>
  <c r="P789" i="3"/>
  <c r="P790" i="3"/>
  <c r="O791" i="3"/>
  <c r="P792" i="3"/>
  <c r="N793" i="3"/>
  <c r="N794" i="3"/>
  <c r="K795" i="3"/>
  <c r="V795" i="3"/>
  <c r="T796" i="3"/>
  <c r="Q797" i="3"/>
  <c r="O798" i="3"/>
  <c r="M799" i="3"/>
  <c r="J800" i="3"/>
  <c r="U800" i="3"/>
  <c r="S801" i="3"/>
  <c r="P802" i="3"/>
  <c r="N803" i="3"/>
  <c r="L804" i="3"/>
  <c r="V804" i="3"/>
  <c r="T805" i="3"/>
  <c r="R806" i="3"/>
  <c r="M807" i="3"/>
  <c r="U807" i="3"/>
  <c r="P808" i="3"/>
  <c r="K809" i="3"/>
  <c r="S809" i="3"/>
  <c r="N810" i="3"/>
  <c r="V810" i="3"/>
  <c r="Q811" i="3"/>
  <c r="L812" i="3"/>
  <c r="T812" i="3"/>
  <c r="O813" i="3"/>
  <c r="J814" i="3"/>
  <c r="R814" i="3"/>
  <c r="M815" i="3"/>
  <c r="U815" i="3"/>
  <c r="P816" i="3"/>
  <c r="K817" i="3"/>
  <c r="S817" i="3"/>
  <c r="N818" i="3"/>
  <c r="V818" i="3"/>
  <c r="Q819" i="3"/>
  <c r="L820" i="3"/>
  <c r="T820" i="3"/>
  <c r="O821" i="3"/>
  <c r="J822" i="3"/>
  <c r="R822" i="3"/>
  <c r="M823" i="3"/>
  <c r="U823" i="3"/>
  <c r="P824" i="3"/>
  <c r="K825" i="3"/>
  <c r="S825" i="3"/>
  <c r="N826" i="3"/>
  <c r="V826" i="3"/>
  <c r="Q827" i="3"/>
  <c r="L828" i="3"/>
  <c r="T828" i="3"/>
  <c r="O829" i="3"/>
  <c r="J830" i="3"/>
  <c r="R830" i="3"/>
  <c r="M831" i="3"/>
  <c r="U831" i="3"/>
  <c r="P832" i="3"/>
  <c r="K833" i="3"/>
  <c r="S833" i="3"/>
  <c r="N834" i="3"/>
  <c r="V834" i="3"/>
  <c r="Q835" i="3"/>
  <c r="L836" i="3"/>
  <c r="T836" i="3"/>
  <c r="O837" i="3"/>
  <c r="J838" i="3"/>
  <c r="R838" i="3"/>
  <c r="M839" i="3"/>
  <c r="U839" i="3"/>
  <c r="P840" i="3"/>
  <c r="K841" i="3"/>
  <c r="S841" i="3"/>
  <c r="N842" i="3"/>
  <c r="V842" i="3"/>
  <c r="Q843" i="3"/>
  <c r="L844" i="3"/>
  <c r="T844" i="3"/>
  <c r="O845" i="3"/>
  <c r="J846" i="3"/>
  <c r="R846" i="3"/>
  <c r="M847" i="3"/>
  <c r="U847" i="3"/>
  <c r="P848" i="3"/>
  <c r="K849" i="3"/>
  <c r="S849" i="3"/>
  <c r="N850" i="3"/>
  <c r="V850" i="3"/>
  <c r="Q851" i="3"/>
  <c r="L852" i="3"/>
  <c r="T852" i="3"/>
  <c r="O853" i="3"/>
  <c r="J854" i="3"/>
  <c r="R854" i="3"/>
  <c r="M855" i="3"/>
  <c r="U855" i="3"/>
  <c r="P856" i="3"/>
  <c r="K857" i="3"/>
  <c r="S857" i="3"/>
  <c r="N858" i="3"/>
  <c r="V858" i="3"/>
  <c r="Q859" i="3"/>
  <c r="L860" i="3"/>
  <c r="T860" i="3"/>
  <c r="O861" i="3"/>
  <c r="J862" i="3"/>
  <c r="R862" i="3"/>
  <c r="M863" i="3"/>
  <c r="U863" i="3"/>
  <c r="P864" i="3"/>
  <c r="K865" i="3"/>
  <c r="S865" i="3"/>
  <c r="N866" i="3"/>
  <c r="V866" i="3"/>
  <c r="Q867" i="3"/>
  <c r="L868" i="3"/>
  <c r="T868" i="3"/>
  <c r="O869" i="3"/>
  <c r="J870" i="3"/>
  <c r="R870" i="3"/>
  <c r="M871" i="3"/>
  <c r="U871" i="3"/>
  <c r="P872" i="3"/>
  <c r="K873" i="3"/>
  <c r="S873" i="3"/>
  <c r="N874" i="3"/>
  <c r="V874" i="3"/>
  <c r="Q875" i="3"/>
  <c r="L876" i="3"/>
  <c r="T876" i="3"/>
  <c r="O877" i="3"/>
  <c r="J878" i="3"/>
  <c r="R878" i="3"/>
  <c r="M879" i="3"/>
  <c r="U879" i="3"/>
  <c r="P880" i="3"/>
  <c r="K881" i="3"/>
  <c r="S881" i="3"/>
  <c r="N882" i="3"/>
  <c r="V882" i="3"/>
  <c r="Q883" i="3"/>
  <c r="L884" i="3"/>
  <c r="T884" i="3"/>
  <c r="O885" i="3"/>
  <c r="J886" i="3"/>
  <c r="R886" i="3"/>
  <c r="M887" i="3"/>
  <c r="U887" i="3"/>
  <c r="P888" i="3"/>
  <c r="K889" i="3"/>
  <c r="S889" i="3"/>
  <c r="N890" i="3"/>
  <c r="V890" i="3"/>
  <c r="Q891" i="3"/>
  <c r="L892" i="3"/>
  <c r="T892" i="3"/>
  <c r="O893" i="3"/>
  <c r="J894" i="3"/>
  <c r="R894" i="3"/>
  <c r="M895" i="3"/>
  <c r="U895" i="3"/>
  <c r="P896" i="3"/>
  <c r="K897" i="3"/>
  <c r="S897" i="3"/>
  <c r="N898" i="3"/>
  <c r="V898" i="3"/>
  <c r="Q899" i="3"/>
  <c r="L900" i="3"/>
  <c r="T900" i="3"/>
  <c r="O901" i="3"/>
  <c r="J902" i="3"/>
  <c r="R902" i="3"/>
  <c r="M903" i="3"/>
  <c r="U903" i="3"/>
  <c r="P904" i="3"/>
  <c r="K905" i="3"/>
  <c r="S905" i="3"/>
  <c r="N906" i="3"/>
  <c r="V906" i="3"/>
  <c r="Q907" i="3"/>
  <c r="L908" i="3"/>
  <c r="T908" i="3"/>
  <c r="O909" i="3"/>
  <c r="J910" i="3"/>
  <c r="R910" i="3"/>
  <c r="M911" i="3"/>
  <c r="U911" i="3"/>
  <c r="P912" i="3"/>
  <c r="K913" i="3"/>
  <c r="S913" i="3"/>
  <c r="N914" i="3"/>
  <c r="V914" i="3"/>
  <c r="Q915" i="3"/>
  <c r="L916" i="3"/>
  <c r="J436" i="3"/>
  <c r="J486" i="3"/>
  <c r="O525" i="3"/>
  <c r="R547" i="3"/>
  <c r="V559" i="3"/>
  <c r="T569" i="3"/>
  <c r="R579" i="3"/>
  <c r="P589" i="3"/>
  <c r="N599" i="3"/>
  <c r="L609" i="3"/>
  <c r="T616" i="3"/>
  <c r="S622" i="3"/>
  <c r="M627" i="3"/>
  <c r="J630" i="3"/>
  <c r="P632" i="3"/>
  <c r="V634" i="3"/>
  <c r="O637" i="3"/>
  <c r="U639" i="3"/>
  <c r="N642" i="3"/>
  <c r="T644" i="3"/>
  <c r="M647" i="3"/>
  <c r="S649" i="3"/>
  <c r="L652" i="3"/>
  <c r="R654" i="3"/>
  <c r="K657" i="3"/>
  <c r="Q659" i="3"/>
  <c r="J662" i="3"/>
  <c r="N663" i="3"/>
  <c r="Q664" i="3"/>
  <c r="T665" i="3"/>
  <c r="J667" i="3"/>
  <c r="M668" i="3"/>
  <c r="P669" i="3"/>
  <c r="S670" i="3"/>
  <c r="V671" i="3"/>
  <c r="L673" i="3"/>
  <c r="O674" i="3"/>
  <c r="R675" i="3"/>
  <c r="U676" i="3"/>
  <c r="K678" i="3"/>
  <c r="N679" i="3"/>
  <c r="Q680" i="3"/>
  <c r="T681" i="3"/>
  <c r="J683" i="3"/>
  <c r="M684" i="3"/>
  <c r="P685" i="3"/>
  <c r="S686" i="3"/>
  <c r="V687" i="3"/>
  <c r="L689" i="3"/>
  <c r="O690" i="3"/>
  <c r="R691" i="3"/>
  <c r="U692" i="3"/>
  <c r="K694" i="3"/>
  <c r="N695" i="3"/>
  <c r="Q696" i="3"/>
  <c r="T697" i="3"/>
  <c r="J699" i="3"/>
  <c r="M700" i="3"/>
  <c r="P701" i="3"/>
  <c r="S702" i="3"/>
  <c r="V703" i="3"/>
  <c r="L705" i="3"/>
  <c r="O706" i="3"/>
  <c r="R707" i="3"/>
  <c r="U708" i="3"/>
  <c r="K710" i="3"/>
  <c r="N711" i="3"/>
  <c r="Q712" i="3"/>
  <c r="T713" i="3"/>
  <c r="J715" i="3"/>
  <c r="M716" i="3"/>
  <c r="P717" i="3"/>
  <c r="S718" i="3"/>
  <c r="V719" i="3"/>
  <c r="L721" i="3"/>
  <c r="O722" i="3"/>
  <c r="R723" i="3"/>
  <c r="U724" i="3"/>
  <c r="K726" i="3"/>
  <c r="N727" i="3"/>
  <c r="Q728" i="3"/>
  <c r="T729" i="3"/>
  <c r="J731" i="3"/>
  <c r="M732" i="3"/>
  <c r="P733" i="3"/>
  <c r="S734" i="3"/>
  <c r="V735" i="3"/>
  <c r="L737" i="3"/>
  <c r="O738" i="3"/>
  <c r="R739" i="3"/>
  <c r="U740" i="3"/>
  <c r="K742" i="3"/>
  <c r="N743" i="3"/>
  <c r="Q744" i="3"/>
  <c r="T745" i="3"/>
  <c r="J747" i="3"/>
  <c r="M748" i="3"/>
  <c r="P749" i="3"/>
  <c r="S750" i="3"/>
  <c r="V751" i="3"/>
  <c r="L753" i="3"/>
  <c r="O754" i="3"/>
  <c r="R755" i="3"/>
  <c r="U756" i="3"/>
  <c r="K758" i="3"/>
  <c r="N759" i="3"/>
  <c r="Q760" i="3"/>
  <c r="T761" i="3"/>
  <c r="J763" i="3"/>
  <c r="M764" i="3"/>
  <c r="P765" i="3"/>
  <c r="S766" i="3"/>
  <c r="V767" i="3"/>
  <c r="V768" i="3"/>
  <c r="U769" i="3"/>
  <c r="V770" i="3"/>
  <c r="T771" i="3"/>
  <c r="U772" i="3"/>
  <c r="U773" i="3"/>
  <c r="T774" i="3"/>
  <c r="U775" i="3"/>
  <c r="S776" i="3"/>
  <c r="T777" i="3"/>
  <c r="T778" i="3"/>
  <c r="S779" i="3"/>
  <c r="T780" i="3"/>
  <c r="R781" i="3"/>
  <c r="S782" i="3"/>
  <c r="S783" i="3"/>
  <c r="R784" i="3"/>
  <c r="S785" i="3"/>
  <c r="Q786" i="3"/>
  <c r="R787" i="3"/>
  <c r="R788" i="3"/>
  <c r="Q789" i="3"/>
  <c r="R790" i="3"/>
  <c r="P791" i="3"/>
  <c r="Q792" i="3"/>
  <c r="Q793" i="3"/>
  <c r="O794" i="3"/>
  <c r="L795" i="3"/>
  <c r="J796" i="3"/>
  <c r="U796" i="3"/>
  <c r="R797" i="3"/>
  <c r="P798" i="3"/>
  <c r="N799" i="3"/>
  <c r="K800" i="3"/>
  <c r="V800" i="3"/>
  <c r="T801" i="3"/>
  <c r="Q802" i="3"/>
  <c r="O803" i="3"/>
  <c r="M804" i="3"/>
  <c r="J805" i="3"/>
  <c r="U805" i="3"/>
  <c r="S806" i="3"/>
  <c r="N807" i="3"/>
  <c r="V807" i="3"/>
  <c r="Q808" i="3"/>
  <c r="L809" i="3"/>
  <c r="T809" i="3"/>
  <c r="O810" i="3"/>
  <c r="J811" i="3"/>
  <c r="R811" i="3"/>
  <c r="M812" i="3"/>
  <c r="U812" i="3"/>
  <c r="P813" i="3"/>
  <c r="K814" i="3"/>
  <c r="S814" i="3"/>
  <c r="N815" i="3"/>
  <c r="V815" i="3"/>
  <c r="Q816" i="3"/>
  <c r="L817" i="3"/>
  <c r="T817" i="3"/>
  <c r="O818" i="3"/>
  <c r="J819" i="3"/>
  <c r="R819" i="3"/>
  <c r="M820" i="3"/>
  <c r="U820" i="3"/>
  <c r="P821" i="3"/>
  <c r="K822" i="3"/>
  <c r="S822" i="3"/>
  <c r="N823" i="3"/>
  <c r="V823" i="3"/>
  <c r="Q824" i="3"/>
  <c r="L825" i="3"/>
  <c r="T825" i="3"/>
  <c r="O826" i="3"/>
  <c r="J827" i="3"/>
  <c r="R827" i="3"/>
  <c r="M828" i="3"/>
  <c r="U828" i="3"/>
  <c r="P829" i="3"/>
  <c r="K830" i="3"/>
  <c r="S830" i="3"/>
  <c r="N831" i="3"/>
  <c r="V831" i="3"/>
  <c r="Q832" i="3"/>
  <c r="L833" i="3"/>
  <c r="T833" i="3"/>
  <c r="O834" i="3"/>
  <c r="J835" i="3"/>
  <c r="R835" i="3"/>
  <c r="M836" i="3"/>
  <c r="U836" i="3"/>
  <c r="P837" i="3"/>
  <c r="K838" i="3"/>
  <c r="S838" i="3"/>
  <c r="N839" i="3"/>
  <c r="V839" i="3"/>
  <c r="Q840" i="3"/>
  <c r="L841" i="3"/>
  <c r="T841" i="3"/>
  <c r="O842" i="3"/>
  <c r="J843" i="3"/>
  <c r="R843" i="3"/>
  <c r="M844" i="3"/>
  <c r="U844" i="3"/>
  <c r="P845" i="3"/>
  <c r="K846" i="3"/>
  <c r="S846" i="3"/>
  <c r="N847" i="3"/>
  <c r="V847" i="3"/>
  <c r="Q848" i="3"/>
  <c r="L849" i="3"/>
  <c r="T849" i="3"/>
  <c r="O850" i="3"/>
  <c r="J851" i="3"/>
  <c r="R851" i="3"/>
  <c r="M852" i="3"/>
  <c r="U852" i="3"/>
  <c r="P853" i="3"/>
  <c r="K854" i="3"/>
  <c r="S854" i="3"/>
  <c r="N855" i="3"/>
  <c r="V855" i="3"/>
  <c r="Q856" i="3"/>
  <c r="L857" i="3"/>
  <c r="T857" i="3"/>
  <c r="O858" i="3"/>
  <c r="J859" i="3"/>
  <c r="R859" i="3"/>
  <c r="M860" i="3"/>
  <c r="U860" i="3"/>
  <c r="P861" i="3"/>
  <c r="K862" i="3"/>
  <c r="S862" i="3"/>
  <c r="N863" i="3"/>
  <c r="V863" i="3"/>
  <c r="Q864" i="3"/>
  <c r="L865" i="3"/>
  <c r="T865" i="3"/>
  <c r="O866" i="3"/>
  <c r="J867" i="3"/>
  <c r="R867" i="3"/>
  <c r="M868" i="3"/>
  <c r="U868" i="3"/>
  <c r="P869" i="3"/>
  <c r="K870" i="3"/>
  <c r="S870" i="3"/>
  <c r="N871" i="3"/>
  <c r="V871" i="3"/>
  <c r="Q872" i="3"/>
  <c r="L873" i="3"/>
  <c r="T873" i="3"/>
  <c r="O874" i="3"/>
  <c r="J875" i="3"/>
  <c r="R875" i="3"/>
  <c r="M876" i="3"/>
  <c r="U876" i="3"/>
  <c r="P877" i="3"/>
  <c r="K878" i="3"/>
  <c r="S878" i="3"/>
  <c r="N879" i="3"/>
  <c r="V879" i="3"/>
  <c r="Q880" i="3"/>
  <c r="L881" i="3"/>
  <c r="T881" i="3"/>
  <c r="O882" i="3"/>
  <c r="J883" i="3"/>
  <c r="R883" i="3"/>
  <c r="M884" i="3"/>
  <c r="U884" i="3"/>
  <c r="P885" i="3"/>
  <c r="K886" i="3"/>
  <c r="S886" i="3"/>
  <c r="N887" i="3"/>
  <c r="V887" i="3"/>
  <c r="Q888" i="3"/>
  <c r="L889" i="3"/>
  <c r="T889" i="3"/>
  <c r="O890" i="3"/>
  <c r="J891" i="3"/>
  <c r="R891" i="3"/>
  <c r="M892" i="3"/>
  <c r="U892" i="3"/>
  <c r="P893" i="3"/>
  <c r="K894" i="3"/>
  <c r="S894" i="3"/>
  <c r="N895" i="3"/>
  <c r="V895" i="3"/>
  <c r="Q896" i="3"/>
  <c r="L897" i="3"/>
  <c r="T897" i="3"/>
  <c r="O898" i="3"/>
  <c r="J899" i="3"/>
  <c r="R899" i="3"/>
  <c r="M900" i="3"/>
  <c r="U900" i="3"/>
  <c r="P901" i="3"/>
  <c r="K902" i="3"/>
  <c r="S902" i="3"/>
  <c r="N903" i="3"/>
  <c r="V903" i="3"/>
  <c r="N437" i="3"/>
  <c r="S486" i="3"/>
  <c r="K526" i="3"/>
  <c r="K548" i="3"/>
  <c r="L560" i="3"/>
  <c r="J570" i="3"/>
  <c r="U579" i="3"/>
  <c r="S589" i="3"/>
  <c r="Q599" i="3"/>
  <c r="O609" i="3"/>
  <c r="K617" i="3"/>
  <c r="U622" i="3"/>
  <c r="N627" i="3"/>
  <c r="K630" i="3"/>
  <c r="Q632" i="3"/>
  <c r="J635" i="3"/>
  <c r="P637" i="3"/>
  <c r="V639" i="3"/>
  <c r="O642" i="3"/>
  <c r="U644" i="3"/>
  <c r="N647" i="3"/>
  <c r="T649" i="3"/>
  <c r="M652" i="3"/>
  <c r="S654" i="3"/>
  <c r="L657" i="3"/>
  <c r="R659" i="3"/>
  <c r="K662" i="3"/>
  <c r="O663" i="3"/>
  <c r="R664" i="3"/>
  <c r="U665" i="3"/>
  <c r="K667" i="3"/>
  <c r="N668" i="3"/>
  <c r="Q669" i="3"/>
  <c r="T670" i="3"/>
  <c r="J672" i="3"/>
  <c r="M673" i="3"/>
  <c r="P674" i="3"/>
  <c r="S675" i="3"/>
  <c r="V676" i="3"/>
  <c r="L678" i="3"/>
  <c r="O679" i="3"/>
  <c r="R680" i="3"/>
  <c r="U681" i="3"/>
  <c r="K683" i="3"/>
  <c r="N684" i="3"/>
  <c r="Q685" i="3"/>
  <c r="T686" i="3"/>
  <c r="J688" i="3"/>
  <c r="M689" i="3"/>
  <c r="P690" i="3"/>
  <c r="S691" i="3"/>
  <c r="V692" i="3"/>
  <c r="L694" i="3"/>
  <c r="O695" i="3"/>
  <c r="R696" i="3"/>
  <c r="U697" i="3"/>
  <c r="K699" i="3"/>
  <c r="N700" i="3"/>
  <c r="Q701" i="3"/>
  <c r="T702" i="3"/>
  <c r="J704" i="3"/>
  <c r="M705" i="3"/>
  <c r="P706" i="3"/>
  <c r="S707" i="3"/>
  <c r="V708" i="3"/>
  <c r="L710" i="3"/>
  <c r="O711" i="3"/>
  <c r="R712" i="3"/>
  <c r="U713" i="3"/>
  <c r="K715" i="3"/>
  <c r="N716" i="3"/>
  <c r="Q717" i="3"/>
  <c r="T718" i="3"/>
  <c r="J720" i="3"/>
  <c r="M721" i="3"/>
  <c r="P722" i="3"/>
  <c r="S723" i="3"/>
  <c r="V724" i="3"/>
  <c r="L726" i="3"/>
  <c r="O727" i="3"/>
  <c r="R728" i="3"/>
  <c r="U729" i="3"/>
  <c r="K731" i="3"/>
  <c r="N732" i="3"/>
  <c r="Q733" i="3"/>
  <c r="T734" i="3"/>
  <c r="J736" i="3"/>
  <c r="M737" i="3"/>
  <c r="P738" i="3"/>
  <c r="S739" i="3"/>
  <c r="V740" i="3"/>
  <c r="L742" i="3"/>
  <c r="O743" i="3"/>
  <c r="R744" i="3"/>
  <c r="U745" i="3"/>
  <c r="K747" i="3"/>
  <c r="N748" i="3"/>
  <c r="Q749" i="3"/>
  <c r="T750" i="3"/>
  <c r="J752" i="3"/>
  <c r="M753" i="3"/>
  <c r="P754" i="3"/>
  <c r="S755" i="3"/>
  <c r="V756" i="3"/>
  <c r="L758" i="3"/>
  <c r="O759" i="3"/>
  <c r="R760" i="3"/>
  <c r="U761" i="3"/>
  <c r="K763" i="3"/>
  <c r="N764" i="3"/>
  <c r="Q765" i="3"/>
  <c r="T766" i="3"/>
  <c r="J768" i="3"/>
  <c r="K769" i="3"/>
  <c r="V769" i="3"/>
  <c r="J771" i="3"/>
  <c r="J772" i="3"/>
  <c r="V772" i="3"/>
  <c r="J774" i="3"/>
  <c r="U774" i="3"/>
  <c r="V775" i="3"/>
  <c r="V776" i="3"/>
  <c r="U777" i="3"/>
  <c r="V778" i="3"/>
  <c r="T779" i="3"/>
  <c r="U780" i="3"/>
  <c r="U781" i="3"/>
  <c r="T782" i="3"/>
  <c r="U783" i="3"/>
  <c r="S784" i="3"/>
  <c r="T785" i="3"/>
  <c r="T786" i="3"/>
  <c r="S787" i="3"/>
  <c r="T788" i="3"/>
  <c r="R789" i="3"/>
  <c r="S790" i="3"/>
  <c r="S791" i="3"/>
  <c r="R792" i="3"/>
  <c r="S793" i="3"/>
  <c r="P794" i="3"/>
  <c r="N795" i="3"/>
  <c r="L796" i="3"/>
  <c r="V796" i="3"/>
  <c r="T797" i="3"/>
  <c r="R798" i="3"/>
  <c r="O799" i="3"/>
  <c r="M800" i="3"/>
  <c r="K801" i="3"/>
  <c r="U801" i="3"/>
  <c r="S802" i="3"/>
  <c r="Q803" i="3"/>
  <c r="N804" i="3"/>
  <c r="L805" i="3"/>
  <c r="J806" i="3"/>
  <c r="T806" i="3"/>
  <c r="O807" i="3"/>
  <c r="J808" i="3"/>
  <c r="R808" i="3"/>
  <c r="M809" i="3"/>
  <c r="U809" i="3"/>
  <c r="P810" i="3"/>
  <c r="K811" i="3"/>
  <c r="S811" i="3"/>
  <c r="N812" i="3"/>
  <c r="V812" i="3"/>
  <c r="Q813" i="3"/>
  <c r="L814" i="3"/>
  <c r="T814" i="3"/>
  <c r="O815" i="3"/>
  <c r="J816" i="3"/>
  <c r="R816" i="3"/>
  <c r="M817" i="3"/>
  <c r="U817" i="3"/>
  <c r="P818" i="3"/>
  <c r="K819" i="3"/>
  <c r="S819" i="3"/>
  <c r="N820" i="3"/>
  <c r="V820" i="3"/>
  <c r="Q821" i="3"/>
  <c r="L822" i="3"/>
  <c r="T822" i="3"/>
  <c r="O823" i="3"/>
  <c r="J824" i="3"/>
  <c r="R824" i="3"/>
  <c r="M825" i="3"/>
  <c r="U825" i="3"/>
  <c r="P826" i="3"/>
  <c r="K827" i="3"/>
  <c r="S827" i="3"/>
  <c r="N828" i="3"/>
  <c r="V828" i="3"/>
  <c r="Q829" i="3"/>
  <c r="L830" i="3"/>
  <c r="T830" i="3"/>
  <c r="O831" i="3"/>
  <c r="J832" i="3"/>
  <c r="R832" i="3"/>
  <c r="M833" i="3"/>
  <c r="U833" i="3"/>
  <c r="P834" i="3"/>
  <c r="K835" i="3"/>
  <c r="S835" i="3"/>
  <c r="N836" i="3"/>
  <c r="V836" i="3"/>
  <c r="Q837" i="3"/>
  <c r="L838" i="3"/>
  <c r="T838" i="3"/>
  <c r="O839" i="3"/>
  <c r="J840" i="3"/>
  <c r="R840" i="3"/>
  <c r="M841" i="3"/>
  <c r="U841" i="3"/>
  <c r="P842" i="3"/>
  <c r="K843" i="3"/>
  <c r="S843" i="3"/>
  <c r="N844" i="3"/>
  <c r="V844" i="3"/>
  <c r="Q845" i="3"/>
  <c r="L846" i="3"/>
  <c r="T846" i="3"/>
  <c r="O847" i="3"/>
  <c r="J848" i="3"/>
  <c r="R848" i="3"/>
  <c r="M849" i="3"/>
  <c r="U849" i="3"/>
  <c r="P850" i="3"/>
  <c r="K851" i="3"/>
  <c r="S851" i="3"/>
  <c r="N852" i="3"/>
  <c r="V852" i="3"/>
  <c r="Q853" i="3"/>
  <c r="L854" i="3"/>
  <c r="T854" i="3"/>
  <c r="O855" i="3"/>
  <c r="J856" i="3"/>
  <c r="R856" i="3"/>
  <c r="M857" i="3"/>
  <c r="U857" i="3"/>
  <c r="P858" i="3"/>
  <c r="K859" i="3"/>
  <c r="S859" i="3"/>
  <c r="N860" i="3"/>
  <c r="V860" i="3"/>
  <c r="Q861" i="3"/>
  <c r="L862" i="3"/>
  <c r="T862" i="3"/>
  <c r="O863" i="3"/>
  <c r="J864" i="3"/>
  <c r="R864" i="3"/>
  <c r="M865" i="3"/>
  <c r="U865" i="3"/>
  <c r="P866" i="3"/>
  <c r="K867" i="3"/>
  <c r="S867" i="3"/>
  <c r="N868" i="3"/>
  <c r="V868" i="3"/>
  <c r="Q869" i="3"/>
  <c r="L870" i="3"/>
  <c r="T870" i="3"/>
  <c r="O871" i="3"/>
  <c r="J872" i="3"/>
  <c r="R872" i="3"/>
  <c r="M873" i="3"/>
  <c r="U873" i="3"/>
  <c r="P874" i="3"/>
  <c r="K875" i="3"/>
  <c r="S875" i="3"/>
  <c r="N876" i="3"/>
  <c r="V876" i="3"/>
  <c r="Q877" i="3"/>
  <c r="L878" i="3"/>
  <c r="T878" i="3"/>
  <c r="O879" i="3"/>
  <c r="J880" i="3"/>
  <c r="R880" i="3"/>
  <c r="M881" i="3"/>
  <c r="U881" i="3"/>
  <c r="P882" i="3"/>
  <c r="K883" i="3"/>
  <c r="S883" i="3"/>
  <c r="N884" i="3"/>
  <c r="V884" i="3"/>
  <c r="Q885" i="3"/>
  <c r="L886" i="3"/>
  <c r="T886" i="3"/>
  <c r="O887" i="3"/>
  <c r="J888" i="3"/>
  <c r="R888" i="3"/>
  <c r="M889" i="3"/>
  <c r="U889" i="3"/>
  <c r="P890" i="3"/>
  <c r="U453" i="3"/>
  <c r="Q496" i="3"/>
  <c r="S534" i="3"/>
  <c r="V551" i="3"/>
  <c r="R562" i="3"/>
  <c r="P572" i="3"/>
  <c r="N582" i="3"/>
  <c r="L592" i="3"/>
  <c r="J602" i="3"/>
  <c r="U611" i="3"/>
  <c r="R618" i="3"/>
  <c r="K624" i="3"/>
  <c r="M628" i="3"/>
  <c r="S630" i="3"/>
  <c r="L633" i="3"/>
  <c r="R635" i="3"/>
  <c r="K638" i="3"/>
  <c r="Q640" i="3"/>
  <c r="J643" i="3"/>
  <c r="P645" i="3"/>
  <c r="V647" i="3"/>
  <c r="O650" i="3"/>
  <c r="U652" i="3"/>
  <c r="N655" i="3"/>
  <c r="T657" i="3"/>
  <c r="M660" i="3"/>
  <c r="R662" i="3"/>
  <c r="U663" i="3"/>
  <c r="K665" i="3"/>
  <c r="N666" i="3"/>
  <c r="Q667" i="3"/>
  <c r="T668" i="3"/>
  <c r="J670" i="3"/>
  <c r="M671" i="3"/>
  <c r="P672" i="3"/>
  <c r="S673" i="3"/>
  <c r="V674" i="3"/>
  <c r="L676" i="3"/>
  <c r="O677" i="3"/>
  <c r="R678" i="3"/>
  <c r="U679" i="3"/>
  <c r="K681" i="3"/>
  <c r="N682" i="3"/>
  <c r="Q683" i="3"/>
  <c r="T684" i="3"/>
  <c r="J686" i="3"/>
  <c r="M687" i="3"/>
  <c r="P688" i="3"/>
  <c r="S689" i="3"/>
  <c r="V690" i="3"/>
  <c r="L692" i="3"/>
  <c r="O693" i="3"/>
  <c r="R694" i="3"/>
  <c r="U695" i="3"/>
  <c r="K697" i="3"/>
  <c r="N698" i="3"/>
  <c r="Q699" i="3"/>
  <c r="T700" i="3"/>
  <c r="J702" i="3"/>
  <c r="M703" i="3"/>
  <c r="P704" i="3"/>
  <c r="S705" i="3"/>
  <c r="V706" i="3"/>
  <c r="L708" i="3"/>
  <c r="O709" i="3"/>
  <c r="R710" i="3"/>
  <c r="U711" i="3"/>
  <c r="K713" i="3"/>
  <c r="N714" i="3"/>
  <c r="Q715" i="3"/>
  <c r="T716" i="3"/>
  <c r="J718" i="3"/>
  <c r="M719" i="3"/>
  <c r="P720" i="3"/>
  <c r="S721" i="3"/>
  <c r="V722" i="3"/>
  <c r="L724" i="3"/>
  <c r="O725" i="3"/>
  <c r="R726" i="3"/>
  <c r="U727" i="3"/>
  <c r="K729" i="3"/>
  <c r="N730" i="3"/>
  <c r="Q731" i="3"/>
  <c r="T732" i="3"/>
  <c r="J734" i="3"/>
  <c r="M735" i="3"/>
  <c r="P736" i="3"/>
  <c r="S737" i="3"/>
  <c r="V738" i="3"/>
  <c r="L740" i="3"/>
  <c r="O741" i="3"/>
  <c r="R742" i="3"/>
  <c r="U743" i="3"/>
  <c r="K745" i="3"/>
  <c r="N746" i="3"/>
  <c r="Q747" i="3"/>
  <c r="T748" i="3"/>
  <c r="J750" i="3"/>
  <c r="M751" i="3"/>
  <c r="P752" i="3"/>
  <c r="S753" i="3"/>
  <c r="V754" i="3"/>
  <c r="L756" i="3"/>
  <c r="O757" i="3"/>
  <c r="R758" i="3"/>
  <c r="U759" i="3"/>
  <c r="K761" i="3"/>
  <c r="N762" i="3"/>
  <c r="Q763" i="3"/>
  <c r="T764" i="3"/>
  <c r="J766" i="3"/>
  <c r="M767" i="3"/>
  <c r="N768" i="3"/>
  <c r="M769" i="3"/>
  <c r="N770" i="3"/>
  <c r="L771" i="3"/>
  <c r="M772" i="3"/>
  <c r="M773" i="3"/>
  <c r="L774" i="3"/>
  <c r="M775" i="3"/>
  <c r="K776" i="3"/>
  <c r="L777" i="3"/>
  <c r="L778" i="3"/>
  <c r="K779" i="3"/>
  <c r="L780" i="3"/>
  <c r="J781" i="3"/>
  <c r="K782" i="3"/>
  <c r="K783" i="3"/>
  <c r="J784" i="3"/>
  <c r="K785" i="3"/>
  <c r="V785" i="3"/>
  <c r="J787" i="3"/>
  <c r="J788" i="3"/>
  <c r="V788" i="3"/>
  <c r="J790" i="3"/>
  <c r="U790" i="3"/>
  <c r="V791" i="3"/>
  <c r="V792" i="3"/>
  <c r="U793" i="3"/>
  <c r="S794" i="3"/>
  <c r="Q795" i="3"/>
  <c r="N796" i="3"/>
  <c r="L797" i="3"/>
  <c r="J798" i="3"/>
  <c r="T798" i="3"/>
  <c r="R799" i="3"/>
  <c r="P800" i="3"/>
  <c r="M801" i="3"/>
  <c r="K802" i="3"/>
  <c r="V802" i="3"/>
  <c r="S803" i="3"/>
  <c r="Q804" i="3"/>
  <c r="O805" i="3"/>
  <c r="L806" i="3"/>
  <c r="V806" i="3"/>
  <c r="Q807" i="3"/>
  <c r="L808" i="3"/>
  <c r="T808" i="3"/>
  <c r="O809" i="3"/>
  <c r="J810" i="3"/>
  <c r="R810" i="3"/>
  <c r="M811" i="3"/>
  <c r="U811" i="3"/>
  <c r="P812" i="3"/>
  <c r="K813" i="3"/>
  <c r="S813" i="3"/>
  <c r="N814" i="3"/>
  <c r="V814" i="3"/>
  <c r="Q815" i="3"/>
  <c r="L816" i="3"/>
  <c r="T816" i="3"/>
  <c r="O817" i="3"/>
  <c r="J818" i="3"/>
  <c r="R818" i="3"/>
  <c r="M819" i="3"/>
  <c r="U819" i="3"/>
  <c r="P820" i="3"/>
  <c r="K821" i="3"/>
  <c r="S821" i="3"/>
  <c r="N822" i="3"/>
  <c r="V822" i="3"/>
  <c r="Q823" i="3"/>
  <c r="L824" i="3"/>
  <c r="T824" i="3"/>
  <c r="O825" i="3"/>
  <c r="J826" i="3"/>
  <c r="R826" i="3"/>
  <c r="M827" i="3"/>
  <c r="U827" i="3"/>
  <c r="P828" i="3"/>
  <c r="K829" i="3"/>
  <c r="S829" i="3"/>
  <c r="N830" i="3"/>
  <c r="V830" i="3"/>
  <c r="Q831" i="3"/>
  <c r="L832" i="3"/>
  <c r="T832" i="3"/>
  <c r="O833" i="3"/>
  <c r="J834" i="3"/>
  <c r="R834" i="3"/>
  <c r="M835" i="3"/>
  <c r="U835" i="3"/>
  <c r="P836" i="3"/>
  <c r="K837" i="3"/>
  <c r="S837" i="3"/>
  <c r="N838" i="3"/>
  <c r="V838" i="3"/>
  <c r="Q839" i="3"/>
  <c r="L840" i="3"/>
  <c r="T840" i="3"/>
  <c r="O841" i="3"/>
  <c r="J842" i="3"/>
  <c r="R842" i="3"/>
  <c r="M843" i="3"/>
  <c r="U843" i="3"/>
  <c r="P844" i="3"/>
  <c r="K845" i="3"/>
  <c r="S845" i="3"/>
  <c r="N846" i="3"/>
  <c r="V846" i="3"/>
  <c r="Q847" i="3"/>
  <c r="L848" i="3"/>
  <c r="T848" i="3"/>
  <c r="O849" i="3"/>
  <c r="J850" i="3"/>
  <c r="R850" i="3"/>
  <c r="M851" i="3"/>
  <c r="U851" i="3"/>
  <c r="P852" i="3"/>
  <c r="K853" i="3"/>
  <c r="S853" i="3"/>
  <c r="N854" i="3"/>
  <c r="V854" i="3"/>
  <c r="Q855" i="3"/>
  <c r="L856" i="3"/>
  <c r="T856" i="3"/>
  <c r="O857" i="3"/>
  <c r="J858" i="3"/>
  <c r="R858" i="3"/>
  <c r="M859" i="3"/>
  <c r="U859" i="3"/>
  <c r="P860" i="3"/>
  <c r="K861" i="3"/>
  <c r="S861" i="3"/>
  <c r="N862" i="3"/>
  <c r="V862" i="3"/>
  <c r="Q863" i="3"/>
  <c r="L864" i="3"/>
  <c r="T864" i="3"/>
  <c r="O865" i="3"/>
  <c r="J866" i="3"/>
  <c r="R866" i="3"/>
  <c r="M867" i="3"/>
  <c r="U867" i="3"/>
  <c r="P868" i="3"/>
  <c r="K869" i="3"/>
  <c r="S869" i="3"/>
  <c r="N870" i="3"/>
  <c r="V870" i="3"/>
  <c r="Q871" i="3"/>
  <c r="L872" i="3"/>
  <c r="T872" i="3"/>
  <c r="O873" i="3"/>
  <c r="J874" i="3"/>
  <c r="R874" i="3"/>
  <c r="M875" i="3"/>
  <c r="S452" i="3"/>
  <c r="L540" i="3"/>
  <c r="S574" i="3"/>
  <c r="T601" i="3"/>
  <c r="M620" i="3"/>
  <c r="M631" i="3"/>
  <c r="J638" i="3"/>
  <c r="R643" i="3"/>
  <c r="V650" i="3"/>
  <c r="S657" i="3"/>
  <c r="T662" i="3"/>
  <c r="O666" i="3"/>
  <c r="R669" i="3"/>
  <c r="R672" i="3"/>
  <c r="M676" i="3"/>
  <c r="P679" i="3"/>
  <c r="P682" i="3"/>
  <c r="K686" i="3"/>
  <c r="N689" i="3"/>
  <c r="N692" i="3"/>
  <c r="V695" i="3"/>
  <c r="L699" i="3"/>
  <c r="L702" i="3"/>
  <c r="T705" i="3"/>
  <c r="J709" i="3"/>
  <c r="J712" i="3"/>
  <c r="R715" i="3"/>
  <c r="U718" i="3"/>
  <c r="U721" i="3"/>
  <c r="P725" i="3"/>
  <c r="S728" i="3"/>
  <c r="S731" i="3"/>
  <c r="N735" i="3"/>
  <c r="Q738" i="3"/>
  <c r="Q741" i="3"/>
  <c r="L745" i="3"/>
  <c r="O748" i="3"/>
  <c r="O751" i="3"/>
  <c r="J755" i="3"/>
  <c r="M758" i="3"/>
  <c r="M761" i="3"/>
  <c r="U764" i="3"/>
  <c r="K768" i="3"/>
  <c r="P770" i="3"/>
  <c r="O773" i="3"/>
  <c r="J776" i="3"/>
  <c r="O778" i="3"/>
  <c r="M781" i="3"/>
  <c r="V783" i="3"/>
  <c r="N786" i="3"/>
  <c r="J789" i="3"/>
  <c r="U791" i="3"/>
  <c r="K794" i="3"/>
  <c r="O796" i="3"/>
  <c r="S798" i="3"/>
  <c r="R800" i="3"/>
  <c r="J803" i="3"/>
  <c r="M805" i="3"/>
  <c r="K807" i="3"/>
  <c r="U808" i="3"/>
  <c r="Q810" i="3"/>
  <c r="J812" i="3"/>
  <c r="T813" i="3"/>
  <c r="P815" i="3"/>
  <c r="V816" i="3"/>
  <c r="S818" i="3"/>
  <c r="O820" i="3"/>
  <c r="U821" i="3"/>
  <c r="R823" i="3"/>
  <c r="N825" i="3"/>
  <c r="T826" i="3"/>
  <c r="Q828" i="3"/>
  <c r="M830" i="3"/>
  <c r="S831" i="3"/>
  <c r="P833" i="3"/>
  <c r="L835" i="3"/>
  <c r="R836" i="3"/>
  <c r="O838" i="3"/>
  <c r="K840" i="3"/>
  <c r="Q841" i="3"/>
  <c r="N843" i="3"/>
  <c r="J845" i="3"/>
  <c r="P846" i="3"/>
  <c r="M848" i="3"/>
  <c r="V849" i="3"/>
  <c r="O851" i="3"/>
  <c r="L853" i="3"/>
  <c r="U854" i="3"/>
  <c r="N856" i="3"/>
  <c r="K858" i="3"/>
  <c r="T859" i="3"/>
  <c r="M861" i="3"/>
  <c r="J863" i="3"/>
  <c r="S864" i="3"/>
  <c r="L866" i="3"/>
  <c r="V867" i="3"/>
  <c r="R869" i="3"/>
  <c r="K871" i="3"/>
  <c r="U872" i="3"/>
  <c r="Q874" i="3"/>
  <c r="V875" i="3"/>
  <c r="L877" i="3"/>
  <c r="O878" i="3"/>
  <c r="R879" i="3"/>
  <c r="U880" i="3"/>
  <c r="K882" i="3"/>
  <c r="N883" i="3"/>
  <c r="Q884" i="3"/>
  <c r="T885" i="3"/>
  <c r="J887" i="3"/>
  <c r="M888" i="3"/>
  <c r="P889" i="3"/>
  <c r="S890" i="3"/>
  <c r="T891" i="3"/>
  <c r="R892" i="3"/>
  <c r="S893" i="3"/>
  <c r="T894" i="3"/>
  <c r="R895" i="3"/>
  <c r="S896" i="3"/>
  <c r="Q897" i="3"/>
  <c r="R898" i="3"/>
  <c r="S899" i="3"/>
  <c r="Q900" i="3"/>
  <c r="R901" i="3"/>
  <c r="P902" i="3"/>
  <c r="Q903" i="3"/>
  <c r="Q904" i="3"/>
  <c r="N905" i="3"/>
  <c r="K906" i="3"/>
  <c r="J907" i="3"/>
  <c r="T907" i="3"/>
  <c r="Q908" i="3"/>
  <c r="P909" i="3"/>
  <c r="M910" i="3"/>
  <c r="J911" i="3"/>
  <c r="V911" i="3"/>
  <c r="S912" i="3"/>
  <c r="P913" i="3"/>
  <c r="O914" i="3"/>
  <c r="L915" i="3"/>
  <c r="V915" i="3"/>
  <c r="T916" i="3"/>
  <c r="P917" i="3"/>
  <c r="L918" i="3"/>
  <c r="U918" i="3"/>
  <c r="Q919" i="3"/>
  <c r="M920" i="3"/>
  <c r="V920" i="3"/>
  <c r="R921" i="3"/>
  <c r="M922" i="3"/>
  <c r="U922" i="3"/>
  <c r="P923" i="3"/>
  <c r="K924" i="3"/>
  <c r="S924" i="3"/>
  <c r="N925" i="3"/>
  <c r="V925" i="3"/>
  <c r="Q926" i="3"/>
  <c r="L927" i="3"/>
  <c r="T927" i="3"/>
  <c r="O928" i="3"/>
  <c r="J929" i="3"/>
  <c r="R929" i="3"/>
  <c r="M930" i="3"/>
  <c r="U930" i="3"/>
  <c r="P931" i="3"/>
  <c r="K932" i="3"/>
  <c r="S932" i="3"/>
  <c r="N933" i="3"/>
  <c r="V933" i="3"/>
  <c r="Q934" i="3"/>
  <c r="L935" i="3"/>
  <c r="T935" i="3"/>
  <c r="O936" i="3"/>
  <c r="J937" i="3"/>
  <c r="R937" i="3"/>
  <c r="M938" i="3"/>
  <c r="U938" i="3"/>
  <c r="P939" i="3"/>
  <c r="K940" i="3"/>
  <c r="S940" i="3"/>
  <c r="N941" i="3"/>
  <c r="V941" i="3"/>
  <c r="Q942" i="3"/>
  <c r="L943" i="3"/>
  <c r="T943" i="3"/>
  <c r="O944" i="3"/>
  <c r="J945" i="3"/>
  <c r="R945" i="3"/>
  <c r="M946" i="3"/>
  <c r="U946" i="3"/>
  <c r="P947" i="3"/>
  <c r="K948" i="3"/>
  <c r="S948" i="3"/>
  <c r="N949" i="3"/>
  <c r="V949" i="3"/>
  <c r="Q950" i="3"/>
  <c r="L951" i="3"/>
  <c r="T951" i="3"/>
  <c r="O952" i="3"/>
  <c r="J953" i="3"/>
  <c r="R953" i="3"/>
  <c r="M954" i="3"/>
  <c r="U954" i="3"/>
  <c r="P955" i="3"/>
  <c r="K956" i="3"/>
  <c r="S956" i="3"/>
  <c r="N957" i="3"/>
  <c r="V957" i="3"/>
  <c r="Q958" i="3"/>
  <c r="L959" i="3"/>
  <c r="T959" i="3"/>
  <c r="O960" i="3"/>
  <c r="J961" i="3"/>
  <c r="R961" i="3"/>
  <c r="M962" i="3"/>
  <c r="U962" i="3"/>
  <c r="P963" i="3"/>
  <c r="K964" i="3"/>
  <c r="S964" i="3"/>
  <c r="N965" i="3"/>
  <c r="V965" i="3"/>
  <c r="Q966" i="3"/>
  <c r="L967" i="3"/>
  <c r="T967" i="3"/>
  <c r="O968" i="3"/>
  <c r="J969" i="3"/>
  <c r="R969" i="3"/>
  <c r="M970" i="3"/>
  <c r="U970" i="3"/>
  <c r="P971" i="3"/>
  <c r="K972" i="3"/>
  <c r="S972" i="3"/>
  <c r="N973" i="3"/>
  <c r="V973" i="3"/>
  <c r="Q974" i="3"/>
  <c r="L975" i="3"/>
  <c r="T975" i="3"/>
  <c r="O976" i="3"/>
  <c r="J977" i="3"/>
  <c r="R977" i="3"/>
  <c r="M978" i="3"/>
  <c r="U978" i="3"/>
  <c r="P979" i="3"/>
  <c r="K980" i="3"/>
  <c r="S980" i="3"/>
  <c r="N981" i="3"/>
  <c r="V981" i="3"/>
  <c r="Q982" i="3"/>
  <c r="L983" i="3"/>
  <c r="T983" i="3"/>
  <c r="O984" i="3"/>
  <c r="J985" i="3"/>
  <c r="R985" i="3"/>
  <c r="M986" i="3"/>
  <c r="U986" i="3"/>
  <c r="P987" i="3"/>
  <c r="K988" i="3"/>
  <c r="S988" i="3"/>
  <c r="N989" i="3"/>
  <c r="V989" i="3"/>
  <c r="Q990" i="3"/>
  <c r="L991" i="3"/>
  <c r="T991" i="3"/>
  <c r="O992" i="3"/>
  <c r="J993" i="3"/>
  <c r="R993" i="3"/>
  <c r="M994" i="3"/>
  <c r="U994" i="3"/>
  <c r="P995" i="3"/>
  <c r="K996" i="3"/>
  <c r="S996" i="3"/>
  <c r="N997" i="3"/>
  <c r="V997" i="3"/>
  <c r="Q998" i="3"/>
  <c r="L999" i="3"/>
  <c r="T999" i="3"/>
  <c r="O1000" i="3"/>
  <c r="J1001" i="3"/>
  <c r="R1001" i="3"/>
  <c r="M1002" i="3"/>
  <c r="U1002" i="3"/>
  <c r="P1003" i="3"/>
  <c r="K1004" i="3"/>
  <c r="S1004" i="3"/>
  <c r="T584" i="3"/>
  <c r="M694" i="3"/>
  <c r="V713" i="3"/>
  <c r="T726" i="3"/>
  <c r="R733" i="3"/>
  <c r="P743" i="3"/>
  <c r="N753" i="3"/>
  <c r="L763" i="3"/>
  <c r="L772" i="3"/>
  <c r="M782" i="3"/>
  <c r="L790" i="3"/>
  <c r="O797" i="3"/>
  <c r="V803" i="3"/>
  <c r="Q809" i="3"/>
  <c r="P814" i="3"/>
  <c r="L821" i="3"/>
  <c r="K826" i="3"/>
  <c r="J831" i="3"/>
  <c r="V835" i="3"/>
  <c r="U840" i="3"/>
  <c r="J844" i="3"/>
  <c r="V848" i="3"/>
  <c r="U853" i="3"/>
  <c r="T858" i="3"/>
  <c r="S863" i="3"/>
  <c r="L867" i="3"/>
  <c r="O870" i="3"/>
  <c r="N875" i="3"/>
  <c r="J879" i="3"/>
  <c r="P881" i="3"/>
  <c r="L885" i="3"/>
  <c r="K890" i="3"/>
  <c r="L893" i="3"/>
  <c r="L896" i="3"/>
  <c r="L899" i="3"/>
  <c r="J903" i="3"/>
  <c r="T905" i="3"/>
  <c r="M908" i="3"/>
  <c r="T909" i="3"/>
  <c r="M912" i="3"/>
  <c r="S914" i="3"/>
  <c r="O916" i="3"/>
  <c r="P918" i="3"/>
  <c r="V919" i="3"/>
  <c r="N921" i="3"/>
  <c r="L923" i="3"/>
  <c r="R925" i="3"/>
  <c r="U926" i="3"/>
  <c r="K928" i="3"/>
  <c r="N929" i="3"/>
  <c r="L931" i="3"/>
  <c r="O932" i="3"/>
  <c r="R933" i="3"/>
  <c r="V465" i="3"/>
  <c r="S551" i="3"/>
  <c r="V574" i="3"/>
  <c r="M604" i="3"/>
  <c r="V623" i="3"/>
  <c r="N631" i="3"/>
  <c r="R638" i="3"/>
  <c r="O645" i="3"/>
  <c r="J651" i="3"/>
  <c r="N658" i="3"/>
  <c r="P663" i="3"/>
  <c r="P666" i="3"/>
  <c r="K670" i="3"/>
  <c r="N673" i="3"/>
  <c r="N676" i="3"/>
  <c r="V679" i="3"/>
  <c r="L683" i="3"/>
  <c r="L686" i="3"/>
  <c r="T689" i="3"/>
  <c r="J693" i="3"/>
  <c r="J696" i="3"/>
  <c r="R699" i="3"/>
  <c r="U702" i="3"/>
  <c r="U705" i="3"/>
  <c r="P709" i="3"/>
  <c r="S712" i="3"/>
  <c r="S715" i="3"/>
  <c r="N719" i="3"/>
  <c r="Q722" i="3"/>
  <c r="Q725" i="3"/>
  <c r="L729" i="3"/>
  <c r="O732" i="3"/>
  <c r="O735" i="3"/>
  <c r="J739" i="3"/>
  <c r="M742" i="3"/>
  <c r="M745" i="3"/>
  <c r="U748" i="3"/>
  <c r="K752" i="3"/>
  <c r="K755" i="3"/>
  <c r="S758" i="3"/>
  <c r="V761" i="3"/>
  <c r="V764" i="3"/>
  <c r="P768" i="3"/>
  <c r="K771" i="3"/>
  <c r="P773" i="3"/>
  <c r="N776" i="3"/>
  <c r="J779" i="3"/>
  <c r="O781" i="3"/>
  <c r="K784" i="3"/>
  <c r="V786" i="3"/>
  <c r="M789" i="3"/>
  <c r="J792" i="3"/>
  <c r="Q794" i="3"/>
  <c r="Q796" i="3"/>
  <c r="U798" i="3"/>
  <c r="L801" i="3"/>
  <c r="K803" i="3"/>
  <c r="P805" i="3"/>
  <c r="P807" i="3"/>
  <c r="V808" i="3"/>
  <c r="S810" i="3"/>
  <c r="O812" i="3"/>
  <c r="U813" i="3"/>
  <c r="R815" i="3"/>
  <c r="N817" i="3"/>
  <c r="T818" i="3"/>
  <c r="Q820" i="3"/>
  <c r="M822" i="3"/>
  <c r="S823" i="3"/>
  <c r="P825" i="3"/>
  <c r="L827" i="3"/>
  <c r="R828" i="3"/>
  <c r="O830" i="3"/>
  <c r="K832" i="3"/>
  <c r="Q833" i="3"/>
  <c r="N835" i="3"/>
  <c r="J837" i="3"/>
  <c r="P838" i="3"/>
  <c r="M840" i="3"/>
  <c r="V841" i="3"/>
  <c r="O843" i="3"/>
  <c r="L845" i="3"/>
  <c r="U846" i="3"/>
  <c r="N848" i="3"/>
  <c r="K850" i="3"/>
  <c r="T851" i="3"/>
  <c r="M853" i="3"/>
  <c r="J855" i="3"/>
  <c r="S856" i="3"/>
  <c r="L858" i="3"/>
  <c r="V859" i="3"/>
  <c r="R861" i="3"/>
  <c r="K863" i="3"/>
  <c r="U864" i="3"/>
  <c r="Q866" i="3"/>
  <c r="J868" i="3"/>
  <c r="T869" i="3"/>
  <c r="P871" i="3"/>
  <c r="V872" i="3"/>
  <c r="S874" i="3"/>
  <c r="J876" i="3"/>
  <c r="M877" i="3"/>
  <c r="P878" i="3"/>
  <c r="S879" i="3"/>
  <c r="V880" i="3"/>
  <c r="L882" i="3"/>
  <c r="O883" i="3"/>
  <c r="R884" i="3"/>
  <c r="U885" i="3"/>
  <c r="K887" i="3"/>
  <c r="N888" i="3"/>
  <c r="Q889" i="3"/>
  <c r="T890" i="3"/>
  <c r="U891" i="3"/>
  <c r="V892" i="3"/>
  <c r="T893" i="3"/>
  <c r="U894" i="3"/>
  <c r="S895" i="3"/>
  <c r="T896" i="3"/>
  <c r="U897" i="3"/>
  <c r="S898" i="3"/>
  <c r="T899" i="3"/>
  <c r="R900" i="3"/>
  <c r="S901" i="3"/>
  <c r="T902" i="3"/>
  <c r="R903" i="3"/>
  <c r="R904" i="3"/>
  <c r="O905" i="3"/>
  <c r="L906" i="3"/>
  <c r="K907" i="3"/>
  <c r="U907" i="3"/>
  <c r="R908" i="3"/>
  <c r="Q909" i="3"/>
  <c r="N910" i="3"/>
  <c r="K911" i="3"/>
  <c r="J912" i="3"/>
  <c r="T912" i="3"/>
  <c r="Q913" i="3"/>
  <c r="P914" i="3"/>
  <c r="M915" i="3"/>
  <c r="J916" i="3"/>
  <c r="U916" i="3"/>
  <c r="Q917" i="3"/>
  <c r="M918" i="3"/>
  <c r="V918" i="3"/>
  <c r="R919" i="3"/>
  <c r="N920" i="3"/>
  <c r="K921" i="3"/>
  <c r="S921" i="3"/>
  <c r="N922" i="3"/>
  <c r="V922" i="3"/>
  <c r="Q923" i="3"/>
  <c r="L924" i="3"/>
  <c r="T924" i="3"/>
  <c r="O925" i="3"/>
  <c r="J926" i="3"/>
  <c r="R926" i="3"/>
  <c r="M927" i="3"/>
  <c r="U927" i="3"/>
  <c r="P928" i="3"/>
  <c r="K929" i="3"/>
  <c r="S929" i="3"/>
  <c r="N930" i="3"/>
  <c r="V930" i="3"/>
  <c r="Q931" i="3"/>
  <c r="L932" i="3"/>
  <c r="T932" i="3"/>
  <c r="O933" i="3"/>
  <c r="J934" i="3"/>
  <c r="R934" i="3"/>
  <c r="M935" i="3"/>
  <c r="U935" i="3"/>
  <c r="P936" i="3"/>
  <c r="K937" i="3"/>
  <c r="S937" i="3"/>
  <c r="N938" i="3"/>
  <c r="V938" i="3"/>
  <c r="Q939" i="3"/>
  <c r="L940" i="3"/>
  <c r="T940" i="3"/>
  <c r="O941" i="3"/>
  <c r="J942" i="3"/>
  <c r="R942" i="3"/>
  <c r="M943" i="3"/>
  <c r="U943" i="3"/>
  <c r="P944" i="3"/>
  <c r="K945" i="3"/>
  <c r="S945" i="3"/>
  <c r="N946" i="3"/>
  <c r="V946" i="3"/>
  <c r="Q947" i="3"/>
  <c r="L948" i="3"/>
  <c r="T948" i="3"/>
  <c r="O949" i="3"/>
  <c r="J950" i="3"/>
  <c r="R950" i="3"/>
  <c r="M951" i="3"/>
  <c r="U951" i="3"/>
  <c r="P952" i="3"/>
  <c r="K953" i="3"/>
  <c r="S953" i="3"/>
  <c r="N954" i="3"/>
  <c r="V954" i="3"/>
  <c r="Q955" i="3"/>
  <c r="L956" i="3"/>
  <c r="T956" i="3"/>
  <c r="O957" i="3"/>
  <c r="J958" i="3"/>
  <c r="R958" i="3"/>
  <c r="M959" i="3"/>
  <c r="U959" i="3"/>
  <c r="P960" i="3"/>
  <c r="K961" i="3"/>
  <c r="S961" i="3"/>
  <c r="N962" i="3"/>
  <c r="V962" i="3"/>
  <c r="Q963" i="3"/>
  <c r="L964" i="3"/>
  <c r="T964" i="3"/>
  <c r="O965" i="3"/>
  <c r="J966" i="3"/>
  <c r="R966" i="3"/>
  <c r="M967" i="3"/>
  <c r="U967" i="3"/>
  <c r="P968" i="3"/>
  <c r="K969" i="3"/>
  <c r="S969" i="3"/>
  <c r="N970" i="3"/>
  <c r="V970" i="3"/>
  <c r="Q971" i="3"/>
  <c r="L972" i="3"/>
  <c r="T972" i="3"/>
  <c r="O973" i="3"/>
  <c r="J974" i="3"/>
  <c r="R974" i="3"/>
  <c r="M975" i="3"/>
  <c r="U975" i="3"/>
  <c r="P976" i="3"/>
  <c r="K977" i="3"/>
  <c r="S977" i="3"/>
  <c r="N978" i="3"/>
  <c r="V978" i="3"/>
  <c r="Q979" i="3"/>
  <c r="L980" i="3"/>
  <c r="T980" i="3"/>
  <c r="O981" i="3"/>
  <c r="J982" i="3"/>
  <c r="R982" i="3"/>
  <c r="M983" i="3"/>
  <c r="U983" i="3"/>
  <c r="P984" i="3"/>
  <c r="K985" i="3"/>
  <c r="S985" i="3"/>
  <c r="N986" i="3"/>
  <c r="V986" i="3"/>
  <c r="Q987" i="3"/>
  <c r="L988" i="3"/>
  <c r="T988" i="3"/>
  <c r="O989" i="3"/>
  <c r="J990" i="3"/>
  <c r="R990" i="3"/>
  <c r="M991" i="3"/>
  <c r="U991" i="3"/>
  <c r="P992" i="3"/>
  <c r="K993" i="3"/>
  <c r="S993" i="3"/>
  <c r="N994" i="3"/>
  <c r="V994" i="3"/>
  <c r="Q995" i="3"/>
  <c r="L996" i="3"/>
  <c r="T996" i="3"/>
  <c r="O997" i="3"/>
  <c r="J998" i="3"/>
  <c r="R998" i="3"/>
  <c r="M999" i="3"/>
  <c r="U999" i="3"/>
  <c r="P1000" i="3"/>
  <c r="K1001" i="3"/>
  <c r="S1001" i="3"/>
  <c r="N1002" i="3"/>
  <c r="V1002" i="3"/>
  <c r="Q1003" i="3"/>
  <c r="L1004" i="3"/>
  <c r="T1004" i="3"/>
  <c r="O562" i="3"/>
  <c r="L628" i="3"/>
  <c r="T633" i="3"/>
  <c r="K641" i="3"/>
  <c r="U647" i="3"/>
  <c r="P653" i="3"/>
  <c r="T660" i="3"/>
  <c r="S667" i="3"/>
  <c r="N671" i="3"/>
  <c r="Q674" i="3"/>
  <c r="L681" i="3"/>
  <c r="O687" i="3"/>
  <c r="M697" i="3"/>
  <c r="K704" i="3"/>
  <c r="S710" i="3"/>
  <c r="V716" i="3"/>
  <c r="T723" i="3"/>
  <c r="R736" i="3"/>
  <c r="P746" i="3"/>
  <c r="N756" i="3"/>
  <c r="L766" i="3"/>
  <c r="P774" i="3"/>
  <c r="J780" i="3"/>
  <c r="T787" i="3"/>
  <c r="O795" i="3"/>
  <c r="V801" i="3"/>
  <c r="K808" i="3"/>
  <c r="J813" i="3"/>
  <c r="V817" i="3"/>
  <c r="U822" i="3"/>
  <c r="T827" i="3"/>
  <c r="S832" i="3"/>
  <c r="R837" i="3"/>
  <c r="Q842" i="3"/>
  <c r="P847" i="3"/>
  <c r="O852" i="3"/>
  <c r="N857" i="3"/>
  <c r="M862" i="3"/>
  <c r="R868" i="3"/>
  <c r="Q876" i="3"/>
  <c r="M880" i="3"/>
  <c r="V883" i="3"/>
  <c r="R887" i="3"/>
  <c r="M891" i="3"/>
  <c r="M894" i="3"/>
  <c r="M897" i="3"/>
  <c r="K901" i="3"/>
  <c r="K904" i="3"/>
  <c r="Q906" i="3"/>
  <c r="S910" i="3"/>
  <c r="V913" i="3"/>
  <c r="K917" i="3"/>
  <c r="M919" i="3"/>
  <c r="V921" i="3"/>
  <c r="O924" i="3"/>
  <c r="P927" i="3"/>
  <c r="V929" i="3"/>
  <c r="S466" i="3"/>
  <c r="V554" i="3"/>
  <c r="K582" i="3"/>
  <c r="P604" i="3"/>
  <c r="L625" i="3"/>
  <c r="K633" i="3"/>
  <c r="S638" i="3"/>
  <c r="J646" i="3"/>
  <c r="T652" i="3"/>
  <c r="O658" i="3"/>
  <c r="V663" i="3"/>
  <c r="L667" i="3"/>
  <c r="L670" i="3"/>
  <c r="T673" i="3"/>
  <c r="J677" i="3"/>
  <c r="J680" i="3"/>
  <c r="R683" i="3"/>
  <c r="U686" i="3"/>
  <c r="U689" i="3"/>
  <c r="P693" i="3"/>
  <c r="S696" i="3"/>
  <c r="S699" i="3"/>
  <c r="N703" i="3"/>
  <c r="Q706" i="3"/>
  <c r="Q709" i="3"/>
  <c r="L713" i="3"/>
  <c r="O716" i="3"/>
  <c r="O719" i="3"/>
  <c r="J723" i="3"/>
  <c r="M726" i="3"/>
  <c r="M729" i="3"/>
  <c r="U732" i="3"/>
  <c r="K736" i="3"/>
  <c r="K739" i="3"/>
  <c r="S742" i="3"/>
  <c r="V745" i="3"/>
  <c r="V748" i="3"/>
  <c r="Q752" i="3"/>
  <c r="T755" i="3"/>
  <c r="T758" i="3"/>
  <c r="O762" i="3"/>
  <c r="R765" i="3"/>
  <c r="Q768" i="3"/>
  <c r="O771" i="3"/>
  <c r="K774" i="3"/>
  <c r="P776" i="3"/>
  <c r="L779" i="3"/>
  <c r="J782" i="3"/>
  <c r="N784" i="3"/>
  <c r="K787" i="3"/>
  <c r="U789" i="3"/>
  <c r="K792" i="3"/>
  <c r="T794" i="3"/>
  <c r="J797" i="3"/>
  <c r="J799" i="3"/>
  <c r="N801" i="3"/>
  <c r="R803" i="3"/>
  <c r="Q805" i="3"/>
  <c r="R807" i="3"/>
  <c r="N809" i="3"/>
  <c r="T810" i="3"/>
  <c r="Q812" i="3"/>
  <c r="M814" i="3"/>
  <c r="S815" i="3"/>
  <c r="P817" i="3"/>
  <c r="L819" i="3"/>
  <c r="R820" i="3"/>
  <c r="O822" i="3"/>
  <c r="K824" i="3"/>
  <c r="Q825" i="3"/>
  <c r="N827" i="3"/>
  <c r="J829" i="3"/>
  <c r="P830" i="3"/>
  <c r="M832" i="3"/>
  <c r="V833" i="3"/>
  <c r="O835" i="3"/>
  <c r="L837" i="3"/>
  <c r="U838" i="3"/>
  <c r="N840" i="3"/>
  <c r="K842" i="3"/>
  <c r="T843" i="3"/>
  <c r="M845" i="3"/>
  <c r="J847" i="3"/>
  <c r="S848" i="3"/>
  <c r="L850" i="3"/>
  <c r="V851" i="3"/>
  <c r="R853" i="3"/>
  <c r="K855" i="3"/>
  <c r="U856" i="3"/>
  <c r="Q858" i="3"/>
  <c r="J860" i="3"/>
  <c r="T861" i="3"/>
  <c r="P863" i="3"/>
  <c r="V864" i="3"/>
  <c r="S866" i="3"/>
  <c r="O868" i="3"/>
  <c r="U869" i="3"/>
  <c r="R871" i="3"/>
  <c r="N873" i="3"/>
  <c r="T874" i="3"/>
  <c r="O876" i="3"/>
  <c r="R877" i="3"/>
  <c r="U878" i="3"/>
  <c r="K880" i="3"/>
  <c r="N881" i="3"/>
  <c r="Q882" i="3"/>
  <c r="T883" i="3"/>
  <c r="J885" i="3"/>
  <c r="M886" i="3"/>
  <c r="P887" i="3"/>
  <c r="S888" i="3"/>
  <c r="V889" i="3"/>
  <c r="K891" i="3"/>
  <c r="V891" i="3"/>
  <c r="J893" i="3"/>
  <c r="U893" i="3"/>
  <c r="V894" i="3"/>
  <c r="J896" i="3"/>
  <c r="U896" i="3"/>
  <c r="V897" i="3"/>
  <c r="T898" i="3"/>
  <c r="U899" i="3"/>
  <c r="V900" i="3"/>
  <c r="T901" i="3"/>
  <c r="U902" i="3"/>
  <c r="S903" i="3"/>
  <c r="S904" i="3"/>
  <c r="P905" i="3"/>
  <c r="O906" i="3"/>
  <c r="L907" i="3"/>
  <c r="V907" i="3"/>
  <c r="U908" i="3"/>
  <c r="R909" i="3"/>
  <c r="O910" i="3"/>
  <c r="N911" i="3"/>
  <c r="K912" i="3"/>
  <c r="U912" i="3"/>
  <c r="T913" i="3"/>
  <c r="Q914" i="3"/>
  <c r="N915" i="3"/>
  <c r="M916" i="3"/>
  <c r="V916" i="3"/>
  <c r="R917" i="3"/>
  <c r="N918" i="3"/>
  <c r="J919" i="3"/>
  <c r="S919" i="3"/>
  <c r="P920" i="3"/>
  <c r="L921" i="3"/>
  <c r="T921" i="3"/>
  <c r="O922" i="3"/>
  <c r="J923" i="3"/>
  <c r="R923" i="3"/>
  <c r="M924" i="3"/>
  <c r="U924" i="3"/>
  <c r="P925" i="3"/>
  <c r="K926" i="3"/>
  <c r="S926" i="3"/>
  <c r="N927" i="3"/>
  <c r="V927" i="3"/>
  <c r="Q928" i="3"/>
  <c r="L929" i="3"/>
  <c r="T929" i="3"/>
  <c r="O930" i="3"/>
  <c r="J931" i="3"/>
  <c r="R931" i="3"/>
  <c r="M932" i="3"/>
  <c r="U932" i="3"/>
  <c r="P933" i="3"/>
  <c r="K934" i="3"/>
  <c r="S934" i="3"/>
  <c r="N935" i="3"/>
  <c r="V935" i="3"/>
  <c r="Q936" i="3"/>
  <c r="L937" i="3"/>
  <c r="T937" i="3"/>
  <c r="O938" i="3"/>
  <c r="J939" i="3"/>
  <c r="R939" i="3"/>
  <c r="M940" i="3"/>
  <c r="U940" i="3"/>
  <c r="P941" i="3"/>
  <c r="K942" i="3"/>
  <c r="S942" i="3"/>
  <c r="N943" i="3"/>
  <c r="V943" i="3"/>
  <c r="Q944" i="3"/>
  <c r="L945" i="3"/>
  <c r="T945" i="3"/>
  <c r="O946" i="3"/>
  <c r="J947" i="3"/>
  <c r="R947" i="3"/>
  <c r="M948" i="3"/>
  <c r="U948" i="3"/>
  <c r="P949" i="3"/>
  <c r="K950" i="3"/>
  <c r="S950" i="3"/>
  <c r="N951" i="3"/>
  <c r="V951" i="3"/>
  <c r="Q952" i="3"/>
  <c r="L953" i="3"/>
  <c r="T953" i="3"/>
  <c r="O954" i="3"/>
  <c r="J955" i="3"/>
  <c r="R955" i="3"/>
  <c r="M956" i="3"/>
  <c r="U956" i="3"/>
  <c r="P957" i="3"/>
  <c r="K958" i="3"/>
  <c r="S958" i="3"/>
  <c r="N959" i="3"/>
  <c r="V959" i="3"/>
  <c r="Q960" i="3"/>
  <c r="L961" i="3"/>
  <c r="T961" i="3"/>
  <c r="O962" i="3"/>
  <c r="J963" i="3"/>
  <c r="R963" i="3"/>
  <c r="M964" i="3"/>
  <c r="U964" i="3"/>
  <c r="P965" i="3"/>
  <c r="K966" i="3"/>
  <c r="S966" i="3"/>
  <c r="N967" i="3"/>
  <c r="V967" i="3"/>
  <c r="Q968" i="3"/>
  <c r="L969" i="3"/>
  <c r="T969" i="3"/>
  <c r="O970" i="3"/>
  <c r="J971" i="3"/>
  <c r="R971" i="3"/>
  <c r="M972" i="3"/>
  <c r="U972" i="3"/>
  <c r="P973" i="3"/>
  <c r="K974" i="3"/>
  <c r="S974" i="3"/>
  <c r="N975" i="3"/>
  <c r="V975" i="3"/>
  <c r="Q976" i="3"/>
  <c r="L977" i="3"/>
  <c r="T977" i="3"/>
  <c r="O978" i="3"/>
  <c r="J979" i="3"/>
  <c r="R979" i="3"/>
  <c r="M980" i="3"/>
  <c r="U980" i="3"/>
  <c r="P981" i="3"/>
  <c r="K982" i="3"/>
  <c r="S982" i="3"/>
  <c r="N983" i="3"/>
  <c r="V983" i="3"/>
  <c r="Q984" i="3"/>
  <c r="L985" i="3"/>
  <c r="T985" i="3"/>
  <c r="O986" i="3"/>
  <c r="J987" i="3"/>
  <c r="R987" i="3"/>
  <c r="M988" i="3"/>
  <c r="U988" i="3"/>
  <c r="P989" i="3"/>
  <c r="K990" i="3"/>
  <c r="S990" i="3"/>
  <c r="N991" i="3"/>
  <c r="V991" i="3"/>
  <c r="Q992" i="3"/>
  <c r="L993" i="3"/>
  <c r="T993" i="3"/>
  <c r="O994" i="3"/>
  <c r="J995" i="3"/>
  <c r="R995" i="3"/>
  <c r="M996" i="3"/>
  <c r="U996" i="3"/>
  <c r="P997" i="3"/>
  <c r="K998" i="3"/>
  <c r="S998" i="3"/>
  <c r="N999" i="3"/>
  <c r="V999" i="3"/>
  <c r="Q1000" i="3"/>
  <c r="L1001" i="3"/>
  <c r="T1001" i="3"/>
  <c r="O1002" i="3"/>
  <c r="J1003" i="3"/>
  <c r="R1003" i="3"/>
  <c r="M1004" i="3"/>
  <c r="U1004" i="3"/>
  <c r="P613" i="3"/>
  <c r="Q873" i="3"/>
  <c r="U495" i="3"/>
  <c r="M555" i="3"/>
  <c r="Q584" i="3"/>
  <c r="R611" i="3"/>
  <c r="N625" i="3"/>
  <c r="S633" i="3"/>
  <c r="P640" i="3"/>
  <c r="K646" i="3"/>
  <c r="O653" i="3"/>
  <c r="L660" i="3"/>
  <c r="J664" i="3"/>
  <c r="R667" i="3"/>
  <c r="U670" i="3"/>
  <c r="U673" i="3"/>
  <c r="P677" i="3"/>
  <c r="S680" i="3"/>
  <c r="S683" i="3"/>
  <c r="N687" i="3"/>
  <c r="Q690" i="3"/>
  <c r="Q693" i="3"/>
  <c r="L697" i="3"/>
  <c r="O700" i="3"/>
  <c r="O703" i="3"/>
  <c r="J707" i="3"/>
  <c r="M710" i="3"/>
  <c r="M713" i="3"/>
  <c r="U716" i="3"/>
  <c r="K720" i="3"/>
  <c r="K723" i="3"/>
  <c r="S726" i="3"/>
  <c r="V729" i="3"/>
  <c r="V732" i="3"/>
  <c r="Q736" i="3"/>
  <c r="T739" i="3"/>
  <c r="T742" i="3"/>
  <c r="O746" i="3"/>
  <c r="R749" i="3"/>
  <c r="R752" i="3"/>
  <c r="M756" i="3"/>
  <c r="P759" i="3"/>
  <c r="P762" i="3"/>
  <c r="K766" i="3"/>
  <c r="L769" i="3"/>
  <c r="Q771" i="3"/>
  <c r="M774" i="3"/>
  <c r="K777" i="3"/>
  <c r="O779" i="3"/>
  <c r="L782" i="3"/>
  <c r="V784" i="3"/>
  <c r="L787" i="3"/>
  <c r="K790" i="3"/>
  <c r="S792" i="3"/>
  <c r="V794" i="3"/>
  <c r="M797" i="3"/>
  <c r="P799" i="3"/>
  <c r="P801" i="3"/>
  <c r="T803" i="3"/>
  <c r="K806" i="3"/>
  <c r="S807" i="3"/>
  <c r="P809" i="3"/>
  <c r="L811" i="3"/>
  <c r="R812" i="3"/>
  <c r="O814" i="3"/>
  <c r="K816" i="3"/>
  <c r="Q817" i="3"/>
  <c r="N819" i="3"/>
  <c r="J821" i="3"/>
  <c r="P822" i="3"/>
  <c r="M824" i="3"/>
  <c r="V825" i="3"/>
  <c r="O827" i="3"/>
  <c r="L829" i="3"/>
  <c r="U830" i="3"/>
  <c r="N832" i="3"/>
  <c r="K834" i="3"/>
  <c r="T835" i="3"/>
  <c r="M837" i="3"/>
  <c r="J839" i="3"/>
  <c r="S840" i="3"/>
  <c r="L842" i="3"/>
  <c r="V843" i="3"/>
  <c r="R845" i="3"/>
  <c r="K847" i="3"/>
  <c r="U848" i="3"/>
  <c r="Q850" i="3"/>
  <c r="J852" i="3"/>
  <c r="T853" i="3"/>
  <c r="P855" i="3"/>
  <c r="V856" i="3"/>
  <c r="S858" i="3"/>
  <c r="O860" i="3"/>
  <c r="U861" i="3"/>
  <c r="R863" i="3"/>
  <c r="N865" i="3"/>
  <c r="T866" i="3"/>
  <c r="Q868" i="3"/>
  <c r="M870" i="3"/>
  <c r="S871" i="3"/>
  <c r="P873" i="3"/>
  <c r="L875" i="3"/>
  <c r="P876" i="3"/>
  <c r="S877" i="3"/>
  <c r="V878" i="3"/>
  <c r="L880" i="3"/>
  <c r="O881" i="3"/>
  <c r="R882" i="3"/>
  <c r="U883" i="3"/>
  <c r="K885" i="3"/>
  <c r="N886" i="3"/>
  <c r="Q887" i="3"/>
  <c r="T888" i="3"/>
  <c r="J890" i="3"/>
  <c r="L891" i="3"/>
  <c r="J892" i="3"/>
  <c r="K893" i="3"/>
  <c r="L894" i="3"/>
  <c r="J895" i="3"/>
  <c r="K896" i="3"/>
  <c r="V896" i="3"/>
  <c r="J898" i="3"/>
  <c r="K899" i="3"/>
  <c r="V899" i="3"/>
  <c r="J901" i="3"/>
  <c r="U901" i="3"/>
  <c r="V902" i="3"/>
  <c r="J904" i="3"/>
  <c r="T904" i="3"/>
  <c r="Q905" i="3"/>
  <c r="P906" i="3"/>
  <c r="M907" i="3"/>
  <c r="J908" i="3"/>
  <c r="V908" i="3"/>
  <c r="S909" i="3"/>
  <c r="P910" i="3"/>
  <c r="O911" i="3"/>
  <c r="L912" i="3"/>
  <c r="V912" i="3"/>
  <c r="U913" i="3"/>
  <c r="R914" i="3"/>
  <c r="O915" i="3"/>
  <c r="N916" i="3"/>
  <c r="J917" i="3"/>
  <c r="S917" i="3"/>
  <c r="O918" i="3"/>
  <c r="K919" i="3"/>
  <c r="U919" i="3"/>
  <c r="Q920" i="3"/>
  <c r="M921" i="3"/>
  <c r="U921" i="3"/>
  <c r="P922" i="3"/>
  <c r="K923" i="3"/>
  <c r="S923" i="3"/>
  <c r="N924" i="3"/>
  <c r="V924" i="3"/>
  <c r="Q925" i="3"/>
  <c r="L926" i="3"/>
  <c r="T926" i="3"/>
  <c r="O927" i="3"/>
  <c r="J928" i="3"/>
  <c r="R928" i="3"/>
  <c r="M929" i="3"/>
  <c r="U929" i="3"/>
  <c r="P930" i="3"/>
  <c r="K931" i="3"/>
  <c r="S931" i="3"/>
  <c r="N932" i="3"/>
  <c r="V932" i="3"/>
  <c r="Q933" i="3"/>
  <c r="L934" i="3"/>
  <c r="T934" i="3"/>
  <c r="O935" i="3"/>
  <c r="J936" i="3"/>
  <c r="R936" i="3"/>
  <c r="M937" i="3"/>
  <c r="U937" i="3"/>
  <c r="P938" i="3"/>
  <c r="K939" i="3"/>
  <c r="S939" i="3"/>
  <c r="N940" i="3"/>
  <c r="V940" i="3"/>
  <c r="Q941" i="3"/>
  <c r="L942" i="3"/>
  <c r="T942" i="3"/>
  <c r="O943" i="3"/>
  <c r="J944" i="3"/>
  <c r="R944" i="3"/>
  <c r="M945" i="3"/>
  <c r="U945" i="3"/>
  <c r="P946" i="3"/>
  <c r="K947" i="3"/>
  <c r="S947" i="3"/>
  <c r="N948" i="3"/>
  <c r="V948" i="3"/>
  <c r="Q949" i="3"/>
  <c r="L950" i="3"/>
  <c r="T950" i="3"/>
  <c r="O951" i="3"/>
  <c r="J952" i="3"/>
  <c r="R952" i="3"/>
  <c r="M953" i="3"/>
  <c r="U953" i="3"/>
  <c r="P954" i="3"/>
  <c r="K955" i="3"/>
  <c r="S955" i="3"/>
  <c r="N956" i="3"/>
  <c r="V956" i="3"/>
  <c r="Q957" i="3"/>
  <c r="L958" i="3"/>
  <c r="T958" i="3"/>
  <c r="O959" i="3"/>
  <c r="J960" i="3"/>
  <c r="R960" i="3"/>
  <c r="M961" i="3"/>
  <c r="U961" i="3"/>
  <c r="P962" i="3"/>
  <c r="K963" i="3"/>
  <c r="S963" i="3"/>
  <c r="N964" i="3"/>
  <c r="V964" i="3"/>
  <c r="Q965" i="3"/>
  <c r="L966" i="3"/>
  <c r="T966" i="3"/>
  <c r="O967" i="3"/>
  <c r="J968" i="3"/>
  <c r="R968" i="3"/>
  <c r="M969" i="3"/>
  <c r="U969" i="3"/>
  <c r="P970" i="3"/>
  <c r="K971" i="3"/>
  <c r="S971" i="3"/>
  <c r="N972" i="3"/>
  <c r="V972" i="3"/>
  <c r="Q973" i="3"/>
  <c r="L974" i="3"/>
  <c r="T974" i="3"/>
  <c r="O975" i="3"/>
  <c r="J976" i="3"/>
  <c r="R976" i="3"/>
  <c r="M977" i="3"/>
  <c r="U977" i="3"/>
  <c r="P978" i="3"/>
  <c r="K979" i="3"/>
  <c r="S979" i="3"/>
  <c r="N980" i="3"/>
  <c r="V980" i="3"/>
  <c r="Q981" i="3"/>
  <c r="L982" i="3"/>
  <c r="T982" i="3"/>
  <c r="O983" i="3"/>
  <c r="J984" i="3"/>
  <c r="R984" i="3"/>
  <c r="M985" i="3"/>
  <c r="U985" i="3"/>
  <c r="P986" i="3"/>
  <c r="K987" i="3"/>
  <c r="S987" i="3"/>
  <c r="N988" i="3"/>
  <c r="V988" i="3"/>
  <c r="Q989" i="3"/>
  <c r="L990" i="3"/>
  <c r="T990" i="3"/>
  <c r="O991" i="3"/>
  <c r="J992" i="3"/>
  <c r="R992" i="3"/>
  <c r="M993" i="3"/>
  <c r="U993" i="3"/>
  <c r="P994" i="3"/>
  <c r="K995" i="3"/>
  <c r="S995" i="3"/>
  <c r="N996" i="3"/>
  <c r="V996" i="3"/>
  <c r="Q997" i="3"/>
  <c r="L998" i="3"/>
  <c r="T998" i="3"/>
  <c r="O999" i="3"/>
  <c r="J1000" i="3"/>
  <c r="R1000" i="3"/>
  <c r="M1001" i="3"/>
  <c r="U1001" i="3"/>
  <c r="P1002" i="3"/>
  <c r="K1003" i="3"/>
  <c r="S1003" i="3"/>
  <c r="N1004" i="3"/>
  <c r="V1004" i="3"/>
  <c r="S505" i="3"/>
  <c r="S664" i="3"/>
  <c r="Q677" i="3"/>
  <c r="O684" i="3"/>
  <c r="J691" i="3"/>
  <c r="U700" i="3"/>
  <c r="K707" i="3"/>
  <c r="Q720" i="3"/>
  <c r="O730" i="3"/>
  <c r="M740" i="3"/>
  <c r="K750" i="3"/>
  <c r="V759" i="3"/>
  <c r="N769" i="3"/>
  <c r="M777" i="3"/>
  <c r="L785" i="3"/>
  <c r="K793" i="3"/>
  <c r="S799" i="3"/>
  <c r="M806" i="3"/>
  <c r="N811" i="3"/>
  <c r="M816" i="3"/>
  <c r="O819" i="3"/>
  <c r="N824" i="3"/>
  <c r="M829" i="3"/>
  <c r="L834" i="3"/>
  <c r="K839" i="3"/>
  <c r="T845" i="3"/>
  <c r="S850" i="3"/>
  <c r="R855" i="3"/>
  <c r="Q860" i="3"/>
  <c r="P865" i="3"/>
  <c r="K872" i="3"/>
  <c r="T877" i="3"/>
  <c r="S882" i="3"/>
  <c r="O886" i="3"/>
  <c r="U888" i="3"/>
  <c r="N892" i="3"/>
  <c r="K895" i="3"/>
  <c r="K898" i="3"/>
  <c r="J900" i="3"/>
  <c r="L902" i="3"/>
  <c r="U904" i="3"/>
  <c r="N907" i="3"/>
  <c r="J909" i="3"/>
  <c r="P911" i="3"/>
  <c r="L913" i="3"/>
  <c r="R915" i="3"/>
  <c r="T917" i="3"/>
  <c r="R920" i="3"/>
  <c r="Q922" i="3"/>
  <c r="J925" i="3"/>
  <c r="M926" i="3"/>
  <c r="S928" i="3"/>
  <c r="Q930" i="3"/>
  <c r="J933" i="3"/>
  <c r="M934" i="3"/>
  <c r="U934" i="3"/>
  <c r="P935" i="3"/>
  <c r="O506" i="3"/>
  <c r="U564" i="3"/>
  <c r="V591" i="3"/>
  <c r="S613" i="3"/>
  <c r="T628" i="3"/>
  <c r="Q635" i="3"/>
  <c r="L641" i="3"/>
  <c r="P648" i="3"/>
  <c r="M655" i="3"/>
  <c r="U660" i="3"/>
  <c r="L665" i="3"/>
  <c r="O668" i="3"/>
  <c r="O671" i="3"/>
  <c r="J675" i="3"/>
  <c r="M678" i="3"/>
  <c r="M681" i="3"/>
  <c r="U684" i="3"/>
  <c r="K688" i="3"/>
  <c r="K691" i="3"/>
  <c r="S694" i="3"/>
  <c r="V697" i="3"/>
  <c r="V700" i="3"/>
  <c r="Q704" i="3"/>
  <c r="T707" i="3"/>
  <c r="T710" i="3"/>
  <c r="O714" i="3"/>
  <c r="R717" i="3"/>
  <c r="R720" i="3"/>
  <c r="M724" i="3"/>
  <c r="P727" i="3"/>
  <c r="P730" i="3"/>
  <c r="K734" i="3"/>
  <c r="N737" i="3"/>
  <c r="N740" i="3"/>
  <c r="V743" i="3"/>
  <c r="L747" i="3"/>
  <c r="L750" i="3"/>
  <c r="T753" i="3"/>
  <c r="J757" i="3"/>
  <c r="J760" i="3"/>
  <c r="R763" i="3"/>
  <c r="U766" i="3"/>
  <c r="Q769" i="3"/>
  <c r="N772" i="3"/>
  <c r="K775" i="3"/>
  <c r="N777" i="3"/>
  <c r="M780" i="3"/>
  <c r="U782" i="3"/>
  <c r="M785" i="3"/>
  <c r="L788" i="3"/>
  <c r="T790" i="3"/>
  <c r="L793" i="3"/>
  <c r="R795" i="3"/>
  <c r="U797" i="3"/>
  <c r="U799" i="3"/>
  <c r="L802" i="3"/>
  <c r="O804" i="3"/>
  <c r="O806" i="3"/>
  <c r="M808" i="3"/>
  <c r="V809" i="3"/>
  <c r="O811" i="3"/>
  <c r="L813" i="3"/>
  <c r="U814" i="3"/>
  <c r="N816" i="3"/>
  <c r="K818" i="3"/>
  <c r="T819" i="3"/>
  <c r="M821" i="3"/>
  <c r="J823" i="3"/>
  <c r="S824" i="3"/>
  <c r="L826" i="3"/>
  <c r="V827" i="3"/>
  <c r="R829" i="3"/>
  <c r="K831" i="3"/>
  <c r="U832" i="3"/>
  <c r="Q834" i="3"/>
  <c r="J836" i="3"/>
  <c r="T837" i="3"/>
  <c r="P839" i="3"/>
  <c r="V840" i="3"/>
  <c r="S842" i="3"/>
  <c r="O844" i="3"/>
  <c r="U845" i="3"/>
  <c r="R847" i="3"/>
  <c r="N849" i="3"/>
  <c r="T850" i="3"/>
  <c r="Q852" i="3"/>
  <c r="M854" i="3"/>
  <c r="S855" i="3"/>
  <c r="P857" i="3"/>
  <c r="L859" i="3"/>
  <c r="R860" i="3"/>
  <c r="O862" i="3"/>
  <c r="K864" i="3"/>
  <c r="Q865" i="3"/>
  <c r="N867" i="3"/>
  <c r="J869" i="3"/>
  <c r="P870" i="3"/>
  <c r="M872" i="3"/>
  <c r="V873" i="3"/>
  <c r="O875" i="3"/>
  <c r="R876" i="3"/>
  <c r="U877" i="3"/>
  <c r="K879" i="3"/>
  <c r="N880" i="3"/>
  <c r="Q881" i="3"/>
  <c r="T882" i="3"/>
  <c r="J884" i="3"/>
  <c r="M885" i="3"/>
  <c r="P886" i="3"/>
  <c r="S887" i="3"/>
  <c r="V888" i="3"/>
  <c r="L890" i="3"/>
  <c r="N891" i="3"/>
  <c r="O892" i="3"/>
  <c r="M893" i="3"/>
  <c r="N894" i="3"/>
  <c r="O895" i="3"/>
  <c r="M896" i="3"/>
  <c r="N897" i="3"/>
  <c r="L898" i="3"/>
  <c r="M899" i="3"/>
  <c r="N900" i="3"/>
  <c r="L901" i="3"/>
  <c r="M902" i="3"/>
  <c r="K903" i="3"/>
  <c r="L904" i="3"/>
  <c r="V904" i="3"/>
  <c r="U905" i="3"/>
  <c r="R906" i="3"/>
  <c r="O907" i="3"/>
  <c r="N908" i="3"/>
  <c r="K909" i="3"/>
  <c r="U909" i="3"/>
  <c r="T910" i="3"/>
  <c r="Q911" i="3"/>
  <c r="N912" i="3"/>
  <c r="M913" i="3"/>
  <c r="J914" i="3"/>
  <c r="T914" i="3"/>
  <c r="S915" i="3"/>
  <c r="P916" i="3"/>
  <c r="L917" i="3"/>
  <c r="U917" i="3"/>
  <c r="R918" i="3"/>
  <c r="N919" i="3"/>
  <c r="J920" i="3"/>
  <c r="S920" i="3"/>
  <c r="O921" i="3"/>
  <c r="J922" i="3"/>
  <c r="R922" i="3"/>
  <c r="M923" i="3"/>
  <c r="U923" i="3"/>
  <c r="P924" i="3"/>
  <c r="K925" i="3"/>
  <c r="S925" i="3"/>
  <c r="N926" i="3"/>
  <c r="V926" i="3"/>
  <c r="Q927" i="3"/>
  <c r="L928" i="3"/>
  <c r="T928" i="3"/>
  <c r="O929" i="3"/>
  <c r="J930" i="3"/>
  <c r="R930" i="3"/>
  <c r="M931" i="3"/>
  <c r="U931" i="3"/>
  <c r="P932" i="3"/>
  <c r="K933" i="3"/>
  <c r="S933" i="3"/>
  <c r="N934" i="3"/>
  <c r="V934" i="3"/>
  <c r="Q935" i="3"/>
  <c r="L936" i="3"/>
  <c r="T936" i="3"/>
  <c r="O937" i="3"/>
  <c r="J938" i="3"/>
  <c r="R938" i="3"/>
  <c r="M939" i="3"/>
  <c r="U939" i="3"/>
  <c r="P940" i="3"/>
  <c r="K941" i="3"/>
  <c r="S941" i="3"/>
  <c r="N942" i="3"/>
  <c r="V942" i="3"/>
  <c r="Q943" i="3"/>
  <c r="L944" i="3"/>
  <c r="T944" i="3"/>
  <c r="O945" i="3"/>
  <c r="J946" i="3"/>
  <c r="R946" i="3"/>
  <c r="M947" i="3"/>
  <c r="U947" i="3"/>
  <c r="P948" i="3"/>
  <c r="K949" i="3"/>
  <c r="S949" i="3"/>
  <c r="N950" i="3"/>
  <c r="V950" i="3"/>
  <c r="Q951" i="3"/>
  <c r="L952" i="3"/>
  <c r="T952" i="3"/>
  <c r="O953" i="3"/>
  <c r="J954" i="3"/>
  <c r="R954" i="3"/>
  <c r="M955" i="3"/>
  <c r="U955" i="3"/>
  <c r="P956" i="3"/>
  <c r="K957" i="3"/>
  <c r="S957" i="3"/>
  <c r="N958" i="3"/>
  <c r="V958" i="3"/>
  <c r="Q959" i="3"/>
  <c r="L960" i="3"/>
  <c r="T960" i="3"/>
  <c r="O961" i="3"/>
  <c r="J962" i="3"/>
  <c r="R962" i="3"/>
  <c r="M963" i="3"/>
  <c r="U963" i="3"/>
  <c r="P964" i="3"/>
  <c r="K965" i="3"/>
  <c r="S965" i="3"/>
  <c r="N966" i="3"/>
  <c r="V966" i="3"/>
  <c r="Q967" i="3"/>
  <c r="L968" i="3"/>
  <c r="T968" i="3"/>
  <c r="O969" i="3"/>
  <c r="J970" i="3"/>
  <c r="R970" i="3"/>
  <c r="M971" i="3"/>
  <c r="U971" i="3"/>
  <c r="P972" i="3"/>
  <c r="K973" i="3"/>
  <c r="S973" i="3"/>
  <c r="N974" i="3"/>
  <c r="V974" i="3"/>
  <c r="Q975" i="3"/>
  <c r="L976" i="3"/>
  <c r="T976" i="3"/>
  <c r="O977" i="3"/>
  <c r="J978" i="3"/>
  <c r="R978" i="3"/>
  <c r="M979" i="3"/>
  <c r="U979" i="3"/>
  <c r="P980" i="3"/>
  <c r="K981" i="3"/>
  <c r="S981" i="3"/>
  <c r="N982" i="3"/>
  <c r="V982" i="3"/>
  <c r="Q983" i="3"/>
  <c r="L984" i="3"/>
  <c r="T984" i="3"/>
  <c r="O985" i="3"/>
  <c r="J986" i="3"/>
  <c r="R986" i="3"/>
  <c r="M987" i="3"/>
  <c r="U987" i="3"/>
  <c r="P988" i="3"/>
  <c r="K989" i="3"/>
  <c r="S989" i="3"/>
  <c r="N990" i="3"/>
  <c r="V990" i="3"/>
  <c r="Q991" i="3"/>
  <c r="L992" i="3"/>
  <c r="T992" i="3"/>
  <c r="O993" i="3"/>
  <c r="J994" i="3"/>
  <c r="R994" i="3"/>
  <c r="M995" i="3"/>
  <c r="U995" i="3"/>
  <c r="P996" i="3"/>
  <c r="K997" i="3"/>
  <c r="S997" i="3"/>
  <c r="N998" i="3"/>
  <c r="V998" i="3"/>
  <c r="Q999" i="3"/>
  <c r="L1000" i="3"/>
  <c r="T1000" i="3"/>
  <c r="O1001" i="3"/>
  <c r="J1002" i="3"/>
  <c r="R1002" i="3"/>
  <c r="M1003" i="3"/>
  <c r="U1003" i="3"/>
  <c r="P1004" i="3"/>
  <c r="J861" i="3"/>
  <c r="T925" i="3"/>
  <c r="T933" i="3"/>
  <c r="R935" i="3"/>
  <c r="U936" i="3"/>
  <c r="K938" i="3"/>
  <c r="N939" i="3"/>
  <c r="Q940" i="3"/>
  <c r="L941" i="3"/>
  <c r="O942" i="3"/>
  <c r="R943" i="3"/>
  <c r="M944" i="3"/>
  <c r="P945" i="3"/>
  <c r="S946" i="3"/>
  <c r="V947" i="3"/>
  <c r="L949" i="3"/>
  <c r="O950" i="3"/>
  <c r="R951" i="3"/>
  <c r="U952" i="3"/>
  <c r="K954" i="3"/>
  <c r="N955" i="3"/>
  <c r="Q956" i="3"/>
  <c r="T957" i="3"/>
  <c r="J959" i="3"/>
  <c r="M960" i="3"/>
  <c r="P961" i="3"/>
  <c r="S962" i="3"/>
  <c r="V963" i="3"/>
  <c r="L965" i="3"/>
  <c r="O966" i="3"/>
  <c r="J967" i="3"/>
  <c r="M968" i="3"/>
  <c r="P969" i="3"/>
  <c r="S970" i="3"/>
  <c r="V971" i="3"/>
  <c r="L973" i="3"/>
  <c r="O974" i="3"/>
  <c r="R975" i="3"/>
  <c r="U976" i="3"/>
  <c r="K978" i="3"/>
  <c r="N979" i="3"/>
  <c r="Q980" i="3"/>
  <c r="T981" i="3"/>
  <c r="J983" i="3"/>
  <c r="J991" i="3"/>
  <c r="K994" i="3"/>
  <c r="N995" i="3"/>
  <c r="Q996" i="3"/>
  <c r="T997" i="3"/>
  <c r="J999" i="3"/>
  <c r="M1000" i="3"/>
  <c r="U1000" i="3"/>
  <c r="P1001" i="3"/>
  <c r="S1002" i="3"/>
  <c r="V1003" i="3"/>
  <c r="K534" i="3"/>
  <c r="K565" i="3"/>
  <c r="O594" i="3"/>
  <c r="O618" i="3"/>
  <c r="U628" i="3"/>
  <c r="L636" i="3"/>
  <c r="V642" i="3"/>
  <c r="Q648" i="3"/>
  <c r="U655" i="3"/>
  <c r="M662" i="3"/>
  <c r="M665" i="3"/>
  <c r="U668" i="3"/>
  <c r="K672" i="3"/>
  <c r="K675" i="3"/>
  <c r="S678" i="3"/>
  <c r="V681" i="3"/>
  <c r="V684" i="3"/>
  <c r="Q688" i="3"/>
  <c r="T691" i="3"/>
  <c r="T694" i="3"/>
  <c r="O698" i="3"/>
  <c r="R701" i="3"/>
  <c r="R704" i="3"/>
  <c r="M708" i="3"/>
  <c r="P711" i="3"/>
  <c r="P714" i="3"/>
  <c r="K718" i="3"/>
  <c r="N721" i="3"/>
  <c r="N724" i="3"/>
  <c r="V727" i="3"/>
  <c r="L731" i="3"/>
  <c r="L734" i="3"/>
  <c r="T737" i="3"/>
  <c r="J741" i="3"/>
  <c r="J744" i="3"/>
  <c r="R747" i="3"/>
  <c r="U750" i="3"/>
  <c r="U753" i="3"/>
  <c r="P757" i="3"/>
  <c r="S760" i="3"/>
  <c r="S763" i="3"/>
  <c r="N767" i="3"/>
  <c r="L770" i="3"/>
  <c r="O772" i="3"/>
  <c r="N775" i="3"/>
  <c r="V777" i="3"/>
  <c r="N780" i="3"/>
  <c r="M783" i="3"/>
  <c r="U785" i="3"/>
  <c r="M788" i="3"/>
  <c r="K791" i="3"/>
  <c r="T793" i="3"/>
  <c r="S795" i="3"/>
  <c r="K798" i="3"/>
  <c r="N800" i="3"/>
  <c r="N802" i="3"/>
  <c r="R804" i="3"/>
  <c r="U806" i="3"/>
  <c r="N808" i="3"/>
  <c r="K810" i="3"/>
  <c r="T811" i="3"/>
  <c r="M813" i="3"/>
  <c r="J815" i="3"/>
  <c r="S816" i="3"/>
  <c r="L818" i="3"/>
  <c r="V819" i="3"/>
  <c r="R821" i="3"/>
  <c r="K823" i="3"/>
  <c r="U824" i="3"/>
  <c r="Q826" i="3"/>
  <c r="J828" i="3"/>
  <c r="T829" i="3"/>
  <c r="P831" i="3"/>
  <c r="V832" i="3"/>
  <c r="S834" i="3"/>
  <c r="O836" i="3"/>
  <c r="U837" i="3"/>
  <c r="R839" i="3"/>
  <c r="N841" i="3"/>
  <c r="T842" i="3"/>
  <c r="Q844" i="3"/>
  <c r="M846" i="3"/>
  <c r="S847" i="3"/>
  <c r="P849" i="3"/>
  <c r="L851" i="3"/>
  <c r="R852" i="3"/>
  <c r="O854" i="3"/>
  <c r="K856" i="3"/>
  <c r="Q857" i="3"/>
  <c r="N859" i="3"/>
  <c r="P862" i="3"/>
  <c r="M864" i="3"/>
  <c r="V865" i="3"/>
  <c r="O867" i="3"/>
  <c r="L869" i="3"/>
  <c r="U870" i="3"/>
  <c r="N872" i="3"/>
  <c r="K874" i="3"/>
  <c r="T875" i="3"/>
  <c r="J877" i="3"/>
  <c r="M878" i="3"/>
  <c r="P879" i="3"/>
  <c r="S880" i="3"/>
  <c r="V881" i="3"/>
  <c r="L883" i="3"/>
  <c r="O884" i="3"/>
  <c r="R885" i="3"/>
  <c r="U886" i="3"/>
  <c r="K888" i="3"/>
  <c r="N889" i="3"/>
  <c r="Q890" i="3"/>
  <c r="O891" i="3"/>
  <c r="P892" i="3"/>
  <c r="Q893" i="3"/>
  <c r="O894" i="3"/>
  <c r="P895" i="3"/>
  <c r="N896" i="3"/>
  <c r="O897" i="3"/>
  <c r="P898" i="3"/>
  <c r="N899" i="3"/>
  <c r="O900" i="3"/>
  <c r="M901" i="3"/>
  <c r="N902" i="3"/>
  <c r="O903" i="3"/>
  <c r="M904" i="3"/>
  <c r="L905" i="3"/>
  <c r="V905" i="3"/>
  <c r="S906" i="3"/>
  <c r="R907" i="3"/>
  <c r="O908" i="3"/>
  <c r="L909" i="3"/>
  <c r="K910" i="3"/>
  <c r="U910" i="3"/>
  <c r="R911" i="3"/>
  <c r="Q912" i="3"/>
  <c r="N913" i="3"/>
  <c r="K914" i="3"/>
  <c r="J915" i="3"/>
  <c r="T915" i="3"/>
  <c r="Q916" i="3"/>
  <c r="M917" i="3"/>
  <c r="J918" i="3"/>
  <c r="S918" i="3"/>
  <c r="O919" i="3"/>
  <c r="K920" i="3"/>
  <c r="T920" i="3"/>
  <c r="P921" i="3"/>
  <c r="K922" i="3"/>
  <c r="S922" i="3"/>
  <c r="N923" i="3"/>
  <c r="V923" i="3"/>
  <c r="Q924" i="3"/>
  <c r="L925" i="3"/>
  <c r="O926" i="3"/>
  <c r="J927" i="3"/>
  <c r="R927" i="3"/>
  <c r="M928" i="3"/>
  <c r="U928" i="3"/>
  <c r="P929" i="3"/>
  <c r="K930" i="3"/>
  <c r="S930" i="3"/>
  <c r="N931" i="3"/>
  <c r="V931" i="3"/>
  <c r="Q932" i="3"/>
  <c r="L933" i="3"/>
  <c r="O934" i="3"/>
  <c r="J935" i="3"/>
  <c r="M936" i="3"/>
  <c r="P937" i="3"/>
  <c r="S938" i="3"/>
  <c r="V939" i="3"/>
  <c r="T941" i="3"/>
  <c r="J943" i="3"/>
  <c r="U944" i="3"/>
  <c r="K946" i="3"/>
  <c r="N947" i="3"/>
  <c r="Q948" i="3"/>
  <c r="T949" i="3"/>
  <c r="J951" i="3"/>
  <c r="M952" i="3"/>
  <c r="P953" i="3"/>
  <c r="S954" i="3"/>
  <c r="V955" i="3"/>
  <c r="L957" i="3"/>
  <c r="O958" i="3"/>
  <c r="R959" i="3"/>
  <c r="U960" i="3"/>
  <c r="K962" i="3"/>
  <c r="N963" i="3"/>
  <c r="Q964" i="3"/>
  <c r="T965" i="3"/>
  <c r="R967" i="3"/>
  <c r="U968" i="3"/>
  <c r="K970" i="3"/>
  <c r="N971" i="3"/>
  <c r="Q972" i="3"/>
  <c r="T973" i="3"/>
  <c r="J975" i="3"/>
  <c r="M976" i="3"/>
  <c r="P977" i="3"/>
  <c r="S978" i="3"/>
  <c r="V979" i="3"/>
  <c r="L981" i="3"/>
  <c r="O982" i="3"/>
  <c r="R983" i="3"/>
  <c r="M984" i="3"/>
  <c r="U984" i="3"/>
  <c r="P985" i="3"/>
  <c r="K986" i="3"/>
  <c r="S986" i="3"/>
  <c r="N987" i="3"/>
  <c r="V987" i="3"/>
  <c r="Q988" i="3"/>
  <c r="L989" i="3"/>
  <c r="T989" i="3"/>
  <c r="O990" i="3"/>
  <c r="R991" i="3"/>
  <c r="M992" i="3"/>
  <c r="U992" i="3"/>
  <c r="P993" i="3"/>
  <c r="S994" i="3"/>
  <c r="V995" i="3"/>
  <c r="L997" i="3"/>
  <c r="O998" i="3"/>
  <c r="R999" i="3"/>
  <c r="K1002" i="3"/>
  <c r="N1003" i="3"/>
  <c r="Q1004" i="3"/>
  <c r="R539" i="3"/>
  <c r="V655" i="3"/>
  <c r="R685" i="3"/>
  <c r="V711" i="3"/>
  <c r="U737" i="3"/>
  <c r="O764" i="3"/>
  <c r="L786" i="3"/>
  <c r="T804" i="3"/>
  <c r="Q818" i="3"/>
  <c r="R831" i="3"/>
  <c r="R844" i="3"/>
  <c r="V857" i="3"/>
  <c r="J871" i="3"/>
  <c r="J882" i="3"/>
  <c r="S891" i="3"/>
  <c r="O899" i="3"/>
  <c r="T906" i="3"/>
  <c r="O913" i="3"/>
  <c r="P919" i="3"/>
  <c r="J924" i="3"/>
  <c r="V928" i="3"/>
  <c r="M933" i="3"/>
  <c r="V936" i="3"/>
  <c r="O939" i="3"/>
  <c r="U941" i="3"/>
  <c r="N944" i="3"/>
  <c r="T946" i="3"/>
  <c r="M949" i="3"/>
  <c r="S951" i="3"/>
  <c r="L954" i="3"/>
  <c r="R956" i="3"/>
  <c r="K959" i="3"/>
  <c r="Q961" i="3"/>
  <c r="J964" i="3"/>
  <c r="P966" i="3"/>
  <c r="V968" i="3"/>
  <c r="O971" i="3"/>
  <c r="U973" i="3"/>
  <c r="N976" i="3"/>
  <c r="T978" i="3"/>
  <c r="M981" i="3"/>
  <c r="S983" i="3"/>
  <c r="L986" i="3"/>
  <c r="R988" i="3"/>
  <c r="K991" i="3"/>
  <c r="Q993" i="3"/>
  <c r="J996" i="3"/>
  <c r="P998" i="3"/>
  <c r="V1000" i="3"/>
  <c r="O1003" i="3"/>
  <c r="T947" i="3"/>
  <c r="Q672" i="3"/>
  <c r="V824" i="3"/>
  <c r="K877" i="3"/>
  <c r="P903" i="3"/>
  <c r="R916" i="3"/>
  <c r="O931" i="3"/>
  <c r="Q945" i="3"/>
  <c r="V952" i="3"/>
  <c r="N960" i="3"/>
  <c r="L970" i="3"/>
  <c r="Q977" i="3"/>
  <c r="N992" i="3"/>
  <c r="S999" i="3"/>
  <c r="U734" i="3"/>
  <c r="T802" i="3"/>
  <c r="L843" i="3"/>
  <c r="T880" i="3"/>
  <c r="T918" i="3"/>
  <c r="S936" i="3"/>
  <c r="P951" i="3"/>
  <c r="U958" i="3"/>
  <c r="L971" i="3"/>
  <c r="P983" i="3"/>
  <c r="M998" i="3"/>
  <c r="M572" i="3"/>
  <c r="S662" i="3"/>
  <c r="R688" i="3"/>
  <c r="L715" i="3"/>
  <c r="P741" i="3"/>
  <c r="O767" i="3"/>
  <c r="U788" i="3"/>
  <c r="J807" i="3"/>
  <c r="J820" i="3"/>
  <c r="N833" i="3"/>
  <c r="O846" i="3"/>
  <c r="O859" i="3"/>
  <c r="S872" i="3"/>
  <c r="M883" i="3"/>
  <c r="Q892" i="3"/>
  <c r="P900" i="3"/>
  <c r="S907" i="3"/>
  <c r="L914" i="3"/>
  <c r="L920" i="3"/>
  <c r="R924" i="3"/>
  <c r="Q929" i="3"/>
  <c r="U933" i="3"/>
  <c r="N937" i="3"/>
  <c r="T939" i="3"/>
  <c r="M942" i="3"/>
  <c r="S944" i="3"/>
  <c r="L947" i="3"/>
  <c r="R949" i="3"/>
  <c r="K952" i="3"/>
  <c r="Q954" i="3"/>
  <c r="J957" i="3"/>
  <c r="P959" i="3"/>
  <c r="V961" i="3"/>
  <c r="O964" i="3"/>
  <c r="U966" i="3"/>
  <c r="N969" i="3"/>
  <c r="T971" i="3"/>
  <c r="M974" i="3"/>
  <c r="S976" i="3"/>
  <c r="L979" i="3"/>
  <c r="R981" i="3"/>
  <c r="K984" i="3"/>
  <c r="Q986" i="3"/>
  <c r="J989" i="3"/>
  <c r="P991" i="3"/>
  <c r="V993" i="3"/>
  <c r="O996" i="3"/>
  <c r="U998" i="3"/>
  <c r="N1001" i="3"/>
  <c r="T1003" i="3"/>
  <c r="M950" i="3"/>
  <c r="L955" i="3"/>
  <c r="K960" i="3"/>
  <c r="Q962" i="3"/>
  <c r="J965" i="3"/>
  <c r="P967" i="3"/>
  <c r="O972" i="3"/>
  <c r="U974" i="3"/>
  <c r="N977" i="3"/>
  <c r="T979" i="3"/>
  <c r="M982" i="3"/>
  <c r="S984" i="3"/>
  <c r="L987" i="3"/>
  <c r="K992" i="3"/>
  <c r="Q994" i="3"/>
  <c r="J997" i="3"/>
  <c r="P999" i="3"/>
  <c r="V1001" i="3"/>
  <c r="O1004" i="3"/>
  <c r="R630" i="3"/>
  <c r="N751" i="3"/>
  <c r="O775" i="3"/>
  <c r="M796" i="3"/>
  <c r="M838" i="3"/>
  <c r="N864" i="3"/>
  <c r="V886" i="3"/>
  <c r="L910" i="3"/>
  <c r="P926" i="3"/>
  <c r="R940" i="3"/>
  <c r="J948" i="3"/>
  <c r="O955" i="3"/>
  <c r="M965" i="3"/>
  <c r="R972" i="3"/>
  <c r="P982" i="3"/>
  <c r="O987" i="3"/>
  <c r="T994" i="3"/>
  <c r="R1004" i="3"/>
  <c r="N708" i="3"/>
  <c r="U829" i="3"/>
  <c r="Q898" i="3"/>
  <c r="T923" i="3"/>
  <c r="R941" i="3"/>
  <c r="O956" i="3"/>
  <c r="T963" i="3"/>
  <c r="R973" i="3"/>
  <c r="V985" i="3"/>
  <c r="N993" i="3"/>
  <c r="L1003" i="3"/>
  <c r="R594" i="3"/>
  <c r="V665" i="3"/>
  <c r="M692" i="3"/>
  <c r="L718" i="3"/>
  <c r="S744" i="3"/>
  <c r="O770" i="3"/>
  <c r="M791" i="3"/>
  <c r="S808" i="3"/>
  <c r="T821" i="3"/>
  <c r="T834" i="3"/>
  <c r="K848" i="3"/>
  <c r="L861" i="3"/>
  <c r="L874" i="3"/>
  <c r="P884" i="3"/>
  <c r="R893" i="3"/>
  <c r="Q901" i="3"/>
  <c r="P908" i="3"/>
  <c r="K915" i="3"/>
  <c r="U920" i="3"/>
  <c r="M925" i="3"/>
  <c r="L930" i="3"/>
  <c r="P934" i="3"/>
  <c r="Q937" i="3"/>
  <c r="J940" i="3"/>
  <c r="P942" i="3"/>
  <c r="V944" i="3"/>
  <c r="O947" i="3"/>
  <c r="U949" i="3"/>
  <c r="N952" i="3"/>
  <c r="T954" i="3"/>
  <c r="M957" i="3"/>
  <c r="S959" i="3"/>
  <c r="L962" i="3"/>
  <c r="R964" i="3"/>
  <c r="K967" i="3"/>
  <c r="Q969" i="3"/>
  <c r="J972" i="3"/>
  <c r="P974" i="3"/>
  <c r="V976" i="3"/>
  <c r="O979" i="3"/>
  <c r="U981" i="3"/>
  <c r="N984" i="3"/>
  <c r="T986" i="3"/>
  <c r="M989" i="3"/>
  <c r="S991" i="3"/>
  <c r="L994" i="3"/>
  <c r="R996" i="3"/>
  <c r="K999" i="3"/>
  <c r="Q1001" i="3"/>
  <c r="J1004" i="3"/>
  <c r="O940" i="3"/>
  <c r="P698" i="3"/>
  <c r="V811" i="3"/>
  <c r="N851" i="3"/>
  <c r="Q895" i="3"/>
  <c r="L922" i="3"/>
  <c r="S935" i="3"/>
  <c r="K943" i="3"/>
  <c r="P950" i="3"/>
  <c r="U957" i="3"/>
  <c r="S967" i="3"/>
  <c r="J980" i="3"/>
  <c r="U989" i="3"/>
  <c r="L1002" i="3"/>
  <c r="N650" i="3"/>
  <c r="M856" i="3"/>
  <c r="J906" i="3"/>
  <c r="L939" i="3"/>
  <c r="J949" i="3"/>
  <c r="M966" i="3"/>
  <c r="Q978" i="3"/>
  <c r="O988" i="3"/>
  <c r="S1000" i="3"/>
  <c r="L620" i="3"/>
  <c r="V668" i="3"/>
  <c r="P695" i="3"/>
  <c r="T721" i="3"/>
  <c r="S747" i="3"/>
  <c r="J773" i="3"/>
  <c r="V793" i="3"/>
  <c r="L810" i="3"/>
  <c r="P823" i="3"/>
  <c r="Q836" i="3"/>
  <c r="Q849" i="3"/>
  <c r="U862" i="3"/>
  <c r="U875" i="3"/>
  <c r="S885" i="3"/>
  <c r="P894" i="3"/>
  <c r="O902" i="3"/>
  <c r="M909" i="3"/>
  <c r="U915" i="3"/>
  <c r="Q921" i="3"/>
  <c r="U925" i="3"/>
  <c r="T930" i="3"/>
  <c r="K935" i="3"/>
  <c r="V937" i="3"/>
  <c r="U942" i="3"/>
  <c r="N945" i="3"/>
  <c r="S952" i="3"/>
  <c r="R957" i="3"/>
  <c r="V969" i="3"/>
  <c r="R989" i="3"/>
  <c r="J725" i="3"/>
  <c r="L938" i="3"/>
  <c r="T962" i="3"/>
  <c r="K975" i="3"/>
  <c r="V984" i="3"/>
  <c r="M997" i="3"/>
  <c r="O682" i="3"/>
  <c r="R890" i="3"/>
  <c r="N928" i="3"/>
  <c r="Q946" i="3"/>
  <c r="N961" i="3"/>
  <c r="K976" i="3"/>
  <c r="T995" i="3"/>
  <c r="M636" i="3"/>
  <c r="T675" i="3"/>
  <c r="K702" i="3"/>
  <c r="J728" i="3"/>
  <c r="Q754" i="3"/>
  <c r="N778" i="3"/>
  <c r="L798" i="3"/>
  <c r="R813" i="3"/>
  <c r="S826" i="3"/>
  <c r="S839" i="3"/>
  <c r="J853" i="3"/>
  <c r="K866" i="3"/>
  <c r="N878" i="3"/>
  <c r="L888" i="3"/>
  <c r="R896" i="3"/>
  <c r="N904" i="3"/>
  <c r="V910" i="3"/>
  <c r="O917" i="3"/>
  <c r="T922" i="3"/>
  <c r="K927" i="3"/>
  <c r="T931" i="3"/>
  <c r="K936" i="3"/>
  <c r="Q938" i="3"/>
  <c r="J941" i="3"/>
  <c r="P943" i="3"/>
  <c r="V945" i="3"/>
  <c r="O948" i="3"/>
  <c r="U950" i="3"/>
  <c r="N953" i="3"/>
  <c r="T955" i="3"/>
  <c r="M958" i="3"/>
  <c r="S960" i="3"/>
  <c r="L963" i="3"/>
  <c r="R965" i="3"/>
  <c r="K968" i="3"/>
  <c r="Q970" i="3"/>
  <c r="J973" i="3"/>
  <c r="P975" i="3"/>
  <c r="V977" i="3"/>
  <c r="O980" i="3"/>
  <c r="U982" i="3"/>
  <c r="N985" i="3"/>
  <c r="T987" i="3"/>
  <c r="M990" i="3"/>
  <c r="S992" i="3"/>
  <c r="L995" i="3"/>
  <c r="R997" i="3"/>
  <c r="K1000" i="3"/>
  <c r="Q1002" i="3"/>
  <c r="Q643" i="3"/>
  <c r="T678" i="3"/>
  <c r="N705" i="3"/>
  <c r="R731" i="3"/>
  <c r="Q757" i="3"/>
  <c r="V780" i="3"/>
  <c r="Q800" i="3"/>
  <c r="K815" i="3"/>
  <c r="O828" i="3"/>
  <c r="P841" i="3"/>
  <c r="P854" i="3"/>
  <c r="T867" i="3"/>
  <c r="Q879" i="3"/>
  <c r="O889" i="3"/>
  <c r="P897" i="3"/>
  <c r="M905" i="3"/>
  <c r="S911" i="3"/>
  <c r="K918" i="3"/>
  <c r="O923" i="3"/>
  <c r="S927" i="3"/>
  <c r="J932" i="3"/>
  <c r="N936" i="3"/>
  <c r="T938" i="3"/>
  <c r="M941" i="3"/>
  <c r="S943" i="3"/>
  <c r="L946" i="3"/>
  <c r="R948" i="3"/>
  <c r="K951" i="3"/>
  <c r="Q953" i="3"/>
  <c r="J956" i="3"/>
  <c r="P958" i="3"/>
  <c r="V960" i="3"/>
  <c r="O963" i="3"/>
  <c r="U965" i="3"/>
  <c r="N968" i="3"/>
  <c r="T970" i="3"/>
  <c r="M973" i="3"/>
  <c r="S975" i="3"/>
  <c r="L978" i="3"/>
  <c r="R980" i="3"/>
  <c r="K983" i="3"/>
  <c r="Q985" i="3"/>
  <c r="J988" i="3"/>
  <c r="P990" i="3"/>
  <c r="V992" i="3"/>
  <c r="O995" i="3"/>
  <c r="U997" i="3"/>
  <c r="N1000" i="3"/>
  <c r="T1002" i="3"/>
  <c r="L761" i="3"/>
  <c r="N783" i="3"/>
  <c r="U816" i="3"/>
  <c r="M869" i="3"/>
  <c r="R912" i="3"/>
  <c r="R932" i="3"/>
  <c r="K944" i="3"/>
  <c r="V953" i="3"/>
  <c r="S968" i="3"/>
  <c r="J981" i="3"/>
  <c r="U990" i="3"/>
  <c r="AN5" i="3"/>
  <c r="AK6" i="3"/>
  <c r="AH7" i="3"/>
  <c r="AP7" i="3"/>
  <c r="AM8" i="3"/>
  <c r="AM7" i="3"/>
  <c r="AG5" i="3"/>
  <c r="AO5" i="3"/>
  <c r="AL6" i="3"/>
  <c r="AI7" i="3"/>
  <c r="AQ7" i="3"/>
  <c r="AN8" i="3"/>
  <c r="AJ5" i="3"/>
  <c r="AO6" i="3"/>
  <c r="AI8" i="3"/>
  <c r="AK5" i="3"/>
  <c r="AH5" i="3"/>
  <c r="AP5" i="3"/>
  <c r="AM6" i="3"/>
  <c r="AJ7" i="3"/>
  <c r="AG8" i="3"/>
  <c r="AO8" i="3"/>
  <c r="AG6" i="3"/>
  <c r="AL7" i="3"/>
  <c r="AQ8" i="3"/>
  <c r="AH6" i="3"/>
  <c r="AJ8" i="3"/>
  <c r="AI5" i="3"/>
  <c r="AQ5" i="3"/>
  <c r="AN6" i="3"/>
  <c r="AK7" i="3"/>
  <c r="AH8" i="3"/>
  <c r="AP8" i="3"/>
  <c r="AL5" i="3"/>
  <c r="AI6" i="3"/>
  <c r="AQ6" i="3"/>
  <c r="AN7" i="3"/>
  <c r="AK8" i="3"/>
  <c r="AJ6" i="3"/>
  <c r="AG7" i="3"/>
  <c r="AO7" i="3"/>
  <c r="AL8" i="3"/>
  <c r="AP6" i="3"/>
  <c r="AM5" i="3"/>
  <c r="AG10" i="3"/>
  <c r="AH10" i="3"/>
  <c r="AG11" i="3"/>
  <c r="AH9" i="3"/>
  <c r="AG9" i="3"/>
  <c r="AH11" i="3"/>
  <c r="Q3" i="3" l="1"/>
  <c r="Q2" i="3"/>
  <c r="Y14" i="3"/>
  <c r="Y22" i="3"/>
  <c r="Y38" i="3"/>
  <c r="Y46" i="3"/>
  <c r="Y11" i="3"/>
  <c r="Y19" i="3"/>
  <c r="Y27" i="3"/>
  <c r="Y35" i="3"/>
  <c r="Y59" i="3"/>
  <c r="Y18" i="3"/>
  <c r="Y26" i="3"/>
  <c r="Y42" i="3"/>
  <c r="Y23" i="3"/>
  <c r="Y31" i="3"/>
  <c r="Y39" i="3"/>
  <c r="Y47" i="3"/>
  <c r="Y12" i="3"/>
  <c r="Y28" i="3"/>
  <c r="Y60" i="3"/>
  <c r="Y74" i="3"/>
  <c r="Y82" i="3"/>
  <c r="Y32" i="3"/>
  <c r="Y68" i="3"/>
  <c r="Y76" i="3"/>
  <c r="Y84" i="3"/>
  <c r="Y100" i="3"/>
  <c r="Y21" i="3"/>
  <c r="Y37" i="3"/>
  <c r="Y53" i="3"/>
  <c r="Y73" i="3"/>
  <c r="Y81" i="3"/>
  <c r="Y89" i="3"/>
  <c r="Y97" i="3"/>
  <c r="Y105" i="3"/>
  <c r="Y20" i="3"/>
  <c r="Y36" i="3"/>
  <c r="Y52" i="3"/>
  <c r="Y58" i="3"/>
  <c r="Y62" i="3"/>
  <c r="Y78" i="3"/>
  <c r="Y24" i="3"/>
  <c r="Y40" i="3"/>
  <c r="I49" i="3" a="1"/>
  <c r="I49" i="3" s="1"/>
  <c r="Y56" i="3"/>
  <c r="Y64" i="3"/>
  <c r="Y72" i="3"/>
  <c r="Y13" i="3"/>
  <c r="Y29" i="3"/>
  <c r="Y45" i="3"/>
  <c r="Y69" i="3"/>
  <c r="Y77" i="3"/>
  <c r="Y85" i="3"/>
  <c r="Y96" i="3"/>
  <c r="Y108" i="3"/>
  <c r="Y132" i="3"/>
  <c r="Y140" i="3"/>
  <c r="Y148" i="3"/>
  <c r="Y41" i="3"/>
  <c r="Y75" i="3"/>
  <c r="Y87" i="3"/>
  <c r="Y101" i="3"/>
  <c r="Y113" i="3"/>
  <c r="Y121" i="3"/>
  <c r="Y129" i="3"/>
  <c r="Y137" i="3"/>
  <c r="Y145" i="3"/>
  <c r="Y153" i="3"/>
  <c r="Y33" i="3"/>
  <c r="Y61" i="3"/>
  <c r="Y94" i="3"/>
  <c r="Y98" i="3"/>
  <c r="Y112" i="3"/>
  <c r="Y120" i="3"/>
  <c r="Y128" i="3"/>
  <c r="Y99" i="3"/>
  <c r="Y109" i="3"/>
  <c r="Y117" i="3"/>
  <c r="Y125" i="3"/>
  <c r="Y133" i="3"/>
  <c r="Y88" i="3"/>
  <c r="Y106" i="3"/>
  <c r="Y110" i="3"/>
  <c r="Y126" i="3"/>
  <c r="Y138" i="3"/>
  <c r="Y156" i="3"/>
  <c r="Y164" i="3"/>
  <c r="Y172" i="3"/>
  <c r="Y180" i="3"/>
  <c r="Y196" i="3"/>
  <c r="Y204" i="3"/>
  <c r="Y212" i="3"/>
  <c r="Y93" i="3"/>
  <c r="Y115" i="3"/>
  <c r="Y139" i="3"/>
  <c r="Y143" i="3"/>
  <c r="Y161" i="3"/>
  <c r="Y169" i="3"/>
  <c r="Y177" i="3"/>
  <c r="Y185" i="3"/>
  <c r="Y193" i="3"/>
  <c r="Y201" i="3"/>
  <c r="Y209" i="3"/>
  <c r="Y17" i="3"/>
  <c r="Y63" i="3"/>
  <c r="Y102" i="3"/>
  <c r="Y118" i="3"/>
  <c r="Y136" i="3"/>
  <c r="Y150" i="3"/>
  <c r="Y160" i="3"/>
  <c r="Y168" i="3"/>
  <c r="Y184" i="3"/>
  <c r="Y192" i="3"/>
  <c r="Y200" i="3"/>
  <c r="Y208" i="3"/>
  <c r="Y57" i="3"/>
  <c r="Y83" i="3"/>
  <c r="Y107" i="3"/>
  <c r="Y123" i="3"/>
  <c r="Y141" i="3"/>
  <c r="Y157" i="3"/>
  <c r="Y181" i="3"/>
  <c r="Y189" i="3"/>
  <c r="Y197" i="3"/>
  <c r="Y205" i="3"/>
  <c r="Y213" i="3"/>
  <c r="R17" i="1"/>
  <c r="Y49" i="3"/>
  <c r="Y104" i="3"/>
  <c r="Y122" i="3"/>
  <c r="Y142" i="3"/>
  <c r="Y130" i="3"/>
  <c r="Y134" i="3"/>
  <c r="Y144" i="3"/>
  <c r="Y166" i="3"/>
  <c r="Y182" i="3"/>
  <c r="Y198" i="3"/>
  <c r="Y214" i="3"/>
  <c r="Y220" i="3"/>
  <c r="Y228" i="3"/>
  <c r="Y236" i="3"/>
  <c r="Y244" i="3"/>
  <c r="Y252" i="3"/>
  <c r="Y260" i="3"/>
  <c r="Y268" i="3"/>
  <c r="Y276" i="3"/>
  <c r="Y284" i="3"/>
  <c r="Y292" i="3"/>
  <c r="Y300" i="3"/>
  <c r="Y308" i="3"/>
  <c r="Y324" i="3"/>
  <c r="Y340" i="3"/>
  <c r="Y348" i="3"/>
  <c r="Y356" i="3"/>
  <c r="Y364" i="3"/>
  <c r="Y372" i="3"/>
  <c r="Y67" i="3"/>
  <c r="Y95" i="3"/>
  <c r="Y149" i="3"/>
  <c r="Y155" i="3"/>
  <c r="Y171" i="3"/>
  <c r="Y187" i="3"/>
  <c r="Y203" i="3"/>
  <c r="Y217" i="3"/>
  <c r="Y225" i="3"/>
  <c r="Y233" i="3"/>
  <c r="Y241" i="3"/>
  <c r="Y249" i="3"/>
  <c r="Y257" i="3"/>
  <c r="Y265" i="3"/>
  <c r="Y273" i="3"/>
  <c r="Y281" i="3"/>
  <c r="Y289" i="3"/>
  <c r="Y297" i="3"/>
  <c r="Y305" i="3"/>
  <c r="Y313" i="3"/>
  <c r="Y321" i="3"/>
  <c r="Y337" i="3"/>
  <c r="Y345" i="3"/>
  <c r="Y353" i="3"/>
  <c r="Y361" i="3"/>
  <c r="Y369" i="3"/>
  <c r="Y79" i="3"/>
  <c r="Y90" i="3"/>
  <c r="Y114" i="3"/>
  <c r="Y131" i="3"/>
  <c r="Y158" i="3"/>
  <c r="Y174" i="3"/>
  <c r="Y190" i="3"/>
  <c r="Y206" i="3"/>
  <c r="Y216" i="3"/>
  <c r="Y224" i="3"/>
  <c r="Y232" i="3"/>
  <c r="Y240" i="3"/>
  <c r="Y248" i="3"/>
  <c r="Y256" i="3"/>
  <c r="Y264" i="3"/>
  <c r="Y272" i="3"/>
  <c r="Y280" i="3"/>
  <c r="Y288" i="3"/>
  <c r="Y296" i="3"/>
  <c r="Y304" i="3"/>
  <c r="Y312" i="3"/>
  <c r="Y320" i="3"/>
  <c r="Y328" i="3"/>
  <c r="Y336" i="3"/>
  <c r="Y344" i="3"/>
  <c r="Y352" i="3"/>
  <c r="Y360" i="3"/>
  <c r="Y368" i="3"/>
  <c r="Y25" i="3"/>
  <c r="Y119" i="3"/>
  <c r="Y135" i="3"/>
  <c r="Y163" i="3"/>
  <c r="Y179" i="3"/>
  <c r="Y195" i="3"/>
  <c r="Y211" i="3"/>
  <c r="Y221" i="3"/>
  <c r="Y229" i="3"/>
  <c r="Y237" i="3"/>
  <c r="Y245" i="3"/>
  <c r="Y253" i="3"/>
  <c r="Y261" i="3"/>
  <c r="Y269" i="3"/>
  <c r="Y277" i="3"/>
  <c r="Y285" i="3"/>
  <c r="Y301" i="3"/>
  <c r="Y309" i="3"/>
  <c r="Y317" i="3"/>
  <c r="Y325" i="3"/>
  <c r="Y333" i="3"/>
  <c r="Y341" i="3"/>
  <c r="Y349" i="3"/>
  <c r="Y365" i="3"/>
  <c r="Y178" i="3"/>
  <c r="Y210" i="3"/>
  <c r="Y226" i="3"/>
  <c r="Y242" i="3"/>
  <c r="Y258" i="3"/>
  <c r="Y274" i="3"/>
  <c r="Y127" i="3"/>
  <c r="Y147" i="3"/>
  <c r="Y183" i="3"/>
  <c r="Y215" i="3"/>
  <c r="Y231" i="3"/>
  <c r="Y247" i="3"/>
  <c r="Y263" i="3"/>
  <c r="Y154" i="3"/>
  <c r="Y186" i="3"/>
  <c r="Y230" i="3"/>
  <c r="Y246" i="3"/>
  <c r="Y262" i="3"/>
  <c r="Y278" i="3"/>
  <c r="Y294" i="3"/>
  <c r="Y310" i="3"/>
  <c r="Y326" i="3"/>
  <c r="Y342" i="3"/>
  <c r="Y358" i="3"/>
  <c r="Y380" i="3"/>
  <c r="Y388" i="3"/>
  <c r="Y396" i="3"/>
  <c r="Y404" i="3"/>
  <c r="Y412" i="3"/>
  <c r="Y420" i="3"/>
  <c r="Y428" i="3"/>
  <c r="Y436" i="3"/>
  <c r="Y444" i="3"/>
  <c r="Y452" i="3"/>
  <c r="Y460" i="3"/>
  <c r="Y468" i="3"/>
  <c r="Y151" i="3"/>
  <c r="Y159" i="3"/>
  <c r="Y191" i="3"/>
  <c r="Y219" i="3"/>
  <c r="Y235" i="3"/>
  <c r="Y251" i="3"/>
  <c r="Y267" i="3"/>
  <c r="Y283" i="3"/>
  <c r="Y299" i="3"/>
  <c r="Y315" i="3"/>
  <c r="Y331" i="3"/>
  <c r="Y347" i="3"/>
  <c r="Y363" i="3"/>
  <c r="Y377" i="3"/>
  <c r="Y385" i="3"/>
  <c r="Y393" i="3"/>
  <c r="Y401" i="3"/>
  <c r="Y409" i="3"/>
  <c r="Y425" i="3"/>
  <c r="Y441" i="3"/>
  <c r="Y449" i="3"/>
  <c r="Y457" i="3"/>
  <c r="Y111" i="3"/>
  <c r="Y162" i="3"/>
  <c r="Y194" i="3"/>
  <c r="Y218" i="3"/>
  <c r="Y234" i="3"/>
  <c r="Y250" i="3"/>
  <c r="Y266" i="3"/>
  <c r="Y167" i="3"/>
  <c r="Y199" i="3"/>
  <c r="Y223" i="3"/>
  <c r="Y239" i="3"/>
  <c r="Y255" i="3"/>
  <c r="Y271" i="3"/>
  <c r="Y146" i="3"/>
  <c r="Y170" i="3"/>
  <c r="Y202" i="3"/>
  <c r="Y222" i="3"/>
  <c r="Y238" i="3"/>
  <c r="Y254" i="3"/>
  <c r="Y270" i="3"/>
  <c r="Y286" i="3"/>
  <c r="Y302" i="3"/>
  <c r="Y318" i="3"/>
  <c r="Y334" i="3"/>
  <c r="Y350" i="3"/>
  <c r="Y366" i="3"/>
  <c r="Y376" i="3"/>
  <c r="Y384" i="3"/>
  <c r="Y392" i="3"/>
  <c r="Y400" i="3"/>
  <c r="Y408" i="3"/>
  <c r="Y416" i="3"/>
  <c r="Y424" i="3"/>
  <c r="Y432" i="3"/>
  <c r="Y440" i="3"/>
  <c r="Y448" i="3"/>
  <c r="Y456" i="3"/>
  <c r="Y464" i="3"/>
  <c r="Y91" i="3"/>
  <c r="Y175" i="3"/>
  <c r="Y207" i="3"/>
  <c r="Y227" i="3"/>
  <c r="Y243" i="3"/>
  <c r="Y259" i="3"/>
  <c r="Y275" i="3"/>
  <c r="Y291" i="3"/>
  <c r="Y307" i="3"/>
  <c r="Y323" i="3"/>
  <c r="Y339" i="3"/>
  <c r="Y355" i="3"/>
  <c r="Y371" i="3"/>
  <c r="Y373" i="3"/>
  <c r="Y381" i="3"/>
  <c r="Y389" i="3"/>
  <c r="Y397" i="3"/>
  <c r="Y405" i="3"/>
  <c r="Y413" i="3"/>
  <c r="Y421" i="3"/>
  <c r="Y429" i="3"/>
  <c r="Y437" i="3"/>
  <c r="Y445" i="3"/>
  <c r="Y453" i="3"/>
  <c r="Y461" i="3"/>
  <c r="Y469" i="3"/>
  <c r="Y290" i="3"/>
  <c r="Y322" i="3"/>
  <c r="Y354" i="3"/>
  <c r="Y378" i="3"/>
  <c r="Y394" i="3"/>
  <c r="Y410" i="3"/>
  <c r="Y426" i="3"/>
  <c r="Y442" i="3"/>
  <c r="Y458" i="3"/>
  <c r="Y483" i="3"/>
  <c r="Y491" i="3"/>
  <c r="Y295" i="3"/>
  <c r="Y327" i="3"/>
  <c r="Y359" i="3"/>
  <c r="Y383" i="3"/>
  <c r="Y399" i="3"/>
  <c r="Y415" i="3"/>
  <c r="Y431" i="3"/>
  <c r="Y447" i="3"/>
  <c r="Y480" i="3"/>
  <c r="Y488" i="3"/>
  <c r="Y496" i="3"/>
  <c r="Y298" i="3"/>
  <c r="Y330" i="3"/>
  <c r="Y362" i="3"/>
  <c r="Y382" i="3"/>
  <c r="Y398" i="3"/>
  <c r="Y414" i="3"/>
  <c r="Y430" i="3"/>
  <c r="Y446" i="3"/>
  <c r="Y462" i="3"/>
  <c r="Y463" i="3"/>
  <c r="Y465" i="3"/>
  <c r="Y466" i="3"/>
  <c r="Y475" i="3"/>
  <c r="Y477" i="3"/>
  <c r="Y485" i="3"/>
  <c r="Y493" i="3"/>
  <c r="Y501" i="3"/>
  <c r="Y509" i="3"/>
  <c r="Y517" i="3"/>
  <c r="Y525" i="3"/>
  <c r="Y533" i="3"/>
  <c r="Y541" i="3"/>
  <c r="Y549" i="3"/>
  <c r="Y557" i="3"/>
  <c r="Y565" i="3"/>
  <c r="Y573" i="3"/>
  <c r="Y581" i="3"/>
  <c r="Y589" i="3"/>
  <c r="Y597" i="3"/>
  <c r="Y605" i="3"/>
  <c r="Y613" i="3"/>
  <c r="Y621" i="3"/>
  <c r="Y629" i="3"/>
  <c r="Y637" i="3"/>
  <c r="Y645" i="3"/>
  <c r="Y653" i="3"/>
  <c r="Y661" i="3"/>
  <c r="Y303" i="3"/>
  <c r="Y335" i="3"/>
  <c r="Y367" i="3"/>
  <c r="Y387" i="3"/>
  <c r="Y403" i="3"/>
  <c r="Y419" i="3"/>
  <c r="Y435" i="3"/>
  <c r="Y467" i="3"/>
  <c r="Y470" i="3"/>
  <c r="Y471" i="3"/>
  <c r="Y482" i="3"/>
  <c r="Y490" i="3"/>
  <c r="Y498" i="3"/>
  <c r="Y506" i="3"/>
  <c r="Y514" i="3"/>
  <c r="Y522" i="3"/>
  <c r="Y530" i="3"/>
  <c r="Y538" i="3"/>
  <c r="Y546" i="3"/>
  <c r="Y554" i="3"/>
  <c r="Y562" i="3"/>
  <c r="Y570" i="3"/>
  <c r="Y578" i="3"/>
  <c r="Y586" i="3"/>
  <c r="Y594" i="3"/>
  <c r="Y602" i="3"/>
  <c r="Y610" i="3"/>
  <c r="Y618" i="3"/>
  <c r="Y626" i="3"/>
  <c r="Y634" i="3"/>
  <c r="Y642" i="3"/>
  <c r="Y650" i="3"/>
  <c r="Y658" i="3"/>
  <c r="Y666" i="3"/>
  <c r="Y306" i="3"/>
  <c r="Y338" i="3"/>
  <c r="Y370" i="3"/>
  <c r="Y386" i="3"/>
  <c r="Y402" i="3"/>
  <c r="Y418" i="3"/>
  <c r="Y434" i="3"/>
  <c r="Y450" i="3"/>
  <c r="Y472" i="3"/>
  <c r="Y479" i="3"/>
  <c r="Y487" i="3"/>
  <c r="Y495" i="3"/>
  <c r="Y279" i="3"/>
  <c r="Y311" i="3"/>
  <c r="Y343" i="3"/>
  <c r="Y375" i="3"/>
  <c r="Y391" i="3"/>
  <c r="Y407" i="3"/>
  <c r="Y423" i="3"/>
  <c r="Y439" i="3"/>
  <c r="Y455" i="3"/>
  <c r="Y473" i="3"/>
  <c r="Y476" i="3"/>
  <c r="Y484" i="3"/>
  <c r="Y492" i="3"/>
  <c r="Y500" i="3"/>
  <c r="Y282" i="3"/>
  <c r="Y314" i="3"/>
  <c r="Y346" i="3"/>
  <c r="Y374" i="3"/>
  <c r="Y390" i="3"/>
  <c r="Y406" i="3"/>
  <c r="Y422" i="3"/>
  <c r="Y438" i="3"/>
  <c r="Y454" i="3"/>
  <c r="Y481" i="3"/>
  <c r="Y489" i="3"/>
  <c r="Y497" i="3"/>
  <c r="Y505" i="3"/>
  <c r="Y513" i="3"/>
  <c r="Y521" i="3"/>
  <c r="Y529" i="3"/>
  <c r="Y537" i="3"/>
  <c r="Y545" i="3"/>
  <c r="Y553" i="3"/>
  <c r="Y561" i="3"/>
  <c r="Y569" i="3"/>
  <c r="Y577" i="3"/>
  <c r="Y585" i="3"/>
  <c r="Y593" i="3"/>
  <c r="Y601" i="3"/>
  <c r="Y609" i="3"/>
  <c r="Y617" i="3"/>
  <c r="Y625" i="3"/>
  <c r="Y633" i="3"/>
  <c r="Y641" i="3"/>
  <c r="Y649" i="3"/>
  <c r="Y657" i="3"/>
  <c r="Y665" i="3"/>
  <c r="Y287" i="3"/>
  <c r="Y319" i="3"/>
  <c r="Y351" i="3"/>
  <c r="Y379" i="3"/>
  <c r="Y395" i="3"/>
  <c r="Y411" i="3"/>
  <c r="Y427" i="3"/>
  <c r="Y443" i="3"/>
  <c r="Y459" i="3"/>
  <c r="Y474" i="3"/>
  <c r="Y478" i="3"/>
  <c r="Y486" i="3"/>
  <c r="Y494" i="3"/>
  <c r="Y502" i="3"/>
  <c r="Y510" i="3"/>
  <c r="Y518" i="3"/>
  <c r="Y526" i="3"/>
  <c r="Y534" i="3"/>
  <c r="Y542" i="3"/>
  <c r="Y550" i="3"/>
  <c r="Y558" i="3"/>
  <c r="Y566" i="3"/>
  <c r="Y574" i="3"/>
  <c r="Y582" i="3"/>
  <c r="Y590" i="3"/>
  <c r="Y598" i="3"/>
  <c r="Y606" i="3"/>
  <c r="Y614" i="3"/>
  <c r="Y622" i="3"/>
  <c r="Y630" i="3"/>
  <c r="Y638" i="3"/>
  <c r="Y646" i="3"/>
  <c r="Y654" i="3"/>
  <c r="Y662" i="3"/>
  <c r="Y670" i="3"/>
  <c r="Y512" i="3"/>
  <c r="Y528" i="3"/>
  <c r="Y544" i="3"/>
  <c r="Y560" i="3"/>
  <c r="Y576" i="3"/>
  <c r="Y592" i="3"/>
  <c r="Y608" i="3"/>
  <c r="Y624" i="3"/>
  <c r="Y640" i="3"/>
  <c r="Y656" i="3"/>
  <c r="Y682" i="3"/>
  <c r="Y690" i="3"/>
  <c r="Y499" i="3"/>
  <c r="Y511" i="3"/>
  <c r="Y527" i="3"/>
  <c r="Y543" i="3"/>
  <c r="Y559" i="3"/>
  <c r="Y575" i="3"/>
  <c r="Y516" i="3"/>
  <c r="Y532" i="3"/>
  <c r="Y548" i="3"/>
  <c r="Y564" i="3"/>
  <c r="Y580" i="3"/>
  <c r="Y596" i="3"/>
  <c r="Y612" i="3"/>
  <c r="Y628" i="3"/>
  <c r="Y644" i="3"/>
  <c r="Y660" i="3"/>
  <c r="Y671" i="3"/>
  <c r="Y684" i="3"/>
  <c r="Y692" i="3"/>
  <c r="Y700" i="3"/>
  <c r="Y708" i="3"/>
  <c r="Y716" i="3"/>
  <c r="Y724" i="3"/>
  <c r="Y732" i="3"/>
  <c r="Y740" i="3"/>
  <c r="Y748" i="3"/>
  <c r="Y756" i="3"/>
  <c r="Y764" i="3"/>
  <c r="Y772" i="3"/>
  <c r="Y780" i="3"/>
  <c r="Y788" i="3"/>
  <c r="Y796" i="3"/>
  <c r="Y804" i="3"/>
  <c r="Y812" i="3"/>
  <c r="Y820" i="3"/>
  <c r="Y828" i="3"/>
  <c r="Y836" i="3"/>
  <c r="Y844" i="3"/>
  <c r="Y852" i="3"/>
  <c r="Y860" i="3"/>
  <c r="Y868" i="3"/>
  <c r="Y876" i="3"/>
  <c r="Y884" i="3"/>
  <c r="Y892" i="3"/>
  <c r="Y515" i="3"/>
  <c r="Y531" i="3"/>
  <c r="Y547" i="3"/>
  <c r="Y563" i="3"/>
  <c r="Y579" i="3"/>
  <c r="Y595" i="3"/>
  <c r="Y611" i="3"/>
  <c r="Y627" i="3"/>
  <c r="Y643" i="3"/>
  <c r="Y659" i="3"/>
  <c r="Y676" i="3"/>
  <c r="Y681" i="3"/>
  <c r="Y689" i="3"/>
  <c r="Y697" i="3"/>
  <c r="Y705" i="3"/>
  <c r="Y713" i="3"/>
  <c r="Y721" i="3"/>
  <c r="Y729" i="3"/>
  <c r="Y737" i="3"/>
  <c r="Y745" i="3"/>
  <c r="Y753" i="3"/>
  <c r="Y761" i="3"/>
  <c r="Y769" i="3"/>
  <c r="Y777" i="3"/>
  <c r="Y785" i="3"/>
  <c r="Y793" i="3"/>
  <c r="Y801" i="3"/>
  <c r="Y809" i="3"/>
  <c r="Y817" i="3"/>
  <c r="Y825" i="3"/>
  <c r="Y833" i="3"/>
  <c r="Y841" i="3"/>
  <c r="Y849" i="3"/>
  <c r="Y857" i="3"/>
  <c r="Y865" i="3"/>
  <c r="Y873" i="3"/>
  <c r="Y881" i="3"/>
  <c r="Y889" i="3"/>
  <c r="Y897" i="3"/>
  <c r="Y504" i="3"/>
  <c r="Y520" i="3"/>
  <c r="Y536" i="3"/>
  <c r="Y552" i="3"/>
  <c r="Y568" i="3"/>
  <c r="Y584" i="3"/>
  <c r="Y600" i="3"/>
  <c r="Y616" i="3"/>
  <c r="Y632" i="3"/>
  <c r="Y648" i="3"/>
  <c r="Y664" i="3"/>
  <c r="Y674" i="3"/>
  <c r="Y678" i="3"/>
  <c r="Y686" i="3"/>
  <c r="Y503" i="3"/>
  <c r="Y519" i="3"/>
  <c r="Y535" i="3"/>
  <c r="Y551" i="3"/>
  <c r="Y567" i="3"/>
  <c r="Y508" i="3"/>
  <c r="Y524" i="3"/>
  <c r="Y540" i="3"/>
  <c r="Y556" i="3"/>
  <c r="Y572" i="3"/>
  <c r="Y588" i="3"/>
  <c r="Y604" i="3"/>
  <c r="Y620" i="3"/>
  <c r="Y636" i="3"/>
  <c r="Y652" i="3"/>
  <c r="Y680" i="3"/>
  <c r="Y688" i="3"/>
  <c r="Y696" i="3"/>
  <c r="Y704" i="3"/>
  <c r="Y712" i="3"/>
  <c r="Y720" i="3"/>
  <c r="Y728" i="3"/>
  <c r="Y736" i="3"/>
  <c r="Y744" i="3"/>
  <c r="Y752" i="3"/>
  <c r="Y760" i="3"/>
  <c r="Y768" i="3"/>
  <c r="Y776" i="3"/>
  <c r="Y784" i="3"/>
  <c r="Y792" i="3"/>
  <c r="Y800" i="3"/>
  <c r="Y808" i="3"/>
  <c r="Y816" i="3"/>
  <c r="Y824" i="3"/>
  <c r="Y832" i="3"/>
  <c r="Y840" i="3"/>
  <c r="Y848" i="3"/>
  <c r="Y856" i="3"/>
  <c r="Y864" i="3"/>
  <c r="Y872" i="3"/>
  <c r="Y880" i="3"/>
  <c r="Y888" i="3"/>
  <c r="Y896" i="3"/>
  <c r="Y904" i="3"/>
  <c r="Y507" i="3"/>
  <c r="Y523" i="3"/>
  <c r="Y539" i="3"/>
  <c r="Y555" i="3"/>
  <c r="Y571" i="3"/>
  <c r="Y587" i="3"/>
  <c r="Y603" i="3"/>
  <c r="Y619" i="3"/>
  <c r="Y635" i="3"/>
  <c r="Y651" i="3"/>
  <c r="Y667" i="3"/>
  <c r="Y668" i="3"/>
  <c r="Y669" i="3"/>
  <c r="Y675" i="3"/>
  <c r="Y677" i="3"/>
  <c r="Y685" i="3"/>
  <c r="Y693" i="3"/>
  <c r="Y701" i="3"/>
  <c r="Y709" i="3"/>
  <c r="Y717" i="3"/>
  <c r="Y725" i="3"/>
  <c r="Y733" i="3"/>
  <c r="Y741" i="3"/>
  <c r="Y749" i="3"/>
  <c r="Y757" i="3"/>
  <c r="Y765" i="3"/>
  <c r="Y773" i="3"/>
  <c r="Y781" i="3"/>
  <c r="Y789" i="3"/>
  <c r="Y797" i="3"/>
  <c r="Y805" i="3"/>
  <c r="Y813" i="3"/>
  <c r="Y821" i="3"/>
  <c r="Y829" i="3"/>
  <c r="Y837" i="3"/>
  <c r="Y845" i="3"/>
  <c r="Y853" i="3"/>
  <c r="Y861" i="3"/>
  <c r="Y869" i="3"/>
  <c r="Y877" i="3"/>
  <c r="Y885" i="3"/>
  <c r="Y893" i="3"/>
  <c r="Y901" i="3"/>
  <c r="Y607" i="3"/>
  <c r="Y673" i="3"/>
  <c r="Y702" i="3"/>
  <c r="Y718" i="3"/>
  <c r="Y734" i="3"/>
  <c r="Y750" i="3"/>
  <c r="Y766" i="3"/>
  <c r="Y782" i="3"/>
  <c r="Y798" i="3"/>
  <c r="Y814" i="3"/>
  <c r="Y900" i="3"/>
  <c r="Y583" i="3"/>
  <c r="Y647" i="3"/>
  <c r="Y707" i="3"/>
  <c r="Y723" i="3"/>
  <c r="Y739" i="3"/>
  <c r="Y755" i="3"/>
  <c r="Y771" i="3"/>
  <c r="Y787" i="3"/>
  <c r="Y803" i="3"/>
  <c r="Y819" i="3"/>
  <c r="Y835" i="3"/>
  <c r="Y851" i="3"/>
  <c r="Y867" i="3"/>
  <c r="Y623" i="3"/>
  <c r="Y679" i="3"/>
  <c r="Y691" i="3"/>
  <c r="Y706" i="3"/>
  <c r="Y722" i="3"/>
  <c r="Y738" i="3"/>
  <c r="Y754" i="3"/>
  <c r="Y770" i="3"/>
  <c r="Y786" i="3"/>
  <c r="Y802" i="3"/>
  <c r="Y818" i="3"/>
  <c r="Y834" i="3"/>
  <c r="Y850" i="3"/>
  <c r="Y866" i="3"/>
  <c r="Y882" i="3"/>
  <c r="Y898" i="3"/>
  <c r="Y905" i="3"/>
  <c r="Y909" i="3"/>
  <c r="Y917" i="3"/>
  <c r="Y925" i="3"/>
  <c r="Y933" i="3"/>
  <c r="Y941" i="3"/>
  <c r="Y949" i="3"/>
  <c r="Y957" i="3"/>
  <c r="Y965" i="3"/>
  <c r="Y973" i="3"/>
  <c r="Y981" i="3"/>
  <c r="Y989" i="3"/>
  <c r="Y997" i="3"/>
  <c r="Y599" i="3"/>
  <c r="Y663" i="3"/>
  <c r="Y695" i="3"/>
  <c r="Y711" i="3"/>
  <c r="Y727" i="3"/>
  <c r="Y743" i="3"/>
  <c r="Y759" i="3"/>
  <c r="Y775" i="3"/>
  <c r="Y791" i="3"/>
  <c r="Y807" i="3"/>
  <c r="Y823" i="3"/>
  <c r="Y839" i="3"/>
  <c r="Y855" i="3"/>
  <c r="Y871" i="3"/>
  <c r="Y887" i="3"/>
  <c r="Y914" i="3"/>
  <c r="Y922" i="3"/>
  <c r="Y930" i="3"/>
  <c r="Y938" i="3"/>
  <c r="Y946" i="3"/>
  <c r="Y954" i="3"/>
  <c r="Y962" i="3"/>
  <c r="Y970" i="3"/>
  <c r="Y978" i="3"/>
  <c r="Y986" i="3"/>
  <c r="Y994" i="3"/>
  <c r="Y1002" i="3"/>
  <c r="Y639" i="3"/>
  <c r="Y687" i="3"/>
  <c r="Y694" i="3"/>
  <c r="Y710" i="3"/>
  <c r="Y726" i="3"/>
  <c r="Y742" i="3"/>
  <c r="Y758" i="3"/>
  <c r="Y774" i="3"/>
  <c r="Y790" i="3"/>
  <c r="Y806" i="3"/>
  <c r="Y822" i="3"/>
  <c r="Y838" i="3"/>
  <c r="Y854" i="3"/>
  <c r="Y615" i="3"/>
  <c r="Y672" i="3"/>
  <c r="Y699" i="3"/>
  <c r="Y715" i="3"/>
  <c r="Y731" i="3"/>
  <c r="Y747" i="3"/>
  <c r="Y763" i="3"/>
  <c r="Y779" i="3"/>
  <c r="Y795" i="3"/>
  <c r="Y811" i="3"/>
  <c r="Y827" i="3"/>
  <c r="Y843" i="3"/>
  <c r="Y859" i="3"/>
  <c r="Y591" i="3"/>
  <c r="Y655" i="3"/>
  <c r="Y698" i="3"/>
  <c r="Y714" i="3"/>
  <c r="Y730" i="3"/>
  <c r="Y746" i="3"/>
  <c r="Y762" i="3"/>
  <c r="Y778" i="3"/>
  <c r="Y794" i="3"/>
  <c r="Y810" i="3"/>
  <c r="Y826" i="3"/>
  <c r="Y842" i="3"/>
  <c r="Y858" i="3"/>
  <c r="Y874" i="3"/>
  <c r="Y890" i="3"/>
  <c r="Y913" i="3"/>
  <c r="Y921" i="3"/>
  <c r="Y929" i="3"/>
  <c r="Y937" i="3"/>
  <c r="Y945" i="3"/>
  <c r="Y953" i="3"/>
  <c r="Y961" i="3"/>
  <c r="Y969" i="3"/>
  <c r="Y977" i="3"/>
  <c r="Y985" i="3"/>
  <c r="Y993" i="3"/>
  <c r="Y1001" i="3"/>
  <c r="Y830" i="3"/>
  <c r="Y862" i="3"/>
  <c r="Y894" i="3"/>
  <c r="Y902" i="3"/>
  <c r="Y903" i="3"/>
  <c r="Y631" i="3"/>
  <c r="Y683" i="3"/>
  <c r="Y703" i="3"/>
  <c r="Y719" i="3"/>
  <c r="Y735" i="3"/>
  <c r="Y751" i="3"/>
  <c r="Y767" i="3"/>
  <c r="Y783" i="3"/>
  <c r="Y799" i="3"/>
  <c r="Y815" i="3"/>
  <c r="Y831" i="3"/>
  <c r="Y847" i="3"/>
  <c r="Y863" i="3"/>
  <c r="Y879" i="3"/>
  <c r="Y895" i="3"/>
  <c r="Y910" i="3"/>
  <c r="Y918" i="3"/>
  <c r="Y926" i="3"/>
  <c r="Y934" i="3"/>
  <c r="Y942" i="3"/>
  <c r="Y950" i="3"/>
  <c r="Y958" i="3"/>
  <c r="Y966" i="3"/>
  <c r="Y974" i="3"/>
  <c r="Y982" i="3"/>
  <c r="Y990" i="3"/>
  <c r="Y998" i="3"/>
  <c r="Y846" i="3"/>
  <c r="Y878" i="3"/>
  <c r="Y870" i="3"/>
  <c r="Y886" i="3"/>
  <c r="Y899" i="3"/>
  <c r="Y912" i="3"/>
  <c r="Y928" i="3"/>
  <c r="Y944" i="3"/>
  <c r="Y960" i="3"/>
  <c r="Y976" i="3"/>
  <c r="Y992" i="3"/>
  <c r="Y964" i="3"/>
  <c r="Y996" i="3"/>
  <c r="Y963" i="3"/>
  <c r="Y883" i="3"/>
  <c r="Y908" i="3"/>
  <c r="Y911" i="3"/>
  <c r="Y927" i="3"/>
  <c r="Y943" i="3"/>
  <c r="Y959" i="3"/>
  <c r="Y975" i="3"/>
  <c r="Y991" i="3"/>
  <c r="Y916" i="3"/>
  <c r="Y932" i="3"/>
  <c r="Y948" i="3"/>
  <c r="Y980" i="3"/>
  <c r="Y907" i="3"/>
  <c r="Y915" i="3"/>
  <c r="Y931" i="3"/>
  <c r="Y947" i="3"/>
  <c r="Y979" i="3"/>
  <c r="Y995" i="3"/>
  <c r="Y920" i="3"/>
  <c r="Y936" i="3"/>
  <c r="Y952" i="3"/>
  <c r="Y968" i="3"/>
  <c r="Y984" i="3"/>
  <c r="Y1000" i="3"/>
  <c r="Y940" i="3"/>
  <c r="Y972" i="3"/>
  <c r="Y1004" i="3"/>
  <c r="Y875" i="3"/>
  <c r="Y906" i="3"/>
  <c r="Y923" i="3"/>
  <c r="Y939" i="3"/>
  <c r="Y955" i="3"/>
  <c r="Y971" i="3"/>
  <c r="Y891" i="3"/>
  <c r="Y919" i="3"/>
  <c r="Y935" i="3"/>
  <c r="Y951" i="3"/>
  <c r="Y967" i="3"/>
  <c r="Y983" i="3"/>
  <c r="Y999" i="3"/>
  <c r="Y924" i="3"/>
  <c r="Y956" i="3"/>
  <c r="Y988" i="3"/>
  <c r="Y987" i="3"/>
  <c r="Y1003" i="3"/>
  <c r="Y44" i="3"/>
  <c r="Y30" i="3"/>
  <c r="Y54" i="3"/>
  <c r="Y43" i="3"/>
  <c r="Y51" i="3"/>
  <c r="Y16" i="3"/>
  <c r="Y34" i="3"/>
  <c r="Y15" i="3"/>
  <c r="Y70" i="3"/>
  <c r="Y86" i="3"/>
  <c r="Y66" i="3"/>
  <c r="Y80" i="3"/>
  <c r="Y92" i="3"/>
  <c r="Y65" i="3"/>
  <c r="Y124" i="3"/>
  <c r="Y188" i="3"/>
  <c r="Y116" i="3"/>
  <c r="Y103" i="3"/>
  <c r="Y176" i="3"/>
  <c r="Y165" i="3"/>
  <c r="Y173" i="3"/>
  <c r="Y152" i="3"/>
  <c r="Y332" i="3"/>
  <c r="Y329" i="3"/>
  <c r="Y433" i="3"/>
  <c r="Y451" i="3"/>
  <c r="Y417" i="3"/>
  <c r="Y48" i="3"/>
  <c r="Y55" i="3"/>
  <c r="Y71" i="3"/>
  <c r="Y357" i="3"/>
  <c r="Y316" i="3"/>
  <c r="Y293" i="3"/>
  <c r="Y50" i="3"/>
  <c r="R2" i="3" l="1"/>
  <c r="Q8" i="3"/>
  <c r="P8" i="3" s="1"/>
  <c r="D14" i="1" s="1"/>
  <c r="Q7" i="3"/>
  <c r="P7" i="3" s="1"/>
  <c r="AA12" i="3"/>
  <c r="AB883" i="3"/>
  <c r="AA884" i="3"/>
  <c r="X996" i="3"/>
  <c r="H996" i="3"/>
  <c r="I996" i="3"/>
  <c r="X987" i="3"/>
  <c r="I987" i="3"/>
  <c r="H987" i="3"/>
  <c r="X974" i="3"/>
  <c r="H974" i="3"/>
  <c r="I974" i="3"/>
  <c r="AA900" i="3"/>
  <c r="AB899" i="3"/>
  <c r="AA943" i="3"/>
  <c r="AB942" i="3"/>
  <c r="X934" i="3"/>
  <c r="I934" i="3"/>
  <c r="H934" i="3"/>
  <c r="AB991" i="3"/>
  <c r="AA992" i="3"/>
  <c r="X944" i="3"/>
  <c r="I944" i="3"/>
  <c r="H944" i="3"/>
  <c r="AB963" i="3"/>
  <c r="AA964" i="3"/>
  <c r="AA948" i="3"/>
  <c r="AB947" i="3"/>
  <c r="AA944" i="3"/>
  <c r="AB943" i="3"/>
  <c r="AB955" i="3"/>
  <c r="AA956" i="3"/>
  <c r="X1000" i="3"/>
  <c r="H1000" i="3"/>
  <c r="I1000" i="3"/>
  <c r="X936" i="3"/>
  <c r="I936" i="3"/>
  <c r="H936" i="3"/>
  <c r="AA936" i="3"/>
  <c r="AB935" i="3"/>
  <c r="X995" i="3"/>
  <c r="H995" i="3"/>
  <c r="I995" i="3"/>
  <c r="AB990" i="3"/>
  <c r="AA991" i="3"/>
  <c r="X931" i="3"/>
  <c r="I931" i="3"/>
  <c r="H931" i="3"/>
  <c r="AB926" i="3"/>
  <c r="AA927" i="3"/>
  <c r="AB843" i="3"/>
  <c r="AA844" i="3"/>
  <c r="X784" i="3"/>
  <c r="I784" i="3"/>
  <c r="H784" i="3"/>
  <c r="X982" i="3"/>
  <c r="I982" i="3"/>
  <c r="H982" i="3"/>
  <c r="AA978" i="3"/>
  <c r="AB977" i="3"/>
  <c r="X918" i="3"/>
  <c r="H918" i="3"/>
  <c r="I918" i="3"/>
  <c r="AB913" i="3"/>
  <c r="AA914" i="3"/>
  <c r="AB791" i="3"/>
  <c r="AA792" i="3"/>
  <c r="X732" i="3"/>
  <c r="I732" i="3"/>
  <c r="H732" i="3"/>
  <c r="AB907" i="3"/>
  <c r="AA908" i="3"/>
  <c r="X985" i="3"/>
  <c r="H985" i="3"/>
  <c r="I985" i="3"/>
  <c r="AA981" i="3"/>
  <c r="AB980" i="3"/>
  <c r="X921" i="3"/>
  <c r="H921" i="3"/>
  <c r="I921" i="3"/>
  <c r="AA917" i="3"/>
  <c r="AB916" i="3"/>
  <c r="AA804" i="3"/>
  <c r="AB803" i="3"/>
  <c r="X744" i="3"/>
  <c r="I744" i="3"/>
  <c r="H744" i="3"/>
  <c r="X852" i="3"/>
  <c r="I852" i="3"/>
  <c r="H852" i="3"/>
  <c r="X983" i="3"/>
  <c r="I983" i="3"/>
  <c r="H983" i="3"/>
  <c r="AB978" i="3"/>
  <c r="AA979" i="3"/>
  <c r="X919" i="3"/>
  <c r="H919" i="3"/>
  <c r="I919" i="3"/>
  <c r="AA915" i="3"/>
  <c r="AB914" i="3"/>
  <c r="AA796" i="3"/>
  <c r="AB795" i="3"/>
  <c r="X736" i="3"/>
  <c r="H736" i="3"/>
  <c r="I736" i="3"/>
  <c r="X970" i="3"/>
  <c r="H970" i="3"/>
  <c r="I970" i="3"/>
  <c r="AA966" i="3"/>
  <c r="AB965" i="3"/>
  <c r="X906" i="3"/>
  <c r="H906" i="3"/>
  <c r="I906" i="3"/>
  <c r="AB901" i="3"/>
  <c r="AA902" i="3"/>
  <c r="AA744" i="3"/>
  <c r="AB743" i="3"/>
  <c r="H678" i="3"/>
  <c r="X678" i="3"/>
  <c r="I678" i="3"/>
  <c r="X957" i="3"/>
  <c r="H957" i="3"/>
  <c r="I957" i="3"/>
  <c r="AB952" i="3"/>
  <c r="AA953" i="3"/>
  <c r="X893" i="3"/>
  <c r="I893" i="3"/>
  <c r="H893" i="3"/>
  <c r="AB888" i="3"/>
  <c r="AA889" i="3"/>
  <c r="X868" i="3"/>
  <c r="I868" i="3"/>
  <c r="H868" i="3"/>
  <c r="AB691" i="3"/>
  <c r="AA692" i="3"/>
  <c r="X804" i="3"/>
  <c r="H804" i="3"/>
  <c r="I804" i="3"/>
  <c r="X740" i="3"/>
  <c r="H740" i="3"/>
  <c r="I740" i="3"/>
  <c r="X859" i="3"/>
  <c r="I859" i="3"/>
  <c r="H859" i="3"/>
  <c r="AB854" i="3"/>
  <c r="AA855" i="3"/>
  <c r="X795" i="3"/>
  <c r="H795" i="3"/>
  <c r="I795" i="3"/>
  <c r="AB790" i="3"/>
  <c r="AA791" i="3"/>
  <c r="X731" i="3"/>
  <c r="I731" i="3"/>
  <c r="H731" i="3"/>
  <c r="AA727" i="3"/>
  <c r="AB726" i="3"/>
  <c r="X686" i="3"/>
  <c r="I686" i="3"/>
  <c r="H686" i="3"/>
  <c r="AB669" i="3"/>
  <c r="AA670" i="3"/>
  <c r="X610" i="3"/>
  <c r="I610" i="3"/>
  <c r="H610" i="3"/>
  <c r="AA549" i="3"/>
  <c r="AB548" i="3"/>
  <c r="X862" i="3"/>
  <c r="H862" i="3"/>
  <c r="I862" i="3"/>
  <c r="AA858" i="3"/>
  <c r="AB857" i="3"/>
  <c r="X798" i="3"/>
  <c r="H798" i="3"/>
  <c r="I798" i="3"/>
  <c r="AA794" i="3"/>
  <c r="AB793" i="3"/>
  <c r="X734" i="3"/>
  <c r="I734" i="3"/>
  <c r="H734" i="3"/>
  <c r="AA730" i="3"/>
  <c r="AB729" i="3"/>
  <c r="AB681" i="3"/>
  <c r="AA682" i="3"/>
  <c r="X622" i="3"/>
  <c r="I622" i="3"/>
  <c r="H622" i="3"/>
  <c r="AA597" i="3"/>
  <c r="AB596" i="3"/>
  <c r="X493" i="3"/>
  <c r="H493" i="3"/>
  <c r="I493" i="3"/>
  <c r="X809" i="3"/>
  <c r="H809" i="3"/>
  <c r="I809" i="3"/>
  <c r="AA805" i="3"/>
  <c r="AB804" i="3"/>
  <c r="X745" i="3"/>
  <c r="I745" i="3"/>
  <c r="H745" i="3"/>
  <c r="AA741" i="3"/>
  <c r="AB740" i="3"/>
  <c r="X666" i="3"/>
  <c r="I666" i="3"/>
  <c r="H666" i="3"/>
  <c r="X831" i="3"/>
  <c r="I831" i="3"/>
  <c r="H831" i="3"/>
  <c r="AA827" i="3"/>
  <c r="AB826" i="3"/>
  <c r="X767" i="3"/>
  <c r="H767" i="3"/>
  <c r="I767" i="3"/>
  <c r="AB762" i="3"/>
  <c r="AA763" i="3"/>
  <c r="X703" i="3"/>
  <c r="H703" i="3"/>
  <c r="I703" i="3"/>
  <c r="AB698" i="3"/>
  <c r="AA699" i="3"/>
  <c r="X834" i="3"/>
  <c r="I834" i="3"/>
  <c r="H834" i="3"/>
  <c r="AB829" i="3"/>
  <c r="AA830" i="3"/>
  <c r="X770" i="3"/>
  <c r="H770" i="3"/>
  <c r="I770" i="3"/>
  <c r="AB765" i="3"/>
  <c r="AA766" i="3"/>
  <c r="X706" i="3"/>
  <c r="I706" i="3"/>
  <c r="H706" i="3"/>
  <c r="AA702" i="3"/>
  <c r="AB701" i="3"/>
  <c r="X837" i="3"/>
  <c r="I837" i="3"/>
  <c r="H837" i="3"/>
  <c r="AA833" i="3"/>
  <c r="AB832" i="3"/>
  <c r="X773" i="3"/>
  <c r="H773" i="3"/>
  <c r="I773" i="3"/>
  <c r="AB768" i="3"/>
  <c r="AA769" i="3"/>
  <c r="X709" i="3"/>
  <c r="I709" i="3"/>
  <c r="H709" i="3"/>
  <c r="AB704" i="3"/>
  <c r="AA705" i="3"/>
  <c r="X625" i="3"/>
  <c r="I625" i="3"/>
  <c r="H625" i="3"/>
  <c r="AB620" i="3"/>
  <c r="AA621" i="3"/>
  <c r="X549" i="3"/>
  <c r="H549" i="3"/>
  <c r="I549" i="3"/>
  <c r="X660" i="3"/>
  <c r="H660" i="3"/>
  <c r="I660" i="3"/>
  <c r="AA656" i="3"/>
  <c r="AB655" i="3"/>
  <c r="X647" i="3"/>
  <c r="I647" i="3"/>
  <c r="H647" i="3"/>
  <c r="AB642" i="3"/>
  <c r="AA643" i="3"/>
  <c r="X677" i="3"/>
  <c r="I677" i="3"/>
  <c r="H677" i="3"/>
  <c r="AB672" i="3"/>
  <c r="AA673" i="3"/>
  <c r="X613" i="3"/>
  <c r="I613" i="3"/>
  <c r="H613" i="3"/>
  <c r="AB608" i="3"/>
  <c r="AA609" i="3"/>
  <c r="AB560" i="3"/>
  <c r="AA561" i="3"/>
  <c r="AA328" i="3"/>
  <c r="AB327" i="3"/>
  <c r="AB683" i="3"/>
  <c r="AA684" i="3"/>
  <c r="X624" i="3"/>
  <c r="H624" i="3"/>
  <c r="I624" i="3"/>
  <c r="AB619" i="3"/>
  <c r="AA620" i="3"/>
  <c r="X604" i="3"/>
  <c r="H604" i="3"/>
  <c r="I604" i="3"/>
  <c r="X545" i="3"/>
  <c r="H545" i="3"/>
  <c r="I545" i="3"/>
  <c r="X659" i="3"/>
  <c r="I659" i="3"/>
  <c r="H659" i="3"/>
  <c r="AA655" i="3"/>
  <c r="AB654" i="3"/>
  <c r="X596" i="3"/>
  <c r="H596" i="3"/>
  <c r="I596" i="3"/>
  <c r="AA592" i="3"/>
  <c r="AB591" i="3"/>
  <c r="X532" i="3"/>
  <c r="I532" i="3"/>
  <c r="H532" i="3"/>
  <c r="I473" i="3"/>
  <c r="X473" i="3"/>
  <c r="H473" i="3"/>
  <c r="X567" i="3"/>
  <c r="H567" i="3"/>
  <c r="I567" i="3"/>
  <c r="AB562" i="3"/>
  <c r="AA563" i="3"/>
  <c r="X602" i="3"/>
  <c r="I602" i="3"/>
  <c r="H602" i="3"/>
  <c r="AB597" i="3"/>
  <c r="AA598" i="3"/>
  <c r="X538" i="3"/>
  <c r="I538" i="3"/>
  <c r="H538" i="3"/>
  <c r="AA534" i="3"/>
  <c r="AB533" i="3"/>
  <c r="X497" i="3"/>
  <c r="H497" i="3"/>
  <c r="I497" i="3"/>
  <c r="AB603" i="3"/>
  <c r="AA604" i="3"/>
  <c r="X544" i="3"/>
  <c r="I544" i="3"/>
  <c r="H544" i="3"/>
  <c r="AB539" i="3"/>
  <c r="AA540" i="3"/>
  <c r="X520" i="3"/>
  <c r="I520" i="3"/>
  <c r="H520" i="3"/>
  <c r="X595" i="3"/>
  <c r="I595" i="3"/>
  <c r="H595" i="3"/>
  <c r="AB590" i="3"/>
  <c r="AA591" i="3"/>
  <c r="X531" i="3"/>
  <c r="I531" i="3"/>
  <c r="H531" i="3"/>
  <c r="I469" i="3"/>
  <c r="X469" i="3"/>
  <c r="H469" i="3"/>
  <c r="AA602" i="3"/>
  <c r="AB601" i="3"/>
  <c r="X542" i="3"/>
  <c r="H542" i="3"/>
  <c r="I542" i="3"/>
  <c r="AB537" i="3"/>
  <c r="AA538" i="3"/>
  <c r="X513" i="3"/>
  <c r="H513" i="3"/>
  <c r="I513" i="3"/>
  <c r="X512" i="3"/>
  <c r="H512" i="3"/>
  <c r="I512" i="3"/>
  <c r="AB507" i="3"/>
  <c r="AA508" i="3"/>
  <c r="X523" i="3"/>
  <c r="I523" i="3"/>
  <c r="H523" i="3"/>
  <c r="AA519" i="3"/>
  <c r="AB518" i="3"/>
  <c r="X459" i="3"/>
  <c r="I459" i="3"/>
  <c r="H459" i="3"/>
  <c r="AA455" i="3"/>
  <c r="AB454" i="3"/>
  <c r="H470" i="3"/>
  <c r="I470" i="3"/>
  <c r="X470" i="3"/>
  <c r="AB465" i="3"/>
  <c r="AA466" i="3"/>
  <c r="AB411" i="3"/>
  <c r="AA412" i="3"/>
  <c r="H476" i="3"/>
  <c r="X476" i="3"/>
  <c r="I476" i="3"/>
  <c r="AB471" i="3"/>
  <c r="AA472" i="3"/>
  <c r="AB435" i="3"/>
  <c r="AA436" i="3"/>
  <c r="X376" i="3"/>
  <c r="H376" i="3"/>
  <c r="I376" i="3"/>
  <c r="AA312" i="3"/>
  <c r="AB311" i="3"/>
  <c r="H487" i="3"/>
  <c r="I487" i="3"/>
  <c r="X487" i="3"/>
  <c r="AB482" i="3"/>
  <c r="AA483" i="3"/>
  <c r="I420" i="3"/>
  <c r="H420" i="3"/>
  <c r="X420" i="3"/>
  <c r="I498" i="3"/>
  <c r="X498" i="3"/>
  <c r="H498" i="3"/>
  <c r="AB493" i="3"/>
  <c r="AA494" i="3"/>
  <c r="H348" i="3"/>
  <c r="X348" i="3"/>
  <c r="I348" i="3"/>
  <c r="X431" i="3"/>
  <c r="H431" i="3"/>
  <c r="I431" i="3"/>
  <c r="AA427" i="3"/>
  <c r="AB426" i="3"/>
  <c r="X293" i="3"/>
  <c r="H293" i="3"/>
  <c r="I293" i="3"/>
  <c r="I442" i="3"/>
  <c r="H442" i="3"/>
  <c r="X442" i="3"/>
  <c r="AB437" i="3"/>
  <c r="AA438" i="3"/>
  <c r="H378" i="3"/>
  <c r="X378" i="3"/>
  <c r="I378" i="3"/>
  <c r="AB373" i="3"/>
  <c r="AA374" i="3"/>
  <c r="AB319" i="3"/>
  <c r="AA320" i="3"/>
  <c r="AB448" i="3"/>
  <c r="AA449" i="3"/>
  <c r="X389" i="3"/>
  <c r="H389" i="3"/>
  <c r="I389" i="3"/>
  <c r="AA385" i="3"/>
  <c r="AB384" i="3"/>
  <c r="AA364" i="3"/>
  <c r="AB363" i="3"/>
  <c r="X304" i="3"/>
  <c r="H304" i="3"/>
  <c r="I304" i="3"/>
  <c r="H395" i="3"/>
  <c r="I395" i="3"/>
  <c r="X395" i="3"/>
  <c r="AB390" i="3"/>
  <c r="AA391" i="3"/>
  <c r="H328" i="3"/>
  <c r="I328" i="3"/>
  <c r="X328" i="3"/>
  <c r="H406" i="3"/>
  <c r="I406" i="3"/>
  <c r="X406" i="3"/>
  <c r="AB401" i="3"/>
  <c r="AA402" i="3"/>
  <c r="AB215" i="3"/>
  <c r="AA216" i="3"/>
  <c r="X393" i="3"/>
  <c r="H393" i="3"/>
  <c r="I393" i="3"/>
  <c r="AB388" i="3"/>
  <c r="AA389" i="3"/>
  <c r="H320" i="3"/>
  <c r="X320" i="3"/>
  <c r="I320" i="3"/>
  <c r="H343" i="3"/>
  <c r="X343" i="3"/>
  <c r="I343" i="3"/>
  <c r="AB338" i="3"/>
  <c r="AA339" i="3"/>
  <c r="AA292" i="3"/>
  <c r="AB291" i="3"/>
  <c r="X354" i="3"/>
  <c r="I354" i="3"/>
  <c r="H354" i="3"/>
  <c r="AA350" i="3"/>
  <c r="AB349" i="3"/>
  <c r="I341" i="3"/>
  <c r="X341" i="3"/>
  <c r="H341" i="3"/>
  <c r="AB336" i="3"/>
  <c r="AA337" i="3"/>
  <c r="H287" i="3"/>
  <c r="I287" i="3"/>
  <c r="X287" i="3"/>
  <c r="X347" i="3"/>
  <c r="I347" i="3"/>
  <c r="H347" i="3"/>
  <c r="AA343" i="3"/>
  <c r="AB342" i="3"/>
  <c r="I358" i="3"/>
  <c r="H358" i="3"/>
  <c r="X358" i="3"/>
  <c r="AA354" i="3"/>
  <c r="AB353" i="3"/>
  <c r="H345" i="3"/>
  <c r="X345" i="3"/>
  <c r="I345" i="3"/>
  <c r="AB340" i="3"/>
  <c r="AA341" i="3"/>
  <c r="H255" i="3"/>
  <c r="X255" i="3"/>
  <c r="I255" i="3"/>
  <c r="AA251" i="3"/>
  <c r="AB250" i="3"/>
  <c r="AA200" i="3"/>
  <c r="AB199" i="3"/>
  <c r="AA156" i="3"/>
  <c r="AB155" i="3"/>
  <c r="X282" i="3"/>
  <c r="H282" i="3"/>
  <c r="I282" i="3"/>
  <c r="AB277" i="3"/>
  <c r="AA278" i="3"/>
  <c r="H218" i="3"/>
  <c r="I218" i="3"/>
  <c r="X218" i="3"/>
  <c r="AA214" i="3"/>
  <c r="AB213" i="3"/>
  <c r="I237" i="3"/>
  <c r="X237" i="3"/>
  <c r="H237" i="3"/>
  <c r="AB232" i="3"/>
  <c r="AA233" i="3"/>
  <c r="I203" i="3"/>
  <c r="X203" i="3"/>
  <c r="H203" i="3"/>
  <c r="H243" i="3"/>
  <c r="X243" i="3"/>
  <c r="I243" i="3"/>
  <c r="AA239" i="3"/>
  <c r="AB238" i="3"/>
  <c r="X254" i="3"/>
  <c r="H254" i="3"/>
  <c r="I254" i="3"/>
  <c r="AA250" i="3"/>
  <c r="AB249" i="3"/>
  <c r="AA196" i="3"/>
  <c r="AB195" i="3"/>
  <c r="H265" i="3"/>
  <c r="I265" i="3"/>
  <c r="X265" i="3"/>
  <c r="AB260" i="3"/>
  <c r="AA261" i="3"/>
  <c r="X180" i="3"/>
  <c r="I180" i="3"/>
  <c r="H180" i="3"/>
  <c r="X179" i="3"/>
  <c r="I179" i="3"/>
  <c r="H179" i="3"/>
  <c r="AA175" i="3"/>
  <c r="AB174" i="3"/>
  <c r="I198" i="3"/>
  <c r="X198" i="3"/>
  <c r="H198" i="3"/>
  <c r="AA194" i="3"/>
  <c r="AB193" i="3"/>
  <c r="AA91" i="3"/>
  <c r="AB90" i="3"/>
  <c r="AB196" i="3"/>
  <c r="AA197" i="3"/>
  <c r="AB159" i="3"/>
  <c r="AA160" i="3"/>
  <c r="I167" i="3"/>
  <c r="X167" i="3"/>
  <c r="H167" i="3"/>
  <c r="H202" i="3"/>
  <c r="I202" i="3"/>
  <c r="X202" i="3"/>
  <c r="AB197" i="3"/>
  <c r="AA198" i="3"/>
  <c r="X128" i="3"/>
  <c r="I128" i="3"/>
  <c r="H128" i="3"/>
  <c r="X173" i="3"/>
  <c r="H173" i="3"/>
  <c r="I173" i="3"/>
  <c r="AA169" i="3"/>
  <c r="AB168" i="3"/>
  <c r="X131" i="3"/>
  <c r="H131" i="3"/>
  <c r="I131" i="3"/>
  <c r="AA127" i="3"/>
  <c r="AB126" i="3"/>
  <c r="AB118" i="3"/>
  <c r="AA119" i="3"/>
  <c r="I107" i="3"/>
  <c r="H107" i="3"/>
  <c r="X107" i="3"/>
  <c r="X134" i="3"/>
  <c r="I134" i="3"/>
  <c r="H134" i="3"/>
  <c r="AB129" i="3"/>
  <c r="AA130" i="3"/>
  <c r="AA115" i="3"/>
  <c r="AB114" i="3"/>
  <c r="I135" i="3"/>
  <c r="X135" i="3"/>
  <c r="H135" i="3"/>
  <c r="AB130" i="3"/>
  <c r="AA131" i="3"/>
  <c r="AB125" i="3"/>
  <c r="AA126" i="3"/>
  <c r="I79" i="3"/>
  <c r="H79" i="3"/>
  <c r="X79" i="3"/>
  <c r="H154" i="3"/>
  <c r="I154" i="3"/>
  <c r="X154" i="3"/>
  <c r="AB149" i="3"/>
  <c r="AA150" i="3"/>
  <c r="AB68" i="3"/>
  <c r="AA69" i="3"/>
  <c r="H133" i="3"/>
  <c r="X133" i="3"/>
  <c r="I133" i="3"/>
  <c r="AA129" i="3"/>
  <c r="AB128" i="3"/>
  <c r="X106" i="3"/>
  <c r="H106" i="3"/>
  <c r="I106" i="3"/>
  <c r="AB101" i="3"/>
  <c r="AA102" i="3"/>
  <c r="AB120" i="3"/>
  <c r="AA121" i="3"/>
  <c r="X113" i="3"/>
  <c r="H113" i="3"/>
  <c r="I113" i="3"/>
  <c r="AA109" i="3"/>
  <c r="AB108" i="3"/>
  <c r="X116" i="3"/>
  <c r="H116" i="3"/>
  <c r="I116" i="3"/>
  <c r="AB111" i="3"/>
  <c r="AA112" i="3"/>
  <c r="I71" i="3"/>
  <c r="X71" i="3"/>
  <c r="H71" i="3"/>
  <c r="X68" i="3"/>
  <c r="H68" i="3"/>
  <c r="I68" i="3"/>
  <c r="AB63" i="3"/>
  <c r="AA64" i="3"/>
  <c r="X66" i="3"/>
  <c r="H66" i="3"/>
  <c r="I66" i="3"/>
  <c r="X60" i="3"/>
  <c r="H60" i="3"/>
  <c r="I60" i="3"/>
  <c r="I69" i="3"/>
  <c r="X69" i="3"/>
  <c r="H69" i="3"/>
  <c r="AB64" i="3"/>
  <c r="AA65" i="3"/>
  <c r="I72" i="3"/>
  <c r="X72" i="3"/>
  <c r="H72" i="3"/>
  <c r="AB67" i="3"/>
  <c r="AA68" i="3"/>
  <c r="H75" i="3"/>
  <c r="I75" i="3"/>
  <c r="X75" i="3"/>
  <c r="AA71" i="3"/>
  <c r="AB70" i="3"/>
  <c r="I78" i="3"/>
  <c r="H78" i="3"/>
  <c r="X78" i="3"/>
  <c r="AA74" i="3"/>
  <c r="AB73" i="3"/>
  <c r="AB15" i="3"/>
  <c r="AA16" i="3"/>
  <c r="H11" i="3"/>
  <c r="I11" i="3"/>
  <c r="K8" i="3"/>
  <c r="X11" i="3"/>
  <c r="X14" i="3"/>
  <c r="I14" i="3"/>
  <c r="H14" i="3"/>
  <c r="X872" i="3"/>
  <c r="H872" i="3"/>
  <c r="I872" i="3"/>
  <c r="X764" i="3"/>
  <c r="H764" i="3"/>
  <c r="I764" i="3"/>
  <c r="AA772" i="3"/>
  <c r="AB771" i="3"/>
  <c r="X932" i="3"/>
  <c r="H932" i="3"/>
  <c r="I932" i="3"/>
  <c r="AB1003" i="3"/>
  <c r="AA1004" i="3"/>
  <c r="X988" i="3"/>
  <c r="H988" i="3"/>
  <c r="I988" i="3"/>
  <c r="AB927" i="3"/>
  <c r="AA928" i="3"/>
  <c r="AB939" i="3"/>
  <c r="AA940" i="3"/>
  <c r="AA984" i="3"/>
  <c r="AB983" i="3"/>
  <c r="X980" i="3"/>
  <c r="H980" i="3"/>
  <c r="I980" i="3"/>
  <c r="X992" i="3"/>
  <c r="H992" i="3"/>
  <c r="I992" i="3"/>
  <c r="X972" i="3"/>
  <c r="H972" i="3"/>
  <c r="I972" i="3"/>
  <c r="X896" i="3"/>
  <c r="I896" i="3"/>
  <c r="H896" i="3"/>
  <c r="AA876" i="3"/>
  <c r="AB875" i="3"/>
  <c r="X955" i="3"/>
  <c r="I955" i="3"/>
  <c r="H955" i="3"/>
  <c r="AB950" i="3"/>
  <c r="AA951" i="3"/>
  <c r="X891" i="3"/>
  <c r="I891" i="3"/>
  <c r="H891" i="3"/>
  <c r="AA887" i="3"/>
  <c r="AB886" i="3"/>
  <c r="AB1001" i="3"/>
  <c r="AA1002" i="3"/>
  <c r="X942" i="3"/>
  <c r="I942" i="3"/>
  <c r="H942" i="3"/>
  <c r="AA938" i="3"/>
  <c r="AB937" i="3"/>
  <c r="X878" i="3"/>
  <c r="H878" i="3"/>
  <c r="I878" i="3"/>
  <c r="AA874" i="3"/>
  <c r="AB873" i="3"/>
  <c r="X828" i="3"/>
  <c r="H828" i="3"/>
  <c r="I828" i="3"/>
  <c r="AB1004" i="3"/>
  <c r="X945" i="3"/>
  <c r="I945" i="3"/>
  <c r="H945" i="3"/>
  <c r="AB940" i="3"/>
  <c r="AA941" i="3"/>
  <c r="X881" i="3"/>
  <c r="H881" i="3"/>
  <c r="I881" i="3"/>
  <c r="AB876" i="3"/>
  <c r="AA877" i="3"/>
  <c r="X840" i="3"/>
  <c r="H840" i="3"/>
  <c r="I840" i="3"/>
  <c r="X724" i="3"/>
  <c r="I724" i="3"/>
  <c r="H724" i="3"/>
  <c r="AA904" i="3"/>
  <c r="AB903" i="3"/>
  <c r="AB1002" i="3"/>
  <c r="AA1003" i="3"/>
  <c r="X943" i="3"/>
  <c r="I943" i="3"/>
  <c r="H943" i="3"/>
  <c r="AB938" i="3"/>
  <c r="AA939" i="3"/>
  <c r="X879" i="3"/>
  <c r="H879" i="3"/>
  <c r="I879" i="3"/>
  <c r="AA875" i="3"/>
  <c r="AB874" i="3"/>
  <c r="X832" i="3"/>
  <c r="H832" i="3"/>
  <c r="I832" i="3"/>
  <c r="AB895" i="3"/>
  <c r="AA896" i="3"/>
  <c r="X884" i="3"/>
  <c r="H884" i="3"/>
  <c r="I884" i="3"/>
  <c r="X994" i="3"/>
  <c r="H994" i="3"/>
  <c r="I994" i="3"/>
  <c r="AB989" i="3"/>
  <c r="AA990" i="3"/>
  <c r="X930" i="3"/>
  <c r="H930" i="3"/>
  <c r="I930" i="3"/>
  <c r="AB925" i="3"/>
  <c r="AA926" i="3"/>
  <c r="AA840" i="3"/>
  <c r="AB839" i="3"/>
  <c r="X780" i="3"/>
  <c r="H780" i="3"/>
  <c r="I780" i="3"/>
  <c r="X981" i="3"/>
  <c r="H981" i="3"/>
  <c r="I981" i="3"/>
  <c r="AB976" i="3"/>
  <c r="AA977" i="3"/>
  <c r="X917" i="3"/>
  <c r="I917" i="3"/>
  <c r="H917" i="3"/>
  <c r="AB912" i="3"/>
  <c r="AA913" i="3"/>
  <c r="AB787" i="3"/>
  <c r="AA788" i="3"/>
  <c r="X728" i="3"/>
  <c r="H728" i="3"/>
  <c r="I728" i="3"/>
  <c r="X819" i="3"/>
  <c r="H819" i="3"/>
  <c r="I819" i="3"/>
  <c r="AA815" i="3"/>
  <c r="AB814" i="3"/>
  <c r="X755" i="3"/>
  <c r="H755" i="3"/>
  <c r="I755" i="3"/>
  <c r="AB750" i="3"/>
  <c r="AA751" i="3"/>
  <c r="X691" i="3"/>
  <c r="H691" i="3"/>
  <c r="I691" i="3"/>
  <c r="X822" i="3"/>
  <c r="I822" i="3"/>
  <c r="H822" i="3"/>
  <c r="AA818" i="3"/>
  <c r="AB817" i="3"/>
  <c r="X758" i="3"/>
  <c r="I758" i="3"/>
  <c r="H758" i="3"/>
  <c r="AB753" i="3"/>
  <c r="AA754" i="3"/>
  <c r="X694" i="3"/>
  <c r="H694" i="3"/>
  <c r="I694" i="3"/>
  <c r="AB689" i="3"/>
  <c r="AA690" i="3"/>
  <c r="X833" i="3"/>
  <c r="I833" i="3"/>
  <c r="H833" i="3"/>
  <c r="AB828" i="3"/>
  <c r="AA829" i="3"/>
  <c r="X769" i="3"/>
  <c r="H769" i="3"/>
  <c r="I769" i="3"/>
  <c r="AA765" i="3"/>
  <c r="AB764" i="3"/>
  <c r="X705" i="3"/>
  <c r="I705" i="3"/>
  <c r="H705" i="3"/>
  <c r="AA701" i="3"/>
  <c r="AB700" i="3"/>
  <c r="AA642" i="3"/>
  <c r="AB641" i="3"/>
  <c r="X855" i="3"/>
  <c r="I855" i="3"/>
  <c r="H855" i="3"/>
  <c r="AB850" i="3"/>
  <c r="AA851" i="3"/>
  <c r="X791" i="3"/>
  <c r="I791" i="3"/>
  <c r="H791" i="3"/>
  <c r="AA787" i="3"/>
  <c r="AB786" i="3"/>
  <c r="X727" i="3"/>
  <c r="H727" i="3"/>
  <c r="I727" i="3"/>
  <c r="AB722" i="3"/>
  <c r="AA723" i="3"/>
  <c r="AB653" i="3"/>
  <c r="AA654" i="3"/>
  <c r="X858" i="3"/>
  <c r="H858" i="3"/>
  <c r="I858" i="3"/>
  <c r="AA854" i="3"/>
  <c r="AB853" i="3"/>
  <c r="X794" i="3"/>
  <c r="H794" i="3"/>
  <c r="I794" i="3"/>
  <c r="AA790" i="3"/>
  <c r="AB789" i="3"/>
  <c r="X730" i="3"/>
  <c r="H730" i="3"/>
  <c r="I730" i="3"/>
  <c r="AB725" i="3"/>
  <c r="AA726" i="3"/>
  <c r="AA685" i="3"/>
  <c r="AB684" i="3"/>
  <c r="AA666" i="3"/>
  <c r="AB665" i="3"/>
  <c r="X606" i="3"/>
  <c r="I606" i="3"/>
  <c r="H606" i="3"/>
  <c r="AB532" i="3"/>
  <c r="AA533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AB677" i="3"/>
  <c r="AA678" i="3"/>
  <c r="X618" i="3"/>
  <c r="H618" i="3"/>
  <c r="I618" i="3"/>
  <c r="AB580" i="3"/>
  <c r="AA581" i="3"/>
  <c r="X649" i="3"/>
  <c r="I649" i="3"/>
  <c r="H649" i="3"/>
  <c r="AA645" i="3"/>
  <c r="AB644" i="3"/>
  <c r="X525" i="3"/>
  <c r="H525" i="3"/>
  <c r="I525" i="3"/>
  <c r="X684" i="3"/>
  <c r="I684" i="3"/>
  <c r="H684" i="3"/>
  <c r="AB679" i="3"/>
  <c r="AA680" i="3"/>
  <c r="X620" i="3"/>
  <c r="H620" i="3"/>
  <c r="I620" i="3"/>
  <c r="AB615" i="3"/>
  <c r="AA616" i="3"/>
  <c r="AA589" i="3"/>
  <c r="AB588" i="3"/>
  <c r="X529" i="3"/>
  <c r="I529" i="3"/>
  <c r="H529" i="3"/>
  <c r="H461" i="3"/>
  <c r="I461" i="3"/>
  <c r="X461" i="3"/>
  <c r="X671" i="3"/>
  <c r="I671" i="3"/>
  <c r="H671" i="3"/>
  <c r="AA667" i="3"/>
  <c r="AB666" i="3"/>
  <c r="X607" i="3"/>
  <c r="H607" i="3"/>
  <c r="I607" i="3"/>
  <c r="AA537" i="3"/>
  <c r="AB536" i="3"/>
  <c r="X637" i="3"/>
  <c r="I637" i="3"/>
  <c r="H637" i="3"/>
  <c r="AA633" i="3"/>
  <c r="AB632" i="3"/>
  <c r="X597" i="3"/>
  <c r="H597" i="3"/>
  <c r="I597" i="3"/>
  <c r="X648" i="3"/>
  <c r="H648" i="3"/>
  <c r="I648" i="3"/>
  <c r="AB643" i="3"/>
  <c r="AA644" i="3"/>
  <c r="X683" i="3"/>
  <c r="I683" i="3"/>
  <c r="H683" i="3"/>
  <c r="AB678" i="3"/>
  <c r="AA679" i="3"/>
  <c r="X619" i="3"/>
  <c r="I619" i="3"/>
  <c r="H619" i="3"/>
  <c r="AB614" i="3"/>
  <c r="AA615" i="3"/>
  <c r="AB584" i="3"/>
  <c r="AA585" i="3"/>
  <c r="X556" i="3"/>
  <c r="I556" i="3"/>
  <c r="H556" i="3"/>
  <c r="AA552" i="3"/>
  <c r="AB551" i="3"/>
  <c r="X591" i="3"/>
  <c r="I591" i="3"/>
  <c r="H591" i="3"/>
  <c r="AB586" i="3"/>
  <c r="AA587" i="3"/>
  <c r="AA513" i="3"/>
  <c r="AB512" i="3"/>
  <c r="H453" i="3"/>
  <c r="I453" i="3"/>
  <c r="X453" i="3"/>
  <c r="X562" i="3"/>
  <c r="H562" i="3"/>
  <c r="I562" i="3"/>
  <c r="AA558" i="3"/>
  <c r="AB557" i="3"/>
  <c r="AA392" i="3"/>
  <c r="AB391" i="3"/>
  <c r="X568" i="3"/>
  <c r="H568" i="3"/>
  <c r="I568" i="3"/>
  <c r="AB563" i="3"/>
  <c r="AA564" i="3"/>
  <c r="X555" i="3"/>
  <c r="H555" i="3"/>
  <c r="I555" i="3"/>
  <c r="AA551" i="3"/>
  <c r="AB550" i="3"/>
  <c r="X566" i="3"/>
  <c r="H566" i="3"/>
  <c r="I566" i="3"/>
  <c r="AA562" i="3"/>
  <c r="AB561" i="3"/>
  <c r="I472" i="3"/>
  <c r="H472" i="3"/>
  <c r="X472" i="3"/>
  <c r="AA468" i="3"/>
  <c r="AB467" i="3"/>
  <c r="AA420" i="3"/>
  <c r="AB419" i="3"/>
  <c r="I483" i="3"/>
  <c r="X483" i="3"/>
  <c r="H483" i="3"/>
  <c r="AB478" i="3"/>
  <c r="AA479" i="3"/>
  <c r="H404" i="3"/>
  <c r="X404" i="3"/>
  <c r="I404" i="3"/>
  <c r="H494" i="3"/>
  <c r="I494" i="3"/>
  <c r="X494" i="3"/>
  <c r="AA490" i="3"/>
  <c r="AB489" i="3"/>
  <c r="H448" i="3"/>
  <c r="X448" i="3"/>
  <c r="I448" i="3"/>
  <c r="H500" i="3"/>
  <c r="I500" i="3"/>
  <c r="X500" i="3"/>
  <c r="AB495" i="3"/>
  <c r="AA496" i="3"/>
  <c r="X511" i="3"/>
  <c r="I511" i="3"/>
  <c r="H511" i="3"/>
  <c r="AB506" i="3"/>
  <c r="AA507" i="3"/>
  <c r="X522" i="3"/>
  <c r="H522" i="3"/>
  <c r="I522" i="3"/>
  <c r="AB517" i="3"/>
  <c r="AA518" i="3"/>
  <c r="H458" i="3"/>
  <c r="I458" i="3"/>
  <c r="X458" i="3"/>
  <c r="AB453" i="3"/>
  <c r="AA454" i="3"/>
  <c r="AB450" i="3"/>
  <c r="AA451" i="3"/>
  <c r="H391" i="3"/>
  <c r="X391" i="3"/>
  <c r="I391" i="3"/>
  <c r="AB386" i="3"/>
  <c r="AA387" i="3"/>
  <c r="H312" i="3"/>
  <c r="X312" i="3"/>
  <c r="I312" i="3"/>
  <c r="AB288" i="3"/>
  <c r="AA289" i="3"/>
  <c r="X402" i="3"/>
  <c r="H402" i="3"/>
  <c r="I402" i="3"/>
  <c r="AA398" i="3"/>
  <c r="AB397" i="3"/>
  <c r="X356" i="3"/>
  <c r="H356" i="3"/>
  <c r="I356" i="3"/>
  <c r="H413" i="3"/>
  <c r="X413" i="3"/>
  <c r="I413" i="3"/>
  <c r="AB408" i="3"/>
  <c r="AA409" i="3"/>
  <c r="X419" i="3"/>
  <c r="I419" i="3"/>
  <c r="H419" i="3"/>
  <c r="AB414" i="3"/>
  <c r="AA415" i="3"/>
  <c r="H430" i="3"/>
  <c r="X430" i="3"/>
  <c r="I430" i="3"/>
  <c r="AB425" i="3"/>
  <c r="AA426" i="3"/>
  <c r="H284" i="3"/>
  <c r="I284" i="3"/>
  <c r="X284" i="3"/>
  <c r="H417" i="3"/>
  <c r="I417" i="3"/>
  <c r="X417" i="3"/>
  <c r="AB412" i="3"/>
  <c r="AA413" i="3"/>
  <c r="X367" i="3"/>
  <c r="H367" i="3"/>
  <c r="I367" i="3"/>
  <c r="AB362" i="3"/>
  <c r="AA363" i="3"/>
  <c r="I303" i="3"/>
  <c r="H303" i="3"/>
  <c r="X303" i="3"/>
  <c r="AA299" i="3"/>
  <c r="AB298" i="3"/>
  <c r="I314" i="3"/>
  <c r="H314" i="3"/>
  <c r="X314" i="3"/>
  <c r="AA310" i="3"/>
  <c r="AB309" i="3"/>
  <c r="X292" i="3"/>
  <c r="I292" i="3"/>
  <c r="H292" i="3"/>
  <c r="AB239" i="3"/>
  <c r="AA240" i="3"/>
  <c r="I365" i="3"/>
  <c r="X365" i="3"/>
  <c r="H365" i="3"/>
  <c r="AB360" i="3"/>
  <c r="AA361" i="3"/>
  <c r="H301" i="3"/>
  <c r="I301" i="3"/>
  <c r="X301" i="3"/>
  <c r="I371" i="3"/>
  <c r="H371" i="3"/>
  <c r="X371" i="3"/>
  <c r="AA367" i="3"/>
  <c r="AB366" i="3"/>
  <c r="H307" i="3"/>
  <c r="I307" i="3"/>
  <c r="X307" i="3"/>
  <c r="AA303" i="3"/>
  <c r="AB302" i="3"/>
  <c r="X288" i="3"/>
  <c r="H288" i="3"/>
  <c r="I288" i="3"/>
  <c r="H318" i="3"/>
  <c r="X318" i="3"/>
  <c r="I318" i="3"/>
  <c r="AA314" i="3"/>
  <c r="AB313" i="3"/>
  <c r="AB255" i="3"/>
  <c r="AA256" i="3"/>
  <c r="H369" i="3"/>
  <c r="X369" i="3"/>
  <c r="I369" i="3"/>
  <c r="AB364" i="3"/>
  <c r="AA365" i="3"/>
  <c r="H305" i="3"/>
  <c r="I305" i="3"/>
  <c r="X305" i="3"/>
  <c r="AA301" i="3"/>
  <c r="AB300" i="3"/>
  <c r="I279" i="3"/>
  <c r="X279" i="3"/>
  <c r="H279" i="3"/>
  <c r="AA275" i="3"/>
  <c r="AB274" i="3"/>
  <c r="I215" i="3"/>
  <c r="X215" i="3"/>
  <c r="H215" i="3"/>
  <c r="H242" i="3"/>
  <c r="I242" i="3"/>
  <c r="X242" i="3"/>
  <c r="AB237" i="3"/>
  <c r="AA238" i="3"/>
  <c r="AB203" i="3"/>
  <c r="AA204" i="3"/>
  <c r="H261" i="3"/>
  <c r="I261" i="3"/>
  <c r="X261" i="3"/>
  <c r="AB256" i="3"/>
  <c r="AA257" i="3"/>
  <c r="I163" i="3"/>
  <c r="X163" i="3"/>
  <c r="H163" i="3"/>
  <c r="I267" i="3"/>
  <c r="X267" i="3"/>
  <c r="H267" i="3"/>
  <c r="AB262" i="3"/>
  <c r="AA263" i="3"/>
  <c r="H204" i="3"/>
  <c r="X204" i="3"/>
  <c r="I204" i="3"/>
  <c r="I188" i="3"/>
  <c r="H188" i="3"/>
  <c r="X188" i="3"/>
  <c r="I87" i="3"/>
  <c r="X87" i="3"/>
  <c r="H87" i="3"/>
  <c r="H278" i="3"/>
  <c r="X278" i="3"/>
  <c r="I278" i="3"/>
  <c r="AA274" i="3"/>
  <c r="AB273" i="3"/>
  <c r="X214" i="3"/>
  <c r="I214" i="3"/>
  <c r="H214" i="3"/>
  <c r="X289" i="3"/>
  <c r="I289" i="3"/>
  <c r="H289" i="3"/>
  <c r="AB284" i="3"/>
  <c r="AA285" i="3"/>
  <c r="H225" i="3"/>
  <c r="X225" i="3"/>
  <c r="I225" i="3"/>
  <c r="AA221" i="3"/>
  <c r="AB220" i="3"/>
  <c r="AB198" i="3"/>
  <c r="AA199" i="3"/>
  <c r="I132" i="3"/>
  <c r="H132" i="3"/>
  <c r="X132" i="3"/>
  <c r="X191" i="3"/>
  <c r="I191" i="3"/>
  <c r="H191" i="3"/>
  <c r="AB186" i="3"/>
  <c r="AA187" i="3"/>
  <c r="AB143" i="3"/>
  <c r="AA144" i="3"/>
  <c r="X197" i="3"/>
  <c r="I197" i="3"/>
  <c r="H197" i="3"/>
  <c r="AA193" i="3"/>
  <c r="AB192" i="3"/>
  <c r="AB150" i="3"/>
  <c r="AA151" i="3"/>
  <c r="H158" i="3"/>
  <c r="X158" i="3"/>
  <c r="I158" i="3"/>
  <c r="AB153" i="3"/>
  <c r="AA154" i="3"/>
  <c r="I159" i="3"/>
  <c r="X159" i="3"/>
  <c r="H159" i="3"/>
  <c r="AB154" i="3"/>
  <c r="AA155" i="3"/>
  <c r="X115" i="3"/>
  <c r="H115" i="3"/>
  <c r="I115" i="3"/>
  <c r="AB123" i="3"/>
  <c r="AA124" i="3"/>
  <c r="AA99" i="3"/>
  <c r="AB98" i="3"/>
  <c r="X157" i="3"/>
  <c r="H157" i="3"/>
  <c r="I157" i="3"/>
  <c r="AB152" i="3"/>
  <c r="AA153" i="3"/>
  <c r="I65" i="3"/>
  <c r="X65" i="3"/>
  <c r="H65" i="3"/>
  <c r="H96" i="3"/>
  <c r="X96" i="3"/>
  <c r="I96" i="3"/>
  <c r="AA92" i="3"/>
  <c r="AB91" i="3"/>
  <c r="H84" i="3"/>
  <c r="I84" i="3"/>
  <c r="X84" i="3"/>
  <c r="X94" i="3"/>
  <c r="I94" i="3"/>
  <c r="H94" i="3"/>
  <c r="AB89" i="3"/>
  <c r="AA90" i="3"/>
  <c r="AB80" i="3"/>
  <c r="AA81" i="3"/>
  <c r="AB76" i="3"/>
  <c r="AA77" i="3"/>
  <c r="AB43" i="3"/>
  <c r="AA44" i="3"/>
  <c r="AB85" i="3"/>
  <c r="AA86" i="3"/>
  <c r="AB39" i="3"/>
  <c r="AA40" i="3"/>
  <c r="AB45" i="3"/>
  <c r="AA46" i="3"/>
  <c r="AA52" i="3"/>
  <c r="AB51" i="3"/>
  <c r="X57" i="3"/>
  <c r="H57" i="3"/>
  <c r="I57" i="3"/>
  <c r="X35" i="3"/>
  <c r="H35" i="3"/>
  <c r="I35" i="3"/>
  <c r="AB30" i="3"/>
  <c r="AA31" i="3"/>
  <c r="I38" i="3"/>
  <c r="X38" i="3"/>
  <c r="H38" i="3"/>
  <c r="AB33" i="3"/>
  <c r="AA34" i="3"/>
  <c r="I31" i="3"/>
  <c r="H31" i="3"/>
  <c r="X31" i="3"/>
  <c r="AA27" i="3"/>
  <c r="AB26" i="3"/>
  <c r="H29" i="3"/>
  <c r="I29" i="3"/>
  <c r="X29" i="3"/>
  <c r="AA25" i="3"/>
  <c r="AB24" i="3"/>
  <c r="AA976" i="3"/>
  <c r="AB975" i="3"/>
  <c r="X1003" i="3"/>
  <c r="I1003" i="3"/>
  <c r="H1003" i="3"/>
  <c r="X929" i="3"/>
  <c r="I929" i="3"/>
  <c r="H929" i="3"/>
  <c r="X880" i="3"/>
  <c r="I880" i="3"/>
  <c r="H880" i="3"/>
  <c r="AA919" i="3"/>
  <c r="AB918" i="3"/>
  <c r="X984" i="3"/>
  <c r="I984" i="3"/>
  <c r="H984" i="3"/>
  <c r="X964" i="3"/>
  <c r="I964" i="3"/>
  <c r="H964" i="3"/>
  <c r="AB923" i="3"/>
  <c r="AA924" i="3"/>
  <c r="X976" i="3"/>
  <c r="H976" i="3"/>
  <c r="I976" i="3"/>
  <c r="AB931" i="3"/>
  <c r="AA932" i="3"/>
  <c r="X904" i="3"/>
  <c r="I904" i="3"/>
  <c r="H904" i="3"/>
  <c r="X979" i="3"/>
  <c r="H979" i="3"/>
  <c r="I979" i="3"/>
  <c r="AA975" i="3"/>
  <c r="AB974" i="3"/>
  <c r="X915" i="3"/>
  <c r="H915" i="3"/>
  <c r="I915" i="3"/>
  <c r="AA911" i="3"/>
  <c r="AB910" i="3"/>
  <c r="AB779" i="3"/>
  <c r="AA780" i="3"/>
  <c r="X720" i="3"/>
  <c r="H720" i="3"/>
  <c r="I720" i="3"/>
  <c r="X966" i="3"/>
  <c r="H966" i="3"/>
  <c r="I966" i="3"/>
  <c r="AA962" i="3"/>
  <c r="AB961" i="3"/>
  <c r="X902" i="3"/>
  <c r="H902" i="3"/>
  <c r="I902" i="3"/>
  <c r="AA898" i="3"/>
  <c r="AB897" i="3"/>
  <c r="AB727" i="3"/>
  <c r="AA728" i="3"/>
  <c r="AA916" i="3"/>
  <c r="AB915" i="3"/>
  <c r="X969" i="3"/>
  <c r="I969" i="3"/>
  <c r="H969" i="3"/>
  <c r="AA965" i="3"/>
  <c r="AB964" i="3"/>
  <c r="X905" i="3"/>
  <c r="H905" i="3"/>
  <c r="I905" i="3"/>
  <c r="AA901" i="3"/>
  <c r="AB900" i="3"/>
  <c r="AB739" i="3"/>
  <c r="AA740" i="3"/>
  <c r="X662" i="3"/>
  <c r="H662" i="3"/>
  <c r="I662" i="3"/>
  <c r="AB847" i="3"/>
  <c r="AA848" i="3"/>
  <c r="X788" i="3"/>
  <c r="H788" i="3"/>
  <c r="I788" i="3"/>
  <c r="X967" i="3"/>
  <c r="H967" i="3"/>
  <c r="I967" i="3"/>
  <c r="AA963" i="3"/>
  <c r="AB962" i="3"/>
  <c r="X903" i="3"/>
  <c r="H903" i="3"/>
  <c r="I903" i="3"/>
  <c r="AA899" i="3"/>
  <c r="AB898" i="3"/>
  <c r="AB731" i="3"/>
  <c r="AA732" i="3"/>
  <c r="X954" i="3"/>
  <c r="H954" i="3"/>
  <c r="I954" i="3"/>
  <c r="AA950" i="3"/>
  <c r="AB949" i="3"/>
  <c r="X890" i="3"/>
  <c r="H890" i="3"/>
  <c r="I890" i="3"/>
  <c r="AB885" i="3"/>
  <c r="AA886" i="3"/>
  <c r="AB1000" i="3"/>
  <c r="AA1001" i="3"/>
  <c r="X941" i="3"/>
  <c r="I941" i="3"/>
  <c r="H941" i="3"/>
  <c r="AA937" i="3"/>
  <c r="AB936" i="3"/>
  <c r="X877" i="3"/>
  <c r="I877" i="3"/>
  <c r="H877" i="3"/>
  <c r="AA873" i="3"/>
  <c r="AB872" i="3"/>
  <c r="X824" i="3"/>
  <c r="I824" i="3"/>
  <c r="H824" i="3"/>
  <c r="AA686" i="3"/>
  <c r="AB685" i="3"/>
  <c r="AB863" i="3"/>
  <c r="AA864" i="3"/>
  <c r="AB799" i="3"/>
  <c r="AA800" i="3"/>
  <c r="AB735" i="3"/>
  <c r="AA736" i="3"/>
  <c r="X843" i="3"/>
  <c r="H843" i="3"/>
  <c r="I843" i="3"/>
  <c r="AB838" i="3"/>
  <c r="AA839" i="3"/>
  <c r="X779" i="3"/>
  <c r="H779" i="3"/>
  <c r="I779" i="3"/>
  <c r="AB774" i="3"/>
  <c r="AA775" i="3"/>
  <c r="X715" i="3"/>
  <c r="H715" i="3"/>
  <c r="I715" i="3"/>
  <c r="AB710" i="3"/>
  <c r="AA711" i="3"/>
  <c r="AA606" i="3"/>
  <c r="AB605" i="3"/>
  <c r="AB528" i="3"/>
  <c r="AA529" i="3"/>
  <c r="X846" i="3"/>
  <c r="H846" i="3"/>
  <c r="I846" i="3"/>
  <c r="AB841" i="3"/>
  <c r="AA842" i="3"/>
  <c r="X782" i="3"/>
  <c r="I782" i="3"/>
  <c r="H782" i="3"/>
  <c r="AA778" i="3"/>
  <c r="AB777" i="3"/>
  <c r="X718" i="3"/>
  <c r="H718" i="3"/>
  <c r="I718" i="3"/>
  <c r="AB713" i="3"/>
  <c r="AA714" i="3"/>
  <c r="AA618" i="3"/>
  <c r="AB617" i="3"/>
  <c r="X857" i="3"/>
  <c r="I857" i="3"/>
  <c r="H857" i="3"/>
  <c r="AA853" i="3"/>
  <c r="AB852" i="3"/>
  <c r="X793" i="3"/>
  <c r="I793" i="3"/>
  <c r="H793" i="3"/>
  <c r="AA789" i="3"/>
  <c r="AB788" i="3"/>
  <c r="X729" i="3"/>
  <c r="H729" i="3"/>
  <c r="I729" i="3"/>
  <c r="AB724" i="3"/>
  <c r="AA725" i="3"/>
  <c r="AB661" i="3"/>
  <c r="AA662" i="3"/>
  <c r="AB488" i="3"/>
  <c r="AA489" i="3"/>
  <c r="X815" i="3"/>
  <c r="I815" i="3"/>
  <c r="H815" i="3"/>
  <c r="AB810" i="3"/>
  <c r="AA811" i="3"/>
  <c r="X751" i="3"/>
  <c r="H751" i="3"/>
  <c r="I751" i="3"/>
  <c r="AB746" i="3"/>
  <c r="AA747" i="3"/>
  <c r="X553" i="3"/>
  <c r="I553" i="3"/>
  <c r="H553" i="3"/>
  <c r="X818" i="3"/>
  <c r="H818" i="3"/>
  <c r="I818" i="3"/>
  <c r="AB813" i="3"/>
  <c r="AA814" i="3"/>
  <c r="X754" i="3"/>
  <c r="H754" i="3"/>
  <c r="I754" i="3"/>
  <c r="AB749" i="3"/>
  <c r="AA750" i="3"/>
  <c r="X690" i="3"/>
  <c r="I690" i="3"/>
  <c r="H690" i="3"/>
  <c r="X601" i="3"/>
  <c r="H601" i="3"/>
  <c r="I601" i="3"/>
  <c r="X821" i="3"/>
  <c r="I821" i="3"/>
  <c r="H821" i="3"/>
  <c r="AA817" i="3"/>
  <c r="AB816" i="3"/>
  <c r="X757" i="3"/>
  <c r="H757" i="3"/>
  <c r="I757" i="3"/>
  <c r="AB752" i="3"/>
  <c r="AA753" i="3"/>
  <c r="X693" i="3"/>
  <c r="H693" i="3"/>
  <c r="I693" i="3"/>
  <c r="AB688" i="3"/>
  <c r="AA689" i="3"/>
  <c r="X569" i="3"/>
  <c r="I569" i="3"/>
  <c r="H569" i="3"/>
  <c r="X673" i="3"/>
  <c r="H673" i="3"/>
  <c r="I673" i="3"/>
  <c r="AB668" i="3"/>
  <c r="AA669" i="3"/>
  <c r="X609" i="3"/>
  <c r="H609" i="3"/>
  <c r="I609" i="3"/>
  <c r="AB544" i="3"/>
  <c r="AA545" i="3"/>
  <c r="AA521" i="3"/>
  <c r="AB520" i="3"/>
  <c r="X644" i="3"/>
  <c r="I644" i="3"/>
  <c r="H644" i="3"/>
  <c r="AB639" i="3"/>
  <c r="AA640" i="3"/>
  <c r="X631" i="3"/>
  <c r="I631" i="3"/>
  <c r="H631" i="3"/>
  <c r="AA627" i="3"/>
  <c r="AB626" i="3"/>
  <c r="X573" i="3"/>
  <c r="H573" i="3"/>
  <c r="I573" i="3"/>
  <c r="X661" i="3"/>
  <c r="H661" i="3"/>
  <c r="I661" i="3"/>
  <c r="AA657" i="3"/>
  <c r="AB656" i="3"/>
  <c r="X672" i="3"/>
  <c r="I672" i="3"/>
  <c r="H672" i="3"/>
  <c r="AB667" i="3"/>
  <c r="AA668" i="3"/>
  <c r="X608" i="3"/>
  <c r="H608" i="3"/>
  <c r="I608" i="3"/>
  <c r="AA541" i="3"/>
  <c r="AB540" i="3"/>
  <c r="X643" i="3"/>
  <c r="I643" i="3"/>
  <c r="H643" i="3"/>
  <c r="AA639" i="3"/>
  <c r="AB638" i="3"/>
  <c r="X580" i="3"/>
  <c r="I580" i="3"/>
  <c r="H580" i="3"/>
  <c r="AA576" i="3"/>
  <c r="AB575" i="3"/>
  <c r="AB523" i="3"/>
  <c r="AA524" i="3"/>
  <c r="AB468" i="3"/>
  <c r="AA469" i="3"/>
  <c r="X551" i="3"/>
  <c r="H551" i="3"/>
  <c r="I551" i="3"/>
  <c r="AA547" i="3"/>
  <c r="AB546" i="3"/>
  <c r="X586" i="3"/>
  <c r="I586" i="3"/>
  <c r="H586" i="3"/>
  <c r="AA582" i="3"/>
  <c r="AB581" i="3"/>
  <c r="AC581" i="3" s="1"/>
  <c r="AA493" i="3"/>
  <c r="AB492" i="3"/>
  <c r="X592" i="3"/>
  <c r="I592" i="3"/>
  <c r="H592" i="3"/>
  <c r="AB587" i="3"/>
  <c r="AA588" i="3"/>
  <c r="AB516" i="3"/>
  <c r="AA517" i="3"/>
  <c r="X457" i="3"/>
  <c r="I457" i="3"/>
  <c r="H457" i="3"/>
  <c r="X579" i="3"/>
  <c r="I579" i="3"/>
  <c r="H579" i="3"/>
  <c r="AB574" i="3"/>
  <c r="AA575" i="3"/>
  <c r="AB521" i="3"/>
  <c r="AA522" i="3"/>
  <c r="AA465" i="3"/>
  <c r="AB464" i="3"/>
  <c r="X590" i="3"/>
  <c r="H590" i="3"/>
  <c r="I590" i="3"/>
  <c r="AA586" i="3"/>
  <c r="AB585" i="3"/>
  <c r="AB508" i="3"/>
  <c r="AA509" i="3"/>
  <c r="H496" i="3"/>
  <c r="I496" i="3"/>
  <c r="X496" i="3"/>
  <c r="AA492" i="3"/>
  <c r="AB491" i="3"/>
  <c r="X316" i="3"/>
  <c r="H316" i="3"/>
  <c r="I316" i="3"/>
  <c r="X507" i="3"/>
  <c r="H507" i="3"/>
  <c r="I507" i="3"/>
  <c r="AB502" i="3"/>
  <c r="AA503" i="3"/>
  <c r="X518" i="3"/>
  <c r="H518" i="3"/>
  <c r="I518" i="3"/>
  <c r="AB513" i="3"/>
  <c r="AA514" i="3"/>
  <c r="X454" i="3"/>
  <c r="I454" i="3"/>
  <c r="H454" i="3"/>
  <c r="X524" i="3"/>
  <c r="H524" i="3"/>
  <c r="I524" i="3"/>
  <c r="AB519" i="3"/>
  <c r="AA520" i="3"/>
  <c r="H460" i="3"/>
  <c r="X460" i="3"/>
  <c r="I460" i="3"/>
  <c r="AA456" i="3"/>
  <c r="AB455" i="3"/>
  <c r="H471" i="3"/>
  <c r="I471" i="3"/>
  <c r="X471" i="3"/>
  <c r="AB466" i="3"/>
  <c r="AA467" i="3"/>
  <c r="AB415" i="3"/>
  <c r="AA416" i="3"/>
  <c r="I482" i="3"/>
  <c r="X482" i="3"/>
  <c r="H482" i="3"/>
  <c r="AB477" i="3"/>
  <c r="AA478" i="3"/>
  <c r="X400" i="3"/>
  <c r="H400" i="3"/>
  <c r="I400" i="3"/>
  <c r="X415" i="3"/>
  <c r="H415" i="3"/>
  <c r="I415" i="3"/>
  <c r="AA411" i="3"/>
  <c r="AB410" i="3"/>
  <c r="H426" i="3"/>
  <c r="X426" i="3"/>
  <c r="I426" i="3"/>
  <c r="AB421" i="3"/>
  <c r="AA422" i="3"/>
  <c r="AA372" i="3"/>
  <c r="AB371" i="3"/>
  <c r="H220" i="3"/>
  <c r="I220" i="3"/>
  <c r="X220" i="3"/>
  <c r="I437" i="3"/>
  <c r="X437" i="3"/>
  <c r="H437" i="3"/>
  <c r="AA433" i="3"/>
  <c r="AB432" i="3"/>
  <c r="I373" i="3"/>
  <c r="X373" i="3"/>
  <c r="H373" i="3"/>
  <c r="AB299" i="3"/>
  <c r="AA300" i="3"/>
  <c r="H443" i="3"/>
  <c r="X443" i="3"/>
  <c r="I443" i="3"/>
  <c r="AA439" i="3"/>
  <c r="AB438" i="3"/>
  <c r="H379" i="3"/>
  <c r="X379" i="3"/>
  <c r="I379" i="3"/>
  <c r="AA375" i="3"/>
  <c r="AB374" i="3"/>
  <c r="AB323" i="3"/>
  <c r="AA324" i="3"/>
  <c r="AB449" i="3"/>
  <c r="AA450" i="3"/>
  <c r="H390" i="3"/>
  <c r="I390" i="3"/>
  <c r="X390" i="3"/>
  <c r="AA386" i="3"/>
  <c r="AB385" i="3"/>
  <c r="AA368" i="3"/>
  <c r="AB367" i="3"/>
  <c r="AC367" i="3" s="1"/>
  <c r="H308" i="3"/>
  <c r="X308" i="3"/>
  <c r="I308" i="3"/>
  <c r="AA148" i="3"/>
  <c r="AB147" i="3"/>
  <c r="X441" i="3"/>
  <c r="H441" i="3"/>
  <c r="I441" i="3"/>
  <c r="AB436" i="3"/>
  <c r="AA437" i="3"/>
  <c r="I377" i="3"/>
  <c r="X377" i="3"/>
  <c r="H377" i="3"/>
  <c r="AB315" i="3"/>
  <c r="AA316" i="3"/>
  <c r="X327" i="3"/>
  <c r="H327" i="3"/>
  <c r="I327" i="3"/>
  <c r="AB322" i="3"/>
  <c r="AA323" i="3"/>
  <c r="X232" i="3"/>
  <c r="H232" i="3"/>
  <c r="I232" i="3"/>
  <c r="X338" i="3"/>
  <c r="I338" i="3"/>
  <c r="H338" i="3"/>
  <c r="AB333" i="3"/>
  <c r="AA334" i="3"/>
  <c r="H276" i="3"/>
  <c r="I276" i="3"/>
  <c r="X276" i="3"/>
  <c r="I325" i="3"/>
  <c r="H325" i="3"/>
  <c r="X325" i="3"/>
  <c r="AA321" i="3"/>
  <c r="AB320" i="3"/>
  <c r="AB283" i="3"/>
  <c r="AA284" i="3"/>
  <c r="H224" i="3"/>
  <c r="X224" i="3"/>
  <c r="I224" i="3"/>
  <c r="X331" i="3"/>
  <c r="H331" i="3"/>
  <c r="I331" i="3"/>
  <c r="AA327" i="3"/>
  <c r="AB326" i="3"/>
  <c r="AB296" i="3"/>
  <c r="AA297" i="3"/>
  <c r="H248" i="3"/>
  <c r="I248" i="3"/>
  <c r="X248" i="3"/>
  <c r="I342" i="3"/>
  <c r="H342" i="3"/>
  <c r="X342" i="3"/>
  <c r="AB337" i="3"/>
  <c r="AA338" i="3"/>
  <c r="X329" i="3"/>
  <c r="H329" i="3"/>
  <c r="I329" i="3"/>
  <c r="AA325" i="3"/>
  <c r="AB324" i="3"/>
  <c r="I240" i="3"/>
  <c r="H240" i="3"/>
  <c r="X240" i="3"/>
  <c r="I239" i="3"/>
  <c r="H239" i="3"/>
  <c r="X239" i="3"/>
  <c r="AA235" i="3"/>
  <c r="AB234" i="3"/>
  <c r="AA208" i="3"/>
  <c r="AB207" i="3"/>
  <c r="X136" i="3"/>
  <c r="I136" i="3"/>
  <c r="H136" i="3"/>
  <c r="I266" i="3"/>
  <c r="X266" i="3"/>
  <c r="H266" i="3"/>
  <c r="AB261" i="3"/>
  <c r="AA262" i="3"/>
  <c r="H184" i="3"/>
  <c r="X184" i="3"/>
  <c r="I184" i="3"/>
  <c r="I285" i="3"/>
  <c r="H285" i="3"/>
  <c r="X285" i="3"/>
  <c r="AB280" i="3"/>
  <c r="AA281" i="3"/>
  <c r="H221" i="3"/>
  <c r="I221" i="3"/>
  <c r="X221" i="3"/>
  <c r="AA217" i="3"/>
  <c r="AB216" i="3"/>
  <c r="H291" i="3"/>
  <c r="I291" i="3"/>
  <c r="X291" i="3"/>
  <c r="AB286" i="3"/>
  <c r="AA287" i="3"/>
  <c r="I227" i="3"/>
  <c r="X227" i="3"/>
  <c r="H227" i="3"/>
  <c r="AA223" i="3"/>
  <c r="AB222" i="3"/>
  <c r="AB297" i="3"/>
  <c r="AA298" i="3"/>
  <c r="H238" i="3"/>
  <c r="I238" i="3"/>
  <c r="X238" i="3"/>
  <c r="AB233" i="3"/>
  <c r="AA234" i="3"/>
  <c r="X249" i="3"/>
  <c r="H249" i="3"/>
  <c r="I249" i="3"/>
  <c r="AB244" i="3"/>
  <c r="AA245" i="3"/>
  <c r="AB175" i="3"/>
  <c r="AA176" i="3"/>
  <c r="H182" i="3"/>
  <c r="X182" i="3"/>
  <c r="I182" i="3"/>
  <c r="AB177" i="3"/>
  <c r="AA178" i="3"/>
  <c r="I185" i="3"/>
  <c r="H185" i="3"/>
  <c r="X185" i="3"/>
  <c r="AB180" i="3"/>
  <c r="AA181" i="3"/>
  <c r="AA211" i="3"/>
  <c r="AB210" i="3"/>
  <c r="H186" i="3"/>
  <c r="I186" i="3"/>
  <c r="X186" i="3"/>
  <c r="AB181" i="3"/>
  <c r="AA182" i="3"/>
  <c r="AB102" i="3"/>
  <c r="AA103" i="3"/>
  <c r="H145" i="3"/>
  <c r="I145" i="3"/>
  <c r="X145" i="3"/>
  <c r="AA141" i="3"/>
  <c r="AB140" i="3"/>
  <c r="I138" i="3"/>
  <c r="X138" i="3"/>
  <c r="H138" i="3"/>
  <c r="AB133" i="3"/>
  <c r="AA134" i="3"/>
  <c r="I122" i="3"/>
  <c r="X122" i="3"/>
  <c r="H122" i="3"/>
  <c r="X90" i="3"/>
  <c r="I90" i="3"/>
  <c r="H90" i="3"/>
  <c r="X109" i="3"/>
  <c r="I109" i="3"/>
  <c r="H109" i="3"/>
  <c r="AB104" i="3"/>
  <c r="AA105" i="3"/>
  <c r="I33" i="3"/>
  <c r="H33" i="3"/>
  <c r="X33" i="3"/>
  <c r="H118" i="3"/>
  <c r="X118" i="3"/>
  <c r="I118" i="3"/>
  <c r="AB113" i="3"/>
  <c r="AA114" i="3"/>
  <c r="X17" i="3"/>
  <c r="H17" i="3"/>
  <c r="I17" i="3"/>
  <c r="I97" i="3"/>
  <c r="X97" i="3"/>
  <c r="H97" i="3"/>
  <c r="AA93" i="3"/>
  <c r="AB92" i="3"/>
  <c r="X100" i="3"/>
  <c r="H100" i="3"/>
  <c r="I100" i="3"/>
  <c r="AB95" i="3"/>
  <c r="AA96" i="3"/>
  <c r="AB66" i="3"/>
  <c r="AA67" i="3"/>
  <c r="I32" i="3"/>
  <c r="X32" i="3"/>
  <c r="H32" i="3"/>
  <c r="H28" i="3"/>
  <c r="I28" i="3"/>
  <c r="X28" i="3"/>
  <c r="H34" i="3"/>
  <c r="I34" i="3"/>
  <c r="X34" i="3"/>
  <c r="I40" i="3"/>
  <c r="H40" i="3"/>
  <c r="X40" i="3"/>
  <c r="AA37" i="3"/>
  <c r="AB36" i="3"/>
  <c r="X52" i="3"/>
  <c r="H52" i="3"/>
  <c r="I52" i="3"/>
  <c r="I59" i="3"/>
  <c r="X59" i="3"/>
  <c r="H59" i="3"/>
  <c r="AB54" i="3"/>
  <c r="AA55" i="3"/>
  <c r="H62" i="3"/>
  <c r="I62" i="3"/>
  <c r="X62" i="3"/>
  <c r="AA58" i="3"/>
  <c r="AB57" i="3"/>
  <c r="X55" i="3"/>
  <c r="H55" i="3"/>
  <c r="I55" i="3"/>
  <c r="AA51" i="3"/>
  <c r="AB50" i="3"/>
  <c r="H53" i="3"/>
  <c r="I53" i="3"/>
  <c r="X53" i="3"/>
  <c r="AB48" i="3"/>
  <c r="AA49" i="3"/>
  <c r="AB979" i="3"/>
  <c r="AA980" i="3"/>
  <c r="X968" i="3"/>
  <c r="H968" i="3"/>
  <c r="I968" i="3"/>
  <c r="AB967" i="3"/>
  <c r="AA968" i="3"/>
  <c r="AB934" i="3"/>
  <c r="AA935" i="3"/>
  <c r="AB870" i="3"/>
  <c r="AA871" i="3"/>
  <c r="X816" i="3"/>
  <c r="H816" i="3"/>
  <c r="I816" i="3"/>
  <c r="X990" i="3"/>
  <c r="H990" i="3"/>
  <c r="I990" i="3"/>
  <c r="X926" i="3"/>
  <c r="H926" i="3"/>
  <c r="I926" i="3"/>
  <c r="AB823" i="3"/>
  <c r="AA824" i="3"/>
  <c r="X993" i="3"/>
  <c r="H993" i="3"/>
  <c r="I993" i="3"/>
  <c r="AB719" i="3"/>
  <c r="AA720" i="3"/>
  <c r="X991" i="3"/>
  <c r="H991" i="3"/>
  <c r="I991" i="3"/>
  <c r="AB922" i="3"/>
  <c r="AA923" i="3"/>
  <c r="AB827" i="3"/>
  <c r="AA828" i="3"/>
  <c r="X768" i="3"/>
  <c r="I768" i="3"/>
  <c r="H768" i="3"/>
  <c r="X892" i="3"/>
  <c r="H892" i="3"/>
  <c r="I892" i="3"/>
  <c r="AA872" i="3"/>
  <c r="AB871" i="3"/>
  <c r="X978" i="3"/>
  <c r="H978" i="3"/>
  <c r="I978" i="3"/>
  <c r="AB973" i="3"/>
  <c r="AA974" i="3"/>
  <c r="X914" i="3"/>
  <c r="H914" i="3"/>
  <c r="I914" i="3"/>
  <c r="AA910" i="3"/>
  <c r="AB909" i="3"/>
  <c r="AB775" i="3"/>
  <c r="AA776" i="3"/>
  <c r="X716" i="3"/>
  <c r="H716" i="3"/>
  <c r="I716" i="3"/>
  <c r="X965" i="3"/>
  <c r="I965" i="3"/>
  <c r="H965" i="3"/>
  <c r="AA961" i="3"/>
  <c r="AB960" i="3"/>
  <c r="X901" i="3"/>
  <c r="H901" i="3"/>
  <c r="I901" i="3"/>
  <c r="AA897" i="3"/>
  <c r="AB896" i="3"/>
  <c r="AC896" i="3" s="1"/>
  <c r="AB723" i="3"/>
  <c r="AA724" i="3"/>
  <c r="X836" i="3"/>
  <c r="I836" i="3"/>
  <c r="H836" i="3"/>
  <c r="X867" i="3"/>
  <c r="I867" i="3"/>
  <c r="H867" i="3"/>
  <c r="AA863" i="3"/>
  <c r="AB862" i="3"/>
  <c r="X803" i="3"/>
  <c r="H803" i="3"/>
  <c r="I803" i="3"/>
  <c r="AA799" i="3"/>
  <c r="AB798" i="3"/>
  <c r="X739" i="3"/>
  <c r="H739" i="3"/>
  <c r="I739" i="3"/>
  <c r="AA735" i="3"/>
  <c r="AB734" i="3"/>
  <c r="X642" i="3"/>
  <c r="H642" i="3"/>
  <c r="I642" i="3"/>
  <c r="AA866" i="3"/>
  <c r="AB865" i="3"/>
  <c r="X806" i="3"/>
  <c r="I806" i="3"/>
  <c r="H806" i="3"/>
  <c r="AA802" i="3"/>
  <c r="AB801" i="3"/>
  <c r="AB737" i="3"/>
  <c r="AA738" i="3"/>
  <c r="X654" i="3"/>
  <c r="H654" i="3"/>
  <c r="I654" i="3"/>
  <c r="X817" i="3"/>
  <c r="H817" i="3"/>
  <c r="I817" i="3"/>
  <c r="AA813" i="3"/>
  <c r="AB812" i="3"/>
  <c r="X753" i="3"/>
  <c r="I753" i="3"/>
  <c r="H753" i="3"/>
  <c r="AB748" i="3"/>
  <c r="AA749" i="3"/>
  <c r="X689" i="3"/>
  <c r="I689" i="3"/>
  <c r="H689" i="3"/>
  <c r="X585" i="3"/>
  <c r="H585" i="3"/>
  <c r="I585" i="3"/>
  <c r="H444" i="3"/>
  <c r="X444" i="3"/>
  <c r="I444" i="3"/>
  <c r="X839" i="3"/>
  <c r="I839" i="3"/>
  <c r="H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X842" i="3"/>
  <c r="I842" i="3"/>
  <c r="H842" i="3"/>
  <c r="AA838" i="3"/>
  <c r="AB837" i="3"/>
  <c r="X778" i="3"/>
  <c r="H778" i="3"/>
  <c r="I778" i="3"/>
  <c r="AA774" i="3"/>
  <c r="AB773" i="3"/>
  <c r="X714" i="3"/>
  <c r="H714" i="3"/>
  <c r="I714" i="3"/>
  <c r="AA710" i="3"/>
  <c r="AB709" i="3"/>
  <c r="X845" i="3"/>
  <c r="I845" i="3"/>
  <c r="H845" i="3"/>
  <c r="AA841" i="3"/>
  <c r="AB840" i="3"/>
  <c r="X781" i="3"/>
  <c r="H781" i="3"/>
  <c r="I781" i="3"/>
  <c r="AA777" i="3"/>
  <c r="AB776" i="3"/>
  <c r="X717" i="3"/>
  <c r="H717" i="3"/>
  <c r="I717" i="3"/>
  <c r="AA713" i="3"/>
  <c r="AB712" i="3"/>
  <c r="AB613" i="3"/>
  <c r="AA614" i="3"/>
  <c r="X633" i="3"/>
  <c r="H633" i="3"/>
  <c r="I633" i="3"/>
  <c r="AB628" i="3"/>
  <c r="AA629" i="3"/>
  <c r="X581" i="3"/>
  <c r="H581" i="3"/>
  <c r="I581" i="3"/>
  <c r="H380" i="3"/>
  <c r="I380" i="3"/>
  <c r="X380" i="3"/>
  <c r="X668" i="3"/>
  <c r="I668" i="3"/>
  <c r="H668" i="3"/>
  <c r="AA664" i="3"/>
  <c r="AB663" i="3"/>
  <c r="X655" i="3"/>
  <c r="I655" i="3"/>
  <c r="H655" i="3"/>
  <c r="AA651" i="3"/>
  <c r="AB650" i="3"/>
  <c r="X685" i="3"/>
  <c r="H685" i="3"/>
  <c r="I685" i="3"/>
  <c r="AB680" i="3"/>
  <c r="AA681" i="3"/>
  <c r="X621" i="3"/>
  <c r="H621" i="3"/>
  <c r="I621" i="3"/>
  <c r="AB616" i="3"/>
  <c r="AA617" i="3"/>
  <c r="AB592" i="3"/>
  <c r="AA593" i="3"/>
  <c r="X533" i="3"/>
  <c r="H533" i="3"/>
  <c r="I533" i="3"/>
  <c r="I477" i="3"/>
  <c r="H477" i="3"/>
  <c r="X477" i="3"/>
  <c r="X632" i="3"/>
  <c r="H632" i="3"/>
  <c r="I632" i="3"/>
  <c r="AA628" i="3"/>
  <c r="AB627" i="3"/>
  <c r="X577" i="3"/>
  <c r="H577" i="3"/>
  <c r="I577" i="3"/>
  <c r="X667" i="3"/>
  <c r="H667" i="3"/>
  <c r="I667" i="3"/>
  <c r="AB662" i="3"/>
  <c r="AA663" i="3"/>
  <c r="AB504" i="3"/>
  <c r="AA505" i="3"/>
  <c r="AB599" i="3"/>
  <c r="AA600" i="3"/>
  <c r="X540" i="3"/>
  <c r="I540" i="3"/>
  <c r="H540" i="3"/>
  <c r="AB535" i="3"/>
  <c r="AA536" i="3"/>
  <c r="X505" i="3"/>
  <c r="H505" i="3"/>
  <c r="I505" i="3"/>
  <c r="X575" i="3"/>
  <c r="I575" i="3"/>
  <c r="H575" i="3"/>
  <c r="AB570" i="3"/>
  <c r="AA571" i="3"/>
  <c r="X546" i="3"/>
  <c r="H546" i="3"/>
  <c r="I546" i="3"/>
  <c r="AA542" i="3"/>
  <c r="AB541" i="3"/>
  <c r="AB524" i="3"/>
  <c r="AA525" i="3"/>
  <c r="AB370" i="3"/>
  <c r="AA371" i="3"/>
  <c r="X552" i="3"/>
  <c r="H552" i="3"/>
  <c r="I552" i="3"/>
  <c r="AA548" i="3"/>
  <c r="AB547" i="3"/>
  <c r="X603" i="3"/>
  <c r="I603" i="3"/>
  <c r="H603" i="3"/>
  <c r="AA599" i="3"/>
  <c r="AB598" i="3"/>
  <c r="X539" i="3"/>
  <c r="H539" i="3"/>
  <c r="I539" i="3"/>
  <c r="AB534" i="3"/>
  <c r="AA535" i="3"/>
  <c r="X501" i="3"/>
  <c r="H501" i="3"/>
  <c r="I501" i="3"/>
  <c r="X550" i="3"/>
  <c r="I550" i="3"/>
  <c r="H550" i="3"/>
  <c r="AB545" i="3"/>
  <c r="AA546" i="3"/>
  <c r="AB515" i="3"/>
  <c r="AA516" i="3"/>
  <c r="X456" i="3"/>
  <c r="H456" i="3"/>
  <c r="I456" i="3"/>
  <c r="AA452" i="3"/>
  <c r="AB451" i="3"/>
  <c r="AB526" i="3"/>
  <c r="AA527" i="3"/>
  <c r="H467" i="3"/>
  <c r="X467" i="3"/>
  <c r="I467" i="3"/>
  <c r="AB462" i="3"/>
  <c r="AA463" i="3"/>
  <c r="AB399" i="3"/>
  <c r="AA400" i="3"/>
  <c r="X478" i="3"/>
  <c r="I478" i="3"/>
  <c r="H478" i="3"/>
  <c r="AA474" i="3"/>
  <c r="AB473" i="3"/>
  <c r="AB443" i="3"/>
  <c r="AA444" i="3"/>
  <c r="I384" i="3"/>
  <c r="H384" i="3"/>
  <c r="X384" i="3"/>
  <c r="AA344" i="3"/>
  <c r="AB343" i="3"/>
  <c r="I484" i="3"/>
  <c r="X484" i="3"/>
  <c r="H484" i="3"/>
  <c r="AB479" i="3"/>
  <c r="AA480" i="3"/>
  <c r="X408" i="3"/>
  <c r="I408" i="3"/>
  <c r="H408" i="3"/>
  <c r="AB247" i="3"/>
  <c r="AA248" i="3"/>
  <c r="I495" i="3"/>
  <c r="H495" i="3"/>
  <c r="X495" i="3"/>
  <c r="AB490" i="3"/>
  <c r="AA491" i="3"/>
  <c r="X300" i="3"/>
  <c r="I300" i="3"/>
  <c r="H300" i="3"/>
  <c r="X506" i="3"/>
  <c r="H506" i="3"/>
  <c r="I506" i="3"/>
  <c r="AA502" i="3"/>
  <c r="AB501" i="3"/>
  <c r="H439" i="3"/>
  <c r="X439" i="3"/>
  <c r="I439" i="3"/>
  <c r="AA435" i="3"/>
  <c r="AB434" i="3"/>
  <c r="H375" i="3"/>
  <c r="X375" i="3"/>
  <c r="I375" i="3"/>
  <c r="AA308" i="3"/>
  <c r="AB307" i="3"/>
  <c r="I450" i="3"/>
  <c r="X450" i="3"/>
  <c r="H450" i="3"/>
  <c r="AA446" i="3"/>
  <c r="AB445" i="3"/>
  <c r="H386" i="3"/>
  <c r="X386" i="3"/>
  <c r="I386" i="3"/>
  <c r="AA382" i="3"/>
  <c r="AB381" i="3"/>
  <c r="AB351" i="3"/>
  <c r="AA352" i="3"/>
  <c r="H397" i="3"/>
  <c r="I397" i="3"/>
  <c r="X397" i="3"/>
  <c r="AB392" i="3"/>
  <c r="AC392" i="3" s="1"/>
  <c r="AA393" i="3"/>
  <c r="H372" i="3"/>
  <c r="I372" i="3"/>
  <c r="X372" i="3"/>
  <c r="X336" i="3"/>
  <c r="H336" i="3"/>
  <c r="I336" i="3"/>
  <c r="I403" i="3"/>
  <c r="H403" i="3"/>
  <c r="X403" i="3"/>
  <c r="AB398" i="3"/>
  <c r="AA399" i="3"/>
  <c r="I360" i="3"/>
  <c r="H360" i="3"/>
  <c r="X360" i="3"/>
  <c r="I414" i="3"/>
  <c r="X414" i="3"/>
  <c r="H414" i="3"/>
  <c r="AB409" i="3"/>
  <c r="AA410" i="3"/>
  <c r="I401" i="3"/>
  <c r="X401" i="3"/>
  <c r="H401" i="3"/>
  <c r="AB396" i="3"/>
  <c r="AA397" i="3"/>
  <c r="H352" i="3"/>
  <c r="X352" i="3"/>
  <c r="I352" i="3"/>
  <c r="H351" i="3"/>
  <c r="I351" i="3"/>
  <c r="X351" i="3"/>
  <c r="AA347" i="3"/>
  <c r="AB346" i="3"/>
  <c r="H362" i="3"/>
  <c r="I362" i="3"/>
  <c r="X362" i="3"/>
  <c r="AB357" i="3"/>
  <c r="AA358" i="3"/>
  <c r="X298" i="3"/>
  <c r="I298" i="3"/>
  <c r="H298" i="3"/>
  <c r="I349" i="3"/>
  <c r="H349" i="3"/>
  <c r="X349" i="3"/>
  <c r="AB344" i="3"/>
  <c r="AA345" i="3"/>
  <c r="I355" i="3"/>
  <c r="H355" i="3"/>
  <c r="X355" i="3"/>
  <c r="AA351" i="3"/>
  <c r="AB350" i="3"/>
  <c r="X295" i="3"/>
  <c r="H295" i="3"/>
  <c r="I295" i="3"/>
  <c r="X366" i="3"/>
  <c r="I366" i="3"/>
  <c r="H366" i="3"/>
  <c r="AB361" i="3"/>
  <c r="AA362" i="3"/>
  <c r="H302" i="3"/>
  <c r="X302" i="3"/>
  <c r="I302" i="3"/>
  <c r="H353" i="3"/>
  <c r="X353" i="3"/>
  <c r="I353" i="3"/>
  <c r="AB348" i="3"/>
  <c r="AA349" i="3"/>
  <c r="H263" i="3"/>
  <c r="I263" i="3"/>
  <c r="X263" i="3"/>
  <c r="AA259" i="3"/>
  <c r="AB258" i="3"/>
  <c r="I172" i="3"/>
  <c r="H172" i="3"/>
  <c r="X172" i="3"/>
  <c r="I290" i="3"/>
  <c r="H290" i="3"/>
  <c r="X290" i="3"/>
  <c r="AA286" i="3"/>
  <c r="AB285" i="3"/>
  <c r="I226" i="3"/>
  <c r="X226" i="3"/>
  <c r="H226" i="3"/>
  <c r="AA222" i="3"/>
  <c r="AB221" i="3"/>
  <c r="X245" i="3"/>
  <c r="H245" i="3"/>
  <c r="I245" i="3"/>
  <c r="AB240" i="3"/>
  <c r="AA241" i="3"/>
  <c r="H251" i="3"/>
  <c r="X251" i="3"/>
  <c r="I251" i="3"/>
  <c r="AA247" i="3"/>
  <c r="AB246" i="3"/>
  <c r="AB183" i="3"/>
  <c r="AA184" i="3"/>
  <c r="H262" i="3"/>
  <c r="I262" i="3"/>
  <c r="X262" i="3"/>
  <c r="AB257" i="3"/>
  <c r="AA258" i="3"/>
  <c r="H168" i="3"/>
  <c r="X168" i="3"/>
  <c r="I168" i="3"/>
  <c r="X273" i="3"/>
  <c r="I273" i="3"/>
  <c r="H273" i="3"/>
  <c r="AB268" i="3"/>
  <c r="AA269" i="3"/>
  <c r="AB206" i="3"/>
  <c r="AA207" i="3"/>
  <c r="H187" i="3"/>
  <c r="X187" i="3"/>
  <c r="I187" i="3"/>
  <c r="AB182" i="3"/>
  <c r="AA183" i="3"/>
  <c r="AB127" i="3"/>
  <c r="AA128" i="3"/>
  <c r="H206" i="3"/>
  <c r="I206" i="3"/>
  <c r="X206" i="3"/>
  <c r="AB201" i="3"/>
  <c r="AA202" i="3"/>
  <c r="X144" i="3"/>
  <c r="I144" i="3"/>
  <c r="H144" i="3"/>
  <c r="H175" i="3"/>
  <c r="X175" i="3"/>
  <c r="I175" i="3"/>
  <c r="AA171" i="3"/>
  <c r="AB170" i="3"/>
  <c r="I210" i="3"/>
  <c r="H210" i="3"/>
  <c r="X210" i="3"/>
  <c r="AA206" i="3"/>
  <c r="AB205" i="3"/>
  <c r="I181" i="3"/>
  <c r="X181" i="3"/>
  <c r="H181" i="3"/>
  <c r="AB176" i="3"/>
  <c r="AA177" i="3"/>
  <c r="X139" i="3"/>
  <c r="H139" i="3"/>
  <c r="I139" i="3"/>
  <c r="AA135" i="3"/>
  <c r="AB134" i="3"/>
  <c r="H142" i="3"/>
  <c r="I142" i="3"/>
  <c r="X142" i="3"/>
  <c r="AA138" i="3"/>
  <c r="AB137" i="3"/>
  <c r="I143" i="3"/>
  <c r="X143" i="3"/>
  <c r="H143" i="3"/>
  <c r="AA139" i="3"/>
  <c r="AB138" i="3"/>
  <c r="AB122" i="3"/>
  <c r="AA123" i="3"/>
  <c r="AA38" i="3"/>
  <c r="AB37" i="3"/>
  <c r="X162" i="3"/>
  <c r="I162" i="3"/>
  <c r="H162" i="3"/>
  <c r="AA158" i="3"/>
  <c r="AB157" i="3"/>
  <c r="X111" i="3"/>
  <c r="H111" i="3"/>
  <c r="I111" i="3"/>
  <c r="H141" i="3"/>
  <c r="X141" i="3"/>
  <c r="I141" i="3"/>
  <c r="AA137" i="3"/>
  <c r="AB136" i="3"/>
  <c r="AB109" i="3"/>
  <c r="AA110" i="3"/>
  <c r="I63" i="3"/>
  <c r="X63" i="3"/>
  <c r="H63" i="3"/>
  <c r="H58" i="3"/>
  <c r="I58" i="3"/>
  <c r="X58" i="3"/>
  <c r="AB28" i="3"/>
  <c r="AA29" i="3"/>
  <c r="AB12" i="3"/>
  <c r="AA13" i="3"/>
  <c r="X121" i="3"/>
  <c r="H121" i="3"/>
  <c r="I121" i="3"/>
  <c r="AA117" i="3"/>
  <c r="AB116" i="3"/>
  <c r="X124" i="3"/>
  <c r="H124" i="3"/>
  <c r="I124" i="3"/>
  <c r="AB119" i="3"/>
  <c r="AA120" i="3"/>
  <c r="I76" i="3"/>
  <c r="X76" i="3"/>
  <c r="H76" i="3"/>
  <c r="AB71" i="3"/>
  <c r="AA72" i="3"/>
  <c r="H74" i="3"/>
  <c r="X74" i="3"/>
  <c r="I74" i="3"/>
  <c r="AB69" i="3"/>
  <c r="AA70" i="3"/>
  <c r="H77" i="3"/>
  <c r="X77" i="3"/>
  <c r="I77" i="3"/>
  <c r="AB72" i="3"/>
  <c r="AA73" i="3"/>
  <c r="AB13" i="3"/>
  <c r="AA14" i="3"/>
  <c r="I80" i="3"/>
  <c r="X80" i="3"/>
  <c r="H80" i="3"/>
  <c r="AB75" i="3"/>
  <c r="AA76" i="3"/>
  <c r="AB19" i="3"/>
  <c r="AA20" i="3"/>
  <c r="H83" i="3"/>
  <c r="X83" i="3"/>
  <c r="I83" i="3"/>
  <c r="AA79" i="3"/>
  <c r="AB78" i="3"/>
  <c r="I25" i="3"/>
  <c r="H25" i="3"/>
  <c r="X25" i="3"/>
  <c r="H86" i="3"/>
  <c r="X86" i="3"/>
  <c r="I86" i="3"/>
  <c r="AB81" i="3"/>
  <c r="AA82" i="3"/>
  <c r="AB31" i="3"/>
  <c r="AA32" i="3"/>
  <c r="I19" i="3"/>
  <c r="H19" i="3"/>
  <c r="X19" i="3"/>
  <c r="AA15" i="3"/>
  <c r="AB14" i="3"/>
  <c r="X22" i="3"/>
  <c r="H22" i="3"/>
  <c r="I22" i="3"/>
  <c r="AB17" i="3"/>
  <c r="AA18" i="3"/>
  <c r="X15" i="3"/>
  <c r="H15" i="3"/>
  <c r="I15" i="3"/>
  <c r="I13" i="3"/>
  <c r="X13" i="3"/>
  <c r="H13" i="3"/>
  <c r="AB959" i="3"/>
  <c r="AA960" i="3"/>
  <c r="AA972" i="3"/>
  <c r="AB971" i="3"/>
  <c r="X956" i="3"/>
  <c r="H956" i="3"/>
  <c r="I956" i="3"/>
  <c r="X1004" i="3"/>
  <c r="I1004" i="3"/>
  <c r="H1004" i="3"/>
  <c r="X963" i="3"/>
  <c r="I963" i="3"/>
  <c r="H963" i="3"/>
  <c r="AB958" i="3"/>
  <c r="AA959" i="3"/>
  <c r="X899" i="3"/>
  <c r="I899" i="3"/>
  <c r="H899" i="3"/>
  <c r="AB894" i="3"/>
  <c r="AA895" i="3"/>
  <c r="AB715" i="3"/>
  <c r="AA716" i="3"/>
  <c r="X950" i="3"/>
  <c r="H950" i="3"/>
  <c r="I950" i="3"/>
  <c r="AB945" i="3"/>
  <c r="AA946" i="3"/>
  <c r="X886" i="3"/>
  <c r="H886" i="3"/>
  <c r="I886" i="3"/>
  <c r="AB881" i="3"/>
  <c r="AA882" i="3"/>
  <c r="X860" i="3"/>
  <c r="H860" i="3"/>
  <c r="I860" i="3"/>
  <c r="AB673" i="3"/>
  <c r="AA674" i="3"/>
  <c r="X953" i="3"/>
  <c r="H953" i="3"/>
  <c r="I953" i="3"/>
  <c r="AA949" i="3"/>
  <c r="AB948" i="3"/>
  <c r="X889" i="3"/>
  <c r="I889" i="3"/>
  <c r="H889" i="3"/>
  <c r="AB884" i="3"/>
  <c r="AA885" i="3"/>
  <c r="AA784" i="3"/>
  <c r="AB783" i="3"/>
  <c r="X756" i="3"/>
  <c r="I756" i="3"/>
  <c r="H756" i="3"/>
  <c r="AB911" i="3"/>
  <c r="AA912" i="3"/>
  <c r="X951" i="3"/>
  <c r="I951" i="3"/>
  <c r="H951" i="3"/>
  <c r="AB946" i="3"/>
  <c r="AA947" i="3"/>
  <c r="X887" i="3"/>
  <c r="I887" i="3"/>
  <c r="H887" i="3"/>
  <c r="AB882" i="3"/>
  <c r="AA883" i="3"/>
  <c r="X864" i="3"/>
  <c r="H864" i="3"/>
  <c r="I864" i="3"/>
  <c r="X1002" i="3"/>
  <c r="H1002" i="3"/>
  <c r="I1002" i="3"/>
  <c r="AB997" i="3"/>
  <c r="AA998" i="3"/>
  <c r="X938" i="3"/>
  <c r="I938" i="3"/>
  <c r="H938" i="3"/>
  <c r="AB933" i="3"/>
  <c r="AA934" i="3"/>
  <c r="X874" i="3"/>
  <c r="I874" i="3"/>
  <c r="H874" i="3"/>
  <c r="AB869" i="3"/>
  <c r="AA870" i="3"/>
  <c r="X812" i="3"/>
  <c r="H812" i="3"/>
  <c r="I812" i="3"/>
  <c r="X989" i="3"/>
  <c r="H989" i="3"/>
  <c r="I989" i="3"/>
  <c r="AB984" i="3"/>
  <c r="AA985" i="3"/>
  <c r="X925" i="3"/>
  <c r="H925" i="3"/>
  <c r="I925" i="3"/>
  <c r="AB920" i="3"/>
  <c r="AA921" i="3"/>
  <c r="AA820" i="3"/>
  <c r="AB819" i="3"/>
  <c r="X760" i="3"/>
  <c r="H760" i="3"/>
  <c r="I760" i="3"/>
  <c r="X772" i="3"/>
  <c r="I772" i="3"/>
  <c r="H772" i="3"/>
  <c r="X827" i="3"/>
  <c r="H827" i="3"/>
  <c r="I827" i="3"/>
  <c r="AB822" i="3"/>
  <c r="AA823" i="3"/>
  <c r="X763" i="3"/>
  <c r="H763" i="3"/>
  <c r="I763" i="3"/>
  <c r="AA759" i="3"/>
  <c r="AB758" i="3"/>
  <c r="X699" i="3"/>
  <c r="H699" i="3"/>
  <c r="I699" i="3"/>
  <c r="AA695" i="3"/>
  <c r="AB694" i="3"/>
  <c r="X830" i="3"/>
  <c r="H830" i="3"/>
  <c r="I830" i="3"/>
  <c r="AB825" i="3"/>
  <c r="AA826" i="3"/>
  <c r="X766" i="3"/>
  <c r="H766" i="3"/>
  <c r="I766" i="3"/>
  <c r="AA762" i="3"/>
  <c r="AB761" i="3"/>
  <c r="X702" i="3"/>
  <c r="H702" i="3"/>
  <c r="I702" i="3"/>
  <c r="AB697" i="3"/>
  <c r="AA698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B708" i="3"/>
  <c r="AA709" i="3"/>
  <c r="X614" i="3"/>
  <c r="I614" i="3"/>
  <c r="H614" i="3"/>
  <c r="AA565" i="3"/>
  <c r="AB564" i="3"/>
  <c r="X863" i="3"/>
  <c r="H863" i="3"/>
  <c r="I863" i="3"/>
  <c r="AB858" i="3"/>
  <c r="AA859" i="3"/>
  <c r="X799" i="3"/>
  <c r="H799" i="3"/>
  <c r="I799" i="3"/>
  <c r="AB794" i="3"/>
  <c r="AA795" i="3"/>
  <c r="X735" i="3"/>
  <c r="H735" i="3"/>
  <c r="I735" i="3"/>
  <c r="AB730" i="3"/>
  <c r="AA731" i="3"/>
  <c r="X626" i="3"/>
  <c r="I626" i="3"/>
  <c r="H626" i="3"/>
  <c r="X866" i="3"/>
  <c r="H866" i="3"/>
  <c r="I866" i="3"/>
  <c r="AB861" i="3"/>
  <c r="AA862" i="3"/>
  <c r="X802" i="3"/>
  <c r="I802" i="3"/>
  <c r="H802" i="3"/>
  <c r="AA798" i="3"/>
  <c r="AB797" i="3"/>
  <c r="X738" i="3"/>
  <c r="I738" i="3"/>
  <c r="H738" i="3"/>
  <c r="AB733" i="3"/>
  <c r="AA734" i="3"/>
  <c r="X638" i="3"/>
  <c r="I638" i="3"/>
  <c r="H638" i="3"/>
  <c r="AB864" i="3"/>
  <c r="AA865" i="3"/>
  <c r="X805" i="3"/>
  <c r="H805" i="3"/>
  <c r="I805" i="3"/>
  <c r="AB800" i="3"/>
  <c r="AC800" i="3" s="1"/>
  <c r="AA801" i="3"/>
  <c r="X741" i="3"/>
  <c r="H741" i="3"/>
  <c r="I741" i="3"/>
  <c r="AB736" i="3"/>
  <c r="AA737" i="3"/>
  <c r="X650" i="3"/>
  <c r="I650" i="3"/>
  <c r="H650" i="3"/>
  <c r="X630" i="3"/>
  <c r="H630" i="3"/>
  <c r="I630" i="3"/>
  <c r="X657" i="3"/>
  <c r="H657" i="3"/>
  <c r="I657" i="3"/>
  <c r="AB652" i="3"/>
  <c r="AA653" i="3"/>
  <c r="AC653" i="3" s="1"/>
  <c r="AA688" i="3"/>
  <c r="AB687" i="3"/>
  <c r="X628" i="3"/>
  <c r="I628" i="3"/>
  <c r="H628" i="3"/>
  <c r="AB623" i="3"/>
  <c r="AA624" i="3"/>
  <c r="X561" i="3"/>
  <c r="H561" i="3"/>
  <c r="I561" i="3"/>
  <c r="AB375" i="3"/>
  <c r="AC375" i="3" s="1"/>
  <c r="AA376" i="3"/>
  <c r="X679" i="3"/>
  <c r="H679" i="3"/>
  <c r="I679" i="3"/>
  <c r="AA675" i="3"/>
  <c r="AB674" i="3"/>
  <c r="X615" i="3"/>
  <c r="I615" i="3"/>
  <c r="H615" i="3"/>
  <c r="AA611" i="3"/>
  <c r="AB610" i="3"/>
  <c r="AB568" i="3"/>
  <c r="AA569" i="3"/>
  <c r="X645" i="3"/>
  <c r="H645" i="3"/>
  <c r="I645" i="3"/>
  <c r="AB640" i="3"/>
  <c r="AA641" i="3"/>
  <c r="X656" i="3"/>
  <c r="I656" i="3"/>
  <c r="H656" i="3"/>
  <c r="AB651" i="3"/>
  <c r="AA652" i="3"/>
  <c r="AB686" i="3"/>
  <c r="AA687" i="3"/>
  <c r="X627" i="3"/>
  <c r="I627" i="3"/>
  <c r="H627" i="3"/>
  <c r="AB622" i="3"/>
  <c r="AA623" i="3"/>
  <c r="X557" i="3"/>
  <c r="I557" i="3"/>
  <c r="H557" i="3"/>
  <c r="X564" i="3"/>
  <c r="I564" i="3"/>
  <c r="H564" i="3"/>
  <c r="AA560" i="3"/>
  <c r="AB559" i="3"/>
  <c r="AB423" i="3"/>
  <c r="AA424" i="3"/>
  <c r="X599" i="3"/>
  <c r="I599" i="3"/>
  <c r="H599" i="3"/>
  <c r="AA595" i="3"/>
  <c r="AB594" i="3"/>
  <c r="X535" i="3"/>
  <c r="H535" i="3"/>
  <c r="I535" i="3"/>
  <c r="AB530" i="3"/>
  <c r="AA531" i="3"/>
  <c r="X485" i="3"/>
  <c r="H485" i="3"/>
  <c r="I485" i="3"/>
  <c r="X570" i="3"/>
  <c r="H570" i="3"/>
  <c r="I570" i="3"/>
  <c r="AB565" i="3"/>
  <c r="AC565" i="3" s="1"/>
  <c r="AA566" i="3"/>
  <c r="I332" i="3"/>
  <c r="H332" i="3"/>
  <c r="X332" i="3"/>
  <c r="X576" i="3"/>
  <c r="I576" i="3"/>
  <c r="H576" i="3"/>
  <c r="AB571" i="3"/>
  <c r="AC571" i="3" s="1"/>
  <c r="AA572" i="3"/>
  <c r="AA453" i="3"/>
  <c r="AB452" i="3"/>
  <c r="X563" i="3"/>
  <c r="I563" i="3"/>
  <c r="H563" i="3"/>
  <c r="AA559" i="3"/>
  <c r="AB558" i="3"/>
  <c r="AB407" i="3"/>
  <c r="AA408" i="3"/>
  <c r="X574" i="3"/>
  <c r="I574" i="3"/>
  <c r="H574" i="3"/>
  <c r="AA570" i="3"/>
  <c r="AB569" i="3"/>
  <c r="X521" i="3"/>
  <c r="H521" i="3"/>
  <c r="I521" i="3"/>
  <c r="X480" i="3"/>
  <c r="I480" i="3"/>
  <c r="H480" i="3"/>
  <c r="AB475" i="3"/>
  <c r="AA476" i="3"/>
  <c r="X392" i="3"/>
  <c r="H392" i="3"/>
  <c r="I392" i="3"/>
  <c r="H491" i="3"/>
  <c r="I491" i="3"/>
  <c r="X491" i="3"/>
  <c r="AB486" i="3"/>
  <c r="AA487" i="3"/>
  <c r="X436" i="3"/>
  <c r="I436" i="3"/>
  <c r="H436" i="3"/>
  <c r="X502" i="3"/>
  <c r="I502" i="3"/>
  <c r="H502" i="3"/>
  <c r="AA498" i="3"/>
  <c r="AB497" i="3"/>
  <c r="X508" i="3"/>
  <c r="I508" i="3"/>
  <c r="H508" i="3"/>
  <c r="AA504" i="3"/>
  <c r="AB503" i="3"/>
  <c r="AC503" i="3" s="1"/>
  <c r="X519" i="3"/>
  <c r="I519" i="3"/>
  <c r="H519" i="3"/>
  <c r="AA515" i="3"/>
  <c r="AB514" i="3"/>
  <c r="AC514" i="3" s="1"/>
  <c r="H455" i="3"/>
  <c r="I455" i="3"/>
  <c r="X455" i="3"/>
  <c r="AB525" i="3"/>
  <c r="AA526" i="3"/>
  <c r="I466" i="3"/>
  <c r="H466" i="3"/>
  <c r="X466" i="3"/>
  <c r="AA462" i="3"/>
  <c r="AB461" i="3"/>
  <c r="AB395" i="3"/>
  <c r="AA396" i="3"/>
  <c r="X399" i="3"/>
  <c r="H399" i="3"/>
  <c r="I399" i="3"/>
  <c r="AB394" i="3"/>
  <c r="AA395" i="3"/>
  <c r="H344" i="3"/>
  <c r="X344" i="3"/>
  <c r="I344" i="3"/>
  <c r="X410" i="3"/>
  <c r="H410" i="3"/>
  <c r="I410" i="3"/>
  <c r="AB405" i="3"/>
  <c r="AA406" i="3"/>
  <c r="AA280" i="3"/>
  <c r="AB279" i="3"/>
  <c r="H421" i="3"/>
  <c r="I421" i="3"/>
  <c r="X421" i="3"/>
  <c r="AB416" i="3"/>
  <c r="AA417" i="3"/>
  <c r="H427" i="3"/>
  <c r="I427" i="3"/>
  <c r="X427" i="3"/>
  <c r="AB422" i="3"/>
  <c r="AA423" i="3"/>
  <c r="X236" i="3"/>
  <c r="H236" i="3"/>
  <c r="I236" i="3"/>
  <c r="X438" i="3"/>
  <c r="H438" i="3"/>
  <c r="I438" i="3"/>
  <c r="AB433" i="3"/>
  <c r="AA434" i="3"/>
  <c r="I374" i="3"/>
  <c r="H374" i="3"/>
  <c r="X374" i="3"/>
  <c r="AA304" i="3"/>
  <c r="AB303" i="3"/>
  <c r="H425" i="3"/>
  <c r="X425" i="3"/>
  <c r="I425" i="3"/>
  <c r="AB420" i="3"/>
  <c r="AA421" i="3"/>
  <c r="I192" i="3"/>
  <c r="X192" i="3"/>
  <c r="H192" i="3"/>
  <c r="H311" i="3"/>
  <c r="I311" i="3"/>
  <c r="X311" i="3"/>
  <c r="AA307" i="3"/>
  <c r="AB306" i="3"/>
  <c r="AB227" i="3"/>
  <c r="AA228" i="3"/>
  <c r="H322" i="3"/>
  <c r="X322" i="3"/>
  <c r="I322" i="3"/>
  <c r="AA318" i="3"/>
  <c r="AB317" i="3"/>
  <c r="AB271" i="3"/>
  <c r="AA272" i="3"/>
  <c r="H212" i="3"/>
  <c r="X212" i="3"/>
  <c r="I212" i="3"/>
  <c r="AA369" i="3"/>
  <c r="AB368" i="3"/>
  <c r="H309" i="3"/>
  <c r="X309" i="3"/>
  <c r="I309" i="3"/>
  <c r="AA305" i="3"/>
  <c r="AB304" i="3"/>
  <c r="AA220" i="3"/>
  <c r="AB219" i="3"/>
  <c r="I315" i="3"/>
  <c r="H315" i="3"/>
  <c r="X315" i="3"/>
  <c r="AA311" i="3"/>
  <c r="AB310" i="3"/>
  <c r="AB243" i="3"/>
  <c r="AA244" i="3"/>
  <c r="H326" i="3"/>
  <c r="I326" i="3"/>
  <c r="X326" i="3"/>
  <c r="AB321" i="3"/>
  <c r="AA322" i="3"/>
  <c r="H296" i="3"/>
  <c r="I296" i="3"/>
  <c r="X296" i="3"/>
  <c r="I228" i="3"/>
  <c r="X228" i="3"/>
  <c r="H228" i="3"/>
  <c r="AB372" i="3"/>
  <c r="AC372" i="3" s="1"/>
  <c r="AA373" i="3"/>
  <c r="H313" i="3"/>
  <c r="X313" i="3"/>
  <c r="I313" i="3"/>
  <c r="AB308" i="3"/>
  <c r="AA309" i="3"/>
  <c r="AB290" i="3"/>
  <c r="AA291" i="3"/>
  <c r="AA236" i="3"/>
  <c r="AB235" i="3"/>
  <c r="H152" i="3"/>
  <c r="I152" i="3"/>
  <c r="X152" i="3"/>
  <c r="AB282" i="3"/>
  <c r="AA283" i="3"/>
  <c r="X223" i="3"/>
  <c r="H223" i="3"/>
  <c r="I223" i="3"/>
  <c r="AA219" i="3"/>
  <c r="AB218" i="3"/>
  <c r="I250" i="3"/>
  <c r="X250" i="3"/>
  <c r="H250" i="3"/>
  <c r="AB245" i="3"/>
  <c r="AA246" i="3"/>
  <c r="AA180" i="3"/>
  <c r="AB179" i="3"/>
  <c r="X269" i="3"/>
  <c r="H269" i="3"/>
  <c r="I269" i="3"/>
  <c r="AB264" i="3"/>
  <c r="AA265" i="3"/>
  <c r="I196" i="3"/>
  <c r="H196" i="3"/>
  <c r="X196" i="3"/>
  <c r="H275" i="3"/>
  <c r="I275" i="3"/>
  <c r="X275" i="3"/>
  <c r="AA271" i="3"/>
  <c r="AB270" i="3"/>
  <c r="H286" i="3"/>
  <c r="X286" i="3"/>
  <c r="I286" i="3"/>
  <c r="AA282" i="3"/>
  <c r="AB281" i="3"/>
  <c r="H222" i="3"/>
  <c r="X222" i="3"/>
  <c r="I222" i="3"/>
  <c r="AA218" i="3"/>
  <c r="AB217" i="3"/>
  <c r="H297" i="3"/>
  <c r="X297" i="3"/>
  <c r="I297" i="3"/>
  <c r="AA293" i="3"/>
  <c r="AB292" i="3"/>
  <c r="I233" i="3"/>
  <c r="X233" i="3"/>
  <c r="H233" i="3"/>
  <c r="AA229" i="3"/>
  <c r="AB228" i="3"/>
  <c r="I166" i="3"/>
  <c r="X166" i="3"/>
  <c r="H166" i="3"/>
  <c r="X169" i="3"/>
  <c r="H169" i="3"/>
  <c r="I169" i="3"/>
  <c r="AB163" i="3"/>
  <c r="AA164" i="3"/>
  <c r="X199" i="3"/>
  <c r="H199" i="3"/>
  <c r="I199" i="3"/>
  <c r="AA195" i="3"/>
  <c r="AB194" i="3"/>
  <c r="H164" i="3"/>
  <c r="X164" i="3"/>
  <c r="I164" i="3"/>
  <c r="I155" i="3"/>
  <c r="X155" i="3"/>
  <c r="H155" i="3"/>
  <c r="AB106" i="3"/>
  <c r="AA107" i="3"/>
  <c r="H170" i="3"/>
  <c r="I170" i="3"/>
  <c r="X170" i="3"/>
  <c r="AB156" i="3"/>
  <c r="AA157" i="3"/>
  <c r="X112" i="3"/>
  <c r="H112" i="3"/>
  <c r="I112" i="3"/>
  <c r="H205" i="3"/>
  <c r="X205" i="3"/>
  <c r="I205" i="3"/>
  <c r="AB200" i="3"/>
  <c r="AA201" i="3"/>
  <c r="H140" i="3"/>
  <c r="I140" i="3"/>
  <c r="X140" i="3"/>
  <c r="H119" i="3"/>
  <c r="I119" i="3"/>
  <c r="X119" i="3"/>
  <c r="H129" i="3"/>
  <c r="X129" i="3"/>
  <c r="I129" i="3"/>
  <c r="I114" i="3"/>
  <c r="H114" i="3"/>
  <c r="X114" i="3"/>
  <c r="I99" i="3"/>
  <c r="X99" i="3"/>
  <c r="H99" i="3"/>
  <c r="AB162" i="3"/>
  <c r="AA163" i="3"/>
  <c r="I165" i="3"/>
  <c r="X165" i="3"/>
  <c r="H165" i="3"/>
  <c r="AA161" i="3"/>
  <c r="AB160" i="3"/>
  <c r="AB117" i="3"/>
  <c r="AA118" i="3"/>
  <c r="I93" i="3"/>
  <c r="X93" i="3"/>
  <c r="H93" i="3"/>
  <c r="AB53" i="3"/>
  <c r="AA54" i="3"/>
  <c r="I104" i="3"/>
  <c r="X104" i="3"/>
  <c r="H104" i="3"/>
  <c r="AB99" i="3"/>
  <c r="AC99" i="3" s="1"/>
  <c r="AA100" i="3"/>
  <c r="I102" i="3"/>
  <c r="X102" i="3"/>
  <c r="H102" i="3"/>
  <c r="AB97" i="3"/>
  <c r="AA98" i="3"/>
  <c r="AA75" i="3"/>
  <c r="AB74" i="3"/>
  <c r="AB60" i="3"/>
  <c r="AA61" i="3"/>
  <c r="AB59" i="3"/>
  <c r="AA60" i="3"/>
  <c r="AB55" i="3"/>
  <c r="AC55" i="3" s="1"/>
  <c r="AA56" i="3"/>
  <c r="AB61" i="3"/>
  <c r="AA62" i="3"/>
  <c r="X20" i="3"/>
  <c r="H20" i="3"/>
  <c r="I20" i="3"/>
  <c r="H43" i="3"/>
  <c r="I43" i="3"/>
  <c r="X43" i="3"/>
  <c r="AB38" i="3"/>
  <c r="AA39" i="3"/>
  <c r="H46" i="3"/>
  <c r="X46" i="3"/>
  <c r="I46" i="3"/>
  <c r="AB41" i="3"/>
  <c r="AA42" i="3"/>
  <c r="X39" i="3"/>
  <c r="H39" i="3"/>
  <c r="I39" i="3"/>
  <c r="AB34" i="3"/>
  <c r="AC34" i="3" s="1"/>
  <c r="AA35" i="3"/>
  <c r="X37" i="3"/>
  <c r="H37" i="3"/>
  <c r="I37" i="3"/>
  <c r="AB32" i="3"/>
  <c r="AA33" i="3"/>
  <c r="X928" i="3"/>
  <c r="I928" i="3"/>
  <c r="H928" i="3"/>
  <c r="AB998" i="3"/>
  <c r="AA999" i="3"/>
  <c r="X939" i="3"/>
  <c r="I939" i="3"/>
  <c r="H939" i="3"/>
  <c r="AB985" i="3"/>
  <c r="AA986" i="3"/>
  <c r="AA922" i="3"/>
  <c r="AB921" i="3"/>
  <c r="AB988" i="3"/>
  <c r="AA989" i="3"/>
  <c r="AB924" i="3"/>
  <c r="AA925" i="3"/>
  <c r="AA836" i="3"/>
  <c r="AB835" i="3"/>
  <c r="X776" i="3"/>
  <c r="H776" i="3"/>
  <c r="I776" i="3"/>
  <c r="AB986" i="3"/>
  <c r="AA987" i="3"/>
  <c r="X927" i="3"/>
  <c r="H927" i="3"/>
  <c r="I927" i="3"/>
  <c r="X742" i="3"/>
  <c r="I742" i="3"/>
  <c r="H742" i="3"/>
  <c r="X923" i="3"/>
  <c r="H923" i="3"/>
  <c r="I923" i="3"/>
  <c r="AA812" i="3"/>
  <c r="AB811" i="3"/>
  <c r="AB969" i="3"/>
  <c r="AA970" i="3"/>
  <c r="AA906" i="3"/>
  <c r="AB905" i="3"/>
  <c r="AB759" i="3"/>
  <c r="AA760" i="3"/>
  <c r="X700" i="3"/>
  <c r="I700" i="3"/>
  <c r="H700" i="3"/>
  <c r="X912" i="3"/>
  <c r="I912" i="3"/>
  <c r="H912" i="3"/>
  <c r="X977" i="3"/>
  <c r="I977" i="3"/>
  <c r="H977" i="3"/>
  <c r="AB972" i="3"/>
  <c r="AA973" i="3"/>
  <c r="X913" i="3"/>
  <c r="H913" i="3"/>
  <c r="I913" i="3"/>
  <c r="AB908" i="3"/>
  <c r="AA909" i="3"/>
  <c r="X712" i="3"/>
  <c r="H712" i="3"/>
  <c r="I712" i="3"/>
  <c r="X820" i="3"/>
  <c r="H820" i="3"/>
  <c r="I820" i="3"/>
  <c r="X924" i="3"/>
  <c r="I924" i="3"/>
  <c r="H924" i="3"/>
  <c r="X975" i="3"/>
  <c r="H975" i="3"/>
  <c r="I975" i="3"/>
  <c r="AB970" i="3"/>
  <c r="AA971" i="3"/>
  <c r="X911" i="3"/>
  <c r="I911" i="3"/>
  <c r="H911" i="3"/>
  <c r="AA907" i="3"/>
  <c r="AB906" i="3"/>
  <c r="AB763" i="3"/>
  <c r="AA764" i="3"/>
  <c r="X704" i="3"/>
  <c r="I704" i="3"/>
  <c r="H704" i="3"/>
  <c r="X916" i="3"/>
  <c r="H916" i="3"/>
  <c r="I916" i="3"/>
  <c r="AA880" i="3"/>
  <c r="AB879" i="3"/>
  <c r="X962" i="3"/>
  <c r="I962" i="3"/>
  <c r="H962" i="3"/>
  <c r="AB957" i="3"/>
  <c r="AA958" i="3"/>
  <c r="X898" i="3"/>
  <c r="I898" i="3"/>
  <c r="H898" i="3"/>
  <c r="AA894" i="3"/>
  <c r="AB893" i="3"/>
  <c r="AA869" i="3"/>
  <c r="AB868" i="3"/>
  <c r="AA712" i="3"/>
  <c r="AB711" i="3"/>
  <c r="X949" i="3"/>
  <c r="I949" i="3"/>
  <c r="H949" i="3"/>
  <c r="AA945" i="3"/>
  <c r="AB944" i="3"/>
  <c r="X885" i="3"/>
  <c r="I885" i="3"/>
  <c r="H885" i="3"/>
  <c r="AA881" i="3"/>
  <c r="AB880" i="3"/>
  <c r="X856" i="3"/>
  <c r="H856" i="3"/>
  <c r="I856" i="3"/>
  <c r="AA658" i="3"/>
  <c r="AB657" i="3"/>
  <c r="AC657" i="3" s="1"/>
  <c r="AB831" i="3"/>
  <c r="AA832" i="3"/>
  <c r="X708" i="3"/>
  <c r="I708" i="3"/>
  <c r="H708" i="3"/>
  <c r="X851" i="3"/>
  <c r="I851" i="3"/>
  <c r="H851" i="3"/>
  <c r="AB846" i="3"/>
  <c r="AA847" i="3"/>
  <c r="X787" i="3"/>
  <c r="H787" i="3"/>
  <c r="I787" i="3"/>
  <c r="AA783" i="3"/>
  <c r="AB782" i="3"/>
  <c r="X723" i="3"/>
  <c r="H723" i="3"/>
  <c r="I723" i="3"/>
  <c r="AB718" i="3"/>
  <c r="AA719" i="3"/>
  <c r="AB637" i="3"/>
  <c r="AA638" i="3"/>
  <c r="X854" i="3"/>
  <c r="I854" i="3"/>
  <c r="H854" i="3"/>
  <c r="AB849" i="3"/>
  <c r="AA850" i="3"/>
  <c r="X790" i="3"/>
  <c r="I790" i="3"/>
  <c r="H790" i="3"/>
  <c r="AB785" i="3"/>
  <c r="AA786" i="3"/>
  <c r="X726" i="3"/>
  <c r="I726" i="3"/>
  <c r="H726" i="3"/>
  <c r="AA722" i="3"/>
  <c r="AB721" i="3"/>
  <c r="AA650" i="3"/>
  <c r="AB649" i="3"/>
  <c r="X865" i="3"/>
  <c r="I865" i="3"/>
  <c r="H865" i="3"/>
  <c r="AA861" i="3"/>
  <c r="AB860" i="3"/>
  <c r="X801" i="3"/>
  <c r="H801" i="3"/>
  <c r="I801" i="3"/>
  <c r="AB796" i="3"/>
  <c r="AA797" i="3"/>
  <c r="X737" i="3"/>
  <c r="H737" i="3"/>
  <c r="I737" i="3"/>
  <c r="AA733" i="3"/>
  <c r="AB732" i="3"/>
  <c r="X634" i="3"/>
  <c r="H634" i="3"/>
  <c r="I634" i="3"/>
  <c r="X823" i="3"/>
  <c r="H823" i="3"/>
  <c r="I823" i="3"/>
  <c r="AA819" i="3"/>
  <c r="AB818" i="3"/>
  <c r="X759" i="3"/>
  <c r="I759" i="3"/>
  <c r="H759" i="3"/>
  <c r="AB754" i="3"/>
  <c r="AA755" i="3"/>
  <c r="X695" i="3"/>
  <c r="I695" i="3"/>
  <c r="H695" i="3"/>
  <c r="AA691" i="3"/>
  <c r="AB690" i="3"/>
  <c r="X826" i="3"/>
  <c r="I826" i="3"/>
  <c r="H826" i="3"/>
  <c r="AA822" i="3"/>
  <c r="AB821" i="3"/>
  <c r="X762" i="3"/>
  <c r="H762" i="3"/>
  <c r="I762" i="3"/>
  <c r="AA758" i="3"/>
  <c r="AB757" i="3"/>
  <c r="X698" i="3"/>
  <c r="H698" i="3"/>
  <c r="I698" i="3"/>
  <c r="AA694" i="3"/>
  <c r="AB693" i="3"/>
  <c r="X829" i="3"/>
  <c r="H829" i="3"/>
  <c r="I829" i="3"/>
  <c r="AB824" i="3"/>
  <c r="AA825" i="3"/>
  <c r="X765" i="3"/>
  <c r="H765" i="3"/>
  <c r="I765" i="3"/>
  <c r="AA761" i="3"/>
  <c r="AB760" i="3"/>
  <c r="X701" i="3"/>
  <c r="H701" i="3"/>
  <c r="I701" i="3"/>
  <c r="AA697" i="3"/>
  <c r="AB696" i="3"/>
  <c r="X681" i="3"/>
  <c r="H681" i="3"/>
  <c r="I681" i="3"/>
  <c r="AB676" i="3"/>
  <c r="AA677" i="3"/>
  <c r="X617" i="3"/>
  <c r="H617" i="3"/>
  <c r="I617" i="3"/>
  <c r="AB612" i="3"/>
  <c r="AA613" i="3"/>
  <c r="AA577" i="3"/>
  <c r="AB576" i="3"/>
  <c r="X652" i="3"/>
  <c r="H652" i="3"/>
  <c r="I652" i="3"/>
  <c r="AB647" i="3"/>
  <c r="AA648" i="3"/>
  <c r="X639" i="3"/>
  <c r="I639" i="3"/>
  <c r="H639" i="3"/>
  <c r="AB634" i="3"/>
  <c r="AA635" i="3"/>
  <c r="X669" i="3"/>
  <c r="H669" i="3"/>
  <c r="I669" i="3"/>
  <c r="AB664" i="3"/>
  <c r="AA665" i="3"/>
  <c r="X605" i="3"/>
  <c r="H605" i="3"/>
  <c r="I605" i="3"/>
  <c r="X680" i="3"/>
  <c r="I680" i="3"/>
  <c r="H680" i="3"/>
  <c r="AB675" i="3"/>
  <c r="AA676" i="3"/>
  <c r="X616" i="3"/>
  <c r="I616" i="3"/>
  <c r="H616" i="3"/>
  <c r="AB611" i="3"/>
  <c r="AA612" i="3"/>
  <c r="AB572" i="3"/>
  <c r="AA573" i="3"/>
  <c r="X651" i="3"/>
  <c r="I651" i="3"/>
  <c r="H651" i="3"/>
  <c r="AB646" i="3"/>
  <c r="AA647" i="3"/>
  <c r="X588" i="3"/>
  <c r="I588" i="3"/>
  <c r="H588" i="3"/>
  <c r="AB583" i="3"/>
  <c r="AA584" i="3"/>
  <c r="AA501" i="3"/>
  <c r="AB500" i="3"/>
  <c r="X559" i="3"/>
  <c r="H559" i="3"/>
  <c r="I559" i="3"/>
  <c r="AA555" i="3"/>
  <c r="AB554" i="3"/>
  <c r="X594" i="3"/>
  <c r="H594" i="3"/>
  <c r="I594" i="3"/>
  <c r="AB589" i="3"/>
  <c r="AA590" i="3"/>
  <c r="X530" i="3"/>
  <c r="H530" i="3"/>
  <c r="I530" i="3"/>
  <c r="H465" i="3"/>
  <c r="X465" i="3"/>
  <c r="I465" i="3"/>
  <c r="X600" i="3"/>
  <c r="H600" i="3"/>
  <c r="I600" i="3"/>
  <c r="AB595" i="3"/>
  <c r="AA596" i="3"/>
  <c r="X536" i="3"/>
  <c r="H536" i="3"/>
  <c r="I536" i="3"/>
  <c r="AB531" i="3"/>
  <c r="AA532" i="3"/>
  <c r="X489" i="3"/>
  <c r="I489" i="3"/>
  <c r="H489" i="3"/>
  <c r="X587" i="3"/>
  <c r="H587" i="3"/>
  <c r="I587" i="3"/>
  <c r="AB582" i="3"/>
  <c r="AA583" i="3"/>
  <c r="AB496" i="3"/>
  <c r="AA497" i="3"/>
  <c r="X598" i="3"/>
  <c r="I598" i="3"/>
  <c r="H598" i="3"/>
  <c r="AA594" i="3"/>
  <c r="AB593" i="3"/>
  <c r="X534" i="3"/>
  <c r="I534" i="3"/>
  <c r="H534" i="3"/>
  <c r="AA530" i="3"/>
  <c r="AB529" i="3"/>
  <c r="X481" i="3"/>
  <c r="I481" i="3"/>
  <c r="H481" i="3"/>
  <c r="X504" i="3"/>
  <c r="H504" i="3"/>
  <c r="I504" i="3"/>
  <c r="AA500" i="3"/>
  <c r="AB499" i="3"/>
  <c r="X515" i="3"/>
  <c r="H515" i="3"/>
  <c r="I515" i="3"/>
  <c r="AA511" i="3"/>
  <c r="AB510" i="3"/>
  <c r="I451" i="3"/>
  <c r="H451" i="3"/>
  <c r="X451" i="3"/>
  <c r="H462" i="3"/>
  <c r="I462" i="3"/>
  <c r="X462" i="3"/>
  <c r="AB457" i="3"/>
  <c r="AA458" i="3"/>
  <c r="AB379" i="3"/>
  <c r="AA380" i="3"/>
  <c r="AA528" i="3"/>
  <c r="AB527" i="3"/>
  <c r="I468" i="3"/>
  <c r="X468" i="3"/>
  <c r="H468" i="3"/>
  <c r="AB463" i="3"/>
  <c r="AA464" i="3"/>
  <c r="AA404" i="3"/>
  <c r="AB403" i="3"/>
  <c r="X479" i="3"/>
  <c r="H479" i="3"/>
  <c r="I479" i="3"/>
  <c r="AB474" i="3"/>
  <c r="AA475" i="3"/>
  <c r="AA448" i="3"/>
  <c r="AB447" i="3"/>
  <c r="X388" i="3"/>
  <c r="H388" i="3"/>
  <c r="I388" i="3"/>
  <c r="AB359" i="3"/>
  <c r="AA360" i="3"/>
  <c r="X490" i="3"/>
  <c r="I490" i="3"/>
  <c r="H490" i="3"/>
  <c r="AB485" i="3"/>
  <c r="AA486" i="3"/>
  <c r="I432" i="3"/>
  <c r="H432" i="3"/>
  <c r="X432" i="3"/>
  <c r="H423" i="3"/>
  <c r="I423" i="3"/>
  <c r="X423" i="3"/>
  <c r="AA419" i="3"/>
  <c r="AB418" i="3"/>
  <c r="I434" i="3"/>
  <c r="X434" i="3"/>
  <c r="H434" i="3"/>
  <c r="AA430" i="3"/>
  <c r="AB429" i="3"/>
  <c r="X445" i="3"/>
  <c r="I445" i="3"/>
  <c r="H445" i="3"/>
  <c r="AA441" i="3"/>
  <c r="AB440" i="3"/>
  <c r="H381" i="3"/>
  <c r="I381" i="3"/>
  <c r="X381" i="3"/>
  <c r="AB376" i="3"/>
  <c r="AA377" i="3"/>
  <c r="AB331" i="3"/>
  <c r="AA332" i="3"/>
  <c r="AB446" i="3"/>
  <c r="AA447" i="3"/>
  <c r="H387" i="3"/>
  <c r="X387" i="3"/>
  <c r="I387" i="3"/>
  <c r="AA383" i="3"/>
  <c r="AB382" i="3"/>
  <c r="AA356" i="3"/>
  <c r="AB355" i="3"/>
  <c r="AA296" i="3"/>
  <c r="AB295" i="3"/>
  <c r="H398" i="3"/>
  <c r="I398" i="3"/>
  <c r="X398" i="3"/>
  <c r="AB393" i="3"/>
  <c r="AA394" i="3"/>
  <c r="H340" i="3"/>
  <c r="I340" i="3"/>
  <c r="X340" i="3"/>
  <c r="H449" i="3"/>
  <c r="X449" i="3"/>
  <c r="I449" i="3"/>
  <c r="AA445" i="3"/>
  <c r="AB444" i="3"/>
  <c r="H385" i="3"/>
  <c r="I385" i="3"/>
  <c r="X385" i="3"/>
  <c r="AB380" i="3"/>
  <c r="AA381" i="3"/>
  <c r="AA348" i="3"/>
  <c r="AB347" i="3"/>
  <c r="I335" i="3"/>
  <c r="H335" i="3"/>
  <c r="X335" i="3"/>
  <c r="AB330" i="3"/>
  <c r="AA331" i="3"/>
  <c r="X264" i="3"/>
  <c r="I264" i="3"/>
  <c r="H264" i="3"/>
  <c r="X346" i="3"/>
  <c r="I346" i="3"/>
  <c r="H346" i="3"/>
  <c r="AA342" i="3"/>
  <c r="AB341" i="3"/>
  <c r="AA288" i="3"/>
  <c r="AB287" i="3"/>
  <c r="H333" i="3"/>
  <c r="X333" i="3"/>
  <c r="I333" i="3"/>
  <c r="AA329" i="3"/>
  <c r="AB328" i="3"/>
  <c r="H256" i="3"/>
  <c r="X256" i="3"/>
  <c r="I256" i="3"/>
  <c r="H339" i="3"/>
  <c r="X339" i="3"/>
  <c r="I339" i="3"/>
  <c r="AB334" i="3"/>
  <c r="AA335" i="3"/>
  <c r="I280" i="3"/>
  <c r="X280" i="3"/>
  <c r="H280" i="3"/>
  <c r="H350" i="3"/>
  <c r="I350" i="3"/>
  <c r="X350" i="3"/>
  <c r="AA346" i="3"/>
  <c r="AB345" i="3"/>
  <c r="X337" i="3"/>
  <c r="H337" i="3"/>
  <c r="I337" i="3"/>
  <c r="AB332" i="3"/>
  <c r="AA333" i="3"/>
  <c r="X272" i="3"/>
  <c r="H272" i="3"/>
  <c r="I272" i="3"/>
  <c r="H247" i="3"/>
  <c r="I247" i="3"/>
  <c r="X247" i="3"/>
  <c r="AA243" i="3"/>
  <c r="AB242" i="3"/>
  <c r="AB167" i="3"/>
  <c r="AA168" i="3"/>
  <c r="I274" i="3"/>
  <c r="H274" i="3"/>
  <c r="X274" i="3"/>
  <c r="AA270" i="3"/>
  <c r="AB269" i="3"/>
  <c r="X208" i="3"/>
  <c r="H208" i="3"/>
  <c r="I208" i="3"/>
  <c r="H229" i="3"/>
  <c r="I229" i="3"/>
  <c r="X229" i="3"/>
  <c r="AB224" i="3"/>
  <c r="AA225" i="3"/>
  <c r="AA295" i="3"/>
  <c r="AB294" i="3"/>
  <c r="X235" i="3"/>
  <c r="H235" i="3"/>
  <c r="I235" i="3"/>
  <c r="AB230" i="3"/>
  <c r="AA231" i="3"/>
  <c r="H246" i="3"/>
  <c r="I246" i="3"/>
  <c r="X246" i="3"/>
  <c r="AB241" i="3"/>
  <c r="AA242" i="3"/>
  <c r="AB211" i="3"/>
  <c r="AA212" i="3"/>
  <c r="X257" i="3"/>
  <c r="H257" i="3"/>
  <c r="I257" i="3"/>
  <c r="AA253" i="3"/>
  <c r="AB252" i="3"/>
  <c r="H171" i="3"/>
  <c r="I171" i="3"/>
  <c r="X171" i="3"/>
  <c r="AB166" i="3"/>
  <c r="AA167" i="3"/>
  <c r="AB158" i="3"/>
  <c r="AA159" i="3"/>
  <c r="X120" i="3"/>
  <c r="H120" i="3"/>
  <c r="I120" i="3"/>
  <c r="I190" i="3"/>
  <c r="H190" i="3"/>
  <c r="X190" i="3"/>
  <c r="AB185" i="3"/>
  <c r="AA186" i="3"/>
  <c r="AA140" i="3"/>
  <c r="AB139" i="3"/>
  <c r="I193" i="3"/>
  <c r="X193" i="3"/>
  <c r="H193" i="3"/>
  <c r="AB188" i="3"/>
  <c r="AA189" i="3"/>
  <c r="AA152" i="3"/>
  <c r="AB151" i="3"/>
  <c r="H194" i="3"/>
  <c r="X194" i="3"/>
  <c r="I194" i="3"/>
  <c r="AB189" i="3"/>
  <c r="AA190" i="3"/>
  <c r="H156" i="3"/>
  <c r="I156" i="3"/>
  <c r="X156" i="3"/>
  <c r="I126" i="3"/>
  <c r="X126" i="3"/>
  <c r="H126" i="3"/>
  <c r="I153" i="3"/>
  <c r="H153" i="3"/>
  <c r="X153" i="3"/>
  <c r="AB148" i="3"/>
  <c r="AA149" i="3"/>
  <c r="X42" i="3"/>
  <c r="H42" i="3"/>
  <c r="I42" i="3"/>
  <c r="H127" i="3"/>
  <c r="I127" i="3"/>
  <c r="X127" i="3"/>
  <c r="AA111" i="3"/>
  <c r="AB110" i="3"/>
  <c r="I91" i="3"/>
  <c r="X91" i="3"/>
  <c r="H91" i="3"/>
  <c r="I146" i="3"/>
  <c r="X146" i="3"/>
  <c r="H146" i="3"/>
  <c r="AB141" i="3"/>
  <c r="AA142" i="3"/>
  <c r="H98" i="3"/>
  <c r="X98" i="3"/>
  <c r="I98" i="3"/>
  <c r="AA94" i="3"/>
  <c r="AB93" i="3"/>
  <c r="AA89" i="3"/>
  <c r="AB88" i="3"/>
  <c r="H117" i="3"/>
  <c r="X117" i="3"/>
  <c r="I117" i="3"/>
  <c r="AB112" i="3"/>
  <c r="AA113" i="3"/>
  <c r="AA80" i="3"/>
  <c r="AB79" i="3"/>
  <c r="AB121" i="3"/>
  <c r="AA122" i="3"/>
  <c r="I85" i="3"/>
  <c r="X85" i="3"/>
  <c r="H85" i="3"/>
  <c r="I105" i="3"/>
  <c r="H105" i="3"/>
  <c r="X105" i="3"/>
  <c r="AB100" i="3"/>
  <c r="AA101" i="3"/>
  <c r="X108" i="3"/>
  <c r="I108" i="3"/>
  <c r="H108" i="3"/>
  <c r="AA104" i="3"/>
  <c r="AB103" i="3"/>
  <c r="I48" i="3"/>
  <c r="X48" i="3"/>
  <c r="H48" i="3"/>
  <c r="X44" i="3"/>
  <c r="H44" i="3"/>
  <c r="I44" i="3"/>
  <c r="X50" i="3"/>
  <c r="H50" i="3"/>
  <c r="I50" i="3"/>
  <c r="H64" i="3"/>
  <c r="I64" i="3"/>
  <c r="X64" i="3"/>
  <c r="I56" i="3"/>
  <c r="H56" i="3"/>
  <c r="X56" i="3"/>
  <c r="I67" i="3"/>
  <c r="X67" i="3"/>
  <c r="H67" i="3"/>
  <c r="AA53" i="3"/>
  <c r="AB52" i="3"/>
  <c r="X70" i="3"/>
  <c r="H70" i="3"/>
  <c r="I70" i="3"/>
  <c r="AB65" i="3"/>
  <c r="AA66" i="3"/>
  <c r="AA63" i="3"/>
  <c r="AB62" i="3"/>
  <c r="AA59" i="3"/>
  <c r="AB58" i="3"/>
  <c r="AC58" i="3" s="1"/>
  <c r="X61" i="3"/>
  <c r="I61" i="3"/>
  <c r="H61" i="3"/>
  <c r="AA57" i="3"/>
  <c r="AB56" i="3"/>
  <c r="AC56" i="3" s="1"/>
  <c r="X875" i="3"/>
  <c r="H875" i="3"/>
  <c r="I875" i="3"/>
  <c r="X910" i="3"/>
  <c r="H910" i="3"/>
  <c r="I910" i="3"/>
  <c r="AB951" i="3"/>
  <c r="AA952" i="3"/>
  <c r="X960" i="3"/>
  <c r="I960" i="3"/>
  <c r="H960" i="3"/>
  <c r="X940" i="3"/>
  <c r="I940" i="3"/>
  <c r="H940" i="3"/>
  <c r="X947" i="3"/>
  <c r="I947" i="3"/>
  <c r="H947" i="3"/>
  <c r="X883" i="3"/>
  <c r="H883" i="3"/>
  <c r="I883" i="3"/>
  <c r="AA879" i="3"/>
  <c r="AB878" i="3"/>
  <c r="X848" i="3"/>
  <c r="H848" i="3"/>
  <c r="I848" i="3"/>
  <c r="X998" i="3"/>
  <c r="I998" i="3"/>
  <c r="H998" i="3"/>
  <c r="AA930" i="3"/>
  <c r="AB929" i="3"/>
  <c r="X870" i="3"/>
  <c r="I870" i="3"/>
  <c r="H870" i="3"/>
  <c r="AB855" i="3"/>
  <c r="AA856" i="3"/>
  <c r="X796" i="3"/>
  <c r="I796" i="3"/>
  <c r="H796" i="3"/>
  <c r="X920" i="3"/>
  <c r="H920" i="3"/>
  <c r="I920" i="3"/>
  <c r="X1001" i="3"/>
  <c r="I1001" i="3"/>
  <c r="H1001" i="3"/>
  <c r="AB996" i="3"/>
  <c r="AA997" i="3"/>
  <c r="X937" i="3"/>
  <c r="I937" i="3"/>
  <c r="H937" i="3"/>
  <c r="AB932" i="3"/>
  <c r="AA933" i="3"/>
  <c r="X873" i="3"/>
  <c r="I873" i="3"/>
  <c r="H873" i="3"/>
  <c r="AB867" i="3"/>
  <c r="AA868" i="3"/>
  <c r="X808" i="3"/>
  <c r="I808" i="3"/>
  <c r="H808" i="3"/>
  <c r="AB751" i="3"/>
  <c r="AA752" i="3"/>
  <c r="X692" i="3"/>
  <c r="I692" i="3"/>
  <c r="H692" i="3"/>
  <c r="X908" i="3"/>
  <c r="H908" i="3"/>
  <c r="I908" i="3"/>
  <c r="H999" i="3"/>
  <c r="X999" i="3"/>
  <c r="I999" i="3"/>
  <c r="AB994" i="3"/>
  <c r="AA995" i="3"/>
  <c r="X935" i="3"/>
  <c r="H935" i="3"/>
  <c r="I935" i="3"/>
  <c r="AB930" i="3"/>
  <c r="AA931" i="3"/>
  <c r="X871" i="3"/>
  <c r="I871" i="3"/>
  <c r="H871" i="3"/>
  <c r="AB859" i="3"/>
  <c r="AC859" i="3" s="1"/>
  <c r="AA860" i="3"/>
  <c r="X800" i="3"/>
  <c r="I800" i="3"/>
  <c r="H800" i="3"/>
  <c r="X900" i="3"/>
  <c r="I900" i="3"/>
  <c r="H900" i="3"/>
  <c r="X986" i="3"/>
  <c r="I986" i="3"/>
  <c r="H986" i="3"/>
  <c r="AB981" i="3"/>
  <c r="AA982" i="3"/>
  <c r="X922" i="3"/>
  <c r="H922" i="3"/>
  <c r="I922" i="3"/>
  <c r="AB917" i="3"/>
  <c r="AA918" i="3"/>
  <c r="AA808" i="3"/>
  <c r="AB807" i="3"/>
  <c r="X748" i="3"/>
  <c r="I748" i="3"/>
  <c r="H748" i="3"/>
  <c r="AB919" i="3"/>
  <c r="AA920" i="3"/>
  <c r="X973" i="3"/>
  <c r="H973" i="3"/>
  <c r="I973" i="3"/>
  <c r="AA969" i="3"/>
  <c r="AB968" i="3"/>
  <c r="X909" i="3"/>
  <c r="I909" i="3"/>
  <c r="H909" i="3"/>
  <c r="AB904" i="3"/>
  <c r="AA905" i="3"/>
  <c r="AA756" i="3"/>
  <c r="AB755" i="3"/>
  <c r="X696" i="3"/>
  <c r="H696" i="3"/>
  <c r="I696" i="3"/>
  <c r="AA892" i="3"/>
  <c r="AB891" i="3"/>
  <c r="X811" i="3"/>
  <c r="I811" i="3"/>
  <c r="H811" i="3"/>
  <c r="AA807" i="3"/>
  <c r="AB806" i="3"/>
  <c r="X747" i="3"/>
  <c r="H747" i="3"/>
  <c r="I747" i="3"/>
  <c r="AB742" i="3"/>
  <c r="AA743" i="3"/>
  <c r="X674" i="3"/>
  <c r="H674" i="3"/>
  <c r="I674" i="3"/>
  <c r="X814" i="3"/>
  <c r="H814" i="3"/>
  <c r="I814" i="3"/>
  <c r="AB809" i="3"/>
  <c r="AA810" i="3"/>
  <c r="X750" i="3"/>
  <c r="I750" i="3"/>
  <c r="H750" i="3"/>
  <c r="AA746" i="3"/>
  <c r="AB745" i="3"/>
  <c r="X537" i="3"/>
  <c r="H537" i="3"/>
  <c r="I537" i="3"/>
  <c r="X825" i="3"/>
  <c r="H825" i="3"/>
  <c r="I825" i="3"/>
  <c r="AA821" i="3"/>
  <c r="AB820" i="3"/>
  <c r="X761" i="3"/>
  <c r="H761" i="3"/>
  <c r="I761" i="3"/>
  <c r="AA757" i="3"/>
  <c r="AB756" i="3"/>
  <c r="X697" i="3"/>
  <c r="H697" i="3"/>
  <c r="I697" i="3"/>
  <c r="AA693" i="3"/>
  <c r="AC693" i="3" s="1"/>
  <c r="AB692" i="3"/>
  <c r="X687" i="3"/>
  <c r="H687" i="3"/>
  <c r="I687" i="3"/>
  <c r="AA610" i="3"/>
  <c r="AB609" i="3"/>
  <c r="X847" i="3"/>
  <c r="I847" i="3"/>
  <c r="H847" i="3"/>
  <c r="AB842" i="3"/>
  <c r="AA843" i="3"/>
  <c r="X783" i="3"/>
  <c r="I783" i="3"/>
  <c r="H783" i="3"/>
  <c r="AB778" i="3"/>
  <c r="AA779" i="3"/>
  <c r="X719" i="3"/>
  <c r="H719" i="3"/>
  <c r="I719" i="3"/>
  <c r="AA715" i="3"/>
  <c r="AB714" i="3"/>
  <c r="AB621" i="3"/>
  <c r="AA622" i="3"/>
  <c r="X850" i="3"/>
  <c r="H850" i="3"/>
  <c r="I850" i="3"/>
  <c r="AA846" i="3"/>
  <c r="AB845" i="3"/>
  <c r="X786" i="3"/>
  <c r="H786" i="3"/>
  <c r="I786" i="3"/>
  <c r="AA782" i="3"/>
  <c r="AB781" i="3"/>
  <c r="X722" i="3"/>
  <c r="I722" i="3"/>
  <c r="H722" i="3"/>
  <c r="AA718" i="3"/>
  <c r="AB717" i="3"/>
  <c r="AA634" i="3"/>
  <c r="AB633" i="3"/>
  <c r="X853" i="3"/>
  <c r="I853" i="3"/>
  <c r="H853" i="3"/>
  <c r="AA849" i="3"/>
  <c r="AB848" i="3"/>
  <c r="X789" i="3"/>
  <c r="H789" i="3"/>
  <c r="I789" i="3"/>
  <c r="AA785" i="3"/>
  <c r="AB784" i="3"/>
  <c r="X725" i="3"/>
  <c r="I725" i="3"/>
  <c r="H725" i="3"/>
  <c r="AA721" i="3"/>
  <c r="AB720" i="3"/>
  <c r="AC720" i="3" s="1"/>
  <c r="AA646" i="3"/>
  <c r="AB645" i="3"/>
  <c r="AB625" i="3"/>
  <c r="AA626" i="3"/>
  <c r="X641" i="3"/>
  <c r="H641" i="3"/>
  <c r="I641" i="3"/>
  <c r="AB636" i="3"/>
  <c r="AA637" i="3"/>
  <c r="X676" i="3"/>
  <c r="H676" i="3"/>
  <c r="I676" i="3"/>
  <c r="AB671" i="3"/>
  <c r="AA672" i="3"/>
  <c r="X612" i="3"/>
  <c r="I612" i="3"/>
  <c r="H612" i="3"/>
  <c r="AB607" i="3"/>
  <c r="AA608" i="3"/>
  <c r="AB556" i="3"/>
  <c r="AA557" i="3"/>
  <c r="X663" i="3"/>
  <c r="I663" i="3"/>
  <c r="H663" i="3"/>
  <c r="AB658" i="3"/>
  <c r="AA659" i="3"/>
  <c r="X629" i="3"/>
  <c r="I629" i="3"/>
  <c r="H629" i="3"/>
  <c r="AA625" i="3"/>
  <c r="AB624" i="3"/>
  <c r="AB604" i="3"/>
  <c r="AA605" i="3"/>
  <c r="X565" i="3"/>
  <c r="H565" i="3"/>
  <c r="I565" i="3"/>
  <c r="AB439" i="3"/>
  <c r="AA440" i="3"/>
  <c r="X640" i="3"/>
  <c r="I640" i="3"/>
  <c r="H640" i="3"/>
  <c r="AA636" i="3"/>
  <c r="AB635" i="3"/>
  <c r="X675" i="3"/>
  <c r="I675" i="3"/>
  <c r="H675" i="3"/>
  <c r="AA671" i="3"/>
  <c r="AB670" i="3"/>
  <c r="X611" i="3"/>
  <c r="I611" i="3"/>
  <c r="H611" i="3"/>
  <c r="AB606" i="3"/>
  <c r="AA607" i="3"/>
  <c r="AB552" i="3"/>
  <c r="AC552" i="3" s="1"/>
  <c r="AA553" i="3"/>
  <c r="X548" i="3"/>
  <c r="I548" i="3"/>
  <c r="H548" i="3"/>
  <c r="AA544" i="3"/>
  <c r="AB543" i="3"/>
  <c r="X528" i="3"/>
  <c r="I528" i="3"/>
  <c r="H528" i="3"/>
  <c r="X583" i="3"/>
  <c r="H583" i="3"/>
  <c r="I583" i="3"/>
  <c r="AA579" i="3"/>
  <c r="AB578" i="3"/>
  <c r="AA481" i="3"/>
  <c r="AB480" i="3"/>
  <c r="H412" i="3"/>
  <c r="X412" i="3"/>
  <c r="I412" i="3"/>
  <c r="X554" i="3"/>
  <c r="I554" i="3"/>
  <c r="H554" i="3"/>
  <c r="AA550" i="3"/>
  <c r="AB549" i="3"/>
  <c r="X560" i="3"/>
  <c r="I560" i="3"/>
  <c r="H560" i="3"/>
  <c r="AA556" i="3"/>
  <c r="AB555" i="3"/>
  <c r="X547" i="3"/>
  <c r="H547" i="3"/>
  <c r="I547" i="3"/>
  <c r="AA543" i="3"/>
  <c r="AB542" i="3"/>
  <c r="X526" i="3"/>
  <c r="H526" i="3"/>
  <c r="I526" i="3"/>
  <c r="X558" i="3"/>
  <c r="H558" i="3"/>
  <c r="I558" i="3"/>
  <c r="AA554" i="3"/>
  <c r="AB553" i="3"/>
  <c r="I464" i="3"/>
  <c r="H464" i="3"/>
  <c r="X464" i="3"/>
  <c r="AB459" i="3"/>
  <c r="AA460" i="3"/>
  <c r="AA388" i="3"/>
  <c r="AB387" i="3"/>
  <c r="H475" i="3"/>
  <c r="I475" i="3"/>
  <c r="X475" i="3"/>
  <c r="AB470" i="3"/>
  <c r="AA471" i="3"/>
  <c r="AB431" i="3"/>
  <c r="AA432" i="3"/>
  <c r="I486" i="3"/>
  <c r="X486" i="3"/>
  <c r="H486" i="3"/>
  <c r="AB481" i="3"/>
  <c r="AA482" i="3"/>
  <c r="H416" i="3"/>
  <c r="X416" i="3"/>
  <c r="I416" i="3"/>
  <c r="H492" i="3"/>
  <c r="I492" i="3"/>
  <c r="X492" i="3"/>
  <c r="AB487" i="3"/>
  <c r="AA488" i="3"/>
  <c r="I440" i="3"/>
  <c r="H440" i="3"/>
  <c r="X440" i="3"/>
  <c r="X503" i="3"/>
  <c r="H503" i="3"/>
  <c r="I503" i="3"/>
  <c r="AA499" i="3"/>
  <c r="AB498" i="3"/>
  <c r="AB187" i="3"/>
  <c r="AA188" i="3"/>
  <c r="X514" i="3"/>
  <c r="H514" i="3"/>
  <c r="I514" i="3"/>
  <c r="AB509" i="3"/>
  <c r="AC509" i="3" s="1"/>
  <c r="AA510" i="3"/>
  <c r="H447" i="3"/>
  <c r="I447" i="3"/>
  <c r="X447" i="3"/>
  <c r="AB442" i="3"/>
  <c r="AA443" i="3"/>
  <c r="X383" i="3"/>
  <c r="H383" i="3"/>
  <c r="I383" i="3"/>
  <c r="AA379" i="3"/>
  <c r="AB378" i="3"/>
  <c r="AA340" i="3"/>
  <c r="AB339" i="3"/>
  <c r="H394" i="3"/>
  <c r="X394" i="3"/>
  <c r="I394" i="3"/>
  <c r="AA390" i="3"/>
  <c r="AB389" i="3"/>
  <c r="H324" i="3"/>
  <c r="I324" i="3"/>
  <c r="X324" i="3"/>
  <c r="X405" i="3"/>
  <c r="I405" i="3"/>
  <c r="H405" i="3"/>
  <c r="AB400" i="3"/>
  <c r="AC400" i="3" s="1"/>
  <c r="AA401" i="3"/>
  <c r="H368" i="3"/>
  <c r="I368" i="3"/>
  <c r="X368" i="3"/>
  <c r="H411" i="3"/>
  <c r="I411" i="3"/>
  <c r="X411" i="3"/>
  <c r="AA407" i="3"/>
  <c r="AB406" i="3"/>
  <c r="X422" i="3"/>
  <c r="H422" i="3"/>
  <c r="I422" i="3"/>
  <c r="AA418" i="3"/>
  <c r="AB417" i="3"/>
  <c r="I409" i="3"/>
  <c r="H409" i="3"/>
  <c r="X409" i="3"/>
  <c r="AA405" i="3"/>
  <c r="AB404" i="3"/>
  <c r="AA264" i="3"/>
  <c r="AB263" i="3"/>
  <c r="I359" i="3"/>
  <c r="H359" i="3"/>
  <c r="X359" i="3"/>
  <c r="AA355" i="3"/>
  <c r="AB354" i="3"/>
  <c r="I370" i="3"/>
  <c r="H370" i="3"/>
  <c r="X370" i="3"/>
  <c r="AA366" i="3"/>
  <c r="AB365" i="3"/>
  <c r="I306" i="3"/>
  <c r="X306" i="3"/>
  <c r="H306" i="3"/>
  <c r="AB301" i="3"/>
  <c r="AA302" i="3"/>
  <c r="H357" i="3"/>
  <c r="I357" i="3"/>
  <c r="X357" i="3"/>
  <c r="AB352" i="3"/>
  <c r="AA353" i="3"/>
  <c r="I363" i="3"/>
  <c r="X363" i="3"/>
  <c r="H363" i="3"/>
  <c r="AB358" i="3"/>
  <c r="AA359" i="3"/>
  <c r="I299" i="3"/>
  <c r="H299" i="3"/>
  <c r="X299" i="3"/>
  <c r="AB171" i="3"/>
  <c r="AA172" i="3"/>
  <c r="AB369" i="3"/>
  <c r="AA370" i="3"/>
  <c r="H310" i="3"/>
  <c r="I310" i="3"/>
  <c r="X310" i="3"/>
  <c r="AB305" i="3"/>
  <c r="AA306" i="3"/>
  <c r="AB223" i="3"/>
  <c r="AA224" i="3"/>
  <c r="I361" i="3"/>
  <c r="X361" i="3"/>
  <c r="H361" i="3"/>
  <c r="AB356" i="3"/>
  <c r="AA357" i="3"/>
  <c r="I209" i="3"/>
  <c r="X209" i="3"/>
  <c r="H209" i="3"/>
  <c r="X271" i="3"/>
  <c r="I271" i="3"/>
  <c r="H271" i="3"/>
  <c r="AB266" i="3"/>
  <c r="AA267" i="3"/>
  <c r="AB164" i="3"/>
  <c r="AA165" i="3"/>
  <c r="AA294" i="3"/>
  <c r="AB293" i="3"/>
  <c r="X234" i="3"/>
  <c r="H234" i="3"/>
  <c r="I234" i="3"/>
  <c r="AB229" i="3"/>
  <c r="AA230" i="3"/>
  <c r="I253" i="3"/>
  <c r="H253" i="3"/>
  <c r="X253" i="3"/>
  <c r="AA249" i="3"/>
  <c r="AB248" i="3"/>
  <c r="AA192" i="3"/>
  <c r="AB191" i="3"/>
  <c r="H259" i="3"/>
  <c r="X259" i="3"/>
  <c r="I259" i="3"/>
  <c r="AA255" i="3"/>
  <c r="AB254" i="3"/>
  <c r="X270" i="3"/>
  <c r="I270" i="3"/>
  <c r="H270" i="3"/>
  <c r="AA266" i="3"/>
  <c r="AB265" i="3"/>
  <c r="H200" i="3"/>
  <c r="X200" i="3"/>
  <c r="I200" i="3"/>
  <c r="H281" i="3"/>
  <c r="I281" i="3"/>
  <c r="X281" i="3"/>
  <c r="AA277" i="3"/>
  <c r="AB276" i="3"/>
  <c r="X217" i="3"/>
  <c r="I217" i="3"/>
  <c r="H217" i="3"/>
  <c r="AB212" i="3"/>
  <c r="AA213" i="3"/>
  <c r="I195" i="3"/>
  <c r="H195" i="3"/>
  <c r="X195" i="3"/>
  <c r="AA191" i="3"/>
  <c r="AB190" i="3"/>
  <c r="AB115" i="3"/>
  <c r="AA116" i="3"/>
  <c r="AB209" i="3"/>
  <c r="AA210" i="3"/>
  <c r="X183" i="3"/>
  <c r="H183" i="3"/>
  <c r="I183" i="3"/>
  <c r="AA179" i="3"/>
  <c r="AB178" i="3"/>
  <c r="H95" i="3"/>
  <c r="I95" i="3"/>
  <c r="X95" i="3"/>
  <c r="H189" i="3"/>
  <c r="I189" i="3"/>
  <c r="X189" i="3"/>
  <c r="AB184" i="3"/>
  <c r="AA185" i="3"/>
  <c r="AB135" i="3"/>
  <c r="AC135" i="3" s="1"/>
  <c r="AA136" i="3"/>
  <c r="X147" i="3"/>
  <c r="H147" i="3"/>
  <c r="I147" i="3"/>
  <c r="AB142" i="3"/>
  <c r="AA143" i="3"/>
  <c r="H150" i="3"/>
  <c r="X150" i="3"/>
  <c r="I150" i="3"/>
  <c r="AB145" i="3"/>
  <c r="AA146" i="3"/>
  <c r="AB94" i="3"/>
  <c r="AA95" i="3"/>
  <c r="H151" i="3"/>
  <c r="I151" i="3"/>
  <c r="X151" i="3"/>
  <c r="AB146" i="3"/>
  <c r="AA147" i="3"/>
  <c r="AB165" i="3"/>
  <c r="AA166" i="3"/>
  <c r="X149" i="3"/>
  <c r="H149" i="3"/>
  <c r="I149" i="3"/>
  <c r="AB144" i="3"/>
  <c r="AA145" i="3"/>
  <c r="X49" i="3"/>
  <c r="H49" i="3"/>
  <c r="AB124" i="3"/>
  <c r="AA125" i="3"/>
  <c r="I81" i="3"/>
  <c r="X81" i="3"/>
  <c r="H81" i="3"/>
  <c r="H26" i="3"/>
  <c r="X26" i="3"/>
  <c r="I26" i="3"/>
  <c r="AA88" i="3"/>
  <c r="AB87" i="3"/>
  <c r="AB27" i="3"/>
  <c r="AA28" i="3"/>
  <c r="X82" i="3"/>
  <c r="H82" i="3"/>
  <c r="I82" i="3"/>
  <c r="AA78" i="3"/>
  <c r="AB77" i="3"/>
  <c r="AB23" i="3"/>
  <c r="AA24" i="3"/>
  <c r="AB29" i="3"/>
  <c r="AA30" i="3"/>
  <c r="X88" i="3"/>
  <c r="H88" i="3"/>
  <c r="I88" i="3"/>
  <c r="AB83" i="3"/>
  <c r="AA84" i="3"/>
  <c r="AA36" i="3"/>
  <c r="AB35" i="3"/>
  <c r="AA87" i="3"/>
  <c r="AB86" i="3"/>
  <c r="X41" i="3"/>
  <c r="H41" i="3"/>
  <c r="I41" i="3"/>
  <c r="AA48" i="3"/>
  <c r="AB47" i="3"/>
  <c r="H27" i="3"/>
  <c r="I27" i="3"/>
  <c r="X27" i="3"/>
  <c r="AB22" i="3"/>
  <c r="AA23" i="3"/>
  <c r="H30" i="3"/>
  <c r="X30" i="3"/>
  <c r="I30" i="3"/>
  <c r="AB25" i="3"/>
  <c r="AA26" i="3"/>
  <c r="I23" i="3"/>
  <c r="X23" i="3"/>
  <c r="H23" i="3"/>
  <c r="AA19" i="3"/>
  <c r="AB18" i="3"/>
  <c r="H21" i="3"/>
  <c r="X21" i="3"/>
  <c r="I21" i="3"/>
  <c r="AB16" i="3"/>
  <c r="AA17" i="3"/>
  <c r="AB987" i="3"/>
  <c r="AA988" i="3"/>
  <c r="AB995" i="3"/>
  <c r="AA996" i="3"/>
  <c r="AB982" i="3"/>
  <c r="AA983" i="3"/>
  <c r="X752" i="3"/>
  <c r="I752" i="3"/>
  <c r="H752" i="3"/>
  <c r="X948" i="3"/>
  <c r="I948" i="3"/>
  <c r="H948" i="3"/>
  <c r="AA1000" i="3"/>
  <c r="AB999" i="3"/>
  <c r="AA994" i="3"/>
  <c r="AB993" i="3"/>
  <c r="X952" i="3"/>
  <c r="I952" i="3"/>
  <c r="H952" i="3"/>
  <c r="X888" i="3"/>
  <c r="H888" i="3"/>
  <c r="I888" i="3"/>
  <c r="AA768" i="3"/>
  <c r="AB767" i="3"/>
  <c r="X971" i="3"/>
  <c r="I971" i="3"/>
  <c r="H971" i="3"/>
  <c r="AB966" i="3"/>
  <c r="AA967" i="3"/>
  <c r="X907" i="3"/>
  <c r="H907" i="3"/>
  <c r="I907" i="3"/>
  <c r="AA903" i="3"/>
  <c r="AB902" i="3"/>
  <c r="AC902" i="3" s="1"/>
  <c r="AA748" i="3"/>
  <c r="AB747" i="3"/>
  <c r="X688" i="3"/>
  <c r="I688" i="3"/>
  <c r="H688" i="3"/>
  <c r="X958" i="3"/>
  <c r="I958" i="3"/>
  <c r="H958" i="3"/>
  <c r="AA954" i="3"/>
  <c r="AB953" i="3"/>
  <c r="X894" i="3"/>
  <c r="I894" i="3"/>
  <c r="H894" i="3"/>
  <c r="AA890" i="3"/>
  <c r="AB889" i="3"/>
  <c r="AB695" i="3"/>
  <c r="AA696" i="3"/>
  <c r="X961" i="3"/>
  <c r="I961" i="3"/>
  <c r="H961" i="3"/>
  <c r="AB956" i="3"/>
  <c r="AA957" i="3"/>
  <c r="X897" i="3"/>
  <c r="I897" i="3"/>
  <c r="H897" i="3"/>
  <c r="AB892" i="3"/>
  <c r="AA893" i="3"/>
  <c r="AB707" i="3"/>
  <c r="AA708" i="3"/>
  <c r="AB815" i="3"/>
  <c r="AA816" i="3"/>
  <c r="X959" i="3"/>
  <c r="I959" i="3"/>
  <c r="H959" i="3"/>
  <c r="AB954" i="3"/>
  <c r="AA955" i="3"/>
  <c r="X895" i="3"/>
  <c r="I895" i="3"/>
  <c r="H895" i="3"/>
  <c r="AB890" i="3"/>
  <c r="AA891" i="3"/>
  <c r="AB699" i="3"/>
  <c r="AA700" i="3"/>
  <c r="AB887" i="3"/>
  <c r="AA888" i="3"/>
  <c r="X876" i="3"/>
  <c r="H876" i="3"/>
  <c r="I876" i="3"/>
  <c r="X946" i="3"/>
  <c r="H946" i="3"/>
  <c r="I946" i="3"/>
  <c r="AB941" i="3"/>
  <c r="AA942" i="3"/>
  <c r="X882" i="3"/>
  <c r="H882" i="3"/>
  <c r="I882" i="3"/>
  <c r="AB877" i="3"/>
  <c r="AA878" i="3"/>
  <c r="X844" i="3"/>
  <c r="I844" i="3"/>
  <c r="H844" i="3"/>
  <c r="X997" i="3"/>
  <c r="I997" i="3"/>
  <c r="H997" i="3"/>
  <c r="AA993" i="3"/>
  <c r="AB992" i="3"/>
  <c r="X933" i="3"/>
  <c r="I933" i="3"/>
  <c r="H933" i="3"/>
  <c r="AA929" i="3"/>
  <c r="AB928" i="3"/>
  <c r="X869" i="3"/>
  <c r="I869" i="3"/>
  <c r="H869" i="3"/>
  <c r="AB851" i="3"/>
  <c r="AA852" i="3"/>
  <c r="X792" i="3"/>
  <c r="I792" i="3"/>
  <c r="H792" i="3"/>
  <c r="AB703" i="3"/>
  <c r="AA704" i="3"/>
  <c r="X835" i="3"/>
  <c r="H835" i="3"/>
  <c r="I835" i="3"/>
  <c r="AB830" i="3"/>
  <c r="AA831" i="3"/>
  <c r="X771" i="3"/>
  <c r="H771" i="3"/>
  <c r="I771" i="3"/>
  <c r="AB766" i="3"/>
  <c r="AA767" i="3"/>
  <c r="X707" i="3"/>
  <c r="I707" i="3"/>
  <c r="H707" i="3"/>
  <c r="AA703" i="3"/>
  <c r="AB702" i="3"/>
  <c r="X838" i="3"/>
  <c r="H838" i="3"/>
  <c r="I838" i="3"/>
  <c r="AA834" i="3"/>
  <c r="AB833" i="3"/>
  <c r="X774" i="3"/>
  <c r="H774" i="3"/>
  <c r="I774" i="3"/>
  <c r="AA770" i="3"/>
  <c r="AB769" i="3"/>
  <c r="X710" i="3"/>
  <c r="I710" i="3"/>
  <c r="H710" i="3"/>
  <c r="AB705" i="3"/>
  <c r="AA706" i="3"/>
  <c r="X849" i="3"/>
  <c r="H849" i="3"/>
  <c r="I849" i="3"/>
  <c r="AB844" i="3"/>
  <c r="AA845" i="3"/>
  <c r="X785" i="3"/>
  <c r="I785" i="3"/>
  <c r="H785" i="3"/>
  <c r="AB780" i="3"/>
  <c r="AA781" i="3"/>
  <c r="X721" i="3"/>
  <c r="I721" i="3"/>
  <c r="H721" i="3"/>
  <c r="AB716" i="3"/>
  <c r="AA717" i="3"/>
  <c r="AA630" i="3"/>
  <c r="AB629" i="3"/>
  <c r="X646" i="3"/>
  <c r="I646" i="3"/>
  <c r="H646" i="3"/>
  <c r="AB866" i="3"/>
  <c r="AA867" i="3"/>
  <c r="X807" i="3"/>
  <c r="H807" i="3"/>
  <c r="I807" i="3"/>
  <c r="AB802" i="3"/>
  <c r="AA803" i="3"/>
  <c r="X743" i="3"/>
  <c r="H743" i="3"/>
  <c r="I743" i="3"/>
  <c r="AB738" i="3"/>
  <c r="AA739" i="3"/>
  <c r="X658" i="3"/>
  <c r="I658" i="3"/>
  <c r="H658" i="3"/>
  <c r="X810" i="3"/>
  <c r="H810" i="3"/>
  <c r="I810" i="3"/>
  <c r="AA806" i="3"/>
  <c r="AB805" i="3"/>
  <c r="X746" i="3"/>
  <c r="I746" i="3"/>
  <c r="H746" i="3"/>
  <c r="AB741" i="3"/>
  <c r="AA742" i="3"/>
  <c r="X670" i="3"/>
  <c r="I670" i="3"/>
  <c r="H670" i="3"/>
  <c r="X813" i="3"/>
  <c r="I813" i="3"/>
  <c r="H813" i="3"/>
  <c r="AB808" i="3"/>
  <c r="AA809" i="3"/>
  <c r="X749" i="3"/>
  <c r="I749" i="3"/>
  <c r="H749" i="3"/>
  <c r="AA745" i="3"/>
  <c r="AB744" i="3"/>
  <c r="X682" i="3"/>
  <c r="H682" i="3"/>
  <c r="I682" i="3"/>
  <c r="X665" i="3"/>
  <c r="H665" i="3"/>
  <c r="I665" i="3"/>
  <c r="AB660" i="3"/>
  <c r="AA661" i="3"/>
  <c r="AB472" i="3"/>
  <c r="AA473" i="3"/>
  <c r="X636" i="3"/>
  <c r="I636" i="3"/>
  <c r="H636" i="3"/>
  <c r="AA632" i="3"/>
  <c r="AB631" i="3"/>
  <c r="X593" i="3"/>
  <c r="I593" i="3"/>
  <c r="H593" i="3"/>
  <c r="AA683" i="3"/>
  <c r="AB682" i="3"/>
  <c r="X623" i="3"/>
  <c r="H623" i="3"/>
  <c r="I623" i="3"/>
  <c r="AB618" i="3"/>
  <c r="AA619" i="3"/>
  <c r="AB600" i="3"/>
  <c r="AA601" i="3"/>
  <c r="X541" i="3"/>
  <c r="I541" i="3"/>
  <c r="H541" i="3"/>
  <c r="X509" i="3"/>
  <c r="H509" i="3"/>
  <c r="I509" i="3"/>
  <c r="X653" i="3"/>
  <c r="H653" i="3"/>
  <c r="I653" i="3"/>
  <c r="AB648" i="3"/>
  <c r="AA649" i="3"/>
  <c r="X664" i="3"/>
  <c r="H664" i="3"/>
  <c r="I664" i="3"/>
  <c r="AB659" i="3"/>
  <c r="AA660" i="3"/>
  <c r="AB456" i="3"/>
  <c r="AA457" i="3"/>
  <c r="X635" i="3"/>
  <c r="I635" i="3"/>
  <c r="H635" i="3"/>
  <c r="AB630" i="3"/>
  <c r="AA631" i="3"/>
  <c r="X589" i="3"/>
  <c r="I589" i="3"/>
  <c r="H589" i="3"/>
  <c r="X572" i="3"/>
  <c r="I572" i="3"/>
  <c r="H572" i="3"/>
  <c r="AB567" i="3"/>
  <c r="AA568" i="3"/>
  <c r="AB602" i="3"/>
  <c r="AA603" i="3"/>
  <c r="X543" i="3"/>
  <c r="H543" i="3"/>
  <c r="I543" i="3"/>
  <c r="AB538" i="3"/>
  <c r="AA539" i="3"/>
  <c r="X517" i="3"/>
  <c r="H517" i="3"/>
  <c r="I517" i="3"/>
  <c r="X578" i="3"/>
  <c r="H578" i="3"/>
  <c r="I578" i="3"/>
  <c r="AB573" i="3"/>
  <c r="AA574" i="3"/>
  <c r="AA461" i="3"/>
  <c r="AB460" i="3"/>
  <c r="X584" i="3"/>
  <c r="H584" i="3"/>
  <c r="I584" i="3"/>
  <c r="AB579" i="3"/>
  <c r="AA580" i="3"/>
  <c r="AA485" i="3"/>
  <c r="AB484" i="3"/>
  <c r="H428" i="3"/>
  <c r="I428" i="3"/>
  <c r="X428" i="3"/>
  <c r="H252" i="3"/>
  <c r="I252" i="3"/>
  <c r="X252" i="3"/>
  <c r="X571" i="3"/>
  <c r="I571" i="3"/>
  <c r="H571" i="3"/>
  <c r="AA567" i="3"/>
  <c r="AB566" i="3"/>
  <c r="X582" i="3"/>
  <c r="I582" i="3"/>
  <c r="H582" i="3"/>
  <c r="AA578" i="3"/>
  <c r="AB577" i="3"/>
  <c r="AA477" i="3"/>
  <c r="AB476" i="3"/>
  <c r="I396" i="3"/>
  <c r="H396" i="3"/>
  <c r="X396" i="3"/>
  <c r="X488" i="3"/>
  <c r="I488" i="3"/>
  <c r="H488" i="3"/>
  <c r="AB483" i="3"/>
  <c r="AA484" i="3"/>
  <c r="I424" i="3"/>
  <c r="H424" i="3"/>
  <c r="X424" i="3"/>
  <c r="H499" i="3"/>
  <c r="I499" i="3"/>
  <c r="X499" i="3"/>
  <c r="AB494" i="3"/>
  <c r="AA495" i="3"/>
  <c r="X364" i="3"/>
  <c r="I364" i="3"/>
  <c r="H364" i="3"/>
  <c r="I510" i="3"/>
  <c r="X510" i="3"/>
  <c r="H510" i="3"/>
  <c r="AB505" i="3"/>
  <c r="AA506" i="3"/>
  <c r="X516" i="3"/>
  <c r="I516" i="3"/>
  <c r="H516" i="3"/>
  <c r="AB511" i="3"/>
  <c r="AA512" i="3"/>
  <c r="X452" i="3"/>
  <c r="H452" i="3"/>
  <c r="I452" i="3"/>
  <c r="X527" i="3"/>
  <c r="I527" i="3"/>
  <c r="H527" i="3"/>
  <c r="AA523" i="3"/>
  <c r="AB522" i="3"/>
  <c r="I463" i="3"/>
  <c r="H463" i="3"/>
  <c r="X463" i="3"/>
  <c r="AB458" i="3"/>
  <c r="AA459" i="3"/>
  <c r="AA384" i="3"/>
  <c r="AB383" i="3"/>
  <c r="H474" i="3"/>
  <c r="I474" i="3"/>
  <c r="X474" i="3"/>
  <c r="AB469" i="3"/>
  <c r="AA470" i="3"/>
  <c r="AB427" i="3"/>
  <c r="AA428" i="3"/>
  <c r="I407" i="3"/>
  <c r="H407" i="3"/>
  <c r="X407" i="3"/>
  <c r="AA403" i="3"/>
  <c r="AB402" i="3"/>
  <c r="AB231" i="3"/>
  <c r="AA232" i="3"/>
  <c r="I418" i="3"/>
  <c r="H418" i="3"/>
  <c r="X418" i="3"/>
  <c r="AB413" i="3"/>
  <c r="AA414" i="3"/>
  <c r="I429" i="3"/>
  <c r="X429" i="3"/>
  <c r="H429" i="3"/>
  <c r="AA425" i="3"/>
  <c r="AB424" i="3"/>
  <c r="I268" i="3"/>
  <c r="X268" i="3"/>
  <c r="H268" i="3"/>
  <c r="H435" i="3"/>
  <c r="X435" i="3"/>
  <c r="I435" i="3"/>
  <c r="AB430" i="3"/>
  <c r="AA431" i="3"/>
  <c r="I201" i="3"/>
  <c r="H201" i="3"/>
  <c r="X201" i="3"/>
  <c r="X446" i="3"/>
  <c r="I446" i="3"/>
  <c r="H446" i="3"/>
  <c r="AB441" i="3"/>
  <c r="AA442" i="3"/>
  <c r="I382" i="3"/>
  <c r="H382" i="3"/>
  <c r="X382" i="3"/>
  <c r="AB377" i="3"/>
  <c r="AA378" i="3"/>
  <c r="AA336" i="3"/>
  <c r="AB335" i="3"/>
  <c r="X433" i="3"/>
  <c r="H433" i="3"/>
  <c r="I433" i="3"/>
  <c r="AA429" i="3"/>
  <c r="AB428" i="3"/>
  <c r="H319" i="3"/>
  <c r="X319" i="3"/>
  <c r="I319" i="3"/>
  <c r="AB314" i="3"/>
  <c r="AA315" i="3"/>
  <c r="AB259" i="3"/>
  <c r="AA260" i="3"/>
  <c r="H176" i="3"/>
  <c r="I176" i="3"/>
  <c r="X176" i="3"/>
  <c r="I330" i="3"/>
  <c r="H330" i="3"/>
  <c r="X330" i="3"/>
  <c r="AB325" i="3"/>
  <c r="AA326" i="3"/>
  <c r="I244" i="3"/>
  <c r="H244" i="3"/>
  <c r="X244" i="3"/>
  <c r="I317" i="3"/>
  <c r="H317" i="3"/>
  <c r="X317" i="3"/>
  <c r="AB312" i="3"/>
  <c r="AA313" i="3"/>
  <c r="AB251" i="3"/>
  <c r="AA252" i="3"/>
  <c r="H323" i="3"/>
  <c r="I323" i="3"/>
  <c r="X323" i="3"/>
  <c r="AB318" i="3"/>
  <c r="AA319" i="3"/>
  <c r="AB275" i="3"/>
  <c r="AA276" i="3"/>
  <c r="H216" i="3"/>
  <c r="X216" i="3"/>
  <c r="I216" i="3"/>
  <c r="H334" i="3"/>
  <c r="I334" i="3"/>
  <c r="X334" i="3"/>
  <c r="AB329" i="3"/>
  <c r="AA330" i="3"/>
  <c r="H260" i="3"/>
  <c r="X260" i="3"/>
  <c r="I260" i="3"/>
  <c r="X321" i="3"/>
  <c r="I321" i="3"/>
  <c r="H321" i="3"/>
  <c r="AA317" i="3"/>
  <c r="AB316" i="3"/>
  <c r="AA268" i="3"/>
  <c r="AB267" i="3"/>
  <c r="AA205" i="3"/>
  <c r="AB204" i="3"/>
  <c r="H231" i="3"/>
  <c r="I231" i="3"/>
  <c r="X231" i="3"/>
  <c r="AB226" i="3"/>
  <c r="AA227" i="3"/>
  <c r="X160" i="3"/>
  <c r="I160" i="3"/>
  <c r="H160" i="3"/>
  <c r="H258" i="3"/>
  <c r="I258" i="3"/>
  <c r="X258" i="3"/>
  <c r="AA254" i="3"/>
  <c r="AB253" i="3"/>
  <c r="X277" i="3"/>
  <c r="I277" i="3"/>
  <c r="H277" i="3"/>
  <c r="AA273" i="3"/>
  <c r="AB272" i="3"/>
  <c r="H213" i="3"/>
  <c r="I213" i="3"/>
  <c r="X213" i="3"/>
  <c r="H283" i="3"/>
  <c r="I283" i="3"/>
  <c r="X283" i="3"/>
  <c r="AA279" i="3"/>
  <c r="AB278" i="3"/>
  <c r="H219" i="3"/>
  <c r="I219" i="3"/>
  <c r="X219" i="3"/>
  <c r="AA215" i="3"/>
  <c r="AB214" i="3"/>
  <c r="AA132" i="3"/>
  <c r="AB131" i="3"/>
  <c r="H294" i="3"/>
  <c r="X294" i="3"/>
  <c r="I294" i="3"/>
  <c r="AB289" i="3"/>
  <c r="AA290" i="3"/>
  <c r="X230" i="3"/>
  <c r="H230" i="3"/>
  <c r="I230" i="3"/>
  <c r="AB225" i="3"/>
  <c r="AA226" i="3"/>
  <c r="I241" i="3"/>
  <c r="X241" i="3"/>
  <c r="H241" i="3"/>
  <c r="AA237" i="3"/>
  <c r="AB236" i="3"/>
  <c r="X211" i="3"/>
  <c r="I211" i="3"/>
  <c r="H211" i="3"/>
  <c r="AA162" i="3"/>
  <c r="AB161" i="3"/>
  <c r="H174" i="3"/>
  <c r="X174" i="3"/>
  <c r="I174" i="3"/>
  <c r="AA170" i="3"/>
  <c r="AB169" i="3"/>
  <c r="H177" i="3"/>
  <c r="I177" i="3"/>
  <c r="X177" i="3"/>
  <c r="AA173" i="3"/>
  <c r="AB172" i="3"/>
  <c r="H207" i="3"/>
  <c r="I207" i="3"/>
  <c r="X207" i="3"/>
  <c r="AA203" i="3"/>
  <c r="AB202" i="3"/>
  <c r="H161" i="3"/>
  <c r="I161" i="3"/>
  <c r="X161" i="3"/>
  <c r="H148" i="3"/>
  <c r="X148" i="3"/>
  <c r="I148" i="3"/>
  <c r="I178" i="3"/>
  <c r="X178" i="3"/>
  <c r="H178" i="3"/>
  <c r="AB173" i="3"/>
  <c r="AA174" i="3"/>
  <c r="AA83" i="3"/>
  <c r="AB82" i="3"/>
  <c r="AA209" i="3"/>
  <c r="AB208" i="3"/>
  <c r="H73" i="3"/>
  <c r="I73" i="3"/>
  <c r="X73" i="3"/>
  <c r="X137" i="3"/>
  <c r="H137" i="3"/>
  <c r="I137" i="3"/>
  <c r="AB132" i="3"/>
  <c r="AA133" i="3"/>
  <c r="X130" i="3"/>
  <c r="H130" i="3"/>
  <c r="I130" i="3"/>
  <c r="H125" i="3"/>
  <c r="I125" i="3"/>
  <c r="X125" i="3"/>
  <c r="X103" i="3"/>
  <c r="H103" i="3"/>
  <c r="I103" i="3"/>
  <c r="H123" i="3"/>
  <c r="I123" i="3"/>
  <c r="X123" i="3"/>
  <c r="AA45" i="3"/>
  <c r="AB44" i="3"/>
  <c r="X101" i="3"/>
  <c r="I101" i="3"/>
  <c r="H101" i="3"/>
  <c r="AB96" i="3"/>
  <c r="AA97" i="3"/>
  <c r="AB84" i="3"/>
  <c r="AA85" i="3"/>
  <c r="AB107" i="3"/>
  <c r="AA108" i="3"/>
  <c r="H110" i="3"/>
  <c r="X110" i="3"/>
  <c r="I110" i="3"/>
  <c r="AA106" i="3"/>
  <c r="AB105" i="3"/>
  <c r="I89" i="3"/>
  <c r="H89" i="3"/>
  <c r="X89" i="3"/>
  <c r="AB21" i="3"/>
  <c r="AA22" i="3"/>
  <c r="I92" i="3"/>
  <c r="X92" i="3"/>
  <c r="H92" i="3"/>
  <c r="H16" i="3"/>
  <c r="I16" i="3"/>
  <c r="X16" i="3"/>
  <c r="I12" i="3"/>
  <c r="H12" i="3"/>
  <c r="X12" i="3"/>
  <c r="X18" i="3"/>
  <c r="H18" i="3"/>
  <c r="I18" i="3"/>
  <c r="I24" i="3"/>
  <c r="H24" i="3"/>
  <c r="X24" i="3"/>
  <c r="AA21" i="3"/>
  <c r="AB20" i="3"/>
  <c r="X36" i="3"/>
  <c r="I36" i="3"/>
  <c r="H36" i="3"/>
  <c r="I51" i="3"/>
  <c r="X51" i="3"/>
  <c r="H51" i="3"/>
  <c r="AA47" i="3"/>
  <c r="AB46" i="3"/>
  <c r="H54" i="3"/>
  <c r="X54" i="3"/>
  <c r="I54" i="3"/>
  <c r="AA50" i="3"/>
  <c r="AB49" i="3"/>
  <c r="I47" i="3"/>
  <c r="X47" i="3"/>
  <c r="H47" i="3"/>
  <c r="AB42" i="3"/>
  <c r="AA43" i="3"/>
  <c r="X45" i="3"/>
  <c r="H45" i="3"/>
  <c r="I45" i="3"/>
  <c r="AB40" i="3"/>
  <c r="AA41" i="3"/>
  <c r="AJ9" i="3" a="1"/>
  <c r="AJ10" i="3" a="1"/>
  <c r="AN9" i="3" a="1"/>
  <c r="AO10" i="3" a="1"/>
  <c r="AN11" i="3" a="1"/>
  <c r="AM11" i="3" a="1"/>
  <c r="AO11" i="3" a="1"/>
  <c r="AK9" i="3" a="1"/>
  <c r="AK11" i="3" a="1"/>
  <c r="AN10" i="3" a="1"/>
  <c r="AL11" i="3" a="1"/>
  <c r="AM9" i="3" a="1"/>
  <c r="AJ11" i="3" a="1"/>
  <c r="AO9" i="3" a="1"/>
  <c r="AM10" i="3" a="1"/>
  <c r="AL9" i="3" a="1"/>
  <c r="AK10" i="3" a="1"/>
  <c r="AL10" i="3" a="1"/>
  <c r="AO11" i="3" l="1"/>
  <c r="AL9" i="3"/>
  <c r="AK9" i="3"/>
  <c r="AJ9" i="3"/>
  <c r="AJ11" i="3"/>
  <c r="AK11" i="3"/>
  <c r="AN11" i="3"/>
  <c r="AM11" i="3"/>
  <c r="AL11" i="3"/>
  <c r="AL10" i="3"/>
  <c r="AO10" i="3"/>
  <c r="AO9" i="3"/>
  <c r="AK10" i="3"/>
  <c r="AJ10" i="3"/>
  <c r="AM9" i="3"/>
  <c r="AN10" i="3"/>
  <c r="AN9" i="3"/>
  <c r="AM10" i="3"/>
  <c r="AC12" i="3"/>
  <c r="AC325" i="3"/>
  <c r="AC699" i="3"/>
  <c r="AC156" i="3"/>
  <c r="AC915" i="3"/>
  <c r="AC169" i="3"/>
  <c r="AC278" i="3"/>
  <c r="AC202" i="3"/>
  <c r="AC469" i="3"/>
  <c r="AC398" i="3"/>
  <c r="AC941" i="3"/>
  <c r="AC561" i="3"/>
  <c r="AC683" i="3"/>
  <c r="AC466" i="3"/>
  <c r="AC231" i="3"/>
  <c r="AC194" i="3"/>
  <c r="AC385" i="3"/>
  <c r="AC727" i="3"/>
  <c r="AC341" i="3"/>
  <c r="AC883" i="3"/>
  <c r="AC350" i="3"/>
  <c r="AC374" i="3"/>
  <c r="AC948" i="3"/>
  <c r="AC742" i="3"/>
  <c r="AC74" i="3"/>
  <c r="AC805" i="3"/>
  <c r="AC884" i="3"/>
  <c r="AC537" i="3"/>
  <c r="AC792" i="3"/>
  <c r="AC684" i="3"/>
  <c r="AC69" i="3"/>
  <c r="AC65" i="3"/>
  <c r="AC427" i="3"/>
  <c r="O7" i="3"/>
  <c r="R8" i="3"/>
  <c r="X8" i="3" s="1"/>
  <c r="M7" i="3"/>
  <c r="N7" i="3"/>
  <c r="F19" i="1" s="1"/>
  <c r="AC82" i="3"/>
  <c r="AC131" i="3"/>
  <c r="AC522" i="3"/>
  <c r="AC892" i="3"/>
  <c r="AC441" i="3"/>
  <c r="AC877" i="3"/>
  <c r="AC670" i="3"/>
  <c r="AC917" i="3"/>
  <c r="AC702" i="3"/>
  <c r="AC705" i="3"/>
  <c r="AC769" i="3"/>
  <c r="AC508" i="3"/>
  <c r="AC538" i="3"/>
  <c r="AC744" i="3"/>
  <c r="AC608" i="3"/>
  <c r="AC981" i="3"/>
  <c r="AC596" i="3"/>
  <c r="AC858" i="3"/>
  <c r="AC160" i="3"/>
  <c r="AC233" i="3"/>
  <c r="AC730" i="3"/>
  <c r="AC472" i="3"/>
  <c r="AC115" i="3"/>
  <c r="AC604" i="3"/>
  <c r="AC818" i="3"/>
  <c r="AC150" i="3"/>
  <c r="AC239" i="3"/>
  <c r="AC927" i="3"/>
  <c r="AC112" i="3"/>
  <c r="AC964" i="3"/>
  <c r="AC855" i="3"/>
  <c r="AC778" i="3"/>
  <c r="AC214" i="3"/>
  <c r="AC780" i="3"/>
  <c r="AC339" i="3"/>
  <c r="AC549" i="3"/>
  <c r="AC547" i="3"/>
  <c r="AC171" i="3"/>
  <c r="AC529" i="3"/>
  <c r="AC490" i="3"/>
  <c r="AC936" i="3"/>
  <c r="AC822" i="3"/>
  <c r="AC109" i="3"/>
  <c r="AC436" i="3"/>
  <c r="AC73" i="3"/>
  <c r="AC534" i="3"/>
  <c r="AC263" i="3"/>
  <c r="AC77" i="3"/>
  <c r="AC46" i="3"/>
  <c r="AC275" i="3"/>
  <c r="AC272" i="3"/>
  <c r="AC577" i="3"/>
  <c r="AC851" i="3"/>
  <c r="AC25" i="3"/>
  <c r="AC35" i="3"/>
  <c r="AC212" i="3"/>
  <c r="AC139" i="3"/>
  <c r="AC496" i="3"/>
  <c r="AC848" i="3"/>
  <c r="AC989" i="3"/>
  <c r="AC979" i="3"/>
  <c r="AC592" i="3"/>
  <c r="AC794" i="3"/>
  <c r="AC251" i="3"/>
  <c r="AC456" i="3"/>
  <c r="AC682" i="3"/>
  <c r="AC86" i="3"/>
  <c r="AC842" i="3"/>
  <c r="AC692" i="3"/>
  <c r="AC198" i="3"/>
  <c r="AC572" i="3"/>
  <c r="R18" i="1" a="1"/>
  <c r="AC573" i="3"/>
  <c r="AC618" i="3"/>
  <c r="AC100" i="3"/>
  <c r="AC759" i="3"/>
  <c r="AC32" i="3"/>
  <c r="AC433" i="3"/>
  <c r="AC911" i="3"/>
  <c r="AC585" i="3"/>
  <c r="AC629" i="3"/>
  <c r="AC265" i="3"/>
  <c r="AC303" i="3"/>
  <c r="AE18" i="1" a="1"/>
  <c r="AC555" i="3"/>
  <c r="AC784" i="3"/>
  <c r="AC810" i="3"/>
  <c r="AC376" i="3"/>
  <c r="AC182" i="3"/>
  <c r="AC808" i="3"/>
  <c r="AC144" i="3"/>
  <c r="AC365" i="3"/>
  <c r="AC627" i="3"/>
  <c r="AC236" i="3"/>
  <c r="AC424" i="3"/>
  <c r="AC387" i="3"/>
  <c r="AC148" i="3"/>
  <c r="AC446" i="3"/>
  <c r="AC531" i="3"/>
  <c r="AC611" i="3"/>
  <c r="AC924" i="3"/>
  <c r="AC200" i="3"/>
  <c r="AC667" i="3"/>
  <c r="AC107" i="3"/>
  <c r="AC334" i="3"/>
  <c r="AC579" i="3"/>
  <c r="AC480" i="3"/>
  <c r="AC714" i="3"/>
  <c r="AC444" i="3"/>
  <c r="AC417" i="3"/>
  <c r="AC739" i="3"/>
  <c r="AC928" i="3"/>
  <c r="AC404" i="3"/>
  <c r="AC527" i="3"/>
  <c r="AC824" i="3"/>
  <c r="AC151" i="3"/>
  <c r="AC20" i="3"/>
  <c r="AC566" i="3"/>
  <c r="AC831" i="3"/>
  <c r="AC471" i="3"/>
  <c r="AC310" i="3"/>
  <c r="AC257" i="3"/>
  <c r="AC40" i="3"/>
  <c r="AC208" i="3"/>
  <c r="AC352" i="3"/>
  <c r="AC645" i="3"/>
  <c r="AC380" i="3"/>
  <c r="AC811" i="3"/>
  <c r="AC835" i="3"/>
  <c r="AC119" i="3"/>
  <c r="AC409" i="3"/>
  <c r="AC479" i="3"/>
  <c r="AC468" i="3"/>
  <c r="AC53" i="3"/>
  <c r="AC925" i="3"/>
  <c r="AC368" i="3"/>
  <c r="AC662" i="3"/>
  <c r="AC383" i="3"/>
  <c r="AC18" i="3"/>
  <c r="AC582" i="3"/>
  <c r="AC281" i="3"/>
  <c r="AC541" i="3"/>
  <c r="AC962" i="3"/>
  <c r="AC158" i="3"/>
  <c r="AC94" i="3"/>
  <c r="AC439" i="3"/>
  <c r="AC849" i="3"/>
  <c r="AC968" i="3"/>
  <c r="AC103" i="3"/>
  <c r="A29" i="1" a="1"/>
  <c r="A36" i="1" s="1"/>
  <c r="AC316" i="3"/>
  <c r="AC377" i="3"/>
  <c r="AC305" i="3"/>
  <c r="AC406" i="3"/>
  <c r="AC984" i="3"/>
  <c r="AC587" i="3"/>
  <c r="AC887" i="3"/>
  <c r="AC211" i="3"/>
  <c r="AC664" i="3"/>
  <c r="AC779" i="3"/>
  <c r="AC52" i="3"/>
  <c r="AC451" i="3"/>
  <c r="M9" i="3"/>
  <c r="D56" i="1" s="1"/>
  <c r="AC895" i="3"/>
  <c r="AC449" i="3"/>
  <c r="AC540" i="3"/>
  <c r="L9" i="3"/>
  <c r="AC172" i="3"/>
  <c r="AC124" i="3"/>
  <c r="AC951" i="3"/>
  <c r="AC673" i="3"/>
  <c r="AC343" i="3"/>
  <c r="AC827" i="3"/>
  <c r="AC336" i="3"/>
  <c r="AC312" i="3"/>
  <c r="AC741" i="3"/>
  <c r="AC228" i="3"/>
  <c r="AC982" i="3"/>
  <c r="AC985" i="3"/>
  <c r="AC110" i="3"/>
  <c r="AC695" i="3"/>
  <c r="AC369" i="3"/>
  <c r="AC79" i="3"/>
  <c r="AC880" i="3"/>
  <c r="AC970" i="3"/>
  <c r="AC304" i="3"/>
  <c r="AC29" i="3"/>
  <c r="AC173" i="3"/>
  <c r="AC413" i="3"/>
  <c r="AC633" i="3"/>
  <c r="AC992" i="3"/>
  <c r="AC953" i="3"/>
  <c r="AC966" i="3"/>
  <c r="AC36" i="3"/>
  <c r="AC178" i="3"/>
  <c r="AC542" i="3"/>
  <c r="AC241" i="3"/>
  <c r="AC360" i="3"/>
  <c r="AC474" i="3"/>
  <c r="AC732" i="3"/>
  <c r="AC944" i="3"/>
  <c r="AC157" i="3"/>
  <c r="AC37" i="3"/>
  <c r="AC240" i="3"/>
  <c r="AC524" i="3"/>
  <c r="AC175" i="3"/>
  <c r="AC455" i="3"/>
  <c r="AC668" i="3"/>
  <c r="AC900" i="3"/>
  <c r="AC49" i="3"/>
  <c r="AC802" i="3"/>
  <c r="AC609" i="3"/>
  <c r="AC422" i="3"/>
  <c r="AC525" i="3"/>
  <c r="AC651" i="3"/>
  <c r="AC81" i="3"/>
  <c r="AC285" i="3"/>
  <c r="AC91" i="3"/>
  <c r="AC787" i="3"/>
  <c r="AC130" i="3"/>
  <c r="AC196" i="3"/>
  <c r="AC161" i="3"/>
  <c r="AC815" i="3"/>
  <c r="AC354" i="3"/>
  <c r="AC337" i="3"/>
  <c r="AC412" i="3"/>
  <c r="AC914" i="3"/>
  <c r="AC389" i="3"/>
  <c r="AC564" i="3"/>
  <c r="AC656" i="3"/>
  <c r="AC690" i="3"/>
  <c r="AC558" i="3"/>
  <c r="AC513" i="3"/>
  <c r="AC225" i="3"/>
  <c r="AC600" i="3"/>
  <c r="AC420" i="3"/>
  <c r="AC320" i="3"/>
  <c r="AC364" i="3"/>
  <c r="AC391" i="3"/>
  <c r="AC204" i="3"/>
  <c r="AC184" i="3"/>
  <c r="AC190" i="3"/>
  <c r="AC358" i="3"/>
  <c r="AC624" i="3"/>
  <c r="AC621" i="3"/>
  <c r="AC919" i="3"/>
  <c r="AC141" i="3"/>
  <c r="AC593" i="3"/>
  <c r="AC589" i="3"/>
  <c r="AC908" i="3"/>
  <c r="AC117" i="3"/>
  <c r="AC308" i="3"/>
  <c r="AC71" i="3"/>
  <c r="AC299" i="3"/>
  <c r="AC127" i="3"/>
  <c r="AC598" i="3"/>
  <c r="AC438" i="3"/>
  <c r="AC1004" i="3"/>
  <c r="AC287" i="3"/>
  <c r="AC576" i="3"/>
  <c r="AC754" i="3"/>
  <c r="AC847" i="3"/>
  <c r="AC763" i="3"/>
  <c r="AC946" i="3"/>
  <c r="AC221" i="3"/>
  <c r="AC344" i="3"/>
  <c r="AC516" i="3"/>
  <c r="AC297" i="3"/>
  <c r="AC301" i="3"/>
  <c r="AC755" i="3"/>
  <c r="AC402" i="3"/>
  <c r="AC833" i="3"/>
  <c r="AC830" i="3"/>
  <c r="AC708" i="3"/>
  <c r="AC956" i="3"/>
  <c r="AC16" i="3"/>
  <c r="AC229" i="3"/>
  <c r="AC544" i="3"/>
  <c r="AC930" i="3"/>
  <c r="AC711" i="3"/>
  <c r="AC906" i="3"/>
  <c r="AC102" i="3"/>
  <c r="AC261" i="3"/>
  <c r="AC93" i="3"/>
  <c r="AC96" i="3"/>
  <c r="AC289" i="3"/>
  <c r="AC187" i="3"/>
  <c r="AC494" i="3"/>
  <c r="AC483" i="3"/>
  <c r="AC999" i="3"/>
  <c r="AC146" i="3"/>
  <c r="AC448" i="3"/>
  <c r="AC595" i="3"/>
  <c r="AC60" i="3"/>
  <c r="AC731" i="3"/>
  <c r="AC324" i="3"/>
  <c r="AC519" i="3"/>
  <c r="AC256" i="3"/>
  <c r="AC259" i="3"/>
  <c r="AC248" i="3"/>
  <c r="AC904" i="3"/>
  <c r="AC932" i="3"/>
  <c r="AC345" i="3"/>
  <c r="AC328" i="3"/>
  <c r="AC463" i="3"/>
  <c r="AC292" i="3"/>
  <c r="AC686" i="3"/>
  <c r="AC772" i="3"/>
  <c r="AC31" i="3"/>
  <c r="AC361" i="3"/>
  <c r="AC840" i="3"/>
  <c r="AC92" i="3"/>
  <c r="AC216" i="3"/>
  <c r="AC335" i="3"/>
  <c r="AC42" i="3"/>
  <c r="AC987" i="3"/>
  <c r="AC347" i="3"/>
  <c r="AC393" i="3"/>
  <c r="AC382" i="3"/>
  <c r="AC452" i="3"/>
  <c r="AC788" i="3"/>
  <c r="AC511" i="3"/>
  <c r="AC142" i="3"/>
  <c r="AC253" i="3"/>
  <c r="AC458" i="3"/>
  <c r="AC648" i="3"/>
  <c r="AC738" i="3"/>
  <c r="AC164" i="3"/>
  <c r="AC348" i="3"/>
  <c r="AC921" i="3"/>
  <c r="AC217" i="3"/>
  <c r="AC235" i="3"/>
  <c r="AC870" i="3"/>
  <c r="AC176" i="3"/>
  <c r="AC898" i="3"/>
  <c r="AC666" i="3"/>
  <c r="AC84" i="3"/>
  <c r="AC430" i="3"/>
  <c r="AC476" i="3"/>
  <c r="AC867" i="3"/>
  <c r="AC498" i="3"/>
  <c r="AC13" i="3"/>
  <c r="AC1003" i="3"/>
  <c r="AC293" i="3"/>
  <c r="AC329" i="3"/>
  <c r="AC866" i="3"/>
  <c r="AC87" i="3"/>
  <c r="AC356" i="3"/>
  <c r="AC636" i="3"/>
  <c r="AC675" i="3"/>
  <c r="AC245" i="3"/>
  <c r="AC321" i="3"/>
  <c r="AC416" i="3"/>
  <c r="AC687" i="3"/>
  <c r="AC640" i="3"/>
  <c r="AC134" i="3"/>
  <c r="AC546" i="3"/>
  <c r="AC535" i="3"/>
  <c r="AC713" i="3"/>
  <c r="AC154" i="3"/>
  <c r="AC644" i="3"/>
  <c r="AC876" i="3"/>
  <c r="AC939" i="3"/>
  <c r="AC597" i="3"/>
  <c r="AC791" i="3"/>
  <c r="AC776" i="3"/>
  <c r="AC978" i="3"/>
  <c r="AC750" i="3"/>
  <c r="AC976" i="3"/>
  <c r="AC643" i="3"/>
  <c r="AC138" i="3"/>
  <c r="AC64" i="3"/>
  <c r="AC804" i="3"/>
  <c r="AC75" i="3"/>
  <c r="AC284" i="3"/>
  <c r="AC23" i="3"/>
  <c r="AC167" i="3"/>
  <c r="AC359" i="3"/>
  <c r="AC219" i="3"/>
  <c r="AC137" i="3"/>
  <c r="AC183" i="3"/>
  <c r="AC258" i="3"/>
  <c r="AC247" i="3"/>
  <c r="AC773" i="3"/>
  <c r="AC492" i="3"/>
  <c r="AC575" i="3"/>
  <c r="AC551" i="3"/>
  <c r="AC126" i="3"/>
  <c r="AC631" i="3"/>
  <c r="AC185" i="3"/>
  <c r="AC242" i="3"/>
  <c r="AC500" i="3"/>
  <c r="AC218" i="3"/>
  <c r="AC395" i="3"/>
  <c r="AC655" i="3"/>
  <c r="AC652" i="3"/>
  <c r="AC663" i="3"/>
  <c r="AC165" i="3"/>
  <c r="AC807" i="3"/>
  <c r="AC447" i="3"/>
  <c r="AC583" i="3"/>
  <c r="AC323" i="3"/>
  <c r="AC68" i="3"/>
  <c r="AC21" i="3"/>
  <c r="AC460" i="3"/>
  <c r="AC209" i="3"/>
  <c r="AC266" i="3"/>
  <c r="AC481" i="3"/>
  <c r="AC607" i="3"/>
  <c r="AC270" i="3"/>
  <c r="AC271" i="3"/>
  <c r="AC530" i="3"/>
  <c r="AC201" i="3"/>
  <c r="AC351" i="3"/>
  <c r="AC612" i="3"/>
  <c r="AC567" i="3"/>
  <c r="AC630" i="3"/>
  <c r="AC47" i="3"/>
  <c r="AC254" i="3"/>
  <c r="AC553" i="3"/>
  <c r="AC820" i="3"/>
  <c r="AC745" i="3"/>
  <c r="AC62" i="3"/>
  <c r="AC252" i="3"/>
  <c r="AC457" i="3"/>
  <c r="AC647" i="3"/>
  <c r="AC696" i="3"/>
  <c r="AC760" i="3"/>
  <c r="AC38" i="3"/>
  <c r="AC61" i="3"/>
  <c r="AC162" i="3"/>
  <c r="AC282" i="3"/>
  <c r="AC318" i="3"/>
  <c r="AC486" i="3"/>
  <c r="AC475" i="3"/>
  <c r="AC423" i="3"/>
  <c r="AC694" i="3"/>
  <c r="AC920" i="3"/>
  <c r="AC716" i="3"/>
  <c r="AC958" i="3"/>
  <c r="AC72" i="3"/>
  <c r="AC381" i="3"/>
  <c r="AC399" i="3"/>
  <c r="AC545" i="3"/>
  <c r="AC570" i="3"/>
  <c r="AC628" i="3"/>
  <c r="AC865" i="3"/>
  <c r="AC909" i="3"/>
  <c r="AC105" i="3"/>
  <c r="AC140" i="3"/>
  <c r="AC181" i="3"/>
  <c r="AC639" i="3"/>
  <c r="AC520" i="3"/>
  <c r="AC688" i="3"/>
  <c r="AC724" i="3"/>
  <c r="AC528" i="3"/>
  <c r="AC775" i="3"/>
  <c r="AC685" i="3"/>
  <c r="AC1000" i="3"/>
  <c r="AC918" i="3"/>
  <c r="AC33" i="3"/>
  <c r="AC143" i="3"/>
  <c r="AC273" i="3"/>
  <c r="AC362" i="3"/>
  <c r="AC453" i="3"/>
  <c r="AC584" i="3"/>
  <c r="AC536" i="3"/>
  <c r="AC588" i="3"/>
  <c r="AC679" i="3"/>
  <c r="AC789" i="3"/>
  <c r="AC828" i="3"/>
  <c r="AC940" i="3"/>
  <c r="AC873" i="3"/>
  <c r="AC67" i="3"/>
  <c r="AC63" i="3"/>
  <c r="AC111" i="3"/>
  <c r="AC128" i="3"/>
  <c r="AC149" i="3"/>
  <c r="AC125" i="3"/>
  <c r="AC197" i="3"/>
  <c r="AC159" i="3"/>
  <c r="AC342" i="3"/>
  <c r="AC311" i="3"/>
  <c r="AC518" i="3"/>
  <c r="AC603" i="3"/>
  <c r="AC327" i="3"/>
  <c r="AC826" i="3"/>
  <c r="AC740" i="3"/>
  <c r="AC854" i="3"/>
  <c r="AC888" i="3"/>
  <c r="AC926" i="3"/>
  <c r="AC963" i="3"/>
  <c r="AC717" i="3"/>
  <c r="AC995" i="3"/>
  <c r="AC88" i="3"/>
  <c r="AC294" i="3"/>
  <c r="AC355" i="3"/>
  <c r="AC440" i="3"/>
  <c r="AC821" i="3"/>
  <c r="AC721" i="3"/>
  <c r="AC637" i="3"/>
  <c r="AC893" i="3"/>
  <c r="AC797" i="3"/>
  <c r="AC674" i="3"/>
  <c r="AC715" i="3"/>
  <c r="AC78" i="3"/>
  <c r="AC205" i="3"/>
  <c r="AC346" i="3"/>
  <c r="AC443" i="3"/>
  <c r="AC812" i="3"/>
  <c r="AC50" i="3"/>
  <c r="AC113" i="3"/>
  <c r="AC104" i="3"/>
  <c r="AC333" i="3"/>
  <c r="AC322" i="3"/>
  <c r="AC421" i="3"/>
  <c r="AC523" i="3"/>
  <c r="AC816" i="3"/>
  <c r="AC747" i="3"/>
  <c r="AC852" i="3"/>
  <c r="AC605" i="3"/>
  <c r="AC774" i="3"/>
  <c r="AC923" i="3"/>
  <c r="AC39" i="3"/>
  <c r="AC80" i="3"/>
  <c r="AC386" i="3"/>
  <c r="AC786" i="3"/>
  <c r="AC121" i="3"/>
  <c r="AC129" i="3"/>
  <c r="AC118" i="3"/>
  <c r="AC249" i="3"/>
  <c r="AC277" i="3"/>
  <c r="AC250" i="3"/>
  <c r="AC591" i="3"/>
  <c r="AC704" i="3"/>
  <c r="AC793" i="3"/>
  <c r="AC669" i="3"/>
  <c r="AC913" i="3"/>
  <c r="AC935" i="3"/>
  <c r="AC942" i="3"/>
  <c r="AC660" i="3"/>
  <c r="AC83" i="3"/>
  <c r="AC442" i="3"/>
  <c r="AC806" i="3"/>
  <c r="AC994" i="3"/>
  <c r="AC646" i="3"/>
  <c r="AC635" i="3"/>
  <c r="AC860" i="3"/>
  <c r="AC905" i="3"/>
  <c r="AC986" i="3"/>
  <c r="AC97" i="3"/>
  <c r="AC279" i="3"/>
  <c r="AC594" i="3"/>
  <c r="AC622" i="3"/>
  <c r="AC697" i="3"/>
  <c r="AC933" i="3"/>
  <c r="AC971" i="3"/>
  <c r="AC396" i="3"/>
  <c r="AC307" i="3"/>
  <c r="AC473" i="3"/>
  <c r="AC462" i="3"/>
  <c r="AC770" i="3"/>
  <c r="AC737" i="3"/>
  <c r="AC798" i="3"/>
  <c r="AC871" i="3"/>
  <c r="AC719" i="3"/>
  <c r="AC66" i="3"/>
  <c r="AC521" i="3"/>
  <c r="AC813" i="3"/>
  <c r="AC746" i="3"/>
  <c r="AC606" i="3"/>
  <c r="AC736" i="3"/>
  <c r="AC885" i="3"/>
  <c r="AC26" i="3"/>
  <c r="AC123" i="3"/>
  <c r="AC192" i="3"/>
  <c r="AC186" i="3"/>
  <c r="AC300" i="3"/>
  <c r="AC298" i="3"/>
  <c r="AC414" i="3"/>
  <c r="AC506" i="3"/>
  <c r="AC614" i="3"/>
  <c r="AC616" i="3"/>
  <c r="AC677" i="3"/>
  <c r="AC764" i="3"/>
  <c r="AC753" i="3"/>
  <c r="AC839" i="3"/>
  <c r="AC903" i="3"/>
  <c r="AC1002" i="3"/>
  <c r="AC950" i="3"/>
  <c r="AC771" i="3"/>
  <c r="AC70" i="3"/>
  <c r="AC120" i="3"/>
  <c r="AC174" i="3"/>
  <c r="AC291" i="3"/>
  <c r="AC215" i="3"/>
  <c r="AC601" i="3"/>
  <c r="AC619" i="3"/>
  <c r="AC672" i="3"/>
  <c r="AC832" i="3"/>
  <c r="AC829" i="3"/>
  <c r="AC907" i="3"/>
  <c r="AC955" i="3"/>
  <c r="AC703" i="3"/>
  <c r="AC276" i="3"/>
  <c r="AC431" i="3"/>
  <c r="AC671" i="3"/>
  <c r="AC845" i="3"/>
  <c r="AC756" i="3"/>
  <c r="AC929" i="3"/>
  <c r="AC878" i="3"/>
  <c r="AC188" i="3"/>
  <c r="AC332" i="3"/>
  <c r="AC331" i="3"/>
  <c r="AC418" i="3"/>
  <c r="AC634" i="3"/>
  <c r="AC718" i="3"/>
  <c r="AC879" i="3"/>
  <c r="AC988" i="3"/>
  <c r="AC41" i="3"/>
  <c r="AC163" i="3"/>
  <c r="AC179" i="3"/>
  <c r="AC243" i="3"/>
  <c r="AC461" i="3"/>
  <c r="AC568" i="3"/>
  <c r="AC894" i="3"/>
  <c r="AC972" i="3"/>
  <c r="AC116" i="3"/>
  <c r="AC28" i="3"/>
  <c r="AC206" i="3"/>
  <c r="AC246" i="3"/>
  <c r="AC801" i="3"/>
  <c r="AC244" i="3"/>
  <c r="AC415" i="3"/>
  <c r="AC491" i="3"/>
  <c r="AC841" i="3"/>
  <c r="AC735" i="3"/>
  <c r="AC974" i="3"/>
  <c r="AC975" i="3"/>
  <c r="AC27" i="3"/>
  <c r="AC85" i="3"/>
  <c r="AC89" i="3"/>
  <c r="AC152" i="3"/>
  <c r="AC220" i="3"/>
  <c r="AC366" i="3"/>
  <c r="AC419" i="3"/>
  <c r="AC557" i="3"/>
  <c r="AC512" i="3"/>
  <c r="AC632" i="3"/>
  <c r="AC615" i="3"/>
  <c r="AC728" i="3"/>
  <c r="AC532" i="3"/>
  <c r="AC641" i="3"/>
  <c r="AC814" i="3"/>
  <c r="AC1001" i="3"/>
  <c r="AC90" i="3"/>
  <c r="AC260" i="3"/>
  <c r="AC213" i="3"/>
  <c r="AC353" i="3"/>
  <c r="AC363" i="3"/>
  <c r="AC426" i="3"/>
  <c r="AC454" i="3"/>
  <c r="AC602" i="3"/>
  <c r="AC590" i="3"/>
  <c r="AC539" i="3"/>
  <c r="AC560" i="3"/>
  <c r="AC681" i="3"/>
  <c r="AC548" i="3"/>
  <c r="AC790" i="3"/>
  <c r="AC691" i="3"/>
  <c r="AC965" i="3"/>
  <c r="AC795" i="3"/>
  <c r="AC943" i="3"/>
  <c r="AC899" i="3"/>
  <c r="AC890" i="3"/>
  <c r="AC767" i="3"/>
  <c r="AC993" i="3"/>
  <c r="AC22" i="3"/>
  <c r="AC378" i="3"/>
  <c r="AC459" i="3"/>
  <c r="AC578" i="3"/>
  <c r="AC543" i="3"/>
  <c r="AC556" i="3"/>
  <c r="AC996" i="3"/>
  <c r="AC189" i="3"/>
  <c r="AC166" i="3"/>
  <c r="AC224" i="3"/>
  <c r="AC485" i="3"/>
  <c r="AC403" i="3"/>
  <c r="AC499" i="3"/>
  <c r="AC676" i="3"/>
  <c r="AC757" i="3"/>
  <c r="AC998" i="3"/>
  <c r="AC59" i="3"/>
  <c r="AC610" i="3"/>
  <c r="AC623" i="3"/>
  <c r="AC836" i="3"/>
  <c r="AC825" i="3"/>
  <c r="AC945" i="3"/>
  <c r="AC136" i="3"/>
  <c r="AC122" i="3"/>
  <c r="AC269" i="3"/>
  <c r="AC501" i="3"/>
  <c r="AC707" i="3"/>
  <c r="AC934" i="3"/>
  <c r="AC54" i="3"/>
  <c r="AC95" i="3"/>
  <c r="AC133" i="3"/>
  <c r="AC210" i="3"/>
  <c r="AC177" i="3"/>
  <c r="AC286" i="3"/>
  <c r="AC502" i="3"/>
  <c r="AC574" i="3"/>
  <c r="AC488" i="3"/>
  <c r="AC710" i="3"/>
  <c r="AC961" i="3"/>
  <c r="AC931" i="3"/>
  <c r="AC51" i="3"/>
  <c r="AC44" i="3"/>
  <c r="AC153" i="3"/>
  <c r="AC203" i="3"/>
  <c r="AC288" i="3"/>
  <c r="AC725" i="3"/>
  <c r="AC723" i="3"/>
  <c r="AC938" i="3"/>
  <c r="AC886" i="3"/>
  <c r="AC983" i="3"/>
  <c r="AC15" i="3"/>
  <c r="AC108" i="3"/>
  <c r="AC101" i="3"/>
  <c r="AC401" i="3"/>
  <c r="AC390" i="3"/>
  <c r="AC437" i="3"/>
  <c r="AC493" i="3"/>
  <c r="AC482" i="3"/>
  <c r="AC533" i="3"/>
  <c r="AC620" i="3"/>
  <c r="AC766" i="3"/>
  <c r="AC762" i="3"/>
  <c r="AC729" i="3"/>
  <c r="AC743" i="3"/>
  <c r="AC796" i="3"/>
  <c r="AC980" i="3"/>
  <c r="AC226" i="3"/>
  <c r="AC428" i="3"/>
  <c r="AC145" i="3"/>
  <c r="AC191" i="3"/>
  <c r="AC267" i="3"/>
  <c r="AC470" i="3"/>
  <c r="AC625" i="3"/>
  <c r="AC230" i="3"/>
  <c r="AC554" i="3"/>
  <c r="AC846" i="3"/>
  <c r="AC969" i="3"/>
  <c r="AC227" i="3"/>
  <c r="AC405" i="3"/>
  <c r="AC394" i="3"/>
  <c r="AC407" i="3"/>
  <c r="AC733" i="3"/>
  <c r="AC758" i="3"/>
  <c r="AC819" i="3"/>
  <c r="AC869" i="3"/>
  <c r="AC783" i="3"/>
  <c r="AC959" i="3"/>
  <c r="AC17" i="3"/>
  <c r="AC14" i="3"/>
  <c r="AC268" i="3"/>
  <c r="AC357" i="3"/>
  <c r="AC445" i="3"/>
  <c r="AC599" i="3"/>
  <c r="AC613" i="3"/>
  <c r="AC709" i="3"/>
  <c r="AC706" i="3"/>
  <c r="AC748" i="3"/>
  <c r="AC734" i="3"/>
  <c r="AC922" i="3"/>
  <c r="AC48" i="3"/>
  <c r="AC207" i="3"/>
  <c r="AC296" i="3"/>
  <c r="AC410" i="3"/>
  <c r="AC752" i="3"/>
  <c r="AC749" i="3"/>
  <c r="AC777" i="3"/>
  <c r="AC799" i="3"/>
  <c r="AC872" i="3"/>
  <c r="AC24" i="3"/>
  <c r="AC30" i="3"/>
  <c r="AC43" i="3"/>
  <c r="AC274" i="3"/>
  <c r="AC255" i="3"/>
  <c r="AC309" i="3"/>
  <c r="AC425" i="3"/>
  <c r="AC517" i="3"/>
  <c r="AC467" i="3"/>
  <c r="AC580" i="3"/>
  <c r="AC856" i="3"/>
  <c r="AC853" i="3"/>
  <c r="AC722" i="3"/>
  <c r="AC700" i="3"/>
  <c r="AC689" i="3"/>
  <c r="AC937" i="3"/>
  <c r="AC193" i="3"/>
  <c r="AC155" i="3"/>
  <c r="AC349" i="3"/>
  <c r="AC338" i="3"/>
  <c r="AC388" i="3"/>
  <c r="AC384" i="3"/>
  <c r="AC319" i="3"/>
  <c r="AC411" i="3"/>
  <c r="AC765" i="3"/>
  <c r="AC726" i="3"/>
  <c r="AC952" i="3"/>
  <c r="AC803" i="3"/>
  <c r="AC977" i="3"/>
  <c r="AC844" i="3"/>
  <c r="AC990" i="3"/>
  <c r="AC947" i="3"/>
  <c r="AC991" i="3"/>
  <c r="AC781" i="3"/>
  <c r="AC809" i="3"/>
  <c r="AC429" i="3"/>
  <c r="AC379" i="3"/>
  <c r="AC106" i="3"/>
  <c r="AC306" i="3"/>
  <c r="AC761" i="3"/>
  <c r="AC170" i="3"/>
  <c r="AC515" i="3"/>
  <c r="AC505" i="3"/>
  <c r="AC712" i="3"/>
  <c r="AC960" i="3"/>
  <c r="AC973" i="3"/>
  <c r="AC967" i="3"/>
  <c r="AC57" i="3"/>
  <c r="AC222" i="3"/>
  <c r="AC280" i="3"/>
  <c r="AC326" i="3"/>
  <c r="AC315" i="3"/>
  <c r="AC432" i="3"/>
  <c r="AC371" i="3"/>
  <c r="AC477" i="3"/>
  <c r="AC626" i="3"/>
  <c r="AC661" i="3"/>
  <c r="AC617" i="3"/>
  <c r="AC838" i="3"/>
  <c r="AC864" i="3"/>
  <c r="AC949" i="3"/>
  <c r="AC910" i="3"/>
  <c r="AC237" i="3"/>
  <c r="AC313" i="3"/>
  <c r="AC302" i="3"/>
  <c r="AC397" i="3"/>
  <c r="AC450" i="3"/>
  <c r="AC489" i="3"/>
  <c r="AC586" i="3"/>
  <c r="AC817" i="3"/>
  <c r="AC751" i="3"/>
  <c r="AC912" i="3"/>
  <c r="AC874" i="3"/>
  <c r="AC875" i="3"/>
  <c r="AC114" i="3"/>
  <c r="AC238" i="3"/>
  <c r="AC435" i="3"/>
  <c r="AC507" i="3"/>
  <c r="AC563" i="3"/>
  <c r="AC654" i="3"/>
  <c r="AC768" i="3"/>
  <c r="AC857" i="3"/>
  <c r="AC843" i="3"/>
  <c r="AC132" i="3"/>
  <c r="AC484" i="3"/>
  <c r="AC659" i="3"/>
  <c r="AC954" i="3"/>
  <c r="AC891" i="3"/>
  <c r="AC330" i="3"/>
  <c r="AC295" i="3"/>
  <c r="AC510" i="3"/>
  <c r="AC649" i="3"/>
  <c r="AC785" i="3"/>
  <c r="AC782" i="3"/>
  <c r="AC658" i="3"/>
  <c r="AC868" i="3"/>
  <c r="AC957" i="3"/>
  <c r="AC264" i="3"/>
  <c r="AC290" i="3"/>
  <c r="AC317" i="3"/>
  <c r="AC497" i="3"/>
  <c r="AC487" i="3"/>
  <c r="AC569" i="3"/>
  <c r="AC559" i="3"/>
  <c r="AC861" i="3"/>
  <c r="AC997" i="3"/>
  <c r="AC882" i="3"/>
  <c r="AC881" i="3"/>
  <c r="AC19" i="3"/>
  <c r="AC434" i="3"/>
  <c r="AC526" i="3"/>
  <c r="AC370" i="3"/>
  <c r="AC504" i="3"/>
  <c r="AC650" i="3"/>
  <c r="AC837" i="3"/>
  <c r="AC834" i="3"/>
  <c r="AC862" i="3"/>
  <c r="AC823" i="3"/>
  <c r="AC180" i="3"/>
  <c r="AC223" i="3"/>
  <c r="AC234" i="3"/>
  <c r="AC283" i="3"/>
  <c r="AC147" i="3"/>
  <c r="AC464" i="3"/>
  <c r="AC638" i="3"/>
  <c r="AC863" i="3"/>
  <c r="AC897" i="3"/>
  <c r="AC45" i="3"/>
  <c r="AC76" i="3"/>
  <c r="AC98" i="3"/>
  <c r="AC262" i="3"/>
  <c r="AC314" i="3"/>
  <c r="AC408" i="3"/>
  <c r="AC495" i="3"/>
  <c r="AC478" i="3"/>
  <c r="AC550" i="3"/>
  <c r="AC678" i="3"/>
  <c r="AC680" i="3"/>
  <c r="AC665" i="3"/>
  <c r="AC850" i="3"/>
  <c r="AC168" i="3"/>
  <c r="AC195" i="3"/>
  <c r="AC232" i="3"/>
  <c r="AC199" i="3"/>
  <c r="AC340" i="3"/>
  <c r="AC373" i="3"/>
  <c r="AC465" i="3"/>
  <c r="AC562" i="3"/>
  <c r="AC642" i="3"/>
  <c r="AC701" i="3"/>
  <c r="AC698" i="3"/>
  <c r="AC889" i="3"/>
  <c r="AC901" i="3"/>
  <c r="AC916" i="3"/>
  <c r="D67" i="1" l="1"/>
  <c r="R18" i="1"/>
  <c r="S18" i="1" s="1"/>
  <c r="Z18" i="1" s="1"/>
  <c r="R26" i="1"/>
  <c r="S26" i="1" s="1"/>
  <c r="Z26" i="1" s="1"/>
  <c r="R34" i="1"/>
  <c r="R42" i="1"/>
  <c r="S42" i="1" s="1"/>
  <c r="Z42" i="1" s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S98" i="1" s="1"/>
  <c r="Z98" i="1" s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S162" i="1" s="1"/>
  <c r="Z162" i="1" s="1"/>
  <c r="R170" i="1"/>
  <c r="S170" i="1" s="1"/>
  <c r="Z170" i="1" s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S155" i="1" s="1"/>
  <c r="Z155" i="1" s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E18" i="1"/>
  <c r="AF18" i="1" s="1"/>
  <c r="AJ18" i="1" s="1"/>
  <c r="AE26" i="1"/>
  <c r="AF26" i="1" s="1"/>
  <c r="AE34" i="1"/>
  <c r="AF34" i="1" s="1"/>
  <c r="AE42" i="1"/>
  <c r="AF42" i="1" s="1"/>
  <c r="AE50" i="1"/>
  <c r="AF50" i="1" s="1"/>
  <c r="AE58" i="1"/>
  <c r="AF58" i="1" s="1"/>
  <c r="AE66" i="1"/>
  <c r="AF66" i="1" s="1"/>
  <c r="AE74" i="1"/>
  <c r="AF74" i="1" s="1"/>
  <c r="AE82" i="1"/>
  <c r="AF82" i="1" s="1"/>
  <c r="AE90" i="1"/>
  <c r="AF90" i="1" s="1"/>
  <c r="AE98" i="1"/>
  <c r="AF98" i="1" s="1"/>
  <c r="AE106" i="1"/>
  <c r="AF106" i="1" s="1"/>
  <c r="AE114" i="1"/>
  <c r="AF114" i="1" s="1"/>
  <c r="AE122" i="1"/>
  <c r="AF122" i="1" s="1"/>
  <c r="AE130" i="1"/>
  <c r="AF130" i="1" s="1"/>
  <c r="AE138" i="1"/>
  <c r="AF138" i="1" s="1"/>
  <c r="AE146" i="1"/>
  <c r="AF146" i="1" s="1"/>
  <c r="AE154" i="1"/>
  <c r="AF154" i="1" s="1"/>
  <c r="AE162" i="1"/>
  <c r="AF162" i="1" s="1"/>
  <c r="AE170" i="1"/>
  <c r="AF170" i="1" s="1"/>
  <c r="AE178" i="1"/>
  <c r="AF178" i="1" s="1"/>
  <c r="AE186" i="1"/>
  <c r="AF186" i="1" s="1"/>
  <c r="AE194" i="1"/>
  <c r="AF194" i="1" s="1"/>
  <c r="AE202" i="1"/>
  <c r="AF202" i="1" s="1"/>
  <c r="AE210" i="1"/>
  <c r="AF210" i="1" s="1"/>
  <c r="AE218" i="1"/>
  <c r="AF218" i="1" s="1"/>
  <c r="AE226" i="1"/>
  <c r="AF226" i="1" s="1"/>
  <c r="AE234" i="1"/>
  <c r="AF234" i="1" s="1"/>
  <c r="AE242" i="1"/>
  <c r="AF242" i="1" s="1"/>
  <c r="AE250" i="1"/>
  <c r="AF250" i="1" s="1"/>
  <c r="AE258" i="1"/>
  <c r="AF258" i="1" s="1"/>
  <c r="AE266" i="1"/>
  <c r="AF266" i="1" s="1"/>
  <c r="AE274" i="1"/>
  <c r="AF274" i="1" s="1"/>
  <c r="AE282" i="1"/>
  <c r="AF282" i="1" s="1"/>
  <c r="AE290" i="1"/>
  <c r="AF290" i="1" s="1"/>
  <c r="AE298" i="1"/>
  <c r="AF298" i="1" s="1"/>
  <c r="AE306" i="1"/>
  <c r="AF306" i="1" s="1"/>
  <c r="AE314" i="1"/>
  <c r="AF314" i="1" s="1"/>
  <c r="AE322" i="1"/>
  <c r="AF322" i="1" s="1"/>
  <c r="AE330" i="1"/>
  <c r="AF330" i="1" s="1"/>
  <c r="AE338" i="1"/>
  <c r="AF338" i="1" s="1"/>
  <c r="AE346" i="1"/>
  <c r="AF346" i="1" s="1"/>
  <c r="AE354" i="1"/>
  <c r="AF354" i="1" s="1"/>
  <c r="AE362" i="1"/>
  <c r="AF362" i="1" s="1"/>
  <c r="AE370" i="1"/>
  <c r="AF370" i="1" s="1"/>
  <c r="AE378" i="1"/>
  <c r="AF378" i="1" s="1"/>
  <c r="AE386" i="1"/>
  <c r="AF386" i="1" s="1"/>
  <c r="AE394" i="1"/>
  <c r="AF394" i="1" s="1"/>
  <c r="AE402" i="1"/>
  <c r="AF402" i="1" s="1"/>
  <c r="AE410" i="1"/>
  <c r="AF410" i="1" s="1"/>
  <c r="AE418" i="1"/>
  <c r="AF418" i="1" s="1"/>
  <c r="AE426" i="1"/>
  <c r="AF426" i="1" s="1"/>
  <c r="AE434" i="1"/>
  <c r="AF434" i="1" s="1"/>
  <c r="AE442" i="1"/>
  <c r="AF442" i="1" s="1"/>
  <c r="AE450" i="1"/>
  <c r="AF450" i="1" s="1"/>
  <c r="AE458" i="1"/>
  <c r="AF458" i="1" s="1"/>
  <c r="AE466" i="1"/>
  <c r="AF466" i="1" s="1"/>
  <c r="AE474" i="1"/>
  <c r="AF474" i="1" s="1"/>
  <c r="AE482" i="1"/>
  <c r="AF482" i="1" s="1"/>
  <c r="AE490" i="1"/>
  <c r="AF490" i="1" s="1"/>
  <c r="AE498" i="1"/>
  <c r="AF498" i="1" s="1"/>
  <c r="AE506" i="1"/>
  <c r="AF506" i="1" s="1"/>
  <c r="AE514" i="1"/>
  <c r="AF514" i="1" s="1"/>
  <c r="AE522" i="1"/>
  <c r="AF522" i="1" s="1"/>
  <c r="AE530" i="1"/>
  <c r="AF530" i="1" s="1"/>
  <c r="AE538" i="1"/>
  <c r="AF538" i="1" s="1"/>
  <c r="AE546" i="1"/>
  <c r="AF546" i="1" s="1"/>
  <c r="AE554" i="1"/>
  <c r="AF554" i="1" s="1"/>
  <c r="AE562" i="1"/>
  <c r="AF562" i="1" s="1"/>
  <c r="AE570" i="1"/>
  <c r="AF570" i="1" s="1"/>
  <c r="AE578" i="1"/>
  <c r="AF578" i="1" s="1"/>
  <c r="AE586" i="1"/>
  <c r="AF586" i="1" s="1"/>
  <c r="AE594" i="1"/>
  <c r="AF594" i="1" s="1"/>
  <c r="AE602" i="1"/>
  <c r="AF602" i="1" s="1"/>
  <c r="AE610" i="1"/>
  <c r="AF610" i="1" s="1"/>
  <c r="AE618" i="1"/>
  <c r="AF618" i="1" s="1"/>
  <c r="AE626" i="1"/>
  <c r="AF626" i="1" s="1"/>
  <c r="AE634" i="1"/>
  <c r="AF634" i="1" s="1"/>
  <c r="AE642" i="1"/>
  <c r="AF642" i="1" s="1"/>
  <c r="AE650" i="1"/>
  <c r="AF650" i="1" s="1"/>
  <c r="AE658" i="1"/>
  <c r="AF658" i="1" s="1"/>
  <c r="AE29" i="1"/>
  <c r="AF29" i="1" s="1"/>
  <c r="AE19" i="1"/>
  <c r="AF19" i="1" s="1"/>
  <c r="AE27" i="1"/>
  <c r="AF27" i="1" s="1"/>
  <c r="AE35" i="1"/>
  <c r="AF35" i="1" s="1"/>
  <c r="AE43" i="1"/>
  <c r="AF43" i="1" s="1"/>
  <c r="AE51" i="1"/>
  <c r="AF51" i="1" s="1"/>
  <c r="AE59" i="1"/>
  <c r="AF59" i="1" s="1"/>
  <c r="AE67" i="1"/>
  <c r="AF67" i="1" s="1"/>
  <c r="AE75" i="1"/>
  <c r="AF75" i="1" s="1"/>
  <c r="AE83" i="1"/>
  <c r="AF83" i="1" s="1"/>
  <c r="AE91" i="1"/>
  <c r="AF91" i="1" s="1"/>
  <c r="AE99" i="1"/>
  <c r="AF99" i="1" s="1"/>
  <c r="AE107" i="1"/>
  <c r="AF107" i="1" s="1"/>
  <c r="AE115" i="1"/>
  <c r="AF115" i="1" s="1"/>
  <c r="AE123" i="1"/>
  <c r="AF123" i="1" s="1"/>
  <c r="AE131" i="1"/>
  <c r="AF131" i="1" s="1"/>
  <c r="AE139" i="1"/>
  <c r="AF139" i="1" s="1"/>
  <c r="AE147" i="1"/>
  <c r="AF147" i="1" s="1"/>
  <c r="AE155" i="1"/>
  <c r="AF155" i="1" s="1"/>
  <c r="AE163" i="1"/>
  <c r="AF163" i="1" s="1"/>
  <c r="AE171" i="1"/>
  <c r="AF171" i="1" s="1"/>
  <c r="AE179" i="1"/>
  <c r="AF179" i="1" s="1"/>
  <c r="AE187" i="1"/>
  <c r="AF187" i="1" s="1"/>
  <c r="AE195" i="1"/>
  <c r="AF195" i="1" s="1"/>
  <c r="AE203" i="1"/>
  <c r="AF203" i="1" s="1"/>
  <c r="AE211" i="1"/>
  <c r="AF211" i="1" s="1"/>
  <c r="AE219" i="1"/>
  <c r="AF219" i="1" s="1"/>
  <c r="AE227" i="1"/>
  <c r="AF227" i="1" s="1"/>
  <c r="AE235" i="1"/>
  <c r="AF235" i="1" s="1"/>
  <c r="AE243" i="1"/>
  <c r="AF243" i="1" s="1"/>
  <c r="AE251" i="1"/>
  <c r="AF251" i="1" s="1"/>
  <c r="AE259" i="1"/>
  <c r="AF259" i="1" s="1"/>
  <c r="AE267" i="1"/>
  <c r="AF267" i="1" s="1"/>
  <c r="AE275" i="1"/>
  <c r="AF275" i="1" s="1"/>
  <c r="AE283" i="1"/>
  <c r="AF283" i="1" s="1"/>
  <c r="AE291" i="1"/>
  <c r="AF291" i="1" s="1"/>
  <c r="AE299" i="1"/>
  <c r="AF299" i="1" s="1"/>
  <c r="AE307" i="1"/>
  <c r="AF307" i="1" s="1"/>
  <c r="AE315" i="1"/>
  <c r="AF315" i="1" s="1"/>
  <c r="AE323" i="1"/>
  <c r="AF323" i="1" s="1"/>
  <c r="AE331" i="1"/>
  <c r="AF331" i="1" s="1"/>
  <c r="AE339" i="1"/>
  <c r="AF339" i="1" s="1"/>
  <c r="AE347" i="1"/>
  <c r="AF347" i="1" s="1"/>
  <c r="AE355" i="1"/>
  <c r="AF355" i="1" s="1"/>
  <c r="AE363" i="1"/>
  <c r="AF363" i="1" s="1"/>
  <c r="AE371" i="1"/>
  <c r="AF371" i="1" s="1"/>
  <c r="AE379" i="1"/>
  <c r="AF379" i="1" s="1"/>
  <c r="AE387" i="1"/>
  <c r="AF387" i="1" s="1"/>
  <c r="AE395" i="1"/>
  <c r="AF395" i="1" s="1"/>
  <c r="AE403" i="1"/>
  <c r="AF403" i="1" s="1"/>
  <c r="AE411" i="1"/>
  <c r="AF411" i="1" s="1"/>
  <c r="AE419" i="1"/>
  <c r="AF419" i="1" s="1"/>
  <c r="AE427" i="1"/>
  <c r="AF427" i="1" s="1"/>
  <c r="AE435" i="1"/>
  <c r="AF435" i="1" s="1"/>
  <c r="AE443" i="1"/>
  <c r="AF443" i="1" s="1"/>
  <c r="AE451" i="1"/>
  <c r="AF451" i="1" s="1"/>
  <c r="AE459" i="1"/>
  <c r="AF459" i="1" s="1"/>
  <c r="AE467" i="1"/>
  <c r="AF467" i="1" s="1"/>
  <c r="AE475" i="1"/>
  <c r="AF475" i="1" s="1"/>
  <c r="AE483" i="1"/>
  <c r="AF483" i="1" s="1"/>
  <c r="AE491" i="1"/>
  <c r="AF491" i="1" s="1"/>
  <c r="AE499" i="1"/>
  <c r="AF499" i="1" s="1"/>
  <c r="AE507" i="1"/>
  <c r="AF507" i="1" s="1"/>
  <c r="AE515" i="1"/>
  <c r="AF515" i="1" s="1"/>
  <c r="AE523" i="1"/>
  <c r="AF523" i="1" s="1"/>
  <c r="AE531" i="1"/>
  <c r="AF531" i="1" s="1"/>
  <c r="AE539" i="1"/>
  <c r="AF539" i="1" s="1"/>
  <c r="AE547" i="1"/>
  <c r="AF547" i="1" s="1"/>
  <c r="AE555" i="1"/>
  <c r="AF555" i="1" s="1"/>
  <c r="AE563" i="1"/>
  <c r="AF563" i="1" s="1"/>
  <c r="AE571" i="1"/>
  <c r="AF571" i="1" s="1"/>
  <c r="AE579" i="1"/>
  <c r="AF579" i="1" s="1"/>
  <c r="AE587" i="1"/>
  <c r="AF587" i="1" s="1"/>
  <c r="AE595" i="1"/>
  <c r="AF595" i="1" s="1"/>
  <c r="AE603" i="1"/>
  <c r="AF603" i="1" s="1"/>
  <c r="AE611" i="1"/>
  <c r="AF611" i="1" s="1"/>
  <c r="AE619" i="1"/>
  <c r="AF619" i="1" s="1"/>
  <c r="AE627" i="1"/>
  <c r="AF627" i="1" s="1"/>
  <c r="AE635" i="1"/>
  <c r="AF635" i="1" s="1"/>
  <c r="AE643" i="1"/>
  <c r="AF643" i="1" s="1"/>
  <c r="AE651" i="1"/>
  <c r="AF651" i="1" s="1"/>
  <c r="AE659" i="1"/>
  <c r="AF659" i="1" s="1"/>
  <c r="AE20" i="1"/>
  <c r="AF20" i="1" s="1"/>
  <c r="AE28" i="1"/>
  <c r="AF28" i="1" s="1"/>
  <c r="AE36" i="1"/>
  <c r="AF36" i="1" s="1"/>
  <c r="AE44" i="1"/>
  <c r="AF44" i="1" s="1"/>
  <c r="AE52" i="1"/>
  <c r="AF52" i="1" s="1"/>
  <c r="AE60" i="1"/>
  <c r="AF60" i="1" s="1"/>
  <c r="AE68" i="1"/>
  <c r="AF68" i="1" s="1"/>
  <c r="AE76" i="1"/>
  <c r="AF76" i="1" s="1"/>
  <c r="AE84" i="1"/>
  <c r="AF84" i="1" s="1"/>
  <c r="AE92" i="1"/>
  <c r="AF92" i="1" s="1"/>
  <c r="AE100" i="1"/>
  <c r="AF100" i="1" s="1"/>
  <c r="AE108" i="1"/>
  <c r="AF108" i="1" s="1"/>
  <c r="AE116" i="1"/>
  <c r="AF116" i="1" s="1"/>
  <c r="AE124" i="1"/>
  <c r="AF124" i="1" s="1"/>
  <c r="AE132" i="1"/>
  <c r="AF132" i="1" s="1"/>
  <c r="AE140" i="1"/>
  <c r="AF140" i="1" s="1"/>
  <c r="AE148" i="1"/>
  <c r="AF148" i="1" s="1"/>
  <c r="AE156" i="1"/>
  <c r="AF156" i="1" s="1"/>
  <c r="AE164" i="1"/>
  <c r="AF164" i="1" s="1"/>
  <c r="AE172" i="1"/>
  <c r="AF172" i="1" s="1"/>
  <c r="AE180" i="1"/>
  <c r="AF180" i="1" s="1"/>
  <c r="AE188" i="1"/>
  <c r="AF188" i="1" s="1"/>
  <c r="AE196" i="1"/>
  <c r="AF196" i="1" s="1"/>
  <c r="AE204" i="1"/>
  <c r="AF204" i="1" s="1"/>
  <c r="AE212" i="1"/>
  <c r="AF212" i="1" s="1"/>
  <c r="AE220" i="1"/>
  <c r="AF220" i="1" s="1"/>
  <c r="AE228" i="1"/>
  <c r="AF228" i="1" s="1"/>
  <c r="AE236" i="1"/>
  <c r="AF236" i="1" s="1"/>
  <c r="AE244" i="1"/>
  <c r="AF244" i="1" s="1"/>
  <c r="AE252" i="1"/>
  <c r="AF252" i="1" s="1"/>
  <c r="AE260" i="1"/>
  <c r="AF260" i="1" s="1"/>
  <c r="AE268" i="1"/>
  <c r="AF268" i="1" s="1"/>
  <c r="AE276" i="1"/>
  <c r="AF276" i="1" s="1"/>
  <c r="AE284" i="1"/>
  <c r="AF284" i="1" s="1"/>
  <c r="AE292" i="1"/>
  <c r="AF292" i="1" s="1"/>
  <c r="AE300" i="1"/>
  <c r="AF300" i="1" s="1"/>
  <c r="AE308" i="1"/>
  <c r="AF308" i="1" s="1"/>
  <c r="AE316" i="1"/>
  <c r="AF316" i="1" s="1"/>
  <c r="AE324" i="1"/>
  <c r="AF324" i="1" s="1"/>
  <c r="AE332" i="1"/>
  <c r="AF332" i="1" s="1"/>
  <c r="AE340" i="1"/>
  <c r="AF340" i="1" s="1"/>
  <c r="AE348" i="1"/>
  <c r="AF348" i="1" s="1"/>
  <c r="AE356" i="1"/>
  <c r="AF356" i="1" s="1"/>
  <c r="AE364" i="1"/>
  <c r="AF364" i="1" s="1"/>
  <c r="AE372" i="1"/>
  <c r="AF372" i="1" s="1"/>
  <c r="AE380" i="1"/>
  <c r="AF380" i="1" s="1"/>
  <c r="AE388" i="1"/>
  <c r="AF388" i="1" s="1"/>
  <c r="AE396" i="1"/>
  <c r="AF396" i="1" s="1"/>
  <c r="AE404" i="1"/>
  <c r="AF404" i="1" s="1"/>
  <c r="AE412" i="1"/>
  <c r="AF412" i="1" s="1"/>
  <c r="AE420" i="1"/>
  <c r="AF420" i="1" s="1"/>
  <c r="AE428" i="1"/>
  <c r="AF428" i="1" s="1"/>
  <c r="AE436" i="1"/>
  <c r="AF436" i="1" s="1"/>
  <c r="AE444" i="1"/>
  <c r="AF444" i="1" s="1"/>
  <c r="AE452" i="1"/>
  <c r="AF452" i="1" s="1"/>
  <c r="AE460" i="1"/>
  <c r="AF460" i="1" s="1"/>
  <c r="AE468" i="1"/>
  <c r="AF468" i="1" s="1"/>
  <c r="AE476" i="1"/>
  <c r="AF476" i="1" s="1"/>
  <c r="AE484" i="1"/>
  <c r="AF484" i="1" s="1"/>
  <c r="AE492" i="1"/>
  <c r="AF492" i="1" s="1"/>
  <c r="AE500" i="1"/>
  <c r="AF500" i="1" s="1"/>
  <c r="AE508" i="1"/>
  <c r="AF508" i="1" s="1"/>
  <c r="AE516" i="1"/>
  <c r="AF516" i="1" s="1"/>
  <c r="AE524" i="1"/>
  <c r="AF524" i="1" s="1"/>
  <c r="AE532" i="1"/>
  <c r="AF532" i="1" s="1"/>
  <c r="AE540" i="1"/>
  <c r="AF540" i="1" s="1"/>
  <c r="AE548" i="1"/>
  <c r="AF548" i="1" s="1"/>
  <c r="AE556" i="1"/>
  <c r="AF556" i="1" s="1"/>
  <c r="AE564" i="1"/>
  <c r="AF564" i="1" s="1"/>
  <c r="AE572" i="1"/>
  <c r="AF572" i="1" s="1"/>
  <c r="AE580" i="1"/>
  <c r="AF580" i="1" s="1"/>
  <c r="AE588" i="1"/>
  <c r="AF588" i="1" s="1"/>
  <c r="AE596" i="1"/>
  <c r="AF596" i="1" s="1"/>
  <c r="AE604" i="1"/>
  <c r="AF604" i="1" s="1"/>
  <c r="AE612" i="1"/>
  <c r="AF612" i="1" s="1"/>
  <c r="AE620" i="1"/>
  <c r="AF620" i="1" s="1"/>
  <c r="AE628" i="1"/>
  <c r="AF628" i="1" s="1"/>
  <c r="AE636" i="1"/>
  <c r="AF636" i="1" s="1"/>
  <c r="AE644" i="1"/>
  <c r="AF644" i="1" s="1"/>
  <c r="AE652" i="1"/>
  <c r="AF652" i="1" s="1"/>
  <c r="AE660" i="1"/>
  <c r="AF660" i="1" s="1"/>
  <c r="AE21" i="1"/>
  <c r="AF21" i="1" s="1"/>
  <c r="AE37" i="1"/>
  <c r="AF37" i="1" s="1"/>
  <c r="AE45" i="1"/>
  <c r="AF45" i="1" s="1"/>
  <c r="AE53" i="1"/>
  <c r="AF53" i="1" s="1"/>
  <c r="AE22" i="1"/>
  <c r="AF22" i="1" s="1"/>
  <c r="AE30" i="1"/>
  <c r="AF30" i="1" s="1"/>
  <c r="AE38" i="1"/>
  <c r="AF38" i="1" s="1"/>
  <c r="AE46" i="1"/>
  <c r="AF46" i="1" s="1"/>
  <c r="AE54" i="1"/>
  <c r="AF54" i="1" s="1"/>
  <c r="AE62" i="1"/>
  <c r="AF62" i="1" s="1"/>
  <c r="AE70" i="1"/>
  <c r="AF70" i="1" s="1"/>
  <c r="AE78" i="1"/>
  <c r="AF78" i="1" s="1"/>
  <c r="AE86" i="1"/>
  <c r="AF86" i="1" s="1"/>
  <c r="AE94" i="1"/>
  <c r="AF94" i="1" s="1"/>
  <c r="AE102" i="1"/>
  <c r="AF102" i="1" s="1"/>
  <c r="AE110" i="1"/>
  <c r="AF110" i="1" s="1"/>
  <c r="AE118" i="1"/>
  <c r="AF118" i="1" s="1"/>
  <c r="AE126" i="1"/>
  <c r="AF126" i="1" s="1"/>
  <c r="AE134" i="1"/>
  <c r="AF134" i="1" s="1"/>
  <c r="AE142" i="1"/>
  <c r="AF142" i="1" s="1"/>
  <c r="AE150" i="1"/>
  <c r="AF150" i="1" s="1"/>
  <c r="AE158" i="1"/>
  <c r="AF158" i="1" s="1"/>
  <c r="AE166" i="1"/>
  <c r="AF166" i="1" s="1"/>
  <c r="AE174" i="1"/>
  <c r="AF174" i="1" s="1"/>
  <c r="AE182" i="1"/>
  <c r="AF182" i="1" s="1"/>
  <c r="AE190" i="1"/>
  <c r="AF190" i="1" s="1"/>
  <c r="AE198" i="1"/>
  <c r="AF198" i="1" s="1"/>
  <c r="AE206" i="1"/>
  <c r="AF206" i="1" s="1"/>
  <c r="AE214" i="1"/>
  <c r="AF214" i="1" s="1"/>
  <c r="AE222" i="1"/>
  <c r="AF222" i="1" s="1"/>
  <c r="AE230" i="1"/>
  <c r="AF230" i="1" s="1"/>
  <c r="AE238" i="1"/>
  <c r="AF238" i="1" s="1"/>
  <c r="AE246" i="1"/>
  <c r="AF246" i="1" s="1"/>
  <c r="AE254" i="1"/>
  <c r="AF254" i="1" s="1"/>
  <c r="AE262" i="1"/>
  <c r="AF262" i="1" s="1"/>
  <c r="AE270" i="1"/>
  <c r="AF270" i="1" s="1"/>
  <c r="AE278" i="1"/>
  <c r="AF278" i="1" s="1"/>
  <c r="AE286" i="1"/>
  <c r="AF286" i="1" s="1"/>
  <c r="AE294" i="1"/>
  <c r="AF294" i="1" s="1"/>
  <c r="AE302" i="1"/>
  <c r="AF302" i="1" s="1"/>
  <c r="AE310" i="1"/>
  <c r="AF310" i="1" s="1"/>
  <c r="AE318" i="1"/>
  <c r="AF318" i="1" s="1"/>
  <c r="AE326" i="1"/>
  <c r="AF326" i="1" s="1"/>
  <c r="AE334" i="1"/>
  <c r="AF334" i="1" s="1"/>
  <c r="AE342" i="1"/>
  <c r="AF342" i="1" s="1"/>
  <c r="AE350" i="1"/>
  <c r="AF350" i="1" s="1"/>
  <c r="AE358" i="1"/>
  <c r="AF358" i="1" s="1"/>
  <c r="AE366" i="1"/>
  <c r="AF366" i="1" s="1"/>
  <c r="AE374" i="1"/>
  <c r="AF374" i="1" s="1"/>
  <c r="AE382" i="1"/>
  <c r="AF382" i="1" s="1"/>
  <c r="AE390" i="1"/>
  <c r="AF390" i="1" s="1"/>
  <c r="AE398" i="1"/>
  <c r="AF398" i="1" s="1"/>
  <c r="AE406" i="1"/>
  <c r="AF406" i="1" s="1"/>
  <c r="AE414" i="1"/>
  <c r="AF414" i="1" s="1"/>
  <c r="AE422" i="1"/>
  <c r="AF422" i="1" s="1"/>
  <c r="AE430" i="1"/>
  <c r="AF430" i="1" s="1"/>
  <c r="AE438" i="1"/>
  <c r="AF438" i="1" s="1"/>
  <c r="AE446" i="1"/>
  <c r="AF446" i="1" s="1"/>
  <c r="AE454" i="1"/>
  <c r="AF454" i="1" s="1"/>
  <c r="AE462" i="1"/>
  <c r="AF462" i="1" s="1"/>
  <c r="AE470" i="1"/>
  <c r="AF470" i="1" s="1"/>
  <c r="AE478" i="1"/>
  <c r="AF478" i="1" s="1"/>
  <c r="AE486" i="1"/>
  <c r="AF486" i="1" s="1"/>
  <c r="AE494" i="1"/>
  <c r="AF494" i="1" s="1"/>
  <c r="AE502" i="1"/>
  <c r="AF502" i="1" s="1"/>
  <c r="AE510" i="1"/>
  <c r="AF510" i="1" s="1"/>
  <c r="AE518" i="1"/>
  <c r="AF518" i="1" s="1"/>
  <c r="AE526" i="1"/>
  <c r="AF526" i="1" s="1"/>
  <c r="AE534" i="1"/>
  <c r="AF534" i="1" s="1"/>
  <c r="AE542" i="1"/>
  <c r="AF542" i="1" s="1"/>
  <c r="AE550" i="1"/>
  <c r="AF550" i="1" s="1"/>
  <c r="AE558" i="1"/>
  <c r="AF558" i="1" s="1"/>
  <c r="AE566" i="1"/>
  <c r="AF566" i="1" s="1"/>
  <c r="AE574" i="1"/>
  <c r="AF574" i="1" s="1"/>
  <c r="AE582" i="1"/>
  <c r="AF582" i="1" s="1"/>
  <c r="AE590" i="1"/>
  <c r="AF590" i="1" s="1"/>
  <c r="AE598" i="1"/>
  <c r="AF598" i="1" s="1"/>
  <c r="AE606" i="1"/>
  <c r="AF606" i="1" s="1"/>
  <c r="AE614" i="1"/>
  <c r="AF614" i="1" s="1"/>
  <c r="AE622" i="1"/>
  <c r="AF622" i="1" s="1"/>
  <c r="AE630" i="1"/>
  <c r="AF630" i="1" s="1"/>
  <c r="AE638" i="1"/>
  <c r="AF638" i="1" s="1"/>
  <c r="AE646" i="1"/>
  <c r="AF646" i="1" s="1"/>
  <c r="AE654" i="1"/>
  <c r="AF654" i="1" s="1"/>
  <c r="AE662" i="1"/>
  <c r="AF662" i="1" s="1"/>
  <c r="AE33" i="1"/>
  <c r="AF33" i="1" s="1"/>
  <c r="AE23" i="1"/>
  <c r="AF23" i="1" s="1"/>
  <c r="AE31" i="1"/>
  <c r="AF31" i="1" s="1"/>
  <c r="AE39" i="1"/>
  <c r="AF39" i="1" s="1"/>
  <c r="AE47" i="1"/>
  <c r="AF47" i="1" s="1"/>
  <c r="AE55" i="1"/>
  <c r="AF55" i="1" s="1"/>
  <c r="AE63" i="1"/>
  <c r="AF63" i="1" s="1"/>
  <c r="AE71" i="1"/>
  <c r="AF71" i="1" s="1"/>
  <c r="AE79" i="1"/>
  <c r="AF79" i="1" s="1"/>
  <c r="AE87" i="1"/>
  <c r="AF87" i="1" s="1"/>
  <c r="AE95" i="1"/>
  <c r="AF95" i="1" s="1"/>
  <c r="AE103" i="1"/>
  <c r="AF103" i="1" s="1"/>
  <c r="AE111" i="1"/>
  <c r="AF111" i="1" s="1"/>
  <c r="AE119" i="1"/>
  <c r="AF119" i="1" s="1"/>
  <c r="AE127" i="1"/>
  <c r="AF127" i="1" s="1"/>
  <c r="AE135" i="1"/>
  <c r="AF135" i="1" s="1"/>
  <c r="AE143" i="1"/>
  <c r="AF143" i="1" s="1"/>
  <c r="AE151" i="1"/>
  <c r="AF151" i="1" s="1"/>
  <c r="AE159" i="1"/>
  <c r="AF159" i="1" s="1"/>
  <c r="AE167" i="1"/>
  <c r="AF167" i="1" s="1"/>
  <c r="AE175" i="1"/>
  <c r="AF175" i="1" s="1"/>
  <c r="AE183" i="1"/>
  <c r="AF183" i="1" s="1"/>
  <c r="AE191" i="1"/>
  <c r="AF191" i="1" s="1"/>
  <c r="AE199" i="1"/>
  <c r="AF199" i="1" s="1"/>
  <c r="AE207" i="1"/>
  <c r="AF207" i="1" s="1"/>
  <c r="AE215" i="1"/>
  <c r="AF215" i="1" s="1"/>
  <c r="AE223" i="1"/>
  <c r="AF223" i="1" s="1"/>
  <c r="AE231" i="1"/>
  <c r="AF231" i="1" s="1"/>
  <c r="AE239" i="1"/>
  <c r="AF239" i="1" s="1"/>
  <c r="AE247" i="1"/>
  <c r="AF247" i="1" s="1"/>
  <c r="AE255" i="1"/>
  <c r="AF255" i="1" s="1"/>
  <c r="AE263" i="1"/>
  <c r="AF263" i="1" s="1"/>
  <c r="AE271" i="1"/>
  <c r="AF271" i="1" s="1"/>
  <c r="AE279" i="1"/>
  <c r="AF279" i="1" s="1"/>
  <c r="AE287" i="1"/>
  <c r="AF287" i="1" s="1"/>
  <c r="AE295" i="1"/>
  <c r="AF295" i="1" s="1"/>
  <c r="AE303" i="1"/>
  <c r="AF303" i="1" s="1"/>
  <c r="AE311" i="1"/>
  <c r="AF311" i="1" s="1"/>
  <c r="AE319" i="1"/>
  <c r="AF319" i="1" s="1"/>
  <c r="AE327" i="1"/>
  <c r="AF327" i="1" s="1"/>
  <c r="AE335" i="1"/>
  <c r="AF335" i="1" s="1"/>
  <c r="AE343" i="1"/>
  <c r="AF343" i="1" s="1"/>
  <c r="AE351" i="1"/>
  <c r="AF351" i="1" s="1"/>
  <c r="AE359" i="1"/>
  <c r="AF359" i="1" s="1"/>
  <c r="AE367" i="1"/>
  <c r="AF367" i="1" s="1"/>
  <c r="AE375" i="1"/>
  <c r="AF375" i="1" s="1"/>
  <c r="AE383" i="1"/>
  <c r="AF383" i="1" s="1"/>
  <c r="AE391" i="1"/>
  <c r="AF391" i="1" s="1"/>
  <c r="AE399" i="1"/>
  <c r="AF399" i="1" s="1"/>
  <c r="AE407" i="1"/>
  <c r="AF407" i="1" s="1"/>
  <c r="AE415" i="1"/>
  <c r="AF415" i="1" s="1"/>
  <c r="AE423" i="1"/>
  <c r="AF423" i="1" s="1"/>
  <c r="AE431" i="1"/>
  <c r="AF431" i="1" s="1"/>
  <c r="AE439" i="1"/>
  <c r="AF439" i="1" s="1"/>
  <c r="AE447" i="1"/>
  <c r="AF447" i="1" s="1"/>
  <c r="AE455" i="1"/>
  <c r="AF455" i="1" s="1"/>
  <c r="AE463" i="1"/>
  <c r="AF463" i="1" s="1"/>
  <c r="AE471" i="1"/>
  <c r="AF471" i="1" s="1"/>
  <c r="AE479" i="1"/>
  <c r="AF479" i="1" s="1"/>
  <c r="AE487" i="1"/>
  <c r="AF487" i="1" s="1"/>
  <c r="AE495" i="1"/>
  <c r="AF495" i="1" s="1"/>
  <c r="AE503" i="1"/>
  <c r="AF503" i="1" s="1"/>
  <c r="AE511" i="1"/>
  <c r="AF511" i="1" s="1"/>
  <c r="AE519" i="1"/>
  <c r="AF519" i="1" s="1"/>
  <c r="AE527" i="1"/>
  <c r="AF527" i="1" s="1"/>
  <c r="AE535" i="1"/>
  <c r="AF535" i="1" s="1"/>
  <c r="AE543" i="1"/>
  <c r="AF543" i="1" s="1"/>
  <c r="AE551" i="1"/>
  <c r="AF551" i="1" s="1"/>
  <c r="AE559" i="1"/>
  <c r="AF559" i="1" s="1"/>
  <c r="AE567" i="1"/>
  <c r="AF567" i="1" s="1"/>
  <c r="AE575" i="1"/>
  <c r="AF575" i="1" s="1"/>
  <c r="AE583" i="1"/>
  <c r="AF583" i="1" s="1"/>
  <c r="AE591" i="1"/>
  <c r="AF591" i="1" s="1"/>
  <c r="AE599" i="1"/>
  <c r="AF599" i="1" s="1"/>
  <c r="AE607" i="1"/>
  <c r="AF607" i="1" s="1"/>
  <c r="AE615" i="1"/>
  <c r="AF615" i="1" s="1"/>
  <c r="AE623" i="1"/>
  <c r="AF623" i="1" s="1"/>
  <c r="AE631" i="1"/>
  <c r="AF631" i="1" s="1"/>
  <c r="AE639" i="1"/>
  <c r="AF639" i="1" s="1"/>
  <c r="AE647" i="1"/>
  <c r="AF647" i="1" s="1"/>
  <c r="AE655" i="1"/>
  <c r="AF655" i="1" s="1"/>
  <c r="AE25" i="1"/>
  <c r="AF25" i="1" s="1"/>
  <c r="AE24" i="1"/>
  <c r="AF24" i="1" s="1"/>
  <c r="AE32" i="1"/>
  <c r="AF32" i="1" s="1"/>
  <c r="AE40" i="1"/>
  <c r="AF40" i="1" s="1"/>
  <c r="AE48" i="1"/>
  <c r="AF48" i="1" s="1"/>
  <c r="AE56" i="1"/>
  <c r="AF56" i="1" s="1"/>
  <c r="AE64" i="1"/>
  <c r="AF64" i="1" s="1"/>
  <c r="AE72" i="1"/>
  <c r="AF72" i="1" s="1"/>
  <c r="AE80" i="1"/>
  <c r="AF80" i="1" s="1"/>
  <c r="AE88" i="1"/>
  <c r="AF88" i="1" s="1"/>
  <c r="AE96" i="1"/>
  <c r="AF96" i="1" s="1"/>
  <c r="AE104" i="1"/>
  <c r="AF104" i="1" s="1"/>
  <c r="AE112" i="1"/>
  <c r="AF112" i="1" s="1"/>
  <c r="AE120" i="1"/>
  <c r="AF120" i="1" s="1"/>
  <c r="AE128" i="1"/>
  <c r="AF128" i="1" s="1"/>
  <c r="AE136" i="1"/>
  <c r="AF136" i="1" s="1"/>
  <c r="AE144" i="1"/>
  <c r="AF144" i="1" s="1"/>
  <c r="AE152" i="1"/>
  <c r="AF152" i="1" s="1"/>
  <c r="AE160" i="1"/>
  <c r="AF160" i="1" s="1"/>
  <c r="AE168" i="1"/>
  <c r="AF168" i="1" s="1"/>
  <c r="AE176" i="1"/>
  <c r="AF176" i="1" s="1"/>
  <c r="AE184" i="1"/>
  <c r="AF184" i="1" s="1"/>
  <c r="AE192" i="1"/>
  <c r="AF192" i="1" s="1"/>
  <c r="AE200" i="1"/>
  <c r="AF200" i="1" s="1"/>
  <c r="AE208" i="1"/>
  <c r="AF208" i="1" s="1"/>
  <c r="AE216" i="1"/>
  <c r="AF216" i="1" s="1"/>
  <c r="AE224" i="1"/>
  <c r="AF224" i="1" s="1"/>
  <c r="AE232" i="1"/>
  <c r="AF232" i="1" s="1"/>
  <c r="AE240" i="1"/>
  <c r="AF240" i="1" s="1"/>
  <c r="AE248" i="1"/>
  <c r="AF248" i="1" s="1"/>
  <c r="AE256" i="1"/>
  <c r="AF256" i="1" s="1"/>
  <c r="AE264" i="1"/>
  <c r="AF264" i="1" s="1"/>
  <c r="AE272" i="1"/>
  <c r="AF272" i="1" s="1"/>
  <c r="AE280" i="1"/>
  <c r="AF280" i="1" s="1"/>
  <c r="AE288" i="1"/>
  <c r="AF288" i="1" s="1"/>
  <c r="AE296" i="1"/>
  <c r="AF296" i="1" s="1"/>
  <c r="AE304" i="1"/>
  <c r="AF304" i="1" s="1"/>
  <c r="AE312" i="1"/>
  <c r="AF312" i="1" s="1"/>
  <c r="AE320" i="1"/>
  <c r="AF320" i="1" s="1"/>
  <c r="AE328" i="1"/>
  <c r="AF328" i="1" s="1"/>
  <c r="AE336" i="1"/>
  <c r="AF336" i="1" s="1"/>
  <c r="AE344" i="1"/>
  <c r="AF344" i="1" s="1"/>
  <c r="AE352" i="1"/>
  <c r="AF352" i="1" s="1"/>
  <c r="AE360" i="1"/>
  <c r="AF360" i="1" s="1"/>
  <c r="AE368" i="1"/>
  <c r="AF368" i="1" s="1"/>
  <c r="AE376" i="1"/>
  <c r="AF376" i="1" s="1"/>
  <c r="AE384" i="1"/>
  <c r="AF384" i="1" s="1"/>
  <c r="AE392" i="1"/>
  <c r="AF392" i="1" s="1"/>
  <c r="AE400" i="1"/>
  <c r="AF400" i="1" s="1"/>
  <c r="AE408" i="1"/>
  <c r="AF408" i="1" s="1"/>
  <c r="AE416" i="1"/>
  <c r="AF416" i="1" s="1"/>
  <c r="AE424" i="1"/>
  <c r="AF424" i="1" s="1"/>
  <c r="AE432" i="1"/>
  <c r="AF432" i="1" s="1"/>
  <c r="AE440" i="1"/>
  <c r="AF440" i="1" s="1"/>
  <c r="AE448" i="1"/>
  <c r="AF448" i="1" s="1"/>
  <c r="AE456" i="1"/>
  <c r="AF456" i="1" s="1"/>
  <c r="AE464" i="1"/>
  <c r="AF464" i="1" s="1"/>
  <c r="AE472" i="1"/>
  <c r="AF472" i="1" s="1"/>
  <c r="AE480" i="1"/>
  <c r="AF480" i="1" s="1"/>
  <c r="AE488" i="1"/>
  <c r="AF488" i="1" s="1"/>
  <c r="AE496" i="1"/>
  <c r="AF496" i="1" s="1"/>
  <c r="AE504" i="1"/>
  <c r="AF504" i="1" s="1"/>
  <c r="AE512" i="1"/>
  <c r="AF512" i="1" s="1"/>
  <c r="AE520" i="1"/>
  <c r="AF520" i="1" s="1"/>
  <c r="AE528" i="1"/>
  <c r="AF528" i="1" s="1"/>
  <c r="AE536" i="1"/>
  <c r="AF536" i="1" s="1"/>
  <c r="AE544" i="1"/>
  <c r="AF544" i="1" s="1"/>
  <c r="AE552" i="1"/>
  <c r="AF552" i="1" s="1"/>
  <c r="AE560" i="1"/>
  <c r="AF560" i="1" s="1"/>
  <c r="AE568" i="1"/>
  <c r="AF568" i="1" s="1"/>
  <c r="AE576" i="1"/>
  <c r="AF576" i="1" s="1"/>
  <c r="AE584" i="1"/>
  <c r="AF584" i="1" s="1"/>
  <c r="AE592" i="1"/>
  <c r="AF592" i="1" s="1"/>
  <c r="AE600" i="1"/>
  <c r="AF600" i="1" s="1"/>
  <c r="AE608" i="1"/>
  <c r="AF608" i="1" s="1"/>
  <c r="AE616" i="1"/>
  <c r="AF616" i="1" s="1"/>
  <c r="AE624" i="1"/>
  <c r="AF624" i="1" s="1"/>
  <c r="AE632" i="1"/>
  <c r="AF632" i="1" s="1"/>
  <c r="AE640" i="1"/>
  <c r="AF640" i="1" s="1"/>
  <c r="AE648" i="1"/>
  <c r="AF648" i="1" s="1"/>
  <c r="AE656" i="1"/>
  <c r="AF656" i="1" s="1"/>
  <c r="AE57" i="1"/>
  <c r="AF57" i="1" s="1"/>
  <c r="AE89" i="1"/>
  <c r="AF89" i="1" s="1"/>
  <c r="AE121" i="1"/>
  <c r="AF121" i="1" s="1"/>
  <c r="AE153" i="1"/>
  <c r="AF153" i="1" s="1"/>
  <c r="AE185" i="1"/>
  <c r="AF185" i="1" s="1"/>
  <c r="AE217" i="1"/>
  <c r="AF217" i="1" s="1"/>
  <c r="AE249" i="1"/>
  <c r="AF249" i="1" s="1"/>
  <c r="AE281" i="1"/>
  <c r="AF281" i="1" s="1"/>
  <c r="AE313" i="1"/>
  <c r="AF313" i="1" s="1"/>
  <c r="AE345" i="1"/>
  <c r="AF345" i="1" s="1"/>
  <c r="AE377" i="1"/>
  <c r="AF377" i="1" s="1"/>
  <c r="AE409" i="1"/>
  <c r="AF409" i="1" s="1"/>
  <c r="AE441" i="1"/>
  <c r="AF441" i="1" s="1"/>
  <c r="AE473" i="1"/>
  <c r="AF473" i="1" s="1"/>
  <c r="AE505" i="1"/>
  <c r="AF505" i="1" s="1"/>
  <c r="AE537" i="1"/>
  <c r="AF537" i="1" s="1"/>
  <c r="AE569" i="1"/>
  <c r="AF569" i="1" s="1"/>
  <c r="AE601" i="1"/>
  <c r="AF601" i="1" s="1"/>
  <c r="AE633" i="1"/>
  <c r="AF633" i="1" s="1"/>
  <c r="AE161" i="1"/>
  <c r="AF161" i="1" s="1"/>
  <c r="AE417" i="1"/>
  <c r="AF417" i="1" s="1"/>
  <c r="AE513" i="1"/>
  <c r="AF513" i="1" s="1"/>
  <c r="AE609" i="1"/>
  <c r="AF609" i="1" s="1"/>
  <c r="AE101" i="1"/>
  <c r="AF101" i="1" s="1"/>
  <c r="AE133" i="1"/>
  <c r="AF133" i="1" s="1"/>
  <c r="AE229" i="1"/>
  <c r="AF229" i="1" s="1"/>
  <c r="AE293" i="1"/>
  <c r="AF293" i="1" s="1"/>
  <c r="AE389" i="1"/>
  <c r="AF389" i="1" s="1"/>
  <c r="AE453" i="1"/>
  <c r="AF453" i="1" s="1"/>
  <c r="AE549" i="1"/>
  <c r="AF549" i="1" s="1"/>
  <c r="AE309" i="1"/>
  <c r="AF309" i="1" s="1"/>
  <c r="AE565" i="1"/>
  <c r="AF565" i="1" s="1"/>
  <c r="AE61" i="1"/>
  <c r="AF61" i="1" s="1"/>
  <c r="AE93" i="1"/>
  <c r="AF93" i="1" s="1"/>
  <c r="AE125" i="1"/>
  <c r="AF125" i="1" s="1"/>
  <c r="AE157" i="1"/>
  <c r="AF157" i="1" s="1"/>
  <c r="AE189" i="1"/>
  <c r="AF189" i="1" s="1"/>
  <c r="AE221" i="1"/>
  <c r="AF221" i="1" s="1"/>
  <c r="AE253" i="1"/>
  <c r="AF253" i="1" s="1"/>
  <c r="AE285" i="1"/>
  <c r="AF285" i="1" s="1"/>
  <c r="AE317" i="1"/>
  <c r="AF317" i="1" s="1"/>
  <c r="AE349" i="1"/>
  <c r="AF349" i="1" s="1"/>
  <c r="AE381" i="1"/>
  <c r="AF381" i="1" s="1"/>
  <c r="AE413" i="1"/>
  <c r="AF413" i="1" s="1"/>
  <c r="AE445" i="1"/>
  <c r="AF445" i="1" s="1"/>
  <c r="AE477" i="1"/>
  <c r="AF477" i="1" s="1"/>
  <c r="AE509" i="1"/>
  <c r="AF509" i="1" s="1"/>
  <c r="AE541" i="1"/>
  <c r="AF541" i="1" s="1"/>
  <c r="AE573" i="1"/>
  <c r="AF573" i="1" s="1"/>
  <c r="AE605" i="1"/>
  <c r="AF605" i="1" s="1"/>
  <c r="AE637" i="1"/>
  <c r="AF637" i="1" s="1"/>
  <c r="AE193" i="1"/>
  <c r="AF193" i="1" s="1"/>
  <c r="AE385" i="1"/>
  <c r="AF385" i="1" s="1"/>
  <c r="AE481" i="1"/>
  <c r="AF481" i="1" s="1"/>
  <c r="AE545" i="1"/>
  <c r="AF545" i="1" s="1"/>
  <c r="AE641" i="1"/>
  <c r="AF641" i="1" s="1"/>
  <c r="AE69" i="1"/>
  <c r="AF69" i="1" s="1"/>
  <c r="AE165" i="1"/>
  <c r="AF165" i="1" s="1"/>
  <c r="AE197" i="1"/>
  <c r="AF197" i="1" s="1"/>
  <c r="AE261" i="1"/>
  <c r="AF261" i="1" s="1"/>
  <c r="AE325" i="1"/>
  <c r="AF325" i="1" s="1"/>
  <c r="AE357" i="1"/>
  <c r="AF357" i="1" s="1"/>
  <c r="AE421" i="1"/>
  <c r="AF421" i="1" s="1"/>
  <c r="AE485" i="1"/>
  <c r="AF485" i="1" s="1"/>
  <c r="AE517" i="1"/>
  <c r="AF517" i="1" s="1"/>
  <c r="AE581" i="1"/>
  <c r="AF581" i="1" s="1"/>
  <c r="AE645" i="1"/>
  <c r="AF645" i="1" s="1"/>
  <c r="AE277" i="1"/>
  <c r="AF277" i="1" s="1"/>
  <c r="AE597" i="1"/>
  <c r="AF597" i="1" s="1"/>
  <c r="AE65" i="1"/>
  <c r="AF65" i="1" s="1"/>
  <c r="AE97" i="1"/>
  <c r="AF97" i="1" s="1"/>
  <c r="AE129" i="1"/>
  <c r="AF129" i="1" s="1"/>
  <c r="AE225" i="1"/>
  <c r="AF225" i="1" s="1"/>
  <c r="AE257" i="1"/>
  <c r="AF257" i="1" s="1"/>
  <c r="AE289" i="1"/>
  <c r="AF289" i="1" s="1"/>
  <c r="AE321" i="1"/>
  <c r="AF321" i="1" s="1"/>
  <c r="AE353" i="1"/>
  <c r="AF353" i="1" s="1"/>
  <c r="AE449" i="1"/>
  <c r="AF449" i="1" s="1"/>
  <c r="AE577" i="1"/>
  <c r="AF577" i="1" s="1"/>
  <c r="AE613" i="1"/>
  <c r="AF613" i="1" s="1"/>
  <c r="AE437" i="1"/>
  <c r="AF437" i="1" s="1"/>
  <c r="AE73" i="1"/>
  <c r="AF73" i="1" s="1"/>
  <c r="AE105" i="1"/>
  <c r="AF105" i="1" s="1"/>
  <c r="AE137" i="1"/>
  <c r="AF137" i="1" s="1"/>
  <c r="AE169" i="1"/>
  <c r="AF169" i="1" s="1"/>
  <c r="AE201" i="1"/>
  <c r="AF201" i="1" s="1"/>
  <c r="AE233" i="1"/>
  <c r="AF233" i="1" s="1"/>
  <c r="AE265" i="1"/>
  <c r="AF265" i="1" s="1"/>
  <c r="AE297" i="1"/>
  <c r="AF297" i="1" s="1"/>
  <c r="AE329" i="1"/>
  <c r="AF329" i="1" s="1"/>
  <c r="AE361" i="1"/>
  <c r="AF361" i="1" s="1"/>
  <c r="AE393" i="1"/>
  <c r="AF393" i="1" s="1"/>
  <c r="AE425" i="1"/>
  <c r="AF425" i="1" s="1"/>
  <c r="AE457" i="1"/>
  <c r="AF457" i="1" s="1"/>
  <c r="AE489" i="1"/>
  <c r="AF489" i="1" s="1"/>
  <c r="AE521" i="1"/>
  <c r="AF521" i="1" s="1"/>
  <c r="AE553" i="1"/>
  <c r="AF553" i="1" s="1"/>
  <c r="AE585" i="1"/>
  <c r="AF585" i="1" s="1"/>
  <c r="AE617" i="1"/>
  <c r="AF617" i="1" s="1"/>
  <c r="AE649" i="1"/>
  <c r="AF649" i="1" s="1"/>
  <c r="AE81" i="1"/>
  <c r="AF81" i="1" s="1"/>
  <c r="AE145" i="1"/>
  <c r="AF145" i="1" s="1"/>
  <c r="AE209" i="1"/>
  <c r="AF209" i="1" s="1"/>
  <c r="AE273" i="1"/>
  <c r="AF273" i="1" s="1"/>
  <c r="AE337" i="1"/>
  <c r="AF337" i="1" s="1"/>
  <c r="AE433" i="1"/>
  <c r="AF433" i="1" s="1"/>
  <c r="AE529" i="1"/>
  <c r="AF529" i="1" s="1"/>
  <c r="AE593" i="1"/>
  <c r="AF593" i="1" s="1"/>
  <c r="AE625" i="1"/>
  <c r="AF625" i="1" s="1"/>
  <c r="AE85" i="1"/>
  <c r="AF85" i="1" s="1"/>
  <c r="AE117" i="1"/>
  <c r="AF117" i="1" s="1"/>
  <c r="AE181" i="1"/>
  <c r="AF181" i="1" s="1"/>
  <c r="AE341" i="1"/>
  <c r="AF341" i="1" s="1"/>
  <c r="AE405" i="1"/>
  <c r="AF405" i="1" s="1"/>
  <c r="AE501" i="1"/>
  <c r="AF501" i="1" s="1"/>
  <c r="AE629" i="1"/>
  <c r="AF629" i="1" s="1"/>
  <c r="AE77" i="1"/>
  <c r="AF77" i="1" s="1"/>
  <c r="AE109" i="1"/>
  <c r="AF109" i="1" s="1"/>
  <c r="AE141" i="1"/>
  <c r="AF141" i="1" s="1"/>
  <c r="AE173" i="1"/>
  <c r="AF173" i="1" s="1"/>
  <c r="AE205" i="1"/>
  <c r="AF205" i="1" s="1"/>
  <c r="AE237" i="1"/>
  <c r="AF237" i="1" s="1"/>
  <c r="AE269" i="1"/>
  <c r="AF269" i="1" s="1"/>
  <c r="AE301" i="1"/>
  <c r="AF301" i="1" s="1"/>
  <c r="AE333" i="1"/>
  <c r="AF333" i="1" s="1"/>
  <c r="AE365" i="1"/>
  <c r="AF365" i="1" s="1"/>
  <c r="AE397" i="1"/>
  <c r="AF397" i="1" s="1"/>
  <c r="AE429" i="1"/>
  <c r="AF429" i="1" s="1"/>
  <c r="AE461" i="1"/>
  <c r="AF461" i="1" s="1"/>
  <c r="AE493" i="1"/>
  <c r="AF493" i="1" s="1"/>
  <c r="AE525" i="1"/>
  <c r="AF525" i="1" s="1"/>
  <c r="AE557" i="1"/>
  <c r="AF557" i="1" s="1"/>
  <c r="AE589" i="1"/>
  <c r="AF589" i="1" s="1"/>
  <c r="AE621" i="1"/>
  <c r="AF621" i="1" s="1"/>
  <c r="AE653" i="1"/>
  <c r="AF653" i="1" s="1"/>
  <c r="AE41" i="1"/>
  <c r="AF41" i="1" s="1"/>
  <c r="AE113" i="1"/>
  <c r="AF113" i="1" s="1"/>
  <c r="AE177" i="1"/>
  <c r="AF177" i="1" s="1"/>
  <c r="AE241" i="1"/>
  <c r="AF241" i="1" s="1"/>
  <c r="AE305" i="1"/>
  <c r="AF305" i="1" s="1"/>
  <c r="AE369" i="1"/>
  <c r="AF369" i="1" s="1"/>
  <c r="AE401" i="1"/>
  <c r="AF401" i="1" s="1"/>
  <c r="AE465" i="1"/>
  <c r="AF465" i="1" s="1"/>
  <c r="AE497" i="1"/>
  <c r="AF497" i="1" s="1"/>
  <c r="AE561" i="1"/>
  <c r="AF561" i="1" s="1"/>
  <c r="AE657" i="1"/>
  <c r="AF657" i="1" s="1"/>
  <c r="AE49" i="1"/>
  <c r="AF49" i="1" s="1"/>
  <c r="AE149" i="1"/>
  <c r="AF149" i="1" s="1"/>
  <c r="AE213" i="1"/>
  <c r="AF213" i="1" s="1"/>
  <c r="AE245" i="1"/>
  <c r="AF245" i="1" s="1"/>
  <c r="AE373" i="1"/>
  <c r="AF373" i="1" s="1"/>
  <c r="AE469" i="1"/>
  <c r="AF469" i="1" s="1"/>
  <c r="AE533" i="1"/>
  <c r="AF533" i="1" s="1"/>
  <c r="AE661" i="1"/>
  <c r="AF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7" i="3"/>
  <c r="W8" i="3" s="1"/>
  <c r="S154" i="1"/>
  <c r="Z154" i="1" s="1"/>
  <c r="S290" i="1"/>
  <c r="Z290" i="1" s="1"/>
  <c r="S106" i="1"/>
  <c r="Z106" i="1" s="1"/>
  <c r="S34" i="1"/>
  <c r="Z34" i="1" s="1"/>
  <c r="AA393" i="1" l="1"/>
  <c r="AA561" i="1"/>
  <c r="AA185" i="1"/>
  <c r="AA569" i="1"/>
  <c r="AA647" i="1"/>
  <c r="AA281" i="1"/>
  <c r="AA329" i="1"/>
  <c r="AA577" i="1"/>
  <c r="AA497" i="1"/>
  <c r="AA153" i="1"/>
  <c r="AA617" i="1"/>
  <c r="AA57" i="1"/>
  <c r="AA249" i="1"/>
  <c r="AA161" i="1"/>
  <c r="AA640" i="1"/>
  <c r="AA576" i="1"/>
  <c r="AA512" i="1"/>
  <c r="AA448" i="1"/>
  <c r="AA384" i="1"/>
  <c r="AA320" i="1"/>
  <c r="AA256" i="1"/>
  <c r="AA192" i="1"/>
  <c r="AA128" i="1"/>
  <c r="AA64" i="1"/>
  <c r="AA639" i="1"/>
  <c r="AA575" i="1"/>
  <c r="AA511" i="1"/>
  <c r="AA447" i="1"/>
  <c r="AA383" i="1"/>
  <c r="AA319" i="1"/>
  <c r="AA255" i="1"/>
  <c r="AA191" i="1"/>
  <c r="AA127" i="1"/>
  <c r="AA63" i="1"/>
  <c r="AA646" i="1"/>
  <c r="AA582" i="1"/>
  <c r="AA518" i="1"/>
  <c r="AA454" i="1"/>
  <c r="AA390" i="1"/>
  <c r="AA326" i="1"/>
  <c r="AA262" i="1"/>
  <c r="AA198" i="1"/>
  <c r="AA134" i="1"/>
  <c r="AA70" i="1"/>
  <c r="AA653" i="1"/>
  <c r="AA589" i="1"/>
  <c r="AA525" i="1"/>
  <c r="AA461" i="1"/>
  <c r="AA397" i="1"/>
  <c r="AA333" i="1"/>
  <c r="AA269" i="1"/>
  <c r="AA205" i="1"/>
  <c r="AA141" i="1"/>
  <c r="AA77" i="1"/>
  <c r="AA105" i="1"/>
  <c r="AA628" i="1"/>
  <c r="AA564" i="1"/>
  <c r="AA500" i="1"/>
  <c r="AA436" i="1"/>
  <c r="AA372" i="1"/>
  <c r="AA308" i="1"/>
  <c r="AA244" i="1"/>
  <c r="AA180" i="1"/>
  <c r="AA116" i="1"/>
  <c r="AA52" i="1"/>
  <c r="AA635" i="1"/>
  <c r="AA571" i="1"/>
  <c r="AA507" i="1"/>
  <c r="AA443" i="1"/>
  <c r="AA379" i="1"/>
  <c r="AA315" i="1"/>
  <c r="AA251" i="1"/>
  <c r="AA187" i="1"/>
  <c r="AA123" i="1"/>
  <c r="AA59" i="1"/>
  <c r="AA642" i="1"/>
  <c r="AA578" i="1"/>
  <c r="AA514" i="1"/>
  <c r="AA450" i="1"/>
  <c r="AA386" i="1"/>
  <c r="AA322" i="1"/>
  <c r="AA258" i="1"/>
  <c r="AA194" i="1"/>
  <c r="AA130" i="1"/>
  <c r="AA66" i="1"/>
  <c r="AA154" i="1"/>
  <c r="AA593" i="1"/>
  <c r="AA265" i="1"/>
  <c r="AA449" i="1"/>
  <c r="AA433" i="1"/>
  <c r="AA529" i="1"/>
  <c r="AA553" i="1"/>
  <c r="AA409" i="1"/>
  <c r="AA609" i="1"/>
  <c r="AA41" i="1"/>
  <c r="AA632" i="1"/>
  <c r="AA568" i="1"/>
  <c r="AA504" i="1"/>
  <c r="AA440" i="1"/>
  <c r="AA376" i="1"/>
  <c r="AA312" i="1"/>
  <c r="AA248" i="1"/>
  <c r="AA184" i="1"/>
  <c r="AA120" i="1"/>
  <c r="AA56" i="1"/>
  <c r="AA631" i="1"/>
  <c r="AA567" i="1"/>
  <c r="AA503" i="1"/>
  <c r="AA439" i="1"/>
  <c r="AA375" i="1"/>
  <c r="AA311" i="1"/>
  <c r="AA247" i="1"/>
  <c r="AA183" i="1"/>
  <c r="AA119" i="1"/>
  <c r="AA55" i="1"/>
  <c r="AA638" i="1"/>
  <c r="AA574" i="1"/>
  <c r="AA510" i="1"/>
  <c r="AA446" i="1"/>
  <c r="AA382" i="1"/>
  <c r="AA318" i="1"/>
  <c r="AA254" i="1"/>
  <c r="AA190" i="1"/>
  <c r="AA126" i="1"/>
  <c r="AA62" i="1"/>
  <c r="AA645" i="1"/>
  <c r="AA581" i="1"/>
  <c r="AA517" i="1"/>
  <c r="AA453" i="1"/>
  <c r="AA389" i="1"/>
  <c r="AA325" i="1"/>
  <c r="AA261" i="1"/>
  <c r="AA197" i="1"/>
  <c r="AA133" i="1"/>
  <c r="AA69" i="1"/>
  <c r="AA89" i="1"/>
  <c r="AA620" i="1"/>
  <c r="AA556" i="1"/>
  <c r="AA492" i="1"/>
  <c r="AA428" i="1"/>
  <c r="AA364" i="1"/>
  <c r="AA300" i="1"/>
  <c r="AA236" i="1"/>
  <c r="AA172" i="1"/>
  <c r="AA108" i="1"/>
  <c r="AA44" i="1"/>
  <c r="AA627" i="1"/>
  <c r="AA563" i="1"/>
  <c r="AA499" i="1"/>
  <c r="AA435" i="1"/>
  <c r="AA371" i="1"/>
  <c r="AA307" i="1"/>
  <c r="AA243" i="1"/>
  <c r="AA179" i="1"/>
  <c r="AA115" i="1"/>
  <c r="AA51" i="1"/>
  <c r="AA634" i="1"/>
  <c r="AA570" i="1"/>
  <c r="AA506" i="1"/>
  <c r="AA442" i="1"/>
  <c r="AA378" i="1"/>
  <c r="AA314" i="1"/>
  <c r="AA250" i="1"/>
  <c r="AA186" i="1"/>
  <c r="AA122" i="1"/>
  <c r="AA58" i="1"/>
  <c r="AA34" i="1"/>
  <c r="AA337" i="1"/>
  <c r="AA257" i="1"/>
  <c r="AA385" i="1"/>
  <c r="AA489" i="1"/>
  <c r="AA545" i="1"/>
  <c r="AA113" i="1"/>
  <c r="AA624" i="1"/>
  <c r="AA560" i="1"/>
  <c r="AA496" i="1"/>
  <c r="AA432" i="1"/>
  <c r="AA368" i="1"/>
  <c r="AA304" i="1"/>
  <c r="AA240" i="1"/>
  <c r="AA176" i="1"/>
  <c r="AA112" i="1"/>
  <c r="AA48" i="1"/>
  <c r="AA623" i="1"/>
  <c r="AA495" i="1"/>
  <c r="AA431" i="1"/>
  <c r="AA367" i="1"/>
  <c r="AA303" i="1"/>
  <c r="AA239" i="1"/>
  <c r="AA175" i="1"/>
  <c r="AA111" i="1"/>
  <c r="AA47" i="1"/>
  <c r="AA630" i="1"/>
  <c r="AA566" i="1"/>
  <c r="AA502" i="1"/>
  <c r="AA438" i="1"/>
  <c r="AA374" i="1"/>
  <c r="AA310" i="1"/>
  <c r="AA246" i="1"/>
  <c r="AA182" i="1"/>
  <c r="AA118" i="1"/>
  <c r="AA54" i="1"/>
  <c r="AA637" i="1"/>
  <c r="AA573" i="1"/>
  <c r="AA509" i="1"/>
  <c r="AA445" i="1"/>
  <c r="AA381" i="1"/>
  <c r="AA317" i="1"/>
  <c r="AA253" i="1"/>
  <c r="AA189" i="1"/>
  <c r="AA125" i="1"/>
  <c r="AA61" i="1"/>
  <c r="AA73" i="1"/>
  <c r="AA612" i="1"/>
  <c r="AA548" i="1"/>
  <c r="AA484" i="1"/>
  <c r="AA420" i="1"/>
  <c r="AA356" i="1"/>
  <c r="AA292" i="1"/>
  <c r="AA228" i="1"/>
  <c r="AA164" i="1"/>
  <c r="AA100" i="1"/>
  <c r="AA36" i="1"/>
  <c r="AA619" i="1"/>
  <c r="AA555" i="1"/>
  <c r="AA491" i="1"/>
  <c r="AA427" i="1"/>
  <c r="AA363" i="1"/>
  <c r="AA299" i="1"/>
  <c r="AA235" i="1"/>
  <c r="AA171" i="1"/>
  <c r="AA107" i="1"/>
  <c r="AA43" i="1"/>
  <c r="AA626" i="1"/>
  <c r="AA562" i="1"/>
  <c r="AA498" i="1"/>
  <c r="AA434" i="1"/>
  <c r="AA370" i="1"/>
  <c r="AA306" i="1"/>
  <c r="AA242" i="1"/>
  <c r="AA178" i="1"/>
  <c r="AA114" i="1"/>
  <c r="AA50" i="1"/>
  <c r="AA401" i="1"/>
  <c r="AA201" i="1"/>
  <c r="AA369" i="1"/>
  <c r="AA217" i="1"/>
  <c r="AA559" i="1"/>
  <c r="AA106" i="1"/>
  <c r="AA273" i="1"/>
  <c r="AA649" i="1"/>
  <c r="AA137" i="1"/>
  <c r="AA505" i="1"/>
  <c r="AA305" i="1"/>
  <c r="AA193" i="1"/>
  <c r="AA425" i="1"/>
  <c r="AA657" i="1"/>
  <c r="AA481" i="1"/>
  <c r="AA97" i="1"/>
  <c r="AA616" i="1"/>
  <c r="AA552" i="1"/>
  <c r="AA488" i="1"/>
  <c r="AA424" i="1"/>
  <c r="AA360" i="1"/>
  <c r="AA296" i="1"/>
  <c r="AA232" i="1"/>
  <c r="AA168" i="1"/>
  <c r="AA104" i="1"/>
  <c r="AA40" i="1"/>
  <c r="AA615" i="1"/>
  <c r="AA551" i="1"/>
  <c r="AA487" i="1"/>
  <c r="AA423" i="1"/>
  <c r="AA359" i="1"/>
  <c r="AA295" i="1"/>
  <c r="AA231" i="1"/>
  <c r="AA167" i="1"/>
  <c r="AA103" i="1"/>
  <c r="AA39" i="1"/>
  <c r="AA622" i="1"/>
  <c r="AA558" i="1"/>
  <c r="AA494" i="1"/>
  <c r="AA430" i="1"/>
  <c r="AA366" i="1"/>
  <c r="AA302" i="1"/>
  <c r="AA238" i="1"/>
  <c r="AA174" i="1"/>
  <c r="AA110" i="1"/>
  <c r="AA46" i="1"/>
  <c r="AA629" i="1"/>
  <c r="AA565" i="1"/>
  <c r="AA501" i="1"/>
  <c r="AA437" i="1"/>
  <c r="AA373" i="1"/>
  <c r="AA309" i="1"/>
  <c r="AA245" i="1"/>
  <c r="AA181" i="1"/>
  <c r="AA117" i="1"/>
  <c r="AA53" i="1"/>
  <c r="AA49" i="1"/>
  <c r="AA604" i="1"/>
  <c r="AA540" i="1"/>
  <c r="AA476" i="1"/>
  <c r="AA412" i="1"/>
  <c r="AA348" i="1"/>
  <c r="AA284" i="1"/>
  <c r="AA220" i="1"/>
  <c r="AA156" i="1"/>
  <c r="AA92" i="1"/>
  <c r="AA28" i="1"/>
  <c r="AA611" i="1"/>
  <c r="AA547" i="1"/>
  <c r="AA483" i="1"/>
  <c r="AA419" i="1"/>
  <c r="AA355" i="1"/>
  <c r="AA291" i="1"/>
  <c r="AA227" i="1"/>
  <c r="AA163" i="1"/>
  <c r="AA99" i="1"/>
  <c r="AA35" i="1"/>
  <c r="AA618" i="1"/>
  <c r="AA554" i="1"/>
  <c r="AA490" i="1"/>
  <c r="AA426" i="1"/>
  <c r="AA362" i="1"/>
  <c r="AA298" i="1"/>
  <c r="AA234" i="1"/>
  <c r="AA170" i="1"/>
  <c r="AA42" i="1"/>
  <c r="AA209" i="1"/>
  <c r="AA585" i="1"/>
  <c r="AA129" i="1"/>
  <c r="AA313" i="1"/>
  <c r="AA241" i="1"/>
  <c r="AA633" i="1"/>
  <c r="AA361" i="1"/>
  <c r="AA641" i="1"/>
  <c r="AA417" i="1"/>
  <c r="AA81" i="1"/>
  <c r="AA608" i="1"/>
  <c r="AA544" i="1"/>
  <c r="AA480" i="1"/>
  <c r="AA416" i="1"/>
  <c r="AA352" i="1"/>
  <c r="AA288" i="1"/>
  <c r="AA224" i="1"/>
  <c r="AA160" i="1"/>
  <c r="AA96" i="1"/>
  <c r="AA32" i="1"/>
  <c r="AA607" i="1"/>
  <c r="AA543" i="1"/>
  <c r="AA479" i="1"/>
  <c r="AA415" i="1"/>
  <c r="AA351" i="1"/>
  <c r="AA287" i="1"/>
  <c r="AA223" i="1"/>
  <c r="AA159" i="1"/>
  <c r="AA95" i="1"/>
  <c r="AA31" i="1"/>
  <c r="AA614" i="1"/>
  <c r="AA550" i="1"/>
  <c r="AA486" i="1"/>
  <c r="AA422" i="1"/>
  <c r="AA358" i="1"/>
  <c r="AA294" i="1"/>
  <c r="AA230" i="1"/>
  <c r="AA166" i="1"/>
  <c r="AA102" i="1"/>
  <c r="AA38" i="1"/>
  <c r="AA621" i="1"/>
  <c r="AA557" i="1"/>
  <c r="AA493" i="1"/>
  <c r="AA429" i="1"/>
  <c r="AA365" i="1"/>
  <c r="AA301" i="1"/>
  <c r="AA237" i="1"/>
  <c r="AA173" i="1"/>
  <c r="AA109" i="1"/>
  <c r="AA45" i="1"/>
  <c r="AA660" i="1"/>
  <c r="AA596" i="1"/>
  <c r="AA532" i="1"/>
  <c r="AA468" i="1"/>
  <c r="AA404" i="1"/>
  <c r="AA340" i="1"/>
  <c r="AA276" i="1"/>
  <c r="AA212" i="1"/>
  <c r="AA148" i="1"/>
  <c r="AA84" i="1"/>
  <c r="AA20" i="1"/>
  <c r="AA603" i="1"/>
  <c r="AA539" i="1"/>
  <c r="AA475" i="1"/>
  <c r="AA411" i="1"/>
  <c r="AA347" i="1"/>
  <c r="AA283" i="1"/>
  <c r="AA219" i="1"/>
  <c r="AA155" i="1"/>
  <c r="AA91" i="1"/>
  <c r="AA27" i="1"/>
  <c r="AA610" i="1"/>
  <c r="AA546" i="1"/>
  <c r="AA482" i="1"/>
  <c r="AA418" i="1"/>
  <c r="AA354" i="1"/>
  <c r="AA226" i="1"/>
  <c r="AA162" i="1"/>
  <c r="AA98" i="1"/>
  <c r="AA290" i="1"/>
  <c r="AA601" i="1"/>
  <c r="AA177" i="1"/>
  <c r="AA297" i="1"/>
  <c r="AA353" i="1"/>
  <c r="AA25" i="1"/>
  <c r="AA536" i="1"/>
  <c r="AA472" i="1"/>
  <c r="AA408" i="1"/>
  <c r="AA344" i="1"/>
  <c r="AA280" i="1"/>
  <c r="AA216" i="1"/>
  <c r="AA152" i="1"/>
  <c r="AA88" i="1"/>
  <c r="AA24" i="1"/>
  <c r="AA599" i="1"/>
  <c r="AA535" i="1"/>
  <c r="AA471" i="1"/>
  <c r="AA407" i="1"/>
  <c r="AA343" i="1"/>
  <c r="AA279" i="1"/>
  <c r="AA151" i="1"/>
  <c r="AA87" i="1"/>
  <c r="AA23" i="1"/>
  <c r="AA606" i="1"/>
  <c r="AA542" i="1"/>
  <c r="AA478" i="1"/>
  <c r="AA414" i="1"/>
  <c r="AA350" i="1"/>
  <c r="AA286" i="1"/>
  <c r="AA222" i="1"/>
  <c r="AA158" i="1"/>
  <c r="AA94" i="1"/>
  <c r="AA30" i="1"/>
  <c r="AA613" i="1"/>
  <c r="AA549" i="1"/>
  <c r="AA485" i="1"/>
  <c r="AA421" i="1"/>
  <c r="AA357" i="1"/>
  <c r="AA293" i="1"/>
  <c r="AA229" i="1"/>
  <c r="AA165" i="1"/>
  <c r="AA101" i="1"/>
  <c r="AA37" i="1"/>
  <c r="AA652" i="1"/>
  <c r="AA588" i="1"/>
  <c r="AA524" i="1"/>
  <c r="AA460" i="1"/>
  <c r="AA396" i="1"/>
  <c r="AA332" i="1"/>
  <c r="AA268" i="1"/>
  <c r="AA204" i="1"/>
  <c r="AA140" i="1"/>
  <c r="AA76" i="1"/>
  <c r="AA659" i="1"/>
  <c r="AA595" i="1"/>
  <c r="AA531" i="1"/>
  <c r="AA467" i="1"/>
  <c r="AA403" i="1"/>
  <c r="AA339" i="1"/>
  <c r="AA275" i="1"/>
  <c r="AA211" i="1"/>
  <c r="AA147" i="1"/>
  <c r="AA83" i="1"/>
  <c r="AA602" i="1"/>
  <c r="AA538" i="1"/>
  <c r="AA474" i="1"/>
  <c r="AA410" i="1"/>
  <c r="AA346" i="1"/>
  <c r="AA282" i="1"/>
  <c r="AA218" i="1"/>
  <c r="AA90" i="1"/>
  <c r="AA26" i="1"/>
  <c r="AA145" i="1"/>
  <c r="AA521" i="1"/>
  <c r="AA121" i="1"/>
  <c r="AA441" i="1"/>
  <c r="AA513" i="1"/>
  <c r="AA600" i="1"/>
  <c r="AA215" i="1"/>
  <c r="AA537" i="1"/>
  <c r="AA457" i="1"/>
  <c r="AA33" i="1"/>
  <c r="AA625" i="1"/>
  <c r="AA65" i="1"/>
  <c r="AA377" i="1"/>
  <c r="AA233" i="1"/>
  <c r="AA321" i="1"/>
  <c r="AA289" i="1"/>
  <c r="AA656" i="1"/>
  <c r="AA592" i="1"/>
  <c r="AA528" i="1"/>
  <c r="AA464" i="1"/>
  <c r="AA400" i="1"/>
  <c r="AA336" i="1"/>
  <c r="AA272" i="1"/>
  <c r="AA208" i="1"/>
  <c r="AA144" i="1"/>
  <c r="AA80" i="1"/>
  <c r="AA655" i="1"/>
  <c r="AA591" i="1"/>
  <c r="AA527" i="1"/>
  <c r="AA463" i="1"/>
  <c r="AA399" i="1"/>
  <c r="AA335" i="1"/>
  <c r="AA271" i="1"/>
  <c r="AA207" i="1"/>
  <c r="AA143" i="1"/>
  <c r="AA79" i="1"/>
  <c r="AA662" i="1"/>
  <c r="AA598" i="1"/>
  <c r="AA534" i="1"/>
  <c r="AA470" i="1"/>
  <c r="AA406" i="1"/>
  <c r="AA342" i="1"/>
  <c r="AA278" i="1"/>
  <c r="AA214" i="1"/>
  <c r="AA150" i="1"/>
  <c r="AA86" i="1"/>
  <c r="AA22" i="1"/>
  <c r="AA605" i="1"/>
  <c r="AA541" i="1"/>
  <c r="AA477" i="1"/>
  <c r="AA413" i="1"/>
  <c r="AA349" i="1"/>
  <c r="AA285" i="1"/>
  <c r="AA221" i="1"/>
  <c r="AA157" i="1"/>
  <c r="AA93" i="1"/>
  <c r="AA29" i="1"/>
  <c r="AA644" i="1"/>
  <c r="AA580" i="1"/>
  <c r="AA516" i="1"/>
  <c r="AA452" i="1"/>
  <c r="AA388" i="1"/>
  <c r="AA324" i="1"/>
  <c r="AA260" i="1"/>
  <c r="AA196" i="1"/>
  <c r="AA132" i="1"/>
  <c r="AA68" i="1"/>
  <c r="AA651" i="1"/>
  <c r="AA587" i="1"/>
  <c r="AA523" i="1"/>
  <c r="AA459" i="1"/>
  <c r="AA395" i="1"/>
  <c r="AA331" i="1"/>
  <c r="AA267" i="1"/>
  <c r="AA203" i="1"/>
  <c r="AA139" i="1"/>
  <c r="AA75" i="1"/>
  <c r="AA658" i="1"/>
  <c r="AA594" i="1"/>
  <c r="AA530" i="1"/>
  <c r="AA466" i="1"/>
  <c r="AA402" i="1"/>
  <c r="AA338" i="1"/>
  <c r="AA274" i="1"/>
  <c r="AA210" i="1"/>
  <c r="AA146" i="1"/>
  <c r="AA82" i="1"/>
  <c r="AA345" i="1"/>
  <c r="AA465" i="1"/>
  <c r="AA473" i="1"/>
  <c r="AA169" i="1"/>
  <c r="AA225" i="1"/>
  <c r="AA648" i="1"/>
  <c r="AA584" i="1"/>
  <c r="AA520" i="1"/>
  <c r="AA456" i="1"/>
  <c r="AA392" i="1"/>
  <c r="AA328" i="1"/>
  <c r="AA264" i="1"/>
  <c r="AA200" i="1"/>
  <c r="AA136" i="1"/>
  <c r="AA72" i="1"/>
  <c r="AA583" i="1"/>
  <c r="AA519" i="1"/>
  <c r="AA455" i="1"/>
  <c r="AA391" i="1"/>
  <c r="AA327" i="1"/>
  <c r="AA263" i="1"/>
  <c r="AA199" i="1"/>
  <c r="AA135" i="1"/>
  <c r="AA71" i="1"/>
  <c r="AA654" i="1"/>
  <c r="AA590" i="1"/>
  <c r="AA526" i="1"/>
  <c r="AA462" i="1"/>
  <c r="AA398" i="1"/>
  <c r="AA334" i="1"/>
  <c r="AA270" i="1"/>
  <c r="AA206" i="1"/>
  <c r="AA142" i="1"/>
  <c r="AA78" i="1"/>
  <c r="AA661" i="1"/>
  <c r="AA597" i="1"/>
  <c r="AA533" i="1"/>
  <c r="AA469" i="1"/>
  <c r="AA405" i="1"/>
  <c r="AA341" i="1"/>
  <c r="AA277" i="1"/>
  <c r="AA213" i="1"/>
  <c r="AA149" i="1"/>
  <c r="AA85" i="1"/>
  <c r="AA21" i="1"/>
  <c r="AA636" i="1"/>
  <c r="AA572" i="1"/>
  <c r="AA508" i="1"/>
  <c r="AA444" i="1"/>
  <c r="AA380" i="1"/>
  <c r="AA316" i="1"/>
  <c r="AA252" i="1"/>
  <c r="AA188" i="1"/>
  <c r="AA124" i="1"/>
  <c r="AA60" i="1"/>
  <c r="AA643" i="1"/>
  <c r="AA579" i="1"/>
  <c r="AA515" i="1"/>
  <c r="AA451" i="1"/>
  <c r="AA387" i="1"/>
  <c r="AA323" i="1"/>
  <c r="AA259" i="1"/>
  <c r="AA195" i="1"/>
  <c r="AA131" i="1"/>
  <c r="AA67" i="1"/>
  <c r="AA650" i="1"/>
  <c r="AA586" i="1"/>
  <c r="AA522" i="1"/>
  <c r="AA458" i="1"/>
  <c r="AA394" i="1"/>
  <c r="AA330" i="1"/>
  <c r="AA266" i="1"/>
  <c r="AA202" i="1"/>
  <c r="AA138" i="1"/>
  <c r="AA74" i="1"/>
  <c r="AA19" i="1"/>
  <c r="AA18" i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30" i="1"/>
  <c r="G30" i="1" s="1"/>
  <c r="F32" i="1"/>
  <c r="G32" i="1" s="1"/>
  <c r="F31" i="1"/>
  <c r="G31" i="1" s="1"/>
  <c r="AJ19" i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AL18" i="1"/>
  <c r="AL19" i="1" s="1"/>
  <c r="AL20" i="1" s="1"/>
  <c r="AL21" i="1" s="1"/>
  <c r="AL22" i="1" s="1"/>
  <c r="AL23" i="1" s="1"/>
  <c r="AL24" i="1" s="1"/>
  <c r="AL25" i="1" s="1"/>
  <c r="AL26" i="1" s="1"/>
  <c r="AL27" i="1" s="1"/>
  <c r="AL28" i="1" s="1"/>
  <c r="AL29" i="1" s="1"/>
  <c r="AL30" i="1" s="1"/>
  <c r="AL31" i="1" s="1"/>
  <c r="AL32" i="1" s="1"/>
  <c r="AL33" i="1" s="1"/>
  <c r="AL34" i="1" s="1"/>
  <c r="AL35" i="1" s="1"/>
  <c r="AL36" i="1" s="1"/>
  <c r="AL37" i="1" s="1"/>
  <c r="AL38" i="1" s="1"/>
  <c r="AL39" i="1" s="1"/>
  <c r="AL40" i="1" s="1"/>
  <c r="AL41" i="1" s="1"/>
  <c r="AL42" i="1" s="1"/>
  <c r="AL43" i="1" s="1"/>
  <c r="AL44" i="1" s="1"/>
  <c r="AL45" i="1" s="1"/>
  <c r="AL46" i="1" s="1"/>
  <c r="AL47" i="1" s="1"/>
  <c r="AL48" i="1" s="1"/>
  <c r="AL49" i="1" s="1"/>
  <c r="AL50" i="1" s="1"/>
  <c r="AL51" i="1" s="1"/>
  <c r="AL52" i="1" s="1"/>
  <c r="AL53" i="1" s="1"/>
  <c r="AL54" i="1" s="1"/>
  <c r="AL55" i="1" s="1"/>
  <c r="AL56" i="1" s="1"/>
  <c r="AL57" i="1" s="1"/>
  <c r="AL58" i="1" s="1"/>
  <c r="AL59" i="1" s="1"/>
  <c r="AL60" i="1" s="1"/>
  <c r="AL61" i="1" s="1"/>
  <c r="AL62" i="1" s="1"/>
  <c r="AL63" i="1" s="1"/>
  <c r="AL64" i="1" s="1"/>
  <c r="AL65" i="1" s="1"/>
  <c r="AL66" i="1" s="1"/>
  <c r="AL67" i="1" s="1"/>
  <c r="AL68" i="1" s="1"/>
  <c r="AL69" i="1" s="1"/>
  <c r="AL70" i="1" s="1"/>
  <c r="AL71" i="1" s="1"/>
  <c r="AL72" i="1" s="1"/>
  <c r="AL73" i="1" s="1"/>
  <c r="AL74" i="1" s="1"/>
  <c r="AL75" i="1" s="1"/>
  <c r="AL76" i="1" s="1"/>
  <c r="AL77" i="1" s="1"/>
  <c r="AL78" i="1" s="1"/>
  <c r="AL79" i="1" s="1"/>
  <c r="AL80" i="1" s="1"/>
  <c r="AL81" i="1" s="1"/>
  <c r="AL82" i="1" s="1"/>
  <c r="AL83" i="1" s="1"/>
  <c r="AL84" i="1" s="1"/>
  <c r="AL85" i="1" s="1"/>
  <c r="AL86" i="1" s="1"/>
  <c r="AL87" i="1" s="1"/>
  <c r="AL88" i="1" s="1"/>
  <c r="AL89" i="1" s="1"/>
  <c r="AL90" i="1" s="1"/>
  <c r="AL91" i="1" s="1"/>
  <c r="AL92" i="1" s="1"/>
  <c r="AL93" i="1" s="1"/>
  <c r="AL94" i="1" s="1"/>
  <c r="AL95" i="1" s="1"/>
  <c r="AL96" i="1" s="1"/>
  <c r="AL97" i="1" s="1"/>
  <c r="AL98" i="1" s="1"/>
  <c r="AL99" i="1" s="1"/>
  <c r="AL100" i="1" s="1"/>
  <c r="AL101" i="1" s="1"/>
  <c r="AL102" i="1" s="1"/>
  <c r="AL103" i="1" s="1"/>
  <c r="AL104" i="1" s="1"/>
  <c r="AL105" i="1" s="1"/>
  <c r="AL106" i="1" s="1"/>
  <c r="AL107" i="1" s="1"/>
  <c r="AL108" i="1" s="1"/>
  <c r="AL109" i="1" s="1"/>
  <c r="AL110" i="1" s="1"/>
  <c r="AL111" i="1" s="1"/>
  <c r="AL112" i="1" s="1"/>
  <c r="AL113" i="1" s="1"/>
  <c r="AL114" i="1" s="1"/>
  <c r="AL115" i="1" s="1"/>
  <c r="AL116" i="1" s="1"/>
  <c r="AL117" i="1" s="1"/>
  <c r="AL118" i="1" s="1"/>
  <c r="AL119" i="1" s="1"/>
  <c r="AL120" i="1" s="1"/>
  <c r="AL121" i="1" s="1"/>
  <c r="AL122" i="1" s="1"/>
  <c r="AL123" i="1" s="1"/>
  <c r="AL124" i="1" s="1"/>
  <c r="AL125" i="1" s="1"/>
  <c r="AL126" i="1" s="1"/>
  <c r="AL127" i="1" s="1"/>
  <c r="AL128" i="1" s="1"/>
  <c r="AL129" i="1" s="1"/>
  <c r="AL130" i="1" s="1"/>
  <c r="AL131" i="1" s="1"/>
  <c r="AL132" i="1" s="1"/>
  <c r="AL133" i="1" s="1"/>
  <c r="AL134" i="1" s="1"/>
  <c r="AL135" i="1" s="1"/>
  <c r="AL136" i="1" s="1"/>
  <c r="AL137" i="1" s="1"/>
  <c r="AL138" i="1" s="1"/>
  <c r="AL139" i="1" s="1"/>
  <c r="AL140" i="1" s="1"/>
  <c r="AL141" i="1" s="1"/>
  <c r="AL142" i="1" s="1"/>
  <c r="AL143" i="1" s="1"/>
  <c r="AL144" i="1" s="1"/>
  <c r="AL145" i="1" s="1"/>
  <c r="AL146" i="1" s="1"/>
  <c r="AL147" i="1" s="1"/>
  <c r="AL148" i="1" s="1"/>
  <c r="AL149" i="1" s="1"/>
  <c r="AL150" i="1" s="1"/>
  <c r="AL151" i="1" s="1"/>
  <c r="AL152" i="1" s="1"/>
  <c r="AL153" i="1" s="1"/>
  <c r="AL154" i="1" s="1"/>
  <c r="AL155" i="1" s="1"/>
  <c r="AL156" i="1" s="1"/>
  <c r="AL157" i="1" s="1"/>
  <c r="AL158" i="1" s="1"/>
  <c r="AL159" i="1" s="1"/>
  <c r="AL160" i="1" s="1"/>
  <c r="AL161" i="1" s="1"/>
  <c r="AL162" i="1" s="1"/>
  <c r="AL163" i="1" s="1"/>
  <c r="AL164" i="1" s="1"/>
  <c r="AL165" i="1" s="1"/>
  <c r="AL166" i="1" s="1"/>
  <c r="AL167" i="1" s="1"/>
  <c r="AL168" i="1" s="1"/>
  <c r="AL169" i="1" s="1"/>
  <c r="AL170" i="1" s="1"/>
  <c r="AL171" i="1" s="1"/>
  <c r="AL172" i="1" s="1"/>
  <c r="AL173" i="1" s="1"/>
  <c r="AL174" i="1" s="1"/>
  <c r="AL175" i="1" s="1"/>
  <c r="AL176" i="1" s="1"/>
  <c r="AL177" i="1" s="1"/>
  <c r="AL178" i="1" s="1"/>
  <c r="AL179" i="1" s="1"/>
  <c r="AL180" i="1" s="1"/>
  <c r="AL181" i="1" s="1"/>
  <c r="AL182" i="1" s="1"/>
  <c r="AL183" i="1" s="1"/>
  <c r="AL184" i="1" s="1"/>
  <c r="AL185" i="1" s="1"/>
  <c r="AL186" i="1" s="1"/>
  <c r="AL187" i="1" s="1"/>
  <c r="AL188" i="1" s="1"/>
  <c r="AL189" i="1" s="1"/>
  <c r="AL190" i="1" s="1"/>
  <c r="AL191" i="1" s="1"/>
  <c r="AL192" i="1" s="1"/>
  <c r="AL193" i="1" s="1"/>
  <c r="AL194" i="1" s="1"/>
  <c r="AL195" i="1" s="1"/>
  <c r="AL196" i="1" s="1"/>
  <c r="AL197" i="1" s="1"/>
  <c r="AL198" i="1" s="1"/>
  <c r="AL199" i="1" s="1"/>
  <c r="AL200" i="1" s="1"/>
  <c r="AL201" i="1" s="1"/>
  <c r="AL202" i="1" s="1"/>
  <c r="AL203" i="1" s="1"/>
  <c r="AL204" i="1" s="1"/>
  <c r="AL205" i="1" s="1"/>
  <c r="AL206" i="1" s="1"/>
  <c r="AL207" i="1" s="1"/>
  <c r="AL208" i="1" s="1"/>
  <c r="AL209" i="1" s="1"/>
  <c r="AL210" i="1" s="1"/>
  <c r="AL211" i="1" s="1"/>
  <c r="AL212" i="1" s="1"/>
  <c r="AL213" i="1" s="1"/>
  <c r="AL214" i="1" s="1"/>
  <c r="AL215" i="1" s="1"/>
  <c r="AL216" i="1" s="1"/>
  <c r="AL217" i="1" s="1"/>
  <c r="AL218" i="1" s="1"/>
  <c r="AL219" i="1" s="1"/>
  <c r="AL220" i="1" s="1"/>
  <c r="AL221" i="1" s="1"/>
  <c r="AL222" i="1" s="1"/>
  <c r="AL223" i="1" s="1"/>
  <c r="AL224" i="1" s="1"/>
  <c r="AL225" i="1" s="1"/>
  <c r="AL226" i="1" s="1"/>
  <c r="AL227" i="1" s="1"/>
  <c r="AL228" i="1" s="1"/>
  <c r="AL229" i="1" s="1"/>
  <c r="AL230" i="1" s="1"/>
  <c r="AL231" i="1" s="1"/>
  <c r="AL232" i="1" s="1"/>
  <c r="AL233" i="1" s="1"/>
  <c r="AL234" i="1" s="1"/>
  <c r="AL235" i="1" s="1"/>
  <c r="AL236" i="1" s="1"/>
  <c r="AL237" i="1" s="1"/>
  <c r="AL238" i="1" s="1"/>
  <c r="AL239" i="1" s="1"/>
  <c r="AL240" i="1" s="1"/>
  <c r="AL241" i="1" s="1"/>
  <c r="AL242" i="1" s="1"/>
  <c r="AL243" i="1" s="1"/>
  <c r="AL244" i="1" s="1"/>
  <c r="AL245" i="1" s="1"/>
  <c r="AL246" i="1" s="1"/>
  <c r="AL247" i="1" s="1"/>
  <c r="AL248" i="1" s="1"/>
  <c r="AL249" i="1" s="1"/>
  <c r="AL250" i="1" s="1"/>
  <c r="AL251" i="1" s="1"/>
  <c r="AL252" i="1" s="1"/>
  <c r="AL253" i="1" s="1"/>
  <c r="AL254" i="1" s="1"/>
  <c r="AL255" i="1" s="1"/>
  <c r="AL256" i="1" s="1"/>
  <c r="AL257" i="1" s="1"/>
  <c r="AL258" i="1" s="1"/>
  <c r="AL259" i="1" s="1"/>
  <c r="AL260" i="1" s="1"/>
  <c r="AL261" i="1" s="1"/>
  <c r="AL262" i="1" s="1"/>
  <c r="AL263" i="1" s="1"/>
  <c r="AL264" i="1" s="1"/>
  <c r="AL265" i="1" s="1"/>
  <c r="AL266" i="1" s="1"/>
  <c r="AL267" i="1" s="1"/>
  <c r="AL268" i="1" s="1"/>
  <c r="AL269" i="1" s="1"/>
  <c r="AL270" i="1" s="1"/>
  <c r="AL271" i="1" s="1"/>
  <c r="AL272" i="1" s="1"/>
  <c r="AL273" i="1" s="1"/>
  <c r="AL274" i="1" s="1"/>
  <c r="AL275" i="1" s="1"/>
  <c r="AL276" i="1" s="1"/>
  <c r="AL277" i="1" s="1"/>
  <c r="AL278" i="1" s="1"/>
  <c r="AL279" i="1" s="1"/>
  <c r="AL280" i="1" s="1"/>
  <c r="AL281" i="1" s="1"/>
  <c r="AL282" i="1" s="1"/>
  <c r="AL283" i="1" s="1"/>
  <c r="AL284" i="1" s="1"/>
  <c r="AL285" i="1" s="1"/>
  <c r="AL286" i="1" s="1"/>
  <c r="AL287" i="1" s="1"/>
  <c r="AL288" i="1" s="1"/>
  <c r="AL289" i="1" s="1"/>
  <c r="AL290" i="1" s="1"/>
  <c r="AL291" i="1" s="1"/>
  <c r="AL292" i="1" s="1"/>
  <c r="AL293" i="1" s="1"/>
  <c r="AL294" i="1" s="1"/>
  <c r="AL295" i="1" s="1"/>
  <c r="AL296" i="1" s="1"/>
  <c r="AL297" i="1" s="1"/>
  <c r="AL298" i="1" s="1"/>
  <c r="AL299" i="1" s="1"/>
  <c r="AL300" i="1" s="1"/>
  <c r="AL301" i="1" s="1"/>
  <c r="AL302" i="1" s="1"/>
  <c r="AL303" i="1" s="1"/>
  <c r="AL304" i="1" s="1"/>
  <c r="AL305" i="1" s="1"/>
  <c r="AL306" i="1" s="1"/>
  <c r="AL307" i="1" s="1"/>
  <c r="AL308" i="1" s="1"/>
  <c r="AL309" i="1" s="1"/>
  <c r="AL310" i="1" s="1"/>
  <c r="AL311" i="1" s="1"/>
  <c r="AL312" i="1" s="1"/>
  <c r="AL313" i="1" s="1"/>
  <c r="AL314" i="1" s="1"/>
  <c r="AL315" i="1" s="1"/>
  <c r="AL316" i="1" s="1"/>
  <c r="AL317" i="1" s="1"/>
  <c r="AL318" i="1" s="1"/>
  <c r="AL319" i="1" s="1"/>
  <c r="AL320" i="1" s="1"/>
  <c r="AL321" i="1" s="1"/>
  <c r="AL322" i="1" s="1"/>
  <c r="AL323" i="1" s="1"/>
  <c r="AL324" i="1" s="1"/>
  <c r="AL325" i="1" s="1"/>
  <c r="AL326" i="1" s="1"/>
  <c r="AL327" i="1" s="1"/>
  <c r="AL328" i="1" s="1"/>
  <c r="AL329" i="1" s="1"/>
  <c r="AL330" i="1" s="1"/>
  <c r="AL331" i="1" s="1"/>
  <c r="AL332" i="1" s="1"/>
  <c r="AL333" i="1" s="1"/>
  <c r="AL334" i="1" s="1"/>
  <c r="AL335" i="1" s="1"/>
  <c r="AL336" i="1" s="1"/>
  <c r="AL337" i="1" s="1"/>
  <c r="AL338" i="1" s="1"/>
  <c r="AL339" i="1" s="1"/>
  <c r="AL340" i="1" s="1"/>
  <c r="AL341" i="1" s="1"/>
  <c r="AL342" i="1" s="1"/>
  <c r="AL343" i="1" s="1"/>
  <c r="AL344" i="1" s="1"/>
  <c r="AL345" i="1" s="1"/>
  <c r="AL346" i="1" s="1"/>
  <c r="AL347" i="1" s="1"/>
  <c r="AL348" i="1" s="1"/>
  <c r="AL349" i="1" s="1"/>
  <c r="AL350" i="1" s="1"/>
  <c r="AL351" i="1" s="1"/>
  <c r="AL352" i="1" s="1"/>
  <c r="AL353" i="1" s="1"/>
  <c r="AL354" i="1" s="1"/>
  <c r="AL355" i="1" s="1"/>
  <c r="AL356" i="1" s="1"/>
  <c r="AL357" i="1" s="1"/>
  <c r="AL358" i="1" s="1"/>
  <c r="AL359" i="1" s="1"/>
  <c r="AL360" i="1" s="1"/>
  <c r="AL361" i="1" s="1"/>
  <c r="AL362" i="1" s="1"/>
  <c r="AL363" i="1" s="1"/>
  <c r="AL364" i="1" s="1"/>
  <c r="AL365" i="1" s="1"/>
  <c r="AL366" i="1" s="1"/>
  <c r="AL367" i="1" s="1"/>
  <c r="AL368" i="1" s="1"/>
  <c r="AL369" i="1" s="1"/>
  <c r="AL370" i="1" s="1"/>
  <c r="AL371" i="1" s="1"/>
  <c r="AL372" i="1" s="1"/>
  <c r="AL373" i="1" s="1"/>
  <c r="AL374" i="1" s="1"/>
  <c r="AL375" i="1" s="1"/>
  <c r="AL376" i="1" s="1"/>
  <c r="AL377" i="1" s="1"/>
  <c r="AL378" i="1" s="1"/>
  <c r="AL379" i="1" s="1"/>
  <c r="AL380" i="1" s="1"/>
  <c r="AL381" i="1" s="1"/>
  <c r="AL382" i="1" s="1"/>
  <c r="AL383" i="1" s="1"/>
  <c r="AL384" i="1" s="1"/>
  <c r="AL385" i="1" s="1"/>
  <c r="AL386" i="1" s="1"/>
  <c r="AL387" i="1" s="1"/>
  <c r="AL388" i="1" s="1"/>
  <c r="AL389" i="1" s="1"/>
  <c r="AL390" i="1" s="1"/>
  <c r="AL391" i="1" s="1"/>
  <c r="AL392" i="1" s="1"/>
  <c r="AL393" i="1" s="1"/>
  <c r="AL394" i="1" s="1"/>
  <c r="AL395" i="1" s="1"/>
  <c r="AL396" i="1" s="1"/>
  <c r="AL397" i="1" s="1"/>
  <c r="AL398" i="1" s="1"/>
  <c r="AL399" i="1" s="1"/>
  <c r="AL400" i="1" s="1"/>
  <c r="AL401" i="1" s="1"/>
  <c r="AL402" i="1" s="1"/>
  <c r="AL403" i="1" s="1"/>
  <c r="AL404" i="1" s="1"/>
  <c r="AL405" i="1" s="1"/>
  <c r="AL406" i="1" s="1"/>
  <c r="AL407" i="1" s="1"/>
  <c r="AL408" i="1" s="1"/>
  <c r="AL409" i="1" s="1"/>
  <c r="AL410" i="1" s="1"/>
  <c r="AL411" i="1" s="1"/>
  <c r="AL412" i="1" s="1"/>
  <c r="AL413" i="1" s="1"/>
  <c r="AL414" i="1" s="1"/>
  <c r="AL415" i="1" s="1"/>
  <c r="AL416" i="1" s="1"/>
  <c r="AL417" i="1" s="1"/>
  <c r="AL418" i="1" s="1"/>
  <c r="AL419" i="1" s="1"/>
  <c r="AL420" i="1" s="1"/>
  <c r="AL421" i="1" s="1"/>
  <c r="AL422" i="1" s="1"/>
  <c r="AL423" i="1" s="1"/>
  <c r="AL424" i="1" s="1"/>
  <c r="AL425" i="1" s="1"/>
  <c r="AL426" i="1" s="1"/>
  <c r="AL427" i="1" s="1"/>
  <c r="AL428" i="1" s="1"/>
  <c r="AL429" i="1" s="1"/>
  <c r="AL430" i="1" s="1"/>
  <c r="AL431" i="1" s="1"/>
  <c r="AL432" i="1" s="1"/>
  <c r="AL433" i="1" s="1"/>
  <c r="AL434" i="1" s="1"/>
  <c r="AL435" i="1" s="1"/>
  <c r="AL436" i="1" s="1"/>
  <c r="AL437" i="1" s="1"/>
  <c r="AL438" i="1" s="1"/>
  <c r="AL439" i="1" s="1"/>
  <c r="AL440" i="1" s="1"/>
  <c r="AL441" i="1" s="1"/>
  <c r="AL442" i="1" s="1"/>
  <c r="AL443" i="1" s="1"/>
  <c r="AL444" i="1" s="1"/>
  <c r="AL445" i="1" s="1"/>
  <c r="AL446" i="1" s="1"/>
  <c r="AL447" i="1" s="1"/>
  <c r="AL448" i="1" s="1"/>
  <c r="AL449" i="1" s="1"/>
  <c r="AL450" i="1" s="1"/>
  <c r="AL451" i="1" s="1"/>
  <c r="AL452" i="1" s="1"/>
  <c r="AL453" i="1" s="1"/>
  <c r="AL454" i="1" s="1"/>
  <c r="AL455" i="1" s="1"/>
  <c r="AL456" i="1" s="1"/>
  <c r="AL457" i="1" s="1"/>
  <c r="AL458" i="1" s="1"/>
  <c r="AL459" i="1" s="1"/>
  <c r="AL460" i="1" s="1"/>
  <c r="AL461" i="1" s="1"/>
  <c r="AL462" i="1" s="1"/>
  <c r="AL463" i="1" s="1"/>
  <c r="AL464" i="1" s="1"/>
  <c r="AL465" i="1" s="1"/>
  <c r="AL466" i="1" s="1"/>
  <c r="AL467" i="1" s="1"/>
  <c r="AL468" i="1" s="1"/>
  <c r="AL469" i="1" s="1"/>
  <c r="AL470" i="1" s="1"/>
  <c r="AL471" i="1" s="1"/>
  <c r="AL472" i="1" s="1"/>
  <c r="AL473" i="1" s="1"/>
  <c r="AL474" i="1" s="1"/>
  <c r="AL475" i="1" s="1"/>
  <c r="AL476" i="1" s="1"/>
  <c r="AL477" i="1" s="1"/>
  <c r="AL478" i="1" s="1"/>
  <c r="AL479" i="1" s="1"/>
  <c r="AL480" i="1" s="1"/>
  <c r="AL481" i="1" s="1"/>
  <c r="AL482" i="1" s="1"/>
  <c r="AL483" i="1" s="1"/>
  <c r="AL484" i="1" s="1"/>
  <c r="AL485" i="1" s="1"/>
  <c r="AL486" i="1" s="1"/>
  <c r="AL487" i="1" s="1"/>
  <c r="AL488" i="1" s="1"/>
  <c r="AL489" i="1" s="1"/>
  <c r="AL490" i="1" s="1"/>
  <c r="AL491" i="1" s="1"/>
  <c r="AL492" i="1" s="1"/>
  <c r="AL493" i="1" s="1"/>
  <c r="AL494" i="1" s="1"/>
  <c r="AL495" i="1" s="1"/>
  <c r="AL496" i="1" s="1"/>
  <c r="AL497" i="1" s="1"/>
  <c r="AL498" i="1" s="1"/>
  <c r="AL499" i="1" s="1"/>
  <c r="AL500" i="1" s="1"/>
  <c r="AL501" i="1" s="1"/>
  <c r="AL502" i="1" s="1"/>
  <c r="AL503" i="1" s="1"/>
  <c r="AL504" i="1" s="1"/>
  <c r="AL505" i="1" s="1"/>
  <c r="AL506" i="1" s="1"/>
  <c r="AL507" i="1" s="1"/>
  <c r="AL508" i="1" s="1"/>
  <c r="AL509" i="1" s="1"/>
  <c r="AL510" i="1" s="1"/>
  <c r="AL511" i="1" s="1"/>
  <c r="AL512" i="1" s="1"/>
  <c r="AL513" i="1" s="1"/>
  <c r="AL514" i="1" s="1"/>
  <c r="AL515" i="1" s="1"/>
  <c r="AL516" i="1" s="1"/>
  <c r="AL517" i="1" s="1"/>
  <c r="AL518" i="1" s="1"/>
  <c r="AL519" i="1" s="1"/>
  <c r="AL520" i="1" s="1"/>
  <c r="AL521" i="1" s="1"/>
  <c r="AL522" i="1" s="1"/>
  <c r="AL523" i="1" s="1"/>
  <c r="AL524" i="1" s="1"/>
  <c r="AL525" i="1" s="1"/>
  <c r="AL526" i="1" s="1"/>
  <c r="AL527" i="1" s="1"/>
  <c r="AL528" i="1" s="1"/>
  <c r="AL529" i="1" s="1"/>
  <c r="AL530" i="1" s="1"/>
  <c r="AL531" i="1" s="1"/>
  <c r="AL532" i="1" s="1"/>
  <c r="AL533" i="1" s="1"/>
  <c r="AL534" i="1" s="1"/>
  <c r="AL535" i="1" s="1"/>
  <c r="AL536" i="1" s="1"/>
  <c r="AL537" i="1" s="1"/>
  <c r="AL538" i="1" s="1"/>
  <c r="AL539" i="1" s="1"/>
  <c r="AL540" i="1" s="1"/>
  <c r="AL541" i="1" s="1"/>
  <c r="AL542" i="1" s="1"/>
  <c r="AL543" i="1" s="1"/>
  <c r="AL544" i="1" s="1"/>
  <c r="AL545" i="1" s="1"/>
  <c r="AL546" i="1" s="1"/>
  <c r="AL547" i="1" s="1"/>
  <c r="AL548" i="1" s="1"/>
  <c r="AL549" i="1" s="1"/>
  <c r="AL550" i="1" s="1"/>
  <c r="AL551" i="1" s="1"/>
  <c r="AL552" i="1" s="1"/>
  <c r="AL553" i="1" s="1"/>
  <c r="AL554" i="1" s="1"/>
  <c r="AL555" i="1" s="1"/>
  <c r="AL556" i="1" s="1"/>
  <c r="AL557" i="1" s="1"/>
  <c r="AL558" i="1" s="1"/>
  <c r="AL559" i="1" s="1"/>
  <c r="AL560" i="1" s="1"/>
  <c r="AL561" i="1" s="1"/>
  <c r="AL562" i="1" s="1"/>
  <c r="AL563" i="1" s="1"/>
  <c r="AL564" i="1" s="1"/>
  <c r="AL565" i="1" s="1"/>
  <c r="AL566" i="1" s="1"/>
  <c r="AL567" i="1" s="1"/>
  <c r="AL568" i="1" s="1"/>
  <c r="AL569" i="1" s="1"/>
  <c r="AL570" i="1" s="1"/>
  <c r="AL571" i="1" s="1"/>
  <c r="AL572" i="1" s="1"/>
  <c r="AL573" i="1" s="1"/>
  <c r="AL574" i="1" s="1"/>
  <c r="AL575" i="1" s="1"/>
  <c r="AL576" i="1" s="1"/>
  <c r="AL577" i="1" s="1"/>
  <c r="AL578" i="1" s="1"/>
  <c r="AL579" i="1" s="1"/>
  <c r="AL580" i="1" s="1"/>
  <c r="AL581" i="1" s="1"/>
  <c r="AL582" i="1" s="1"/>
  <c r="AL583" i="1" s="1"/>
  <c r="AL584" i="1" s="1"/>
  <c r="AL585" i="1" s="1"/>
  <c r="AL586" i="1" s="1"/>
  <c r="AL587" i="1" s="1"/>
  <c r="AL588" i="1" s="1"/>
  <c r="AL589" i="1" s="1"/>
  <c r="AL590" i="1" s="1"/>
  <c r="AL591" i="1" s="1"/>
  <c r="AL592" i="1" s="1"/>
  <c r="AL593" i="1" s="1"/>
  <c r="AL594" i="1" s="1"/>
  <c r="AL595" i="1" s="1"/>
  <c r="AL596" i="1" s="1"/>
  <c r="AL597" i="1" s="1"/>
  <c r="AL598" i="1" s="1"/>
  <c r="AL599" i="1" s="1"/>
  <c r="AL600" i="1" s="1"/>
  <c r="AL601" i="1" s="1"/>
  <c r="AL602" i="1" s="1"/>
  <c r="AL603" i="1" s="1"/>
  <c r="AL604" i="1" s="1"/>
  <c r="AL605" i="1" s="1"/>
  <c r="AL606" i="1" s="1"/>
  <c r="AL607" i="1" s="1"/>
  <c r="AL608" i="1" s="1"/>
  <c r="AL609" i="1" s="1"/>
  <c r="AL610" i="1" s="1"/>
  <c r="AL611" i="1" s="1"/>
  <c r="AL612" i="1" s="1"/>
  <c r="AL613" i="1" s="1"/>
  <c r="AL614" i="1" s="1"/>
  <c r="AL615" i="1" s="1"/>
  <c r="AL616" i="1" s="1"/>
  <c r="AL617" i="1" s="1"/>
  <c r="AL618" i="1" s="1"/>
  <c r="AL619" i="1" s="1"/>
  <c r="AL620" i="1" s="1"/>
  <c r="AL621" i="1" s="1"/>
  <c r="AL622" i="1" s="1"/>
  <c r="AL623" i="1" s="1"/>
  <c r="AL624" i="1" s="1"/>
  <c r="AL625" i="1" s="1"/>
  <c r="AL626" i="1" s="1"/>
  <c r="AL627" i="1" s="1"/>
  <c r="AL628" i="1" s="1"/>
  <c r="AL629" i="1" s="1"/>
  <c r="AL630" i="1" s="1"/>
  <c r="AL631" i="1" s="1"/>
  <c r="AL632" i="1" s="1"/>
  <c r="AL633" i="1" s="1"/>
  <c r="AL634" i="1" s="1"/>
  <c r="AL635" i="1" s="1"/>
  <c r="AL636" i="1" s="1"/>
  <c r="AL637" i="1" s="1"/>
  <c r="AL638" i="1" s="1"/>
  <c r="AL639" i="1" s="1"/>
  <c r="AL640" i="1" s="1"/>
  <c r="AL641" i="1" s="1"/>
  <c r="AL642" i="1" s="1"/>
  <c r="AL643" i="1" s="1"/>
  <c r="AL644" i="1" s="1"/>
  <c r="AL645" i="1" s="1"/>
  <c r="AL646" i="1" s="1"/>
  <c r="AL647" i="1" s="1"/>
  <c r="AL648" i="1" s="1"/>
  <c r="AL649" i="1" s="1"/>
  <c r="AL650" i="1" s="1"/>
  <c r="AL651" i="1" s="1"/>
  <c r="AL652" i="1" s="1"/>
  <c r="AL653" i="1" s="1"/>
  <c r="AL654" i="1" s="1"/>
  <c r="AL655" i="1" s="1"/>
  <c r="AL656" i="1" s="1"/>
  <c r="AL657" i="1" s="1"/>
  <c r="AL658" i="1" s="1"/>
  <c r="AL659" i="1" s="1"/>
  <c r="AL660" i="1" s="1"/>
  <c r="AL661" i="1" s="1"/>
  <c r="AL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F43" i="1"/>
  <c r="G43" i="1" s="1"/>
  <c r="F41" i="1"/>
  <c r="G41" i="1" s="1"/>
  <c r="F42" i="1"/>
  <c r="G42" i="1" s="1"/>
  <c r="W7" i="3"/>
  <c r="F35" i="1"/>
  <c r="H35" i="1" s="1"/>
  <c r="AD648" i="1"/>
  <c r="U648" i="1"/>
  <c r="T648" i="1"/>
  <c r="AC648" i="1"/>
  <c r="V648" i="1"/>
  <c r="AC519" i="1"/>
  <c r="T519" i="1"/>
  <c r="U519" i="1"/>
  <c r="V519" i="1"/>
  <c r="AD519" i="1"/>
  <c r="T462" i="1"/>
  <c r="U462" i="1"/>
  <c r="V462" i="1"/>
  <c r="AC462" i="1"/>
  <c r="AD462" i="1"/>
  <c r="AC533" i="1"/>
  <c r="T533" i="1"/>
  <c r="U533" i="1"/>
  <c r="AD533" i="1"/>
  <c r="V533" i="1"/>
  <c r="AC572" i="1"/>
  <c r="AD572" i="1"/>
  <c r="U572" i="1"/>
  <c r="V572" i="1"/>
  <c r="T572" i="1"/>
  <c r="AC577" i="1"/>
  <c r="AD577" i="1"/>
  <c r="U577" i="1"/>
  <c r="V577" i="1"/>
  <c r="T577" i="1"/>
  <c r="AC497" i="1"/>
  <c r="T497" i="1"/>
  <c r="AD497" i="1"/>
  <c r="V497" i="1"/>
  <c r="U497" i="1"/>
  <c r="AD617" i="1"/>
  <c r="U617" i="1"/>
  <c r="T617" i="1"/>
  <c r="V617" i="1"/>
  <c r="AC617" i="1"/>
  <c r="AD640" i="1"/>
  <c r="AC640" i="1"/>
  <c r="T640" i="1"/>
  <c r="U640" i="1"/>
  <c r="V640" i="1"/>
  <c r="AC576" i="1"/>
  <c r="AD576" i="1"/>
  <c r="U576" i="1"/>
  <c r="V576" i="1"/>
  <c r="T576" i="1"/>
  <c r="AC512" i="1"/>
  <c r="T512" i="1"/>
  <c r="V512" i="1"/>
  <c r="AD512" i="1"/>
  <c r="U512" i="1"/>
  <c r="T448" i="1"/>
  <c r="U448" i="1"/>
  <c r="V448" i="1"/>
  <c r="AC448" i="1"/>
  <c r="AD448" i="1"/>
  <c r="AD639" i="1"/>
  <c r="U639" i="1"/>
  <c r="AC639" i="1"/>
  <c r="T639" i="1"/>
  <c r="V639" i="1"/>
  <c r="AC575" i="1"/>
  <c r="AD575" i="1"/>
  <c r="U575" i="1"/>
  <c r="V575" i="1"/>
  <c r="T575" i="1"/>
  <c r="AC511" i="1"/>
  <c r="T511" i="1"/>
  <c r="U511" i="1"/>
  <c r="V511" i="1"/>
  <c r="AD511" i="1"/>
  <c r="T447" i="1"/>
  <c r="U447" i="1"/>
  <c r="V447" i="1"/>
  <c r="AC447" i="1"/>
  <c r="AD447" i="1"/>
  <c r="AD646" i="1"/>
  <c r="U646" i="1"/>
  <c r="T646" i="1"/>
  <c r="V646" i="1"/>
  <c r="AC646" i="1"/>
  <c r="AC582" i="1"/>
  <c r="AD582" i="1"/>
  <c r="U582" i="1"/>
  <c r="V582" i="1"/>
  <c r="T582" i="1"/>
  <c r="AC518" i="1"/>
  <c r="T518" i="1"/>
  <c r="U518" i="1"/>
  <c r="AD518" i="1"/>
  <c r="V518" i="1"/>
  <c r="T454" i="1"/>
  <c r="U454" i="1"/>
  <c r="V454" i="1"/>
  <c r="AC454" i="1"/>
  <c r="AD454" i="1"/>
  <c r="AC653" i="1"/>
  <c r="AD653" i="1"/>
  <c r="U653" i="1"/>
  <c r="T653" i="1"/>
  <c r="V653" i="1"/>
  <c r="AC589" i="1"/>
  <c r="AD589" i="1"/>
  <c r="U589" i="1"/>
  <c r="V589" i="1"/>
  <c r="T589" i="1"/>
  <c r="AC525" i="1"/>
  <c r="T525" i="1"/>
  <c r="U525" i="1"/>
  <c r="AD525" i="1"/>
  <c r="V525" i="1"/>
  <c r="T461" i="1"/>
  <c r="U461" i="1"/>
  <c r="V461" i="1"/>
  <c r="AC461" i="1"/>
  <c r="AD461" i="1"/>
  <c r="T397" i="1"/>
  <c r="U397" i="1"/>
  <c r="V397" i="1"/>
  <c r="AC397" i="1"/>
  <c r="AD397" i="1"/>
  <c r="AD628" i="1"/>
  <c r="U628" i="1"/>
  <c r="T628" i="1"/>
  <c r="AC628" i="1"/>
  <c r="V628" i="1"/>
  <c r="AC564" i="1"/>
  <c r="AD564" i="1"/>
  <c r="U564" i="1"/>
  <c r="V564" i="1"/>
  <c r="T564" i="1"/>
  <c r="AC500" i="1"/>
  <c r="T500" i="1"/>
  <c r="V500" i="1"/>
  <c r="AD500" i="1"/>
  <c r="U500" i="1"/>
  <c r="T436" i="1"/>
  <c r="U436" i="1"/>
  <c r="V436" i="1"/>
  <c r="AC436" i="1"/>
  <c r="AD436" i="1"/>
  <c r="AD635" i="1"/>
  <c r="T635" i="1"/>
  <c r="U635" i="1"/>
  <c r="V635" i="1"/>
  <c r="AC635" i="1"/>
  <c r="AC571" i="1"/>
  <c r="AD571" i="1"/>
  <c r="U571" i="1"/>
  <c r="V571" i="1"/>
  <c r="T571" i="1"/>
  <c r="AC507" i="1"/>
  <c r="T507" i="1"/>
  <c r="U507" i="1"/>
  <c r="V507" i="1"/>
  <c r="AD507" i="1"/>
  <c r="T443" i="1"/>
  <c r="U443" i="1"/>
  <c r="V443" i="1"/>
  <c r="AC443" i="1"/>
  <c r="AD443" i="1"/>
  <c r="AD642" i="1"/>
  <c r="U642" i="1"/>
  <c r="T642" i="1"/>
  <c r="V642" i="1"/>
  <c r="AC642" i="1"/>
  <c r="AC578" i="1"/>
  <c r="AD578" i="1"/>
  <c r="U578" i="1"/>
  <c r="V578" i="1"/>
  <c r="T578" i="1"/>
  <c r="AC514" i="1"/>
  <c r="T514" i="1"/>
  <c r="U514" i="1"/>
  <c r="V514" i="1"/>
  <c r="AD514" i="1"/>
  <c r="T450" i="1"/>
  <c r="U450" i="1"/>
  <c r="V450" i="1"/>
  <c r="AC450" i="1"/>
  <c r="AD450" i="1"/>
  <c r="T473" i="1"/>
  <c r="U473" i="1"/>
  <c r="V473" i="1"/>
  <c r="AC473" i="1"/>
  <c r="AD473" i="1"/>
  <c r="AC520" i="1"/>
  <c r="T520" i="1"/>
  <c r="V520" i="1"/>
  <c r="AD520" i="1"/>
  <c r="U520" i="1"/>
  <c r="T455" i="1"/>
  <c r="U455" i="1"/>
  <c r="V455" i="1"/>
  <c r="AC455" i="1"/>
  <c r="AD455" i="1"/>
  <c r="T405" i="1"/>
  <c r="U405" i="1"/>
  <c r="V405" i="1"/>
  <c r="AC405" i="1"/>
  <c r="AD405" i="1"/>
  <c r="AC508" i="1"/>
  <c r="T508" i="1"/>
  <c r="V508" i="1"/>
  <c r="AD508" i="1"/>
  <c r="U508" i="1"/>
  <c r="AC593" i="1"/>
  <c r="AD593" i="1"/>
  <c r="U593" i="1"/>
  <c r="V593" i="1"/>
  <c r="T593" i="1"/>
  <c r="T449" i="1"/>
  <c r="U449" i="1"/>
  <c r="V449" i="1"/>
  <c r="AC449" i="1"/>
  <c r="AD449" i="1"/>
  <c r="T433" i="1"/>
  <c r="U433" i="1"/>
  <c r="V433" i="1"/>
  <c r="AC433" i="1"/>
  <c r="AD433" i="1"/>
  <c r="AC529" i="1"/>
  <c r="T529" i="1"/>
  <c r="AD529" i="1"/>
  <c r="V529" i="1"/>
  <c r="U529" i="1"/>
  <c r="AC553" i="1"/>
  <c r="T553" i="1"/>
  <c r="AD553" i="1"/>
  <c r="U553" i="1"/>
  <c r="V553" i="1"/>
  <c r="T409" i="1"/>
  <c r="U409" i="1"/>
  <c r="V409" i="1"/>
  <c r="AC409" i="1"/>
  <c r="AD409" i="1"/>
  <c r="AC609" i="1"/>
  <c r="AD609" i="1"/>
  <c r="U609" i="1"/>
  <c r="T609" i="1"/>
  <c r="V609" i="1"/>
  <c r="AD632" i="1"/>
  <c r="U632" i="1"/>
  <c r="T632" i="1"/>
  <c r="V632" i="1"/>
  <c r="AC632" i="1"/>
  <c r="AC568" i="1"/>
  <c r="AD568" i="1"/>
  <c r="U568" i="1"/>
  <c r="V568" i="1"/>
  <c r="T568" i="1"/>
  <c r="AC504" i="1"/>
  <c r="T504" i="1"/>
  <c r="V504" i="1"/>
  <c r="AD504" i="1"/>
  <c r="U504" i="1"/>
  <c r="T440" i="1"/>
  <c r="U440" i="1"/>
  <c r="V440" i="1"/>
  <c r="AC440" i="1"/>
  <c r="AD440" i="1"/>
  <c r="AC631" i="1"/>
  <c r="AD631" i="1"/>
  <c r="U631" i="1"/>
  <c r="T631" i="1"/>
  <c r="V631" i="1"/>
  <c r="AC567" i="1"/>
  <c r="AD567" i="1"/>
  <c r="U567" i="1"/>
  <c r="V567" i="1"/>
  <c r="T567" i="1"/>
  <c r="AC503" i="1"/>
  <c r="T503" i="1"/>
  <c r="U503" i="1"/>
  <c r="V503" i="1"/>
  <c r="AD503" i="1"/>
  <c r="T439" i="1"/>
  <c r="U439" i="1"/>
  <c r="V439" i="1"/>
  <c r="AC439" i="1"/>
  <c r="AD439" i="1"/>
  <c r="AC638" i="1"/>
  <c r="AD638" i="1"/>
  <c r="T638" i="1"/>
  <c r="U638" i="1"/>
  <c r="V638" i="1"/>
  <c r="AC574" i="1"/>
  <c r="AD574" i="1"/>
  <c r="U574" i="1"/>
  <c r="V574" i="1"/>
  <c r="T574" i="1"/>
  <c r="AC510" i="1"/>
  <c r="T510" i="1"/>
  <c r="U510" i="1"/>
  <c r="AD510" i="1"/>
  <c r="V510" i="1"/>
  <c r="T446" i="1"/>
  <c r="U446" i="1"/>
  <c r="V446" i="1"/>
  <c r="AC446" i="1"/>
  <c r="AD446" i="1"/>
  <c r="AD645" i="1"/>
  <c r="U645" i="1"/>
  <c r="T645" i="1"/>
  <c r="V645" i="1"/>
  <c r="AC645" i="1"/>
  <c r="AC581" i="1"/>
  <c r="AD581" i="1"/>
  <c r="U581" i="1"/>
  <c r="V581" i="1"/>
  <c r="T581" i="1"/>
  <c r="AC517" i="1"/>
  <c r="T517" i="1"/>
  <c r="U517" i="1"/>
  <c r="AD517" i="1"/>
  <c r="V517" i="1"/>
  <c r="T453" i="1"/>
  <c r="U453" i="1"/>
  <c r="V453" i="1"/>
  <c r="AC453" i="1"/>
  <c r="AD453" i="1"/>
  <c r="AC620" i="1"/>
  <c r="AD620" i="1"/>
  <c r="T620" i="1"/>
  <c r="U620" i="1"/>
  <c r="V620" i="1"/>
  <c r="AC556" i="1"/>
  <c r="AD556" i="1"/>
  <c r="U556" i="1"/>
  <c r="V556" i="1"/>
  <c r="T556" i="1"/>
  <c r="AC492" i="1"/>
  <c r="T492" i="1"/>
  <c r="V492" i="1"/>
  <c r="AD492" i="1"/>
  <c r="U492" i="1"/>
  <c r="T428" i="1"/>
  <c r="U428" i="1"/>
  <c r="V428" i="1"/>
  <c r="AC428" i="1"/>
  <c r="AD428" i="1"/>
  <c r="AC627" i="1"/>
  <c r="AD627" i="1"/>
  <c r="U627" i="1"/>
  <c r="T627" i="1"/>
  <c r="V627" i="1"/>
  <c r="AC563" i="1"/>
  <c r="AD563" i="1"/>
  <c r="U563" i="1"/>
  <c r="V563" i="1"/>
  <c r="T563" i="1"/>
  <c r="AC499" i="1"/>
  <c r="T499" i="1"/>
  <c r="U499" i="1"/>
  <c r="V499" i="1"/>
  <c r="AD499" i="1"/>
  <c r="T435" i="1"/>
  <c r="U435" i="1"/>
  <c r="V435" i="1"/>
  <c r="AC435" i="1"/>
  <c r="AD435" i="1"/>
  <c r="AD634" i="1"/>
  <c r="U634" i="1"/>
  <c r="T634" i="1"/>
  <c r="AC634" i="1"/>
  <c r="V634" i="1"/>
  <c r="AC570" i="1"/>
  <c r="AD570" i="1"/>
  <c r="U570" i="1"/>
  <c r="V570" i="1"/>
  <c r="T570" i="1"/>
  <c r="AC506" i="1"/>
  <c r="T506" i="1"/>
  <c r="U506" i="1"/>
  <c r="V506" i="1"/>
  <c r="AD506" i="1"/>
  <c r="T442" i="1"/>
  <c r="U442" i="1"/>
  <c r="V442" i="1"/>
  <c r="AC442" i="1"/>
  <c r="AD442" i="1"/>
  <c r="AC583" i="1"/>
  <c r="AD583" i="1"/>
  <c r="U583" i="1"/>
  <c r="V583" i="1"/>
  <c r="T583" i="1"/>
  <c r="T398" i="1"/>
  <c r="U398" i="1"/>
  <c r="V398" i="1"/>
  <c r="AC398" i="1"/>
  <c r="AD398" i="1"/>
  <c r="T469" i="1"/>
  <c r="U469" i="1"/>
  <c r="V469" i="1"/>
  <c r="AC469" i="1"/>
  <c r="AD469" i="1"/>
  <c r="AD636" i="1"/>
  <c r="U636" i="1"/>
  <c r="T636" i="1"/>
  <c r="V636" i="1"/>
  <c r="AC636" i="1"/>
  <c r="T444" i="1"/>
  <c r="U444" i="1"/>
  <c r="V444" i="1"/>
  <c r="AC444" i="1"/>
  <c r="AD444" i="1"/>
  <c r="AD643" i="1"/>
  <c r="U643" i="1"/>
  <c r="T643" i="1"/>
  <c r="AC643" i="1"/>
  <c r="V643" i="1"/>
  <c r="AC579" i="1"/>
  <c r="AD579" i="1"/>
  <c r="U579" i="1"/>
  <c r="V579" i="1"/>
  <c r="T579" i="1"/>
  <c r="AC515" i="1"/>
  <c r="T515" i="1"/>
  <c r="U515" i="1"/>
  <c r="V515" i="1"/>
  <c r="AD515" i="1"/>
  <c r="T451" i="1"/>
  <c r="U451" i="1"/>
  <c r="V451" i="1"/>
  <c r="AC451" i="1"/>
  <c r="AD451" i="1"/>
  <c r="AD650" i="1"/>
  <c r="U650" i="1"/>
  <c r="T650" i="1"/>
  <c r="V650" i="1"/>
  <c r="AC650" i="1"/>
  <c r="AC586" i="1"/>
  <c r="AD586" i="1"/>
  <c r="U586" i="1"/>
  <c r="V586" i="1"/>
  <c r="T586" i="1"/>
  <c r="AC522" i="1"/>
  <c r="T522" i="1"/>
  <c r="U522" i="1"/>
  <c r="V522" i="1"/>
  <c r="AD522" i="1"/>
  <c r="T401" i="1"/>
  <c r="U401" i="1"/>
  <c r="V401" i="1"/>
  <c r="AC401" i="1"/>
  <c r="AD401" i="1"/>
  <c r="AC489" i="1"/>
  <c r="T489" i="1"/>
  <c r="AD489" i="1"/>
  <c r="V489" i="1"/>
  <c r="U489" i="1"/>
  <c r="AC545" i="1"/>
  <c r="T545" i="1"/>
  <c r="AD545" i="1"/>
  <c r="U545" i="1"/>
  <c r="V545" i="1"/>
  <c r="AC624" i="1"/>
  <c r="AD624" i="1"/>
  <c r="T624" i="1"/>
  <c r="U624" i="1"/>
  <c r="V624" i="1"/>
  <c r="AC560" i="1"/>
  <c r="AD560" i="1"/>
  <c r="U560" i="1"/>
  <c r="V560" i="1"/>
  <c r="T560" i="1"/>
  <c r="AC496" i="1"/>
  <c r="T496" i="1"/>
  <c r="V496" i="1"/>
  <c r="AD496" i="1"/>
  <c r="U496" i="1"/>
  <c r="T432" i="1"/>
  <c r="U432" i="1"/>
  <c r="V432" i="1"/>
  <c r="AC432" i="1"/>
  <c r="AD432" i="1"/>
  <c r="AC623" i="1"/>
  <c r="AD623" i="1"/>
  <c r="U623" i="1"/>
  <c r="T623" i="1"/>
  <c r="V623" i="1"/>
  <c r="AC559" i="1"/>
  <c r="AD559" i="1"/>
  <c r="U559" i="1"/>
  <c r="V559" i="1"/>
  <c r="T559" i="1"/>
  <c r="AC495" i="1"/>
  <c r="T495" i="1"/>
  <c r="U495" i="1"/>
  <c r="V495" i="1"/>
  <c r="AD495" i="1"/>
  <c r="T431" i="1"/>
  <c r="U431" i="1"/>
  <c r="V431" i="1"/>
  <c r="AC431" i="1"/>
  <c r="AD431" i="1"/>
  <c r="AD630" i="1"/>
  <c r="AC630" i="1"/>
  <c r="T630" i="1"/>
  <c r="U630" i="1"/>
  <c r="V630" i="1"/>
  <c r="AC566" i="1"/>
  <c r="AD566" i="1"/>
  <c r="U566" i="1"/>
  <c r="V566" i="1"/>
  <c r="T566" i="1"/>
  <c r="AC502" i="1"/>
  <c r="T502" i="1"/>
  <c r="U502" i="1"/>
  <c r="V502" i="1"/>
  <c r="AD502" i="1"/>
  <c r="T438" i="1"/>
  <c r="U438" i="1"/>
  <c r="V438" i="1"/>
  <c r="AC438" i="1"/>
  <c r="AD438" i="1"/>
  <c r="AD637" i="1"/>
  <c r="U637" i="1"/>
  <c r="T637" i="1"/>
  <c r="AC637" i="1"/>
  <c r="V637" i="1"/>
  <c r="AC573" i="1"/>
  <c r="AD573" i="1"/>
  <c r="U573" i="1"/>
  <c r="V573" i="1"/>
  <c r="T573" i="1"/>
  <c r="AC509" i="1"/>
  <c r="T509" i="1"/>
  <c r="U509" i="1"/>
  <c r="AD509" i="1"/>
  <c r="V509" i="1"/>
  <c r="T445" i="1"/>
  <c r="U445" i="1"/>
  <c r="V445" i="1"/>
  <c r="AC445" i="1"/>
  <c r="AD445" i="1"/>
  <c r="AD612" i="1"/>
  <c r="U612" i="1"/>
  <c r="AC612" i="1"/>
  <c r="T612" i="1"/>
  <c r="V612" i="1"/>
  <c r="AC548" i="1"/>
  <c r="T548" i="1"/>
  <c r="V548" i="1"/>
  <c r="AD548" i="1"/>
  <c r="U548" i="1"/>
  <c r="AC484" i="1"/>
  <c r="T484" i="1"/>
  <c r="V484" i="1"/>
  <c r="AD484" i="1"/>
  <c r="U484" i="1"/>
  <c r="T420" i="1"/>
  <c r="U420" i="1"/>
  <c r="V420" i="1"/>
  <c r="AC420" i="1"/>
  <c r="AD420" i="1"/>
  <c r="AC619" i="1"/>
  <c r="AD619" i="1"/>
  <c r="U619" i="1"/>
  <c r="T619" i="1"/>
  <c r="V619" i="1"/>
  <c r="T555" i="1"/>
  <c r="AC555" i="1"/>
  <c r="AD555" i="1"/>
  <c r="U555" i="1"/>
  <c r="V555" i="1"/>
  <c r="AC491" i="1"/>
  <c r="T491" i="1"/>
  <c r="U491" i="1"/>
  <c r="V491" i="1"/>
  <c r="AD491" i="1"/>
  <c r="T427" i="1"/>
  <c r="U427" i="1"/>
  <c r="V427" i="1"/>
  <c r="AC427" i="1"/>
  <c r="AD427" i="1"/>
  <c r="AD626" i="1"/>
  <c r="U626" i="1"/>
  <c r="T626" i="1"/>
  <c r="V626" i="1"/>
  <c r="AC626" i="1"/>
  <c r="AC562" i="1"/>
  <c r="AD562" i="1"/>
  <c r="U562" i="1"/>
  <c r="V562" i="1"/>
  <c r="T562" i="1"/>
  <c r="AC498" i="1"/>
  <c r="T498" i="1"/>
  <c r="U498" i="1"/>
  <c r="V498" i="1"/>
  <c r="AD498" i="1"/>
  <c r="T434" i="1"/>
  <c r="U434" i="1"/>
  <c r="V434" i="1"/>
  <c r="AC434" i="1"/>
  <c r="AD434" i="1"/>
  <c r="T456" i="1"/>
  <c r="U456" i="1"/>
  <c r="V456" i="1"/>
  <c r="AC456" i="1"/>
  <c r="AD456" i="1"/>
  <c r="AC526" i="1"/>
  <c r="T526" i="1"/>
  <c r="U526" i="1"/>
  <c r="V526" i="1"/>
  <c r="AD526" i="1"/>
  <c r="AD661" i="1"/>
  <c r="U661" i="1"/>
  <c r="T661" i="1"/>
  <c r="AC661" i="1"/>
  <c r="V661" i="1"/>
  <c r="AD649" i="1"/>
  <c r="U649" i="1"/>
  <c r="AC649" i="1"/>
  <c r="T649" i="1"/>
  <c r="V649" i="1"/>
  <c r="AC505" i="1"/>
  <c r="T505" i="1"/>
  <c r="AD505" i="1"/>
  <c r="U505" i="1"/>
  <c r="V505" i="1"/>
  <c r="T425" i="1"/>
  <c r="U425" i="1"/>
  <c r="V425" i="1"/>
  <c r="AC425" i="1"/>
  <c r="AD425" i="1"/>
  <c r="AD657" i="1"/>
  <c r="AC657" i="1"/>
  <c r="U657" i="1"/>
  <c r="T657" i="1"/>
  <c r="V657" i="1"/>
  <c r="AC481" i="1"/>
  <c r="T481" i="1"/>
  <c r="AD481" i="1"/>
  <c r="U481" i="1"/>
  <c r="V481" i="1"/>
  <c r="AD616" i="1"/>
  <c r="U616" i="1"/>
  <c r="T616" i="1"/>
  <c r="V616" i="1"/>
  <c r="AC616" i="1"/>
  <c r="AC552" i="1"/>
  <c r="T552" i="1"/>
  <c r="V552" i="1"/>
  <c r="AD552" i="1"/>
  <c r="U552" i="1"/>
  <c r="AC488" i="1"/>
  <c r="T488" i="1"/>
  <c r="V488" i="1"/>
  <c r="AD488" i="1"/>
  <c r="U488" i="1"/>
  <c r="T424" i="1"/>
  <c r="U424" i="1"/>
  <c r="V424" i="1"/>
  <c r="AC424" i="1"/>
  <c r="AD424" i="1"/>
  <c r="AC615" i="1"/>
  <c r="AD615" i="1"/>
  <c r="T615" i="1"/>
  <c r="U615" i="1"/>
  <c r="V615" i="1"/>
  <c r="AC551" i="1"/>
  <c r="T551" i="1"/>
  <c r="U551" i="1"/>
  <c r="V551" i="1"/>
  <c r="AD551" i="1"/>
  <c r="AC487" i="1"/>
  <c r="T487" i="1"/>
  <c r="U487" i="1"/>
  <c r="V487" i="1"/>
  <c r="AD487" i="1"/>
  <c r="T423" i="1"/>
  <c r="U423" i="1"/>
  <c r="V423" i="1"/>
  <c r="AC423" i="1"/>
  <c r="AD423" i="1"/>
  <c r="AC622" i="1"/>
  <c r="AD622" i="1"/>
  <c r="U622" i="1"/>
  <c r="T622" i="1"/>
  <c r="V622" i="1"/>
  <c r="AC558" i="1"/>
  <c r="AD558" i="1"/>
  <c r="U558" i="1"/>
  <c r="V558" i="1"/>
  <c r="T558" i="1"/>
  <c r="AC494" i="1"/>
  <c r="T494" i="1"/>
  <c r="U494" i="1"/>
  <c r="V494" i="1"/>
  <c r="AD494" i="1"/>
  <c r="T430" i="1"/>
  <c r="U430" i="1"/>
  <c r="V430" i="1"/>
  <c r="AC430" i="1"/>
  <c r="AD430" i="1"/>
  <c r="AD629" i="1"/>
  <c r="U629" i="1"/>
  <c r="AC629" i="1"/>
  <c r="T629" i="1"/>
  <c r="V629" i="1"/>
  <c r="AC565" i="1"/>
  <c r="AD565" i="1"/>
  <c r="U565" i="1"/>
  <c r="V565" i="1"/>
  <c r="T565" i="1"/>
  <c r="AC501" i="1"/>
  <c r="T501" i="1"/>
  <c r="U501" i="1"/>
  <c r="AD501" i="1"/>
  <c r="V501" i="1"/>
  <c r="T437" i="1"/>
  <c r="U437" i="1"/>
  <c r="V437" i="1"/>
  <c r="AC437" i="1"/>
  <c r="AD437" i="1"/>
  <c r="AC604" i="1"/>
  <c r="AD604" i="1"/>
  <c r="U604" i="1"/>
  <c r="V604" i="1"/>
  <c r="T604" i="1"/>
  <c r="AC540" i="1"/>
  <c r="T540" i="1"/>
  <c r="V540" i="1"/>
  <c r="AD540" i="1"/>
  <c r="U540" i="1"/>
  <c r="T476" i="1"/>
  <c r="U476" i="1"/>
  <c r="V476" i="1"/>
  <c r="AC476" i="1"/>
  <c r="AD476" i="1"/>
  <c r="T412" i="1"/>
  <c r="U412" i="1"/>
  <c r="V412" i="1"/>
  <c r="AC412" i="1"/>
  <c r="AD412" i="1"/>
  <c r="AC611" i="1"/>
  <c r="AD611" i="1"/>
  <c r="U611" i="1"/>
  <c r="T611" i="1"/>
  <c r="V611" i="1"/>
  <c r="AC547" i="1"/>
  <c r="T547" i="1"/>
  <c r="U547" i="1"/>
  <c r="V547" i="1"/>
  <c r="AD547" i="1"/>
  <c r="AC483" i="1"/>
  <c r="T483" i="1"/>
  <c r="U483" i="1"/>
  <c r="V483" i="1"/>
  <c r="AD483" i="1"/>
  <c r="T419" i="1"/>
  <c r="U419" i="1"/>
  <c r="V419" i="1"/>
  <c r="AC419" i="1"/>
  <c r="AD419" i="1"/>
  <c r="AC618" i="1"/>
  <c r="AD618" i="1"/>
  <c r="U618" i="1"/>
  <c r="T618" i="1"/>
  <c r="V618" i="1"/>
  <c r="AC554" i="1"/>
  <c r="T554" i="1"/>
  <c r="U554" i="1"/>
  <c r="V554" i="1"/>
  <c r="AD554" i="1"/>
  <c r="AC490" i="1"/>
  <c r="T490" i="1"/>
  <c r="U490" i="1"/>
  <c r="V490" i="1"/>
  <c r="AD490" i="1"/>
  <c r="T426" i="1"/>
  <c r="U426" i="1"/>
  <c r="V426" i="1"/>
  <c r="AC426" i="1"/>
  <c r="AD426" i="1"/>
  <c r="T465" i="1"/>
  <c r="U465" i="1"/>
  <c r="V465" i="1"/>
  <c r="AC465" i="1"/>
  <c r="AD465" i="1"/>
  <c r="AC584" i="1"/>
  <c r="AD584" i="1"/>
  <c r="U584" i="1"/>
  <c r="V584" i="1"/>
  <c r="T584" i="1"/>
  <c r="AD654" i="1"/>
  <c r="U654" i="1"/>
  <c r="T654" i="1"/>
  <c r="V654" i="1"/>
  <c r="AC654" i="1"/>
  <c r="AC585" i="1"/>
  <c r="AD585" i="1"/>
  <c r="U585" i="1"/>
  <c r="V585" i="1"/>
  <c r="T585" i="1"/>
  <c r="AD633" i="1"/>
  <c r="U633" i="1"/>
  <c r="T633" i="1"/>
  <c r="V633" i="1"/>
  <c r="AC633" i="1"/>
  <c r="AD641" i="1"/>
  <c r="U641" i="1"/>
  <c r="T641" i="1"/>
  <c r="V641" i="1"/>
  <c r="AC641" i="1"/>
  <c r="T417" i="1"/>
  <c r="U417" i="1"/>
  <c r="V417" i="1"/>
  <c r="AC417" i="1"/>
  <c r="AD417" i="1"/>
  <c r="AC608" i="1"/>
  <c r="AD608" i="1"/>
  <c r="U608" i="1"/>
  <c r="T608" i="1"/>
  <c r="V608" i="1"/>
  <c r="AC544" i="1"/>
  <c r="T544" i="1"/>
  <c r="V544" i="1"/>
  <c r="AD544" i="1"/>
  <c r="U544" i="1"/>
  <c r="T480" i="1"/>
  <c r="U480" i="1"/>
  <c r="V480" i="1"/>
  <c r="AC480" i="1"/>
  <c r="AD480" i="1"/>
  <c r="T416" i="1"/>
  <c r="U416" i="1"/>
  <c r="V416" i="1"/>
  <c r="AC416" i="1"/>
  <c r="AD416" i="1"/>
  <c r="AC607" i="1"/>
  <c r="AD607" i="1"/>
  <c r="U607" i="1"/>
  <c r="V607" i="1"/>
  <c r="T607" i="1"/>
  <c r="AC543" i="1"/>
  <c r="T543" i="1"/>
  <c r="U543" i="1"/>
  <c r="V543" i="1"/>
  <c r="AD543" i="1"/>
  <c r="T479" i="1"/>
  <c r="U479" i="1"/>
  <c r="V479" i="1"/>
  <c r="AC479" i="1"/>
  <c r="AD479" i="1"/>
  <c r="T415" i="1"/>
  <c r="U415" i="1"/>
  <c r="V415" i="1"/>
  <c r="AC415" i="1"/>
  <c r="AD415" i="1"/>
  <c r="AD614" i="1"/>
  <c r="U614" i="1"/>
  <c r="T614" i="1"/>
  <c r="AC614" i="1"/>
  <c r="V614" i="1"/>
  <c r="AC550" i="1"/>
  <c r="T550" i="1"/>
  <c r="U550" i="1"/>
  <c r="AD550" i="1"/>
  <c r="V550" i="1"/>
  <c r="AC486" i="1"/>
  <c r="T486" i="1"/>
  <c r="U486" i="1"/>
  <c r="AD486" i="1"/>
  <c r="V486" i="1"/>
  <c r="T422" i="1"/>
  <c r="U422" i="1"/>
  <c r="V422" i="1"/>
  <c r="AC422" i="1"/>
  <c r="AD422" i="1"/>
  <c r="AD621" i="1"/>
  <c r="U621" i="1"/>
  <c r="T621" i="1"/>
  <c r="AC621" i="1"/>
  <c r="V621" i="1"/>
  <c r="AC557" i="1"/>
  <c r="AD557" i="1"/>
  <c r="U557" i="1"/>
  <c r="V557" i="1"/>
  <c r="T557" i="1"/>
  <c r="AC493" i="1"/>
  <c r="T493" i="1"/>
  <c r="U493" i="1"/>
  <c r="AD493" i="1"/>
  <c r="V493" i="1"/>
  <c r="T429" i="1"/>
  <c r="U429" i="1"/>
  <c r="V429" i="1"/>
  <c r="AC429" i="1"/>
  <c r="AD429" i="1"/>
  <c r="AD660" i="1"/>
  <c r="U660" i="1"/>
  <c r="T660" i="1"/>
  <c r="V660" i="1"/>
  <c r="AC660" i="1"/>
  <c r="AC596" i="1"/>
  <c r="AD596" i="1"/>
  <c r="U596" i="1"/>
  <c r="V596" i="1"/>
  <c r="T596" i="1"/>
  <c r="AC532" i="1"/>
  <c r="T532" i="1"/>
  <c r="V532" i="1"/>
  <c r="AD532" i="1"/>
  <c r="U532" i="1"/>
  <c r="T468" i="1"/>
  <c r="U468" i="1"/>
  <c r="V468" i="1"/>
  <c r="AC468" i="1"/>
  <c r="AD468" i="1"/>
  <c r="T404" i="1"/>
  <c r="U404" i="1"/>
  <c r="V404" i="1"/>
  <c r="AC404" i="1"/>
  <c r="AD404" i="1"/>
  <c r="AC603" i="1"/>
  <c r="AD603" i="1"/>
  <c r="U603" i="1"/>
  <c r="V603" i="1"/>
  <c r="T603" i="1"/>
  <c r="AC539" i="1"/>
  <c r="T539" i="1"/>
  <c r="U539" i="1"/>
  <c r="V539" i="1"/>
  <c r="AD539" i="1"/>
  <c r="T475" i="1"/>
  <c r="U475" i="1"/>
  <c r="V475" i="1"/>
  <c r="AC475" i="1"/>
  <c r="AD475" i="1"/>
  <c r="T411" i="1"/>
  <c r="U411" i="1"/>
  <c r="V411" i="1"/>
  <c r="AC411" i="1"/>
  <c r="AD411" i="1"/>
  <c r="AC610" i="1"/>
  <c r="AD610" i="1"/>
  <c r="U610" i="1"/>
  <c r="V610" i="1"/>
  <c r="T610" i="1"/>
  <c r="AC546" i="1"/>
  <c r="T546" i="1"/>
  <c r="U546" i="1"/>
  <c r="V546" i="1"/>
  <c r="AD546" i="1"/>
  <c r="AC482" i="1"/>
  <c r="T482" i="1"/>
  <c r="U482" i="1"/>
  <c r="V482" i="1"/>
  <c r="AD482" i="1"/>
  <c r="T418" i="1"/>
  <c r="U418" i="1"/>
  <c r="V418" i="1"/>
  <c r="AC418" i="1"/>
  <c r="AD418" i="1"/>
  <c r="AC561" i="1"/>
  <c r="AD561" i="1"/>
  <c r="U561" i="1"/>
  <c r="V561" i="1"/>
  <c r="T561" i="1"/>
  <c r="AC590" i="1"/>
  <c r="AD590" i="1"/>
  <c r="U590" i="1"/>
  <c r="V590" i="1"/>
  <c r="T590" i="1"/>
  <c r="AC597" i="1"/>
  <c r="AD597" i="1"/>
  <c r="U597" i="1"/>
  <c r="V597" i="1"/>
  <c r="T597" i="1"/>
  <c r="AC521" i="1"/>
  <c r="T521" i="1"/>
  <c r="AD521" i="1"/>
  <c r="U521" i="1"/>
  <c r="V521" i="1"/>
  <c r="AC601" i="1"/>
  <c r="AD601" i="1"/>
  <c r="U601" i="1"/>
  <c r="V601" i="1"/>
  <c r="T601" i="1"/>
  <c r="T441" i="1"/>
  <c r="U441" i="1"/>
  <c r="V441" i="1"/>
  <c r="AC441" i="1"/>
  <c r="AD441" i="1"/>
  <c r="AC513" i="1"/>
  <c r="T513" i="1"/>
  <c r="AD513" i="1"/>
  <c r="U513" i="1"/>
  <c r="V513" i="1"/>
  <c r="AC600" i="1"/>
  <c r="AD600" i="1"/>
  <c r="U600" i="1"/>
  <c r="V600" i="1"/>
  <c r="T600" i="1"/>
  <c r="AC536" i="1"/>
  <c r="T536" i="1"/>
  <c r="V536" i="1"/>
  <c r="AD536" i="1"/>
  <c r="U536" i="1"/>
  <c r="T472" i="1"/>
  <c r="U472" i="1"/>
  <c r="V472" i="1"/>
  <c r="AC472" i="1"/>
  <c r="AD472" i="1"/>
  <c r="T408" i="1"/>
  <c r="U408" i="1"/>
  <c r="V408" i="1"/>
  <c r="AC408" i="1"/>
  <c r="AD408" i="1"/>
  <c r="AC599" i="1"/>
  <c r="AD599" i="1"/>
  <c r="U599" i="1"/>
  <c r="V599" i="1"/>
  <c r="T599" i="1"/>
  <c r="AC535" i="1"/>
  <c r="T535" i="1"/>
  <c r="U535" i="1"/>
  <c r="V535" i="1"/>
  <c r="AD535" i="1"/>
  <c r="T471" i="1"/>
  <c r="U471" i="1"/>
  <c r="V471" i="1"/>
  <c r="AC471" i="1"/>
  <c r="AD471" i="1"/>
  <c r="T407" i="1"/>
  <c r="U407" i="1"/>
  <c r="V407" i="1"/>
  <c r="AC407" i="1"/>
  <c r="AD407" i="1"/>
  <c r="AC606" i="1"/>
  <c r="AD606" i="1"/>
  <c r="U606" i="1"/>
  <c r="T606" i="1"/>
  <c r="V606" i="1"/>
  <c r="AC542" i="1"/>
  <c r="T542" i="1"/>
  <c r="U542" i="1"/>
  <c r="V542" i="1"/>
  <c r="AD542" i="1"/>
  <c r="T478" i="1"/>
  <c r="U478" i="1"/>
  <c r="V478" i="1"/>
  <c r="AC478" i="1"/>
  <c r="AD478" i="1"/>
  <c r="T414" i="1"/>
  <c r="U414" i="1"/>
  <c r="V414" i="1"/>
  <c r="AC414" i="1"/>
  <c r="AD414" i="1"/>
  <c r="AD613" i="1"/>
  <c r="U613" i="1"/>
  <c r="AC613" i="1"/>
  <c r="T613" i="1"/>
  <c r="V613" i="1"/>
  <c r="AC549" i="1"/>
  <c r="T549" i="1"/>
  <c r="U549" i="1"/>
  <c r="AD549" i="1"/>
  <c r="V549" i="1"/>
  <c r="AC485" i="1"/>
  <c r="T485" i="1"/>
  <c r="U485" i="1"/>
  <c r="AD485" i="1"/>
  <c r="V485" i="1"/>
  <c r="T421" i="1"/>
  <c r="U421" i="1"/>
  <c r="V421" i="1"/>
  <c r="AC421" i="1"/>
  <c r="AD421" i="1"/>
  <c r="AD652" i="1"/>
  <c r="T652" i="1"/>
  <c r="U652" i="1"/>
  <c r="AC652" i="1"/>
  <c r="V652" i="1"/>
  <c r="AC588" i="1"/>
  <c r="AD588" i="1"/>
  <c r="U588" i="1"/>
  <c r="V588" i="1"/>
  <c r="T588" i="1"/>
  <c r="AC524" i="1"/>
  <c r="T524" i="1"/>
  <c r="V524" i="1"/>
  <c r="AD524" i="1"/>
  <c r="U524" i="1"/>
  <c r="T460" i="1"/>
  <c r="U460" i="1"/>
  <c r="V460" i="1"/>
  <c r="AC460" i="1"/>
  <c r="AD460" i="1"/>
  <c r="T396" i="1"/>
  <c r="U396" i="1"/>
  <c r="V396" i="1"/>
  <c r="AC396" i="1"/>
  <c r="AD396" i="1"/>
  <c r="AD659" i="1"/>
  <c r="U659" i="1"/>
  <c r="T659" i="1"/>
  <c r="V659" i="1"/>
  <c r="AC659" i="1"/>
  <c r="AC595" i="1"/>
  <c r="AD595" i="1"/>
  <c r="U595" i="1"/>
  <c r="V595" i="1"/>
  <c r="T595" i="1"/>
  <c r="AC531" i="1"/>
  <c r="T531" i="1"/>
  <c r="U531" i="1"/>
  <c r="V531" i="1"/>
  <c r="AD531" i="1"/>
  <c r="T467" i="1"/>
  <c r="U467" i="1"/>
  <c r="V467" i="1"/>
  <c r="AC467" i="1"/>
  <c r="AD467" i="1"/>
  <c r="T403" i="1"/>
  <c r="U403" i="1"/>
  <c r="V403" i="1"/>
  <c r="AC403" i="1"/>
  <c r="AD403" i="1"/>
  <c r="AC602" i="1"/>
  <c r="AD602" i="1"/>
  <c r="U602" i="1"/>
  <c r="V602" i="1"/>
  <c r="T602" i="1"/>
  <c r="AC538" i="1"/>
  <c r="T538" i="1"/>
  <c r="U538" i="1"/>
  <c r="V538" i="1"/>
  <c r="AD538" i="1"/>
  <c r="T474" i="1"/>
  <c r="U474" i="1"/>
  <c r="V474" i="1"/>
  <c r="AC474" i="1"/>
  <c r="AD474" i="1"/>
  <c r="T410" i="1"/>
  <c r="U410" i="1"/>
  <c r="V410" i="1"/>
  <c r="AC410" i="1"/>
  <c r="AD410" i="1"/>
  <c r="AC569" i="1"/>
  <c r="AD569" i="1"/>
  <c r="U569" i="1"/>
  <c r="V569" i="1"/>
  <c r="T569" i="1"/>
  <c r="AD647" i="1"/>
  <c r="AC647" i="1"/>
  <c r="T647" i="1"/>
  <c r="U647" i="1"/>
  <c r="V647" i="1"/>
  <c r="T458" i="1"/>
  <c r="U458" i="1"/>
  <c r="V458" i="1"/>
  <c r="AC458" i="1"/>
  <c r="AD458" i="1"/>
  <c r="AC537" i="1"/>
  <c r="T537" i="1"/>
  <c r="AD537" i="1"/>
  <c r="U537" i="1"/>
  <c r="V537" i="1"/>
  <c r="T457" i="1"/>
  <c r="U457" i="1"/>
  <c r="V457" i="1"/>
  <c r="AC457" i="1"/>
  <c r="AD457" i="1"/>
  <c r="AD625" i="1"/>
  <c r="U625" i="1"/>
  <c r="T625" i="1"/>
  <c r="V625" i="1"/>
  <c r="AC625" i="1"/>
  <c r="AD656" i="1"/>
  <c r="U656" i="1"/>
  <c r="AC656" i="1"/>
  <c r="T656" i="1"/>
  <c r="V656" i="1"/>
  <c r="AC592" i="1"/>
  <c r="AD592" i="1"/>
  <c r="U592" i="1"/>
  <c r="V592" i="1"/>
  <c r="T592" i="1"/>
  <c r="AC528" i="1"/>
  <c r="T528" i="1"/>
  <c r="V528" i="1"/>
  <c r="AD528" i="1"/>
  <c r="U528" i="1"/>
  <c r="T464" i="1"/>
  <c r="U464" i="1"/>
  <c r="V464" i="1"/>
  <c r="AC464" i="1"/>
  <c r="AD464" i="1"/>
  <c r="T400" i="1"/>
  <c r="U400" i="1"/>
  <c r="V400" i="1"/>
  <c r="AC400" i="1"/>
  <c r="AD400" i="1"/>
  <c r="AD655" i="1"/>
  <c r="T655" i="1"/>
  <c r="U655" i="1"/>
  <c r="V655" i="1"/>
  <c r="AC655" i="1"/>
  <c r="AC591" i="1"/>
  <c r="AD591" i="1"/>
  <c r="U591" i="1"/>
  <c r="V591" i="1"/>
  <c r="T591" i="1"/>
  <c r="AC527" i="1"/>
  <c r="T527" i="1"/>
  <c r="U527" i="1"/>
  <c r="V527" i="1"/>
  <c r="AD527" i="1"/>
  <c r="T463" i="1"/>
  <c r="U463" i="1"/>
  <c r="V463" i="1"/>
  <c r="AC463" i="1"/>
  <c r="AD463" i="1"/>
  <c r="T399" i="1"/>
  <c r="U399" i="1"/>
  <c r="V399" i="1"/>
  <c r="AC399" i="1"/>
  <c r="AD399" i="1"/>
  <c r="AC662" i="1"/>
  <c r="AD662" i="1"/>
  <c r="U662" i="1"/>
  <c r="T662" i="1"/>
  <c r="V662" i="1"/>
  <c r="AC598" i="1"/>
  <c r="AD598" i="1"/>
  <c r="U598" i="1"/>
  <c r="V598" i="1"/>
  <c r="T598" i="1"/>
  <c r="AC534" i="1"/>
  <c r="T534" i="1"/>
  <c r="U534" i="1"/>
  <c r="V534" i="1"/>
  <c r="AD534" i="1"/>
  <c r="T470" i="1"/>
  <c r="U470" i="1"/>
  <c r="V470" i="1"/>
  <c r="AC470" i="1"/>
  <c r="AD470" i="1"/>
  <c r="T406" i="1"/>
  <c r="U406" i="1"/>
  <c r="V406" i="1"/>
  <c r="AC406" i="1"/>
  <c r="AD406" i="1"/>
  <c r="AC605" i="1"/>
  <c r="AD605" i="1"/>
  <c r="U605" i="1"/>
  <c r="V605" i="1"/>
  <c r="T605" i="1"/>
  <c r="AC541" i="1"/>
  <c r="T541" i="1"/>
  <c r="U541" i="1"/>
  <c r="AD541" i="1"/>
  <c r="V541" i="1"/>
  <c r="T477" i="1"/>
  <c r="U477" i="1"/>
  <c r="V477" i="1"/>
  <c r="AC477" i="1"/>
  <c r="AD477" i="1"/>
  <c r="T413" i="1"/>
  <c r="U413" i="1"/>
  <c r="V413" i="1"/>
  <c r="AC413" i="1"/>
  <c r="AD413" i="1"/>
  <c r="AC644" i="1"/>
  <c r="AD644" i="1"/>
  <c r="T644" i="1"/>
  <c r="U644" i="1"/>
  <c r="V644" i="1"/>
  <c r="AC580" i="1"/>
  <c r="AD580" i="1"/>
  <c r="U580" i="1"/>
  <c r="V580" i="1"/>
  <c r="T580" i="1"/>
  <c r="AC516" i="1"/>
  <c r="T516" i="1"/>
  <c r="V516" i="1"/>
  <c r="AD516" i="1"/>
  <c r="U516" i="1"/>
  <c r="T452" i="1"/>
  <c r="U452" i="1"/>
  <c r="V452" i="1"/>
  <c r="AC452" i="1"/>
  <c r="AD452" i="1"/>
  <c r="AD651" i="1"/>
  <c r="U651" i="1"/>
  <c r="T651" i="1"/>
  <c r="V651" i="1"/>
  <c r="AC651" i="1"/>
  <c r="AC587" i="1"/>
  <c r="AD587" i="1"/>
  <c r="U587" i="1"/>
  <c r="V587" i="1"/>
  <c r="T587" i="1"/>
  <c r="AC523" i="1"/>
  <c r="T523" i="1"/>
  <c r="U523" i="1"/>
  <c r="V523" i="1"/>
  <c r="AD523" i="1"/>
  <c r="T459" i="1"/>
  <c r="U459" i="1"/>
  <c r="V459" i="1"/>
  <c r="AC459" i="1"/>
  <c r="AD459" i="1"/>
  <c r="AD658" i="1"/>
  <c r="T658" i="1"/>
  <c r="U658" i="1"/>
  <c r="AC658" i="1"/>
  <c r="V658" i="1"/>
  <c r="AC594" i="1"/>
  <c r="AD594" i="1"/>
  <c r="U594" i="1"/>
  <c r="V594" i="1"/>
  <c r="T594" i="1"/>
  <c r="AC530" i="1"/>
  <c r="T530" i="1"/>
  <c r="U530" i="1"/>
  <c r="V530" i="1"/>
  <c r="AD530" i="1"/>
  <c r="T466" i="1"/>
  <c r="U466" i="1"/>
  <c r="V466" i="1"/>
  <c r="AC466" i="1"/>
  <c r="AD466" i="1"/>
  <c r="T402" i="1"/>
  <c r="U402" i="1"/>
  <c r="V402" i="1"/>
  <c r="AC402" i="1"/>
  <c r="AD402" i="1"/>
  <c r="F38" i="1"/>
  <c r="H38" i="1" s="1"/>
  <c r="AG589" i="1"/>
  <c r="AH589" i="1"/>
  <c r="AI589" i="1"/>
  <c r="AG625" i="1"/>
  <c r="AH625" i="1"/>
  <c r="AI625" i="1"/>
  <c r="AG453" i="1"/>
  <c r="AH453" i="1"/>
  <c r="AI453" i="1"/>
  <c r="AG417" i="1"/>
  <c r="AH417" i="1"/>
  <c r="AI417" i="1"/>
  <c r="AG441" i="1"/>
  <c r="AH441" i="1"/>
  <c r="AI441" i="1"/>
  <c r="AG632" i="1"/>
  <c r="AH632" i="1"/>
  <c r="AI632" i="1"/>
  <c r="AG568" i="1"/>
  <c r="AH568" i="1"/>
  <c r="AI568" i="1"/>
  <c r="AG504" i="1"/>
  <c r="AH504" i="1"/>
  <c r="AI504" i="1"/>
  <c r="AG440" i="1"/>
  <c r="AH440" i="1"/>
  <c r="AI440" i="1"/>
  <c r="AG639" i="1"/>
  <c r="AH639" i="1"/>
  <c r="AI639" i="1"/>
  <c r="AG575" i="1"/>
  <c r="AH575" i="1"/>
  <c r="AI575" i="1"/>
  <c r="AG511" i="1"/>
  <c r="AH511" i="1"/>
  <c r="AI511" i="1"/>
  <c r="AG447" i="1"/>
  <c r="AH447" i="1"/>
  <c r="AI447" i="1"/>
  <c r="AG654" i="1"/>
  <c r="AH654" i="1"/>
  <c r="AI654" i="1"/>
  <c r="AG590" i="1"/>
  <c r="AH590" i="1"/>
  <c r="AI590" i="1"/>
  <c r="AG526" i="1"/>
  <c r="AH526" i="1"/>
  <c r="AI526" i="1"/>
  <c r="AG462" i="1"/>
  <c r="AH462" i="1"/>
  <c r="AI462" i="1"/>
  <c r="AG398" i="1"/>
  <c r="AH398" i="1"/>
  <c r="AI398" i="1"/>
  <c r="AG628" i="1"/>
  <c r="AH628" i="1"/>
  <c r="AI628" i="1"/>
  <c r="AG564" i="1"/>
  <c r="AH564" i="1"/>
  <c r="AI564" i="1"/>
  <c r="AG500" i="1"/>
  <c r="AH500" i="1"/>
  <c r="AI500" i="1"/>
  <c r="AG436" i="1"/>
  <c r="AH436" i="1"/>
  <c r="AI436" i="1"/>
  <c r="AG635" i="1"/>
  <c r="AH635" i="1"/>
  <c r="AI635" i="1"/>
  <c r="AG571" i="1"/>
  <c r="AH571" i="1"/>
  <c r="AI571" i="1"/>
  <c r="AG507" i="1"/>
  <c r="AH507" i="1"/>
  <c r="AI507" i="1"/>
  <c r="AG443" i="1"/>
  <c r="AH443" i="1"/>
  <c r="AI443" i="1"/>
  <c r="AG650" i="1"/>
  <c r="AH650" i="1"/>
  <c r="AI650" i="1"/>
  <c r="AG586" i="1"/>
  <c r="AH586" i="1"/>
  <c r="AI586" i="1"/>
  <c r="AG522" i="1"/>
  <c r="AH522" i="1"/>
  <c r="AI522" i="1"/>
  <c r="AG458" i="1"/>
  <c r="AH458" i="1"/>
  <c r="AI458" i="1"/>
  <c r="AG557" i="1"/>
  <c r="AH557" i="1"/>
  <c r="AI557" i="1"/>
  <c r="AG629" i="1"/>
  <c r="AH629" i="1"/>
  <c r="AI629" i="1"/>
  <c r="AG593" i="1"/>
  <c r="AH593" i="1"/>
  <c r="AI593" i="1"/>
  <c r="AG649" i="1"/>
  <c r="AH649" i="1"/>
  <c r="AI649" i="1"/>
  <c r="AG413" i="1"/>
  <c r="AH413" i="1"/>
  <c r="AI413" i="1"/>
  <c r="AG409" i="1"/>
  <c r="AH409" i="1"/>
  <c r="AI409" i="1"/>
  <c r="AG624" i="1"/>
  <c r="AH624" i="1"/>
  <c r="AI624" i="1"/>
  <c r="AG560" i="1"/>
  <c r="AH560" i="1"/>
  <c r="AI560" i="1"/>
  <c r="AG496" i="1"/>
  <c r="AH496" i="1"/>
  <c r="AI496" i="1"/>
  <c r="AG432" i="1"/>
  <c r="AH432" i="1"/>
  <c r="AI432" i="1"/>
  <c r="AG631" i="1"/>
  <c r="AH631" i="1"/>
  <c r="AI631" i="1"/>
  <c r="AG567" i="1"/>
  <c r="AH567" i="1"/>
  <c r="AI567" i="1"/>
  <c r="AG503" i="1"/>
  <c r="AH503" i="1"/>
  <c r="AI503" i="1"/>
  <c r="AG439" i="1"/>
  <c r="AH439" i="1"/>
  <c r="AI439" i="1"/>
  <c r="AG646" i="1"/>
  <c r="AH646" i="1"/>
  <c r="AI646" i="1"/>
  <c r="AG582" i="1"/>
  <c r="AH582" i="1"/>
  <c r="AI582" i="1"/>
  <c r="AG518" i="1"/>
  <c r="AH518" i="1"/>
  <c r="AI518" i="1"/>
  <c r="AG454" i="1"/>
  <c r="AH454" i="1"/>
  <c r="AI454" i="1"/>
  <c r="AG620" i="1"/>
  <c r="AH620" i="1"/>
  <c r="AI620" i="1"/>
  <c r="AG556" i="1"/>
  <c r="AH556" i="1"/>
  <c r="AI556" i="1"/>
  <c r="AG492" i="1"/>
  <c r="AH492" i="1"/>
  <c r="AI492" i="1"/>
  <c r="AG428" i="1"/>
  <c r="AH428" i="1"/>
  <c r="AI428" i="1"/>
  <c r="AG627" i="1"/>
  <c r="AH627" i="1"/>
  <c r="AI627" i="1"/>
  <c r="AG563" i="1"/>
  <c r="AH563" i="1"/>
  <c r="AI563" i="1"/>
  <c r="AG499" i="1"/>
  <c r="AH499" i="1"/>
  <c r="AI499" i="1"/>
  <c r="AG435" i="1"/>
  <c r="AH435" i="1"/>
  <c r="AI435" i="1"/>
  <c r="AG642" i="1"/>
  <c r="AH642" i="1"/>
  <c r="AI642" i="1"/>
  <c r="AG578" i="1"/>
  <c r="AH578" i="1"/>
  <c r="AI578" i="1"/>
  <c r="AG514" i="1"/>
  <c r="AH514" i="1"/>
  <c r="AI514" i="1"/>
  <c r="AG450" i="1"/>
  <c r="AH450" i="1"/>
  <c r="AI450" i="1"/>
  <c r="B29" i="1"/>
  <c r="H29" i="1" s="1"/>
  <c r="AG525" i="1"/>
  <c r="AH525" i="1"/>
  <c r="AI525" i="1"/>
  <c r="AG501" i="1"/>
  <c r="AH501" i="1"/>
  <c r="AI501" i="1"/>
  <c r="AG529" i="1"/>
  <c r="AH529" i="1"/>
  <c r="AI529" i="1"/>
  <c r="AG617" i="1"/>
  <c r="AH617" i="1"/>
  <c r="AI617" i="1"/>
  <c r="AG645" i="1"/>
  <c r="AH645" i="1"/>
  <c r="AI645" i="1"/>
  <c r="AG637" i="1"/>
  <c r="AH637" i="1"/>
  <c r="AI637" i="1"/>
  <c r="AG633" i="1"/>
  <c r="AH633" i="1"/>
  <c r="AI633" i="1"/>
  <c r="AG616" i="1"/>
  <c r="AH616" i="1"/>
  <c r="AI616" i="1"/>
  <c r="AG552" i="1"/>
  <c r="AH552" i="1"/>
  <c r="AI552" i="1"/>
  <c r="AG488" i="1"/>
  <c r="AH488" i="1"/>
  <c r="AI488" i="1"/>
  <c r="AG424" i="1"/>
  <c r="AH424" i="1"/>
  <c r="AI424" i="1"/>
  <c r="AG623" i="1"/>
  <c r="AH623" i="1"/>
  <c r="AI623" i="1"/>
  <c r="AG559" i="1"/>
  <c r="AH559" i="1"/>
  <c r="AI559" i="1"/>
  <c r="AG495" i="1"/>
  <c r="AH495" i="1"/>
  <c r="AI495" i="1"/>
  <c r="AG431" i="1"/>
  <c r="AH431" i="1"/>
  <c r="AI431" i="1"/>
  <c r="AG638" i="1"/>
  <c r="AH638" i="1"/>
  <c r="AI638" i="1"/>
  <c r="AG574" i="1"/>
  <c r="AH574" i="1"/>
  <c r="AI574" i="1"/>
  <c r="AG510" i="1"/>
  <c r="AH510" i="1"/>
  <c r="AI510" i="1"/>
  <c r="AG446" i="1"/>
  <c r="AH446" i="1"/>
  <c r="AI446" i="1"/>
  <c r="AG612" i="1"/>
  <c r="AH612" i="1"/>
  <c r="AI612" i="1"/>
  <c r="AG548" i="1"/>
  <c r="AH548" i="1"/>
  <c r="AI548" i="1"/>
  <c r="AG484" i="1"/>
  <c r="AH484" i="1"/>
  <c r="AI484" i="1"/>
  <c r="AG420" i="1"/>
  <c r="AH420" i="1"/>
  <c r="AI420" i="1"/>
  <c r="AG619" i="1"/>
  <c r="AH619" i="1"/>
  <c r="AI619" i="1"/>
  <c r="AG555" i="1"/>
  <c r="AH555" i="1"/>
  <c r="AI555" i="1"/>
  <c r="AG491" i="1"/>
  <c r="AH491" i="1"/>
  <c r="AI491" i="1"/>
  <c r="AG427" i="1"/>
  <c r="AH427" i="1"/>
  <c r="AI427" i="1"/>
  <c r="AG634" i="1"/>
  <c r="AH634" i="1"/>
  <c r="AI634" i="1"/>
  <c r="AG570" i="1"/>
  <c r="AH570" i="1"/>
  <c r="AI570" i="1"/>
  <c r="AG506" i="1"/>
  <c r="AH506" i="1"/>
  <c r="AI506" i="1"/>
  <c r="AG442" i="1"/>
  <c r="AH442" i="1"/>
  <c r="AI442" i="1"/>
  <c r="AG597" i="1"/>
  <c r="AH597" i="1"/>
  <c r="AI597" i="1"/>
  <c r="F39" i="1"/>
  <c r="B39" i="1" s="1"/>
  <c r="AG661" i="1"/>
  <c r="AH661" i="1"/>
  <c r="AI661" i="1"/>
  <c r="AG657" i="1"/>
  <c r="AH657" i="1"/>
  <c r="AI657" i="1"/>
  <c r="AG493" i="1"/>
  <c r="AH493" i="1"/>
  <c r="AI493" i="1"/>
  <c r="AG405" i="1"/>
  <c r="AH405" i="1"/>
  <c r="AI405" i="1"/>
  <c r="AG433" i="1"/>
  <c r="AH433" i="1"/>
  <c r="AI433" i="1"/>
  <c r="AG585" i="1"/>
  <c r="AH585" i="1"/>
  <c r="AI585" i="1"/>
  <c r="AG581" i="1"/>
  <c r="AH581" i="1"/>
  <c r="AI581" i="1"/>
  <c r="AG605" i="1"/>
  <c r="AH605" i="1"/>
  <c r="AI605" i="1"/>
  <c r="AG601" i="1"/>
  <c r="AH601" i="1"/>
  <c r="AI601" i="1"/>
  <c r="AG608" i="1"/>
  <c r="AH608" i="1"/>
  <c r="AI608" i="1"/>
  <c r="AG544" i="1"/>
  <c r="AH544" i="1"/>
  <c r="AI544" i="1"/>
  <c r="AG480" i="1"/>
  <c r="AH480" i="1"/>
  <c r="AI480" i="1"/>
  <c r="AG416" i="1"/>
  <c r="AH416" i="1"/>
  <c r="AI416" i="1"/>
  <c r="AG615" i="1"/>
  <c r="AH615" i="1"/>
  <c r="AI615" i="1"/>
  <c r="AG551" i="1"/>
  <c r="AH551" i="1"/>
  <c r="AI551" i="1"/>
  <c r="AG487" i="1"/>
  <c r="AH487" i="1"/>
  <c r="AI487" i="1"/>
  <c r="AG423" i="1"/>
  <c r="AH423" i="1"/>
  <c r="AI423" i="1"/>
  <c r="AG630" i="1"/>
  <c r="AH630" i="1"/>
  <c r="AI630" i="1"/>
  <c r="AG566" i="1"/>
  <c r="AH566" i="1"/>
  <c r="AI566" i="1"/>
  <c r="AG502" i="1"/>
  <c r="AH502" i="1"/>
  <c r="AI502" i="1"/>
  <c r="AG438" i="1"/>
  <c r="AH438" i="1"/>
  <c r="AI438" i="1"/>
  <c r="AG604" i="1"/>
  <c r="AH604" i="1"/>
  <c r="AI604" i="1"/>
  <c r="AG540" i="1"/>
  <c r="AH540" i="1"/>
  <c r="AI540" i="1"/>
  <c r="AG476" i="1"/>
  <c r="AH476" i="1"/>
  <c r="AI476" i="1"/>
  <c r="AG412" i="1"/>
  <c r="AH412" i="1"/>
  <c r="AI412" i="1"/>
  <c r="AG611" i="1"/>
  <c r="AH611" i="1"/>
  <c r="AI611" i="1"/>
  <c r="AG547" i="1"/>
  <c r="AH547" i="1"/>
  <c r="AI547" i="1"/>
  <c r="AG483" i="1"/>
  <c r="AH483" i="1"/>
  <c r="AI483" i="1"/>
  <c r="AG419" i="1"/>
  <c r="AH419" i="1"/>
  <c r="AI419" i="1"/>
  <c r="AG626" i="1"/>
  <c r="AH626" i="1"/>
  <c r="AI626" i="1"/>
  <c r="AG562" i="1"/>
  <c r="AH562" i="1"/>
  <c r="AI562" i="1"/>
  <c r="AG498" i="1"/>
  <c r="AH498" i="1"/>
  <c r="AI498" i="1"/>
  <c r="AG434" i="1"/>
  <c r="AH434" i="1"/>
  <c r="AI434" i="1"/>
  <c r="AG425" i="1"/>
  <c r="AH425" i="1"/>
  <c r="AI425" i="1"/>
  <c r="F33" i="1"/>
  <c r="B33" i="1" s="1"/>
  <c r="AG533" i="1"/>
  <c r="AH533" i="1"/>
  <c r="AI533" i="1"/>
  <c r="AG561" i="1"/>
  <c r="AH561" i="1"/>
  <c r="AI561" i="1"/>
  <c r="AG461" i="1"/>
  <c r="AH461" i="1"/>
  <c r="AI461" i="1"/>
  <c r="AG553" i="1"/>
  <c r="AH553" i="1"/>
  <c r="AI553" i="1"/>
  <c r="AG437" i="1"/>
  <c r="AH437" i="1"/>
  <c r="AI437" i="1"/>
  <c r="AG517" i="1"/>
  <c r="AH517" i="1"/>
  <c r="AI517" i="1"/>
  <c r="AG573" i="1"/>
  <c r="AH573" i="1"/>
  <c r="AI573" i="1"/>
  <c r="AG569" i="1"/>
  <c r="AH569" i="1"/>
  <c r="AI569" i="1"/>
  <c r="AG600" i="1"/>
  <c r="AH600" i="1"/>
  <c r="AI600" i="1"/>
  <c r="AG536" i="1"/>
  <c r="AH536" i="1"/>
  <c r="AI536" i="1"/>
  <c r="AG472" i="1"/>
  <c r="AH472" i="1"/>
  <c r="AI472" i="1"/>
  <c r="AG408" i="1"/>
  <c r="AH408" i="1"/>
  <c r="AI408" i="1"/>
  <c r="AG607" i="1"/>
  <c r="AH607" i="1"/>
  <c r="AI607" i="1"/>
  <c r="AG543" i="1"/>
  <c r="AH543" i="1"/>
  <c r="AI543" i="1"/>
  <c r="AG479" i="1"/>
  <c r="AH479" i="1"/>
  <c r="AI479" i="1"/>
  <c r="AG415" i="1"/>
  <c r="AH415" i="1"/>
  <c r="AI415" i="1"/>
  <c r="AG622" i="1"/>
  <c r="AH622" i="1"/>
  <c r="AI622" i="1"/>
  <c r="AG558" i="1"/>
  <c r="AH558" i="1"/>
  <c r="AI558" i="1"/>
  <c r="AG494" i="1"/>
  <c r="AH494" i="1"/>
  <c r="AI494" i="1"/>
  <c r="AG430" i="1"/>
  <c r="AH430" i="1"/>
  <c r="AI430" i="1"/>
  <c r="AG660" i="1"/>
  <c r="AH660" i="1"/>
  <c r="AI660" i="1"/>
  <c r="AG596" i="1"/>
  <c r="AH596" i="1"/>
  <c r="AI596" i="1"/>
  <c r="AG532" i="1"/>
  <c r="AH532" i="1"/>
  <c r="AI532" i="1"/>
  <c r="AG468" i="1"/>
  <c r="AH468" i="1"/>
  <c r="AI468" i="1"/>
  <c r="AG404" i="1"/>
  <c r="AH404" i="1"/>
  <c r="AI404" i="1"/>
  <c r="AG603" i="1"/>
  <c r="AH603" i="1"/>
  <c r="AI603" i="1"/>
  <c r="AG539" i="1"/>
  <c r="AH539" i="1"/>
  <c r="AI539" i="1"/>
  <c r="AG475" i="1"/>
  <c r="AH475" i="1"/>
  <c r="AI475" i="1"/>
  <c r="AG411" i="1"/>
  <c r="AH411" i="1"/>
  <c r="AI411" i="1"/>
  <c r="AG618" i="1"/>
  <c r="AH618" i="1"/>
  <c r="AI618" i="1"/>
  <c r="AG554" i="1"/>
  <c r="AH554" i="1"/>
  <c r="AI554" i="1"/>
  <c r="AG490" i="1"/>
  <c r="AH490" i="1"/>
  <c r="AI490" i="1"/>
  <c r="AG426" i="1"/>
  <c r="AH426" i="1"/>
  <c r="AI426" i="1"/>
  <c r="AG445" i="1"/>
  <c r="AH445" i="1"/>
  <c r="AI445" i="1"/>
  <c r="AG469" i="1"/>
  <c r="AH469" i="1"/>
  <c r="AI469" i="1"/>
  <c r="AG497" i="1"/>
  <c r="AH497" i="1"/>
  <c r="AI497" i="1"/>
  <c r="AG429" i="1"/>
  <c r="AH429" i="1"/>
  <c r="AI429" i="1"/>
  <c r="AG521" i="1"/>
  <c r="AH521" i="1"/>
  <c r="AI521" i="1"/>
  <c r="AG613" i="1"/>
  <c r="AH613" i="1"/>
  <c r="AI613" i="1"/>
  <c r="AG485" i="1"/>
  <c r="AH485" i="1"/>
  <c r="AI485" i="1"/>
  <c r="AG641" i="1"/>
  <c r="AH641" i="1"/>
  <c r="AI641" i="1"/>
  <c r="AG541" i="1"/>
  <c r="AH541" i="1"/>
  <c r="AI541" i="1"/>
  <c r="AG565" i="1"/>
  <c r="AH565" i="1"/>
  <c r="AI565" i="1"/>
  <c r="AG537" i="1"/>
  <c r="AH537" i="1"/>
  <c r="AI537" i="1"/>
  <c r="AG656" i="1"/>
  <c r="AH656" i="1"/>
  <c r="AI656" i="1"/>
  <c r="AG592" i="1"/>
  <c r="AH592" i="1"/>
  <c r="AI592" i="1"/>
  <c r="AG528" i="1"/>
  <c r="AH528" i="1"/>
  <c r="AI528" i="1"/>
  <c r="AG464" i="1"/>
  <c r="AH464" i="1"/>
  <c r="AI464" i="1"/>
  <c r="AG400" i="1"/>
  <c r="AH400" i="1"/>
  <c r="AI400" i="1"/>
  <c r="AG599" i="1"/>
  <c r="AH599" i="1"/>
  <c r="AI599" i="1"/>
  <c r="AG535" i="1"/>
  <c r="AH535" i="1"/>
  <c r="AI535" i="1"/>
  <c r="AG471" i="1"/>
  <c r="AH471" i="1"/>
  <c r="AI471" i="1"/>
  <c r="AG407" i="1"/>
  <c r="AH407" i="1"/>
  <c r="AI407" i="1"/>
  <c r="AG614" i="1"/>
  <c r="AH614" i="1"/>
  <c r="AI614" i="1"/>
  <c r="AG550" i="1"/>
  <c r="AH550" i="1"/>
  <c r="AI550" i="1"/>
  <c r="AG486" i="1"/>
  <c r="AH486" i="1"/>
  <c r="AI486" i="1"/>
  <c r="AG422" i="1"/>
  <c r="AH422" i="1"/>
  <c r="AI422" i="1"/>
  <c r="AG652" i="1"/>
  <c r="AH652" i="1"/>
  <c r="AI652" i="1"/>
  <c r="AG588" i="1"/>
  <c r="AH588" i="1"/>
  <c r="AI588" i="1"/>
  <c r="AG524" i="1"/>
  <c r="AH524" i="1"/>
  <c r="AI524" i="1"/>
  <c r="AG460" i="1"/>
  <c r="AH460" i="1"/>
  <c r="AI460" i="1"/>
  <c r="AG396" i="1"/>
  <c r="AH396" i="1"/>
  <c r="AI396" i="1"/>
  <c r="AG659" i="1"/>
  <c r="AH659" i="1"/>
  <c r="AI659" i="1"/>
  <c r="AG595" i="1"/>
  <c r="AH595" i="1"/>
  <c r="AI595" i="1"/>
  <c r="AG531" i="1"/>
  <c r="AH531" i="1"/>
  <c r="AI531" i="1"/>
  <c r="AG467" i="1"/>
  <c r="AH467" i="1"/>
  <c r="AI467" i="1"/>
  <c r="AG403" i="1"/>
  <c r="AH403" i="1"/>
  <c r="AI403" i="1"/>
  <c r="AG610" i="1"/>
  <c r="AH610" i="1"/>
  <c r="AI610" i="1"/>
  <c r="AG546" i="1"/>
  <c r="AH546" i="1"/>
  <c r="AI546" i="1"/>
  <c r="AG482" i="1"/>
  <c r="AH482" i="1"/>
  <c r="AI482" i="1"/>
  <c r="AG418" i="1"/>
  <c r="AH418" i="1"/>
  <c r="AI418" i="1"/>
  <c r="AG465" i="1"/>
  <c r="AH465" i="1"/>
  <c r="AI465" i="1"/>
  <c r="AG653" i="1"/>
  <c r="AH653" i="1"/>
  <c r="AI653" i="1"/>
  <c r="AG397" i="1"/>
  <c r="AH397" i="1"/>
  <c r="AI397" i="1"/>
  <c r="AG489" i="1"/>
  <c r="AH489" i="1"/>
  <c r="AI489" i="1"/>
  <c r="AG577" i="1"/>
  <c r="AH577" i="1"/>
  <c r="AI577" i="1"/>
  <c r="AG421" i="1"/>
  <c r="AH421" i="1"/>
  <c r="AI421" i="1"/>
  <c r="AG545" i="1"/>
  <c r="AH545" i="1"/>
  <c r="AI545" i="1"/>
  <c r="AG509" i="1"/>
  <c r="AH509" i="1"/>
  <c r="AI509" i="1"/>
  <c r="AG609" i="1"/>
  <c r="AH609" i="1"/>
  <c r="AI609" i="1"/>
  <c r="AG505" i="1"/>
  <c r="AH505" i="1"/>
  <c r="AI505" i="1"/>
  <c r="AG648" i="1"/>
  <c r="AH648" i="1"/>
  <c r="AI648" i="1"/>
  <c r="AG584" i="1"/>
  <c r="AH584" i="1"/>
  <c r="AI584" i="1"/>
  <c r="AG520" i="1"/>
  <c r="AH520" i="1"/>
  <c r="AI520" i="1"/>
  <c r="AG456" i="1"/>
  <c r="AH456" i="1"/>
  <c r="AI456" i="1"/>
  <c r="AG655" i="1"/>
  <c r="AH655" i="1"/>
  <c r="AI655" i="1"/>
  <c r="AG591" i="1"/>
  <c r="AH591" i="1"/>
  <c r="AI591" i="1"/>
  <c r="AG527" i="1"/>
  <c r="AH527" i="1"/>
  <c r="AI527" i="1"/>
  <c r="AG463" i="1"/>
  <c r="AH463" i="1"/>
  <c r="AI463" i="1"/>
  <c r="AG399" i="1"/>
  <c r="AH399" i="1"/>
  <c r="AI399" i="1"/>
  <c r="AG606" i="1"/>
  <c r="AH606" i="1"/>
  <c r="AI606" i="1"/>
  <c r="AG542" i="1"/>
  <c r="AH542" i="1"/>
  <c r="AI542" i="1"/>
  <c r="AG478" i="1"/>
  <c r="AH478" i="1"/>
  <c r="AI478" i="1"/>
  <c r="AG414" i="1"/>
  <c r="AH414" i="1"/>
  <c r="AI414" i="1"/>
  <c r="AG644" i="1"/>
  <c r="AH644" i="1"/>
  <c r="AI644" i="1"/>
  <c r="AG580" i="1"/>
  <c r="AH580" i="1"/>
  <c r="AI580" i="1"/>
  <c r="AG516" i="1"/>
  <c r="AH516" i="1"/>
  <c r="AI516" i="1"/>
  <c r="AG452" i="1"/>
  <c r="AH452" i="1"/>
  <c r="AI452" i="1"/>
  <c r="AG651" i="1"/>
  <c r="AH651" i="1"/>
  <c r="AI651" i="1"/>
  <c r="AG587" i="1"/>
  <c r="AH587" i="1"/>
  <c r="AI587" i="1"/>
  <c r="AG523" i="1"/>
  <c r="AH523" i="1"/>
  <c r="AI523" i="1"/>
  <c r="AG459" i="1"/>
  <c r="AH459" i="1"/>
  <c r="AI459" i="1"/>
  <c r="AG602" i="1"/>
  <c r="AH602" i="1"/>
  <c r="AI602" i="1"/>
  <c r="AG538" i="1"/>
  <c r="AH538" i="1"/>
  <c r="AI538" i="1"/>
  <c r="AG474" i="1"/>
  <c r="AH474" i="1"/>
  <c r="AI474" i="1"/>
  <c r="AG410" i="1"/>
  <c r="AH410" i="1"/>
  <c r="AI410" i="1"/>
  <c r="AG401" i="1"/>
  <c r="AH401" i="1"/>
  <c r="AI401" i="1"/>
  <c r="AG621" i="1"/>
  <c r="AH621" i="1"/>
  <c r="AI621" i="1"/>
  <c r="AG457" i="1"/>
  <c r="AH457" i="1"/>
  <c r="AI457" i="1"/>
  <c r="AG449" i="1"/>
  <c r="AH449" i="1"/>
  <c r="AI449" i="1"/>
  <c r="AG481" i="1"/>
  <c r="AH481" i="1"/>
  <c r="AI481" i="1"/>
  <c r="AG477" i="1"/>
  <c r="AH477" i="1"/>
  <c r="AI477" i="1"/>
  <c r="AG549" i="1"/>
  <c r="AH549" i="1"/>
  <c r="AI549" i="1"/>
  <c r="AG513" i="1"/>
  <c r="AH513" i="1"/>
  <c r="AI513" i="1"/>
  <c r="AG473" i="1"/>
  <c r="AH473" i="1"/>
  <c r="AI473" i="1"/>
  <c r="AG640" i="1"/>
  <c r="AH640" i="1"/>
  <c r="AI640" i="1"/>
  <c r="AG576" i="1"/>
  <c r="AH576" i="1"/>
  <c r="AI576" i="1"/>
  <c r="AG512" i="1"/>
  <c r="AH512" i="1"/>
  <c r="AI512" i="1"/>
  <c r="AG448" i="1"/>
  <c r="AH448" i="1"/>
  <c r="AI448" i="1"/>
  <c r="AG647" i="1"/>
  <c r="AH647" i="1"/>
  <c r="AI647" i="1"/>
  <c r="AG583" i="1"/>
  <c r="AH583" i="1"/>
  <c r="AI583" i="1"/>
  <c r="AG519" i="1"/>
  <c r="AH519" i="1"/>
  <c r="AI519" i="1"/>
  <c r="AG455" i="1"/>
  <c r="AH455" i="1"/>
  <c r="AI455" i="1"/>
  <c r="AG662" i="1"/>
  <c r="AH662" i="1"/>
  <c r="AI662" i="1"/>
  <c r="AG598" i="1"/>
  <c r="AH598" i="1"/>
  <c r="AI598" i="1"/>
  <c r="AG534" i="1"/>
  <c r="AH534" i="1"/>
  <c r="AI534" i="1"/>
  <c r="AG470" i="1"/>
  <c r="AH470" i="1"/>
  <c r="AI470" i="1"/>
  <c r="AG406" i="1"/>
  <c r="AH406" i="1"/>
  <c r="AI406" i="1"/>
  <c r="AG636" i="1"/>
  <c r="AH636" i="1"/>
  <c r="AI636" i="1"/>
  <c r="AG572" i="1"/>
  <c r="AH572" i="1"/>
  <c r="AI572" i="1"/>
  <c r="AG508" i="1"/>
  <c r="AH508" i="1"/>
  <c r="AI508" i="1"/>
  <c r="AG444" i="1"/>
  <c r="AH444" i="1"/>
  <c r="AI444" i="1"/>
  <c r="AG643" i="1"/>
  <c r="AH643" i="1"/>
  <c r="AI643" i="1"/>
  <c r="AG579" i="1"/>
  <c r="AH579" i="1"/>
  <c r="AI579" i="1"/>
  <c r="AG515" i="1"/>
  <c r="AH515" i="1"/>
  <c r="AI515" i="1"/>
  <c r="AG451" i="1"/>
  <c r="AH451" i="1"/>
  <c r="AI451" i="1"/>
  <c r="AG658" i="1"/>
  <c r="AH658" i="1"/>
  <c r="AI658" i="1"/>
  <c r="AG594" i="1"/>
  <c r="AH594" i="1"/>
  <c r="AI594" i="1"/>
  <c r="AG530" i="1"/>
  <c r="AH530" i="1"/>
  <c r="AI530" i="1"/>
  <c r="AG466" i="1"/>
  <c r="AH466" i="1"/>
  <c r="AI466" i="1"/>
  <c r="AG402" i="1"/>
  <c r="AH402" i="1"/>
  <c r="AI402" i="1"/>
  <c r="F40" i="1"/>
  <c r="G40" i="1" s="1"/>
  <c r="B37" i="1"/>
  <c r="F34" i="1"/>
  <c r="H37" i="1"/>
  <c r="AG312" i="1"/>
  <c r="AH312" i="1"/>
  <c r="AI312" i="1"/>
  <c r="AH304" i="1"/>
  <c r="AI304" i="1"/>
  <c r="AG304" i="1"/>
  <c r="AG331" i="1"/>
  <c r="AI331" i="1"/>
  <c r="AH331" i="1"/>
  <c r="AG288" i="1"/>
  <c r="AH288" i="1"/>
  <c r="AI288" i="1"/>
  <c r="AG222" i="1"/>
  <c r="AH222" i="1"/>
  <c r="AI222" i="1"/>
  <c r="AG314" i="1"/>
  <c r="AH314" i="1"/>
  <c r="AI314" i="1"/>
  <c r="AI299" i="1"/>
  <c r="AH299" i="1"/>
  <c r="AG299" i="1"/>
  <c r="AG389" i="1"/>
  <c r="AH389" i="1"/>
  <c r="AI389" i="1"/>
  <c r="AG325" i="1"/>
  <c r="AH325" i="1"/>
  <c r="AI325" i="1"/>
  <c r="AG212" i="1"/>
  <c r="AH212" i="1"/>
  <c r="AI212" i="1"/>
  <c r="AH263" i="1"/>
  <c r="AG263" i="1"/>
  <c r="AI263" i="1"/>
  <c r="AH290" i="1"/>
  <c r="AI290" i="1"/>
  <c r="AG290" i="1"/>
  <c r="AH165" i="1"/>
  <c r="AG165" i="1"/>
  <c r="AI165" i="1"/>
  <c r="AG255" i="1"/>
  <c r="AH255" i="1"/>
  <c r="AI255" i="1"/>
  <c r="AG282" i="1"/>
  <c r="AI282" i="1"/>
  <c r="AH282" i="1"/>
  <c r="AH133" i="1"/>
  <c r="AI133" i="1"/>
  <c r="AG133" i="1"/>
  <c r="AG104" i="1"/>
  <c r="AH104" i="1"/>
  <c r="AI104" i="1"/>
  <c r="AG110" i="1"/>
  <c r="AH110" i="1"/>
  <c r="AI110" i="1"/>
  <c r="AI274" i="1"/>
  <c r="AG274" i="1"/>
  <c r="AH274" i="1"/>
  <c r="AG205" i="1"/>
  <c r="AH205" i="1"/>
  <c r="AI205" i="1"/>
  <c r="AI101" i="1"/>
  <c r="AG101" i="1"/>
  <c r="AH101" i="1"/>
  <c r="AG96" i="1"/>
  <c r="AH96" i="1"/>
  <c r="AI96" i="1"/>
  <c r="AG239" i="1"/>
  <c r="AH239" i="1"/>
  <c r="AI239" i="1"/>
  <c r="AH102" i="1"/>
  <c r="AI102" i="1"/>
  <c r="AG102" i="1"/>
  <c r="AG266" i="1"/>
  <c r="AH266" i="1"/>
  <c r="AI266" i="1"/>
  <c r="AG132" i="1"/>
  <c r="AH132" i="1"/>
  <c r="AI132" i="1"/>
  <c r="AG357" i="1"/>
  <c r="AH357" i="1"/>
  <c r="AI357" i="1"/>
  <c r="AH24" i="1"/>
  <c r="AG24" i="1"/>
  <c r="AI24" i="1"/>
  <c r="AG167" i="1"/>
  <c r="AH167" i="1"/>
  <c r="AI167" i="1"/>
  <c r="AG30" i="1"/>
  <c r="AI30" i="1"/>
  <c r="AH30" i="1"/>
  <c r="AG194" i="1"/>
  <c r="AH194" i="1"/>
  <c r="AI194" i="1"/>
  <c r="AG387" i="1"/>
  <c r="AH387" i="1"/>
  <c r="AI387" i="1"/>
  <c r="AG277" i="1"/>
  <c r="AH277" i="1"/>
  <c r="AI277" i="1"/>
  <c r="AI233" i="1"/>
  <c r="AG233" i="1"/>
  <c r="AH233" i="1"/>
  <c r="AI95" i="1"/>
  <c r="AG95" i="1"/>
  <c r="AH95" i="1"/>
  <c r="AH251" i="1"/>
  <c r="AI251" i="1"/>
  <c r="AG251" i="1"/>
  <c r="AI122" i="1"/>
  <c r="AG122" i="1"/>
  <c r="AH122" i="1"/>
  <c r="AH333" i="1"/>
  <c r="AI333" i="1"/>
  <c r="AG333" i="1"/>
  <c r="AI392" i="1"/>
  <c r="AG392" i="1"/>
  <c r="AH392" i="1"/>
  <c r="AI161" i="1"/>
  <c r="AG161" i="1"/>
  <c r="AH161" i="1"/>
  <c r="AI23" i="1"/>
  <c r="AG23" i="1"/>
  <c r="AH23" i="1"/>
  <c r="AI179" i="1"/>
  <c r="AG179" i="1"/>
  <c r="AH179" i="1"/>
  <c r="AH50" i="1"/>
  <c r="AG50" i="1"/>
  <c r="AI50" i="1"/>
  <c r="AH76" i="1"/>
  <c r="AG76" i="1"/>
  <c r="AI76" i="1"/>
  <c r="AH320" i="1"/>
  <c r="AI320" i="1"/>
  <c r="AG320" i="1"/>
  <c r="AI89" i="1"/>
  <c r="AH89" i="1"/>
  <c r="AG89" i="1"/>
  <c r="AG326" i="1"/>
  <c r="AH326" i="1"/>
  <c r="AI326" i="1"/>
  <c r="AH107" i="1"/>
  <c r="AI107" i="1"/>
  <c r="AG107" i="1"/>
  <c r="AD339" i="1"/>
  <c r="V339" i="1"/>
  <c r="U339" i="1"/>
  <c r="AC339" i="1"/>
  <c r="T339" i="1"/>
  <c r="AD240" i="1"/>
  <c r="U240" i="1"/>
  <c r="T240" i="1"/>
  <c r="AC240" i="1"/>
  <c r="V240" i="1"/>
  <c r="AD184" i="1"/>
  <c r="U184" i="1"/>
  <c r="AC184" i="1"/>
  <c r="V184" i="1"/>
  <c r="T184" i="1"/>
  <c r="AD369" i="1"/>
  <c r="V369" i="1"/>
  <c r="T369" i="1"/>
  <c r="AC369" i="1"/>
  <c r="U369" i="1"/>
  <c r="AD283" i="1"/>
  <c r="V283" i="1"/>
  <c r="T283" i="1"/>
  <c r="AC283" i="1"/>
  <c r="U283" i="1"/>
  <c r="AD202" i="1"/>
  <c r="U202" i="1"/>
  <c r="V202" i="1"/>
  <c r="T202" i="1"/>
  <c r="AC202" i="1"/>
  <c r="AD180" i="1"/>
  <c r="T180" i="1"/>
  <c r="AC180" i="1"/>
  <c r="U180" i="1"/>
  <c r="V180" i="1"/>
  <c r="AD282" i="1"/>
  <c r="U282" i="1"/>
  <c r="AC282" i="1"/>
  <c r="T282" i="1"/>
  <c r="V282" i="1"/>
  <c r="AD50" i="1"/>
  <c r="T50" i="1"/>
  <c r="AC50" i="1"/>
  <c r="U50" i="1"/>
  <c r="V50" i="1"/>
  <c r="AD160" i="1"/>
  <c r="U160" i="1"/>
  <c r="T160" i="1"/>
  <c r="V160" i="1"/>
  <c r="AC160" i="1"/>
  <c r="AD24" i="1"/>
  <c r="T24" i="1"/>
  <c r="V24" i="1"/>
  <c r="U24" i="1"/>
  <c r="AC24" i="1"/>
  <c r="AD52" i="1"/>
  <c r="U52" i="1"/>
  <c r="T52" i="1"/>
  <c r="V52" i="1"/>
  <c r="AC52" i="1"/>
  <c r="AD393" i="1"/>
  <c r="V393" i="1"/>
  <c r="U393" i="1"/>
  <c r="AC393" i="1"/>
  <c r="T393" i="1"/>
  <c r="AD342" i="1"/>
  <c r="V342" i="1"/>
  <c r="T342" i="1"/>
  <c r="AC342" i="1"/>
  <c r="U342" i="1"/>
  <c r="AD99" i="1"/>
  <c r="T99" i="1"/>
  <c r="AC99" i="1"/>
  <c r="V99" i="1"/>
  <c r="U99" i="1"/>
  <c r="AD373" i="1"/>
  <c r="U373" i="1"/>
  <c r="AC373" i="1"/>
  <c r="T373" i="1"/>
  <c r="V373" i="1"/>
  <c r="AD148" i="1"/>
  <c r="V148" i="1"/>
  <c r="AC148" i="1"/>
  <c r="T148" i="1"/>
  <c r="U148" i="1"/>
  <c r="AD113" i="1"/>
  <c r="U113" i="1"/>
  <c r="T113" i="1"/>
  <c r="V113" i="1"/>
  <c r="AC113" i="1"/>
  <c r="AD231" i="1"/>
  <c r="T231" i="1"/>
  <c r="U231" i="1"/>
  <c r="AC231" i="1"/>
  <c r="V231" i="1"/>
  <c r="AD122" i="1"/>
  <c r="U122" i="1"/>
  <c r="V122" i="1"/>
  <c r="T122" i="1"/>
  <c r="AC122" i="1"/>
  <c r="AD390" i="1"/>
  <c r="U390" i="1"/>
  <c r="AC390" i="1"/>
  <c r="T390" i="1"/>
  <c r="V390" i="1"/>
  <c r="AD175" i="1"/>
  <c r="V175" i="1"/>
  <c r="U175" i="1"/>
  <c r="T175" i="1"/>
  <c r="AC175" i="1"/>
  <c r="V81" i="1"/>
  <c r="T81" i="1"/>
  <c r="AC81" i="1"/>
  <c r="U81" i="1"/>
  <c r="AD81" i="1"/>
  <c r="U333" i="1"/>
  <c r="T333" i="1"/>
  <c r="AC333" i="1"/>
  <c r="V333" i="1"/>
  <c r="AD333" i="1"/>
  <c r="AD371" i="1"/>
  <c r="V371" i="1"/>
  <c r="AC371" i="1"/>
  <c r="T371" i="1"/>
  <c r="U371" i="1"/>
  <c r="AD315" i="1"/>
  <c r="T315" i="1"/>
  <c r="AC315" i="1"/>
  <c r="U315" i="1"/>
  <c r="V315" i="1"/>
  <c r="AD277" i="1"/>
  <c r="T277" i="1"/>
  <c r="AC277" i="1"/>
  <c r="U277" i="1"/>
  <c r="V277" i="1"/>
  <c r="AD312" i="1"/>
  <c r="T312" i="1"/>
  <c r="AC312" i="1"/>
  <c r="V312" i="1"/>
  <c r="U312" i="1"/>
  <c r="T139" i="1"/>
  <c r="AC139" i="1"/>
  <c r="V139" i="1"/>
  <c r="AD139" i="1"/>
  <c r="U139" i="1"/>
  <c r="AD39" i="1"/>
  <c r="V39" i="1"/>
  <c r="AC39" i="1"/>
  <c r="T39" i="1"/>
  <c r="U39" i="1"/>
  <c r="AD251" i="1"/>
  <c r="T251" i="1"/>
  <c r="AC251" i="1"/>
  <c r="V251" i="1"/>
  <c r="U251" i="1"/>
  <c r="AD372" i="1"/>
  <c r="U372" i="1"/>
  <c r="V372" i="1"/>
  <c r="T372" i="1"/>
  <c r="AC372" i="1"/>
  <c r="AD248" i="1"/>
  <c r="V248" i="1"/>
  <c r="AC248" i="1"/>
  <c r="U248" i="1"/>
  <c r="T248" i="1"/>
  <c r="AD59" i="1"/>
  <c r="U59" i="1"/>
  <c r="AC59" i="1"/>
  <c r="T59" i="1"/>
  <c r="V59" i="1"/>
  <c r="AD179" i="1"/>
  <c r="U179" i="1"/>
  <c r="AC179" i="1"/>
  <c r="T179" i="1"/>
  <c r="V179" i="1"/>
  <c r="AD375" i="1"/>
  <c r="V375" i="1"/>
  <c r="AC375" i="1"/>
  <c r="T375" i="1"/>
  <c r="U375" i="1"/>
  <c r="AD351" i="1"/>
  <c r="T351" i="1"/>
  <c r="AC351" i="1"/>
  <c r="V351" i="1"/>
  <c r="U351" i="1"/>
  <c r="AD317" i="1"/>
  <c r="AC317" i="1"/>
  <c r="U317" i="1"/>
  <c r="V317" i="1"/>
  <c r="T317" i="1"/>
  <c r="AD362" i="1"/>
  <c r="T362" i="1"/>
  <c r="AC362" i="1"/>
  <c r="U362" i="1"/>
  <c r="V362" i="1"/>
  <c r="AD159" i="1"/>
  <c r="V159" i="1"/>
  <c r="AC159" i="1"/>
  <c r="T159" i="1"/>
  <c r="U159" i="1"/>
  <c r="AD335" i="1"/>
  <c r="U335" i="1"/>
  <c r="T335" i="1"/>
  <c r="AC335" i="1"/>
  <c r="V335" i="1"/>
  <c r="AD137" i="1"/>
  <c r="AC137" i="1"/>
  <c r="T137" i="1"/>
  <c r="V137" i="1"/>
  <c r="U137" i="1"/>
  <c r="AD210" i="1"/>
  <c r="AC210" i="1"/>
  <c r="V210" i="1"/>
  <c r="T210" i="1"/>
  <c r="U210" i="1"/>
  <c r="U149" i="1"/>
  <c r="AC149" i="1"/>
  <c r="V149" i="1"/>
  <c r="AD149" i="1"/>
  <c r="T149" i="1"/>
  <c r="AD263" i="1"/>
  <c r="T263" i="1"/>
  <c r="AC263" i="1"/>
  <c r="V263" i="1"/>
  <c r="U263" i="1"/>
  <c r="AB18" i="1"/>
  <c r="AB19" i="1" s="1"/>
  <c r="AB20" i="1" s="1"/>
  <c r="AB21" i="1" s="1"/>
  <c r="AB22" i="1" s="1"/>
  <c r="AB23" i="1" s="1"/>
  <c r="AB24" i="1" s="1"/>
  <c r="AB25" i="1" s="1"/>
  <c r="AB26" i="1" s="1"/>
  <c r="AB27" i="1" s="1"/>
  <c r="AB28" i="1" s="1"/>
  <c r="AB29" i="1" s="1"/>
  <c r="AB30" i="1" s="1"/>
  <c r="AB31" i="1" s="1"/>
  <c r="AB32" i="1" s="1"/>
  <c r="AB33" i="1" s="1"/>
  <c r="AB34" i="1" s="1"/>
  <c r="AB35" i="1" s="1"/>
  <c r="AB36" i="1" s="1"/>
  <c r="AB37" i="1" s="1"/>
  <c r="AB38" i="1" s="1"/>
  <c r="AB39" i="1" s="1"/>
  <c r="AB40" i="1" s="1"/>
  <c r="AB41" i="1" s="1"/>
  <c r="AB42" i="1" s="1"/>
  <c r="AB43" i="1" s="1"/>
  <c r="AB44" i="1" s="1"/>
  <c r="AB45" i="1" s="1"/>
  <c r="AB46" i="1" s="1"/>
  <c r="AB47" i="1" s="1"/>
  <c r="AB48" i="1" s="1"/>
  <c r="AB49" i="1" s="1"/>
  <c r="AB50" i="1" s="1"/>
  <c r="AB51" i="1" s="1"/>
  <c r="AB52" i="1" s="1"/>
  <c r="AB53" i="1" s="1"/>
  <c r="AB54" i="1" s="1"/>
  <c r="AB55" i="1" s="1"/>
  <c r="AB56" i="1" s="1"/>
  <c r="AB57" i="1" s="1"/>
  <c r="AB58" i="1" s="1"/>
  <c r="AB59" i="1" s="1"/>
  <c r="AB60" i="1" s="1"/>
  <c r="AB61" i="1" s="1"/>
  <c r="AB62" i="1" s="1"/>
  <c r="AB63" i="1" s="1"/>
  <c r="AB64" i="1" s="1"/>
  <c r="AB65" i="1" s="1"/>
  <c r="AB66" i="1" s="1"/>
  <c r="AB67" i="1" s="1"/>
  <c r="AB68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AB102" i="1" s="1"/>
  <c r="AB103" i="1" s="1"/>
  <c r="AB104" i="1" s="1"/>
  <c r="AB105" i="1" s="1"/>
  <c r="AB106" i="1" s="1"/>
  <c r="AB107" i="1" s="1"/>
  <c r="AB108" i="1" s="1"/>
  <c r="AB109" i="1" s="1"/>
  <c r="AB110" i="1" s="1"/>
  <c r="AB111" i="1" s="1"/>
  <c r="AB112" i="1" s="1"/>
  <c r="AB113" i="1" s="1"/>
  <c r="AB114" i="1" s="1"/>
  <c r="AB115" i="1" s="1"/>
  <c r="AB116" i="1" s="1"/>
  <c r="AB117" i="1" s="1"/>
  <c r="AB118" i="1" s="1"/>
  <c r="AB119" i="1" s="1"/>
  <c r="AB120" i="1" s="1"/>
  <c r="AB121" i="1" s="1"/>
  <c r="AB122" i="1" s="1"/>
  <c r="AB123" i="1" s="1"/>
  <c r="AB124" i="1" s="1"/>
  <c r="AB125" i="1" s="1"/>
  <c r="AB126" i="1" s="1"/>
  <c r="AB127" i="1" s="1"/>
  <c r="AB128" i="1" s="1"/>
  <c r="AB129" i="1" s="1"/>
  <c r="AB130" i="1" s="1"/>
  <c r="AB131" i="1" s="1"/>
  <c r="AB132" i="1" s="1"/>
  <c r="AB133" i="1" s="1"/>
  <c r="AB134" i="1" s="1"/>
  <c r="AB135" i="1" s="1"/>
  <c r="AB136" i="1" s="1"/>
  <c r="AB137" i="1" s="1"/>
  <c r="AB138" i="1" s="1"/>
  <c r="AB139" i="1" s="1"/>
  <c r="AB140" i="1" s="1"/>
  <c r="AB141" i="1" s="1"/>
  <c r="AB142" i="1" s="1"/>
  <c r="AB143" i="1" s="1"/>
  <c r="AB144" i="1" s="1"/>
  <c r="AB145" i="1" s="1"/>
  <c r="AB146" i="1" s="1"/>
  <c r="AB147" i="1" s="1"/>
  <c r="AB148" i="1" s="1"/>
  <c r="AB149" i="1" s="1"/>
  <c r="AB150" i="1" s="1"/>
  <c r="AB151" i="1" s="1"/>
  <c r="AB152" i="1" s="1"/>
  <c r="AB153" i="1" s="1"/>
  <c r="AB154" i="1" s="1"/>
  <c r="AB155" i="1" s="1"/>
  <c r="AB156" i="1" s="1"/>
  <c r="AB157" i="1" s="1"/>
  <c r="AB158" i="1" s="1"/>
  <c r="AB159" i="1" s="1"/>
  <c r="AB160" i="1" s="1"/>
  <c r="AB161" i="1" s="1"/>
  <c r="AB162" i="1" s="1"/>
  <c r="AB163" i="1" s="1"/>
  <c r="AB164" i="1" s="1"/>
  <c r="AB165" i="1" s="1"/>
  <c r="AB166" i="1" s="1"/>
  <c r="AB167" i="1" s="1"/>
  <c r="AB168" i="1" s="1"/>
  <c r="AB169" i="1" s="1"/>
  <c r="AB170" i="1" s="1"/>
  <c r="AB171" i="1" s="1"/>
  <c r="AB172" i="1" s="1"/>
  <c r="AB173" i="1" s="1"/>
  <c r="AB174" i="1" s="1"/>
  <c r="AB175" i="1" s="1"/>
  <c r="AB176" i="1" s="1"/>
  <c r="AB177" i="1" s="1"/>
  <c r="AB178" i="1" s="1"/>
  <c r="AB179" i="1" s="1"/>
  <c r="AB180" i="1" s="1"/>
  <c r="AB181" i="1" s="1"/>
  <c r="AB182" i="1" s="1"/>
  <c r="AB183" i="1" s="1"/>
  <c r="AB184" i="1" s="1"/>
  <c r="AB185" i="1" s="1"/>
  <c r="AB186" i="1" s="1"/>
  <c r="AB187" i="1" s="1"/>
  <c r="AB188" i="1" s="1"/>
  <c r="AB189" i="1" s="1"/>
  <c r="AB190" i="1" s="1"/>
  <c r="AB191" i="1" s="1"/>
  <c r="AB192" i="1" s="1"/>
  <c r="AB193" i="1" s="1"/>
  <c r="AB194" i="1" s="1"/>
  <c r="AB195" i="1" s="1"/>
  <c r="AB196" i="1" s="1"/>
  <c r="AB197" i="1" s="1"/>
  <c r="AB198" i="1" s="1"/>
  <c r="AB199" i="1" s="1"/>
  <c r="AB200" i="1" s="1"/>
  <c r="AB201" i="1" s="1"/>
  <c r="AB202" i="1" s="1"/>
  <c r="AB203" i="1" s="1"/>
  <c r="AB204" i="1" s="1"/>
  <c r="AB205" i="1" s="1"/>
  <c r="AB206" i="1" s="1"/>
  <c r="AB207" i="1" s="1"/>
  <c r="AB208" i="1" s="1"/>
  <c r="AB209" i="1" s="1"/>
  <c r="AB210" i="1" s="1"/>
  <c r="AB211" i="1" s="1"/>
  <c r="AB212" i="1" s="1"/>
  <c r="AB213" i="1" s="1"/>
  <c r="AB214" i="1" s="1"/>
  <c r="AB215" i="1" s="1"/>
  <c r="AB216" i="1" s="1"/>
  <c r="AB217" i="1" s="1"/>
  <c r="AB218" i="1" s="1"/>
  <c r="AB219" i="1" s="1"/>
  <c r="AB220" i="1" s="1"/>
  <c r="AB221" i="1" s="1"/>
  <c r="AB222" i="1" s="1"/>
  <c r="AB223" i="1" s="1"/>
  <c r="AB224" i="1" s="1"/>
  <c r="AB225" i="1" s="1"/>
  <c r="AB226" i="1" s="1"/>
  <c r="AB227" i="1" s="1"/>
  <c r="AB228" i="1" s="1"/>
  <c r="AB229" i="1" s="1"/>
  <c r="AB230" i="1" s="1"/>
  <c r="AB231" i="1" s="1"/>
  <c r="AB232" i="1" s="1"/>
  <c r="AB233" i="1" s="1"/>
  <c r="AB234" i="1" s="1"/>
  <c r="AB235" i="1" s="1"/>
  <c r="AB236" i="1" s="1"/>
  <c r="AB237" i="1" s="1"/>
  <c r="AB238" i="1" s="1"/>
  <c r="AB239" i="1" s="1"/>
  <c r="AB240" i="1" s="1"/>
  <c r="AB241" i="1" s="1"/>
  <c r="AB242" i="1" s="1"/>
  <c r="AB243" i="1" s="1"/>
  <c r="AB244" i="1" s="1"/>
  <c r="AB245" i="1" s="1"/>
  <c r="AB246" i="1" s="1"/>
  <c r="AB247" i="1" s="1"/>
  <c r="AB248" i="1" s="1"/>
  <c r="AB249" i="1" s="1"/>
  <c r="AB250" i="1" s="1"/>
  <c r="AB251" i="1" s="1"/>
  <c r="AB252" i="1" s="1"/>
  <c r="AB253" i="1" s="1"/>
  <c r="AB254" i="1" s="1"/>
  <c r="AB255" i="1" s="1"/>
  <c r="AB256" i="1" s="1"/>
  <c r="AB257" i="1" s="1"/>
  <c r="AB258" i="1" s="1"/>
  <c r="AB259" i="1" s="1"/>
  <c r="AB260" i="1" s="1"/>
  <c r="AB261" i="1" s="1"/>
  <c r="AB262" i="1" s="1"/>
  <c r="AB263" i="1" s="1"/>
  <c r="AB264" i="1" s="1"/>
  <c r="AB265" i="1" s="1"/>
  <c r="AB266" i="1" s="1"/>
  <c r="AB267" i="1" s="1"/>
  <c r="AB268" i="1" s="1"/>
  <c r="AB269" i="1" s="1"/>
  <c r="AB270" i="1" s="1"/>
  <c r="AB271" i="1" s="1"/>
  <c r="AB272" i="1" s="1"/>
  <c r="AB273" i="1" s="1"/>
  <c r="AB274" i="1" s="1"/>
  <c r="AB275" i="1" s="1"/>
  <c r="AB276" i="1" s="1"/>
  <c r="AB277" i="1" s="1"/>
  <c r="AB278" i="1" s="1"/>
  <c r="AB279" i="1" s="1"/>
  <c r="AB280" i="1" s="1"/>
  <c r="AB281" i="1" s="1"/>
  <c r="AB282" i="1" s="1"/>
  <c r="AB283" i="1" s="1"/>
  <c r="AB284" i="1" s="1"/>
  <c r="AB285" i="1" s="1"/>
  <c r="AB286" i="1" s="1"/>
  <c r="AB287" i="1" s="1"/>
  <c r="AB288" i="1" s="1"/>
  <c r="AB289" i="1" s="1"/>
  <c r="AB290" i="1" s="1"/>
  <c r="AB291" i="1" s="1"/>
  <c r="AB292" i="1" s="1"/>
  <c r="AB293" i="1" s="1"/>
  <c r="AB294" i="1" s="1"/>
  <c r="AB295" i="1" s="1"/>
  <c r="AB296" i="1" s="1"/>
  <c r="AB297" i="1" s="1"/>
  <c r="AB298" i="1" s="1"/>
  <c r="AB299" i="1" s="1"/>
  <c r="AB300" i="1" s="1"/>
  <c r="AB301" i="1" s="1"/>
  <c r="AB302" i="1" s="1"/>
  <c r="AB303" i="1" s="1"/>
  <c r="AB304" i="1" s="1"/>
  <c r="AB305" i="1" s="1"/>
  <c r="AB306" i="1" s="1"/>
  <c r="AB307" i="1" s="1"/>
  <c r="AB308" i="1" s="1"/>
  <c r="AB309" i="1" s="1"/>
  <c r="AB310" i="1" s="1"/>
  <c r="AB311" i="1" s="1"/>
  <c r="AB312" i="1" s="1"/>
  <c r="AB313" i="1" s="1"/>
  <c r="AB314" i="1" s="1"/>
  <c r="AB315" i="1" s="1"/>
  <c r="AB316" i="1" s="1"/>
  <c r="AB317" i="1" s="1"/>
  <c r="AB318" i="1" s="1"/>
  <c r="AB319" i="1" s="1"/>
  <c r="AB320" i="1" s="1"/>
  <c r="AB321" i="1" s="1"/>
  <c r="AB322" i="1" s="1"/>
  <c r="AB323" i="1" s="1"/>
  <c r="AB324" i="1" s="1"/>
  <c r="AB325" i="1" s="1"/>
  <c r="AB326" i="1" s="1"/>
  <c r="AB327" i="1" s="1"/>
  <c r="AB328" i="1" s="1"/>
  <c r="AB329" i="1" s="1"/>
  <c r="AB330" i="1" s="1"/>
  <c r="AB331" i="1" s="1"/>
  <c r="AB332" i="1" s="1"/>
  <c r="AB333" i="1" s="1"/>
  <c r="AB334" i="1" s="1"/>
  <c r="AB335" i="1" s="1"/>
  <c r="AB336" i="1" s="1"/>
  <c r="AB337" i="1" s="1"/>
  <c r="AB338" i="1" s="1"/>
  <c r="AB339" i="1" s="1"/>
  <c r="AB340" i="1" s="1"/>
  <c r="AB341" i="1" s="1"/>
  <c r="AB342" i="1" s="1"/>
  <c r="AB343" i="1" s="1"/>
  <c r="AB344" i="1" s="1"/>
  <c r="AB345" i="1" s="1"/>
  <c r="AB346" i="1" s="1"/>
  <c r="AB347" i="1" s="1"/>
  <c r="AB348" i="1" s="1"/>
  <c r="AB349" i="1" s="1"/>
  <c r="AB350" i="1" s="1"/>
  <c r="AB351" i="1" s="1"/>
  <c r="AB352" i="1" s="1"/>
  <c r="AB353" i="1" s="1"/>
  <c r="AB354" i="1" s="1"/>
  <c r="AB355" i="1" s="1"/>
  <c r="AB356" i="1" s="1"/>
  <c r="AB357" i="1" s="1"/>
  <c r="AB358" i="1" s="1"/>
  <c r="AB359" i="1" s="1"/>
  <c r="AB360" i="1" s="1"/>
  <c r="AB361" i="1" s="1"/>
  <c r="AB362" i="1" s="1"/>
  <c r="AB363" i="1" s="1"/>
  <c r="AB364" i="1" s="1"/>
  <c r="AB365" i="1" s="1"/>
  <c r="AB366" i="1" s="1"/>
  <c r="AB367" i="1" s="1"/>
  <c r="AB368" i="1" s="1"/>
  <c r="AB369" i="1" s="1"/>
  <c r="AB370" i="1" s="1"/>
  <c r="AB371" i="1" s="1"/>
  <c r="AB372" i="1" s="1"/>
  <c r="AB373" i="1" s="1"/>
  <c r="AB374" i="1" s="1"/>
  <c r="AB375" i="1" s="1"/>
  <c r="AB376" i="1" s="1"/>
  <c r="AB377" i="1" s="1"/>
  <c r="AB378" i="1" s="1"/>
  <c r="AB379" i="1" s="1"/>
  <c r="AB380" i="1" s="1"/>
  <c r="AB381" i="1" s="1"/>
  <c r="AB382" i="1" s="1"/>
  <c r="AB383" i="1" s="1"/>
  <c r="AB384" i="1" s="1"/>
  <c r="AB385" i="1" s="1"/>
  <c r="AB386" i="1" s="1"/>
  <c r="AB387" i="1" s="1"/>
  <c r="AB388" i="1" s="1"/>
  <c r="AB389" i="1" s="1"/>
  <c r="AB390" i="1" s="1"/>
  <c r="AB391" i="1" s="1"/>
  <c r="AB392" i="1" s="1"/>
  <c r="AB393" i="1" s="1"/>
  <c r="AB394" i="1" s="1"/>
  <c r="AB395" i="1" s="1"/>
  <c r="AB396" i="1" s="1"/>
  <c r="AB397" i="1" s="1"/>
  <c r="AB398" i="1" s="1"/>
  <c r="AB399" i="1" s="1"/>
  <c r="AB400" i="1" s="1"/>
  <c r="AB401" i="1" s="1"/>
  <c r="AB402" i="1" s="1"/>
  <c r="AB403" i="1" s="1"/>
  <c r="AB404" i="1" s="1"/>
  <c r="AB405" i="1" s="1"/>
  <c r="AB406" i="1" s="1"/>
  <c r="AB407" i="1" s="1"/>
  <c r="AB408" i="1" s="1"/>
  <c r="AB409" i="1" s="1"/>
  <c r="AB410" i="1" s="1"/>
  <c r="AB411" i="1" s="1"/>
  <c r="AB412" i="1" s="1"/>
  <c r="AB413" i="1" s="1"/>
  <c r="AB414" i="1" s="1"/>
  <c r="AB415" i="1" s="1"/>
  <c r="AB416" i="1" s="1"/>
  <c r="AB417" i="1" s="1"/>
  <c r="AB418" i="1" s="1"/>
  <c r="AB419" i="1" s="1"/>
  <c r="AB420" i="1" s="1"/>
  <c r="AB421" i="1" s="1"/>
  <c r="AB422" i="1" s="1"/>
  <c r="AB423" i="1" s="1"/>
  <c r="AB424" i="1" s="1"/>
  <c r="AB425" i="1" s="1"/>
  <c r="AB426" i="1" s="1"/>
  <c r="AB427" i="1" s="1"/>
  <c r="AB428" i="1" s="1"/>
  <c r="AB429" i="1" s="1"/>
  <c r="AB430" i="1" s="1"/>
  <c r="AB431" i="1" s="1"/>
  <c r="AB432" i="1" s="1"/>
  <c r="AB433" i="1" s="1"/>
  <c r="AB434" i="1" s="1"/>
  <c r="AB435" i="1" s="1"/>
  <c r="AB436" i="1" s="1"/>
  <c r="AB437" i="1" s="1"/>
  <c r="AB438" i="1" s="1"/>
  <c r="AB439" i="1" s="1"/>
  <c r="AB440" i="1" s="1"/>
  <c r="AB441" i="1" s="1"/>
  <c r="AB442" i="1" s="1"/>
  <c r="AB443" i="1" s="1"/>
  <c r="AB444" i="1" s="1"/>
  <c r="AB445" i="1" s="1"/>
  <c r="AB446" i="1" s="1"/>
  <c r="AB447" i="1" s="1"/>
  <c r="AB448" i="1" s="1"/>
  <c r="AB449" i="1" s="1"/>
  <c r="AB450" i="1" s="1"/>
  <c r="AB451" i="1" s="1"/>
  <c r="AB452" i="1" s="1"/>
  <c r="AB453" i="1" s="1"/>
  <c r="AB454" i="1" s="1"/>
  <c r="AB455" i="1" s="1"/>
  <c r="AB456" i="1" s="1"/>
  <c r="AB457" i="1" s="1"/>
  <c r="AB458" i="1" s="1"/>
  <c r="AB459" i="1" s="1"/>
  <c r="AB460" i="1" s="1"/>
  <c r="AB461" i="1" s="1"/>
  <c r="AB462" i="1" s="1"/>
  <c r="AB463" i="1" s="1"/>
  <c r="AB464" i="1" s="1"/>
  <c r="AB465" i="1" s="1"/>
  <c r="AB466" i="1" s="1"/>
  <c r="AB467" i="1" s="1"/>
  <c r="AB468" i="1" s="1"/>
  <c r="AB469" i="1" s="1"/>
  <c r="AB470" i="1" s="1"/>
  <c r="AB471" i="1" s="1"/>
  <c r="AB472" i="1" s="1"/>
  <c r="AB473" i="1" s="1"/>
  <c r="AB474" i="1" s="1"/>
  <c r="AB475" i="1" s="1"/>
  <c r="AB476" i="1" s="1"/>
  <c r="AB477" i="1" s="1"/>
  <c r="AB478" i="1" s="1"/>
  <c r="AB479" i="1" s="1"/>
  <c r="AB480" i="1" s="1"/>
  <c r="AB481" i="1" s="1"/>
  <c r="AB482" i="1" s="1"/>
  <c r="AB483" i="1" s="1"/>
  <c r="AB484" i="1" s="1"/>
  <c r="AB485" i="1" s="1"/>
  <c r="AB486" i="1" s="1"/>
  <c r="AB487" i="1" s="1"/>
  <c r="AB488" i="1" s="1"/>
  <c r="AB489" i="1" s="1"/>
  <c r="AB490" i="1" s="1"/>
  <c r="AB491" i="1" s="1"/>
  <c r="AB492" i="1" s="1"/>
  <c r="AB493" i="1" s="1"/>
  <c r="AB494" i="1" s="1"/>
  <c r="AB495" i="1" s="1"/>
  <c r="AB496" i="1" s="1"/>
  <c r="AB497" i="1" s="1"/>
  <c r="AB498" i="1" s="1"/>
  <c r="AB499" i="1" s="1"/>
  <c r="AB500" i="1" s="1"/>
  <c r="AB501" i="1" s="1"/>
  <c r="AB502" i="1" s="1"/>
  <c r="AB503" i="1" s="1"/>
  <c r="AB504" i="1" s="1"/>
  <c r="AB505" i="1" s="1"/>
  <c r="AB506" i="1" s="1"/>
  <c r="AB507" i="1" s="1"/>
  <c r="AB508" i="1" s="1"/>
  <c r="AB509" i="1" s="1"/>
  <c r="AB510" i="1" s="1"/>
  <c r="AB511" i="1" s="1"/>
  <c r="AB512" i="1" s="1"/>
  <c r="AB513" i="1" s="1"/>
  <c r="AB514" i="1" s="1"/>
  <c r="AB515" i="1" s="1"/>
  <c r="AB516" i="1" s="1"/>
  <c r="AB517" i="1" s="1"/>
  <c r="AB518" i="1" s="1"/>
  <c r="AB519" i="1" s="1"/>
  <c r="AB520" i="1" s="1"/>
  <c r="AB521" i="1" s="1"/>
  <c r="AB522" i="1" s="1"/>
  <c r="AB523" i="1" s="1"/>
  <c r="AB524" i="1" s="1"/>
  <c r="AB525" i="1" s="1"/>
  <c r="AB526" i="1" s="1"/>
  <c r="AB527" i="1" s="1"/>
  <c r="AB528" i="1" s="1"/>
  <c r="AB529" i="1" s="1"/>
  <c r="AB530" i="1" s="1"/>
  <c r="AB531" i="1" s="1"/>
  <c r="AB532" i="1" s="1"/>
  <c r="AB533" i="1" s="1"/>
  <c r="AB534" i="1" s="1"/>
  <c r="AB535" i="1" s="1"/>
  <c r="AB536" i="1" s="1"/>
  <c r="AB537" i="1" s="1"/>
  <c r="AB538" i="1" s="1"/>
  <c r="AB539" i="1" s="1"/>
  <c r="AB540" i="1" s="1"/>
  <c r="AB541" i="1" s="1"/>
  <c r="AB542" i="1" s="1"/>
  <c r="AB543" i="1" s="1"/>
  <c r="AB544" i="1" s="1"/>
  <c r="AB545" i="1" s="1"/>
  <c r="AB546" i="1" s="1"/>
  <c r="AB547" i="1" s="1"/>
  <c r="AB548" i="1" s="1"/>
  <c r="AB549" i="1" s="1"/>
  <c r="AB550" i="1" s="1"/>
  <c r="AB551" i="1" s="1"/>
  <c r="AB552" i="1" s="1"/>
  <c r="AB553" i="1" s="1"/>
  <c r="AB554" i="1" s="1"/>
  <c r="AB555" i="1" s="1"/>
  <c r="AB556" i="1" s="1"/>
  <c r="AB557" i="1" s="1"/>
  <c r="AB558" i="1" s="1"/>
  <c r="AB559" i="1" s="1"/>
  <c r="AB560" i="1" s="1"/>
  <c r="AB561" i="1" s="1"/>
  <c r="AB562" i="1" s="1"/>
  <c r="AB563" i="1" s="1"/>
  <c r="AB564" i="1" s="1"/>
  <c r="AB565" i="1" s="1"/>
  <c r="AB566" i="1" s="1"/>
  <c r="AB567" i="1" s="1"/>
  <c r="AB568" i="1" s="1"/>
  <c r="AB569" i="1" s="1"/>
  <c r="AB570" i="1" s="1"/>
  <c r="AB571" i="1" s="1"/>
  <c r="AB572" i="1" s="1"/>
  <c r="AB573" i="1" s="1"/>
  <c r="AB574" i="1" s="1"/>
  <c r="AB575" i="1" s="1"/>
  <c r="AB576" i="1" s="1"/>
  <c r="AB577" i="1" s="1"/>
  <c r="AB578" i="1" s="1"/>
  <c r="AB579" i="1" s="1"/>
  <c r="AB580" i="1" s="1"/>
  <c r="AB581" i="1" s="1"/>
  <c r="AB582" i="1" s="1"/>
  <c r="AB583" i="1" s="1"/>
  <c r="AB584" i="1" s="1"/>
  <c r="AB585" i="1" s="1"/>
  <c r="AB586" i="1" s="1"/>
  <c r="AB587" i="1" s="1"/>
  <c r="AB588" i="1" s="1"/>
  <c r="AB589" i="1" s="1"/>
  <c r="AB590" i="1" s="1"/>
  <c r="AB591" i="1" s="1"/>
  <c r="AB592" i="1" s="1"/>
  <c r="AB593" i="1" s="1"/>
  <c r="AB594" i="1" s="1"/>
  <c r="AB595" i="1" s="1"/>
  <c r="AB596" i="1" s="1"/>
  <c r="AB597" i="1" s="1"/>
  <c r="AB598" i="1" s="1"/>
  <c r="AB599" i="1" s="1"/>
  <c r="AB600" i="1" s="1"/>
  <c r="AB601" i="1" s="1"/>
  <c r="AB602" i="1" s="1"/>
  <c r="AB603" i="1" s="1"/>
  <c r="AB604" i="1" s="1"/>
  <c r="AB605" i="1" s="1"/>
  <c r="AB606" i="1" s="1"/>
  <c r="AB607" i="1" s="1"/>
  <c r="AB608" i="1" s="1"/>
  <c r="AB609" i="1" s="1"/>
  <c r="AB610" i="1" s="1"/>
  <c r="AB611" i="1" s="1"/>
  <c r="AB612" i="1" s="1"/>
  <c r="AB613" i="1" s="1"/>
  <c r="AB614" i="1" s="1"/>
  <c r="AB615" i="1" s="1"/>
  <c r="AB616" i="1" s="1"/>
  <c r="AB617" i="1" s="1"/>
  <c r="AB618" i="1" s="1"/>
  <c r="AB619" i="1" s="1"/>
  <c r="AB620" i="1" s="1"/>
  <c r="AB621" i="1" s="1"/>
  <c r="AB622" i="1" s="1"/>
  <c r="AB623" i="1" s="1"/>
  <c r="AB624" i="1" s="1"/>
  <c r="AB625" i="1" s="1"/>
  <c r="AB626" i="1" s="1"/>
  <c r="AB627" i="1" s="1"/>
  <c r="AB628" i="1" s="1"/>
  <c r="AB629" i="1" s="1"/>
  <c r="AB630" i="1" s="1"/>
  <c r="AB631" i="1" s="1"/>
  <c r="AB632" i="1" s="1"/>
  <c r="AB633" i="1" s="1"/>
  <c r="AB634" i="1" s="1"/>
  <c r="AB635" i="1" s="1"/>
  <c r="AB636" i="1" s="1"/>
  <c r="AB637" i="1" s="1"/>
  <c r="AB638" i="1" s="1"/>
  <c r="AB639" i="1" s="1"/>
  <c r="AB640" i="1" s="1"/>
  <c r="AB641" i="1" s="1"/>
  <c r="AB642" i="1" s="1"/>
  <c r="AB643" i="1" s="1"/>
  <c r="AB644" i="1" s="1"/>
  <c r="AB645" i="1" s="1"/>
  <c r="AB646" i="1" s="1"/>
  <c r="AB647" i="1" s="1"/>
  <c r="AB648" i="1" s="1"/>
  <c r="AB649" i="1" s="1"/>
  <c r="AB650" i="1" s="1"/>
  <c r="AB651" i="1" s="1"/>
  <c r="AB652" i="1" s="1"/>
  <c r="AB653" i="1" s="1"/>
  <c r="AB654" i="1" s="1"/>
  <c r="AB655" i="1" s="1"/>
  <c r="AB656" i="1" s="1"/>
  <c r="AB657" i="1" s="1"/>
  <c r="AB658" i="1" s="1"/>
  <c r="AB659" i="1" s="1"/>
  <c r="AB660" i="1" s="1"/>
  <c r="AB661" i="1" s="1"/>
  <c r="AB662" i="1" s="1"/>
  <c r="V18" i="1"/>
  <c r="AC18" i="1"/>
  <c r="U18" i="1"/>
  <c r="AD18" i="1"/>
  <c r="T18" i="1"/>
  <c r="V114" i="1"/>
  <c r="AD114" i="1"/>
  <c r="U114" i="1"/>
  <c r="AC114" i="1"/>
  <c r="T114" i="1"/>
  <c r="AI379" i="1"/>
  <c r="AH379" i="1"/>
  <c r="AG379" i="1"/>
  <c r="AG292" i="1"/>
  <c r="AI292" i="1"/>
  <c r="AH292" i="1"/>
  <c r="AG164" i="1"/>
  <c r="AH164" i="1"/>
  <c r="AI164" i="1"/>
  <c r="AH60" i="1"/>
  <c r="AG60" i="1"/>
  <c r="AI60" i="1"/>
  <c r="AI386" i="1"/>
  <c r="AH386" i="1"/>
  <c r="AG386" i="1"/>
  <c r="AH347" i="1"/>
  <c r="AI347" i="1"/>
  <c r="AG347" i="1"/>
  <c r="AG221" i="1"/>
  <c r="AH221" i="1"/>
  <c r="AI221" i="1"/>
  <c r="AG93" i="1"/>
  <c r="AH93" i="1"/>
  <c r="AI93" i="1"/>
  <c r="AG341" i="1"/>
  <c r="AH341" i="1"/>
  <c r="AI341" i="1"/>
  <c r="AI232" i="1"/>
  <c r="AG232" i="1"/>
  <c r="AH232" i="1"/>
  <c r="AI380" i="1"/>
  <c r="AG380" i="1"/>
  <c r="AH380" i="1"/>
  <c r="AG120" i="1"/>
  <c r="AI120" i="1"/>
  <c r="AH120" i="1"/>
  <c r="AG126" i="1"/>
  <c r="AH126" i="1"/>
  <c r="AI126" i="1"/>
  <c r="AI269" i="1"/>
  <c r="AG269" i="1"/>
  <c r="AH269" i="1"/>
  <c r="AH112" i="1"/>
  <c r="AI112" i="1"/>
  <c r="AG112" i="1"/>
  <c r="AG118" i="1"/>
  <c r="AH118" i="1"/>
  <c r="AI118" i="1"/>
  <c r="AI237" i="1"/>
  <c r="AG237" i="1"/>
  <c r="AH237" i="1"/>
  <c r="AH247" i="1"/>
  <c r="AG247" i="1"/>
  <c r="AI247" i="1"/>
  <c r="AI45" i="1"/>
  <c r="AG45" i="1"/>
  <c r="AH45" i="1"/>
  <c r="AH68" i="1"/>
  <c r="AG68" i="1"/>
  <c r="AI68" i="1"/>
  <c r="AG56" i="1"/>
  <c r="AI56" i="1"/>
  <c r="AH56" i="1"/>
  <c r="AI199" i="1"/>
  <c r="AH199" i="1"/>
  <c r="AG199" i="1"/>
  <c r="AI62" i="1"/>
  <c r="AH62" i="1"/>
  <c r="AG62" i="1"/>
  <c r="AI226" i="1"/>
  <c r="AG226" i="1"/>
  <c r="AH226" i="1"/>
  <c r="AG363" i="1"/>
  <c r="AI363" i="1"/>
  <c r="AH363" i="1"/>
  <c r="AH345" i="1"/>
  <c r="AI345" i="1"/>
  <c r="AG345" i="1"/>
  <c r="AH48" i="1"/>
  <c r="AG48" i="1"/>
  <c r="AI48" i="1"/>
  <c r="AG191" i="1"/>
  <c r="AH191" i="1"/>
  <c r="AI191" i="1"/>
  <c r="AG54" i="1"/>
  <c r="AH54" i="1"/>
  <c r="AI54" i="1"/>
  <c r="AG218" i="1"/>
  <c r="AH218" i="1"/>
  <c r="AI218" i="1"/>
  <c r="AI315" i="1"/>
  <c r="AG315" i="1"/>
  <c r="AH315" i="1"/>
  <c r="AI253" i="1"/>
  <c r="AG253" i="1"/>
  <c r="AH253" i="1"/>
  <c r="AG40" i="1"/>
  <c r="AI40" i="1"/>
  <c r="AH40" i="1"/>
  <c r="AI183" i="1"/>
  <c r="AG183" i="1"/>
  <c r="AH183" i="1"/>
  <c r="AH46" i="1"/>
  <c r="AG46" i="1"/>
  <c r="AI46" i="1"/>
  <c r="AG210" i="1"/>
  <c r="AH210" i="1"/>
  <c r="AI210" i="1"/>
  <c r="AI228" i="1"/>
  <c r="AG228" i="1"/>
  <c r="AH228" i="1"/>
  <c r="AI29" i="1"/>
  <c r="AG29" i="1"/>
  <c r="AH29" i="1"/>
  <c r="AH32" i="1"/>
  <c r="AG32" i="1"/>
  <c r="AI32" i="1"/>
  <c r="AI175" i="1"/>
  <c r="AG175" i="1"/>
  <c r="AH175" i="1"/>
  <c r="AH38" i="1"/>
  <c r="AI38" i="1"/>
  <c r="AG38" i="1"/>
  <c r="AH202" i="1"/>
  <c r="AG202" i="1"/>
  <c r="AI202" i="1"/>
  <c r="AI28" i="1"/>
  <c r="AG28" i="1"/>
  <c r="AH28" i="1"/>
  <c r="AG308" i="1"/>
  <c r="AI308" i="1"/>
  <c r="AH308" i="1"/>
  <c r="AG241" i="1"/>
  <c r="AI241" i="1"/>
  <c r="AH241" i="1"/>
  <c r="AH103" i="1"/>
  <c r="AI103" i="1"/>
  <c r="AG103" i="1"/>
  <c r="AH259" i="1"/>
  <c r="AG259" i="1"/>
  <c r="AI259" i="1"/>
  <c r="AG130" i="1"/>
  <c r="AI130" i="1"/>
  <c r="AH130" i="1"/>
  <c r="AI365" i="1"/>
  <c r="AH365" i="1"/>
  <c r="AG365" i="1"/>
  <c r="AI21" i="1"/>
  <c r="AH21" i="1"/>
  <c r="AG21" i="1"/>
  <c r="AI169" i="1"/>
  <c r="AH169" i="1"/>
  <c r="AG169" i="1"/>
  <c r="AI31" i="1"/>
  <c r="AG31" i="1"/>
  <c r="AH31" i="1"/>
  <c r="AH187" i="1"/>
  <c r="AI187" i="1"/>
  <c r="AG187" i="1"/>
  <c r="AH58" i="1"/>
  <c r="AG58" i="1"/>
  <c r="AI58" i="1"/>
  <c r="AI108" i="1"/>
  <c r="AG108" i="1"/>
  <c r="AH108" i="1"/>
  <c r="AI328" i="1"/>
  <c r="AH328" i="1"/>
  <c r="AG328" i="1"/>
  <c r="AI97" i="1"/>
  <c r="AG97" i="1"/>
  <c r="AH97" i="1"/>
  <c r="AG334" i="1"/>
  <c r="AH334" i="1"/>
  <c r="AI334" i="1"/>
  <c r="AI115" i="1"/>
  <c r="AG115" i="1"/>
  <c r="AH115" i="1"/>
  <c r="AI189" i="1"/>
  <c r="AG189" i="1"/>
  <c r="AH189" i="1"/>
  <c r="AI157" i="1"/>
  <c r="AH157" i="1"/>
  <c r="AG157" i="1"/>
  <c r="AG256" i="1"/>
  <c r="AH256" i="1"/>
  <c r="AI256" i="1"/>
  <c r="AI25" i="1"/>
  <c r="AH25" i="1"/>
  <c r="AG25" i="1"/>
  <c r="AH262" i="1"/>
  <c r="AI262" i="1"/>
  <c r="AG262" i="1"/>
  <c r="AI43" i="1"/>
  <c r="AG43" i="1"/>
  <c r="AH43" i="1"/>
  <c r="G36" i="1"/>
  <c r="H36" i="1"/>
  <c r="B36" i="1"/>
  <c r="AD208" i="1"/>
  <c r="V208" i="1"/>
  <c r="AC208" i="1"/>
  <c r="U208" i="1"/>
  <c r="T208" i="1"/>
  <c r="AD84" i="1"/>
  <c r="V84" i="1"/>
  <c r="AC84" i="1"/>
  <c r="T84" i="1"/>
  <c r="U84" i="1"/>
  <c r="AD229" i="1"/>
  <c r="T229" i="1"/>
  <c r="U229" i="1"/>
  <c r="V229" i="1"/>
  <c r="AC229" i="1"/>
  <c r="AD23" i="1"/>
  <c r="T23" i="1"/>
  <c r="V23" i="1"/>
  <c r="U23" i="1"/>
  <c r="AC23" i="1"/>
  <c r="AD205" i="1"/>
  <c r="V205" i="1"/>
  <c r="T205" i="1"/>
  <c r="AC205" i="1"/>
  <c r="U205" i="1"/>
  <c r="U254" i="1"/>
  <c r="V254" i="1"/>
  <c r="T254" i="1"/>
  <c r="AD254" i="1"/>
  <c r="AC254" i="1"/>
  <c r="AD37" i="1"/>
  <c r="V37" i="1"/>
  <c r="AC37" i="1"/>
  <c r="U37" i="1"/>
  <c r="T37" i="1"/>
  <c r="AD21" i="1"/>
  <c r="T21" i="1"/>
  <c r="AC21" i="1"/>
  <c r="V21" i="1"/>
  <c r="U21" i="1"/>
  <c r="AD354" i="1"/>
  <c r="U354" i="1"/>
  <c r="AC354" i="1"/>
  <c r="T354" i="1"/>
  <c r="V354" i="1"/>
  <c r="AD60" i="1"/>
  <c r="T60" i="1"/>
  <c r="U60" i="1"/>
  <c r="AC60" i="1"/>
  <c r="V60" i="1"/>
  <c r="AD242" i="1"/>
  <c r="T242" i="1"/>
  <c r="AC242" i="1"/>
  <c r="V242" i="1"/>
  <c r="U242" i="1"/>
  <c r="AD166" i="1"/>
  <c r="U166" i="1"/>
  <c r="AC166" i="1"/>
  <c r="V166" i="1"/>
  <c r="T166" i="1"/>
  <c r="AD218" i="1"/>
  <c r="T218" i="1"/>
  <c r="U218" i="1"/>
  <c r="AC218" i="1"/>
  <c r="V218" i="1"/>
  <c r="AD387" i="1"/>
  <c r="V387" i="1"/>
  <c r="T387" i="1"/>
  <c r="U387" i="1"/>
  <c r="AC387" i="1"/>
  <c r="AD96" i="1"/>
  <c r="V96" i="1"/>
  <c r="AC96" i="1"/>
  <c r="U96" i="1"/>
  <c r="T96" i="1"/>
  <c r="AD26" i="1"/>
  <c r="U26" i="1"/>
  <c r="V26" i="1"/>
  <c r="AC26" i="1"/>
  <c r="T26" i="1"/>
  <c r="AD142" i="1"/>
  <c r="T142" i="1"/>
  <c r="AC142" i="1"/>
  <c r="V142" i="1"/>
  <c r="U142" i="1"/>
  <c r="AD328" i="1"/>
  <c r="T328" i="1"/>
  <c r="V328" i="1"/>
  <c r="AC328" i="1"/>
  <c r="U328" i="1"/>
  <c r="AD45" i="1"/>
  <c r="V45" i="1"/>
  <c r="AC45" i="1"/>
  <c r="T45" i="1"/>
  <c r="U45" i="1"/>
  <c r="AD300" i="1"/>
  <c r="T300" i="1"/>
  <c r="U300" i="1"/>
  <c r="AC300" i="1"/>
  <c r="V300" i="1"/>
  <c r="AD233" i="1"/>
  <c r="V233" i="1"/>
  <c r="AC233" i="1"/>
  <c r="U233" i="1"/>
  <c r="T233" i="1"/>
  <c r="V219" i="1"/>
  <c r="AD219" i="1"/>
  <c r="U219" i="1"/>
  <c r="T219" i="1"/>
  <c r="AC219" i="1"/>
  <c r="V123" i="1"/>
  <c r="U123" i="1"/>
  <c r="AC123" i="1"/>
  <c r="T123" i="1"/>
  <c r="AD123" i="1"/>
  <c r="V102" i="1"/>
  <c r="U102" i="1"/>
  <c r="AC102" i="1"/>
  <c r="T102" i="1"/>
  <c r="AD102" i="1"/>
  <c r="AD324" i="1"/>
  <c r="T324" i="1"/>
  <c r="AC324" i="1"/>
  <c r="V324" i="1"/>
  <c r="U324" i="1"/>
  <c r="AD246" i="1"/>
  <c r="U246" i="1"/>
  <c r="AC246" i="1"/>
  <c r="V246" i="1"/>
  <c r="T246" i="1"/>
  <c r="AD322" i="1"/>
  <c r="V322" i="1"/>
  <c r="U322" i="1"/>
  <c r="AC322" i="1"/>
  <c r="T322" i="1"/>
  <c r="AD132" i="1"/>
  <c r="V132" i="1"/>
  <c r="AC132" i="1"/>
  <c r="T132" i="1"/>
  <c r="U132" i="1"/>
  <c r="AD54" i="1"/>
  <c r="T54" i="1"/>
  <c r="AC54" i="1"/>
  <c r="V54" i="1"/>
  <c r="U54" i="1"/>
  <c r="AD79" i="1"/>
  <c r="T79" i="1"/>
  <c r="U79" i="1"/>
  <c r="AC79" i="1"/>
  <c r="V79" i="1"/>
  <c r="AD182" i="1"/>
  <c r="T182" i="1"/>
  <c r="AC182" i="1"/>
  <c r="U182" i="1"/>
  <c r="V182" i="1"/>
  <c r="AD35" i="1"/>
  <c r="T35" i="1"/>
  <c r="V35" i="1"/>
  <c r="AC35" i="1"/>
  <c r="U35" i="1"/>
  <c r="AD340" i="1"/>
  <c r="T340" i="1"/>
  <c r="AC340" i="1"/>
  <c r="V340" i="1"/>
  <c r="U340" i="1"/>
  <c r="AD341" i="1"/>
  <c r="U341" i="1"/>
  <c r="AC341" i="1"/>
  <c r="V341" i="1"/>
  <c r="T341" i="1"/>
  <c r="AD51" i="1"/>
  <c r="U51" i="1"/>
  <c r="V51" i="1"/>
  <c r="AC51" i="1"/>
  <c r="T51" i="1"/>
  <c r="AD100" i="1"/>
  <c r="T100" i="1"/>
  <c r="AC100" i="1"/>
  <c r="U100" i="1"/>
  <c r="V100" i="1"/>
  <c r="AD309" i="1"/>
  <c r="U309" i="1"/>
  <c r="AC309" i="1"/>
  <c r="V309" i="1"/>
  <c r="T309" i="1"/>
  <c r="AD169" i="1"/>
  <c r="AC169" i="1"/>
  <c r="U169" i="1"/>
  <c r="V169" i="1"/>
  <c r="T169" i="1"/>
  <c r="AD361" i="1"/>
  <c r="U361" i="1"/>
  <c r="AC361" i="1"/>
  <c r="V361" i="1"/>
  <c r="T361" i="1"/>
  <c r="AD143" i="1"/>
  <c r="U143" i="1"/>
  <c r="AC143" i="1"/>
  <c r="V143" i="1"/>
  <c r="T143" i="1"/>
  <c r="AD156" i="1"/>
  <c r="V156" i="1"/>
  <c r="U156" i="1"/>
  <c r="T156" i="1"/>
  <c r="AC156" i="1"/>
  <c r="AD46" i="1"/>
  <c r="U46" i="1"/>
  <c r="AC46" i="1"/>
  <c r="T46" i="1"/>
  <c r="V46" i="1"/>
  <c r="AD106" i="1"/>
  <c r="V106" i="1"/>
  <c r="AC106" i="1"/>
  <c r="U106" i="1"/>
  <c r="T106" i="1"/>
  <c r="AD258" i="1"/>
  <c r="T258" i="1"/>
  <c r="AC258" i="1"/>
  <c r="V258" i="1"/>
  <c r="U258" i="1"/>
  <c r="AD207" i="1"/>
  <c r="U207" i="1"/>
  <c r="AC207" i="1"/>
  <c r="V207" i="1"/>
  <c r="T207" i="1"/>
  <c r="T299" i="1"/>
  <c r="U299" i="1"/>
  <c r="AD299" i="1"/>
  <c r="AC299" i="1"/>
  <c r="V299" i="1"/>
  <c r="V281" i="1"/>
  <c r="AD281" i="1"/>
  <c r="U281" i="1"/>
  <c r="T281" i="1"/>
  <c r="AC281" i="1"/>
  <c r="AI395" i="1"/>
  <c r="AH395" i="1"/>
  <c r="AG395" i="1"/>
  <c r="AG296" i="1"/>
  <c r="AH296" i="1"/>
  <c r="AI296" i="1"/>
  <c r="AG92" i="1"/>
  <c r="AH92" i="1"/>
  <c r="AI92" i="1"/>
  <c r="AH353" i="1"/>
  <c r="AI353" i="1"/>
  <c r="AG353" i="1"/>
  <c r="AI109" i="1"/>
  <c r="AH109" i="1"/>
  <c r="AG109" i="1"/>
  <c r="AH388" i="1"/>
  <c r="AG388" i="1"/>
  <c r="AI388" i="1"/>
  <c r="AI61" i="1"/>
  <c r="AG61" i="1"/>
  <c r="AH61" i="1"/>
  <c r="AH383" i="1"/>
  <c r="AI383" i="1"/>
  <c r="AG383" i="1"/>
  <c r="AG375" i="1"/>
  <c r="AH375" i="1"/>
  <c r="AI375" i="1"/>
  <c r="AG184" i="1"/>
  <c r="AH184" i="1"/>
  <c r="AI184" i="1"/>
  <c r="AI125" i="1"/>
  <c r="AG125" i="1"/>
  <c r="AH125" i="1"/>
  <c r="AH372" i="1"/>
  <c r="AI372" i="1"/>
  <c r="AG372" i="1"/>
  <c r="AG291" i="1"/>
  <c r="AH291" i="1"/>
  <c r="AI291" i="1"/>
  <c r="AI356" i="1"/>
  <c r="AH356" i="1"/>
  <c r="AG356" i="1"/>
  <c r="AG283" i="1"/>
  <c r="AH283" i="1"/>
  <c r="AI283" i="1"/>
  <c r="AG309" i="1"/>
  <c r="AH309" i="1"/>
  <c r="AI309" i="1"/>
  <c r="AG340" i="1"/>
  <c r="AH340" i="1"/>
  <c r="AI340" i="1"/>
  <c r="AG257" i="1"/>
  <c r="AI257" i="1"/>
  <c r="AH257" i="1"/>
  <c r="AG275" i="1"/>
  <c r="AI275" i="1"/>
  <c r="AH275" i="1"/>
  <c r="AI146" i="1"/>
  <c r="AG146" i="1"/>
  <c r="AH146" i="1"/>
  <c r="AG188" i="1"/>
  <c r="AI188" i="1"/>
  <c r="AH188" i="1"/>
  <c r="AH324" i="1"/>
  <c r="AI324" i="1"/>
  <c r="AG324" i="1"/>
  <c r="AH249" i="1"/>
  <c r="AI249" i="1"/>
  <c r="AG249" i="1"/>
  <c r="AI111" i="1"/>
  <c r="AG111" i="1"/>
  <c r="AH111" i="1"/>
  <c r="AH267" i="1"/>
  <c r="AI267" i="1"/>
  <c r="AG267" i="1"/>
  <c r="AG138" i="1"/>
  <c r="AH138" i="1"/>
  <c r="AI138" i="1"/>
  <c r="AG84" i="1"/>
  <c r="AH84" i="1"/>
  <c r="AI84" i="1"/>
  <c r="AG53" i="1"/>
  <c r="AH53" i="1"/>
  <c r="AI53" i="1"/>
  <c r="AI177" i="1"/>
  <c r="AG177" i="1"/>
  <c r="AH177" i="1"/>
  <c r="AI39" i="1"/>
  <c r="AG39" i="1"/>
  <c r="AH39" i="1"/>
  <c r="AH195" i="1"/>
  <c r="AI195" i="1"/>
  <c r="AG195" i="1"/>
  <c r="AH66" i="1"/>
  <c r="AG66" i="1"/>
  <c r="AI66" i="1"/>
  <c r="AG140" i="1"/>
  <c r="AH140" i="1"/>
  <c r="AI140" i="1"/>
  <c r="AH336" i="1"/>
  <c r="AI336" i="1"/>
  <c r="AG336" i="1"/>
  <c r="AI105" i="1"/>
  <c r="AH105" i="1"/>
  <c r="AG105" i="1"/>
  <c r="AH342" i="1"/>
  <c r="AI342" i="1"/>
  <c r="AG342" i="1"/>
  <c r="AI123" i="1"/>
  <c r="AG123" i="1"/>
  <c r="AH123" i="1"/>
  <c r="AG329" i="1"/>
  <c r="AH329" i="1"/>
  <c r="AI329" i="1"/>
  <c r="AH285" i="1"/>
  <c r="AG285" i="1"/>
  <c r="AI285" i="1"/>
  <c r="AH264" i="1"/>
  <c r="AI264" i="1"/>
  <c r="AG264" i="1"/>
  <c r="AG33" i="1"/>
  <c r="AH33" i="1"/>
  <c r="AI33" i="1"/>
  <c r="AG270" i="1"/>
  <c r="AH270" i="1"/>
  <c r="AI270" i="1"/>
  <c r="AG51" i="1"/>
  <c r="AH51" i="1"/>
  <c r="AI51" i="1"/>
  <c r="AG276" i="1"/>
  <c r="AI276" i="1"/>
  <c r="AH276" i="1"/>
  <c r="AI349" i="1"/>
  <c r="AH349" i="1"/>
  <c r="AG349" i="1"/>
  <c r="AH192" i="1"/>
  <c r="AI192" i="1"/>
  <c r="AG192" i="1"/>
  <c r="AH335" i="1"/>
  <c r="AG335" i="1"/>
  <c r="AI335" i="1"/>
  <c r="AG198" i="1"/>
  <c r="AH198" i="1"/>
  <c r="AI198" i="1"/>
  <c r="AI362" i="1"/>
  <c r="AG362" i="1"/>
  <c r="AH362" i="1"/>
  <c r="AD344" i="1"/>
  <c r="V344" i="1"/>
  <c r="AC344" i="1"/>
  <c r="T344" i="1"/>
  <c r="U344" i="1"/>
  <c r="AD189" i="1"/>
  <c r="T189" i="1"/>
  <c r="AC189" i="1"/>
  <c r="U189" i="1"/>
  <c r="V189" i="1"/>
  <c r="AD256" i="1"/>
  <c r="V256" i="1"/>
  <c r="AC256" i="1"/>
  <c r="T256" i="1"/>
  <c r="U256" i="1"/>
  <c r="AD147" i="1"/>
  <c r="T147" i="1"/>
  <c r="U147" i="1"/>
  <c r="V147" i="1"/>
  <c r="AC147" i="1"/>
  <c r="AD65" i="1"/>
  <c r="V65" i="1"/>
  <c r="T65" i="1"/>
  <c r="U65" i="1"/>
  <c r="AC65" i="1"/>
  <c r="AD289" i="1"/>
  <c r="V289" i="1"/>
  <c r="U289" i="1"/>
  <c r="T289" i="1"/>
  <c r="AC289" i="1"/>
  <c r="AD185" i="1"/>
  <c r="U185" i="1"/>
  <c r="V185" i="1"/>
  <c r="T185" i="1"/>
  <c r="AC185" i="1"/>
  <c r="AD194" i="1"/>
  <c r="U194" i="1"/>
  <c r="T194" i="1"/>
  <c r="AC194" i="1"/>
  <c r="V194" i="1"/>
  <c r="AD302" i="1"/>
  <c r="T302" i="1"/>
  <c r="AC302" i="1"/>
  <c r="U302" i="1"/>
  <c r="V302" i="1"/>
  <c r="AD126" i="1"/>
  <c r="U126" i="1"/>
  <c r="AC126" i="1"/>
  <c r="V126" i="1"/>
  <c r="T126" i="1"/>
  <c r="AD234" i="1"/>
  <c r="V234" i="1"/>
  <c r="T234" i="1"/>
  <c r="AC234" i="1"/>
  <c r="U234" i="1"/>
  <c r="AD188" i="1"/>
  <c r="T188" i="1"/>
  <c r="AC188" i="1"/>
  <c r="V188" i="1"/>
  <c r="U188" i="1"/>
  <c r="AD332" i="1"/>
  <c r="U332" i="1"/>
  <c r="AC332" i="1"/>
  <c r="V332" i="1"/>
  <c r="T332" i="1"/>
  <c r="AD120" i="1"/>
  <c r="U120" i="1"/>
  <c r="V120" i="1"/>
  <c r="T120" i="1"/>
  <c r="AC120" i="1"/>
  <c r="AD374" i="1"/>
  <c r="T374" i="1"/>
  <c r="U374" i="1"/>
  <c r="AC374" i="1"/>
  <c r="V374" i="1"/>
  <c r="AD140" i="1"/>
  <c r="T140" i="1"/>
  <c r="AC140" i="1"/>
  <c r="U140" i="1"/>
  <c r="V140" i="1"/>
  <c r="AD298" i="1"/>
  <c r="T298" i="1"/>
  <c r="AC298" i="1"/>
  <c r="U298" i="1"/>
  <c r="V298" i="1"/>
  <c r="AD199" i="1"/>
  <c r="T199" i="1"/>
  <c r="AC199" i="1"/>
  <c r="U199" i="1"/>
  <c r="V199" i="1"/>
  <c r="AD278" i="1"/>
  <c r="U278" i="1"/>
  <c r="AC278" i="1"/>
  <c r="V278" i="1"/>
  <c r="T278" i="1"/>
  <c r="AD257" i="1"/>
  <c r="V257" i="1"/>
  <c r="U257" i="1"/>
  <c r="AC257" i="1"/>
  <c r="T257" i="1"/>
  <c r="AD245" i="1"/>
  <c r="V245" i="1"/>
  <c r="AC245" i="1"/>
  <c r="T245" i="1"/>
  <c r="U245" i="1"/>
  <c r="AD86" i="1"/>
  <c r="T86" i="1"/>
  <c r="V86" i="1"/>
  <c r="U86" i="1"/>
  <c r="AC86" i="1"/>
  <c r="T62" i="1"/>
  <c r="AD62" i="1"/>
  <c r="U62" i="1"/>
  <c r="V62" i="1"/>
  <c r="AC62" i="1"/>
  <c r="V89" i="1"/>
  <c r="AD89" i="1"/>
  <c r="U89" i="1"/>
  <c r="T89" i="1"/>
  <c r="AC89" i="1"/>
  <c r="AD58" i="1"/>
  <c r="V58" i="1"/>
  <c r="AC58" i="1"/>
  <c r="U58" i="1"/>
  <c r="T58" i="1"/>
  <c r="AD336" i="1"/>
  <c r="T336" i="1"/>
  <c r="AC336" i="1"/>
  <c r="U336" i="1"/>
  <c r="V336" i="1"/>
  <c r="AD111" i="1"/>
  <c r="U111" i="1"/>
  <c r="AC111" i="1"/>
  <c r="T111" i="1"/>
  <c r="V111" i="1"/>
  <c r="AD255" i="1"/>
  <c r="V255" i="1"/>
  <c r="AC255" i="1"/>
  <c r="T255" i="1"/>
  <c r="U255" i="1"/>
  <c r="AD97" i="1"/>
  <c r="T97" i="1"/>
  <c r="AC97" i="1"/>
  <c r="U97" i="1"/>
  <c r="V97" i="1"/>
  <c r="AD187" i="1"/>
  <c r="T187" i="1"/>
  <c r="U187" i="1"/>
  <c r="AC187" i="1"/>
  <c r="V187" i="1"/>
  <c r="AD57" i="1"/>
  <c r="T57" i="1"/>
  <c r="U57" i="1"/>
  <c r="AC57" i="1"/>
  <c r="V57" i="1"/>
  <c r="AD32" i="1"/>
  <c r="U32" i="1"/>
  <c r="AC32" i="1"/>
  <c r="T32" i="1"/>
  <c r="V32" i="1"/>
  <c r="AD165" i="1"/>
  <c r="U165" i="1"/>
  <c r="AC165" i="1"/>
  <c r="T165" i="1"/>
  <c r="V165" i="1"/>
  <c r="AD378" i="1"/>
  <c r="T378" i="1"/>
  <c r="AC378" i="1"/>
  <c r="U378" i="1"/>
  <c r="V378" i="1"/>
  <c r="AD348" i="1"/>
  <c r="V348" i="1"/>
  <c r="AC348" i="1"/>
  <c r="U348" i="1"/>
  <c r="T348" i="1"/>
  <c r="AD287" i="1"/>
  <c r="V287" i="1"/>
  <c r="AC287" i="1"/>
  <c r="U287" i="1"/>
  <c r="T287" i="1"/>
  <c r="AD308" i="1"/>
  <c r="T308" i="1"/>
  <c r="AC308" i="1"/>
  <c r="U308" i="1"/>
  <c r="V308" i="1"/>
  <c r="AD117" i="1"/>
  <c r="T117" i="1"/>
  <c r="AC117" i="1"/>
  <c r="V117" i="1"/>
  <c r="U117" i="1"/>
  <c r="AD183" i="1"/>
  <c r="AC183" i="1"/>
  <c r="V183" i="1"/>
  <c r="T183" i="1"/>
  <c r="U183" i="1"/>
  <c r="AD190" i="1"/>
  <c r="AC190" i="1"/>
  <c r="T190" i="1"/>
  <c r="V190" i="1"/>
  <c r="U190" i="1"/>
  <c r="AD200" i="1"/>
  <c r="AC200" i="1"/>
  <c r="U200" i="1"/>
  <c r="T200" i="1"/>
  <c r="V200" i="1"/>
  <c r="AD146" i="1"/>
  <c r="T146" i="1"/>
  <c r="AC146" i="1"/>
  <c r="U146" i="1"/>
  <c r="V146" i="1"/>
  <c r="AD386" i="1"/>
  <c r="U386" i="1"/>
  <c r="AC386" i="1"/>
  <c r="T386" i="1"/>
  <c r="V386" i="1"/>
  <c r="AD47" i="1"/>
  <c r="V47" i="1"/>
  <c r="AC47" i="1"/>
  <c r="U47" i="1"/>
  <c r="T47" i="1"/>
  <c r="AD320" i="1"/>
  <c r="V320" i="1"/>
  <c r="AC320" i="1"/>
  <c r="U320" i="1"/>
  <c r="T320" i="1"/>
  <c r="U90" i="1"/>
  <c r="V90" i="1"/>
  <c r="AD90" i="1"/>
  <c r="AC90" i="1"/>
  <c r="T90" i="1"/>
  <c r="T121" i="1"/>
  <c r="V121" i="1"/>
  <c r="AC121" i="1"/>
  <c r="U121" i="1"/>
  <c r="AD121" i="1"/>
  <c r="AI81" i="1"/>
  <c r="AG81" i="1"/>
  <c r="AH81" i="1"/>
  <c r="AG310" i="1"/>
  <c r="AH310" i="1"/>
  <c r="AI310" i="1"/>
  <c r="AG196" i="1"/>
  <c r="AH196" i="1"/>
  <c r="AI196" i="1"/>
  <c r="AH294" i="1"/>
  <c r="AI294" i="1"/>
  <c r="AG294" i="1"/>
  <c r="AG293" i="1"/>
  <c r="AH293" i="1"/>
  <c r="AI293" i="1"/>
  <c r="AG215" i="1"/>
  <c r="AH215" i="1"/>
  <c r="AI215" i="1"/>
  <c r="AG281" i="1"/>
  <c r="AH281" i="1"/>
  <c r="AI281" i="1"/>
  <c r="AI248" i="1"/>
  <c r="AG248" i="1"/>
  <c r="AH248" i="1"/>
  <c r="AG246" i="1"/>
  <c r="AH246" i="1"/>
  <c r="AI246" i="1"/>
  <c r="AI220" i="1"/>
  <c r="AG220" i="1"/>
  <c r="AH220" i="1"/>
  <c r="AI301" i="1"/>
  <c r="AH301" i="1"/>
  <c r="AG301" i="1"/>
  <c r="AG273" i="1"/>
  <c r="AI273" i="1"/>
  <c r="AH273" i="1"/>
  <c r="AI162" i="1"/>
  <c r="AH162" i="1"/>
  <c r="AG162" i="1"/>
  <c r="AG265" i="1"/>
  <c r="AH265" i="1"/>
  <c r="AI265" i="1"/>
  <c r="AH154" i="1"/>
  <c r="AI154" i="1"/>
  <c r="AG154" i="1"/>
  <c r="AH119" i="1"/>
  <c r="AI119" i="1"/>
  <c r="AG119" i="1"/>
  <c r="AI305" i="1"/>
  <c r="AG305" i="1"/>
  <c r="AH305" i="1"/>
  <c r="AI181" i="1"/>
  <c r="AG181" i="1"/>
  <c r="AH181" i="1"/>
  <c r="AI209" i="1"/>
  <c r="AG209" i="1"/>
  <c r="AH209" i="1"/>
  <c r="AI71" i="1"/>
  <c r="AG71" i="1"/>
  <c r="AH71" i="1"/>
  <c r="AG227" i="1"/>
  <c r="AH227" i="1"/>
  <c r="AI227" i="1"/>
  <c r="AI98" i="1"/>
  <c r="AH98" i="1"/>
  <c r="AG98" i="1"/>
  <c r="AG244" i="1"/>
  <c r="AH244" i="1"/>
  <c r="AI244" i="1"/>
  <c r="AH149" i="1"/>
  <c r="AI149" i="1"/>
  <c r="AG149" i="1"/>
  <c r="AG201" i="1"/>
  <c r="AH201" i="1"/>
  <c r="AI201" i="1"/>
  <c r="AI63" i="1"/>
  <c r="AG63" i="1"/>
  <c r="AH63" i="1"/>
  <c r="AG219" i="1"/>
  <c r="AH219" i="1"/>
  <c r="AI219" i="1"/>
  <c r="AG90" i="1"/>
  <c r="AI90" i="1"/>
  <c r="AH90" i="1"/>
  <c r="AI180" i="1"/>
  <c r="AG180" i="1"/>
  <c r="AH180" i="1"/>
  <c r="AI117" i="1"/>
  <c r="AG117" i="1"/>
  <c r="AH117" i="1"/>
  <c r="AI193" i="1"/>
  <c r="AG193" i="1"/>
  <c r="AH193" i="1"/>
  <c r="AI55" i="1"/>
  <c r="AG55" i="1"/>
  <c r="AH55" i="1"/>
  <c r="AG211" i="1"/>
  <c r="AH211" i="1"/>
  <c r="AI211" i="1"/>
  <c r="AG82" i="1"/>
  <c r="AH82" i="1"/>
  <c r="AI82" i="1"/>
  <c r="AH148" i="1"/>
  <c r="AG148" i="1"/>
  <c r="AI148" i="1"/>
  <c r="AI85" i="1"/>
  <c r="AG85" i="1"/>
  <c r="AH85" i="1"/>
  <c r="AH185" i="1"/>
  <c r="AG185" i="1"/>
  <c r="AI185" i="1"/>
  <c r="AI47" i="1"/>
  <c r="AH47" i="1"/>
  <c r="AG47" i="1"/>
  <c r="AG203" i="1"/>
  <c r="AH203" i="1"/>
  <c r="AI203" i="1"/>
  <c r="AH74" i="1"/>
  <c r="AG74" i="1"/>
  <c r="AI74" i="1"/>
  <c r="AH172" i="1"/>
  <c r="AI172" i="1"/>
  <c r="AG172" i="1"/>
  <c r="AI344" i="1"/>
  <c r="AG344" i="1"/>
  <c r="AH344" i="1"/>
  <c r="AI113" i="1"/>
  <c r="AH113" i="1"/>
  <c r="AG113" i="1"/>
  <c r="AG350" i="1"/>
  <c r="AH350" i="1"/>
  <c r="AI350" i="1"/>
  <c r="AI131" i="1"/>
  <c r="AG131" i="1"/>
  <c r="AH131" i="1"/>
  <c r="AG393" i="1"/>
  <c r="AI393" i="1"/>
  <c r="AH393" i="1"/>
  <c r="AG361" i="1"/>
  <c r="AH361" i="1"/>
  <c r="AI361" i="1"/>
  <c r="AH272" i="1"/>
  <c r="AI272" i="1"/>
  <c r="AG272" i="1"/>
  <c r="AI41" i="1"/>
  <c r="AH41" i="1"/>
  <c r="AG41" i="1"/>
  <c r="AH278" i="1"/>
  <c r="AG278" i="1"/>
  <c r="AI278" i="1"/>
  <c r="AI59" i="1"/>
  <c r="AH59" i="1"/>
  <c r="AG59" i="1"/>
  <c r="AG323" i="1"/>
  <c r="AI323" i="1"/>
  <c r="AH323" i="1"/>
  <c r="AG381" i="1"/>
  <c r="AH381" i="1"/>
  <c r="AI381" i="1"/>
  <c r="AG200" i="1"/>
  <c r="AI200" i="1"/>
  <c r="AH200" i="1"/>
  <c r="AH343" i="1"/>
  <c r="AI343" i="1"/>
  <c r="AG343" i="1"/>
  <c r="AH206" i="1"/>
  <c r="AG206" i="1"/>
  <c r="AI206" i="1"/>
  <c r="AI370" i="1"/>
  <c r="AG370" i="1"/>
  <c r="AH370" i="1"/>
  <c r="AG321" i="1"/>
  <c r="AI321" i="1"/>
  <c r="AH321" i="1"/>
  <c r="AG229" i="1"/>
  <c r="AH229" i="1"/>
  <c r="AI229" i="1"/>
  <c r="AH128" i="1"/>
  <c r="AI128" i="1"/>
  <c r="AG128" i="1"/>
  <c r="AG271" i="1"/>
  <c r="AH271" i="1"/>
  <c r="AI271" i="1"/>
  <c r="AH134" i="1"/>
  <c r="AG134" i="1"/>
  <c r="AI134" i="1"/>
  <c r="AI298" i="1"/>
  <c r="AH298" i="1"/>
  <c r="AG298" i="1"/>
  <c r="AD244" i="1"/>
  <c r="T244" i="1"/>
  <c r="V244" i="1"/>
  <c r="AC244" i="1"/>
  <c r="U244" i="1"/>
  <c r="AD105" i="1"/>
  <c r="U105" i="1"/>
  <c r="V105" i="1"/>
  <c r="AC105" i="1"/>
  <c r="T105" i="1"/>
  <c r="AD356" i="1"/>
  <c r="T356" i="1"/>
  <c r="AC356" i="1"/>
  <c r="U356" i="1"/>
  <c r="V356" i="1"/>
  <c r="AD153" i="1"/>
  <c r="T153" i="1"/>
  <c r="AC153" i="1"/>
  <c r="U153" i="1"/>
  <c r="V153" i="1"/>
  <c r="AD53" i="1"/>
  <c r="T53" i="1"/>
  <c r="U53" i="1"/>
  <c r="AC53" i="1"/>
  <c r="V53" i="1"/>
  <c r="AD288" i="1"/>
  <c r="V288" i="1"/>
  <c r="AC288" i="1"/>
  <c r="U288" i="1"/>
  <c r="T288" i="1"/>
  <c r="AD61" i="1"/>
  <c r="V61" i="1"/>
  <c r="AC61" i="1"/>
  <c r="T61" i="1"/>
  <c r="U61" i="1"/>
  <c r="AD326" i="1"/>
  <c r="V326" i="1"/>
  <c r="U326" i="1"/>
  <c r="T326" i="1"/>
  <c r="AC326" i="1"/>
  <c r="AD83" i="1"/>
  <c r="V83" i="1"/>
  <c r="U83" i="1"/>
  <c r="AC83" i="1"/>
  <c r="T83" i="1"/>
  <c r="AD227" i="1"/>
  <c r="V227" i="1"/>
  <c r="U227" i="1"/>
  <c r="AC227" i="1"/>
  <c r="T227" i="1"/>
  <c r="AD112" i="1"/>
  <c r="U112" i="1"/>
  <c r="V112" i="1"/>
  <c r="T112" i="1"/>
  <c r="AC112" i="1"/>
  <c r="AD222" i="1"/>
  <c r="V222" i="1"/>
  <c r="U222" i="1"/>
  <c r="AC222" i="1"/>
  <c r="T222" i="1"/>
  <c r="AD130" i="1"/>
  <c r="V130" i="1"/>
  <c r="AC130" i="1"/>
  <c r="U130" i="1"/>
  <c r="T130" i="1"/>
  <c r="AD55" i="1"/>
  <c r="AC55" i="1"/>
  <c r="V55" i="1"/>
  <c r="U55" i="1"/>
  <c r="T55" i="1"/>
  <c r="AD294" i="1"/>
  <c r="V294" i="1"/>
  <c r="AC294" i="1"/>
  <c r="U294" i="1"/>
  <c r="T294" i="1"/>
  <c r="AD346" i="1"/>
  <c r="T346" i="1"/>
  <c r="AC346" i="1"/>
  <c r="V346" i="1"/>
  <c r="U346" i="1"/>
  <c r="AD318" i="1"/>
  <c r="V318" i="1"/>
  <c r="AC318" i="1"/>
  <c r="U318" i="1"/>
  <c r="T318" i="1"/>
  <c r="AD347" i="1"/>
  <c r="U347" i="1"/>
  <c r="AC347" i="1"/>
  <c r="V347" i="1"/>
  <c r="T347" i="1"/>
  <c r="AD323" i="1"/>
  <c r="V323" i="1"/>
  <c r="T323" i="1"/>
  <c r="U323" i="1"/>
  <c r="AC323" i="1"/>
  <c r="AD192" i="1"/>
  <c r="AC192" i="1"/>
  <c r="T192" i="1"/>
  <c r="V192" i="1"/>
  <c r="U192" i="1"/>
  <c r="AD107" i="1"/>
  <c r="T107" i="1"/>
  <c r="AC107" i="1"/>
  <c r="U107" i="1"/>
  <c r="V107" i="1"/>
  <c r="AD131" i="1"/>
  <c r="U131" i="1"/>
  <c r="V131" i="1"/>
  <c r="AC131" i="1"/>
  <c r="T131" i="1"/>
  <c r="AD145" i="1"/>
  <c r="T145" i="1"/>
  <c r="U145" i="1"/>
  <c r="AC145" i="1"/>
  <c r="V145" i="1"/>
  <c r="AD260" i="1"/>
  <c r="T260" i="1"/>
  <c r="AC260" i="1"/>
  <c r="V260" i="1"/>
  <c r="U260" i="1"/>
  <c r="AD236" i="1"/>
  <c r="V236" i="1"/>
  <c r="U236" i="1"/>
  <c r="AC236" i="1"/>
  <c r="T236" i="1"/>
  <c r="AD338" i="1"/>
  <c r="AC338" i="1"/>
  <c r="U338" i="1"/>
  <c r="V338" i="1"/>
  <c r="T338" i="1"/>
  <c r="AD304" i="1"/>
  <c r="U304" i="1"/>
  <c r="V304" i="1"/>
  <c r="AC304" i="1"/>
  <c r="T304" i="1"/>
  <c r="AD44" i="1"/>
  <c r="U44" i="1"/>
  <c r="AC44" i="1"/>
  <c r="T44" i="1"/>
  <c r="V44" i="1"/>
  <c r="AD225" i="1"/>
  <c r="V225" i="1"/>
  <c r="AC225" i="1"/>
  <c r="T225" i="1"/>
  <c r="U225" i="1"/>
  <c r="AD118" i="1"/>
  <c r="V118" i="1"/>
  <c r="U118" i="1"/>
  <c r="T118" i="1"/>
  <c r="AC118" i="1"/>
  <c r="AD296" i="1"/>
  <c r="T296" i="1"/>
  <c r="U296" i="1"/>
  <c r="AC296" i="1"/>
  <c r="V296" i="1"/>
  <c r="AD285" i="1"/>
  <c r="V285" i="1"/>
  <c r="AC285" i="1"/>
  <c r="T285" i="1"/>
  <c r="U285" i="1"/>
  <c r="AD389" i="1"/>
  <c r="T389" i="1"/>
  <c r="AC389" i="1"/>
  <c r="V389" i="1"/>
  <c r="U389" i="1"/>
  <c r="AD204" i="1"/>
  <c r="V204" i="1"/>
  <c r="AC204" i="1"/>
  <c r="U204" i="1"/>
  <c r="T204" i="1"/>
  <c r="AD115" i="1"/>
  <c r="T115" i="1"/>
  <c r="AC115" i="1"/>
  <c r="V115" i="1"/>
  <c r="U115" i="1"/>
  <c r="AD158" i="1"/>
  <c r="U158" i="1"/>
  <c r="AC158" i="1"/>
  <c r="V158" i="1"/>
  <c r="T158" i="1"/>
  <c r="AD276" i="1"/>
  <c r="U276" i="1"/>
  <c r="AC276" i="1"/>
  <c r="V276" i="1"/>
  <c r="T276" i="1"/>
  <c r="AD267" i="1"/>
  <c r="U267" i="1"/>
  <c r="AC267" i="1"/>
  <c r="T267" i="1"/>
  <c r="V267" i="1"/>
  <c r="AD237" i="1"/>
  <c r="T237" i="1"/>
  <c r="V237" i="1"/>
  <c r="AC237" i="1"/>
  <c r="U237" i="1"/>
  <c r="AD94" i="1"/>
  <c r="T94" i="1"/>
  <c r="AC94" i="1"/>
  <c r="V94" i="1"/>
  <c r="U94" i="1"/>
  <c r="AD306" i="1"/>
  <c r="T306" i="1"/>
  <c r="AC306" i="1"/>
  <c r="V306" i="1"/>
  <c r="U306" i="1"/>
  <c r="AD266" i="1"/>
  <c r="AC266" i="1"/>
  <c r="T266" i="1"/>
  <c r="U266" i="1"/>
  <c r="V266" i="1"/>
  <c r="AD136" i="1"/>
  <c r="V136" i="1"/>
  <c r="AC136" i="1"/>
  <c r="T136" i="1"/>
  <c r="U136" i="1"/>
  <c r="AD33" i="1"/>
  <c r="U33" i="1"/>
  <c r="T33" i="1"/>
  <c r="AC33" i="1"/>
  <c r="V33" i="1"/>
  <c r="AD69" i="1"/>
  <c r="T69" i="1"/>
  <c r="AC69" i="1"/>
  <c r="V69" i="1"/>
  <c r="U69" i="1"/>
  <c r="T177" i="1"/>
  <c r="U177" i="1"/>
  <c r="V177" i="1"/>
  <c r="AD177" i="1"/>
  <c r="AC177" i="1"/>
  <c r="V329" i="1"/>
  <c r="AD329" i="1"/>
  <c r="U329" i="1"/>
  <c r="AC329" i="1"/>
  <c r="T329" i="1"/>
  <c r="AH44" i="1"/>
  <c r="AG44" i="1"/>
  <c r="AI44" i="1"/>
  <c r="AI91" i="1"/>
  <c r="AG91" i="1"/>
  <c r="AH91" i="1"/>
  <c r="AH302" i="1"/>
  <c r="AI302" i="1"/>
  <c r="AG302" i="1"/>
  <c r="AI75" i="1"/>
  <c r="AG75" i="1"/>
  <c r="AH75" i="1"/>
  <c r="AH144" i="1"/>
  <c r="AI144" i="1"/>
  <c r="AG144" i="1"/>
  <c r="AH72" i="1"/>
  <c r="AG72" i="1"/>
  <c r="AI72" i="1"/>
  <c r="AI143" i="1"/>
  <c r="AG143" i="1"/>
  <c r="AH143" i="1"/>
  <c r="AG391" i="1"/>
  <c r="AH391" i="1"/>
  <c r="AI391" i="1"/>
  <c r="AG240" i="1"/>
  <c r="AH240" i="1"/>
  <c r="AI240" i="1"/>
  <c r="AG238" i="1"/>
  <c r="AH238" i="1"/>
  <c r="AI238" i="1"/>
  <c r="AG197" i="1"/>
  <c r="AH197" i="1"/>
  <c r="AI197" i="1"/>
  <c r="AI135" i="1"/>
  <c r="AG135" i="1"/>
  <c r="AH135" i="1"/>
  <c r="AG373" i="1"/>
  <c r="AI373" i="1"/>
  <c r="AH373" i="1"/>
  <c r="AI127" i="1"/>
  <c r="AG127" i="1"/>
  <c r="AH127" i="1"/>
  <c r="AG300" i="1"/>
  <c r="AH300" i="1"/>
  <c r="AI300" i="1"/>
  <c r="AI376" i="1"/>
  <c r="AH376" i="1"/>
  <c r="AG376" i="1"/>
  <c r="AG145" i="1"/>
  <c r="AI145" i="1"/>
  <c r="AH145" i="1"/>
  <c r="AH382" i="1"/>
  <c r="AG382" i="1"/>
  <c r="AI382" i="1"/>
  <c r="AG163" i="1"/>
  <c r="AH163" i="1"/>
  <c r="AI163" i="1"/>
  <c r="AG34" i="1"/>
  <c r="AI34" i="1"/>
  <c r="AH34" i="1"/>
  <c r="AG268" i="1"/>
  <c r="AH268" i="1"/>
  <c r="AI268" i="1"/>
  <c r="AG368" i="1"/>
  <c r="AI368" i="1"/>
  <c r="AH368" i="1"/>
  <c r="AI137" i="1"/>
  <c r="AH137" i="1"/>
  <c r="AG137" i="1"/>
  <c r="AG374" i="1"/>
  <c r="AH374" i="1"/>
  <c r="AI374" i="1"/>
  <c r="AI155" i="1"/>
  <c r="AG155" i="1"/>
  <c r="AH155" i="1"/>
  <c r="AH26" i="1"/>
  <c r="AG26" i="1"/>
  <c r="AI26" i="1"/>
  <c r="AG236" i="1"/>
  <c r="AH236" i="1"/>
  <c r="AI236" i="1"/>
  <c r="AI360" i="1"/>
  <c r="AG360" i="1"/>
  <c r="AH360" i="1"/>
  <c r="AH129" i="1"/>
  <c r="AI129" i="1"/>
  <c r="AG129" i="1"/>
  <c r="AI366" i="1"/>
  <c r="AG366" i="1"/>
  <c r="AH366" i="1"/>
  <c r="AI147" i="1"/>
  <c r="AG147" i="1"/>
  <c r="AH147" i="1"/>
  <c r="AH18" i="1"/>
  <c r="AG18" i="1"/>
  <c r="AI18" i="1"/>
  <c r="AG204" i="1"/>
  <c r="AH204" i="1"/>
  <c r="AI204" i="1"/>
  <c r="AH352" i="1"/>
  <c r="AI352" i="1"/>
  <c r="AG352" i="1"/>
  <c r="AI121" i="1"/>
  <c r="AH121" i="1"/>
  <c r="AG121" i="1"/>
  <c r="AH358" i="1"/>
  <c r="AI358" i="1"/>
  <c r="AG358" i="1"/>
  <c r="AG139" i="1"/>
  <c r="AH139" i="1"/>
  <c r="AI139" i="1"/>
  <c r="AG100" i="1"/>
  <c r="AI100" i="1"/>
  <c r="AH100" i="1"/>
  <c r="AG36" i="1"/>
  <c r="AI36" i="1"/>
  <c r="AH36" i="1"/>
  <c r="AI280" i="1"/>
  <c r="AG280" i="1"/>
  <c r="AH280" i="1"/>
  <c r="AI49" i="1"/>
  <c r="AH49" i="1"/>
  <c r="AG49" i="1"/>
  <c r="AG286" i="1"/>
  <c r="AH286" i="1"/>
  <c r="AI286" i="1"/>
  <c r="AG67" i="1"/>
  <c r="AH67" i="1"/>
  <c r="AI67" i="1"/>
  <c r="AI371" i="1"/>
  <c r="AH371" i="1"/>
  <c r="AG371" i="1"/>
  <c r="AH20" i="1"/>
  <c r="AG20" i="1"/>
  <c r="AI20" i="1"/>
  <c r="AG208" i="1"/>
  <c r="AH208" i="1"/>
  <c r="AI208" i="1"/>
  <c r="AG351" i="1"/>
  <c r="AH351" i="1"/>
  <c r="AI351" i="1"/>
  <c r="AG214" i="1"/>
  <c r="AH214" i="1"/>
  <c r="AI214" i="1"/>
  <c r="AH378" i="1"/>
  <c r="AG378" i="1"/>
  <c r="AI378" i="1"/>
  <c r="AG337" i="1"/>
  <c r="AH337" i="1"/>
  <c r="AI337" i="1"/>
  <c r="AG261" i="1"/>
  <c r="AH261" i="1"/>
  <c r="AI261" i="1"/>
  <c r="AG136" i="1"/>
  <c r="AH136" i="1"/>
  <c r="AI136" i="1"/>
  <c r="AH279" i="1"/>
  <c r="AI279" i="1"/>
  <c r="AG279" i="1"/>
  <c r="AG142" i="1"/>
  <c r="AH142" i="1"/>
  <c r="AI142" i="1"/>
  <c r="AI306" i="1"/>
  <c r="AG306" i="1"/>
  <c r="AH306" i="1"/>
  <c r="AH77" i="1"/>
  <c r="AI77" i="1"/>
  <c r="AG77" i="1"/>
  <c r="AG260" i="1"/>
  <c r="AH260" i="1"/>
  <c r="AI260" i="1"/>
  <c r="AH64" i="1"/>
  <c r="AG64" i="1"/>
  <c r="AI64" i="1"/>
  <c r="AH207" i="1"/>
  <c r="AI207" i="1"/>
  <c r="AG207" i="1"/>
  <c r="AH70" i="1"/>
  <c r="AI70" i="1"/>
  <c r="AG70" i="1"/>
  <c r="AG234" i="1"/>
  <c r="AH234" i="1"/>
  <c r="AI234" i="1"/>
  <c r="AD226" i="1"/>
  <c r="T226" i="1"/>
  <c r="AC226" i="1"/>
  <c r="V226" i="1"/>
  <c r="U226" i="1"/>
  <c r="AD380" i="1"/>
  <c r="U380" i="1"/>
  <c r="V380" i="1"/>
  <c r="AC380" i="1"/>
  <c r="T380" i="1"/>
  <c r="AD168" i="1"/>
  <c r="V168" i="1"/>
  <c r="T168" i="1"/>
  <c r="AC168" i="1"/>
  <c r="U168" i="1"/>
  <c r="AD34" i="1"/>
  <c r="T34" i="1"/>
  <c r="AC34" i="1"/>
  <c r="U34" i="1"/>
  <c r="V34" i="1"/>
  <c r="AD235" i="1"/>
  <c r="V235" i="1"/>
  <c r="U235" i="1"/>
  <c r="AC235" i="1"/>
  <c r="T235" i="1"/>
  <c r="AD43" i="1"/>
  <c r="V43" i="1"/>
  <c r="AC43" i="1"/>
  <c r="U43" i="1"/>
  <c r="T43" i="1"/>
  <c r="AD41" i="1"/>
  <c r="T41" i="1"/>
  <c r="U41" i="1"/>
  <c r="V41" i="1"/>
  <c r="AC41" i="1"/>
  <c r="AD133" i="1"/>
  <c r="T133" i="1"/>
  <c r="AC133" i="1"/>
  <c r="V133" i="1"/>
  <c r="U133" i="1"/>
  <c r="AD249" i="1"/>
  <c r="U249" i="1"/>
  <c r="T249" i="1"/>
  <c r="AC249" i="1"/>
  <c r="V249" i="1"/>
  <c r="AD224" i="1"/>
  <c r="V224" i="1"/>
  <c r="T224" i="1"/>
  <c r="U224" i="1"/>
  <c r="AC224" i="1"/>
  <c r="AD223" i="1"/>
  <c r="U223" i="1"/>
  <c r="T223" i="1"/>
  <c r="V223" i="1"/>
  <c r="AC223" i="1"/>
  <c r="AD268" i="1"/>
  <c r="AC268" i="1"/>
  <c r="T268" i="1"/>
  <c r="V268" i="1"/>
  <c r="U268" i="1"/>
  <c r="AD262" i="1"/>
  <c r="U262" i="1"/>
  <c r="AC262" i="1"/>
  <c r="T262" i="1"/>
  <c r="V262" i="1"/>
  <c r="AD379" i="1"/>
  <c r="U379" i="1"/>
  <c r="AC379" i="1"/>
  <c r="T379" i="1"/>
  <c r="V379" i="1"/>
  <c r="AD167" i="1"/>
  <c r="T167" i="1"/>
  <c r="AC167" i="1"/>
  <c r="V167" i="1"/>
  <c r="U167" i="1"/>
  <c r="AD70" i="1"/>
  <c r="V70" i="1"/>
  <c r="AC70" i="1"/>
  <c r="U70" i="1"/>
  <c r="T70" i="1"/>
  <c r="AD330" i="1"/>
  <c r="T330" i="1"/>
  <c r="AC330" i="1"/>
  <c r="V330" i="1"/>
  <c r="U330" i="1"/>
  <c r="AD214" i="1"/>
  <c r="T214" i="1"/>
  <c r="AC214" i="1"/>
  <c r="U214" i="1"/>
  <c r="V214" i="1"/>
  <c r="AD56" i="1"/>
  <c r="T56" i="1"/>
  <c r="AC56" i="1"/>
  <c r="V56" i="1"/>
  <c r="U56" i="1"/>
  <c r="AD292" i="1"/>
  <c r="T292" i="1"/>
  <c r="AC292" i="1"/>
  <c r="U292" i="1"/>
  <c r="V292" i="1"/>
  <c r="AD307" i="1"/>
  <c r="T307" i="1"/>
  <c r="AC307" i="1"/>
  <c r="V307" i="1"/>
  <c r="U307" i="1"/>
  <c r="T239" i="1"/>
  <c r="U239" i="1"/>
  <c r="AC239" i="1"/>
  <c r="V239" i="1"/>
  <c r="AD239" i="1"/>
  <c r="AD331" i="1"/>
  <c r="U331" i="1"/>
  <c r="V331" i="1"/>
  <c r="AC331" i="1"/>
  <c r="T331" i="1"/>
  <c r="AD383" i="1"/>
  <c r="T383" i="1"/>
  <c r="AC383" i="1"/>
  <c r="U383" i="1"/>
  <c r="V383" i="1"/>
  <c r="AD193" i="1"/>
  <c r="U193" i="1"/>
  <c r="AC193" i="1"/>
  <c r="T193" i="1"/>
  <c r="V193" i="1"/>
  <c r="AD238" i="1"/>
  <c r="V238" i="1"/>
  <c r="U238" i="1"/>
  <c r="AC238" i="1"/>
  <c r="T238" i="1"/>
  <c r="AD392" i="1"/>
  <c r="U392" i="1"/>
  <c r="AC392" i="1"/>
  <c r="V392" i="1"/>
  <c r="T392" i="1"/>
  <c r="AD376" i="1"/>
  <c r="U376" i="1"/>
  <c r="AC376" i="1"/>
  <c r="T376" i="1"/>
  <c r="V376" i="1"/>
  <c r="AD134" i="1"/>
  <c r="V134" i="1"/>
  <c r="AC134" i="1"/>
  <c r="T134" i="1"/>
  <c r="U134" i="1"/>
  <c r="AD161" i="1"/>
  <c r="U161" i="1"/>
  <c r="V161" i="1"/>
  <c r="AC161" i="1"/>
  <c r="T161" i="1"/>
  <c r="AD272" i="1"/>
  <c r="T272" i="1"/>
  <c r="U272" i="1"/>
  <c r="V272" i="1"/>
  <c r="AC272" i="1"/>
  <c r="AD135" i="1"/>
  <c r="T135" i="1"/>
  <c r="AC135" i="1"/>
  <c r="V135" i="1"/>
  <c r="U135" i="1"/>
  <c r="AD314" i="1"/>
  <c r="T314" i="1"/>
  <c r="AC314" i="1"/>
  <c r="U314" i="1"/>
  <c r="V314" i="1"/>
  <c r="AD77" i="1"/>
  <c r="V77" i="1"/>
  <c r="AC77" i="1"/>
  <c r="T77" i="1"/>
  <c r="U77" i="1"/>
  <c r="AD170" i="1"/>
  <c r="T170" i="1"/>
  <c r="AC170" i="1"/>
  <c r="U170" i="1"/>
  <c r="V170" i="1"/>
  <c r="AD181" i="1"/>
  <c r="V181" i="1"/>
  <c r="AC181" i="1"/>
  <c r="U181" i="1"/>
  <c r="T181" i="1"/>
  <c r="AD265" i="1"/>
  <c r="T265" i="1"/>
  <c r="V265" i="1"/>
  <c r="AC265" i="1"/>
  <c r="U265" i="1"/>
  <c r="AD261" i="1"/>
  <c r="AC261" i="1"/>
  <c r="U261" i="1"/>
  <c r="V261" i="1"/>
  <c r="T261" i="1"/>
  <c r="AD95" i="1"/>
  <c r="U95" i="1"/>
  <c r="V95" i="1"/>
  <c r="T95" i="1"/>
  <c r="AC95" i="1"/>
  <c r="AD319" i="1"/>
  <c r="T319" i="1"/>
  <c r="AC319" i="1"/>
  <c r="U319" i="1"/>
  <c r="V319" i="1"/>
  <c r="AD271" i="1"/>
  <c r="U271" i="1"/>
  <c r="AC271" i="1"/>
  <c r="T271" i="1"/>
  <c r="V271" i="1"/>
  <c r="AD42" i="1"/>
  <c r="U42" i="1"/>
  <c r="AC42" i="1"/>
  <c r="V42" i="1"/>
  <c r="T42" i="1"/>
  <c r="AD290" i="1"/>
  <c r="AC290" i="1"/>
  <c r="V290" i="1"/>
  <c r="U290" i="1"/>
  <c r="T290" i="1"/>
  <c r="AD119" i="1"/>
  <c r="V119" i="1"/>
  <c r="AC119" i="1"/>
  <c r="T119" i="1"/>
  <c r="U119" i="1"/>
  <c r="AD232" i="1"/>
  <c r="T232" i="1"/>
  <c r="U232" i="1"/>
  <c r="AC232" i="1"/>
  <c r="V232" i="1"/>
  <c r="V108" i="1"/>
  <c r="U108" i="1"/>
  <c r="AD108" i="1"/>
  <c r="AC108" i="1"/>
  <c r="T108" i="1"/>
  <c r="U176" i="1"/>
  <c r="AD176" i="1"/>
  <c r="T176" i="1"/>
  <c r="AC176" i="1"/>
  <c r="V176" i="1"/>
  <c r="AD279" i="1"/>
  <c r="T279" i="1"/>
  <c r="AC279" i="1"/>
  <c r="U279" i="1"/>
  <c r="V279" i="1"/>
  <c r="AD301" i="1"/>
  <c r="AC301" i="1"/>
  <c r="V301" i="1"/>
  <c r="U301" i="1"/>
  <c r="T301" i="1"/>
  <c r="U28" i="1"/>
  <c r="AD28" i="1"/>
  <c r="T28" i="1"/>
  <c r="V28" i="1"/>
  <c r="AC28" i="1"/>
  <c r="AD87" i="1"/>
  <c r="V87" i="1"/>
  <c r="AC87" i="1"/>
  <c r="T87" i="1"/>
  <c r="U87" i="1"/>
  <c r="V36" i="1"/>
  <c r="U36" i="1"/>
  <c r="AD36" i="1"/>
  <c r="T36" i="1"/>
  <c r="AC36" i="1"/>
  <c r="AD355" i="1"/>
  <c r="U355" i="1"/>
  <c r="AC355" i="1"/>
  <c r="T355" i="1"/>
  <c r="V355" i="1"/>
  <c r="AD316" i="1"/>
  <c r="V316" i="1"/>
  <c r="T316" i="1"/>
  <c r="AC316" i="1"/>
  <c r="U316" i="1"/>
  <c r="AD186" i="1"/>
  <c r="V186" i="1"/>
  <c r="AC186" i="1"/>
  <c r="U186" i="1"/>
  <c r="T186" i="1"/>
  <c r="AD353" i="1"/>
  <c r="U353" i="1"/>
  <c r="AC353" i="1"/>
  <c r="V353" i="1"/>
  <c r="T353" i="1"/>
  <c r="AD124" i="1"/>
  <c r="U124" i="1"/>
  <c r="T124" i="1"/>
  <c r="V124" i="1"/>
  <c r="AC124" i="1"/>
  <c r="AD144" i="1"/>
  <c r="T144" i="1"/>
  <c r="U144" i="1"/>
  <c r="AC144" i="1"/>
  <c r="V144" i="1"/>
  <c r="AD66" i="1"/>
  <c r="U66" i="1"/>
  <c r="T66" i="1"/>
  <c r="V66" i="1"/>
  <c r="AC66" i="1"/>
  <c r="AD241" i="1"/>
  <c r="T241" i="1"/>
  <c r="V241" i="1"/>
  <c r="AC241" i="1"/>
  <c r="U241" i="1"/>
  <c r="AD310" i="1"/>
  <c r="V310" i="1"/>
  <c r="AC310" i="1"/>
  <c r="T310" i="1"/>
  <c r="U310" i="1"/>
  <c r="AD171" i="1"/>
  <c r="T171" i="1"/>
  <c r="V171" i="1"/>
  <c r="U171" i="1"/>
  <c r="AC171" i="1"/>
  <c r="AD74" i="1"/>
  <c r="U74" i="1"/>
  <c r="T74" i="1"/>
  <c r="AC74" i="1"/>
  <c r="V74" i="1"/>
  <c r="AD73" i="1"/>
  <c r="T73" i="1"/>
  <c r="AC73" i="1"/>
  <c r="U73" i="1"/>
  <c r="V73" i="1"/>
  <c r="AD259" i="1"/>
  <c r="V259" i="1"/>
  <c r="AC259" i="1"/>
  <c r="U259" i="1"/>
  <c r="T259" i="1"/>
  <c r="AD286" i="1"/>
  <c r="V286" i="1"/>
  <c r="U286" i="1"/>
  <c r="T286" i="1"/>
  <c r="AC286" i="1"/>
  <c r="AD104" i="1"/>
  <c r="T104" i="1"/>
  <c r="AC104" i="1"/>
  <c r="U104" i="1"/>
  <c r="V104" i="1"/>
  <c r="U155" i="1"/>
  <c r="T155" i="1"/>
  <c r="AC155" i="1"/>
  <c r="V155" i="1"/>
  <c r="AD155" i="1"/>
  <c r="U72" i="1"/>
  <c r="T72" i="1"/>
  <c r="AC72" i="1"/>
  <c r="V72" i="1"/>
  <c r="AD72" i="1"/>
  <c r="AD325" i="1"/>
  <c r="V325" i="1"/>
  <c r="T325" i="1"/>
  <c r="AC325" i="1"/>
  <c r="U325" i="1"/>
  <c r="AD172" i="1"/>
  <c r="T172" i="1"/>
  <c r="AC172" i="1"/>
  <c r="V172" i="1"/>
  <c r="U172" i="1"/>
  <c r="AD75" i="1"/>
  <c r="V75" i="1"/>
  <c r="AC75" i="1"/>
  <c r="T75" i="1"/>
  <c r="U75" i="1"/>
  <c r="AD19" i="1"/>
  <c r="T19" i="1"/>
  <c r="AC19" i="1"/>
  <c r="V19" i="1"/>
  <c r="U19" i="1"/>
  <c r="AD68" i="1"/>
  <c r="T68" i="1"/>
  <c r="AC68" i="1"/>
  <c r="V68" i="1"/>
  <c r="U68" i="1"/>
  <c r="AD366" i="1"/>
  <c r="U366" i="1"/>
  <c r="AC366" i="1"/>
  <c r="T366" i="1"/>
  <c r="V366" i="1"/>
  <c r="AD82" i="1"/>
  <c r="U82" i="1"/>
  <c r="AC82" i="1"/>
  <c r="T82" i="1"/>
  <c r="V82" i="1"/>
  <c r="AD25" i="1"/>
  <c r="T25" i="1"/>
  <c r="AC25" i="1"/>
  <c r="V25" i="1"/>
  <c r="U25" i="1"/>
  <c r="AD128" i="1"/>
  <c r="V128" i="1"/>
  <c r="U128" i="1"/>
  <c r="AC128" i="1"/>
  <c r="T128" i="1"/>
  <c r="AD382" i="1"/>
  <c r="V382" i="1"/>
  <c r="AC382" i="1"/>
  <c r="T382" i="1"/>
  <c r="U382" i="1"/>
  <c r="AD213" i="1"/>
  <c r="T213" i="1"/>
  <c r="AC213" i="1"/>
  <c r="U213" i="1"/>
  <c r="V213" i="1"/>
  <c r="AD196" i="1"/>
  <c r="U196" i="1"/>
  <c r="AC196" i="1"/>
  <c r="V196" i="1"/>
  <c r="T196" i="1"/>
  <c r="AD275" i="1"/>
  <c r="V275" i="1"/>
  <c r="AC275" i="1"/>
  <c r="U275" i="1"/>
  <c r="T275" i="1"/>
  <c r="AD101" i="1"/>
  <c r="T101" i="1"/>
  <c r="AC101" i="1"/>
  <c r="U101" i="1"/>
  <c r="V101" i="1"/>
  <c r="AD174" i="1"/>
  <c r="V174" i="1"/>
  <c r="AC174" i="1"/>
  <c r="T174" i="1"/>
  <c r="U174" i="1"/>
  <c r="AD250" i="1"/>
  <c r="T250" i="1"/>
  <c r="AC250" i="1"/>
  <c r="V250" i="1"/>
  <c r="U250" i="1"/>
  <c r="AD327" i="1"/>
  <c r="T327" i="1"/>
  <c r="AC327" i="1"/>
  <c r="V327" i="1"/>
  <c r="U327" i="1"/>
  <c r="AD209" i="1"/>
  <c r="V209" i="1"/>
  <c r="U209" i="1"/>
  <c r="AC209" i="1"/>
  <c r="T209" i="1"/>
  <c r="AD138" i="1"/>
  <c r="T138" i="1"/>
  <c r="AC138" i="1"/>
  <c r="V138" i="1"/>
  <c r="U138" i="1"/>
  <c r="AD360" i="1"/>
  <c r="V360" i="1"/>
  <c r="AC360" i="1"/>
  <c r="U360" i="1"/>
  <c r="T360" i="1"/>
  <c r="AD343" i="1"/>
  <c r="T343" i="1"/>
  <c r="AC343" i="1"/>
  <c r="U343" i="1"/>
  <c r="V343" i="1"/>
  <c r="AD109" i="1"/>
  <c r="T109" i="1"/>
  <c r="AC109" i="1"/>
  <c r="U109" i="1"/>
  <c r="V109" i="1"/>
  <c r="U141" i="1"/>
  <c r="T141" i="1"/>
  <c r="AD141" i="1"/>
  <c r="AC141" i="1"/>
  <c r="V141" i="1"/>
  <c r="AD269" i="1"/>
  <c r="U269" i="1"/>
  <c r="V269" i="1"/>
  <c r="AC269" i="1"/>
  <c r="T269" i="1"/>
  <c r="U291" i="1"/>
  <c r="AD291" i="1"/>
  <c r="T291" i="1"/>
  <c r="V291" i="1"/>
  <c r="AC291" i="1"/>
  <c r="AI99" i="1"/>
  <c r="AG99" i="1"/>
  <c r="AH99" i="1"/>
  <c r="AI83" i="1"/>
  <c r="AG83" i="1"/>
  <c r="AH83" i="1"/>
  <c r="AG216" i="1"/>
  <c r="AI216" i="1"/>
  <c r="AH216" i="1"/>
  <c r="AI150" i="1"/>
  <c r="AG150" i="1"/>
  <c r="AH150" i="1"/>
  <c r="AG242" i="1"/>
  <c r="AH242" i="1"/>
  <c r="AI242" i="1"/>
  <c r="AG254" i="1"/>
  <c r="AH254" i="1"/>
  <c r="AI254" i="1"/>
  <c r="AG284" i="1"/>
  <c r="AH284" i="1"/>
  <c r="AI284" i="1"/>
  <c r="AG156" i="1"/>
  <c r="AH156" i="1"/>
  <c r="AI156" i="1"/>
  <c r="AG224" i="1"/>
  <c r="AI224" i="1"/>
  <c r="AH224" i="1"/>
  <c r="AG367" i="1"/>
  <c r="AH367" i="1"/>
  <c r="AI367" i="1"/>
  <c r="AG230" i="1"/>
  <c r="AH230" i="1"/>
  <c r="AI230" i="1"/>
  <c r="AI394" i="1"/>
  <c r="AG394" i="1"/>
  <c r="AH394" i="1"/>
  <c r="AH369" i="1"/>
  <c r="AG369" i="1"/>
  <c r="AI369" i="1"/>
  <c r="AH316" i="1"/>
  <c r="AI316" i="1"/>
  <c r="AG316" i="1"/>
  <c r="AH152" i="1"/>
  <c r="AI152" i="1"/>
  <c r="AG152" i="1"/>
  <c r="AG295" i="1"/>
  <c r="AH295" i="1"/>
  <c r="AI295" i="1"/>
  <c r="AG158" i="1"/>
  <c r="AH158" i="1"/>
  <c r="AI158" i="1"/>
  <c r="AI322" i="1"/>
  <c r="AG322" i="1"/>
  <c r="AH322" i="1"/>
  <c r="AI141" i="1"/>
  <c r="AH141" i="1"/>
  <c r="AG141" i="1"/>
  <c r="AI37" i="1"/>
  <c r="AH37" i="1"/>
  <c r="AG37" i="1"/>
  <c r="AH80" i="1"/>
  <c r="AG80" i="1"/>
  <c r="AI80" i="1"/>
  <c r="AH223" i="1"/>
  <c r="AI223" i="1"/>
  <c r="AG223" i="1"/>
  <c r="AI86" i="1"/>
  <c r="AG86" i="1"/>
  <c r="AH86" i="1"/>
  <c r="AG250" i="1"/>
  <c r="AH250" i="1"/>
  <c r="AI250" i="1"/>
  <c r="AH313" i="1"/>
  <c r="AI313" i="1"/>
  <c r="AG313" i="1"/>
  <c r="AG124" i="1"/>
  <c r="AH124" i="1"/>
  <c r="AI124" i="1"/>
  <c r="AI289" i="1"/>
  <c r="AG289" i="1"/>
  <c r="AH289" i="1"/>
  <c r="AG151" i="1"/>
  <c r="AH151" i="1"/>
  <c r="AI151" i="1"/>
  <c r="AH307" i="1"/>
  <c r="AI307" i="1"/>
  <c r="AG307" i="1"/>
  <c r="AI178" i="1"/>
  <c r="AH178" i="1"/>
  <c r="AG178" i="1"/>
  <c r="AG339" i="1"/>
  <c r="AH339" i="1"/>
  <c r="AI339" i="1"/>
  <c r="AI213" i="1"/>
  <c r="AH213" i="1"/>
  <c r="AG213" i="1"/>
  <c r="AG217" i="1"/>
  <c r="AI217" i="1"/>
  <c r="AH217" i="1"/>
  <c r="AG79" i="1"/>
  <c r="AI79" i="1"/>
  <c r="AH79" i="1"/>
  <c r="AH235" i="1"/>
  <c r="AI235" i="1"/>
  <c r="AG235" i="1"/>
  <c r="AG106" i="1"/>
  <c r="AH106" i="1"/>
  <c r="AI106" i="1"/>
  <c r="AD162" i="1"/>
  <c r="T162" i="1"/>
  <c r="AC162" i="1"/>
  <c r="V162" i="1"/>
  <c r="U162" i="1"/>
  <c r="AD29" i="1"/>
  <c r="U29" i="1"/>
  <c r="AC29" i="1"/>
  <c r="T29" i="1"/>
  <c r="V29" i="1"/>
  <c r="AD63" i="1"/>
  <c r="V63" i="1"/>
  <c r="AC63" i="1"/>
  <c r="U63" i="1"/>
  <c r="T63" i="1"/>
  <c r="AD395" i="1"/>
  <c r="V395" i="1"/>
  <c r="U395" i="1"/>
  <c r="AC395" i="1"/>
  <c r="T395" i="1"/>
  <c r="AD211" i="1"/>
  <c r="U211" i="1"/>
  <c r="T211" i="1"/>
  <c r="V211" i="1"/>
  <c r="AC211" i="1"/>
  <c r="AD284" i="1"/>
  <c r="U284" i="1"/>
  <c r="V284" i="1"/>
  <c r="T284" i="1"/>
  <c r="AC284" i="1"/>
  <c r="AD352" i="1"/>
  <c r="V352" i="1"/>
  <c r="AC352" i="1"/>
  <c r="T352" i="1"/>
  <c r="U352" i="1"/>
  <c r="AD20" i="1"/>
  <c r="U20" i="1"/>
  <c r="T20" i="1"/>
  <c r="AC20" i="1"/>
  <c r="V20" i="1"/>
  <c r="AD364" i="1"/>
  <c r="V364" i="1"/>
  <c r="AC364" i="1"/>
  <c r="T364" i="1"/>
  <c r="U364" i="1"/>
  <c r="AD358" i="1"/>
  <c r="V358" i="1"/>
  <c r="AC358" i="1"/>
  <c r="U358" i="1"/>
  <c r="T358" i="1"/>
  <c r="AD293" i="1"/>
  <c r="T293" i="1"/>
  <c r="AC293" i="1"/>
  <c r="V293" i="1"/>
  <c r="U293" i="1"/>
  <c r="AD38" i="1"/>
  <c r="V38" i="1"/>
  <c r="T38" i="1"/>
  <c r="AC38" i="1"/>
  <c r="U38" i="1"/>
  <c r="AD198" i="1"/>
  <c r="V198" i="1"/>
  <c r="AC198" i="1"/>
  <c r="U198" i="1"/>
  <c r="T198" i="1"/>
  <c r="AD313" i="1"/>
  <c r="U313" i="1"/>
  <c r="T313" i="1"/>
  <c r="V313" i="1"/>
  <c r="AC313" i="1"/>
  <c r="AD216" i="1"/>
  <c r="T216" i="1"/>
  <c r="V216" i="1"/>
  <c r="AC216" i="1"/>
  <c r="U216" i="1"/>
  <c r="AD76" i="1"/>
  <c r="T76" i="1"/>
  <c r="AC76" i="1"/>
  <c r="U76" i="1"/>
  <c r="V76" i="1"/>
  <c r="AD195" i="1"/>
  <c r="T195" i="1"/>
  <c r="AC195" i="1"/>
  <c r="U195" i="1"/>
  <c r="V195" i="1"/>
  <c r="AD217" i="1"/>
  <c r="T217" i="1"/>
  <c r="AC217" i="1"/>
  <c r="V217" i="1"/>
  <c r="U217" i="1"/>
  <c r="AD367" i="1"/>
  <c r="V367" i="1"/>
  <c r="U367" i="1"/>
  <c r="T367" i="1"/>
  <c r="AC367" i="1"/>
  <c r="AD71" i="1"/>
  <c r="V71" i="1"/>
  <c r="T71" i="1"/>
  <c r="AC71" i="1"/>
  <c r="U71" i="1"/>
  <c r="AD212" i="1"/>
  <c r="V212" i="1"/>
  <c r="AC212" i="1"/>
  <c r="U212" i="1"/>
  <c r="T212" i="1"/>
  <c r="U22" i="1"/>
  <c r="AD22" i="1"/>
  <c r="V22" i="1"/>
  <c r="T22" i="1"/>
  <c r="AC22" i="1"/>
  <c r="V303" i="1"/>
  <c r="AD303" i="1"/>
  <c r="T303" i="1"/>
  <c r="U303" i="1"/>
  <c r="AC303" i="1"/>
  <c r="AD116" i="1"/>
  <c r="U116" i="1"/>
  <c r="T116" i="1"/>
  <c r="V116" i="1"/>
  <c r="AC116" i="1"/>
  <c r="AD129" i="1"/>
  <c r="U129" i="1"/>
  <c r="AC129" i="1"/>
  <c r="V129" i="1"/>
  <c r="T129" i="1"/>
  <c r="AD203" i="1"/>
  <c r="T203" i="1"/>
  <c r="AC203" i="1"/>
  <c r="U203" i="1"/>
  <c r="V203" i="1"/>
  <c r="AD377" i="1"/>
  <c r="V377" i="1"/>
  <c r="T377" i="1"/>
  <c r="U377" i="1"/>
  <c r="AC377" i="1"/>
  <c r="AD191" i="1"/>
  <c r="T191" i="1"/>
  <c r="AC191" i="1"/>
  <c r="U191" i="1"/>
  <c r="V191" i="1"/>
  <c r="AD93" i="1"/>
  <c r="V93" i="1"/>
  <c r="AC93" i="1"/>
  <c r="T93" i="1"/>
  <c r="U93" i="1"/>
  <c r="AD391" i="1"/>
  <c r="V391" i="1"/>
  <c r="AC391" i="1"/>
  <c r="T391" i="1"/>
  <c r="U391" i="1"/>
  <c r="AD368" i="1"/>
  <c r="V368" i="1"/>
  <c r="T368" i="1"/>
  <c r="AC368" i="1"/>
  <c r="U368" i="1"/>
  <c r="AD228" i="1"/>
  <c r="V228" i="1"/>
  <c r="AC228" i="1"/>
  <c r="U228" i="1"/>
  <c r="T228" i="1"/>
  <c r="AD127" i="1"/>
  <c r="AC127" i="1"/>
  <c r="U127" i="1"/>
  <c r="V127" i="1"/>
  <c r="T127" i="1"/>
  <c r="AD337" i="1"/>
  <c r="T337" i="1"/>
  <c r="AC337" i="1"/>
  <c r="V337" i="1"/>
  <c r="U337" i="1"/>
  <c r="AD230" i="1"/>
  <c r="V230" i="1"/>
  <c r="AC230" i="1"/>
  <c r="T230" i="1"/>
  <c r="U230" i="1"/>
  <c r="AD359" i="1"/>
  <c r="V359" i="1"/>
  <c r="U359" i="1"/>
  <c r="AC359" i="1"/>
  <c r="T359" i="1"/>
  <c r="AD64" i="1"/>
  <c r="T64" i="1"/>
  <c r="AC64" i="1"/>
  <c r="V64" i="1"/>
  <c r="U64" i="1"/>
  <c r="AD274" i="1"/>
  <c r="V274" i="1"/>
  <c r="AC274" i="1"/>
  <c r="U274" i="1"/>
  <c r="T274" i="1"/>
  <c r="AD85" i="1"/>
  <c r="AC85" i="1"/>
  <c r="T85" i="1"/>
  <c r="U85" i="1"/>
  <c r="V85" i="1"/>
  <c r="AD247" i="1"/>
  <c r="AC247" i="1"/>
  <c r="U247" i="1"/>
  <c r="V247" i="1"/>
  <c r="T247" i="1"/>
  <c r="AD394" i="1"/>
  <c r="AC394" i="1"/>
  <c r="V394" i="1"/>
  <c r="U394" i="1"/>
  <c r="T394" i="1"/>
  <c r="AC357" i="1"/>
  <c r="U357" i="1"/>
  <c r="AD357" i="1"/>
  <c r="T357" i="1"/>
  <c r="V357" i="1"/>
  <c r="AD201" i="1"/>
  <c r="AC201" i="1"/>
  <c r="V201" i="1"/>
  <c r="T201" i="1"/>
  <c r="U201" i="1"/>
  <c r="AD157" i="1"/>
  <c r="T157" i="1"/>
  <c r="AC157" i="1"/>
  <c r="V157" i="1"/>
  <c r="U157" i="1"/>
  <c r="AC31" i="1"/>
  <c r="U31" i="1"/>
  <c r="AD31" i="1"/>
  <c r="V31" i="1"/>
  <c r="T31" i="1"/>
  <c r="V384" i="1"/>
  <c r="U384" i="1"/>
  <c r="T384" i="1"/>
  <c r="AD384" i="1"/>
  <c r="AC384" i="1"/>
  <c r="U370" i="1"/>
  <c r="AC370" i="1"/>
  <c r="T370" i="1"/>
  <c r="AD370" i="1"/>
  <c r="V370" i="1"/>
  <c r="V280" i="1"/>
  <c r="AC280" i="1"/>
  <c r="T280" i="1"/>
  <c r="AD280" i="1"/>
  <c r="U280" i="1"/>
  <c r="AG318" i="1"/>
  <c r="AH318" i="1"/>
  <c r="AI318" i="1"/>
  <c r="AI73" i="1"/>
  <c r="AH73" i="1"/>
  <c r="AG73" i="1"/>
  <c r="AI65" i="1"/>
  <c r="AG65" i="1"/>
  <c r="AH65" i="1"/>
  <c r="AG57" i="1"/>
  <c r="AI57" i="1"/>
  <c r="AH57" i="1"/>
  <c r="AG359" i="1"/>
  <c r="AI359" i="1"/>
  <c r="AH359" i="1"/>
  <c r="AH287" i="1"/>
  <c r="AI287" i="1"/>
  <c r="AG287" i="1"/>
  <c r="AH78" i="1"/>
  <c r="AI78" i="1"/>
  <c r="AG78" i="1"/>
  <c r="AI170" i="1"/>
  <c r="AG170" i="1"/>
  <c r="AH170" i="1"/>
  <c r="AI35" i="1"/>
  <c r="AG35" i="1"/>
  <c r="AH35" i="1"/>
  <c r="AI27" i="1"/>
  <c r="AH27" i="1"/>
  <c r="AG27" i="1"/>
  <c r="AI19" i="1"/>
  <c r="AH19" i="1"/>
  <c r="AG19" i="1"/>
  <c r="AG327" i="1"/>
  <c r="AH327" i="1"/>
  <c r="AI327" i="1"/>
  <c r="AG190" i="1"/>
  <c r="AH190" i="1"/>
  <c r="AI190" i="1"/>
  <c r="AI354" i="1"/>
  <c r="AG354" i="1"/>
  <c r="AH354" i="1"/>
  <c r="AG116" i="1"/>
  <c r="AI116" i="1"/>
  <c r="AH116" i="1"/>
  <c r="AI364" i="1"/>
  <c r="AG364" i="1"/>
  <c r="AH364" i="1"/>
  <c r="AH176" i="1"/>
  <c r="AG176" i="1"/>
  <c r="AI176" i="1"/>
  <c r="AG319" i="1"/>
  <c r="AH319" i="1"/>
  <c r="AI319" i="1"/>
  <c r="AG182" i="1"/>
  <c r="AH182" i="1"/>
  <c r="AI182" i="1"/>
  <c r="AH346" i="1"/>
  <c r="AG346" i="1"/>
  <c r="AI346" i="1"/>
  <c r="AH52" i="1"/>
  <c r="AG52" i="1"/>
  <c r="AI52" i="1"/>
  <c r="AG348" i="1"/>
  <c r="AH348" i="1"/>
  <c r="AI348" i="1"/>
  <c r="AG168" i="1"/>
  <c r="AH168" i="1"/>
  <c r="AI168" i="1"/>
  <c r="AG311" i="1"/>
  <c r="AH311" i="1"/>
  <c r="AI311" i="1"/>
  <c r="AG174" i="1"/>
  <c r="AH174" i="1"/>
  <c r="AI174" i="1"/>
  <c r="AI338" i="1"/>
  <c r="AH338" i="1"/>
  <c r="AG338" i="1"/>
  <c r="AG385" i="1"/>
  <c r="AH385" i="1"/>
  <c r="AI385" i="1"/>
  <c r="AH332" i="1"/>
  <c r="AI332" i="1"/>
  <c r="AG332" i="1"/>
  <c r="AH160" i="1"/>
  <c r="AG160" i="1"/>
  <c r="AI160" i="1"/>
  <c r="AG303" i="1"/>
  <c r="AH303" i="1"/>
  <c r="AI303" i="1"/>
  <c r="AH166" i="1"/>
  <c r="AI166" i="1"/>
  <c r="AG166" i="1"/>
  <c r="AG330" i="1"/>
  <c r="AH330" i="1"/>
  <c r="AI330" i="1"/>
  <c r="AG173" i="1"/>
  <c r="AH173" i="1"/>
  <c r="AI173" i="1"/>
  <c r="AI69" i="1"/>
  <c r="AH69" i="1"/>
  <c r="AG69" i="1"/>
  <c r="AG88" i="1"/>
  <c r="AH88" i="1"/>
  <c r="AI88" i="1"/>
  <c r="AH231" i="1"/>
  <c r="AI231" i="1"/>
  <c r="AG231" i="1"/>
  <c r="AG94" i="1"/>
  <c r="AH94" i="1"/>
  <c r="AI94" i="1"/>
  <c r="AG258" i="1"/>
  <c r="AH258" i="1"/>
  <c r="AI258" i="1"/>
  <c r="AG377" i="1"/>
  <c r="AH377" i="1"/>
  <c r="AI377" i="1"/>
  <c r="AG252" i="1"/>
  <c r="AH252" i="1"/>
  <c r="AI252" i="1"/>
  <c r="AI297" i="1"/>
  <c r="AG297" i="1"/>
  <c r="AH297" i="1"/>
  <c r="AI159" i="1"/>
  <c r="AH159" i="1"/>
  <c r="AG159" i="1"/>
  <c r="AH22" i="1"/>
  <c r="AI22" i="1"/>
  <c r="AG22" i="1"/>
  <c r="AH186" i="1"/>
  <c r="AI186" i="1"/>
  <c r="AG186" i="1"/>
  <c r="AG355" i="1"/>
  <c r="AH355" i="1"/>
  <c r="AI355" i="1"/>
  <c r="AI245" i="1"/>
  <c r="AG245" i="1"/>
  <c r="AH245" i="1"/>
  <c r="AI225" i="1"/>
  <c r="AH225" i="1"/>
  <c r="AG225" i="1"/>
  <c r="AI87" i="1"/>
  <c r="AG87" i="1"/>
  <c r="AH87" i="1"/>
  <c r="AI243" i="1"/>
  <c r="AG243" i="1"/>
  <c r="AH243" i="1"/>
  <c r="AH114" i="1"/>
  <c r="AI114" i="1"/>
  <c r="AG114" i="1"/>
  <c r="AH317" i="1"/>
  <c r="AI317" i="1"/>
  <c r="AG317" i="1"/>
  <c r="AH384" i="1"/>
  <c r="AI384" i="1"/>
  <c r="AG384" i="1"/>
  <c r="AH153" i="1"/>
  <c r="AG153" i="1"/>
  <c r="AI153" i="1"/>
  <c r="AI390" i="1"/>
  <c r="AG390" i="1"/>
  <c r="AH390" i="1"/>
  <c r="AI171" i="1"/>
  <c r="AG171" i="1"/>
  <c r="AH171" i="1"/>
  <c r="AH42" i="1"/>
  <c r="AG42" i="1"/>
  <c r="AI42" i="1"/>
  <c r="AD215" i="1"/>
  <c r="T215" i="1"/>
  <c r="U215" i="1"/>
  <c r="AC215" i="1"/>
  <c r="V215" i="1"/>
  <c r="AD80" i="1"/>
  <c r="V80" i="1"/>
  <c r="AC80" i="1"/>
  <c r="T80" i="1"/>
  <c r="U80" i="1"/>
  <c r="AD125" i="1"/>
  <c r="T125" i="1"/>
  <c r="AC125" i="1"/>
  <c r="V125" i="1"/>
  <c r="U125" i="1"/>
  <c r="AD363" i="1"/>
  <c r="U363" i="1"/>
  <c r="AC363" i="1"/>
  <c r="T363" i="1"/>
  <c r="V363" i="1"/>
  <c r="AD49" i="1"/>
  <c r="V49" i="1"/>
  <c r="U49" i="1"/>
  <c r="AC49" i="1"/>
  <c r="T49" i="1"/>
  <c r="AD152" i="1"/>
  <c r="U152" i="1"/>
  <c r="T152" i="1"/>
  <c r="AC152" i="1"/>
  <c r="V152" i="1"/>
  <c r="AD252" i="1"/>
  <c r="V252" i="1"/>
  <c r="AC252" i="1"/>
  <c r="U252" i="1"/>
  <c r="T252" i="1"/>
  <c r="AD220" i="1"/>
  <c r="U220" i="1"/>
  <c r="V220" i="1"/>
  <c r="T220" i="1"/>
  <c r="AC220" i="1"/>
  <c r="AD321" i="1"/>
  <c r="V321" i="1"/>
  <c r="T321" i="1"/>
  <c r="AC321" i="1"/>
  <c r="U321" i="1"/>
  <c r="AD163" i="1"/>
  <c r="U163" i="1"/>
  <c r="V163" i="1"/>
  <c r="T163" i="1"/>
  <c r="AC163" i="1"/>
  <c r="AD150" i="1"/>
  <c r="U150" i="1"/>
  <c r="T150" i="1"/>
  <c r="V150" i="1"/>
  <c r="AC150" i="1"/>
  <c r="AD350" i="1"/>
  <c r="T350" i="1"/>
  <c r="V350" i="1"/>
  <c r="U350" i="1"/>
  <c r="AC350" i="1"/>
  <c r="AD345" i="1"/>
  <c r="T345" i="1"/>
  <c r="U345" i="1"/>
  <c r="AC345" i="1"/>
  <c r="V345" i="1"/>
  <c r="AD173" i="1"/>
  <c r="V173" i="1"/>
  <c r="U173" i="1"/>
  <c r="AC173" i="1"/>
  <c r="T173" i="1"/>
  <c r="AD48" i="1"/>
  <c r="V48" i="1"/>
  <c r="T48" i="1"/>
  <c r="AC48" i="1"/>
  <c r="U48" i="1"/>
  <c r="AD297" i="1"/>
  <c r="T297" i="1"/>
  <c r="AC297" i="1"/>
  <c r="U297" i="1"/>
  <c r="V297" i="1"/>
  <c r="AD305" i="1"/>
  <c r="T305" i="1"/>
  <c r="AC305" i="1"/>
  <c r="U305" i="1"/>
  <c r="V305" i="1"/>
  <c r="AD178" i="1"/>
  <c r="U178" i="1"/>
  <c r="AC178" i="1"/>
  <c r="T178" i="1"/>
  <c r="V178" i="1"/>
  <c r="AD103" i="1"/>
  <c r="V103" i="1"/>
  <c r="T103" i="1"/>
  <c r="U103" i="1"/>
  <c r="AC103" i="1"/>
  <c r="AD388" i="1"/>
  <c r="T388" i="1"/>
  <c r="AC388" i="1"/>
  <c r="V388" i="1"/>
  <c r="U388" i="1"/>
  <c r="AD349" i="1"/>
  <c r="U349" i="1"/>
  <c r="AC349" i="1"/>
  <c r="T349" i="1"/>
  <c r="V349" i="1"/>
  <c r="AD67" i="1"/>
  <c r="T67" i="1"/>
  <c r="V67" i="1"/>
  <c r="AC67" i="1"/>
  <c r="U67" i="1"/>
  <c r="V92" i="1"/>
  <c r="T92" i="1"/>
  <c r="AC92" i="1"/>
  <c r="U92" i="1"/>
  <c r="AD92" i="1"/>
  <c r="U98" i="1"/>
  <c r="T98" i="1"/>
  <c r="AC98" i="1"/>
  <c r="V98" i="1"/>
  <c r="AD98" i="1"/>
  <c r="AD243" i="1"/>
  <c r="V243" i="1"/>
  <c r="AC243" i="1"/>
  <c r="U243" i="1"/>
  <c r="T243" i="1"/>
  <c r="AD334" i="1"/>
  <c r="U334" i="1"/>
  <c r="AC334" i="1"/>
  <c r="V334" i="1"/>
  <c r="T334" i="1"/>
  <c r="AD91" i="1"/>
  <c r="V91" i="1"/>
  <c r="T91" i="1"/>
  <c r="U91" i="1"/>
  <c r="AC91" i="1"/>
  <c r="AD381" i="1"/>
  <c r="U381" i="1"/>
  <c r="V381" i="1"/>
  <c r="AC381" i="1"/>
  <c r="T381" i="1"/>
  <c r="AD30" i="1"/>
  <c r="T30" i="1"/>
  <c r="AC30" i="1"/>
  <c r="U30" i="1"/>
  <c r="V30" i="1"/>
  <c r="AD151" i="1"/>
  <c r="U151" i="1"/>
  <c r="T151" i="1"/>
  <c r="AC151" i="1"/>
  <c r="V151" i="1"/>
  <c r="AD270" i="1"/>
  <c r="V270" i="1"/>
  <c r="AC270" i="1"/>
  <c r="T270" i="1"/>
  <c r="U270" i="1"/>
  <c r="AD40" i="1"/>
  <c r="V40" i="1"/>
  <c r="U40" i="1"/>
  <c r="AC40" i="1"/>
  <c r="T40" i="1"/>
  <c r="AD253" i="1"/>
  <c r="U253" i="1"/>
  <c r="AC253" i="1"/>
  <c r="T253" i="1"/>
  <c r="V253" i="1"/>
  <c r="AD78" i="1"/>
  <c r="U78" i="1"/>
  <c r="AC78" i="1"/>
  <c r="T78" i="1"/>
  <c r="V78" i="1"/>
  <c r="AD273" i="1"/>
  <c r="U273" i="1"/>
  <c r="T273" i="1"/>
  <c r="AC273" i="1"/>
  <c r="V273" i="1"/>
  <c r="AD264" i="1"/>
  <c r="V264" i="1"/>
  <c r="T264" i="1"/>
  <c r="AC264" i="1"/>
  <c r="U264" i="1"/>
  <c r="AD164" i="1"/>
  <c r="U164" i="1"/>
  <c r="AC164" i="1"/>
  <c r="V164" i="1"/>
  <c r="T164" i="1"/>
  <c r="AD295" i="1"/>
  <c r="T295" i="1"/>
  <c r="AC295" i="1"/>
  <c r="V295" i="1"/>
  <c r="U295" i="1"/>
  <c r="AD385" i="1"/>
  <c r="T385" i="1"/>
  <c r="AC385" i="1"/>
  <c r="V385" i="1"/>
  <c r="U385" i="1"/>
  <c r="AD365" i="1"/>
  <c r="U365" i="1"/>
  <c r="AC365" i="1"/>
  <c r="V365" i="1"/>
  <c r="T365" i="1"/>
  <c r="AD221" i="1"/>
  <c r="U221" i="1"/>
  <c r="AC221" i="1"/>
  <c r="V221" i="1"/>
  <c r="T221" i="1"/>
  <c r="AD206" i="1"/>
  <c r="T206" i="1"/>
  <c r="AC206" i="1"/>
  <c r="U206" i="1"/>
  <c r="V206" i="1"/>
  <c r="AD110" i="1"/>
  <c r="U110" i="1"/>
  <c r="AC110" i="1"/>
  <c r="V110" i="1"/>
  <c r="T110" i="1"/>
  <c r="AD27" i="1"/>
  <c r="AC27" i="1"/>
  <c r="V27" i="1"/>
  <c r="U27" i="1"/>
  <c r="T27" i="1"/>
  <c r="AD88" i="1"/>
  <c r="V88" i="1"/>
  <c r="T88" i="1"/>
  <c r="AC88" i="1"/>
  <c r="U88" i="1"/>
  <c r="U197" i="1"/>
  <c r="V197" i="1"/>
  <c r="AD197" i="1"/>
  <c r="AC197" i="1"/>
  <c r="T197" i="1"/>
  <c r="V311" i="1"/>
  <c r="AD311" i="1"/>
  <c r="U311" i="1"/>
  <c r="T311" i="1"/>
  <c r="AC311" i="1"/>
  <c r="AD154" i="1"/>
  <c r="T154" i="1"/>
  <c r="AC154" i="1"/>
  <c r="V154" i="1"/>
  <c r="U154" i="1"/>
  <c r="H31" i="1" l="1"/>
  <c r="B42" i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B40" i="1"/>
  <c r="H40" i="1"/>
  <c r="G34" i="1"/>
  <c r="B34" i="1"/>
  <c r="H34" i="1"/>
  <c r="B15" i="1" l="1"/>
  <c r="D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<sst xmlns="http://schemas.openxmlformats.org/spreadsheetml/2006/main" count="493" uniqueCount="285">
  <si>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</si>
  <si>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</si>
  <si>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</si>
  <si>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</si>
  <si>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</si>
  <si>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</si>
  <si>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</si>
  <si>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</si>
  <si>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</si>
  <si>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</si>
  <si>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</si>
  <si>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</si>
  <si>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</si>
  <si>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</si>
  <si>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</si>
  <si>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</si>
  <si>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</si>
  <si>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</si>
  <si>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</si>
  <si>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</si>
  <si>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</si>
  <si>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</si>
  <si>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</si>
  <si>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</si>
  <si>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</si>
  <si>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</si>
  <si>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</si>
  <si>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</si>
  <si>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</si>
  <si>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</si>
  <si>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</si>
  <si>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</si>
  <si>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</si>
  <si>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</si>
  <si>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</si>
  <si>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</si>
  <si>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</si>
  <si>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</si>
  <si>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</si>
  <si>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</si>
  <si>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</si>
  <si>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</si>
  <si>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</si>
  <si>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</si>
  <si>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</si>
  <si>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</si>
  <si>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</si>
  <si>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</si>
  <si>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</si>
  <si>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</si>
  <si>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</si>
  <si>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</si>
  <si>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</si>
  <si>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</si>
  <si>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</si>
  <si>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</si>
  <si>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</si>
  <si>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</si>
  <si>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</si>
  <si>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</si>
  <si>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</si>
  <si>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</si>
  <si>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</si>
  <si>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</si>
  <si>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</si>
  <si>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</si>
  <si>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</si>
  <si>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</si>
  <si>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</si>
  <si>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</si>
  <si>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</si>
  <si>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</si>
  <si>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</si>
  <si>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</si>
  <si>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</si>
  <si>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</si>
  <si>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</si>
  <si>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</si>
  <si>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</si>
  <si>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</si>
  <si>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</si>
  <si>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</si>
  <si>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</si>
  <si>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</si>
  <si>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</si>
  <si>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</si>
  <si>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</si>
  <si>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</si>
  <si>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</si>
  <si>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</si>
  <si>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</si>
  <si>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</si>
  <si>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</si>
  <si>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</si>
  <si>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</si>
  <si>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</si>
  <si>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</si>
  <si>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</si>
  <si>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</si>
  <si>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</si>
  <si>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</si>
  <si>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</si>
  <si>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</si>
  <si>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</si>
  <si>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</si>
  <si>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</si>
  <si>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</si>
  <si>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</si>
  <si>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</si>
  <si>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</si>
  <si>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</si>
  <si>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</si>
  <si>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</si>
  <si>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</si>
  <si>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</si>
  <si>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</si>
  <si>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</si>
  <si>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</si>
  <si>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</si>
  <si>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</si>
  <si>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</si>
  <si>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</si>
  <si>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</si>
  <si>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</si>
  <si>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</si>
  <si>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</si>
  <si>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</si>
  <si>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</si>
  <si>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</si>
  <si>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</si>
  <si>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</si>
  <si>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</si>
  <si>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</si>
  <si>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</si>
  <si>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</si>
  <si>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</si>
  <si>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</si>
  <si>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</si>
  <si>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</si>
  <si>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</si>
  <si>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</si>
  <si>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</si>
  <si>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</si>
  <si>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</si>
  <si>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</si>
  <si>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</si>
  <si>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</si>
  <si>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</si>
  <si>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</si>
  <si>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</si>
  <si>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</si>
  <si>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</si>
  <si>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</si>
  <si>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</si>
  <si>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</si>
  <si>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</si>
  <si>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</si>
  <si>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</si>
  <si>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</si>
  <si>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</si>
  <si>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</si>
  <si>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</si>
  <si>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</si>
  <si>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</si>
  <si>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</si>
  <si>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</si>
  <si>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</si>
  <si>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</si>
  <si>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</si>
  <si>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</si>
  <si>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</si>
  <si>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</si>
  <si>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</si>
  <si>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</si>
  <si>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</si>
  <si>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</si>
  <si>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</si>
  <si>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</si>
  <si>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</si>
  <si>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</si>
  <si>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</si>
  <si>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</si>
  <si>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</si>
  <si>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</si>
  <si>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</si>
  <si>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</si>
  <si>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</si>
  <si>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</si>
  <si>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</si>
  <si>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</si>
  <si>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</si>
  <si>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</si>
  <si>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</si>
  <si>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</si>
  <si>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</si>
  <si>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</si>
  <si>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</si>
  <si>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</si>
  <si>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</si>
  <si>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</si>
  <si>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</si>
  <si>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</si>
  <si>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</si>
  <si>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</si>
  <si>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</si>
  <si>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</si>
  <si>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</si>
  <si>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</si>
  <si>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</si>
  <si>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</si>
  <si>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</si>
  <si>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</si>
  <si>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</si>
  <si>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</si>
  <si>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</si>
  <si>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</si>
  <si>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</si>
  <si>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</si>
  <si>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</si>
  <si>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</si>
  <si>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</si>
  <si>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</si>
  <si>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</si>
  <si>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</si>
  <si>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</si>
  <si>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</si>
  <si>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</si>
  <si>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</si>
  <si>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</si>
  <si>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</si>
  <si>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</si>
  <si>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</si>
  <si>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</si>
  <si>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</si>
  <si>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</si>
  <si>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</si>
  <si>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</si>
  <si>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</si>
  <si>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</si>
  <si>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</si>
  <si>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</si>
  <si>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</si>
  <si>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</si>
  <si>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</si>
  <si>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</si>
  <si>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</si>
  <si>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</si>
  <si>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</si>
  <si>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</si>
  <si>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</si>
  <si>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</si>
  <si>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</si>
  <si>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</si>
  <si>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</si>
  <si>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</si>
  <si>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</si>
  <si>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</si>
  <si>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</si>
  <si>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</si>
  <si>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</si>
  <si>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</si>
  <si>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</si>
  <si>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Top60cm</t>
  </si>
  <si>
    <t>Top90cm</t>
  </si>
  <si>
    <t>CoarseSand</t>
  </si>
  <si>
    <t>FineSand</t>
  </si>
  <si>
    <t>LoamySand</t>
  </si>
  <si>
    <t>SandyLoam</t>
  </si>
  <si>
    <t>SiltLoam</t>
  </si>
  <si>
    <t>SiltyClayLoam</t>
  </si>
  <si>
    <t>ClayLoam</t>
  </si>
  <si>
    <t>SiltyClay</t>
  </si>
  <si>
    <t>pukekohe</t>
  </si>
  <si>
    <t>hastings</t>
  </si>
  <si>
    <t>gore</t>
  </si>
  <si>
    <t>levin</t>
  </si>
  <si>
    <t>In</t>
  </si>
  <si>
    <t>Out</t>
  </si>
  <si>
    <t>Check</t>
  </si>
  <si>
    <t>Early_harvest</t>
  </si>
  <si>
    <t>Maturity_harvest</t>
  </si>
  <si>
    <t>Green_manure</t>
  </si>
  <si>
    <t>SandyClayLoam</t>
  </si>
  <si>
    <t>Bell curve</t>
  </si>
  <si>
    <t>lincoln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</si>
</sst>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4"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'Model Interface'!$O$1</c:f>
              <c:strCache>
                <c:ptCount val="1"/>
                <c:pt idx="0">
                  <c:v>Crop Product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Interface'!$O$2:$O$3</c:f>
              <c:numCache>
                <c:formatCode>General</c:formatCode>
                <c:ptCount val="2"/>
                <c:pt idx="0">
                  <c:v>0</c:v>
                </c:pt>
                <c:pt idx="1">
                  <c:v>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ser>
          <c:idx val="6"/>
          <c:order val="1"/>
          <c:tx>
            <c:strRef>
              <c:f>'Model Interface'!$K$1</c:f>
              <c:strCache>
                <c:ptCount val="1"/>
                <c:pt idx="0">
                  <c:v>Residue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Interface'!$K$2:$K$3</c:f>
              <c:numCache>
                <c:formatCode>General</c:formatCode>
                <c:ptCount val="2"/>
                <c:pt idx="0">
                  <c:v>14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5"/>
          <c:order val="2"/>
          <c:tx>
            <c:strRef>
              <c:f>'Model Interface'!$J$1</c:f>
              <c:strCache>
                <c:ptCount val="1"/>
                <c:pt idx="0">
                  <c:v>UptakeN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Interface'!$J$2:$J$3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3"/>
          <c:order val="3"/>
          <c:tx>
            <c:strRef>
              <c:f>'Model Interface'!$N$1</c:f>
              <c:strCache>
                <c:ptCount val="1"/>
                <c:pt idx="0">
                  <c:v>Other Crop Parts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Interface'!$N$2:$N$3</c:f>
              <c:numCache>
                <c:formatCode>General</c:formatCode>
                <c:ptCount val="2"/>
                <c:pt idx="0">
                  <c:v>4</c:v>
                </c:pt>
                <c:pt idx="1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1"/>
          <c:order val="4"/>
          <c:tx>
            <c:strRef>
              <c:f>'Model Interface'!$M$1</c:f>
              <c:strCache>
                <c:ptCount val="1"/>
                <c:pt idx="0">
                  <c:v>Fertiliser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Interface'!$M$2:$M$3</c:f>
              <c:numCache>
                <c:formatCode>General</c:formatCode>
                <c:ptCount val="2"/>
                <c:pt idx="0">
                  <c:v>273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5"/>
          <c:tx>
            <c:strRef>
              <c:f>'Model Interface'!$L$1</c:f>
              <c:strCache>
                <c:ptCount val="1"/>
                <c:pt idx="0">
                  <c:v>Organic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Interface'!$L$2:$L$3</c:f>
              <c:numCache>
                <c:formatCode>General</c:formatCode>
                <c:ptCount val="2"/>
                <c:pt idx="0">
                  <c:v>42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0"/>
          <c:order val="6"/>
          <c:tx>
            <c:strRef>
              <c:f>'Model Interface'!$I$1</c:f>
              <c:strCache>
                <c:ptCount val="1"/>
                <c:pt idx="0">
                  <c:v>Mineral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Interface'!$I$2:$I$3</c:f>
              <c:numCache>
                <c:formatCode>General</c:formatCode>
                <c:ptCount val="2"/>
                <c:pt idx="0">
                  <c:v>55</c:v>
                </c:pt>
                <c:pt idx="1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4"/>
          <c:order val="7"/>
          <c:tx>
            <c:strRef>
              <c:f>'Model Interface'!$P$1</c:f>
              <c:strCache>
                <c:ptCount val="1"/>
                <c:pt idx="0">
                  <c:v>Uncharacterised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'Model Interface'!$P$2:$P$3</c:f>
              <c:numCache>
                <c:formatCode>General</c:formatCode>
                <c:ptCount val="2"/>
                <c:pt idx="0">
                  <c:v>0</c:v>
                </c:pt>
                <c:pt idx="1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B7-4C99-8463-D73EDE660C6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45011</c:v>
                </c:pt>
                <c:pt idx="1">
                  <c:v>45012</c:v>
                </c:pt>
                <c:pt idx="2">
                  <c:v>45013</c:v>
                </c:pt>
                <c:pt idx="3">
                  <c:v>45014</c:v>
                </c:pt>
                <c:pt idx="4">
                  <c:v>45015</c:v>
                </c:pt>
                <c:pt idx="5">
                  <c:v>45016</c:v>
                </c:pt>
                <c:pt idx="6">
                  <c:v>45017</c:v>
                </c:pt>
                <c:pt idx="7">
                  <c:v>45018</c:v>
                </c:pt>
                <c:pt idx="8">
                  <c:v>45019</c:v>
                </c:pt>
                <c:pt idx="9">
                  <c:v>45020</c:v>
                </c:pt>
                <c:pt idx="10">
                  <c:v>45021</c:v>
                </c:pt>
                <c:pt idx="11">
                  <c:v>45022</c:v>
                </c:pt>
                <c:pt idx="12">
                  <c:v>45023</c:v>
                </c:pt>
                <c:pt idx="13">
                  <c:v>45024</c:v>
                </c:pt>
                <c:pt idx="14">
                  <c:v>45025</c:v>
                </c:pt>
                <c:pt idx="15">
                  <c:v>45026</c:v>
                </c:pt>
                <c:pt idx="16">
                  <c:v>45027</c:v>
                </c:pt>
                <c:pt idx="17">
                  <c:v>45028</c:v>
                </c:pt>
                <c:pt idx="18">
                  <c:v>45029</c:v>
                </c:pt>
                <c:pt idx="19">
                  <c:v>45030</c:v>
                </c:pt>
                <c:pt idx="20">
                  <c:v>45031</c:v>
                </c:pt>
                <c:pt idx="21">
                  <c:v>45032</c:v>
                </c:pt>
                <c:pt idx="22">
                  <c:v>45033</c:v>
                </c:pt>
                <c:pt idx="23">
                  <c:v>45034</c:v>
                </c:pt>
                <c:pt idx="24">
                  <c:v>45035</c:v>
                </c:pt>
                <c:pt idx="25">
                  <c:v>45036</c:v>
                </c:pt>
                <c:pt idx="26">
                  <c:v>45037</c:v>
                </c:pt>
                <c:pt idx="27">
                  <c:v>45038</c:v>
                </c:pt>
                <c:pt idx="28">
                  <c:v>45039</c:v>
                </c:pt>
                <c:pt idx="29">
                  <c:v>45040</c:v>
                </c:pt>
                <c:pt idx="30">
                  <c:v>45041</c:v>
                </c:pt>
                <c:pt idx="31">
                  <c:v>45042</c:v>
                </c:pt>
                <c:pt idx="32">
                  <c:v>45043</c:v>
                </c:pt>
                <c:pt idx="33">
                  <c:v>45044</c:v>
                </c:pt>
                <c:pt idx="34">
                  <c:v>45045</c:v>
                </c:pt>
                <c:pt idx="35">
                  <c:v>45046</c:v>
                </c:pt>
                <c:pt idx="36">
                  <c:v>45047</c:v>
                </c:pt>
                <c:pt idx="37">
                  <c:v>45048</c:v>
                </c:pt>
                <c:pt idx="38">
                  <c:v>45049</c:v>
                </c:pt>
                <c:pt idx="39">
                  <c:v>45050</c:v>
                </c:pt>
                <c:pt idx="40">
                  <c:v>45051</c:v>
                </c:pt>
                <c:pt idx="41">
                  <c:v>45052</c:v>
                </c:pt>
                <c:pt idx="42">
                  <c:v>45053</c:v>
                </c:pt>
                <c:pt idx="43">
                  <c:v>45054</c:v>
                </c:pt>
                <c:pt idx="44">
                  <c:v>45055</c:v>
                </c:pt>
                <c:pt idx="45">
                  <c:v>45056</c:v>
                </c:pt>
                <c:pt idx="46">
                  <c:v>45057</c:v>
                </c:pt>
                <c:pt idx="47">
                  <c:v>45058</c:v>
                </c:pt>
                <c:pt idx="48">
                  <c:v>45059</c:v>
                </c:pt>
                <c:pt idx="49">
                  <c:v>45060</c:v>
                </c:pt>
                <c:pt idx="50">
                  <c:v>45061</c:v>
                </c:pt>
                <c:pt idx="51">
                  <c:v>45062</c:v>
                </c:pt>
                <c:pt idx="52">
                  <c:v>45063</c:v>
                </c:pt>
                <c:pt idx="53">
                  <c:v>45064</c:v>
                </c:pt>
                <c:pt idx="54">
                  <c:v>45065</c:v>
                </c:pt>
                <c:pt idx="55">
                  <c:v>45066</c:v>
                </c:pt>
                <c:pt idx="56">
                  <c:v>45067</c:v>
                </c:pt>
                <c:pt idx="57">
                  <c:v>45068</c:v>
                </c:pt>
                <c:pt idx="58">
                  <c:v>45069</c:v>
                </c:pt>
                <c:pt idx="59">
                  <c:v>45070</c:v>
                </c:pt>
                <c:pt idx="60">
                  <c:v>45071</c:v>
                </c:pt>
                <c:pt idx="61">
                  <c:v>45072</c:v>
                </c:pt>
                <c:pt idx="62">
                  <c:v>45073</c:v>
                </c:pt>
                <c:pt idx="63">
                  <c:v>45074</c:v>
                </c:pt>
                <c:pt idx="64">
                  <c:v>45075</c:v>
                </c:pt>
                <c:pt idx="65">
                  <c:v>45076</c:v>
                </c:pt>
                <c:pt idx="66">
                  <c:v>45077</c:v>
                </c:pt>
                <c:pt idx="67">
                  <c:v>45078</c:v>
                </c:pt>
                <c:pt idx="68">
                  <c:v>45079</c:v>
                </c:pt>
                <c:pt idx="69">
                  <c:v>45080</c:v>
                </c:pt>
                <c:pt idx="70">
                  <c:v>45081</c:v>
                </c:pt>
                <c:pt idx="71">
                  <c:v>45082</c:v>
                </c:pt>
                <c:pt idx="72">
                  <c:v>45083</c:v>
                </c:pt>
                <c:pt idx="73">
                  <c:v>45084</c:v>
                </c:pt>
                <c:pt idx="74">
                  <c:v>45085</c:v>
                </c:pt>
                <c:pt idx="75">
                  <c:v>45086</c:v>
                </c:pt>
                <c:pt idx="76">
                  <c:v>45087</c:v>
                </c:pt>
                <c:pt idx="77">
                  <c:v>45088</c:v>
                </c:pt>
                <c:pt idx="78">
                  <c:v>45089</c:v>
                </c:pt>
                <c:pt idx="79">
                  <c:v>45090</c:v>
                </c:pt>
                <c:pt idx="80">
                  <c:v>45091</c:v>
                </c:pt>
                <c:pt idx="81">
                  <c:v>45092</c:v>
                </c:pt>
                <c:pt idx="82">
                  <c:v>45093</c:v>
                </c:pt>
                <c:pt idx="83">
                  <c:v>45094</c:v>
                </c:pt>
                <c:pt idx="84">
                  <c:v>45095</c:v>
                </c:pt>
                <c:pt idx="85">
                  <c:v>45096</c:v>
                </c:pt>
                <c:pt idx="86">
                  <c:v>45097</c:v>
                </c:pt>
                <c:pt idx="87">
                  <c:v>45098</c:v>
                </c:pt>
                <c:pt idx="88">
                  <c:v>45099</c:v>
                </c:pt>
                <c:pt idx="89">
                  <c:v>45100</c:v>
                </c:pt>
                <c:pt idx="90">
                  <c:v>45101</c:v>
                </c:pt>
                <c:pt idx="91">
                  <c:v>45102</c:v>
                </c:pt>
                <c:pt idx="92">
                  <c:v>45103</c:v>
                </c:pt>
                <c:pt idx="93">
                  <c:v>45104</c:v>
                </c:pt>
                <c:pt idx="94">
                  <c:v>45105</c:v>
                </c:pt>
                <c:pt idx="95">
                  <c:v>45106</c:v>
                </c:pt>
                <c:pt idx="96">
                  <c:v>45107</c:v>
                </c:pt>
                <c:pt idx="97">
                  <c:v>45108</c:v>
                </c:pt>
                <c:pt idx="98">
                  <c:v>45109</c:v>
                </c:pt>
                <c:pt idx="99">
                  <c:v>45110</c:v>
                </c:pt>
                <c:pt idx="100">
                  <c:v>45111</c:v>
                </c:pt>
                <c:pt idx="101">
                  <c:v>45112</c:v>
                </c:pt>
                <c:pt idx="102">
                  <c:v>45113</c:v>
                </c:pt>
                <c:pt idx="103">
                  <c:v>45114</c:v>
                </c:pt>
                <c:pt idx="104">
                  <c:v>45115</c:v>
                </c:pt>
                <c:pt idx="105">
                  <c:v>45116</c:v>
                </c:pt>
                <c:pt idx="106">
                  <c:v>45117</c:v>
                </c:pt>
                <c:pt idx="107">
                  <c:v>45118</c:v>
                </c:pt>
                <c:pt idx="108">
                  <c:v>45119</c:v>
                </c:pt>
                <c:pt idx="109">
                  <c:v>45120</c:v>
                </c:pt>
                <c:pt idx="110">
                  <c:v>45121</c:v>
                </c:pt>
                <c:pt idx="111">
                  <c:v>45122</c:v>
                </c:pt>
                <c:pt idx="112">
                  <c:v>45123</c:v>
                </c:pt>
                <c:pt idx="113">
                  <c:v>45124</c:v>
                </c:pt>
                <c:pt idx="114">
                  <c:v>45125</c:v>
                </c:pt>
                <c:pt idx="115">
                  <c:v>45126</c:v>
                </c:pt>
                <c:pt idx="116">
                  <c:v>45127</c:v>
                </c:pt>
                <c:pt idx="117">
                  <c:v>45128</c:v>
                </c:pt>
                <c:pt idx="118">
                  <c:v>45129</c:v>
                </c:pt>
                <c:pt idx="119">
                  <c:v>45130</c:v>
                </c:pt>
                <c:pt idx="120">
                  <c:v>45131</c:v>
                </c:pt>
                <c:pt idx="121">
                  <c:v>45132</c:v>
                </c:pt>
                <c:pt idx="122">
                  <c:v>45133</c:v>
                </c:pt>
                <c:pt idx="123">
                  <c:v>45134</c:v>
                </c:pt>
                <c:pt idx="124">
                  <c:v>45135</c:v>
                </c:pt>
                <c:pt idx="125">
                  <c:v>45136</c:v>
                </c:pt>
                <c:pt idx="126">
                  <c:v>45137</c:v>
                </c:pt>
                <c:pt idx="127">
                  <c:v>45138</c:v>
                </c:pt>
                <c:pt idx="128">
                  <c:v>45139</c:v>
                </c:pt>
                <c:pt idx="129">
                  <c:v>45140</c:v>
                </c:pt>
                <c:pt idx="130">
                  <c:v>45141</c:v>
                </c:pt>
                <c:pt idx="131">
                  <c:v>45142</c:v>
                </c:pt>
                <c:pt idx="132">
                  <c:v>45143</c:v>
                </c:pt>
                <c:pt idx="133">
                  <c:v>45144</c:v>
                </c:pt>
                <c:pt idx="134">
                  <c:v>45145</c:v>
                </c:pt>
                <c:pt idx="135">
                  <c:v>45146</c:v>
                </c:pt>
                <c:pt idx="136">
                  <c:v>45147</c:v>
                </c:pt>
                <c:pt idx="137">
                  <c:v>45148</c:v>
                </c:pt>
                <c:pt idx="138">
                  <c:v>45149</c:v>
                </c:pt>
                <c:pt idx="139">
                  <c:v>45150</c:v>
                </c:pt>
                <c:pt idx="140">
                  <c:v>45151</c:v>
                </c:pt>
                <c:pt idx="141">
                  <c:v>45152</c:v>
                </c:pt>
                <c:pt idx="142">
                  <c:v>45153</c:v>
                </c:pt>
                <c:pt idx="143">
                  <c:v>45154</c:v>
                </c:pt>
                <c:pt idx="144">
                  <c:v>45155</c:v>
                </c:pt>
                <c:pt idx="145">
                  <c:v>45156</c:v>
                </c:pt>
                <c:pt idx="146">
                  <c:v>45157</c:v>
                </c:pt>
                <c:pt idx="147">
                  <c:v>45158</c:v>
                </c:pt>
                <c:pt idx="148">
                  <c:v>45159</c:v>
                </c:pt>
                <c:pt idx="149">
                  <c:v>45160</c:v>
                </c:pt>
                <c:pt idx="150">
                  <c:v>45161</c:v>
                </c:pt>
                <c:pt idx="151">
                  <c:v>45162</c:v>
                </c:pt>
                <c:pt idx="152">
                  <c:v>45163</c:v>
                </c:pt>
                <c:pt idx="153">
                  <c:v>45164</c:v>
                </c:pt>
                <c:pt idx="154">
                  <c:v>45165</c:v>
                </c:pt>
                <c:pt idx="155">
                  <c:v>45166</c:v>
                </c:pt>
                <c:pt idx="156">
                  <c:v>45167</c:v>
                </c:pt>
                <c:pt idx="157">
                  <c:v>45168</c:v>
                </c:pt>
                <c:pt idx="158">
                  <c:v>45169</c:v>
                </c:pt>
                <c:pt idx="159">
                  <c:v>45170</c:v>
                </c:pt>
                <c:pt idx="160">
                  <c:v>45171</c:v>
                </c:pt>
                <c:pt idx="161">
                  <c:v>45172</c:v>
                </c:pt>
                <c:pt idx="162">
                  <c:v>45173</c:v>
                </c:pt>
                <c:pt idx="163">
                  <c:v>45174</c:v>
                </c:pt>
                <c:pt idx="164">
                  <c:v>45175</c:v>
                </c:pt>
                <c:pt idx="165">
                  <c:v>45176</c:v>
                </c:pt>
                <c:pt idx="166">
                  <c:v>45177</c:v>
                </c:pt>
                <c:pt idx="167">
                  <c:v>45178</c:v>
                </c:pt>
                <c:pt idx="168">
                  <c:v>45179</c:v>
                </c:pt>
                <c:pt idx="169">
                  <c:v>45180</c:v>
                </c:pt>
                <c:pt idx="170">
                  <c:v>45181</c:v>
                </c:pt>
                <c:pt idx="171">
                  <c:v>45182</c:v>
                </c:pt>
                <c:pt idx="172">
                  <c:v>45183</c:v>
                </c:pt>
                <c:pt idx="173">
                  <c:v>45184</c:v>
                </c:pt>
                <c:pt idx="174">
                  <c:v>45185</c:v>
                </c:pt>
                <c:pt idx="175">
                  <c:v>45186</c:v>
                </c:pt>
                <c:pt idx="176">
                  <c:v>45187</c:v>
                </c:pt>
                <c:pt idx="177">
                  <c:v>45188</c:v>
                </c:pt>
                <c:pt idx="178">
                  <c:v>45189</c:v>
                </c:pt>
                <c:pt idx="179">
                  <c:v>45190</c:v>
                </c:pt>
                <c:pt idx="180">
                  <c:v>45191</c:v>
                </c:pt>
                <c:pt idx="181">
                  <c:v>45192</c:v>
                </c:pt>
                <c:pt idx="182">
                  <c:v>45193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45199</c:v>
                </c:pt>
                <c:pt idx="189">
                  <c:v>45200</c:v>
                </c:pt>
                <c:pt idx="190">
                  <c:v>45201</c:v>
                </c:pt>
                <c:pt idx="191">
                  <c:v>45202</c:v>
                </c:pt>
                <c:pt idx="192">
                  <c:v>45203</c:v>
                </c:pt>
                <c:pt idx="193">
                  <c:v>45204</c:v>
                </c:pt>
                <c:pt idx="194">
                  <c:v>45205</c:v>
                </c:pt>
                <c:pt idx="195">
                  <c:v>45206</c:v>
                </c:pt>
                <c:pt idx="196">
                  <c:v>45207</c:v>
                </c:pt>
                <c:pt idx="197">
                  <c:v>45208</c:v>
                </c:pt>
                <c:pt idx="198">
                  <c:v>45209</c:v>
                </c:pt>
                <c:pt idx="199">
                  <c:v>45210</c:v>
                </c:pt>
                <c:pt idx="200">
                  <c:v>45211</c:v>
                </c:pt>
                <c:pt idx="201">
                  <c:v>45212</c:v>
                </c:pt>
                <c:pt idx="202">
                  <c:v>45213</c:v>
                </c:pt>
                <c:pt idx="203">
                  <c:v>45214</c:v>
                </c:pt>
                <c:pt idx="204">
                  <c:v>45215</c:v>
                </c:pt>
                <c:pt idx="205">
                  <c:v>45216</c:v>
                </c:pt>
                <c:pt idx="206">
                  <c:v>45217</c:v>
                </c:pt>
                <c:pt idx="207">
                  <c:v>45218</c:v>
                </c:pt>
                <c:pt idx="208">
                  <c:v>45219</c:v>
                </c:pt>
                <c:pt idx="209">
                  <c:v>45220</c:v>
                </c:pt>
                <c:pt idx="210">
                  <c:v>45221</c:v>
                </c:pt>
                <c:pt idx="211">
                  <c:v>45222</c:v>
                </c:pt>
                <c:pt idx="212">
                  <c:v>45223</c:v>
                </c:pt>
                <c:pt idx="213">
                  <c:v>45224</c:v>
                </c:pt>
                <c:pt idx="214">
                  <c:v>45225</c:v>
                </c:pt>
                <c:pt idx="215">
                  <c:v>45226</c:v>
                </c:pt>
                <c:pt idx="216">
                  <c:v>45227</c:v>
                </c:pt>
                <c:pt idx="217">
                  <c:v>45228</c:v>
                </c:pt>
                <c:pt idx="218">
                  <c:v>45229</c:v>
                </c:pt>
                <c:pt idx="219">
                  <c:v>45230</c:v>
                </c:pt>
                <c:pt idx="220">
                  <c:v>45231</c:v>
                </c:pt>
                <c:pt idx="221">
                  <c:v>45232</c:v>
                </c:pt>
                <c:pt idx="222">
                  <c:v>45233</c:v>
                </c:pt>
                <c:pt idx="223">
                  <c:v>45234</c:v>
                </c:pt>
                <c:pt idx="224">
                  <c:v>45235</c:v>
                </c:pt>
                <c:pt idx="225">
                  <c:v>45236</c:v>
                </c:pt>
                <c:pt idx="226">
                  <c:v>45237</c:v>
                </c:pt>
                <c:pt idx="227">
                  <c:v>45238</c:v>
                </c:pt>
                <c:pt idx="228">
                  <c:v>45239</c:v>
                </c:pt>
                <c:pt idx="229">
                  <c:v>45240</c:v>
                </c:pt>
                <c:pt idx="230">
                  <c:v>45241</c:v>
                </c:pt>
                <c:pt idx="231">
                  <c:v>45242</c:v>
                </c:pt>
                <c:pt idx="232">
                  <c:v>45243</c:v>
                </c:pt>
                <c:pt idx="233">
                  <c:v>45244</c:v>
                </c:pt>
                <c:pt idx="234">
                  <c:v>45245</c:v>
                </c:pt>
                <c:pt idx="235">
                  <c:v>45246</c:v>
                </c:pt>
                <c:pt idx="236">
                  <c:v>45247</c:v>
                </c:pt>
                <c:pt idx="237">
                  <c:v>45248</c:v>
                </c:pt>
                <c:pt idx="238">
                  <c:v>45249</c:v>
                </c:pt>
                <c:pt idx="239">
                  <c:v>45250</c:v>
                </c:pt>
                <c:pt idx="240">
                  <c:v>45251</c:v>
                </c:pt>
                <c:pt idx="241">
                  <c:v>45252</c:v>
                </c:pt>
                <c:pt idx="242">
                  <c:v>45253</c:v>
                </c:pt>
                <c:pt idx="243">
                  <c:v>45254</c:v>
                </c:pt>
                <c:pt idx="244">
                  <c:v>45255</c:v>
                </c:pt>
                <c:pt idx="245">
                  <c:v>45256</c:v>
                </c:pt>
                <c:pt idx="246">
                  <c:v>45257</c:v>
                </c:pt>
                <c:pt idx="247">
                  <c:v>45258</c:v>
                </c:pt>
                <c:pt idx="248">
                  <c:v>45259</c:v>
                </c:pt>
                <c:pt idx="249">
                  <c:v>45260</c:v>
                </c:pt>
                <c:pt idx="250">
                  <c:v>45261</c:v>
                </c:pt>
                <c:pt idx="251">
                  <c:v>45262</c:v>
                </c:pt>
                <c:pt idx="252">
                  <c:v>45263</c:v>
                </c:pt>
                <c:pt idx="253">
                  <c:v>45264</c:v>
                </c:pt>
                <c:pt idx="254">
                  <c:v>45265</c:v>
                </c:pt>
                <c:pt idx="255">
                  <c:v>45266</c:v>
                </c:pt>
                <c:pt idx="256">
                  <c:v>45267</c:v>
                </c:pt>
                <c:pt idx="257">
                  <c:v>45268</c:v>
                </c:pt>
                <c:pt idx="258">
                  <c:v>45269</c:v>
                </c:pt>
                <c:pt idx="259">
                  <c:v>45270</c:v>
                </c:pt>
                <c:pt idx="260">
                  <c:v>45271</c:v>
                </c:pt>
                <c:pt idx="261">
                  <c:v>45272</c:v>
                </c:pt>
                <c:pt idx="262">
                  <c:v>45273</c:v>
                </c:pt>
                <c:pt idx="263">
                  <c:v>45274</c:v>
                </c:pt>
                <c:pt idx="264">
                  <c:v>45275</c:v>
                </c:pt>
                <c:pt idx="265">
                  <c:v>45276</c:v>
                </c:pt>
                <c:pt idx="266">
                  <c:v>45277</c:v>
                </c:pt>
                <c:pt idx="267">
                  <c:v>45278</c:v>
                </c:pt>
                <c:pt idx="268">
                  <c:v>45279</c:v>
                </c:pt>
                <c:pt idx="269">
                  <c:v>45280</c:v>
                </c:pt>
                <c:pt idx="270">
                  <c:v>45281</c:v>
                </c:pt>
                <c:pt idx="271">
                  <c:v>45282</c:v>
                </c:pt>
                <c:pt idx="272">
                  <c:v>45283</c:v>
                </c:pt>
                <c:pt idx="273">
                  <c:v>45284</c:v>
                </c:pt>
                <c:pt idx="274">
                  <c:v>45285</c:v>
                </c:pt>
                <c:pt idx="275">
                  <c:v>45286</c:v>
                </c:pt>
                <c:pt idx="276">
                  <c:v>45287</c:v>
                </c:pt>
                <c:pt idx="277">
                  <c:v>45288</c:v>
                </c:pt>
                <c:pt idx="278">
                  <c:v>45289</c:v>
                </c:pt>
                <c:pt idx="279">
                  <c:v>45290</c:v>
                </c:pt>
                <c:pt idx="280">
                  <c:v>45291</c:v>
                </c:pt>
                <c:pt idx="281">
                  <c:v>45292</c:v>
                </c:pt>
                <c:pt idx="282">
                  <c:v>45293</c:v>
                </c:pt>
                <c:pt idx="283">
                  <c:v>45294</c:v>
                </c:pt>
                <c:pt idx="284">
                  <c:v>45295</c:v>
                </c:pt>
                <c:pt idx="285">
                  <c:v>45296</c:v>
                </c:pt>
                <c:pt idx="286">
                  <c:v>45297</c:v>
                </c:pt>
                <c:pt idx="287">
                  <c:v>45298</c:v>
                </c:pt>
                <c:pt idx="288">
                  <c:v>45299</c:v>
                </c:pt>
                <c:pt idx="289">
                  <c:v>45300</c:v>
                </c:pt>
                <c:pt idx="290">
                  <c:v>45301</c:v>
                </c:pt>
                <c:pt idx="291">
                  <c:v>45302</c:v>
                </c:pt>
                <c:pt idx="292">
                  <c:v>45303</c:v>
                </c:pt>
                <c:pt idx="293">
                  <c:v>45304</c:v>
                </c:pt>
                <c:pt idx="294">
                  <c:v>45305</c:v>
                </c:pt>
                <c:pt idx="295">
                  <c:v>45306</c:v>
                </c:pt>
                <c:pt idx="296">
                  <c:v>45307</c:v>
                </c:pt>
                <c:pt idx="297">
                  <c:v>45308</c:v>
                </c:pt>
                <c:pt idx="298">
                  <c:v>45309</c:v>
                </c:pt>
                <c:pt idx="299">
                  <c:v>45310</c:v>
                </c:pt>
                <c:pt idx="300">
                  <c:v>45311</c:v>
                </c:pt>
                <c:pt idx="301">
                  <c:v>45312</c:v>
                </c:pt>
                <c:pt idx="302">
                  <c:v>45313</c:v>
                </c:pt>
                <c:pt idx="303">
                  <c:v>45314</c:v>
                </c:pt>
                <c:pt idx="304">
                  <c:v>45315</c:v>
                </c:pt>
                <c:pt idx="305">
                  <c:v>45316</c:v>
                </c:pt>
                <c:pt idx="306">
                  <c:v>45317</c:v>
                </c:pt>
                <c:pt idx="307">
                  <c:v>45318</c:v>
                </c:pt>
                <c:pt idx="308">
                  <c:v>45319</c:v>
                </c:pt>
                <c:pt idx="309">
                  <c:v>45320</c:v>
                </c:pt>
                <c:pt idx="310">
                  <c:v>45321</c:v>
                </c:pt>
                <c:pt idx="311">
                  <c:v>45322</c:v>
                </c:pt>
                <c:pt idx="312">
                  <c:v>45323</c:v>
                </c:pt>
                <c:pt idx="313">
                  <c:v>45324</c:v>
                </c:pt>
                <c:pt idx="314">
                  <c:v>45325</c:v>
                </c:pt>
                <c:pt idx="315">
                  <c:v>45326</c:v>
                </c:pt>
                <c:pt idx="316">
                  <c:v>45327</c:v>
                </c:pt>
                <c:pt idx="317">
                  <c:v>45328</c:v>
                </c:pt>
                <c:pt idx="318">
                  <c:v>45329</c:v>
                </c:pt>
                <c:pt idx="319">
                  <c:v>45330</c:v>
                </c:pt>
                <c:pt idx="320">
                  <c:v>45331</c:v>
                </c:pt>
                <c:pt idx="321">
                  <c:v>45332</c:v>
                </c:pt>
                <c:pt idx="322">
                  <c:v>45333</c:v>
                </c:pt>
                <c:pt idx="323">
                  <c:v>45334</c:v>
                </c:pt>
                <c:pt idx="324">
                  <c:v>45335</c:v>
                </c:pt>
                <c:pt idx="325">
                  <c:v>45336</c:v>
                </c:pt>
                <c:pt idx="326">
                  <c:v>45337</c:v>
                </c:pt>
                <c:pt idx="327">
                  <c:v>45338</c:v>
                </c:pt>
                <c:pt idx="328">
                  <c:v>45339</c:v>
                </c:pt>
                <c:pt idx="329">
                  <c:v>45340</c:v>
                </c:pt>
                <c:pt idx="330">
                  <c:v>45341</c:v>
                </c:pt>
                <c:pt idx="331">
                  <c:v>45342</c:v>
                </c:pt>
                <c:pt idx="332">
                  <c:v>45343</c:v>
                </c:pt>
                <c:pt idx="333">
                  <c:v>45344</c:v>
                </c:pt>
                <c:pt idx="334">
                  <c:v>45345</c:v>
                </c:pt>
                <c:pt idx="335">
                  <c:v>45346</c:v>
                </c:pt>
                <c:pt idx="336">
                  <c:v>45347</c:v>
                </c:pt>
                <c:pt idx="337">
                  <c:v>45348</c:v>
                </c:pt>
                <c:pt idx="338">
                  <c:v>45349</c:v>
                </c:pt>
                <c:pt idx="339">
                  <c:v>45350</c:v>
                </c:pt>
                <c:pt idx="340">
                  <c:v>45351</c:v>
                </c:pt>
                <c:pt idx="341">
                  <c:v>45352</c:v>
                </c:pt>
                <c:pt idx="342">
                  <c:v>45353</c:v>
                </c:pt>
                <c:pt idx="343">
                  <c:v>45354</c:v>
                </c:pt>
                <c:pt idx="344">
                  <c:v>45355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62.70000000000001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4.2629768872283949</c:v>
                </c:pt>
                <c:pt idx="16">
                  <c:v>4.3287506513912515</c:v>
                </c:pt>
                <c:pt idx="17">
                  <c:v>4.3946620377909618</c:v>
                </c:pt>
                <c:pt idx="18">
                  <c:v>4.4642199521759744</c:v>
                </c:pt>
                <c:pt idx="19">
                  <c:v>4.5324780544162726</c:v>
                </c:pt>
                <c:pt idx="20">
                  <c:v>4.6076039989916229</c:v>
                </c:pt>
                <c:pt idx="21">
                  <c:v>4.6816184801171925</c:v>
                </c:pt>
                <c:pt idx="22">
                  <c:v>4.7582560632197763</c:v>
                </c:pt>
                <c:pt idx="23">
                  <c:v>4.8316122786909297</c:v>
                </c:pt>
                <c:pt idx="24">
                  <c:v>4.906802171967243</c:v>
                </c:pt>
                <c:pt idx="25">
                  <c:v>4.9856501016979422</c:v>
                </c:pt>
                <c:pt idx="26">
                  <c:v>5.0597478859298839</c:v>
                </c:pt>
                <c:pt idx="27">
                  <c:v>5.1336519570046537</c:v>
                </c:pt>
                <c:pt idx="28">
                  <c:v>5.2126783578544122</c:v>
                </c:pt>
                <c:pt idx="29">
                  <c:v>5.2887971925863688</c:v>
                </c:pt>
                <c:pt idx="30">
                  <c:v>5.3699082230469797</c:v>
                </c:pt>
                <c:pt idx="31">
                  <c:v>5.4533298979057063</c:v>
                </c:pt>
                <c:pt idx="32">
                  <c:v>5.5389844605421716</c:v>
                </c:pt>
                <c:pt idx="33">
                  <c:v>5.6281956728657745</c:v>
                </c:pt>
                <c:pt idx="34">
                  <c:v>5.7090481885954301</c:v>
                </c:pt>
                <c:pt idx="35">
                  <c:v>5.7889166414385276</c:v>
                </c:pt>
                <c:pt idx="36">
                  <c:v>5.8671875991131754</c:v>
                </c:pt>
                <c:pt idx="37">
                  <c:v>5.9474461813868409</c:v>
                </c:pt>
                <c:pt idx="38">
                  <c:v>6.0283952293668479</c:v>
                </c:pt>
                <c:pt idx="39">
                  <c:v>6.1147793713638752</c:v>
                </c:pt>
                <c:pt idx="40">
                  <c:v>6.2020625442273634</c:v>
                </c:pt>
                <c:pt idx="41">
                  <c:v>6.29728656181857</c:v>
                </c:pt>
                <c:pt idx="42">
                  <c:v>6.3902576981331913</c:v>
                </c:pt>
                <c:pt idx="43">
                  <c:v>6.4755524121668451</c:v>
                </c:pt>
                <c:pt idx="44">
                  <c:v>6.5632681876665826</c:v>
                </c:pt>
                <c:pt idx="45">
                  <c:v>6.6510223628574243</c:v>
                </c:pt>
                <c:pt idx="46">
                  <c:v>6.7429506573457587</c:v>
                </c:pt>
                <c:pt idx="47">
                  <c:v>6.8393714517372448</c:v>
                </c:pt>
                <c:pt idx="48">
                  <c:v>6.9312315473640966</c:v>
                </c:pt>
                <c:pt idx="49">
                  <c:v>7.0232038198594928</c:v>
                </c:pt>
                <c:pt idx="50">
                  <c:v>7.1125497541916411</c:v>
                </c:pt>
                <c:pt idx="51">
                  <c:v>7.20832041017609</c:v>
                </c:pt>
                <c:pt idx="52">
                  <c:v>7.2967340396236304</c:v>
                </c:pt>
                <c:pt idx="53">
                  <c:v>7.383988299097541</c:v>
                </c:pt>
                <c:pt idx="54">
                  <c:v>7.475315903866357</c:v>
                </c:pt>
                <c:pt idx="55">
                  <c:v>7.5685542545241811</c:v>
                </c:pt>
                <c:pt idx="56">
                  <c:v>7.660225470335198</c:v>
                </c:pt>
                <c:pt idx="57">
                  <c:v>7.7446526896375616</c:v>
                </c:pt>
                <c:pt idx="58">
                  <c:v>7.8367840459682547</c:v>
                </c:pt>
                <c:pt idx="59">
                  <c:v>7.9277083807099613</c:v>
                </c:pt>
                <c:pt idx="60">
                  <c:v>8.0152558680979915</c:v>
                </c:pt>
                <c:pt idx="61">
                  <c:v>8.105777668736124</c:v>
                </c:pt>
                <c:pt idx="62">
                  <c:v>8.1962331176431782</c:v>
                </c:pt>
                <c:pt idx="63">
                  <c:v>8.2847503324193799</c:v>
                </c:pt>
                <c:pt idx="64">
                  <c:v>8.3762972440936565</c:v>
                </c:pt>
                <c:pt idx="65">
                  <c:v>8.4637358408536638</c:v>
                </c:pt>
                <c:pt idx="66">
                  <c:v>8.5526351564225074</c:v>
                </c:pt>
                <c:pt idx="67">
                  <c:v>8.6435880584036582</c:v>
                </c:pt>
                <c:pt idx="68">
                  <c:v>8.7318318978156384</c:v>
                </c:pt>
                <c:pt idx="69">
                  <c:v>8.8174968966695229</c:v>
                </c:pt>
                <c:pt idx="70">
                  <c:v>8.9018906339896873</c:v>
                </c:pt>
                <c:pt idx="71">
                  <c:v>8.9862563064799712</c:v>
                </c:pt>
                <c:pt idx="72">
                  <c:v>9.0673708449158266</c:v>
                </c:pt>
                <c:pt idx="73">
                  <c:v>9.1518432152873554</c:v>
                </c:pt>
                <c:pt idx="74">
                  <c:v>9.2436247282757531</c:v>
                </c:pt>
                <c:pt idx="75">
                  <c:v>9.3388801107937045</c:v>
                </c:pt>
                <c:pt idx="76">
                  <c:v>9.4351021173113221</c:v>
                </c:pt>
                <c:pt idx="77">
                  <c:v>9.529555851079083</c:v>
                </c:pt>
                <c:pt idx="78">
                  <c:v>9.6260740993748559</c:v>
                </c:pt>
                <c:pt idx="79">
                  <c:v>9.713000351589093</c:v>
                </c:pt>
                <c:pt idx="80">
                  <c:v>9.8053161163049545</c:v>
                </c:pt>
                <c:pt idx="81">
                  <c:v>9.8999195941846398</c:v>
                </c:pt>
                <c:pt idx="82">
                  <c:v>9.9865355443781816</c:v>
                </c:pt>
                <c:pt idx="83">
                  <c:v>10.065469313212214</c:v>
                </c:pt>
                <c:pt idx="84">
                  <c:v>10.151120466621689</c:v>
                </c:pt>
                <c:pt idx="85">
                  <c:v>10.236150062690546</c:v>
                </c:pt>
                <c:pt idx="86">
                  <c:v>10.322689568752034</c:v>
                </c:pt>
                <c:pt idx="87">
                  <c:v>10.411581169978721</c:v>
                </c:pt>
                <c:pt idx="88">
                  <c:v>10.495463147516627</c:v>
                </c:pt>
                <c:pt idx="89">
                  <c:v>10.580977072182028</c:v>
                </c:pt>
                <c:pt idx="90">
                  <c:v>10.671357305835354</c:v>
                </c:pt>
                <c:pt idx="91">
                  <c:v>10.761512034762255</c:v>
                </c:pt>
                <c:pt idx="92">
                  <c:v>10.855959027434716</c:v>
                </c:pt>
                <c:pt idx="93">
                  <c:v>10.943929319310779</c:v>
                </c:pt>
                <c:pt idx="94">
                  <c:v>11.028855068106655</c:v>
                </c:pt>
                <c:pt idx="95">
                  <c:v>11.117765714051307</c:v>
                </c:pt>
                <c:pt idx="96">
                  <c:v>11.212355020139251</c:v>
                </c:pt>
                <c:pt idx="97">
                  <c:v>11.297556121377928</c:v>
                </c:pt>
                <c:pt idx="98">
                  <c:v>11.378491760841532</c:v>
                </c:pt>
                <c:pt idx="99">
                  <c:v>11.468073610834052</c:v>
                </c:pt>
                <c:pt idx="100">
                  <c:v>11.5622685544083</c:v>
                </c:pt>
                <c:pt idx="101">
                  <c:v>11.661328606822066</c:v>
                </c:pt>
                <c:pt idx="102">
                  <c:v>11.758000588562039</c:v>
                </c:pt>
                <c:pt idx="103">
                  <c:v>11.843715713871065</c:v>
                </c:pt>
                <c:pt idx="104">
                  <c:v>11.92460091594709</c:v>
                </c:pt>
                <c:pt idx="105">
                  <c:v>12.009784583173317</c:v>
                </c:pt>
                <c:pt idx="106">
                  <c:v>12.098876011473285</c:v>
                </c:pt>
                <c:pt idx="107">
                  <c:v>12.187185737004095</c:v>
                </c:pt>
                <c:pt idx="108">
                  <c:v>12.279966850521136</c:v>
                </c:pt>
                <c:pt idx="109">
                  <c:v>12.37472980351442</c:v>
                </c:pt>
                <c:pt idx="110">
                  <c:v>12.474433336788696</c:v>
                </c:pt>
                <c:pt idx="111">
                  <c:v>12.57001142942898</c:v>
                </c:pt>
                <c:pt idx="112">
                  <c:v>12.674061319839904</c:v>
                </c:pt>
                <c:pt idx="113">
                  <c:v>12.78078488119441</c:v>
                </c:pt>
                <c:pt idx="114">
                  <c:v>12.886375163564514</c:v>
                </c:pt>
                <c:pt idx="115">
                  <c:v>12.996371002257087</c:v>
                </c:pt>
                <c:pt idx="116">
                  <c:v>13.11035617910364</c:v>
                </c:pt>
                <c:pt idx="117">
                  <c:v>13.218094781996232</c:v>
                </c:pt>
                <c:pt idx="118">
                  <c:v>13.331727768462152</c:v>
                </c:pt>
                <c:pt idx="119">
                  <c:v>13.450863790081307</c:v>
                </c:pt>
                <c:pt idx="120">
                  <c:v>13.568923525859297</c:v>
                </c:pt>
                <c:pt idx="121">
                  <c:v>13.689598023598313</c:v>
                </c:pt>
                <c:pt idx="122">
                  <c:v>13.810424032746191</c:v>
                </c:pt>
                <c:pt idx="123">
                  <c:v>13.938449408507752</c:v>
                </c:pt>
                <c:pt idx="124">
                  <c:v>14.066355050651664</c:v>
                </c:pt>
                <c:pt idx="125">
                  <c:v>14.203153854764373</c:v>
                </c:pt>
                <c:pt idx="126">
                  <c:v>14.329895476426312</c:v>
                </c:pt>
                <c:pt idx="127">
                  <c:v>14.464313103409031</c:v>
                </c:pt>
                <c:pt idx="128">
                  <c:v>14.604131674042129</c:v>
                </c:pt>
                <c:pt idx="129">
                  <c:v>14.74010332665382</c:v>
                </c:pt>
                <c:pt idx="130">
                  <c:v>14.870169533810463</c:v>
                </c:pt>
                <c:pt idx="131">
                  <c:v>15.009725701685433</c:v>
                </c:pt>
                <c:pt idx="132">
                  <c:v>15.153899970169469</c:v>
                </c:pt>
                <c:pt idx="133">
                  <c:v>15.301209986467946</c:v>
                </c:pt>
                <c:pt idx="134">
                  <c:v>15.452519699049661</c:v>
                </c:pt>
                <c:pt idx="135">
                  <c:v>15.600030115166597</c:v>
                </c:pt>
                <c:pt idx="136">
                  <c:v>15.734634897975358</c:v>
                </c:pt>
                <c:pt idx="137">
                  <c:v>15.879419369147394</c:v>
                </c:pt>
                <c:pt idx="138">
                  <c:v>16.034635698196901</c:v>
                </c:pt>
                <c:pt idx="139">
                  <c:v>16.196151367388453</c:v>
                </c:pt>
                <c:pt idx="140">
                  <c:v>16.352899097571459</c:v>
                </c:pt>
                <c:pt idx="141">
                  <c:v>16.508559092566731</c:v>
                </c:pt>
                <c:pt idx="142">
                  <c:v>16.6579001947207</c:v>
                </c:pt>
                <c:pt idx="143">
                  <c:v>16.813556200776244</c:v>
                </c:pt>
                <c:pt idx="144">
                  <c:v>16.982699951228948</c:v>
                </c:pt>
                <c:pt idx="145">
                  <c:v>17.154827994512271</c:v>
                </c:pt>
                <c:pt idx="146">
                  <c:v>17.322381805337404</c:v>
                </c:pt>
                <c:pt idx="147">
                  <c:v>17.492655212081871</c:v>
                </c:pt>
                <c:pt idx="148">
                  <c:v>17.657482348190758</c:v>
                </c:pt>
                <c:pt idx="149">
                  <c:v>17.829572003260491</c:v>
                </c:pt>
                <c:pt idx="150">
                  <c:v>18.006310834699914</c:v>
                </c:pt>
                <c:pt idx="151">
                  <c:v>18.195547628178044</c:v>
                </c:pt>
                <c:pt idx="152">
                  <c:v>18.391457895159753</c:v>
                </c:pt>
                <c:pt idx="153">
                  <c:v>18.587974769158652</c:v>
                </c:pt>
                <c:pt idx="154">
                  <c:v>18.786768907642379</c:v>
                </c:pt>
                <c:pt idx="155">
                  <c:v>18.995210456603573</c:v>
                </c:pt>
                <c:pt idx="156">
                  <c:v>19.197233210478075</c:v>
                </c:pt>
                <c:pt idx="157">
                  <c:v>19.4160842635889</c:v>
                </c:pt>
                <c:pt idx="158">
                  <c:v>19.614608727709907</c:v>
                </c:pt>
                <c:pt idx="159">
                  <c:v>19.832446489325854</c:v>
                </c:pt>
                <c:pt idx="160">
                  <c:v>20.064236487587234</c:v>
                </c:pt>
                <c:pt idx="161">
                  <c:v>20.291336923221891</c:v>
                </c:pt>
                <c:pt idx="162">
                  <c:v>20.52012957325665</c:v>
                </c:pt>
                <c:pt idx="163">
                  <c:v>20.745014596244857</c:v>
                </c:pt>
                <c:pt idx="164">
                  <c:v>20.983866859134313</c:v>
                </c:pt>
                <c:pt idx="165">
                  <c:v>21.22700835289282</c:v>
                </c:pt>
                <c:pt idx="166">
                  <c:v>21.462671955416297</c:v>
                </c:pt>
                <c:pt idx="167">
                  <c:v>21.684714693990387</c:v>
                </c:pt>
                <c:pt idx="168">
                  <c:v>21.936808632477891</c:v>
                </c:pt>
                <c:pt idx="169">
                  <c:v>22.211649839483961</c:v>
                </c:pt>
                <c:pt idx="170">
                  <c:v>22.487213064228257</c:v>
                </c:pt>
                <c:pt idx="171">
                  <c:v>22.759069257544418</c:v>
                </c:pt>
                <c:pt idx="172">
                  <c:v>23.048245931237187</c:v>
                </c:pt>
                <c:pt idx="173">
                  <c:v>23.364561449043926</c:v>
                </c:pt>
                <c:pt idx="174">
                  <c:v>23.679899218998489</c:v>
                </c:pt>
                <c:pt idx="175">
                  <c:v>23.980005451384567</c:v>
                </c:pt>
                <c:pt idx="176">
                  <c:v>24.276007060665091</c:v>
                </c:pt>
                <c:pt idx="177">
                  <c:v>24.584302225862469</c:v>
                </c:pt>
                <c:pt idx="178">
                  <c:v>24.884279225390266</c:v>
                </c:pt>
                <c:pt idx="179">
                  <c:v>25.202869816227462</c:v>
                </c:pt>
                <c:pt idx="180">
                  <c:v>25.514303823284543</c:v>
                </c:pt>
                <c:pt idx="181">
                  <c:v>25.822838985875773</c:v>
                </c:pt>
                <c:pt idx="182">
                  <c:v>26.151258905758752</c:v>
                </c:pt>
                <c:pt idx="183">
                  <c:v>26.467494785950844</c:v>
                </c:pt>
                <c:pt idx="184">
                  <c:v>26.814662857936437</c:v>
                </c:pt>
                <c:pt idx="185">
                  <c:v>27.173433482603631</c:v>
                </c:pt>
                <c:pt idx="186">
                  <c:v>27.528037782492383</c:v>
                </c:pt>
                <c:pt idx="187">
                  <c:v>27.882450908163456</c:v>
                </c:pt>
                <c:pt idx="188">
                  <c:v>28.283538540941485</c:v>
                </c:pt>
                <c:pt idx="189">
                  <c:v>28.691575224087067</c:v>
                </c:pt>
                <c:pt idx="190">
                  <c:v>29.116280835388974</c:v>
                </c:pt>
                <c:pt idx="191">
                  <c:v>29.519284605272478</c:v>
                </c:pt>
                <c:pt idx="192">
                  <c:v>29.917362110004934</c:v>
                </c:pt>
                <c:pt idx="193">
                  <c:v>30.31746777788797</c:v>
                </c:pt>
                <c:pt idx="194">
                  <c:v>30.745179741910107</c:v>
                </c:pt>
                <c:pt idx="195">
                  <c:v>31.181761139900807</c:v>
                </c:pt>
                <c:pt idx="196">
                  <c:v>31.595489613453747</c:v>
                </c:pt>
                <c:pt idx="197">
                  <c:v>32.001898157306364</c:v>
                </c:pt>
                <c:pt idx="198">
                  <c:v>32.410390326211207</c:v>
                </c:pt>
                <c:pt idx="199">
                  <c:v>32.852346956870733</c:v>
                </c:pt>
                <c:pt idx="200">
                  <c:v>33.352836699607622</c:v>
                </c:pt>
                <c:pt idx="201">
                  <c:v>33.836683827748715</c:v>
                </c:pt>
                <c:pt idx="202">
                  <c:v>34.31162245002723</c:v>
                </c:pt>
                <c:pt idx="203">
                  <c:v>34.781045829265778</c:v>
                </c:pt>
                <c:pt idx="204">
                  <c:v>35.281283509115696</c:v>
                </c:pt>
                <c:pt idx="205">
                  <c:v>35.823730171658241</c:v>
                </c:pt>
                <c:pt idx="206">
                  <c:v>36.346235237253254</c:v>
                </c:pt>
                <c:pt idx="207">
                  <c:v>36.874502423562866</c:v>
                </c:pt>
                <c:pt idx="208">
                  <c:v>37.412767077783016</c:v>
                </c:pt>
                <c:pt idx="209">
                  <c:v>38.009604042362362</c:v>
                </c:pt>
                <c:pt idx="210">
                  <c:v>38.563837116008628</c:v>
                </c:pt>
                <c:pt idx="211">
                  <c:v>39.122202423202296</c:v>
                </c:pt>
                <c:pt idx="212">
                  <c:v>39.692060473566876</c:v>
                </c:pt>
                <c:pt idx="213">
                  <c:v>40.280170108561222</c:v>
                </c:pt>
                <c:pt idx="214">
                  <c:v>40.929746398043335</c:v>
                </c:pt>
                <c:pt idx="215">
                  <c:v>41.564290294228279</c:v>
                </c:pt>
                <c:pt idx="216">
                  <c:v>42.240938821149904</c:v>
                </c:pt>
                <c:pt idx="217">
                  <c:v>42.937895267772156</c:v>
                </c:pt>
                <c:pt idx="218">
                  <c:v>43.627146811277832</c:v>
                </c:pt>
                <c:pt idx="219">
                  <c:v>44.322791058419043</c:v>
                </c:pt>
                <c:pt idx="220">
                  <c:v>45.064236981939132</c:v>
                </c:pt>
                <c:pt idx="221">
                  <c:v>45.778742951444592</c:v>
                </c:pt>
                <c:pt idx="222">
                  <c:v>46.515119207531086</c:v>
                </c:pt>
                <c:pt idx="223">
                  <c:v>47.265863105559504</c:v>
                </c:pt>
                <c:pt idx="224">
                  <c:v>48.017113154639581</c:v>
                </c:pt>
                <c:pt idx="225">
                  <c:v>48.748218324711779</c:v>
                </c:pt>
                <c:pt idx="226">
                  <c:v>49.506471126567938</c:v>
                </c:pt>
                <c:pt idx="227">
                  <c:v>50.272420418607282</c:v>
                </c:pt>
                <c:pt idx="228">
                  <c:v>51.066004155326311</c:v>
                </c:pt>
                <c:pt idx="229">
                  <c:v>51.966560789025692</c:v>
                </c:pt>
                <c:pt idx="230">
                  <c:v>52.838437798509382</c:v>
                </c:pt>
                <c:pt idx="231">
                  <c:v>53.700078589968768</c:v>
                </c:pt>
                <c:pt idx="232">
                  <c:v>54.516187839325404</c:v>
                </c:pt>
                <c:pt idx="233">
                  <c:v>55.382414159284046</c:v>
                </c:pt>
                <c:pt idx="234">
                  <c:v>56.290328990794627</c:v>
                </c:pt>
                <c:pt idx="235">
                  <c:v>57.235138761456113</c:v>
                </c:pt>
                <c:pt idx="236">
                  <c:v>58.132471746373824</c:v>
                </c:pt>
                <c:pt idx="237">
                  <c:v>59.004751823386258</c:v>
                </c:pt>
                <c:pt idx="238">
                  <c:v>59.87434578466204</c:v>
                </c:pt>
                <c:pt idx="239">
                  <c:v>60.82032237685074</c:v>
                </c:pt>
                <c:pt idx="240">
                  <c:v>61.772956259463484</c:v>
                </c:pt>
                <c:pt idx="241">
                  <c:v>62.687097265411566</c:v>
                </c:pt>
                <c:pt idx="242">
                  <c:v>63.715120947666598</c:v>
                </c:pt>
                <c:pt idx="243">
                  <c:v>64.780456981339583</c:v>
                </c:pt>
                <c:pt idx="244">
                  <c:v>65.887382881198988</c:v>
                </c:pt>
                <c:pt idx="245">
                  <c:v>66.987905054654036</c:v>
                </c:pt>
                <c:pt idx="246">
                  <c:v>68.07876386528784</c:v>
                </c:pt>
                <c:pt idx="247">
                  <c:v>69.168015443513355</c:v>
                </c:pt>
                <c:pt idx="248">
                  <c:v>70.248458014614712</c:v>
                </c:pt>
                <c:pt idx="249">
                  <c:v>71.378083492739805</c:v>
                </c:pt>
                <c:pt idx="250">
                  <c:v>72.607945591093937</c:v>
                </c:pt>
                <c:pt idx="251">
                  <c:v>73.879570285575767</c:v>
                </c:pt>
                <c:pt idx="252">
                  <c:v>75.226745464532058</c:v>
                </c:pt>
                <c:pt idx="253">
                  <c:v>76.556665893470708</c:v>
                </c:pt>
                <c:pt idx="254">
                  <c:v>77.89771283358111</c:v>
                </c:pt>
                <c:pt idx="255">
                  <c:v>79.203668601737874</c:v>
                </c:pt>
                <c:pt idx="256">
                  <c:v>80.577766862812965</c:v>
                </c:pt>
                <c:pt idx="257">
                  <c:v>81.976875670747319</c:v>
                </c:pt>
                <c:pt idx="258">
                  <c:v>83.333164043899686</c:v>
                </c:pt>
                <c:pt idx="259">
                  <c:v>84.775623289850927</c:v>
                </c:pt>
                <c:pt idx="260">
                  <c:v>86.340972044537168</c:v>
                </c:pt>
                <c:pt idx="261">
                  <c:v>87.999899406668433</c:v>
                </c:pt>
                <c:pt idx="262">
                  <c:v>89.582287840971802</c:v>
                </c:pt>
                <c:pt idx="263">
                  <c:v>91.112733409256137</c:v>
                </c:pt>
                <c:pt idx="264">
                  <c:v>92.781395050705001</c:v>
                </c:pt>
                <c:pt idx="265">
                  <c:v>94.428315110562963</c:v>
                </c:pt>
                <c:pt idx="266">
                  <c:v>96.065690385067285</c:v>
                </c:pt>
                <c:pt idx="267">
                  <c:v>97.753668536217504</c:v>
                </c:pt>
                <c:pt idx="268">
                  <c:v>99.467979469781326</c:v>
                </c:pt>
                <c:pt idx="269">
                  <c:v>101.16938797103522</c:v>
                </c:pt>
                <c:pt idx="270">
                  <c:v>102.8713647815452</c:v>
                </c:pt>
                <c:pt idx="271">
                  <c:v>104.63451611163322</c:v>
                </c:pt>
                <c:pt idx="272">
                  <c:v>106.39591993587784</c:v>
                </c:pt>
                <c:pt idx="273">
                  <c:v>108.25820363522072</c:v>
                </c:pt>
                <c:pt idx="274">
                  <c:v>110.15222783688661</c:v>
                </c:pt>
                <c:pt idx="275">
                  <c:v>111.99151180712586</c:v>
                </c:pt>
                <c:pt idx="276">
                  <c:v>114.07290443244241</c:v>
                </c:pt>
                <c:pt idx="277">
                  <c:v>116.21446143896925</c:v>
                </c:pt>
                <c:pt idx="278">
                  <c:v>118.21599034511257</c:v>
                </c:pt>
                <c:pt idx="279">
                  <c:v>120.31365791247532</c:v>
                </c:pt>
                <c:pt idx="280">
                  <c:v>122.37281553254975</c:v>
                </c:pt>
                <c:pt idx="281">
                  <c:v>124.50498339536958</c:v>
                </c:pt>
                <c:pt idx="282">
                  <c:v>126.7967080359506</c:v>
                </c:pt>
                <c:pt idx="283">
                  <c:v>129.07209090489201</c:v>
                </c:pt>
                <c:pt idx="284">
                  <c:v>131.23408036565547</c:v>
                </c:pt>
                <c:pt idx="285">
                  <c:v>133.46168613159347</c:v>
                </c:pt>
                <c:pt idx="286">
                  <c:v>135.73796753297884</c:v>
                </c:pt>
                <c:pt idx="287">
                  <c:v>138.21402168583086</c:v>
                </c:pt>
                <c:pt idx="288">
                  <c:v>140.67879741174991</c:v>
                </c:pt>
                <c:pt idx="289">
                  <c:v>143.0439968102024</c:v>
                </c:pt>
                <c:pt idx="290">
                  <c:v>145.38956996586705</c:v>
                </c:pt>
                <c:pt idx="291">
                  <c:v>147.81592829888649</c:v>
                </c:pt>
                <c:pt idx="292">
                  <c:v>150.33243884322124</c:v>
                </c:pt>
                <c:pt idx="293">
                  <c:v>152.90426334883878</c:v>
                </c:pt>
                <c:pt idx="294">
                  <c:v>155.50730045618184</c:v>
                </c:pt>
                <c:pt idx="295">
                  <c:v>158.21849924143487</c:v>
                </c:pt>
                <c:pt idx="296">
                  <c:v>160.87974563290331</c:v>
                </c:pt>
                <c:pt idx="297">
                  <c:v>163.5524724874999</c:v>
                </c:pt>
                <c:pt idx="298">
                  <c:v>166.34799632891472</c:v>
                </c:pt>
                <c:pt idx="299">
                  <c:v>169.1328265393181</c:v>
                </c:pt>
                <c:pt idx="300">
                  <c:v>171.76280534550168</c:v>
                </c:pt>
                <c:pt idx="301">
                  <c:v>174.67598600811093</c:v>
                </c:pt>
                <c:pt idx="302">
                  <c:v>177.74966035912098</c:v>
                </c:pt>
                <c:pt idx="303">
                  <c:v>180.67281354601698</c:v>
                </c:pt>
                <c:pt idx="304">
                  <c:v>183.56572341332827</c:v>
                </c:pt>
                <c:pt idx="305">
                  <c:v>186.45949371933753</c:v>
                </c:pt>
                <c:pt idx="306">
                  <c:v>189.33373427965077</c:v>
                </c:pt>
                <c:pt idx="307">
                  <c:v>192.21524708715808</c:v>
                </c:pt>
                <c:pt idx="308">
                  <c:v>195.24797041138734</c:v>
                </c:pt>
                <c:pt idx="309">
                  <c:v>198.38606555007453</c:v>
                </c:pt>
                <c:pt idx="310">
                  <c:v>201.64745705914098</c:v>
                </c:pt>
                <c:pt idx="311">
                  <c:v>204.95886622885823</c:v>
                </c:pt>
                <c:pt idx="312">
                  <c:v>208.19265434474414</c:v>
                </c:pt>
                <c:pt idx="313">
                  <c:v>211.26006009134275</c:v>
                </c:pt>
                <c:pt idx="314">
                  <c:v>214.31391955694446</c:v>
                </c:pt>
                <c:pt idx="315">
                  <c:v>217.68729840629112</c:v>
                </c:pt>
                <c:pt idx="316">
                  <c:v>220.73533636970038</c:v>
                </c:pt>
                <c:pt idx="317">
                  <c:v>223.8907726276347</c:v>
                </c:pt>
                <c:pt idx="318">
                  <c:v>227.0642082668696</c:v>
                </c:pt>
                <c:pt idx="319">
                  <c:v>230.32089270252658</c:v>
                </c:pt>
                <c:pt idx="320">
                  <c:v>233.61652399565583</c:v>
                </c:pt>
                <c:pt idx="321">
                  <c:v>236.91354030379421</c:v>
                </c:pt>
                <c:pt idx="322">
                  <c:v>240.35088036079696</c:v>
                </c:pt>
                <c:pt idx="323">
                  <c:v>243.90404679545969</c:v>
                </c:pt>
                <c:pt idx="324">
                  <c:v>247.16152249401659</c:v>
                </c:pt>
                <c:pt idx="325">
                  <c:v>250.33210813525471</c:v>
                </c:pt>
                <c:pt idx="326">
                  <c:v>253.43192162428329</c:v>
                </c:pt>
                <c:pt idx="327">
                  <c:v>256.65890180897304</c:v>
                </c:pt>
                <c:pt idx="328">
                  <c:v>260.12507223113113</c:v>
                </c:pt>
                <c:pt idx="329">
                  <c:v>263.68807416246636</c:v>
                </c:pt>
                <c:pt idx="330">
                  <c:v>267.14611244288562</c:v>
                </c:pt>
                <c:pt idx="331">
                  <c:v>270.54826722482176</c:v>
                </c:pt>
                <c:pt idx="332">
                  <c:v>273.96901144259397</c:v>
                </c:pt>
                <c:pt idx="333">
                  <c:v>277.3356308477089</c:v>
                </c:pt>
                <c:pt idx="334">
                  <c:v>280.64891839995141</c:v>
                </c:pt>
                <c:pt idx="335">
                  <c:v>284.11224859233255</c:v>
                </c:pt>
                <c:pt idx="336">
                  <c:v>287.46073323043504</c:v>
                </c:pt>
                <c:pt idx="337">
                  <c:v>290.81525640597658</c:v>
                </c:pt>
                <c:pt idx="338">
                  <c:v>294.17920937912538</c:v>
                </c:pt>
                <c:pt idx="339">
                  <c:v>297.52065172663231</c:v>
                </c:pt>
                <c:pt idx="340">
                  <c:v>300.90324948937013</c:v>
                </c:pt>
                <c:pt idx="341">
                  <c:v>304.22843335130869</c:v>
                </c:pt>
                <c:pt idx="342">
                  <c:v>307.39945756340694</c:v>
                </c:pt>
                <c:pt idx="343">
                  <c:v>310.44461709681531</c:v>
                </c:pt>
                <c:pt idx="344">
                  <c:v>313.73223356678761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45011</c:v>
                </c:pt>
                <c:pt idx="1">
                  <c:v>45012</c:v>
                </c:pt>
                <c:pt idx="2">
                  <c:v>45013</c:v>
                </c:pt>
                <c:pt idx="3">
                  <c:v>45014</c:v>
                </c:pt>
                <c:pt idx="4">
                  <c:v>45015</c:v>
                </c:pt>
                <c:pt idx="5">
                  <c:v>45016</c:v>
                </c:pt>
                <c:pt idx="6">
                  <c:v>45017</c:v>
                </c:pt>
                <c:pt idx="7">
                  <c:v>45018</c:v>
                </c:pt>
                <c:pt idx="8">
                  <c:v>45019</c:v>
                </c:pt>
                <c:pt idx="9">
                  <c:v>45020</c:v>
                </c:pt>
                <c:pt idx="10">
                  <c:v>45021</c:v>
                </c:pt>
                <c:pt idx="11">
                  <c:v>45022</c:v>
                </c:pt>
                <c:pt idx="12">
                  <c:v>45023</c:v>
                </c:pt>
                <c:pt idx="13">
                  <c:v>45024</c:v>
                </c:pt>
                <c:pt idx="14">
                  <c:v>45025</c:v>
                </c:pt>
                <c:pt idx="15">
                  <c:v>45026</c:v>
                </c:pt>
                <c:pt idx="16">
                  <c:v>45027</c:v>
                </c:pt>
                <c:pt idx="17">
                  <c:v>45028</c:v>
                </c:pt>
                <c:pt idx="18">
                  <c:v>45029</c:v>
                </c:pt>
                <c:pt idx="19">
                  <c:v>45030</c:v>
                </c:pt>
                <c:pt idx="20">
                  <c:v>45031</c:v>
                </c:pt>
                <c:pt idx="21">
                  <c:v>45032</c:v>
                </c:pt>
                <c:pt idx="22">
                  <c:v>45033</c:v>
                </c:pt>
                <c:pt idx="23">
                  <c:v>45034</c:v>
                </c:pt>
                <c:pt idx="24">
                  <c:v>45035</c:v>
                </c:pt>
                <c:pt idx="25">
                  <c:v>45036</c:v>
                </c:pt>
                <c:pt idx="26">
                  <c:v>45037</c:v>
                </c:pt>
                <c:pt idx="27">
                  <c:v>45038</c:v>
                </c:pt>
                <c:pt idx="28">
                  <c:v>45039</c:v>
                </c:pt>
                <c:pt idx="29">
                  <c:v>45040</c:v>
                </c:pt>
                <c:pt idx="30">
                  <c:v>45041</c:v>
                </c:pt>
                <c:pt idx="31">
                  <c:v>45042</c:v>
                </c:pt>
                <c:pt idx="32">
                  <c:v>45043</c:v>
                </c:pt>
                <c:pt idx="33">
                  <c:v>45044</c:v>
                </c:pt>
                <c:pt idx="34">
                  <c:v>45045</c:v>
                </c:pt>
                <c:pt idx="35">
                  <c:v>45046</c:v>
                </c:pt>
                <c:pt idx="36">
                  <c:v>45047</c:v>
                </c:pt>
                <c:pt idx="37">
                  <c:v>45048</c:v>
                </c:pt>
                <c:pt idx="38">
                  <c:v>45049</c:v>
                </c:pt>
                <c:pt idx="39">
                  <c:v>45050</c:v>
                </c:pt>
                <c:pt idx="40">
                  <c:v>45051</c:v>
                </c:pt>
                <c:pt idx="41">
                  <c:v>45052</c:v>
                </c:pt>
                <c:pt idx="42">
                  <c:v>45053</c:v>
                </c:pt>
                <c:pt idx="43">
                  <c:v>45054</c:v>
                </c:pt>
                <c:pt idx="44">
                  <c:v>45055</c:v>
                </c:pt>
                <c:pt idx="45">
                  <c:v>45056</c:v>
                </c:pt>
                <c:pt idx="46">
                  <c:v>45057</c:v>
                </c:pt>
                <c:pt idx="47">
                  <c:v>45058</c:v>
                </c:pt>
                <c:pt idx="48">
                  <c:v>45059</c:v>
                </c:pt>
                <c:pt idx="49">
                  <c:v>45060</c:v>
                </c:pt>
                <c:pt idx="50">
                  <c:v>45061</c:v>
                </c:pt>
                <c:pt idx="51">
                  <c:v>45062</c:v>
                </c:pt>
                <c:pt idx="52">
                  <c:v>45063</c:v>
                </c:pt>
                <c:pt idx="53">
                  <c:v>45064</c:v>
                </c:pt>
                <c:pt idx="54">
                  <c:v>45065</c:v>
                </c:pt>
                <c:pt idx="55">
                  <c:v>45066</c:v>
                </c:pt>
                <c:pt idx="56">
                  <c:v>45067</c:v>
                </c:pt>
                <c:pt idx="57">
                  <c:v>45068</c:v>
                </c:pt>
                <c:pt idx="58">
                  <c:v>45069</c:v>
                </c:pt>
                <c:pt idx="59">
                  <c:v>45070</c:v>
                </c:pt>
                <c:pt idx="60">
                  <c:v>45071</c:v>
                </c:pt>
                <c:pt idx="61">
                  <c:v>45072</c:v>
                </c:pt>
                <c:pt idx="62">
                  <c:v>45073</c:v>
                </c:pt>
                <c:pt idx="63">
                  <c:v>45074</c:v>
                </c:pt>
                <c:pt idx="64">
                  <c:v>45075</c:v>
                </c:pt>
                <c:pt idx="65">
                  <c:v>45076</c:v>
                </c:pt>
                <c:pt idx="66">
                  <c:v>45077</c:v>
                </c:pt>
                <c:pt idx="67">
                  <c:v>45078</c:v>
                </c:pt>
                <c:pt idx="68">
                  <c:v>45079</c:v>
                </c:pt>
                <c:pt idx="69">
                  <c:v>45080</c:v>
                </c:pt>
                <c:pt idx="70">
                  <c:v>45081</c:v>
                </c:pt>
                <c:pt idx="71">
                  <c:v>45082</c:v>
                </c:pt>
                <c:pt idx="72">
                  <c:v>45083</c:v>
                </c:pt>
                <c:pt idx="73">
                  <c:v>45084</c:v>
                </c:pt>
                <c:pt idx="74">
                  <c:v>45085</c:v>
                </c:pt>
                <c:pt idx="75">
                  <c:v>45086</c:v>
                </c:pt>
                <c:pt idx="76">
                  <c:v>45087</c:v>
                </c:pt>
                <c:pt idx="77">
                  <c:v>45088</c:v>
                </c:pt>
                <c:pt idx="78">
                  <c:v>45089</c:v>
                </c:pt>
                <c:pt idx="79">
                  <c:v>45090</c:v>
                </c:pt>
                <c:pt idx="80">
                  <c:v>45091</c:v>
                </c:pt>
                <c:pt idx="81">
                  <c:v>45092</c:v>
                </c:pt>
                <c:pt idx="82">
                  <c:v>45093</c:v>
                </c:pt>
                <c:pt idx="83">
                  <c:v>45094</c:v>
                </c:pt>
                <c:pt idx="84">
                  <c:v>45095</c:v>
                </c:pt>
                <c:pt idx="85">
                  <c:v>45096</c:v>
                </c:pt>
                <c:pt idx="86">
                  <c:v>45097</c:v>
                </c:pt>
                <c:pt idx="87">
                  <c:v>45098</c:v>
                </c:pt>
                <c:pt idx="88">
                  <c:v>45099</c:v>
                </c:pt>
                <c:pt idx="89">
                  <c:v>45100</c:v>
                </c:pt>
                <c:pt idx="90">
                  <c:v>45101</c:v>
                </c:pt>
                <c:pt idx="91">
                  <c:v>45102</c:v>
                </c:pt>
                <c:pt idx="92">
                  <c:v>45103</c:v>
                </c:pt>
                <c:pt idx="93">
                  <c:v>45104</c:v>
                </c:pt>
                <c:pt idx="94">
                  <c:v>45105</c:v>
                </c:pt>
                <c:pt idx="95">
                  <c:v>45106</c:v>
                </c:pt>
                <c:pt idx="96">
                  <c:v>45107</c:v>
                </c:pt>
                <c:pt idx="97">
                  <c:v>45108</c:v>
                </c:pt>
                <c:pt idx="98">
                  <c:v>45109</c:v>
                </c:pt>
                <c:pt idx="99">
                  <c:v>45110</c:v>
                </c:pt>
                <c:pt idx="100">
                  <c:v>45111</c:v>
                </c:pt>
                <c:pt idx="101">
                  <c:v>45112</c:v>
                </c:pt>
                <c:pt idx="102">
                  <c:v>45113</c:v>
                </c:pt>
                <c:pt idx="103">
                  <c:v>45114</c:v>
                </c:pt>
                <c:pt idx="104">
                  <c:v>45115</c:v>
                </c:pt>
                <c:pt idx="105">
                  <c:v>45116</c:v>
                </c:pt>
                <c:pt idx="106">
                  <c:v>45117</c:v>
                </c:pt>
                <c:pt idx="107">
                  <c:v>45118</c:v>
                </c:pt>
                <c:pt idx="108">
                  <c:v>45119</c:v>
                </c:pt>
                <c:pt idx="109">
                  <c:v>45120</c:v>
                </c:pt>
                <c:pt idx="110">
                  <c:v>45121</c:v>
                </c:pt>
                <c:pt idx="111">
                  <c:v>45122</c:v>
                </c:pt>
                <c:pt idx="112">
                  <c:v>45123</c:v>
                </c:pt>
                <c:pt idx="113">
                  <c:v>45124</c:v>
                </c:pt>
                <c:pt idx="114">
                  <c:v>45125</c:v>
                </c:pt>
                <c:pt idx="115">
                  <c:v>45126</c:v>
                </c:pt>
                <c:pt idx="116">
                  <c:v>45127</c:v>
                </c:pt>
                <c:pt idx="117">
                  <c:v>45128</c:v>
                </c:pt>
                <c:pt idx="118">
                  <c:v>45129</c:v>
                </c:pt>
                <c:pt idx="119">
                  <c:v>45130</c:v>
                </c:pt>
                <c:pt idx="120">
                  <c:v>45131</c:v>
                </c:pt>
                <c:pt idx="121">
                  <c:v>45132</c:v>
                </c:pt>
                <c:pt idx="122">
                  <c:v>45133</c:v>
                </c:pt>
                <c:pt idx="123">
                  <c:v>45134</c:v>
                </c:pt>
                <c:pt idx="124">
                  <c:v>45135</c:v>
                </c:pt>
                <c:pt idx="125">
                  <c:v>45136</c:v>
                </c:pt>
                <c:pt idx="126">
                  <c:v>45137</c:v>
                </c:pt>
                <c:pt idx="127">
                  <c:v>45138</c:v>
                </c:pt>
                <c:pt idx="128">
                  <c:v>45139</c:v>
                </c:pt>
                <c:pt idx="129">
                  <c:v>45140</c:v>
                </c:pt>
                <c:pt idx="130">
                  <c:v>45141</c:v>
                </c:pt>
                <c:pt idx="131">
                  <c:v>45142</c:v>
                </c:pt>
                <c:pt idx="132">
                  <c:v>45143</c:v>
                </c:pt>
                <c:pt idx="133">
                  <c:v>45144</c:v>
                </c:pt>
                <c:pt idx="134">
                  <c:v>45145</c:v>
                </c:pt>
                <c:pt idx="135">
                  <c:v>45146</c:v>
                </c:pt>
                <c:pt idx="136">
                  <c:v>45147</c:v>
                </c:pt>
                <c:pt idx="137">
                  <c:v>45148</c:v>
                </c:pt>
                <c:pt idx="138">
                  <c:v>45149</c:v>
                </c:pt>
                <c:pt idx="139">
                  <c:v>45150</c:v>
                </c:pt>
                <c:pt idx="140">
                  <c:v>45151</c:v>
                </c:pt>
                <c:pt idx="141">
                  <c:v>45152</c:v>
                </c:pt>
                <c:pt idx="142">
                  <c:v>45153</c:v>
                </c:pt>
                <c:pt idx="143">
                  <c:v>45154</c:v>
                </c:pt>
                <c:pt idx="144">
                  <c:v>45155</c:v>
                </c:pt>
                <c:pt idx="145">
                  <c:v>45156</c:v>
                </c:pt>
                <c:pt idx="146">
                  <c:v>45157</c:v>
                </c:pt>
                <c:pt idx="147">
                  <c:v>45158</c:v>
                </c:pt>
                <c:pt idx="148">
                  <c:v>45159</c:v>
                </c:pt>
                <c:pt idx="149">
                  <c:v>45160</c:v>
                </c:pt>
                <c:pt idx="150">
                  <c:v>45161</c:v>
                </c:pt>
                <c:pt idx="151">
                  <c:v>45162</c:v>
                </c:pt>
                <c:pt idx="152">
                  <c:v>45163</c:v>
                </c:pt>
                <c:pt idx="153">
                  <c:v>45164</c:v>
                </c:pt>
                <c:pt idx="154">
                  <c:v>45165</c:v>
                </c:pt>
                <c:pt idx="155">
                  <c:v>45166</c:v>
                </c:pt>
                <c:pt idx="156">
                  <c:v>45167</c:v>
                </c:pt>
                <c:pt idx="157">
                  <c:v>45168</c:v>
                </c:pt>
                <c:pt idx="158">
                  <c:v>45169</c:v>
                </c:pt>
                <c:pt idx="159">
                  <c:v>45170</c:v>
                </c:pt>
                <c:pt idx="160">
                  <c:v>45171</c:v>
                </c:pt>
                <c:pt idx="161">
                  <c:v>45172</c:v>
                </c:pt>
                <c:pt idx="162">
                  <c:v>45173</c:v>
                </c:pt>
                <c:pt idx="163">
                  <c:v>45174</c:v>
                </c:pt>
                <c:pt idx="164">
                  <c:v>45175</c:v>
                </c:pt>
                <c:pt idx="165">
                  <c:v>45176</c:v>
                </c:pt>
                <c:pt idx="166">
                  <c:v>45177</c:v>
                </c:pt>
                <c:pt idx="167">
                  <c:v>45178</c:v>
                </c:pt>
                <c:pt idx="168">
                  <c:v>45179</c:v>
                </c:pt>
                <c:pt idx="169">
                  <c:v>45180</c:v>
                </c:pt>
                <c:pt idx="170">
                  <c:v>45181</c:v>
                </c:pt>
                <c:pt idx="171">
                  <c:v>45182</c:v>
                </c:pt>
                <c:pt idx="172">
                  <c:v>45183</c:v>
                </c:pt>
                <c:pt idx="173">
                  <c:v>45184</c:v>
                </c:pt>
                <c:pt idx="174">
                  <c:v>45185</c:v>
                </c:pt>
                <c:pt idx="175">
                  <c:v>45186</c:v>
                </c:pt>
                <c:pt idx="176">
                  <c:v>45187</c:v>
                </c:pt>
                <c:pt idx="177">
                  <c:v>45188</c:v>
                </c:pt>
                <c:pt idx="178">
                  <c:v>45189</c:v>
                </c:pt>
                <c:pt idx="179">
                  <c:v>45190</c:v>
                </c:pt>
                <c:pt idx="180">
                  <c:v>45191</c:v>
                </c:pt>
                <c:pt idx="181">
                  <c:v>45192</c:v>
                </c:pt>
                <c:pt idx="182">
                  <c:v>45193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45199</c:v>
                </c:pt>
                <c:pt idx="189">
                  <c:v>45200</c:v>
                </c:pt>
                <c:pt idx="190">
                  <c:v>45201</c:v>
                </c:pt>
                <c:pt idx="191">
                  <c:v>45202</c:v>
                </c:pt>
                <c:pt idx="192">
                  <c:v>45203</c:v>
                </c:pt>
                <c:pt idx="193">
                  <c:v>45204</c:v>
                </c:pt>
                <c:pt idx="194">
                  <c:v>45205</c:v>
                </c:pt>
                <c:pt idx="195">
                  <c:v>45206</c:v>
                </c:pt>
                <c:pt idx="196">
                  <c:v>45207</c:v>
                </c:pt>
                <c:pt idx="197">
                  <c:v>45208</c:v>
                </c:pt>
                <c:pt idx="198">
                  <c:v>45209</c:v>
                </c:pt>
                <c:pt idx="199">
                  <c:v>45210</c:v>
                </c:pt>
                <c:pt idx="200">
                  <c:v>45211</c:v>
                </c:pt>
                <c:pt idx="201">
                  <c:v>45212</c:v>
                </c:pt>
                <c:pt idx="202">
                  <c:v>45213</c:v>
                </c:pt>
                <c:pt idx="203">
                  <c:v>45214</c:v>
                </c:pt>
                <c:pt idx="204">
                  <c:v>45215</c:v>
                </c:pt>
                <c:pt idx="205">
                  <c:v>45216</c:v>
                </c:pt>
                <c:pt idx="206">
                  <c:v>45217</c:v>
                </c:pt>
                <c:pt idx="207">
                  <c:v>45218</c:v>
                </c:pt>
                <c:pt idx="208">
                  <c:v>45219</c:v>
                </c:pt>
                <c:pt idx="209">
                  <c:v>45220</c:v>
                </c:pt>
                <c:pt idx="210">
                  <c:v>45221</c:v>
                </c:pt>
                <c:pt idx="211">
                  <c:v>45222</c:v>
                </c:pt>
                <c:pt idx="212">
                  <c:v>45223</c:v>
                </c:pt>
                <c:pt idx="213">
                  <c:v>45224</c:v>
                </c:pt>
                <c:pt idx="214">
                  <c:v>45225</c:v>
                </c:pt>
                <c:pt idx="215">
                  <c:v>45226</c:v>
                </c:pt>
                <c:pt idx="216">
                  <c:v>45227</c:v>
                </c:pt>
                <c:pt idx="217">
                  <c:v>45228</c:v>
                </c:pt>
                <c:pt idx="218">
                  <c:v>45229</c:v>
                </c:pt>
                <c:pt idx="219">
                  <c:v>45230</c:v>
                </c:pt>
                <c:pt idx="220">
                  <c:v>45231</c:v>
                </c:pt>
                <c:pt idx="221">
                  <c:v>45232</c:v>
                </c:pt>
                <c:pt idx="222">
                  <c:v>45233</c:v>
                </c:pt>
                <c:pt idx="223">
                  <c:v>45234</c:v>
                </c:pt>
                <c:pt idx="224">
                  <c:v>45235</c:v>
                </c:pt>
                <c:pt idx="225">
                  <c:v>45236</c:v>
                </c:pt>
                <c:pt idx="226">
                  <c:v>45237</c:v>
                </c:pt>
                <c:pt idx="227">
                  <c:v>45238</c:v>
                </c:pt>
                <c:pt idx="228">
                  <c:v>45239</c:v>
                </c:pt>
                <c:pt idx="229">
                  <c:v>45240</c:v>
                </c:pt>
                <c:pt idx="230">
                  <c:v>45241</c:v>
                </c:pt>
                <c:pt idx="231">
                  <c:v>45242</c:v>
                </c:pt>
                <c:pt idx="232">
                  <c:v>45243</c:v>
                </c:pt>
                <c:pt idx="233">
                  <c:v>45244</c:v>
                </c:pt>
                <c:pt idx="234">
                  <c:v>45245</c:v>
                </c:pt>
                <c:pt idx="235">
                  <c:v>45246</c:v>
                </c:pt>
                <c:pt idx="236">
                  <c:v>45247</c:v>
                </c:pt>
                <c:pt idx="237">
                  <c:v>45248</c:v>
                </c:pt>
                <c:pt idx="238">
                  <c:v>45249</c:v>
                </c:pt>
                <c:pt idx="239">
                  <c:v>45250</c:v>
                </c:pt>
                <c:pt idx="240">
                  <c:v>45251</c:v>
                </c:pt>
                <c:pt idx="241">
                  <c:v>45252</c:v>
                </c:pt>
                <c:pt idx="242">
                  <c:v>45253</c:v>
                </c:pt>
                <c:pt idx="243">
                  <c:v>45254</c:v>
                </c:pt>
                <c:pt idx="244">
                  <c:v>45255</c:v>
                </c:pt>
                <c:pt idx="245">
                  <c:v>45256</c:v>
                </c:pt>
                <c:pt idx="246">
                  <c:v>45257</c:v>
                </c:pt>
                <c:pt idx="247">
                  <c:v>45258</c:v>
                </c:pt>
                <c:pt idx="248">
                  <c:v>45259</c:v>
                </c:pt>
                <c:pt idx="249">
                  <c:v>45260</c:v>
                </c:pt>
                <c:pt idx="250">
                  <c:v>45261</c:v>
                </c:pt>
                <c:pt idx="251">
                  <c:v>45262</c:v>
                </c:pt>
                <c:pt idx="252">
                  <c:v>45263</c:v>
                </c:pt>
                <c:pt idx="253">
                  <c:v>45264</c:v>
                </c:pt>
                <c:pt idx="254">
                  <c:v>45265</c:v>
                </c:pt>
                <c:pt idx="255">
                  <c:v>45266</c:v>
                </c:pt>
                <c:pt idx="256">
                  <c:v>45267</c:v>
                </c:pt>
                <c:pt idx="257">
                  <c:v>45268</c:v>
                </c:pt>
                <c:pt idx="258">
                  <c:v>45269</c:v>
                </c:pt>
                <c:pt idx="259">
                  <c:v>45270</c:v>
                </c:pt>
                <c:pt idx="260">
                  <c:v>45271</c:v>
                </c:pt>
                <c:pt idx="261">
                  <c:v>45272</c:v>
                </c:pt>
                <c:pt idx="262">
                  <c:v>45273</c:v>
                </c:pt>
                <c:pt idx="263">
                  <c:v>45274</c:v>
                </c:pt>
                <c:pt idx="264">
                  <c:v>45275</c:v>
                </c:pt>
                <c:pt idx="265">
                  <c:v>45276</c:v>
                </c:pt>
                <c:pt idx="266">
                  <c:v>45277</c:v>
                </c:pt>
                <c:pt idx="267">
                  <c:v>45278</c:v>
                </c:pt>
                <c:pt idx="268">
                  <c:v>45279</c:v>
                </c:pt>
                <c:pt idx="269">
                  <c:v>45280</c:v>
                </c:pt>
                <c:pt idx="270">
                  <c:v>45281</c:v>
                </c:pt>
                <c:pt idx="271">
                  <c:v>45282</c:v>
                </c:pt>
                <c:pt idx="272">
                  <c:v>45283</c:v>
                </c:pt>
                <c:pt idx="273">
                  <c:v>45284</c:v>
                </c:pt>
                <c:pt idx="274">
                  <c:v>45285</c:v>
                </c:pt>
                <c:pt idx="275">
                  <c:v>45286</c:v>
                </c:pt>
                <c:pt idx="276">
                  <c:v>45287</c:v>
                </c:pt>
                <c:pt idx="277">
                  <c:v>45288</c:v>
                </c:pt>
                <c:pt idx="278">
                  <c:v>45289</c:v>
                </c:pt>
                <c:pt idx="279">
                  <c:v>45290</c:v>
                </c:pt>
                <c:pt idx="280">
                  <c:v>45291</c:v>
                </c:pt>
                <c:pt idx="281">
                  <c:v>45292</c:v>
                </c:pt>
                <c:pt idx="282">
                  <c:v>45293</c:v>
                </c:pt>
                <c:pt idx="283">
                  <c:v>45294</c:v>
                </c:pt>
                <c:pt idx="284">
                  <c:v>45295</c:v>
                </c:pt>
                <c:pt idx="285">
                  <c:v>45296</c:v>
                </c:pt>
                <c:pt idx="286">
                  <c:v>45297</c:v>
                </c:pt>
                <c:pt idx="287">
                  <c:v>45298</c:v>
                </c:pt>
                <c:pt idx="288">
                  <c:v>45299</c:v>
                </c:pt>
                <c:pt idx="289">
                  <c:v>45300</c:v>
                </c:pt>
                <c:pt idx="290">
                  <c:v>45301</c:v>
                </c:pt>
                <c:pt idx="291">
                  <c:v>45302</c:v>
                </c:pt>
                <c:pt idx="292">
                  <c:v>45303</c:v>
                </c:pt>
                <c:pt idx="293">
                  <c:v>45304</c:v>
                </c:pt>
                <c:pt idx="294">
                  <c:v>45305</c:v>
                </c:pt>
                <c:pt idx="295">
                  <c:v>45306</c:v>
                </c:pt>
                <c:pt idx="296">
                  <c:v>45307</c:v>
                </c:pt>
                <c:pt idx="297">
                  <c:v>45308</c:v>
                </c:pt>
                <c:pt idx="298">
                  <c:v>45309</c:v>
                </c:pt>
                <c:pt idx="299">
                  <c:v>45310</c:v>
                </c:pt>
                <c:pt idx="300">
                  <c:v>45311</c:v>
                </c:pt>
                <c:pt idx="301">
                  <c:v>45312</c:v>
                </c:pt>
                <c:pt idx="302">
                  <c:v>45313</c:v>
                </c:pt>
                <c:pt idx="303">
                  <c:v>45314</c:v>
                </c:pt>
                <c:pt idx="304">
                  <c:v>45315</c:v>
                </c:pt>
                <c:pt idx="305">
                  <c:v>45316</c:v>
                </c:pt>
                <c:pt idx="306">
                  <c:v>45317</c:v>
                </c:pt>
                <c:pt idx="307">
                  <c:v>45318</c:v>
                </c:pt>
                <c:pt idx="308">
                  <c:v>45319</c:v>
                </c:pt>
                <c:pt idx="309">
                  <c:v>45320</c:v>
                </c:pt>
                <c:pt idx="310">
                  <c:v>45321</c:v>
                </c:pt>
                <c:pt idx="311">
                  <c:v>45322</c:v>
                </c:pt>
                <c:pt idx="312">
                  <c:v>45323</c:v>
                </c:pt>
                <c:pt idx="313">
                  <c:v>45324</c:v>
                </c:pt>
                <c:pt idx="314">
                  <c:v>45325</c:v>
                </c:pt>
                <c:pt idx="315">
                  <c:v>45326</c:v>
                </c:pt>
                <c:pt idx="316">
                  <c:v>45327</c:v>
                </c:pt>
                <c:pt idx="317">
                  <c:v>45328</c:v>
                </c:pt>
                <c:pt idx="318">
                  <c:v>45329</c:v>
                </c:pt>
                <c:pt idx="319">
                  <c:v>45330</c:v>
                </c:pt>
                <c:pt idx="320">
                  <c:v>45331</c:v>
                </c:pt>
                <c:pt idx="321">
                  <c:v>45332</c:v>
                </c:pt>
                <c:pt idx="322">
                  <c:v>45333</c:v>
                </c:pt>
                <c:pt idx="323">
                  <c:v>45334</c:v>
                </c:pt>
                <c:pt idx="324">
                  <c:v>45335</c:v>
                </c:pt>
                <c:pt idx="325">
                  <c:v>45336</c:v>
                </c:pt>
                <c:pt idx="326">
                  <c:v>45337</c:v>
                </c:pt>
                <c:pt idx="327">
                  <c:v>45338</c:v>
                </c:pt>
                <c:pt idx="328">
                  <c:v>45339</c:v>
                </c:pt>
                <c:pt idx="329">
                  <c:v>45340</c:v>
                </c:pt>
                <c:pt idx="330">
                  <c:v>45341</c:v>
                </c:pt>
                <c:pt idx="331">
                  <c:v>45342</c:v>
                </c:pt>
                <c:pt idx="332">
                  <c:v>45343</c:v>
                </c:pt>
                <c:pt idx="333">
                  <c:v>45344</c:v>
                </c:pt>
                <c:pt idx="334">
                  <c:v>45345</c:v>
                </c:pt>
                <c:pt idx="335">
                  <c:v>45346</c:v>
                </c:pt>
                <c:pt idx="336">
                  <c:v>45347</c:v>
                </c:pt>
                <c:pt idx="337">
                  <c:v>45348</c:v>
                </c:pt>
                <c:pt idx="338">
                  <c:v>45349</c:v>
                </c:pt>
                <c:pt idx="339">
                  <c:v>45350</c:v>
                </c:pt>
                <c:pt idx="340">
                  <c:v>45351</c:v>
                </c:pt>
                <c:pt idx="341">
                  <c:v>45352</c:v>
                </c:pt>
                <c:pt idx="342">
                  <c:v>45353</c:v>
                </c:pt>
                <c:pt idx="343">
                  <c:v>45354</c:v>
                </c:pt>
                <c:pt idx="344">
                  <c:v>45355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48.230646460128419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224.93525223924183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45011</c:v>
                </c:pt>
                <c:pt idx="1">
                  <c:v>45012</c:v>
                </c:pt>
                <c:pt idx="2">
                  <c:v>45013</c:v>
                </c:pt>
                <c:pt idx="3">
                  <c:v>45014</c:v>
                </c:pt>
                <c:pt idx="4">
                  <c:v>45015</c:v>
                </c:pt>
                <c:pt idx="5">
                  <c:v>45016</c:v>
                </c:pt>
                <c:pt idx="6">
                  <c:v>45017</c:v>
                </c:pt>
                <c:pt idx="7">
                  <c:v>45018</c:v>
                </c:pt>
                <c:pt idx="8">
                  <c:v>45019</c:v>
                </c:pt>
                <c:pt idx="9">
                  <c:v>45020</c:v>
                </c:pt>
                <c:pt idx="10">
                  <c:v>45021</c:v>
                </c:pt>
                <c:pt idx="11">
                  <c:v>45022</c:v>
                </c:pt>
                <c:pt idx="12">
                  <c:v>45023</c:v>
                </c:pt>
                <c:pt idx="13">
                  <c:v>45024</c:v>
                </c:pt>
                <c:pt idx="14">
                  <c:v>45025</c:v>
                </c:pt>
                <c:pt idx="15">
                  <c:v>45026</c:v>
                </c:pt>
                <c:pt idx="16">
                  <c:v>45027</c:v>
                </c:pt>
                <c:pt idx="17">
                  <c:v>45028</c:v>
                </c:pt>
                <c:pt idx="18">
                  <c:v>45029</c:v>
                </c:pt>
                <c:pt idx="19">
                  <c:v>45030</c:v>
                </c:pt>
                <c:pt idx="20">
                  <c:v>45031</c:v>
                </c:pt>
                <c:pt idx="21">
                  <c:v>45032</c:v>
                </c:pt>
                <c:pt idx="22">
                  <c:v>45033</c:v>
                </c:pt>
                <c:pt idx="23">
                  <c:v>45034</c:v>
                </c:pt>
                <c:pt idx="24">
                  <c:v>45035</c:v>
                </c:pt>
                <c:pt idx="25">
                  <c:v>45036</c:v>
                </c:pt>
                <c:pt idx="26">
                  <c:v>45037</c:v>
                </c:pt>
                <c:pt idx="27">
                  <c:v>45038</c:v>
                </c:pt>
                <c:pt idx="28">
                  <c:v>45039</c:v>
                </c:pt>
                <c:pt idx="29">
                  <c:v>45040</c:v>
                </c:pt>
                <c:pt idx="30">
                  <c:v>45041</c:v>
                </c:pt>
                <c:pt idx="31">
                  <c:v>45042</c:v>
                </c:pt>
                <c:pt idx="32">
                  <c:v>45043</c:v>
                </c:pt>
                <c:pt idx="33">
                  <c:v>45044</c:v>
                </c:pt>
                <c:pt idx="34">
                  <c:v>45045</c:v>
                </c:pt>
                <c:pt idx="35">
                  <c:v>45046</c:v>
                </c:pt>
                <c:pt idx="36">
                  <c:v>45047</c:v>
                </c:pt>
                <c:pt idx="37">
                  <c:v>45048</c:v>
                </c:pt>
                <c:pt idx="38">
                  <c:v>45049</c:v>
                </c:pt>
                <c:pt idx="39">
                  <c:v>45050</c:v>
                </c:pt>
                <c:pt idx="40">
                  <c:v>45051</c:v>
                </c:pt>
                <c:pt idx="41">
                  <c:v>45052</c:v>
                </c:pt>
                <c:pt idx="42">
                  <c:v>45053</c:v>
                </c:pt>
                <c:pt idx="43">
                  <c:v>45054</c:v>
                </c:pt>
                <c:pt idx="44">
                  <c:v>45055</c:v>
                </c:pt>
                <c:pt idx="45">
                  <c:v>45056</c:v>
                </c:pt>
                <c:pt idx="46">
                  <c:v>45057</c:v>
                </c:pt>
                <c:pt idx="47">
                  <c:v>45058</c:v>
                </c:pt>
                <c:pt idx="48">
                  <c:v>45059</c:v>
                </c:pt>
                <c:pt idx="49">
                  <c:v>45060</c:v>
                </c:pt>
                <c:pt idx="50">
                  <c:v>45061</c:v>
                </c:pt>
                <c:pt idx="51">
                  <c:v>45062</c:v>
                </c:pt>
                <c:pt idx="52">
                  <c:v>45063</c:v>
                </c:pt>
                <c:pt idx="53">
                  <c:v>45064</c:v>
                </c:pt>
                <c:pt idx="54">
                  <c:v>45065</c:v>
                </c:pt>
                <c:pt idx="55">
                  <c:v>45066</c:v>
                </c:pt>
                <c:pt idx="56">
                  <c:v>45067</c:v>
                </c:pt>
                <c:pt idx="57">
                  <c:v>45068</c:v>
                </c:pt>
                <c:pt idx="58">
                  <c:v>45069</c:v>
                </c:pt>
                <c:pt idx="59">
                  <c:v>45070</c:v>
                </c:pt>
                <c:pt idx="60">
                  <c:v>45071</c:v>
                </c:pt>
                <c:pt idx="61">
                  <c:v>45072</c:v>
                </c:pt>
                <c:pt idx="62">
                  <c:v>45073</c:v>
                </c:pt>
                <c:pt idx="63">
                  <c:v>45074</c:v>
                </c:pt>
                <c:pt idx="64">
                  <c:v>45075</c:v>
                </c:pt>
                <c:pt idx="65">
                  <c:v>45076</c:v>
                </c:pt>
                <c:pt idx="66">
                  <c:v>45077</c:v>
                </c:pt>
                <c:pt idx="67">
                  <c:v>45078</c:v>
                </c:pt>
                <c:pt idx="68">
                  <c:v>45079</c:v>
                </c:pt>
                <c:pt idx="69">
                  <c:v>45080</c:v>
                </c:pt>
                <c:pt idx="70">
                  <c:v>45081</c:v>
                </c:pt>
                <c:pt idx="71">
                  <c:v>45082</c:v>
                </c:pt>
                <c:pt idx="72">
                  <c:v>45083</c:v>
                </c:pt>
                <c:pt idx="73">
                  <c:v>45084</c:v>
                </c:pt>
                <c:pt idx="74">
                  <c:v>45085</c:v>
                </c:pt>
                <c:pt idx="75">
                  <c:v>45086</c:v>
                </c:pt>
                <c:pt idx="76">
                  <c:v>45087</c:v>
                </c:pt>
                <c:pt idx="77">
                  <c:v>45088</c:v>
                </c:pt>
                <c:pt idx="78">
                  <c:v>45089</c:v>
                </c:pt>
                <c:pt idx="79">
                  <c:v>45090</c:v>
                </c:pt>
                <c:pt idx="80">
                  <c:v>45091</c:v>
                </c:pt>
                <c:pt idx="81">
                  <c:v>45092</c:v>
                </c:pt>
                <c:pt idx="82">
                  <c:v>45093</c:v>
                </c:pt>
                <c:pt idx="83">
                  <c:v>45094</c:v>
                </c:pt>
                <c:pt idx="84">
                  <c:v>45095</c:v>
                </c:pt>
                <c:pt idx="85">
                  <c:v>45096</c:v>
                </c:pt>
                <c:pt idx="86">
                  <c:v>45097</c:v>
                </c:pt>
                <c:pt idx="87">
                  <c:v>45098</c:v>
                </c:pt>
                <c:pt idx="88">
                  <c:v>45099</c:v>
                </c:pt>
                <c:pt idx="89">
                  <c:v>45100</c:v>
                </c:pt>
                <c:pt idx="90">
                  <c:v>45101</c:v>
                </c:pt>
                <c:pt idx="91">
                  <c:v>45102</c:v>
                </c:pt>
                <c:pt idx="92">
                  <c:v>45103</c:v>
                </c:pt>
                <c:pt idx="93">
                  <c:v>45104</c:v>
                </c:pt>
                <c:pt idx="94">
                  <c:v>45105</c:v>
                </c:pt>
                <c:pt idx="95">
                  <c:v>45106</c:v>
                </c:pt>
                <c:pt idx="96">
                  <c:v>45107</c:v>
                </c:pt>
                <c:pt idx="97">
                  <c:v>45108</c:v>
                </c:pt>
                <c:pt idx="98">
                  <c:v>45109</c:v>
                </c:pt>
                <c:pt idx="99">
                  <c:v>45110</c:v>
                </c:pt>
                <c:pt idx="100">
                  <c:v>45111</c:v>
                </c:pt>
                <c:pt idx="101">
                  <c:v>45112</c:v>
                </c:pt>
                <c:pt idx="102">
                  <c:v>45113</c:v>
                </c:pt>
                <c:pt idx="103">
                  <c:v>45114</c:v>
                </c:pt>
                <c:pt idx="104">
                  <c:v>45115</c:v>
                </c:pt>
                <c:pt idx="105">
                  <c:v>45116</c:v>
                </c:pt>
                <c:pt idx="106">
                  <c:v>45117</c:v>
                </c:pt>
                <c:pt idx="107">
                  <c:v>45118</c:v>
                </c:pt>
                <c:pt idx="108">
                  <c:v>45119</c:v>
                </c:pt>
                <c:pt idx="109">
                  <c:v>45120</c:v>
                </c:pt>
                <c:pt idx="110">
                  <c:v>45121</c:v>
                </c:pt>
                <c:pt idx="111">
                  <c:v>45122</c:v>
                </c:pt>
                <c:pt idx="112">
                  <c:v>45123</c:v>
                </c:pt>
                <c:pt idx="113">
                  <c:v>45124</c:v>
                </c:pt>
                <c:pt idx="114">
                  <c:v>45125</c:v>
                </c:pt>
                <c:pt idx="115">
                  <c:v>45126</c:v>
                </c:pt>
                <c:pt idx="116">
                  <c:v>45127</c:v>
                </c:pt>
                <c:pt idx="117">
                  <c:v>45128</c:v>
                </c:pt>
                <c:pt idx="118">
                  <c:v>45129</c:v>
                </c:pt>
                <c:pt idx="119">
                  <c:v>45130</c:v>
                </c:pt>
                <c:pt idx="120">
                  <c:v>45131</c:v>
                </c:pt>
                <c:pt idx="121">
                  <c:v>45132</c:v>
                </c:pt>
                <c:pt idx="122">
                  <c:v>45133</c:v>
                </c:pt>
                <c:pt idx="123">
                  <c:v>45134</c:v>
                </c:pt>
                <c:pt idx="124">
                  <c:v>45135</c:v>
                </c:pt>
                <c:pt idx="125">
                  <c:v>45136</c:v>
                </c:pt>
                <c:pt idx="126">
                  <c:v>45137</c:v>
                </c:pt>
                <c:pt idx="127">
                  <c:v>45138</c:v>
                </c:pt>
                <c:pt idx="128">
                  <c:v>45139</c:v>
                </c:pt>
                <c:pt idx="129">
                  <c:v>45140</c:v>
                </c:pt>
                <c:pt idx="130">
                  <c:v>45141</c:v>
                </c:pt>
                <c:pt idx="131">
                  <c:v>45142</c:v>
                </c:pt>
                <c:pt idx="132">
                  <c:v>45143</c:v>
                </c:pt>
                <c:pt idx="133">
                  <c:v>45144</c:v>
                </c:pt>
                <c:pt idx="134">
                  <c:v>45145</c:v>
                </c:pt>
                <c:pt idx="135">
                  <c:v>45146</c:v>
                </c:pt>
                <c:pt idx="136">
                  <c:v>45147</c:v>
                </c:pt>
                <c:pt idx="137">
                  <c:v>45148</c:v>
                </c:pt>
                <c:pt idx="138">
                  <c:v>45149</c:v>
                </c:pt>
                <c:pt idx="139">
                  <c:v>45150</c:v>
                </c:pt>
                <c:pt idx="140">
                  <c:v>45151</c:v>
                </c:pt>
                <c:pt idx="141">
                  <c:v>45152</c:v>
                </c:pt>
                <c:pt idx="142">
                  <c:v>45153</c:v>
                </c:pt>
                <c:pt idx="143">
                  <c:v>45154</c:v>
                </c:pt>
                <c:pt idx="144">
                  <c:v>45155</c:v>
                </c:pt>
                <c:pt idx="145">
                  <c:v>45156</c:v>
                </c:pt>
                <c:pt idx="146">
                  <c:v>45157</c:v>
                </c:pt>
                <c:pt idx="147">
                  <c:v>45158</c:v>
                </c:pt>
                <c:pt idx="148">
                  <c:v>45159</c:v>
                </c:pt>
                <c:pt idx="149">
                  <c:v>45160</c:v>
                </c:pt>
                <c:pt idx="150">
                  <c:v>45161</c:v>
                </c:pt>
                <c:pt idx="151">
                  <c:v>45162</c:v>
                </c:pt>
                <c:pt idx="152">
                  <c:v>45163</c:v>
                </c:pt>
                <c:pt idx="153">
                  <c:v>45164</c:v>
                </c:pt>
                <c:pt idx="154">
                  <c:v>45165</c:v>
                </c:pt>
                <c:pt idx="155">
                  <c:v>45166</c:v>
                </c:pt>
                <c:pt idx="156">
                  <c:v>45167</c:v>
                </c:pt>
                <c:pt idx="157">
                  <c:v>45168</c:v>
                </c:pt>
                <c:pt idx="158">
                  <c:v>45169</c:v>
                </c:pt>
                <c:pt idx="159">
                  <c:v>45170</c:v>
                </c:pt>
                <c:pt idx="160">
                  <c:v>45171</c:v>
                </c:pt>
                <c:pt idx="161">
                  <c:v>45172</c:v>
                </c:pt>
                <c:pt idx="162">
                  <c:v>45173</c:v>
                </c:pt>
                <c:pt idx="163">
                  <c:v>45174</c:v>
                </c:pt>
                <c:pt idx="164">
                  <c:v>45175</c:v>
                </c:pt>
                <c:pt idx="165">
                  <c:v>45176</c:v>
                </c:pt>
                <c:pt idx="166">
                  <c:v>45177</c:v>
                </c:pt>
                <c:pt idx="167">
                  <c:v>45178</c:v>
                </c:pt>
                <c:pt idx="168">
                  <c:v>45179</c:v>
                </c:pt>
                <c:pt idx="169">
                  <c:v>45180</c:v>
                </c:pt>
                <c:pt idx="170">
                  <c:v>45181</c:v>
                </c:pt>
                <c:pt idx="171">
                  <c:v>45182</c:v>
                </c:pt>
                <c:pt idx="172">
                  <c:v>45183</c:v>
                </c:pt>
                <c:pt idx="173">
                  <c:v>45184</c:v>
                </c:pt>
                <c:pt idx="174">
                  <c:v>45185</c:v>
                </c:pt>
                <c:pt idx="175">
                  <c:v>45186</c:v>
                </c:pt>
                <c:pt idx="176">
                  <c:v>45187</c:v>
                </c:pt>
                <c:pt idx="177">
                  <c:v>45188</c:v>
                </c:pt>
                <c:pt idx="178">
                  <c:v>45189</c:v>
                </c:pt>
                <c:pt idx="179">
                  <c:v>45190</c:v>
                </c:pt>
                <c:pt idx="180">
                  <c:v>45191</c:v>
                </c:pt>
                <c:pt idx="181">
                  <c:v>45192</c:v>
                </c:pt>
                <c:pt idx="182">
                  <c:v>45193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45199</c:v>
                </c:pt>
                <c:pt idx="189">
                  <c:v>45200</c:v>
                </c:pt>
                <c:pt idx="190">
                  <c:v>45201</c:v>
                </c:pt>
                <c:pt idx="191">
                  <c:v>45202</c:v>
                </c:pt>
                <c:pt idx="192">
                  <c:v>45203</c:v>
                </c:pt>
                <c:pt idx="193">
                  <c:v>45204</c:v>
                </c:pt>
                <c:pt idx="194">
                  <c:v>45205</c:v>
                </c:pt>
                <c:pt idx="195">
                  <c:v>45206</c:v>
                </c:pt>
                <c:pt idx="196">
                  <c:v>45207</c:v>
                </c:pt>
                <c:pt idx="197">
                  <c:v>45208</c:v>
                </c:pt>
                <c:pt idx="198">
                  <c:v>45209</c:v>
                </c:pt>
                <c:pt idx="199">
                  <c:v>45210</c:v>
                </c:pt>
                <c:pt idx="200">
                  <c:v>45211</c:v>
                </c:pt>
                <c:pt idx="201">
                  <c:v>45212</c:v>
                </c:pt>
                <c:pt idx="202">
                  <c:v>45213</c:v>
                </c:pt>
                <c:pt idx="203">
                  <c:v>45214</c:v>
                </c:pt>
                <c:pt idx="204">
                  <c:v>45215</c:v>
                </c:pt>
                <c:pt idx="205">
                  <c:v>45216</c:v>
                </c:pt>
                <c:pt idx="206">
                  <c:v>45217</c:v>
                </c:pt>
                <c:pt idx="207">
                  <c:v>45218</c:v>
                </c:pt>
                <c:pt idx="208">
                  <c:v>45219</c:v>
                </c:pt>
                <c:pt idx="209">
                  <c:v>45220</c:v>
                </c:pt>
                <c:pt idx="210">
                  <c:v>45221</c:v>
                </c:pt>
                <c:pt idx="211">
                  <c:v>45222</c:v>
                </c:pt>
                <c:pt idx="212">
                  <c:v>45223</c:v>
                </c:pt>
                <c:pt idx="213">
                  <c:v>45224</c:v>
                </c:pt>
                <c:pt idx="214">
                  <c:v>45225</c:v>
                </c:pt>
                <c:pt idx="215">
                  <c:v>45226</c:v>
                </c:pt>
                <c:pt idx="216">
                  <c:v>45227</c:v>
                </c:pt>
                <c:pt idx="217">
                  <c:v>45228</c:v>
                </c:pt>
                <c:pt idx="218">
                  <c:v>45229</c:v>
                </c:pt>
                <c:pt idx="219">
                  <c:v>45230</c:v>
                </c:pt>
                <c:pt idx="220">
                  <c:v>45231</c:v>
                </c:pt>
                <c:pt idx="221">
                  <c:v>45232</c:v>
                </c:pt>
                <c:pt idx="222">
                  <c:v>45233</c:v>
                </c:pt>
                <c:pt idx="223">
                  <c:v>45234</c:v>
                </c:pt>
                <c:pt idx="224">
                  <c:v>45235</c:v>
                </c:pt>
                <c:pt idx="225">
                  <c:v>45236</c:v>
                </c:pt>
                <c:pt idx="226">
                  <c:v>45237</c:v>
                </c:pt>
                <c:pt idx="227">
                  <c:v>45238</c:v>
                </c:pt>
                <c:pt idx="228">
                  <c:v>45239</c:v>
                </c:pt>
                <c:pt idx="229">
                  <c:v>45240</c:v>
                </c:pt>
                <c:pt idx="230">
                  <c:v>45241</c:v>
                </c:pt>
                <c:pt idx="231">
                  <c:v>45242</c:v>
                </c:pt>
                <c:pt idx="232">
                  <c:v>45243</c:v>
                </c:pt>
                <c:pt idx="233">
                  <c:v>45244</c:v>
                </c:pt>
                <c:pt idx="234">
                  <c:v>45245</c:v>
                </c:pt>
                <c:pt idx="235">
                  <c:v>45246</c:v>
                </c:pt>
                <c:pt idx="236">
                  <c:v>45247</c:v>
                </c:pt>
                <c:pt idx="237">
                  <c:v>45248</c:v>
                </c:pt>
                <c:pt idx="238">
                  <c:v>45249</c:v>
                </c:pt>
                <c:pt idx="239">
                  <c:v>45250</c:v>
                </c:pt>
                <c:pt idx="240">
                  <c:v>45251</c:v>
                </c:pt>
                <c:pt idx="241">
                  <c:v>45252</c:v>
                </c:pt>
                <c:pt idx="242">
                  <c:v>45253</c:v>
                </c:pt>
                <c:pt idx="243">
                  <c:v>45254</c:v>
                </c:pt>
                <c:pt idx="244">
                  <c:v>45255</c:v>
                </c:pt>
                <c:pt idx="245">
                  <c:v>45256</c:v>
                </c:pt>
                <c:pt idx="246">
                  <c:v>45257</c:v>
                </c:pt>
                <c:pt idx="247">
                  <c:v>45258</c:v>
                </c:pt>
                <c:pt idx="248">
                  <c:v>45259</c:v>
                </c:pt>
                <c:pt idx="249">
                  <c:v>45260</c:v>
                </c:pt>
                <c:pt idx="250">
                  <c:v>45261</c:v>
                </c:pt>
                <c:pt idx="251">
                  <c:v>45262</c:v>
                </c:pt>
                <c:pt idx="252">
                  <c:v>45263</c:v>
                </c:pt>
                <c:pt idx="253">
                  <c:v>45264</c:v>
                </c:pt>
                <c:pt idx="254">
                  <c:v>45265</c:v>
                </c:pt>
                <c:pt idx="255">
                  <c:v>45266</c:v>
                </c:pt>
                <c:pt idx="256">
                  <c:v>45267</c:v>
                </c:pt>
                <c:pt idx="257">
                  <c:v>45268</c:v>
                </c:pt>
                <c:pt idx="258">
                  <c:v>45269</c:v>
                </c:pt>
                <c:pt idx="259">
                  <c:v>45270</c:v>
                </c:pt>
                <c:pt idx="260">
                  <c:v>45271</c:v>
                </c:pt>
                <c:pt idx="261">
                  <c:v>45272</c:v>
                </c:pt>
                <c:pt idx="262">
                  <c:v>45273</c:v>
                </c:pt>
                <c:pt idx="263">
                  <c:v>45274</c:v>
                </c:pt>
                <c:pt idx="264">
                  <c:v>45275</c:v>
                </c:pt>
                <c:pt idx="265">
                  <c:v>45276</c:v>
                </c:pt>
                <c:pt idx="266">
                  <c:v>45277</c:v>
                </c:pt>
                <c:pt idx="267">
                  <c:v>45278</c:v>
                </c:pt>
                <c:pt idx="268">
                  <c:v>45279</c:v>
                </c:pt>
                <c:pt idx="269">
                  <c:v>45280</c:v>
                </c:pt>
                <c:pt idx="270">
                  <c:v>45281</c:v>
                </c:pt>
                <c:pt idx="271">
                  <c:v>45282</c:v>
                </c:pt>
                <c:pt idx="272">
                  <c:v>45283</c:v>
                </c:pt>
                <c:pt idx="273">
                  <c:v>45284</c:v>
                </c:pt>
                <c:pt idx="274">
                  <c:v>45285</c:v>
                </c:pt>
                <c:pt idx="275">
                  <c:v>45286</c:v>
                </c:pt>
                <c:pt idx="276">
                  <c:v>45287</c:v>
                </c:pt>
                <c:pt idx="277">
                  <c:v>45288</c:v>
                </c:pt>
                <c:pt idx="278">
                  <c:v>45289</c:v>
                </c:pt>
                <c:pt idx="279">
                  <c:v>45290</c:v>
                </c:pt>
                <c:pt idx="280">
                  <c:v>45291</c:v>
                </c:pt>
                <c:pt idx="281">
                  <c:v>45292</c:v>
                </c:pt>
                <c:pt idx="282">
                  <c:v>45293</c:v>
                </c:pt>
                <c:pt idx="283">
                  <c:v>45294</c:v>
                </c:pt>
                <c:pt idx="284">
                  <c:v>45295</c:v>
                </c:pt>
                <c:pt idx="285">
                  <c:v>45296</c:v>
                </c:pt>
                <c:pt idx="286">
                  <c:v>45297</c:v>
                </c:pt>
                <c:pt idx="287">
                  <c:v>45298</c:v>
                </c:pt>
                <c:pt idx="288">
                  <c:v>45299</c:v>
                </c:pt>
                <c:pt idx="289">
                  <c:v>45300</c:v>
                </c:pt>
                <c:pt idx="290">
                  <c:v>45301</c:v>
                </c:pt>
                <c:pt idx="291">
                  <c:v>45302</c:v>
                </c:pt>
                <c:pt idx="292">
                  <c:v>45303</c:v>
                </c:pt>
                <c:pt idx="293">
                  <c:v>45304</c:v>
                </c:pt>
                <c:pt idx="294">
                  <c:v>45305</c:v>
                </c:pt>
                <c:pt idx="295">
                  <c:v>45306</c:v>
                </c:pt>
                <c:pt idx="296">
                  <c:v>45307</c:v>
                </c:pt>
                <c:pt idx="297">
                  <c:v>45308</c:v>
                </c:pt>
                <c:pt idx="298">
                  <c:v>45309</c:v>
                </c:pt>
                <c:pt idx="299">
                  <c:v>45310</c:v>
                </c:pt>
                <c:pt idx="300">
                  <c:v>45311</c:v>
                </c:pt>
                <c:pt idx="301">
                  <c:v>45312</c:v>
                </c:pt>
                <c:pt idx="302">
                  <c:v>45313</c:v>
                </c:pt>
                <c:pt idx="303">
                  <c:v>45314</c:v>
                </c:pt>
                <c:pt idx="304">
                  <c:v>45315</c:v>
                </c:pt>
                <c:pt idx="305">
                  <c:v>45316</c:v>
                </c:pt>
                <c:pt idx="306">
                  <c:v>45317</c:v>
                </c:pt>
                <c:pt idx="307">
                  <c:v>45318</c:v>
                </c:pt>
                <c:pt idx="308">
                  <c:v>45319</c:v>
                </c:pt>
                <c:pt idx="309">
                  <c:v>45320</c:v>
                </c:pt>
                <c:pt idx="310">
                  <c:v>45321</c:v>
                </c:pt>
                <c:pt idx="311">
                  <c:v>45322</c:v>
                </c:pt>
                <c:pt idx="312">
                  <c:v>45323</c:v>
                </c:pt>
                <c:pt idx="313">
                  <c:v>45324</c:v>
                </c:pt>
                <c:pt idx="314">
                  <c:v>45325</c:v>
                </c:pt>
                <c:pt idx="315">
                  <c:v>45326</c:v>
                </c:pt>
                <c:pt idx="316">
                  <c:v>45327</c:v>
                </c:pt>
                <c:pt idx="317">
                  <c:v>45328</c:v>
                </c:pt>
                <c:pt idx="318">
                  <c:v>45329</c:v>
                </c:pt>
                <c:pt idx="319">
                  <c:v>45330</c:v>
                </c:pt>
                <c:pt idx="320">
                  <c:v>45331</c:v>
                </c:pt>
                <c:pt idx="321">
                  <c:v>45332</c:v>
                </c:pt>
                <c:pt idx="322">
                  <c:v>45333</c:v>
                </c:pt>
                <c:pt idx="323">
                  <c:v>45334</c:v>
                </c:pt>
                <c:pt idx="324">
                  <c:v>45335</c:v>
                </c:pt>
                <c:pt idx="325">
                  <c:v>45336</c:v>
                </c:pt>
                <c:pt idx="326">
                  <c:v>45337</c:v>
                </c:pt>
                <c:pt idx="327">
                  <c:v>45338</c:v>
                </c:pt>
                <c:pt idx="328">
                  <c:v>45339</c:v>
                </c:pt>
                <c:pt idx="329">
                  <c:v>45340</c:v>
                </c:pt>
                <c:pt idx="330">
                  <c:v>45341</c:v>
                </c:pt>
                <c:pt idx="331">
                  <c:v>45342</c:v>
                </c:pt>
                <c:pt idx="332">
                  <c:v>45343</c:v>
                </c:pt>
                <c:pt idx="333">
                  <c:v>45344</c:v>
                </c:pt>
                <c:pt idx="334">
                  <c:v>45345</c:v>
                </c:pt>
                <c:pt idx="335">
                  <c:v>45346</c:v>
                </c:pt>
                <c:pt idx="336">
                  <c:v>45347</c:v>
                </c:pt>
                <c:pt idx="337">
                  <c:v>45348</c:v>
                </c:pt>
                <c:pt idx="338">
                  <c:v>45349</c:v>
                </c:pt>
                <c:pt idx="339">
                  <c:v>45350</c:v>
                </c:pt>
                <c:pt idx="340">
                  <c:v>45351</c:v>
                </c:pt>
                <c:pt idx="341">
                  <c:v>45352</c:v>
                </c:pt>
                <c:pt idx="342">
                  <c:v>45353</c:v>
                </c:pt>
                <c:pt idx="343">
                  <c:v>45354</c:v>
                </c:pt>
                <c:pt idx="344">
                  <c:v>45355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50.229865718996614</c:v>
                </c:pt>
                <c:pt idx="2">
                  <c:v>50.501862710159571</c:v>
                </c:pt>
                <c:pt idx="3">
                  <c:v>50.802640792525125</c:v>
                </c:pt>
                <c:pt idx="4">
                  <c:v>51.13900215017064</c:v>
                </c:pt>
                <c:pt idx="5">
                  <c:v>51.476751519581605</c:v>
                </c:pt>
                <c:pt idx="6">
                  <c:v>51.816601693789238</c:v>
                </c:pt>
                <c:pt idx="7">
                  <c:v>52.18634441638396</c:v>
                </c:pt>
                <c:pt idx="8">
                  <c:v>52.559133018316928</c:v>
                </c:pt>
                <c:pt idx="9">
                  <c:v>52.930550503751405</c:v>
                </c:pt>
                <c:pt idx="10">
                  <c:v>53.305480964645447</c:v>
                </c:pt>
                <c:pt idx="11">
                  <c:v>53.697149343179881</c:v>
                </c:pt>
                <c:pt idx="12">
                  <c:v>54.101030410164142</c:v>
                </c:pt>
                <c:pt idx="13">
                  <c:v>54.514367444312988</c:v>
                </c:pt>
                <c:pt idx="14">
                  <c:v>54.920380654555757</c:v>
                </c:pt>
                <c:pt idx="15">
                  <c:v>103.53163707703992</c:v>
                </c:pt>
                <c:pt idx="16">
                  <c:v>103.85671326348739</c:v>
                </c:pt>
                <c:pt idx="17">
                  <c:v>104.18102727792125</c:v>
                </c:pt>
                <c:pt idx="18">
                  <c:v>104.51763369402759</c:v>
                </c:pt>
                <c:pt idx="19">
                  <c:v>104.84382424504849</c:v>
                </c:pt>
                <c:pt idx="20">
                  <c:v>105.19073348385612</c:v>
                </c:pt>
                <c:pt idx="21">
                  <c:v>105.52614035887697</c:v>
                </c:pt>
                <c:pt idx="22">
                  <c:v>105.86758310385051</c:v>
                </c:pt>
                <c:pt idx="23">
                  <c:v>106.18932494491078</c:v>
                </c:pt>
                <c:pt idx="24">
                  <c:v>106.51063249182435</c:v>
                </c:pt>
                <c:pt idx="25">
                  <c:v>106.83938979146865</c:v>
                </c:pt>
                <c:pt idx="26">
                  <c:v>107.14485760516152</c:v>
                </c:pt>
                <c:pt idx="27">
                  <c:v>107.44195927239015</c:v>
                </c:pt>
                <c:pt idx="28">
                  <c:v>107.74793159478989</c:v>
                </c:pt>
                <c:pt idx="29">
                  <c:v>108.03885022084143</c:v>
                </c:pt>
                <c:pt idx="30">
                  <c:v>108.34023257770113</c:v>
                </c:pt>
                <c:pt idx="31">
                  <c:v>108.63872654338644</c:v>
                </c:pt>
                <c:pt idx="32">
                  <c:v>108.93812425319942</c:v>
                </c:pt>
                <c:pt idx="33">
                  <c:v>109.24281153034848</c:v>
                </c:pt>
                <c:pt idx="34">
                  <c:v>109.52708075404175</c:v>
                </c:pt>
                <c:pt idx="35">
                  <c:v>109.80547493958534</c:v>
                </c:pt>
                <c:pt idx="36">
                  <c:v>110.07209522799086</c:v>
                </c:pt>
                <c:pt idx="37">
                  <c:v>110.33663017924326</c:v>
                </c:pt>
                <c:pt idx="38">
                  <c:v>110.59502111131734</c:v>
                </c:pt>
                <c:pt idx="39">
                  <c:v>110.86132710677454</c:v>
                </c:pt>
                <c:pt idx="40">
                  <c:v>111.1221270352182</c:v>
                </c:pt>
                <c:pt idx="41">
                  <c:v>111.40098601116654</c:v>
                </c:pt>
                <c:pt idx="42">
                  <c:v>111.66491490166037</c:v>
                </c:pt>
                <c:pt idx="43">
                  <c:v>111.90878511410462</c:v>
                </c:pt>
                <c:pt idx="44">
                  <c:v>112.14978576071206</c:v>
                </c:pt>
                <c:pt idx="45">
                  <c:v>112.38678567906845</c:v>
                </c:pt>
                <c:pt idx="46">
                  <c:v>112.62449056279907</c:v>
                </c:pt>
                <c:pt idx="47">
                  <c:v>112.86589975506482</c:v>
                </c:pt>
                <c:pt idx="48">
                  <c:v>113.09073368434518</c:v>
                </c:pt>
                <c:pt idx="49">
                  <c:v>113.31046392517342</c:v>
                </c:pt>
                <c:pt idx="50">
                  <c:v>113.51998630899548</c:v>
                </c:pt>
                <c:pt idx="51">
                  <c:v>113.73628237719083</c:v>
                </c:pt>
                <c:pt idx="52">
                  <c:v>113.93837804903559</c:v>
                </c:pt>
                <c:pt idx="53">
                  <c:v>114.13416075660885</c:v>
                </c:pt>
                <c:pt idx="54">
                  <c:v>114.33193454017348</c:v>
                </c:pt>
                <c:pt idx="55">
                  <c:v>114.52928459339411</c:v>
                </c:pt>
                <c:pt idx="56">
                  <c:v>114.72250862867941</c:v>
                </c:pt>
                <c:pt idx="57">
                  <c:v>114.90239560271833</c:v>
                </c:pt>
                <c:pt idx="58">
                  <c:v>115.08912679538325</c:v>
                </c:pt>
                <c:pt idx="59">
                  <c:v>115.27575531465045</c:v>
                </c:pt>
                <c:pt idx="60">
                  <c:v>115.45396322142894</c:v>
                </c:pt>
                <c:pt idx="61">
                  <c:v>115.09243206660118</c:v>
                </c:pt>
                <c:pt idx="62">
                  <c:v>115.2657295477391</c:v>
                </c:pt>
                <c:pt idx="63">
                  <c:v>115.2356888499307</c:v>
                </c:pt>
                <c:pt idx="64">
                  <c:v>114.55662063324193</c:v>
                </c:pt>
                <c:pt idx="65">
                  <c:v>114.51911963999824</c:v>
                </c:pt>
                <c:pt idx="66">
                  <c:v>114.67495868491552</c:v>
                </c:pt>
                <c:pt idx="67">
                  <c:v>114.47963704535536</c:v>
                </c:pt>
                <c:pt idx="68">
                  <c:v>114.28153490256835</c:v>
                </c:pt>
                <c:pt idx="69">
                  <c:v>114.0096330753892</c:v>
                </c:pt>
                <c:pt idx="70">
                  <c:v>113.6410724168436</c:v>
                </c:pt>
                <c:pt idx="71">
                  <c:v>113.74514807696455</c:v>
                </c:pt>
                <c:pt idx="72">
                  <c:v>113.73132631317156</c:v>
                </c:pt>
                <c:pt idx="73">
                  <c:v>113.28719200806601</c:v>
                </c:pt>
                <c:pt idx="74">
                  <c:v>112.92183322400341</c:v>
                </c:pt>
                <c:pt idx="75">
                  <c:v>112.90412426799278</c:v>
                </c:pt>
                <c:pt idx="76">
                  <c:v>112.54345797051363</c:v>
                </c:pt>
                <c:pt idx="77">
                  <c:v>112.65568956115798</c:v>
                </c:pt>
                <c:pt idx="78">
                  <c:v>111.18656756209406</c:v>
                </c:pt>
                <c:pt idx="79">
                  <c:v>110.76430448859367</c:v>
                </c:pt>
                <c:pt idx="80">
                  <c:v>110.69628344471195</c:v>
                </c:pt>
                <c:pt idx="81">
                  <c:v>109.45342017739824</c:v>
                </c:pt>
                <c:pt idx="82">
                  <c:v>108.65681564156877</c:v>
                </c:pt>
                <c:pt idx="83">
                  <c:v>107.60889271452804</c:v>
                </c:pt>
                <c:pt idx="84">
                  <c:v>107.03915670660592</c:v>
                </c:pt>
                <c:pt idx="85">
                  <c:v>106.49979598251596</c:v>
                </c:pt>
                <c:pt idx="86">
                  <c:v>106.0085628708615</c:v>
                </c:pt>
                <c:pt idx="87">
                  <c:v>105.54190710895534</c:v>
                </c:pt>
                <c:pt idx="88">
                  <c:v>105.01662227993965</c:v>
                </c:pt>
                <c:pt idx="89">
                  <c:v>104.96424026191998</c:v>
                </c:pt>
                <c:pt idx="90">
                  <c:v>104.63516122516276</c:v>
                </c:pt>
                <c:pt idx="91">
                  <c:v>104.51172395222009</c:v>
                </c:pt>
                <c:pt idx="92">
                  <c:v>104.51407951621552</c:v>
                </c:pt>
                <c:pt idx="93">
                  <c:v>104.18038484573557</c:v>
                </c:pt>
                <c:pt idx="94">
                  <c:v>103.86278482599172</c:v>
                </c:pt>
                <c:pt idx="95">
                  <c:v>102.75062475861678</c:v>
                </c:pt>
                <c:pt idx="96">
                  <c:v>102.29094734452954</c:v>
                </c:pt>
                <c:pt idx="97">
                  <c:v>102.21679006596311</c:v>
                </c:pt>
                <c:pt idx="98">
                  <c:v>101.97815675844072</c:v>
                </c:pt>
                <c:pt idx="99">
                  <c:v>101.73968722407429</c:v>
                </c:pt>
                <c:pt idx="100">
                  <c:v>101.67393662513727</c:v>
                </c:pt>
                <c:pt idx="101">
                  <c:v>101.74707970487756</c:v>
                </c:pt>
                <c:pt idx="102">
                  <c:v>100.7134616760785</c:v>
                </c:pt>
                <c:pt idx="103">
                  <c:v>100.7821713429676</c:v>
                </c:pt>
                <c:pt idx="104">
                  <c:v>100.49471643653696</c:v>
                </c:pt>
                <c:pt idx="105">
                  <c:v>100.47225255492815</c:v>
                </c:pt>
                <c:pt idx="106">
                  <c:v>100.53703984771094</c:v>
                </c:pt>
                <c:pt idx="107">
                  <c:v>100.30728135716862</c:v>
                </c:pt>
                <c:pt idx="108">
                  <c:v>100.3527969890378</c:v>
                </c:pt>
                <c:pt idx="109">
                  <c:v>100.27543787367237</c:v>
                </c:pt>
                <c:pt idx="110">
                  <c:v>100.33471785757119</c:v>
                </c:pt>
                <c:pt idx="111">
                  <c:v>100.39258338013953</c:v>
                </c:pt>
                <c:pt idx="112">
                  <c:v>100.13700767947753</c:v>
                </c:pt>
                <c:pt idx="113">
                  <c:v>99.446942811020733</c:v>
                </c:pt>
                <c:pt idx="114">
                  <c:v>98.100902458514796</c:v>
                </c:pt>
                <c:pt idx="115">
                  <c:v>97.65772838471689</c:v>
                </c:pt>
                <c:pt idx="116">
                  <c:v>97.391229718419197</c:v>
                </c:pt>
                <c:pt idx="117">
                  <c:v>96.900854596756915</c:v>
                </c:pt>
                <c:pt idx="118">
                  <c:v>96.247998242437504</c:v>
                </c:pt>
                <c:pt idx="119">
                  <c:v>96.292992187818342</c:v>
                </c:pt>
                <c:pt idx="120">
                  <c:v>96.336413165152138</c:v>
                </c:pt>
                <c:pt idx="121">
                  <c:v>96.377339007224691</c:v>
                </c:pt>
                <c:pt idx="122">
                  <c:v>96.417402053304684</c:v>
                </c:pt>
                <c:pt idx="123">
                  <c:v>96.052149349933046</c:v>
                </c:pt>
                <c:pt idx="124">
                  <c:v>96.088394560420952</c:v>
                </c:pt>
                <c:pt idx="125">
                  <c:v>96.12226767918709</c:v>
                </c:pt>
                <c:pt idx="126">
                  <c:v>96.155309258354492</c:v>
                </c:pt>
                <c:pt idx="127">
                  <c:v>96.185924309761646</c:v>
                </c:pt>
                <c:pt idx="128">
                  <c:v>96.214276868153632</c:v>
                </c:pt>
                <c:pt idx="129">
                  <c:v>96.241336615475973</c:v>
                </c:pt>
                <c:pt idx="130">
                  <c:v>96.267664585179858</c:v>
                </c:pt>
                <c:pt idx="131">
                  <c:v>96.291050553350928</c:v>
                </c:pt>
                <c:pt idx="132">
                  <c:v>96.312127099219339</c:v>
                </c:pt>
                <c:pt idx="133">
                  <c:v>96.330636573559801</c:v>
                </c:pt>
                <c:pt idx="134">
                  <c:v>96.347224815969255</c:v>
                </c:pt>
                <c:pt idx="135">
                  <c:v>96.060835156125407</c:v>
                </c:pt>
                <c:pt idx="136">
                  <c:v>96.029736852753771</c:v>
                </c:pt>
                <c:pt idx="137">
                  <c:v>96.032100225505374</c:v>
                </c:pt>
                <c:pt idx="138">
                  <c:v>95.967431367859305</c:v>
                </c:pt>
                <c:pt idx="139">
                  <c:v>95.973858755328024</c:v>
                </c:pt>
                <c:pt idx="140">
                  <c:v>95.979513187506313</c:v>
                </c:pt>
                <c:pt idx="141">
                  <c:v>95.771950661656859</c:v>
                </c:pt>
                <c:pt idx="142">
                  <c:v>95.565750064623813</c:v>
                </c:pt>
                <c:pt idx="143">
                  <c:v>95.404177532571495</c:v>
                </c:pt>
                <c:pt idx="144">
                  <c:v>95.060401086884113</c:v>
                </c:pt>
                <c:pt idx="145">
                  <c:v>94.632358971674321</c:v>
                </c:pt>
                <c:pt idx="146">
                  <c:v>94.516602565996465</c:v>
                </c:pt>
                <c:pt idx="147">
                  <c:v>94.507856284915832</c:v>
                </c:pt>
                <c:pt idx="148">
                  <c:v>94.254189260382162</c:v>
                </c:pt>
                <c:pt idx="149">
                  <c:v>93.286270401407577</c:v>
                </c:pt>
                <c:pt idx="150">
                  <c:v>93.158173714346972</c:v>
                </c:pt>
                <c:pt idx="151">
                  <c:v>93.137815016836527</c:v>
                </c:pt>
                <c:pt idx="152">
                  <c:v>93.113825350725818</c:v>
                </c:pt>
                <c:pt idx="153">
                  <c:v>93.087794364170719</c:v>
                </c:pt>
                <c:pt idx="154">
                  <c:v>93.059271012644388</c:v>
                </c:pt>
                <c:pt idx="155">
                  <c:v>93.026103165321572</c:v>
                </c:pt>
                <c:pt idx="156">
                  <c:v>92.992909104516983</c:v>
                </c:pt>
                <c:pt idx="157">
                  <c:v>92.952808759755612</c:v>
                </c:pt>
                <c:pt idx="158">
                  <c:v>92.917155559558594</c:v>
                </c:pt>
                <c:pt idx="159">
                  <c:v>92.872588780858734</c:v>
                </c:pt>
                <c:pt idx="160">
                  <c:v>92.818785333792746</c:v>
                </c:pt>
                <c:pt idx="161">
                  <c:v>92.761656381161586</c:v>
                </c:pt>
                <c:pt idx="162">
                  <c:v>92.699208775223966</c:v>
                </c:pt>
                <c:pt idx="163">
                  <c:v>92.633875757143912</c:v>
                </c:pt>
                <c:pt idx="164">
                  <c:v>92.558912147893395</c:v>
                </c:pt>
                <c:pt idx="165">
                  <c:v>92.475533089672155</c:v>
                </c:pt>
                <c:pt idx="166">
                  <c:v>92.390471480736508</c:v>
                </c:pt>
                <c:pt idx="167">
                  <c:v>92.307877539139739</c:v>
                </c:pt>
                <c:pt idx="168">
                  <c:v>92.206299240944148</c:v>
                </c:pt>
                <c:pt idx="169">
                  <c:v>92.091204168901413</c:v>
                </c:pt>
                <c:pt idx="170">
                  <c:v>91.971311491341567</c:v>
                </c:pt>
                <c:pt idx="171">
                  <c:v>91.84998540745562</c:v>
                </c:pt>
                <c:pt idx="172">
                  <c:v>91.714615102102698</c:v>
                </c:pt>
                <c:pt idx="173">
                  <c:v>91.558768278029248</c:v>
                </c:pt>
                <c:pt idx="174">
                  <c:v>91.394764556200357</c:v>
                </c:pt>
                <c:pt idx="175">
                  <c:v>91.232094420642881</c:v>
                </c:pt>
                <c:pt idx="176">
                  <c:v>91.068049598917497</c:v>
                </c:pt>
                <c:pt idx="177">
                  <c:v>90.894066166774167</c:v>
                </c:pt>
                <c:pt idx="178">
                  <c:v>90.721660948918512</c:v>
                </c:pt>
                <c:pt idx="179">
                  <c:v>90.534134089052998</c:v>
                </c:pt>
                <c:pt idx="180">
                  <c:v>90.347415009791348</c:v>
                </c:pt>
                <c:pt idx="181">
                  <c:v>90.158047067356421</c:v>
                </c:pt>
                <c:pt idx="182">
                  <c:v>89.954397063799675</c:v>
                </c:pt>
                <c:pt idx="183">
                  <c:v>89.757969138057419</c:v>
                </c:pt>
                <c:pt idx="184">
                  <c:v>89.538011302173814</c:v>
                </c:pt>
                <c:pt idx="185">
                  <c:v>89.304277557077654</c:v>
                </c:pt>
                <c:pt idx="186">
                  <c:v>89.072430418758557</c:v>
                </c:pt>
                <c:pt idx="187">
                  <c:v>88.838816921633367</c:v>
                </c:pt>
                <c:pt idx="188">
                  <c:v>88.56704254798548</c:v>
                </c:pt>
                <c:pt idx="189">
                  <c:v>88.283435032669587</c:v>
                </c:pt>
                <c:pt idx="190">
                  <c:v>87.982386682504568</c:v>
                </c:pt>
                <c:pt idx="191">
                  <c:v>87.695811988152315</c:v>
                </c:pt>
                <c:pt idx="192">
                  <c:v>87.412798297092152</c:v>
                </c:pt>
                <c:pt idx="193">
                  <c:v>87.124434776251405</c:v>
                </c:pt>
                <c:pt idx="194">
                  <c:v>86.810661735801148</c:v>
                </c:pt>
                <c:pt idx="195">
                  <c:v>86.485484521576467</c:v>
                </c:pt>
                <c:pt idx="196">
                  <c:v>86.179232350478031</c:v>
                </c:pt>
                <c:pt idx="197">
                  <c:v>85.878551000274285</c:v>
                </c:pt>
                <c:pt idx="198">
                  <c:v>85.575558173774994</c:v>
                </c:pt>
                <c:pt idx="199">
                  <c:v>85.244405234931577</c:v>
                </c:pt>
                <c:pt idx="200">
                  <c:v>84.865152990068594</c:v>
                </c:pt>
                <c:pt idx="201">
                  <c:v>84.497065185761471</c:v>
                </c:pt>
                <c:pt idx="202">
                  <c:v>84.13182497906169</c:v>
                </c:pt>
                <c:pt idx="203">
                  <c:v>83.766040252827366</c:v>
                </c:pt>
                <c:pt idx="204">
                  <c:v>83.371030268810401</c:v>
                </c:pt>
                <c:pt idx="205">
                  <c:v>82.938447828671016</c:v>
                </c:pt>
                <c:pt idx="206">
                  <c:v>82.515459757047793</c:v>
                </c:pt>
                <c:pt idx="207">
                  <c:v>82.085055789081395</c:v>
                </c:pt>
                <c:pt idx="208">
                  <c:v>81.641457029286244</c:v>
                </c:pt>
                <c:pt idx="209">
                  <c:v>81.145992898112752</c:v>
                </c:pt>
                <c:pt idx="210">
                  <c:v>80.681822183605618</c:v>
                </c:pt>
                <c:pt idx="211">
                  <c:v>80.212071006044084</c:v>
                </c:pt>
                <c:pt idx="212">
                  <c:v>79.729765463910553</c:v>
                </c:pt>
                <c:pt idx="213">
                  <c:v>79.228268773506642</c:v>
                </c:pt>
                <c:pt idx="214">
                  <c:v>78.672813649514566</c:v>
                </c:pt>
                <c:pt idx="215">
                  <c:v>78.128480470509658</c:v>
                </c:pt>
                <c:pt idx="216">
                  <c:v>77.547299719659364</c:v>
                </c:pt>
                <c:pt idx="217">
                  <c:v>76.946453162982181</c:v>
                </c:pt>
                <c:pt idx="218">
                  <c:v>76.350305707598224</c:v>
                </c:pt>
                <c:pt idx="219">
                  <c:v>75.745532641120406</c:v>
                </c:pt>
                <c:pt idx="220">
                  <c:v>75.099334187589946</c:v>
                </c:pt>
                <c:pt idx="221">
                  <c:v>74.474861610704949</c:v>
                </c:pt>
                <c:pt idx="222">
                  <c:v>73.829435678662293</c:v>
                </c:pt>
                <c:pt idx="223">
                  <c:v>73.169666095865438</c:v>
                </c:pt>
                <c:pt idx="224">
                  <c:v>72.508544679264531</c:v>
                </c:pt>
                <c:pt idx="225">
                  <c:v>71.86334920477718</c:v>
                </c:pt>
                <c:pt idx="226">
                  <c:v>71.194560169319288</c:v>
                </c:pt>
                <c:pt idx="227">
                  <c:v>70.517053261578155</c:v>
                </c:pt>
                <c:pt idx="228">
                  <c:v>69.813624079789989</c:v>
                </c:pt>
                <c:pt idx="229">
                  <c:v>69.014588600767055</c:v>
                </c:pt>
                <c:pt idx="230">
                  <c:v>68.238155661914647</c:v>
                </c:pt>
                <c:pt idx="231">
                  <c:v>67.470501610785931</c:v>
                </c:pt>
                <c:pt idx="232">
                  <c:v>66.741189638242162</c:v>
                </c:pt>
                <c:pt idx="233">
                  <c:v>65.965086872827428</c:v>
                </c:pt>
                <c:pt idx="234">
                  <c:v>65.149813909056959</c:v>
                </c:pt>
                <c:pt idx="235">
                  <c:v>64.301374615858236</c:v>
                </c:pt>
                <c:pt idx="236">
                  <c:v>63.493687537827824</c:v>
                </c:pt>
                <c:pt idx="237">
                  <c:v>62.708740633998659</c:v>
                </c:pt>
                <c:pt idx="238">
                  <c:v>61.926837471864388</c:v>
                </c:pt>
                <c:pt idx="239">
                  <c:v>61.075797605387834</c:v>
                </c:pt>
                <c:pt idx="240">
                  <c:v>60.219428914492575</c:v>
                </c:pt>
                <c:pt idx="241">
                  <c:v>59.395505492511859</c:v>
                </c:pt>
                <c:pt idx="242">
                  <c:v>58.467876005119301</c:v>
                </c:pt>
                <c:pt idx="243">
                  <c:v>57.504743907097911</c:v>
                </c:pt>
                <c:pt idx="244">
                  <c:v>56.505455067131244</c:v>
                </c:pt>
                <c:pt idx="245">
                  <c:v>55.510312042127126</c:v>
                </c:pt>
                <c:pt idx="246">
                  <c:v>54.520693419663687</c:v>
                </c:pt>
                <c:pt idx="247">
                  <c:v>53.532814238182809</c:v>
                </c:pt>
                <c:pt idx="248">
                  <c:v>52.550280357927164</c:v>
                </c:pt>
                <c:pt idx="249">
                  <c:v>51.522150956262003</c:v>
                </c:pt>
                <c:pt idx="250">
                  <c:v>50.401833883026185</c:v>
                </c:pt>
                <c:pt idx="251">
                  <c:v>49.240660070623541</c:v>
                </c:pt>
                <c:pt idx="252">
                  <c:v>48.008910352057626</c:v>
                </c:pt>
                <c:pt idx="253">
                  <c:v>46.789648776451727</c:v>
                </c:pt>
                <c:pt idx="254">
                  <c:v>45.558674286240382</c:v>
                </c:pt>
                <c:pt idx="255">
                  <c:v>44.358126635050581</c:v>
                </c:pt>
                <c:pt idx="256">
                  <c:v>43.093664596555243</c:v>
                </c:pt>
                <c:pt idx="257">
                  <c:v>41.807072608852643</c:v>
                </c:pt>
                <c:pt idx="258">
                  <c:v>40.555482323754809</c:v>
                </c:pt>
                <c:pt idx="259">
                  <c:v>39.222672375266249</c:v>
                </c:pt>
                <c:pt idx="260">
                  <c:v>37.774560181747383</c:v>
                </c:pt>
                <c:pt idx="261">
                  <c:v>36.239412486168902</c:v>
                </c:pt>
                <c:pt idx="262">
                  <c:v>34.773547333404871</c:v>
                </c:pt>
                <c:pt idx="263">
                  <c:v>33.352306132419841</c:v>
                </c:pt>
                <c:pt idx="264">
                  <c:v>31.80263307122857</c:v>
                </c:pt>
                <c:pt idx="265">
                  <c:v>30.271622171751119</c:v>
                </c:pt>
                <c:pt idx="266">
                  <c:v>28.749060223334773</c:v>
                </c:pt>
                <c:pt idx="267">
                  <c:v>27.179095105363995</c:v>
                </c:pt>
                <c:pt idx="268">
                  <c:v>25.583450934790079</c:v>
                </c:pt>
                <c:pt idx="269">
                  <c:v>24.002533367360229</c:v>
                </c:pt>
                <c:pt idx="270">
                  <c:v>247.35586609564314</c:v>
                </c:pt>
                <c:pt idx="271">
                  <c:v>245.71653528719705</c:v>
                </c:pt>
                <c:pt idx="272">
                  <c:v>244.07639511325777</c:v>
                </c:pt>
                <c:pt idx="273">
                  <c:v>242.33891164218261</c:v>
                </c:pt>
                <c:pt idx="274">
                  <c:v>240.56839294985264</c:v>
                </c:pt>
                <c:pt idx="275">
                  <c:v>238.84433404734011</c:v>
                </c:pt>
                <c:pt idx="276">
                  <c:v>236.89466325150062</c:v>
                </c:pt>
                <c:pt idx="277">
                  <c:v>234.89039858492526</c:v>
                </c:pt>
                <c:pt idx="278">
                  <c:v>233.01110634439766</c:v>
                </c:pt>
                <c:pt idx="279">
                  <c:v>231.04305587735186</c:v>
                </c:pt>
                <c:pt idx="280">
                  <c:v>229.10697431436637</c:v>
                </c:pt>
                <c:pt idx="281">
                  <c:v>227.0995195399081</c:v>
                </c:pt>
                <c:pt idx="282">
                  <c:v>224.94253998085406</c:v>
                </c:pt>
                <c:pt idx="283">
                  <c:v>222.79997200840381</c:v>
                </c:pt>
                <c:pt idx="284">
                  <c:v>220.76094370026408</c:v>
                </c:pt>
                <c:pt idx="285">
                  <c:v>218.65890556478311</c:v>
                </c:pt>
                <c:pt idx="286">
                  <c:v>216.50732085113108</c:v>
                </c:pt>
                <c:pt idx="287">
                  <c:v>214.16696801091064</c:v>
                </c:pt>
                <c:pt idx="288">
                  <c:v>211.83655676870143</c:v>
                </c:pt>
                <c:pt idx="289">
                  <c:v>209.59542978785998</c:v>
                </c:pt>
                <c:pt idx="290">
                  <c:v>207.37310496931678</c:v>
                </c:pt>
                <c:pt idx="291">
                  <c:v>205.07509759913938</c:v>
                </c:pt>
                <c:pt idx="292">
                  <c:v>202.69346714661091</c:v>
                </c:pt>
                <c:pt idx="293">
                  <c:v>200.25721276588195</c:v>
                </c:pt>
                <c:pt idx="294">
                  <c:v>197.78811310523619</c:v>
                </c:pt>
                <c:pt idx="295">
                  <c:v>195.21487846968691</c:v>
                </c:pt>
                <c:pt idx="296">
                  <c:v>192.68456525078903</c:v>
                </c:pt>
                <c:pt idx="297">
                  <c:v>190.13978394226712</c:v>
                </c:pt>
                <c:pt idx="298">
                  <c:v>187.48243027280256</c:v>
                </c:pt>
                <c:pt idx="299">
                  <c:v>184.83176618399213</c:v>
                </c:pt>
                <c:pt idx="300">
                  <c:v>182.32226616843386</c:v>
                </c:pt>
                <c:pt idx="301">
                  <c:v>179.54284994953173</c:v>
                </c:pt>
                <c:pt idx="302">
                  <c:v>176.61225770848216</c:v>
                </c:pt>
                <c:pt idx="303">
                  <c:v>173.81976233757285</c:v>
                </c:pt>
                <c:pt idx="304">
                  <c:v>171.05426600642096</c:v>
                </c:pt>
                <c:pt idx="305">
                  <c:v>168.28628704240907</c:v>
                </c:pt>
                <c:pt idx="306">
                  <c:v>165.53454437173846</c:v>
                </c:pt>
                <c:pt idx="307">
                  <c:v>162.77645857116866</c:v>
                </c:pt>
                <c:pt idx="308">
                  <c:v>159.87352776974987</c:v>
                </c:pt>
                <c:pt idx="309">
                  <c:v>156.86720281449891</c:v>
                </c:pt>
                <c:pt idx="310">
                  <c:v>153.74180289410739</c:v>
                </c:pt>
                <c:pt idx="311">
                  <c:v>150.56732156378229</c:v>
                </c:pt>
                <c:pt idx="312">
                  <c:v>147.46312270268706</c:v>
                </c:pt>
                <c:pt idx="313">
                  <c:v>144.51561805380737</c:v>
                </c:pt>
                <c:pt idx="314">
                  <c:v>141.57930870701469</c:v>
                </c:pt>
                <c:pt idx="315">
                  <c:v>138.34003254884519</c:v>
                </c:pt>
                <c:pt idx="316">
                  <c:v>135.41003220136346</c:v>
                </c:pt>
                <c:pt idx="317">
                  <c:v>132.37577123203238</c:v>
                </c:pt>
                <c:pt idx="318">
                  <c:v>129.32483125281252</c:v>
                </c:pt>
                <c:pt idx="319">
                  <c:v>126.19306803712129</c:v>
                </c:pt>
                <c:pt idx="320">
                  <c:v>123.02324686498491</c:v>
                </c:pt>
                <c:pt idx="321">
                  <c:v>119.85046250625767</c:v>
                </c:pt>
                <c:pt idx="322">
                  <c:v>116.54327528558626</c:v>
                </c:pt>
                <c:pt idx="323">
                  <c:v>113.12715584018365</c:v>
                </c:pt>
                <c:pt idx="324">
                  <c:v>109.9919353126889</c:v>
                </c:pt>
                <c:pt idx="325">
                  <c:v>106.94093324887213</c:v>
                </c:pt>
                <c:pt idx="326">
                  <c:v>103.95817764667838</c:v>
                </c:pt>
                <c:pt idx="327">
                  <c:v>100.8534773181148</c:v>
                </c:pt>
                <c:pt idx="328">
                  <c:v>97.520615143164818</c:v>
                </c:pt>
                <c:pt idx="329">
                  <c:v>94.096593628534265</c:v>
                </c:pt>
                <c:pt idx="330">
                  <c:v>90.769643531153818</c:v>
                </c:pt>
                <c:pt idx="331">
                  <c:v>87.497429421953399</c:v>
                </c:pt>
                <c:pt idx="332">
                  <c:v>84.205426997912397</c:v>
                </c:pt>
                <c:pt idx="333">
                  <c:v>80.96452239030252</c:v>
                </c:pt>
                <c:pt idx="334">
                  <c:v>77.774541639467557</c:v>
                </c:pt>
                <c:pt idx="335">
                  <c:v>74.441740117303198</c:v>
                </c:pt>
                <c:pt idx="336">
                  <c:v>71.216065492914254</c:v>
                </c:pt>
                <c:pt idx="337">
                  <c:v>67.985253262911002</c:v>
                </c:pt>
                <c:pt idx="338">
                  <c:v>64.744603710396575</c:v>
                </c:pt>
                <c:pt idx="339">
                  <c:v>61.524969749412392</c:v>
                </c:pt>
                <c:pt idx="340">
                  <c:v>58.264180213390844</c:v>
                </c:pt>
                <c:pt idx="341">
                  <c:v>55.05853556944583</c:v>
                </c:pt>
                <c:pt idx="342">
                  <c:v>52.003703077641021</c:v>
                </c:pt>
                <c:pt idx="343">
                  <c:v>49.069902667343086</c:v>
                </c:pt>
                <c:pt idx="344">
                  <c:v>45.906573280061387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45011</c:v>
                </c:pt>
                <c:pt idx="1">
                  <c:v>45012</c:v>
                </c:pt>
                <c:pt idx="2">
                  <c:v>45013</c:v>
                </c:pt>
                <c:pt idx="3">
                  <c:v>45014</c:v>
                </c:pt>
                <c:pt idx="4">
                  <c:v>45015</c:v>
                </c:pt>
                <c:pt idx="5">
                  <c:v>45016</c:v>
                </c:pt>
                <c:pt idx="6">
                  <c:v>45017</c:v>
                </c:pt>
                <c:pt idx="7">
                  <c:v>45018</c:v>
                </c:pt>
                <c:pt idx="8">
                  <c:v>45019</c:v>
                </c:pt>
                <c:pt idx="9">
                  <c:v>45020</c:v>
                </c:pt>
                <c:pt idx="10">
                  <c:v>45021</c:v>
                </c:pt>
                <c:pt idx="11">
                  <c:v>45022</c:v>
                </c:pt>
                <c:pt idx="12">
                  <c:v>45023</c:v>
                </c:pt>
                <c:pt idx="13">
                  <c:v>45024</c:v>
                </c:pt>
                <c:pt idx="14">
                  <c:v>45025</c:v>
                </c:pt>
                <c:pt idx="15">
                  <c:v>45026</c:v>
                </c:pt>
                <c:pt idx="16">
                  <c:v>45027</c:v>
                </c:pt>
                <c:pt idx="17">
                  <c:v>45028</c:v>
                </c:pt>
                <c:pt idx="18">
                  <c:v>45029</c:v>
                </c:pt>
                <c:pt idx="19">
                  <c:v>45030</c:v>
                </c:pt>
                <c:pt idx="20">
                  <c:v>45031</c:v>
                </c:pt>
                <c:pt idx="21">
                  <c:v>45032</c:v>
                </c:pt>
                <c:pt idx="22">
                  <c:v>45033</c:v>
                </c:pt>
                <c:pt idx="23">
                  <c:v>45034</c:v>
                </c:pt>
                <c:pt idx="24">
                  <c:v>45035</c:v>
                </c:pt>
                <c:pt idx="25">
                  <c:v>45036</c:v>
                </c:pt>
                <c:pt idx="26">
                  <c:v>45037</c:v>
                </c:pt>
                <c:pt idx="27">
                  <c:v>45038</c:v>
                </c:pt>
                <c:pt idx="28">
                  <c:v>45039</c:v>
                </c:pt>
                <c:pt idx="29">
                  <c:v>45040</c:v>
                </c:pt>
                <c:pt idx="30">
                  <c:v>45041</c:v>
                </c:pt>
                <c:pt idx="31">
                  <c:v>45042</c:v>
                </c:pt>
                <c:pt idx="32">
                  <c:v>45043</c:v>
                </c:pt>
                <c:pt idx="33">
                  <c:v>45044</c:v>
                </c:pt>
                <c:pt idx="34">
                  <c:v>45045</c:v>
                </c:pt>
                <c:pt idx="35">
                  <c:v>45046</c:v>
                </c:pt>
                <c:pt idx="36">
                  <c:v>45047</c:v>
                </c:pt>
                <c:pt idx="37">
                  <c:v>45048</c:v>
                </c:pt>
                <c:pt idx="38">
                  <c:v>45049</c:v>
                </c:pt>
                <c:pt idx="39">
                  <c:v>45050</c:v>
                </c:pt>
                <c:pt idx="40">
                  <c:v>45051</c:v>
                </c:pt>
                <c:pt idx="41">
                  <c:v>45052</c:v>
                </c:pt>
                <c:pt idx="42">
                  <c:v>45053</c:v>
                </c:pt>
                <c:pt idx="43">
                  <c:v>45054</c:v>
                </c:pt>
                <c:pt idx="44">
                  <c:v>45055</c:v>
                </c:pt>
                <c:pt idx="45">
                  <c:v>45056</c:v>
                </c:pt>
                <c:pt idx="46">
                  <c:v>45057</c:v>
                </c:pt>
                <c:pt idx="47">
                  <c:v>45058</c:v>
                </c:pt>
                <c:pt idx="48">
                  <c:v>45059</c:v>
                </c:pt>
                <c:pt idx="49">
                  <c:v>45060</c:v>
                </c:pt>
                <c:pt idx="50">
                  <c:v>45061</c:v>
                </c:pt>
                <c:pt idx="51">
                  <c:v>45062</c:v>
                </c:pt>
                <c:pt idx="52">
                  <c:v>45063</c:v>
                </c:pt>
                <c:pt idx="53">
                  <c:v>45064</c:v>
                </c:pt>
                <c:pt idx="54">
                  <c:v>45065</c:v>
                </c:pt>
                <c:pt idx="55">
                  <c:v>45066</c:v>
                </c:pt>
                <c:pt idx="56">
                  <c:v>45067</c:v>
                </c:pt>
                <c:pt idx="57">
                  <c:v>45068</c:v>
                </c:pt>
                <c:pt idx="58">
                  <c:v>45069</c:v>
                </c:pt>
                <c:pt idx="59">
                  <c:v>45070</c:v>
                </c:pt>
                <c:pt idx="60">
                  <c:v>45071</c:v>
                </c:pt>
                <c:pt idx="61">
                  <c:v>45072</c:v>
                </c:pt>
                <c:pt idx="62">
                  <c:v>45073</c:v>
                </c:pt>
                <c:pt idx="63">
                  <c:v>45074</c:v>
                </c:pt>
                <c:pt idx="64">
                  <c:v>45075</c:v>
                </c:pt>
                <c:pt idx="65">
                  <c:v>45076</c:v>
                </c:pt>
                <c:pt idx="66">
                  <c:v>45077</c:v>
                </c:pt>
                <c:pt idx="67">
                  <c:v>45078</c:v>
                </c:pt>
                <c:pt idx="68">
                  <c:v>45079</c:v>
                </c:pt>
                <c:pt idx="69">
                  <c:v>45080</c:v>
                </c:pt>
                <c:pt idx="70">
                  <c:v>45081</c:v>
                </c:pt>
                <c:pt idx="71">
                  <c:v>45082</c:v>
                </c:pt>
                <c:pt idx="72">
                  <c:v>45083</c:v>
                </c:pt>
                <c:pt idx="73">
                  <c:v>45084</c:v>
                </c:pt>
                <c:pt idx="74">
                  <c:v>45085</c:v>
                </c:pt>
                <c:pt idx="75">
                  <c:v>45086</c:v>
                </c:pt>
                <c:pt idx="76">
                  <c:v>45087</c:v>
                </c:pt>
                <c:pt idx="77">
                  <c:v>45088</c:v>
                </c:pt>
                <c:pt idx="78">
                  <c:v>45089</c:v>
                </c:pt>
                <c:pt idx="79">
                  <c:v>45090</c:v>
                </c:pt>
                <c:pt idx="80">
                  <c:v>45091</c:v>
                </c:pt>
                <c:pt idx="81">
                  <c:v>45092</c:v>
                </c:pt>
                <c:pt idx="82">
                  <c:v>45093</c:v>
                </c:pt>
                <c:pt idx="83">
                  <c:v>45094</c:v>
                </c:pt>
                <c:pt idx="84">
                  <c:v>45095</c:v>
                </c:pt>
                <c:pt idx="85">
                  <c:v>45096</c:v>
                </c:pt>
                <c:pt idx="86">
                  <c:v>45097</c:v>
                </c:pt>
                <c:pt idx="87">
                  <c:v>45098</c:v>
                </c:pt>
                <c:pt idx="88">
                  <c:v>45099</c:v>
                </c:pt>
                <c:pt idx="89">
                  <c:v>45100</c:v>
                </c:pt>
                <c:pt idx="90">
                  <c:v>45101</c:v>
                </c:pt>
                <c:pt idx="91">
                  <c:v>45102</c:v>
                </c:pt>
                <c:pt idx="92">
                  <c:v>45103</c:v>
                </c:pt>
                <c:pt idx="93">
                  <c:v>45104</c:v>
                </c:pt>
                <c:pt idx="94">
                  <c:v>45105</c:v>
                </c:pt>
                <c:pt idx="95">
                  <c:v>45106</c:v>
                </c:pt>
                <c:pt idx="96">
                  <c:v>45107</c:v>
                </c:pt>
                <c:pt idx="97">
                  <c:v>45108</c:v>
                </c:pt>
                <c:pt idx="98">
                  <c:v>45109</c:v>
                </c:pt>
                <c:pt idx="99">
                  <c:v>45110</c:v>
                </c:pt>
                <c:pt idx="100">
                  <c:v>45111</c:v>
                </c:pt>
                <c:pt idx="101">
                  <c:v>45112</c:v>
                </c:pt>
                <c:pt idx="102">
                  <c:v>45113</c:v>
                </c:pt>
                <c:pt idx="103">
                  <c:v>45114</c:v>
                </c:pt>
                <c:pt idx="104">
                  <c:v>45115</c:v>
                </c:pt>
                <c:pt idx="105">
                  <c:v>45116</c:v>
                </c:pt>
                <c:pt idx="106">
                  <c:v>45117</c:v>
                </c:pt>
                <c:pt idx="107">
                  <c:v>45118</c:v>
                </c:pt>
                <c:pt idx="108">
                  <c:v>45119</c:v>
                </c:pt>
                <c:pt idx="109">
                  <c:v>45120</c:v>
                </c:pt>
                <c:pt idx="110">
                  <c:v>45121</c:v>
                </c:pt>
                <c:pt idx="111">
                  <c:v>45122</c:v>
                </c:pt>
                <c:pt idx="112">
                  <c:v>45123</c:v>
                </c:pt>
                <c:pt idx="113">
                  <c:v>45124</c:v>
                </c:pt>
                <c:pt idx="114">
                  <c:v>45125</c:v>
                </c:pt>
                <c:pt idx="115">
                  <c:v>45126</c:v>
                </c:pt>
                <c:pt idx="116">
                  <c:v>45127</c:v>
                </c:pt>
                <c:pt idx="117">
                  <c:v>45128</c:v>
                </c:pt>
                <c:pt idx="118">
                  <c:v>45129</c:v>
                </c:pt>
                <c:pt idx="119">
                  <c:v>45130</c:v>
                </c:pt>
                <c:pt idx="120">
                  <c:v>45131</c:v>
                </c:pt>
                <c:pt idx="121">
                  <c:v>45132</c:v>
                </c:pt>
                <c:pt idx="122">
                  <c:v>45133</c:v>
                </c:pt>
                <c:pt idx="123">
                  <c:v>45134</c:v>
                </c:pt>
                <c:pt idx="124">
                  <c:v>45135</c:v>
                </c:pt>
                <c:pt idx="125">
                  <c:v>45136</c:v>
                </c:pt>
                <c:pt idx="126">
                  <c:v>45137</c:v>
                </c:pt>
                <c:pt idx="127">
                  <c:v>45138</c:v>
                </c:pt>
                <c:pt idx="128">
                  <c:v>45139</c:v>
                </c:pt>
                <c:pt idx="129">
                  <c:v>45140</c:v>
                </c:pt>
                <c:pt idx="130">
                  <c:v>45141</c:v>
                </c:pt>
                <c:pt idx="131">
                  <c:v>45142</c:v>
                </c:pt>
                <c:pt idx="132">
                  <c:v>45143</c:v>
                </c:pt>
                <c:pt idx="133">
                  <c:v>45144</c:v>
                </c:pt>
                <c:pt idx="134">
                  <c:v>45145</c:v>
                </c:pt>
                <c:pt idx="135">
                  <c:v>45146</c:v>
                </c:pt>
                <c:pt idx="136">
                  <c:v>45147</c:v>
                </c:pt>
                <c:pt idx="137">
                  <c:v>45148</c:v>
                </c:pt>
                <c:pt idx="138">
                  <c:v>45149</c:v>
                </c:pt>
                <c:pt idx="139">
                  <c:v>45150</c:v>
                </c:pt>
                <c:pt idx="140">
                  <c:v>45151</c:v>
                </c:pt>
                <c:pt idx="141">
                  <c:v>45152</c:v>
                </c:pt>
                <c:pt idx="142">
                  <c:v>45153</c:v>
                </c:pt>
                <c:pt idx="143">
                  <c:v>45154</c:v>
                </c:pt>
                <c:pt idx="144">
                  <c:v>45155</c:v>
                </c:pt>
                <c:pt idx="145">
                  <c:v>45156</c:v>
                </c:pt>
                <c:pt idx="146">
                  <c:v>45157</c:v>
                </c:pt>
                <c:pt idx="147">
                  <c:v>45158</c:v>
                </c:pt>
                <c:pt idx="148">
                  <c:v>45159</c:v>
                </c:pt>
                <c:pt idx="149">
                  <c:v>45160</c:v>
                </c:pt>
                <c:pt idx="150">
                  <c:v>45161</c:v>
                </c:pt>
                <c:pt idx="151">
                  <c:v>45162</c:v>
                </c:pt>
                <c:pt idx="152">
                  <c:v>45163</c:v>
                </c:pt>
                <c:pt idx="153">
                  <c:v>45164</c:v>
                </c:pt>
                <c:pt idx="154">
                  <c:v>45165</c:v>
                </c:pt>
                <c:pt idx="155">
                  <c:v>45166</c:v>
                </c:pt>
                <c:pt idx="156">
                  <c:v>45167</c:v>
                </c:pt>
                <c:pt idx="157">
                  <c:v>45168</c:v>
                </c:pt>
                <c:pt idx="158">
                  <c:v>45169</c:v>
                </c:pt>
                <c:pt idx="159">
                  <c:v>45170</c:v>
                </c:pt>
                <c:pt idx="160">
                  <c:v>45171</c:v>
                </c:pt>
                <c:pt idx="161">
                  <c:v>45172</c:v>
                </c:pt>
                <c:pt idx="162">
                  <c:v>45173</c:v>
                </c:pt>
                <c:pt idx="163">
                  <c:v>45174</c:v>
                </c:pt>
                <c:pt idx="164">
                  <c:v>45175</c:v>
                </c:pt>
                <c:pt idx="165">
                  <c:v>45176</c:v>
                </c:pt>
                <c:pt idx="166">
                  <c:v>45177</c:v>
                </c:pt>
                <c:pt idx="167">
                  <c:v>45178</c:v>
                </c:pt>
                <c:pt idx="168">
                  <c:v>45179</c:v>
                </c:pt>
                <c:pt idx="169">
                  <c:v>45180</c:v>
                </c:pt>
                <c:pt idx="170">
                  <c:v>45181</c:v>
                </c:pt>
                <c:pt idx="171">
                  <c:v>45182</c:v>
                </c:pt>
                <c:pt idx="172">
                  <c:v>45183</c:v>
                </c:pt>
                <c:pt idx="173">
                  <c:v>45184</c:v>
                </c:pt>
                <c:pt idx="174">
                  <c:v>45185</c:v>
                </c:pt>
                <c:pt idx="175">
                  <c:v>45186</c:v>
                </c:pt>
                <c:pt idx="176">
                  <c:v>45187</c:v>
                </c:pt>
                <c:pt idx="177">
                  <c:v>45188</c:v>
                </c:pt>
                <c:pt idx="178">
                  <c:v>45189</c:v>
                </c:pt>
                <c:pt idx="179">
                  <c:v>45190</c:v>
                </c:pt>
                <c:pt idx="180">
                  <c:v>45191</c:v>
                </c:pt>
                <c:pt idx="181">
                  <c:v>45192</c:v>
                </c:pt>
                <c:pt idx="182">
                  <c:v>45193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45199</c:v>
                </c:pt>
                <c:pt idx="189">
                  <c:v>45200</c:v>
                </c:pt>
                <c:pt idx="190">
                  <c:v>45201</c:v>
                </c:pt>
                <c:pt idx="191">
                  <c:v>45202</c:v>
                </c:pt>
                <c:pt idx="192">
                  <c:v>45203</c:v>
                </c:pt>
                <c:pt idx="193">
                  <c:v>45204</c:v>
                </c:pt>
                <c:pt idx="194">
                  <c:v>45205</c:v>
                </c:pt>
                <c:pt idx="195">
                  <c:v>45206</c:v>
                </c:pt>
                <c:pt idx="196">
                  <c:v>45207</c:v>
                </c:pt>
                <c:pt idx="197">
                  <c:v>45208</c:v>
                </c:pt>
                <c:pt idx="198">
                  <c:v>45209</c:v>
                </c:pt>
                <c:pt idx="199">
                  <c:v>45210</c:v>
                </c:pt>
                <c:pt idx="200">
                  <c:v>45211</c:v>
                </c:pt>
                <c:pt idx="201">
                  <c:v>45212</c:v>
                </c:pt>
                <c:pt idx="202">
                  <c:v>45213</c:v>
                </c:pt>
                <c:pt idx="203">
                  <c:v>45214</c:v>
                </c:pt>
                <c:pt idx="204">
                  <c:v>45215</c:v>
                </c:pt>
                <c:pt idx="205">
                  <c:v>45216</c:v>
                </c:pt>
                <c:pt idx="206">
                  <c:v>45217</c:v>
                </c:pt>
                <c:pt idx="207">
                  <c:v>45218</c:v>
                </c:pt>
                <c:pt idx="208">
                  <c:v>45219</c:v>
                </c:pt>
                <c:pt idx="209">
                  <c:v>45220</c:v>
                </c:pt>
                <c:pt idx="210">
                  <c:v>45221</c:v>
                </c:pt>
                <c:pt idx="211">
                  <c:v>45222</c:v>
                </c:pt>
                <c:pt idx="212">
                  <c:v>45223</c:v>
                </c:pt>
                <c:pt idx="213">
                  <c:v>45224</c:v>
                </c:pt>
                <c:pt idx="214">
                  <c:v>45225</c:v>
                </c:pt>
                <c:pt idx="215">
                  <c:v>45226</c:v>
                </c:pt>
                <c:pt idx="216">
                  <c:v>45227</c:v>
                </c:pt>
                <c:pt idx="217">
                  <c:v>45228</c:v>
                </c:pt>
                <c:pt idx="218">
                  <c:v>45229</c:v>
                </c:pt>
                <c:pt idx="219">
                  <c:v>45230</c:v>
                </c:pt>
                <c:pt idx="220">
                  <c:v>45231</c:v>
                </c:pt>
                <c:pt idx="221">
                  <c:v>45232</c:v>
                </c:pt>
                <c:pt idx="222">
                  <c:v>45233</c:v>
                </c:pt>
                <c:pt idx="223">
                  <c:v>45234</c:v>
                </c:pt>
                <c:pt idx="224">
                  <c:v>45235</c:v>
                </c:pt>
                <c:pt idx="225">
                  <c:v>45236</c:v>
                </c:pt>
                <c:pt idx="226">
                  <c:v>45237</c:v>
                </c:pt>
                <c:pt idx="227">
                  <c:v>45238</c:v>
                </c:pt>
                <c:pt idx="228">
                  <c:v>45239</c:v>
                </c:pt>
                <c:pt idx="229">
                  <c:v>45240</c:v>
                </c:pt>
                <c:pt idx="230">
                  <c:v>45241</c:v>
                </c:pt>
                <c:pt idx="231">
                  <c:v>45242</c:v>
                </c:pt>
                <c:pt idx="232">
                  <c:v>45243</c:v>
                </c:pt>
                <c:pt idx="233">
                  <c:v>45244</c:v>
                </c:pt>
                <c:pt idx="234">
                  <c:v>45245</c:v>
                </c:pt>
                <c:pt idx="235">
                  <c:v>45246</c:v>
                </c:pt>
                <c:pt idx="236">
                  <c:v>45247</c:v>
                </c:pt>
                <c:pt idx="237">
                  <c:v>45248</c:v>
                </c:pt>
                <c:pt idx="238">
                  <c:v>45249</c:v>
                </c:pt>
                <c:pt idx="239">
                  <c:v>45250</c:v>
                </c:pt>
                <c:pt idx="240">
                  <c:v>45251</c:v>
                </c:pt>
                <c:pt idx="241">
                  <c:v>45252</c:v>
                </c:pt>
                <c:pt idx="242">
                  <c:v>45253</c:v>
                </c:pt>
                <c:pt idx="243">
                  <c:v>45254</c:v>
                </c:pt>
                <c:pt idx="244">
                  <c:v>45255</c:v>
                </c:pt>
                <c:pt idx="245">
                  <c:v>45256</c:v>
                </c:pt>
                <c:pt idx="246">
                  <c:v>45257</c:v>
                </c:pt>
                <c:pt idx="247">
                  <c:v>45258</c:v>
                </c:pt>
                <c:pt idx="248">
                  <c:v>45259</c:v>
                </c:pt>
                <c:pt idx="249">
                  <c:v>45260</c:v>
                </c:pt>
                <c:pt idx="250">
                  <c:v>45261</c:v>
                </c:pt>
                <c:pt idx="251">
                  <c:v>45262</c:v>
                </c:pt>
                <c:pt idx="252">
                  <c:v>45263</c:v>
                </c:pt>
                <c:pt idx="253">
                  <c:v>45264</c:v>
                </c:pt>
                <c:pt idx="254">
                  <c:v>45265</c:v>
                </c:pt>
                <c:pt idx="255">
                  <c:v>45266</c:v>
                </c:pt>
                <c:pt idx="256">
                  <c:v>45267</c:v>
                </c:pt>
                <c:pt idx="257">
                  <c:v>45268</c:v>
                </c:pt>
                <c:pt idx="258">
                  <c:v>45269</c:v>
                </c:pt>
                <c:pt idx="259">
                  <c:v>45270</c:v>
                </c:pt>
                <c:pt idx="260">
                  <c:v>45271</c:v>
                </c:pt>
                <c:pt idx="261">
                  <c:v>45272</c:v>
                </c:pt>
                <c:pt idx="262">
                  <c:v>45273</c:v>
                </c:pt>
                <c:pt idx="263">
                  <c:v>45274</c:v>
                </c:pt>
                <c:pt idx="264">
                  <c:v>45275</c:v>
                </c:pt>
                <c:pt idx="265">
                  <c:v>45276</c:v>
                </c:pt>
                <c:pt idx="266">
                  <c:v>45277</c:v>
                </c:pt>
                <c:pt idx="267">
                  <c:v>45278</c:v>
                </c:pt>
                <c:pt idx="268">
                  <c:v>45279</c:v>
                </c:pt>
                <c:pt idx="269">
                  <c:v>45280</c:v>
                </c:pt>
                <c:pt idx="270">
                  <c:v>45281</c:v>
                </c:pt>
                <c:pt idx="271">
                  <c:v>45282</c:v>
                </c:pt>
                <c:pt idx="272">
                  <c:v>45283</c:v>
                </c:pt>
                <c:pt idx="273">
                  <c:v>45284</c:v>
                </c:pt>
                <c:pt idx="274">
                  <c:v>45285</c:v>
                </c:pt>
                <c:pt idx="275">
                  <c:v>45286</c:v>
                </c:pt>
                <c:pt idx="276">
                  <c:v>45287</c:v>
                </c:pt>
                <c:pt idx="277">
                  <c:v>45288</c:v>
                </c:pt>
                <c:pt idx="278">
                  <c:v>45289</c:v>
                </c:pt>
                <c:pt idx="279">
                  <c:v>45290</c:v>
                </c:pt>
                <c:pt idx="280">
                  <c:v>45291</c:v>
                </c:pt>
                <c:pt idx="281">
                  <c:v>45292</c:v>
                </c:pt>
                <c:pt idx="282">
                  <c:v>45293</c:v>
                </c:pt>
                <c:pt idx="283">
                  <c:v>45294</c:v>
                </c:pt>
                <c:pt idx="284">
                  <c:v>45295</c:v>
                </c:pt>
                <c:pt idx="285">
                  <c:v>45296</c:v>
                </c:pt>
                <c:pt idx="286">
                  <c:v>45297</c:v>
                </c:pt>
                <c:pt idx="287">
                  <c:v>45298</c:v>
                </c:pt>
                <c:pt idx="288">
                  <c:v>45299</c:v>
                </c:pt>
                <c:pt idx="289">
                  <c:v>45300</c:v>
                </c:pt>
                <c:pt idx="290">
                  <c:v>45301</c:v>
                </c:pt>
                <c:pt idx="291">
                  <c:v>45302</c:v>
                </c:pt>
                <c:pt idx="292">
                  <c:v>45303</c:v>
                </c:pt>
                <c:pt idx="293">
                  <c:v>45304</c:v>
                </c:pt>
                <c:pt idx="294">
                  <c:v>45305</c:v>
                </c:pt>
                <c:pt idx="295">
                  <c:v>45306</c:v>
                </c:pt>
                <c:pt idx="296">
                  <c:v>45307</c:v>
                </c:pt>
                <c:pt idx="297">
                  <c:v>45308</c:v>
                </c:pt>
                <c:pt idx="298">
                  <c:v>45309</c:v>
                </c:pt>
                <c:pt idx="299">
                  <c:v>45310</c:v>
                </c:pt>
                <c:pt idx="300">
                  <c:v>45311</c:v>
                </c:pt>
                <c:pt idx="301">
                  <c:v>45312</c:v>
                </c:pt>
                <c:pt idx="302">
                  <c:v>45313</c:v>
                </c:pt>
                <c:pt idx="303">
                  <c:v>45314</c:v>
                </c:pt>
                <c:pt idx="304">
                  <c:v>45315</c:v>
                </c:pt>
                <c:pt idx="305">
                  <c:v>45316</c:v>
                </c:pt>
                <c:pt idx="306">
                  <c:v>45317</c:v>
                </c:pt>
                <c:pt idx="307">
                  <c:v>45318</c:v>
                </c:pt>
                <c:pt idx="308">
                  <c:v>45319</c:v>
                </c:pt>
                <c:pt idx="309">
                  <c:v>45320</c:v>
                </c:pt>
                <c:pt idx="310">
                  <c:v>45321</c:v>
                </c:pt>
                <c:pt idx="311">
                  <c:v>45322</c:v>
                </c:pt>
                <c:pt idx="312">
                  <c:v>45323</c:v>
                </c:pt>
                <c:pt idx="313">
                  <c:v>45324</c:v>
                </c:pt>
                <c:pt idx="314">
                  <c:v>45325</c:v>
                </c:pt>
                <c:pt idx="315">
                  <c:v>45326</c:v>
                </c:pt>
                <c:pt idx="316">
                  <c:v>45327</c:v>
                </c:pt>
                <c:pt idx="317">
                  <c:v>45328</c:v>
                </c:pt>
                <c:pt idx="318">
                  <c:v>45329</c:v>
                </c:pt>
                <c:pt idx="319">
                  <c:v>45330</c:v>
                </c:pt>
                <c:pt idx="320">
                  <c:v>45331</c:v>
                </c:pt>
                <c:pt idx="321">
                  <c:v>45332</c:v>
                </c:pt>
                <c:pt idx="322">
                  <c:v>45333</c:v>
                </c:pt>
                <c:pt idx="323">
                  <c:v>45334</c:v>
                </c:pt>
                <c:pt idx="324">
                  <c:v>45335</c:v>
                </c:pt>
                <c:pt idx="325">
                  <c:v>45336</c:v>
                </c:pt>
                <c:pt idx="326">
                  <c:v>45337</c:v>
                </c:pt>
                <c:pt idx="327">
                  <c:v>45338</c:v>
                </c:pt>
                <c:pt idx="328">
                  <c:v>45339</c:v>
                </c:pt>
                <c:pt idx="329">
                  <c:v>45340</c:v>
                </c:pt>
                <c:pt idx="330">
                  <c:v>45341</c:v>
                </c:pt>
                <c:pt idx="331">
                  <c:v>45342</c:v>
                </c:pt>
                <c:pt idx="332">
                  <c:v>45343</c:v>
                </c:pt>
                <c:pt idx="333">
                  <c:v>45344</c:v>
                </c:pt>
                <c:pt idx="334">
                  <c:v>45345</c:v>
                </c:pt>
                <c:pt idx="335">
                  <c:v>45346</c:v>
                </c:pt>
                <c:pt idx="336">
                  <c:v>45347</c:v>
                </c:pt>
                <c:pt idx="337">
                  <c:v>45348</c:v>
                </c:pt>
                <c:pt idx="338">
                  <c:v>45349</c:v>
                </c:pt>
                <c:pt idx="339">
                  <c:v>45350</c:v>
                </c:pt>
                <c:pt idx="340">
                  <c:v>45351</c:v>
                </c:pt>
                <c:pt idx="341">
                  <c:v>45352</c:v>
                </c:pt>
                <c:pt idx="342">
                  <c:v>45353</c:v>
                </c:pt>
                <c:pt idx="343">
                  <c:v>45354</c:v>
                </c:pt>
                <c:pt idx="344">
                  <c:v>45355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-0.53922307749575116</c:v>
                </c:pt>
                <c:pt idx="62">
                  <c:v>-0.53922307749575116</c:v>
                </c:pt>
                <c:pt idx="63">
                  <c:v>-0.73617834330057785</c:v>
                </c:pt>
                <c:pt idx="64">
                  <c:v>-1.5815729987563305</c:v>
                </c:pt>
                <c:pt idx="65">
                  <c:v>-1.7770853508373725</c:v>
                </c:pt>
                <c:pt idx="66">
                  <c:v>-1.7770853508373725</c:v>
                </c:pt>
                <c:pt idx="67">
                  <c:v>-2.1266040865572307</c:v>
                </c:pt>
                <c:pt idx="68">
                  <c:v>-2.4727611995229881</c:v>
                </c:pt>
                <c:pt idx="69">
                  <c:v>-2.8871614310491833</c:v>
                </c:pt>
                <c:pt idx="70">
                  <c:v>-3.3940994323521481</c:v>
                </c:pt>
                <c:pt idx="71">
                  <c:v>-3.4254205600834933</c:v>
                </c:pt>
                <c:pt idx="72">
                  <c:v>-3.5694802400801708</c:v>
                </c:pt>
                <c:pt idx="73">
                  <c:v>-4.1434686795876976</c:v>
                </c:pt>
                <c:pt idx="74">
                  <c:v>-4.6409793650963485</c:v>
                </c:pt>
                <c:pt idx="75">
                  <c:v>-4.7902091641288225</c:v>
                </c:pt>
                <c:pt idx="76">
                  <c:v>-5.2798547595309744</c:v>
                </c:pt>
                <c:pt idx="77">
                  <c:v>-5.2922632122942295</c:v>
                </c:pt>
                <c:pt idx="78">
                  <c:v>-6.884325947821031</c:v>
                </c:pt>
                <c:pt idx="79">
                  <c:v>-7.4211315046469171</c:v>
                </c:pt>
                <c:pt idx="80">
                  <c:v>-7.6040210164251354</c:v>
                </c:pt>
                <c:pt idx="81">
                  <c:v>-8.9602916577537659</c:v>
                </c:pt>
                <c:pt idx="82">
                  <c:v>-9.8638754376832125</c:v>
                </c:pt>
                <c:pt idx="83">
                  <c:v>-11.013575085641916</c:v>
                </c:pt>
                <c:pt idx="84">
                  <c:v>-11.68559483470426</c:v>
                </c:pt>
                <c:pt idx="85">
                  <c:v>-12.324902305660176</c:v>
                </c:pt>
                <c:pt idx="86">
                  <c:v>-12.914555732179551</c:v>
                </c:pt>
                <c:pt idx="87">
                  <c:v>-13.478363659141303</c:v>
                </c:pt>
                <c:pt idx="88">
                  <c:v>-14.097200740576429</c:v>
                </c:pt>
                <c:pt idx="89">
                  <c:v>-14.241716723545739</c:v>
                </c:pt>
                <c:pt idx="90">
                  <c:v>-14.662380400703135</c:v>
                </c:pt>
                <c:pt idx="91">
                  <c:v>-14.875341971539102</c:v>
                </c:pt>
                <c:pt idx="92">
                  <c:v>-14.961679689400318</c:v>
                </c:pt>
                <c:pt idx="93">
                  <c:v>-15.380515033693177</c:v>
                </c:pt>
                <c:pt idx="94">
                  <c:v>-15.780913595486124</c:v>
                </c:pt>
                <c:pt idx="95">
                  <c:v>-16.974905637971037</c:v>
                </c:pt>
                <c:pt idx="96">
                  <c:v>-17.515713429149077</c:v>
                </c:pt>
                <c:pt idx="97">
                  <c:v>-17.667705351768905</c:v>
                </c:pt>
                <c:pt idx="98">
                  <c:v>-17.982211898989142</c:v>
                </c:pt>
                <c:pt idx="99">
                  <c:v>-18.29598299234107</c:v>
                </c:pt>
                <c:pt idx="100">
                  <c:v>-18.435968847114811</c:v>
                </c:pt>
                <c:pt idx="101">
                  <c:v>-18.435968847114811</c:v>
                </c:pt>
                <c:pt idx="102">
                  <c:v>-19.540661949916348</c:v>
                </c:pt>
                <c:pt idx="103">
                  <c:v>-19.540661949916348</c:v>
                </c:pt>
                <c:pt idx="104">
                  <c:v>-19.895423473974741</c:v>
                </c:pt>
                <c:pt idx="105">
                  <c:v>-19.983955545791257</c:v>
                </c:pt>
                <c:pt idx="106">
                  <c:v>-19.983955545791257</c:v>
                </c:pt>
                <c:pt idx="107">
                  <c:v>-20.277151429223792</c:v>
                </c:pt>
                <c:pt idx="108">
                  <c:v>-20.293731456552418</c:v>
                </c:pt>
                <c:pt idx="109">
                  <c:v>-20.431791842030663</c:v>
                </c:pt>
                <c:pt idx="110">
                  <c:v>-20.431791842030663</c:v>
                </c:pt>
                <c:pt idx="111">
                  <c:v>-20.431791842030663</c:v>
                </c:pt>
                <c:pt idx="112">
                  <c:v>-20.743701628816165</c:v>
                </c:pt>
                <c:pt idx="113">
                  <c:v>-21.488544817870302</c:v>
                </c:pt>
                <c:pt idx="114">
                  <c:v>-22.887833342503207</c:v>
                </c:pt>
                <c:pt idx="115">
                  <c:v>-23.382632499652441</c:v>
                </c:pt>
                <c:pt idx="116">
                  <c:v>-23.699083422882438</c:v>
                </c:pt>
                <c:pt idx="117">
                  <c:v>-24.238076872074249</c:v>
                </c:pt>
                <c:pt idx="118">
                  <c:v>-24.937757972341007</c:v>
                </c:pt>
                <c:pt idx="119">
                  <c:v>-24.937757972341007</c:v>
                </c:pt>
                <c:pt idx="120">
                  <c:v>-24.937757972341007</c:v>
                </c:pt>
                <c:pt idx="121">
                  <c:v>-24.938499908437166</c:v>
                </c:pt>
                <c:pt idx="122">
                  <c:v>-24.938499908437166</c:v>
                </c:pt>
                <c:pt idx="123">
                  <c:v>-25.34168020825043</c:v>
                </c:pt>
                <c:pt idx="124">
                  <c:v>-25.34168020825043</c:v>
                </c:pt>
                <c:pt idx="125">
                  <c:v>-25.34168020825043</c:v>
                </c:pt>
                <c:pt idx="126">
                  <c:v>-25.34168020825043</c:v>
                </c:pt>
                <c:pt idx="127">
                  <c:v>-25.34168020825043</c:v>
                </c:pt>
                <c:pt idx="128">
                  <c:v>-25.34168020825043</c:v>
                </c:pt>
                <c:pt idx="129">
                  <c:v>-25.34168020825043</c:v>
                </c:pt>
                <c:pt idx="130">
                  <c:v>-25.34168020825043</c:v>
                </c:pt>
                <c:pt idx="131">
                  <c:v>-25.34168020825043</c:v>
                </c:pt>
                <c:pt idx="132">
                  <c:v>-25.34168020825043</c:v>
                </c:pt>
                <c:pt idx="133">
                  <c:v>-25.34168020825043</c:v>
                </c:pt>
                <c:pt idx="134">
                  <c:v>-25.34168020825043</c:v>
                </c:pt>
                <c:pt idx="135">
                  <c:v>-25.643543060218583</c:v>
                </c:pt>
                <c:pt idx="136">
                  <c:v>-25.691140408049943</c:v>
                </c:pt>
                <c:pt idx="137">
                  <c:v>-25.70171785677044</c:v>
                </c:pt>
                <c:pt idx="138">
                  <c:v>-25.775710137187399</c:v>
                </c:pt>
                <c:pt idx="139">
                  <c:v>-25.775710137187399</c:v>
                </c:pt>
                <c:pt idx="140">
                  <c:v>-25.775710137187399</c:v>
                </c:pt>
                <c:pt idx="141">
                  <c:v>-25.987567396466243</c:v>
                </c:pt>
                <c:pt idx="142">
                  <c:v>-26.19808904878251</c:v>
                </c:pt>
                <c:pt idx="143">
                  <c:v>-26.360967485207684</c:v>
                </c:pt>
                <c:pt idx="144">
                  <c:v>-26.701256167359279</c:v>
                </c:pt>
                <c:pt idx="145">
                  <c:v>-27.12339877738075</c:v>
                </c:pt>
                <c:pt idx="146">
                  <c:v>-27.232709282957082</c:v>
                </c:pt>
                <c:pt idx="147">
                  <c:v>-27.232709282957082</c:v>
                </c:pt>
                <c:pt idx="148">
                  <c:v>-27.477590610302798</c:v>
                </c:pt>
                <c:pt idx="149">
                  <c:v>-28.433166493197216</c:v>
                </c:pt>
                <c:pt idx="150">
                  <c:v>-28.546036396422135</c:v>
                </c:pt>
                <c:pt idx="151">
                  <c:v>-28.546036396422135</c:v>
                </c:pt>
                <c:pt idx="152">
                  <c:v>-28.546036396422135</c:v>
                </c:pt>
                <c:pt idx="153">
                  <c:v>-28.546036396422135</c:v>
                </c:pt>
                <c:pt idx="154">
                  <c:v>-28.546036396422135</c:v>
                </c:pt>
                <c:pt idx="155">
                  <c:v>-28.546036396422135</c:v>
                </c:pt>
                <c:pt idx="156">
                  <c:v>-28.546036396422135</c:v>
                </c:pt>
                <c:pt idx="157">
                  <c:v>-28.546036396422135</c:v>
                </c:pt>
                <c:pt idx="158">
                  <c:v>-28.546036396422135</c:v>
                </c:pt>
                <c:pt idx="159">
                  <c:v>-28.546036396422135</c:v>
                </c:pt>
                <c:pt idx="160">
                  <c:v>-28.546036396422135</c:v>
                </c:pt>
                <c:pt idx="161">
                  <c:v>-28.546036396422135</c:v>
                </c:pt>
                <c:pt idx="162">
                  <c:v>-28.546036396422135</c:v>
                </c:pt>
                <c:pt idx="163">
                  <c:v>-28.546036396422135</c:v>
                </c:pt>
                <c:pt idx="164">
                  <c:v>-28.546036396422135</c:v>
                </c:pt>
                <c:pt idx="165">
                  <c:v>-28.546036396422135</c:v>
                </c:pt>
                <c:pt idx="166">
                  <c:v>-28.546036396422135</c:v>
                </c:pt>
                <c:pt idx="167">
                  <c:v>-28.546036396422135</c:v>
                </c:pt>
                <c:pt idx="168">
                  <c:v>-28.546036396422135</c:v>
                </c:pt>
                <c:pt idx="169">
                  <c:v>-28.546036396422135</c:v>
                </c:pt>
                <c:pt idx="170">
                  <c:v>-28.546036396422135</c:v>
                </c:pt>
                <c:pt idx="171">
                  <c:v>-28.546036396422135</c:v>
                </c:pt>
                <c:pt idx="172">
                  <c:v>-28.546036396422135</c:v>
                </c:pt>
                <c:pt idx="173">
                  <c:v>-28.546036396422135</c:v>
                </c:pt>
                <c:pt idx="174">
                  <c:v>-28.546036396422135</c:v>
                </c:pt>
                <c:pt idx="175">
                  <c:v>-28.546036396422135</c:v>
                </c:pt>
                <c:pt idx="176">
                  <c:v>-28.546036396422135</c:v>
                </c:pt>
                <c:pt idx="177">
                  <c:v>-28.546036396422135</c:v>
                </c:pt>
                <c:pt idx="178">
                  <c:v>-28.546036396422135</c:v>
                </c:pt>
                <c:pt idx="179">
                  <c:v>-28.546036396422135</c:v>
                </c:pt>
                <c:pt idx="180">
                  <c:v>-28.546036396422135</c:v>
                </c:pt>
                <c:pt idx="181">
                  <c:v>-28.546036396422135</c:v>
                </c:pt>
                <c:pt idx="182">
                  <c:v>-28.546036396422135</c:v>
                </c:pt>
                <c:pt idx="183">
                  <c:v>-28.546036396422135</c:v>
                </c:pt>
                <c:pt idx="184">
                  <c:v>-28.546036396422135</c:v>
                </c:pt>
                <c:pt idx="185">
                  <c:v>-28.546036396422135</c:v>
                </c:pt>
                <c:pt idx="186">
                  <c:v>-28.546036396422135</c:v>
                </c:pt>
                <c:pt idx="187">
                  <c:v>-28.546036396422135</c:v>
                </c:pt>
                <c:pt idx="188">
                  <c:v>-28.546036396422135</c:v>
                </c:pt>
                <c:pt idx="189">
                  <c:v>-28.546036396422135</c:v>
                </c:pt>
                <c:pt idx="190">
                  <c:v>-28.546036396422135</c:v>
                </c:pt>
                <c:pt idx="191">
                  <c:v>-28.546036396422135</c:v>
                </c:pt>
                <c:pt idx="192">
                  <c:v>-28.546036396422135</c:v>
                </c:pt>
                <c:pt idx="193">
                  <c:v>-28.546036396422135</c:v>
                </c:pt>
                <c:pt idx="194">
                  <c:v>-28.546036396422135</c:v>
                </c:pt>
                <c:pt idx="195">
                  <c:v>-28.546036396422135</c:v>
                </c:pt>
                <c:pt idx="196">
                  <c:v>-28.546036396422135</c:v>
                </c:pt>
                <c:pt idx="197">
                  <c:v>-28.546036396422135</c:v>
                </c:pt>
                <c:pt idx="198">
                  <c:v>-28.546036396422135</c:v>
                </c:pt>
                <c:pt idx="199">
                  <c:v>-28.546036396422135</c:v>
                </c:pt>
                <c:pt idx="200">
                  <c:v>-28.546036396422135</c:v>
                </c:pt>
                <c:pt idx="201">
                  <c:v>-28.546036396422135</c:v>
                </c:pt>
                <c:pt idx="202">
                  <c:v>-28.546036396422135</c:v>
                </c:pt>
                <c:pt idx="203">
                  <c:v>-28.546036396422135</c:v>
                </c:pt>
                <c:pt idx="204">
                  <c:v>-28.546036396422135</c:v>
                </c:pt>
                <c:pt idx="205">
                  <c:v>-28.546036396422135</c:v>
                </c:pt>
                <c:pt idx="206">
                  <c:v>-28.546036396422135</c:v>
                </c:pt>
                <c:pt idx="207">
                  <c:v>-28.546036396422135</c:v>
                </c:pt>
                <c:pt idx="208">
                  <c:v>-28.546036396422135</c:v>
                </c:pt>
                <c:pt idx="209">
                  <c:v>-28.546036396422135</c:v>
                </c:pt>
                <c:pt idx="210">
                  <c:v>-28.546036396422135</c:v>
                </c:pt>
                <c:pt idx="211">
                  <c:v>-28.546036396422135</c:v>
                </c:pt>
                <c:pt idx="212">
                  <c:v>-28.546036396422135</c:v>
                </c:pt>
                <c:pt idx="213">
                  <c:v>-28.546036396422135</c:v>
                </c:pt>
                <c:pt idx="214">
                  <c:v>-28.546036396422135</c:v>
                </c:pt>
                <c:pt idx="215">
                  <c:v>-28.546036396422135</c:v>
                </c:pt>
                <c:pt idx="216">
                  <c:v>-28.546036396422135</c:v>
                </c:pt>
                <c:pt idx="217">
                  <c:v>-28.546036396422135</c:v>
                </c:pt>
                <c:pt idx="218">
                  <c:v>-28.546036396422135</c:v>
                </c:pt>
                <c:pt idx="219">
                  <c:v>-28.546036396422135</c:v>
                </c:pt>
                <c:pt idx="220">
                  <c:v>-28.546036396422135</c:v>
                </c:pt>
                <c:pt idx="221">
                  <c:v>-28.546036396422135</c:v>
                </c:pt>
                <c:pt idx="222">
                  <c:v>-28.546036396422135</c:v>
                </c:pt>
                <c:pt idx="223">
                  <c:v>-28.546036396422135</c:v>
                </c:pt>
                <c:pt idx="224">
                  <c:v>-28.546036396422135</c:v>
                </c:pt>
                <c:pt idx="225">
                  <c:v>-28.546036396422135</c:v>
                </c:pt>
                <c:pt idx="226">
                  <c:v>-28.546036396422135</c:v>
                </c:pt>
                <c:pt idx="227">
                  <c:v>-28.546036396422135</c:v>
                </c:pt>
                <c:pt idx="228">
                  <c:v>-28.546036396422135</c:v>
                </c:pt>
                <c:pt idx="229">
                  <c:v>-28.546036396422135</c:v>
                </c:pt>
                <c:pt idx="230">
                  <c:v>-28.546036396422135</c:v>
                </c:pt>
                <c:pt idx="231">
                  <c:v>-28.546036396422135</c:v>
                </c:pt>
                <c:pt idx="232">
                  <c:v>-28.546036396422135</c:v>
                </c:pt>
                <c:pt idx="233">
                  <c:v>-28.546036396422135</c:v>
                </c:pt>
                <c:pt idx="234">
                  <c:v>-28.546036396422135</c:v>
                </c:pt>
                <c:pt idx="235">
                  <c:v>-28.546036396422135</c:v>
                </c:pt>
                <c:pt idx="236">
                  <c:v>-28.546036396422135</c:v>
                </c:pt>
                <c:pt idx="237">
                  <c:v>-28.546036396422135</c:v>
                </c:pt>
                <c:pt idx="238">
                  <c:v>-28.546036396422135</c:v>
                </c:pt>
                <c:pt idx="239">
                  <c:v>-28.546036396422135</c:v>
                </c:pt>
                <c:pt idx="240">
                  <c:v>-28.546036396422135</c:v>
                </c:pt>
                <c:pt idx="241">
                  <c:v>-28.546036396422135</c:v>
                </c:pt>
                <c:pt idx="242">
                  <c:v>-28.546036396422135</c:v>
                </c:pt>
                <c:pt idx="243">
                  <c:v>-28.546036396422135</c:v>
                </c:pt>
                <c:pt idx="244">
                  <c:v>-28.546036396422135</c:v>
                </c:pt>
                <c:pt idx="245">
                  <c:v>-28.546036396422135</c:v>
                </c:pt>
                <c:pt idx="246">
                  <c:v>-28.546036396422135</c:v>
                </c:pt>
                <c:pt idx="247">
                  <c:v>-28.546036396422135</c:v>
                </c:pt>
                <c:pt idx="248">
                  <c:v>-28.546036396422135</c:v>
                </c:pt>
                <c:pt idx="249">
                  <c:v>-28.546036396422135</c:v>
                </c:pt>
                <c:pt idx="250">
                  <c:v>-28.546036396422135</c:v>
                </c:pt>
                <c:pt idx="251">
                  <c:v>-28.546036396422135</c:v>
                </c:pt>
                <c:pt idx="252">
                  <c:v>-28.546036396422135</c:v>
                </c:pt>
                <c:pt idx="253">
                  <c:v>-28.546036396422135</c:v>
                </c:pt>
                <c:pt idx="254">
                  <c:v>-28.546036396422135</c:v>
                </c:pt>
                <c:pt idx="255">
                  <c:v>-28.546036396422135</c:v>
                </c:pt>
                <c:pt idx="256">
                  <c:v>-28.546036396422135</c:v>
                </c:pt>
                <c:pt idx="257">
                  <c:v>-28.546036396422135</c:v>
                </c:pt>
                <c:pt idx="258">
                  <c:v>-28.546036396422135</c:v>
                </c:pt>
                <c:pt idx="259">
                  <c:v>-28.546036396422135</c:v>
                </c:pt>
                <c:pt idx="260">
                  <c:v>-28.546036396422135</c:v>
                </c:pt>
                <c:pt idx="261">
                  <c:v>-28.546036396422135</c:v>
                </c:pt>
                <c:pt idx="262">
                  <c:v>-28.546036396422135</c:v>
                </c:pt>
                <c:pt idx="263">
                  <c:v>-28.546036396422135</c:v>
                </c:pt>
                <c:pt idx="264">
                  <c:v>-28.546036396422135</c:v>
                </c:pt>
                <c:pt idx="265">
                  <c:v>-28.546036396422135</c:v>
                </c:pt>
                <c:pt idx="266">
                  <c:v>-28.546036396422135</c:v>
                </c:pt>
                <c:pt idx="267">
                  <c:v>-28.546036396422135</c:v>
                </c:pt>
                <c:pt idx="268">
                  <c:v>-28.546036396422135</c:v>
                </c:pt>
                <c:pt idx="269">
                  <c:v>-28.546036396422135</c:v>
                </c:pt>
                <c:pt idx="270">
                  <c:v>-28.546036396422135</c:v>
                </c:pt>
                <c:pt idx="271">
                  <c:v>-28.546036396422135</c:v>
                </c:pt>
                <c:pt idx="272">
                  <c:v>-28.546036396422135</c:v>
                </c:pt>
                <c:pt idx="273">
                  <c:v>-28.546036396422135</c:v>
                </c:pt>
                <c:pt idx="274">
                  <c:v>-28.546036396422135</c:v>
                </c:pt>
                <c:pt idx="275">
                  <c:v>-28.546036396422135</c:v>
                </c:pt>
                <c:pt idx="276">
                  <c:v>-28.546036396422135</c:v>
                </c:pt>
                <c:pt idx="277">
                  <c:v>-28.546036396422135</c:v>
                </c:pt>
                <c:pt idx="278">
                  <c:v>-28.546036396422135</c:v>
                </c:pt>
                <c:pt idx="279">
                  <c:v>-28.546036396422135</c:v>
                </c:pt>
                <c:pt idx="280">
                  <c:v>-28.546036396422135</c:v>
                </c:pt>
                <c:pt idx="281">
                  <c:v>-28.546036396422135</c:v>
                </c:pt>
                <c:pt idx="282">
                  <c:v>-28.546036396422135</c:v>
                </c:pt>
                <c:pt idx="283">
                  <c:v>-28.546036396422135</c:v>
                </c:pt>
                <c:pt idx="284">
                  <c:v>-28.546036396422135</c:v>
                </c:pt>
                <c:pt idx="285">
                  <c:v>-28.546036396422135</c:v>
                </c:pt>
                <c:pt idx="286">
                  <c:v>-28.546036396422135</c:v>
                </c:pt>
                <c:pt idx="287">
                  <c:v>-28.546036396422135</c:v>
                </c:pt>
                <c:pt idx="288">
                  <c:v>-28.546036396422135</c:v>
                </c:pt>
                <c:pt idx="289">
                  <c:v>-28.546036396422135</c:v>
                </c:pt>
                <c:pt idx="290">
                  <c:v>-28.546036396422135</c:v>
                </c:pt>
                <c:pt idx="291">
                  <c:v>-28.546036396422135</c:v>
                </c:pt>
                <c:pt idx="292">
                  <c:v>-28.546036396422135</c:v>
                </c:pt>
                <c:pt idx="293">
                  <c:v>-28.546036396422135</c:v>
                </c:pt>
                <c:pt idx="294">
                  <c:v>-28.546036396422135</c:v>
                </c:pt>
                <c:pt idx="295">
                  <c:v>-28.546036396422135</c:v>
                </c:pt>
                <c:pt idx="296">
                  <c:v>-28.546036396422135</c:v>
                </c:pt>
                <c:pt idx="297">
                  <c:v>-28.546036396422135</c:v>
                </c:pt>
                <c:pt idx="298">
                  <c:v>-28.546036396422135</c:v>
                </c:pt>
                <c:pt idx="299">
                  <c:v>-28.546036396422135</c:v>
                </c:pt>
                <c:pt idx="300">
                  <c:v>-28.546036396422135</c:v>
                </c:pt>
                <c:pt idx="301">
                  <c:v>-28.546036396422135</c:v>
                </c:pt>
                <c:pt idx="302">
                  <c:v>-28.546036396422135</c:v>
                </c:pt>
                <c:pt idx="303">
                  <c:v>-28.546036396422135</c:v>
                </c:pt>
                <c:pt idx="304">
                  <c:v>-28.546036396422135</c:v>
                </c:pt>
                <c:pt idx="305">
                  <c:v>-28.546036396422135</c:v>
                </c:pt>
                <c:pt idx="306">
                  <c:v>-28.546036396422135</c:v>
                </c:pt>
                <c:pt idx="307">
                  <c:v>-28.546036396422135</c:v>
                </c:pt>
                <c:pt idx="308">
                  <c:v>-28.546036396422135</c:v>
                </c:pt>
                <c:pt idx="309">
                  <c:v>-28.546036396422135</c:v>
                </c:pt>
                <c:pt idx="310">
                  <c:v>-28.546036396422135</c:v>
                </c:pt>
                <c:pt idx="311">
                  <c:v>-28.546036396422135</c:v>
                </c:pt>
                <c:pt idx="312">
                  <c:v>-28.546036396422135</c:v>
                </c:pt>
                <c:pt idx="313">
                  <c:v>-28.546036396422135</c:v>
                </c:pt>
                <c:pt idx="314">
                  <c:v>-28.546036396422135</c:v>
                </c:pt>
                <c:pt idx="315">
                  <c:v>-28.546036396422135</c:v>
                </c:pt>
                <c:pt idx="316">
                  <c:v>-28.546036396422135</c:v>
                </c:pt>
                <c:pt idx="317">
                  <c:v>-28.546036396422135</c:v>
                </c:pt>
                <c:pt idx="318">
                  <c:v>-28.546036396422135</c:v>
                </c:pt>
                <c:pt idx="319">
                  <c:v>-28.546036396422135</c:v>
                </c:pt>
                <c:pt idx="320">
                  <c:v>-28.546036396422135</c:v>
                </c:pt>
                <c:pt idx="321">
                  <c:v>-28.546036396422135</c:v>
                </c:pt>
                <c:pt idx="322">
                  <c:v>-28.546036396422135</c:v>
                </c:pt>
                <c:pt idx="323">
                  <c:v>-28.546036396422135</c:v>
                </c:pt>
                <c:pt idx="324">
                  <c:v>-28.546036396422135</c:v>
                </c:pt>
                <c:pt idx="325">
                  <c:v>-28.546036396422135</c:v>
                </c:pt>
                <c:pt idx="326">
                  <c:v>-28.546036396422135</c:v>
                </c:pt>
                <c:pt idx="327">
                  <c:v>-28.546036396422135</c:v>
                </c:pt>
                <c:pt idx="328">
                  <c:v>-28.546036396422135</c:v>
                </c:pt>
                <c:pt idx="329">
                  <c:v>-28.546036396422135</c:v>
                </c:pt>
                <c:pt idx="330">
                  <c:v>-28.546036396422135</c:v>
                </c:pt>
                <c:pt idx="331">
                  <c:v>-28.546036396422135</c:v>
                </c:pt>
                <c:pt idx="332">
                  <c:v>-28.546036396422135</c:v>
                </c:pt>
                <c:pt idx="333">
                  <c:v>-28.546036396422135</c:v>
                </c:pt>
                <c:pt idx="334">
                  <c:v>-28.546036396422135</c:v>
                </c:pt>
                <c:pt idx="335">
                  <c:v>-28.546036396422135</c:v>
                </c:pt>
                <c:pt idx="336">
                  <c:v>-28.546036396422135</c:v>
                </c:pt>
                <c:pt idx="337">
                  <c:v>-28.546036396422135</c:v>
                </c:pt>
                <c:pt idx="338">
                  <c:v>-28.546036396422135</c:v>
                </c:pt>
                <c:pt idx="339">
                  <c:v>-28.546036396422135</c:v>
                </c:pt>
                <c:pt idx="340">
                  <c:v>-28.546036396422135</c:v>
                </c:pt>
                <c:pt idx="341">
                  <c:v>-28.546036396422135</c:v>
                </c:pt>
                <c:pt idx="342">
                  <c:v>-28.546036396422135</c:v>
                </c:pt>
                <c:pt idx="343">
                  <c:v>-28.546036396422135</c:v>
                </c:pt>
                <c:pt idx="344">
                  <c:v>-28.546036396422135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45011</c:v>
                </c:pt>
                <c:pt idx="1">
                  <c:v>45012</c:v>
                </c:pt>
                <c:pt idx="2">
                  <c:v>45013</c:v>
                </c:pt>
                <c:pt idx="3">
                  <c:v>45014</c:v>
                </c:pt>
                <c:pt idx="4">
                  <c:v>45015</c:v>
                </c:pt>
                <c:pt idx="5">
                  <c:v>45016</c:v>
                </c:pt>
                <c:pt idx="6">
                  <c:v>45017</c:v>
                </c:pt>
                <c:pt idx="7">
                  <c:v>45018</c:v>
                </c:pt>
                <c:pt idx="8">
                  <c:v>45019</c:v>
                </c:pt>
                <c:pt idx="9">
                  <c:v>45020</c:v>
                </c:pt>
                <c:pt idx="10">
                  <c:v>45021</c:v>
                </c:pt>
                <c:pt idx="11">
                  <c:v>45022</c:v>
                </c:pt>
                <c:pt idx="12">
                  <c:v>45023</c:v>
                </c:pt>
                <c:pt idx="13">
                  <c:v>45024</c:v>
                </c:pt>
                <c:pt idx="14">
                  <c:v>45025</c:v>
                </c:pt>
                <c:pt idx="15">
                  <c:v>45026</c:v>
                </c:pt>
                <c:pt idx="16">
                  <c:v>45027</c:v>
                </c:pt>
                <c:pt idx="17">
                  <c:v>45028</c:v>
                </c:pt>
                <c:pt idx="18">
                  <c:v>45029</c:v>
                </c:pt>
                <c:pt idx="19">
                  <c:v>45030</c:v>
                </c:pt>
                <c:pt idx="20">
                  <c:v>45031</c:v>
                </c:pt>
                <c:pt idx="21">
                  <c:v>45032</c:v>
                </c:pt>
                <c:pt idx="22">
                  <c:v>45033</c:v>
                </c:pt>
                <c:pt idx="23">
                  <c:v>45034</c:v>
                </c:pt>
                <c:pt idx="24">
                  <c:v>45035</c:v>
                </c:pt>
                <c:pt idx="25">
                  <c:v>45036</c:v>
                </c:pt>
                <c:pt idx="26">
                  <c:v>45037</c:v>
                </c:pt>
                <c:pt idx="27">
                  <c:v>45038</c:v>
                </c:pt>
                <c:pt idx="28">
                  <c:v>45039</c:v>
                </c:pt>
                <c:pt idx="29">
                  <c:v>45040</c:v>
                </c:pt>
                <c:pt idx="30">
                  <c:v>45041</c:v>
                </c:pt>
                <c:pt idx="31">
                  <c:v>45042</c:v>
                </c:pt>
                <c:pt idx="32">
                  <c:v>45043</c:v>
                </c:pt>
                <c:pt idx="33">
                  <c:v>45044</c:v>
                </c:pt>
                <c:pt idx="34">
                  <c:v>45045</c:v>
                </c:pt>
                <c:pt idx="35">
                  <c:v>45046</c:v>
                </c:pt>
                <c:pt idx="36">
                  <c:v>45047</c:v>
                </c:pt>
                <c:pt idx="37">
                  <c:v>45048</c:v>
                </c:pt>
                <c:pt idx="38">
                  <c:v>45049</c:v>
                </c:pt>
                <c:pt idx="39">
                  <c:v>45050</c:v>
                </c:pt>
                <c:pt idx="40">
                  <c:v>45051</c:v>
                </c:pt>
                <c:pt idx="41">
                  <c:v>45052</c:v>
                </c:pt>
                <c:pt idx="42">
                  <c:v>45053</c:v>
                </c:pt>
                <c:pt idx="43">
                  <c:v>45054</c:v>
                </c:pt>
                <c:pt idx="44">
                  <c:v>45055</c:v>
                </c:pt>
                <c:pt idx="45">
                  <c:v>45056</c:v>
                </c:pt>
                <c:pt idx="46">
                  <c:v>45057</c:v>
                </c:pt>
                <c:pt idx="47">
                  <c:v>45058</c:v>
                </c:pt>
                <c:pt idx="48">
                  <c:v>45059</c:v>
                </c:pt>
                <c:pt idx="49">
                  <c:v>45060</c:v>
                </c:pt>
                <c:pt idx="50">
                  <c:v>45061</c:v>
                </c:pt>
                <c:pt idx="51">
                  <c:v>45062</c:v>
                </c:pt>
                <c:pt idx="52">
                  <c:v>45063</c:v>
                </c:pt>
                <c:pt idx="53">
                  <c:v>45064</c:v>
                </c:pt>
                <c:pt idx="54">
                  <c:v>45065</c:v>
                </c:pt>
                <c:pt idx="55">
                  <c:v>45066</c:v>
                </c:pt>
                <c:pt idx="56">
                  <c:v>45067</c:v>
                </c:pt>
                <c:pt idx="57">
                  <c:v>45068</c:v>
                </c:pt>
                <c:pt idx="58">
                  <c:v>45069</c:v>
                </c:pt>
                <c:pt idx="59">
                  <c:v>45070</c:v>
                </c:pt>
                <c:pt idx="60">
                  <c:v>45071</c:v>
                </c:pt>
                <c:pt idx="61">
                  <c:v>45072</c:v>
                </c:pt>
                <c:pt idx="62">
                  <c:v>45073</c:v>
                </c:pt>
                <c:pt idx="63">
                  <c:v>45074</c:v>
                </c:pt>
                <c:pt idx="64">
                  <c:v>45075</c:v>
                </c:pt>
                <c:pt idx="65">
                  <c:v>45076</c:v>
                </c:pt>
                <c:pt idx="66">
                  <c:v>45077</c:v>
                </c:pt>
                <c:pt idx="67">
                  <c:v>45078</c:v>
                </c:pt>
                <c:pt idx="68">
                  <c:v>45079</c:v>
                </c:pt>
                <c:pt idx="69">
                  <c:v>45080</c:v>
                </c:pt>
                <c:pt idx="70">
                  <c:v>45081</c:v>
                </c:pt>
                <c:pt idx="71">
                  <c:v>45082</c:v>
                </c:pt>
                <c:pt idx="72">
                  <c:v>45083</c:v>
                </c:pt>
                <c:pt idx="73">
                  <c:v>45084</c:v>
                </c:pt>
                <c:pt idx="74">
                  <c:v>45085</c:v>
                </c:pt>
                <c:pt idx="75">
                  <c:v>45086</c:v>
                </c:pt>
                <c:pt idx="76">
                  <c:v>45087</c:v>
                </c:pt>
                <c:pt idx="77">
                  <c:v>45088</c:v>
                </c:pt>
                <c:pt idx="78">
                  <c:v>45089</c:v>
                </c:pt>
                <c:pt idx="79">
                  <c:v>45090</c:v>
                </c:pt>
                <c:pt idx="80">
                  <c:v>45091</c:v>
                </c:pt>
                <c:pt idx="81">
                  <c:v>45092</c:v>
                </c:pt>
                <c:pt idx="82">
                  <c:v>45093</c:v>
                </c:pt>
                <c:pt idx="83">
                  <c:v>45094</c:v>
                </c:pt>
                <c:pt idx="84">
                  <c:v>45095</c:v>
                </c:pt>
                <c:pt idx="85">
                  <c:v>45096</c:v>
                </c:pt>
                <c:pt idx="86">
                  <c:v>45097</c:v>
                </c:pt>
                <c:pt idx="87">
                  <c:v>45098</c:v>
                </c:pt>
                <c:pt idx="88">
                  <c:v>45099</c:v>
                </c:pt>
                <c:pt idx="89">
                  <c:v>45100</c:v>
                </c:pt>
                <c:pt idx="90">
                  <c:v>45101</c:v>
                </c:pt>
                <c:pt idx="91">
                  <c:v>45102</c:v>
                </c:pt>
                <c:pt idx="92">
                  <c:v>45103</c:v>
                </c:pt>
                <c:pt idx="93">
                  <c:v>45104</c:v>
                </c:pt>
                <c:pt idx="94">
                  <c:v>45105</c:v>
                </c:pt>
                <c:pt idx="95">
                  <c:v>45106</c:v>
                </c:pt>
                <c:pt idx="96">
                  <c:v>45107</c:v>
                </c:pt>
                <c:pt idx="97">
                  <c:v>45108</c:v>
                </c:pt>
                <c:pt idx="98">
                  <c:v>45109</c:v>
                </c:pt>
                <c:pt idx="99">
                  <c:v>45110</c:v>
                </c:pt>
                <c:pt idx="100">
                  <c:v>45111</c:v>
                </c:pt>
                <c:pt idx="101">
                  <c:v>45112</c:v>
                </c:pt>
                <c:pt idx="102">
                  <c:v>45113</c:v>
                </c:pt>
                <c:pt idx="103">
                  <c:v>45114</c:v>
                </c:pt>
                <c:pt idx="104">
                  <c:v>45115</c:v>
                </c:pt>
                <c:pt idx="105">
                  <c:v>45116</c:v>
                </c:pt>
                <c:pt idx="106">
                  <c:v>45117</c:v>
                </c:pt>
                <c:pt idx="107">
                  <c:v>45118</c:v>
                </c:pt>
                <c:pt idx="108">
                  <c:v>45119</c:v>
                </c:pt>
                <c:pt idx="109">
                  <c:v>45120</c:v>
                </c:pt>
                <c:pt idx="110">
                  <c:v>45121</c:v>
                </c:pt>
                <c:pt idx="111">
                  <c:v>45122</c:v>
                </c:pt>
                <c:pt idx="112">
                  <c:v>45123</c:v>
                </c:pt>
                <c:pt idx="113">
                  <c:v>45124</c:v>
                </c:pt>
                <c:pt idx="114">
                  <c:v>45125</c:v>
                </c:pt>
                <c:pt idx="115">
                  <c:v>45126</c:v>
                </c:pt>
                <c:pt idx="116">
                  <c:v>45127</c:v>
                </c:pt>
                <c:pt idx="117">
                  <c:v>45128</c:v>
                </c:pt>
                <c:pt idx="118">
                  <c:v>45129</c:v>
                </c:pt>
                <c:pt idx="119">
                  <c:v>45130</c:v>
                </c:pt>
                <c:pt idx="120">
                  <c:v>45131</c:v>
                </c:pt>
                <c:pt idx="121">
                  <c:v>45132</c:v>
                </c:pt>
                <c:pt idx="122">
                  <c:v>45133</c:v>
                </c:pt>
                <c:pt idx="123">
                  <c:v>45134</c:v>
                </c:pt>
                <c:pt idx="124">
                  <c:v>45135</c:v>
                </c:pt>
                <c:pt idx="125">
                  <c:v>45136</c:v>
                </c:pt>
                <c:pt idx="126">
                  <c:v>45137</c:v>
                </c:pt>
                <c:pt idx="127">
                  <c:v>45138</c:v>
                </c:pt>
                <c:pt idx="128">
                  <c:v>45139</c:v>
                </c:pt>
                <c:pt idx="129">
                  <c:v>45140</c:v>
                </c:pt>
                <c:pt idx="130">
                  <c:v>45141</c:v>
                </c:pt>
                <c:pt idx="131">
                  <c:v>45142</c:v>
                </c:pt>
                <c:pt idx="132">
                  <c:v>45143</c:v>
                </c:pt>
                <c:pt idx="133">
                  <c:v>45144</c:v>
                </c:pt>
                <c:pt idx="134">
                  <c:v>45145</c:v>
                </c:pt>
                <c:pt idx="135">
                  <c:v>45146</c:v>
                </c:pt>
                <c:pt idx="136">
                  <c:v>45147</c:v>
                </c:pt>
                <c:pt idx="137">
                  <c:v>45148</c:v>
                </c:pt>
                <c:pt idx="138">
                  <c:v>45149</c:v>
                </c:pt>
                <c:pt idx="139">
                  <c:v>45150</c:v>
                </c:pt>
                <c:pt idx="140">
                  <c:v>45151</c:v>
                </c:pt>
                <c:pt idx="141">
                  <c:v>45152</c:v>
                </c:pt>
                <c:pt idx="142">
                  <c:v>45153</c:v>
                </c:pt>
                <c:pt idx="143">
                  <c:v>45154</c:v>
                </c:pt>
                <c:pt idx="144">
                  <c:v>45155</c:v>
                </c:pt>
                <c:pt idx="145">
                  <c:v>45156</c:v>
                </c:pt>
                <c:pt idx="146">
                  <c:v>45157</c:v>
                </c:pt>
                <c:pt idx="147">
                  <c:v>45158</c:v>
                </c:pt>
                <c:pt idx="148">
                  <c:v>45159</c:v>
                </c:pt>
                <c:pt idx="149">
                  <c:v>45160</c:v>
                </c:pt>
                <c:pt idx="150">
                  <c:v>45161</c:v>
                </c:pt>
                <c:pt idx="151">
                  <c:v>45162</c:v>
                </c:pt>
                <c:pt idx="152">
                  <c:v>45163</c:v>
                </c:pt>
                <c:pt idx="153">
                  <c:v>45164</c:v>
                </c:pt>
                <c:pt idx="154">
                  <c:v>45165</c:v>
                </c:pt>
                <c:pt idx="155">
                  <c:v>45166</c:v>
                </c:pt>
                <c:pt idx="156">
                  <c:v>45167</c:v>
                </c:pt>
                <c:pt idx="157">
                  <c:v>45168</c:v>
                </c:pt>
                <c:pt idx="158">
                  <c:v>45169</c:v>
                </c:pt>
                <c:pt idx="159">
                  <c:v>45170</c:v>
                </c:pt>
                <c:pt idx="160">
                  <c:v>45171</c:v>
                </c:pt>
                <c:pt idx="161">
                  <c:v>45172</c:v>
                </c:pt>
                <c:pt idx="162">
                  <c:v>45173</c:v>
                </c:pt>
                <c:pt idx="163">
                  <c:v>45174</c:v>
                </c:pt>
                <c:pt idx="164">
                  <c:v>45175</c:v>
                </c:pt>
                <c:pt idx="165">
                  <c:v>45176</c:v>
                </c:pt>
                <c:pt idx="166">
                  <c:v>45177</c:v>
                </c:pt>
                <c:pt idx="167">
                  <c:v>45178</c:v>
                </c:pt>
                <c:pt idx="168">
                  <c:v>45179</c:v>
                </c:pt>
                <c:pt idx="169">
                  <c:v>45180</c:v>
                </c:pt>
                <c:pt idx="170">
                  <c:v>45181</c:v>
                </c:pt>
                <c:pt idx="171">
                  <c:v>45182</c:v>
                </c:pt>
                <c:pt idx="172">
                  <c:v>45183</c:v>
                </c:pt>
                <c:pt idx="173">
                  <c:v>45184</c:v>
                </c:pt>
                <c:pt idx="174">
                  <c:v>45185</c:v>
                </c:pt>
                <c:pt idx="175">
                  <c:v>45186</c:v>
                </c:pt>
                <c:pt idx="176">
                  <c:v>45187</c:v>
                </c:pt>
                <c:pt idx="177">
                  <c:v>45188</c:v>
                </c:pt>
                <c:pt idx="178">
                  <c:v>45189</c:v>
                </c:pt>
                <c:pt idx="179">
                  <c:v>45190</c:v>
                </c:pt>
                <c:pt idx="180">
                  <c:v>45191</c:v>
                </c:pt>
                <c:pt idx="181">
                  <c:v>45192</c:v>
                </c:pt>
                <c:pt idx="182">
                  <c:v>45193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45199</c:v>
                </c:pt>
                <c:pt idx="189">
                  <c:v>45200</c:v>
                </c:pt>
                <c:pt idx="190">
                  <c:v>45201</c:v>
                </c:pt>
                <c:pt idx="191">
                  <c:v>45202</c:v>
                </c:pt>
                <c:pt idx="192">
                  <c:v>45203</c:v>
                </c:pt>
                <c:pt idx="193">
                  <c:v>45204</c:v>
                </c:pt>
                <c:pt idx="194">
                  <c:v>45205</c:v>
                </c:pt>
                <c:pt idx="195">
                  <c:v>45206</c:v>
                </c:pt>
                <c:pt idx="196">
                  <c:v>45207</c:v>
                </c:pt>
                <c:pt idx="197">
                  <c:v>45208</c:v>
                </c:pt>
                <c:pt idx="198">
                  <c:v>45209</c:v>
                </c:pt>
                <c:pt idx="199">
                  <c:v>45210</c:v>
                </c:pt>
                <c:pt idx="200">
                  <c:v>45211</c:v>
                </c:pt>
                <c:pt idx="201">
                  <c:v>45212</c:v>
                </c:pt>
                <c:pt idx="202">
                  <c:v>45213</c:v>
                </c:pt>
                <c:pt idx="203">
                  <c:v>45214</c:v>
                </c:pt>
                <c:pt idx="204">
                  <c:v>45215</c:v>
                </c:pt>
                <c:pt idx="205">
                  <c:v>45216</c:v>
                </c:pt>
                <c:pt idx="206">
                  <c:v>45217</c:v>
                </c:pt>
                <c:pt idx="207">
                  <c:v>45218</c:v>
                </c:pt>
                <c:pt idx="208">
                  <c:v>45219</c:v>
                </c:pt>
                <c:pt idx="209">
                  <c:v>45220</c:v>
                </c:pt>
                <c:pt idx="210">
                  <c:v>45221</c:v>
                </c:pt>
                <c:pt idx="211">
                  <c:v>45222</c:v>
                </c:pt>
                <c:pt idx="212">
                  <c:v>45223</c:v>
                </c:pt>
                <c:pt idx="213">
                  <c:v>45224</c:v>
                </c:pt>
                <c:pt idx="214">
                  <c:v>45225</c:v>
                </c:pt>
                <c:pt idx="215">
                  <c:v>45226</c:v>
                </c:pt>
                <c:pt idx="216">
                  <c:v>45227</c:v>
                </c:pt>
                <c:pt idx="217">
                  <c:v>45228</c:v>
                </c:pt>
                <c:pt idx="218">
                  <c:v>45229</c:v>
                </c:pt>
                <c:pt idx="219">
                  <c:v>45230</c:v>
                </c:pt>
                <c:pt idx="220">
                  <c:v>45231</c:v>
                </c:pt>
                <c:pt idx="221">
                  <c:v>45232</c:v>
                </c:pt>
                <c:pt idx="222">
                  <c:v>45233</c:v>
                </c:pt>
                <c:pt idx="223">
                  <c:v>45234</c:v>
                </c:pt>
                <c:pt idx="224">
                  <c:v>45235</c:v>
                </c:pt>
                <c:pt idx="225">
                  <c:v>45236</c:v>
                </c:pt>
                <c:pt idx="226">
                  <c:v>45237</c:v>
                </c:pt>
                <c:pt idx="227">
                  <c:v>45238</c:v>
                </c:pt>
                <c:pt idx="228">
                  <c:v>45239</c:v>
                </c:pt>
                <c:pt idx="229">
                  <c:v>45240</c:v>
                </c:pt>
                <c:pt idx="230">
                  <c:v>45241</c:v>
                </c:pt>
                <c:pt idx="231">
                  <c:v>45242</c:v>
                </c:pt>
                <c:pt idx="232">
                  <c:v>45243</c:v>
                </c:pt>
                <c:pt idx="233">
                  <c:v>45244</c:v>
                </c:pt>
                <c:pt idx="234">
                  <c:v>45245</c:v>
                </c:pt>
                <c:pt idx="235">
                  <c:v>45246</c:v>
                </c:pt>
                <c:pt idx="236">
                  <c:v>45247</c:v>
                </c:pt>
                <c:pt idx="237">
                  <c:v>45248</c:v>
                </c:pt>
                <c:pt idx="238">
                  <c:v>45249</c:v>
                </c:pt>
                <c:pt idx="239">
                  <c:v>45250</c:v>
                </c:pt>
                <c:pt idx="240">
                  <c:v>45251</c:v>
                </c:pt>
                <c:pt idx="241">
                  <c:v>45252</c:v>
                </c:pt>
                <c:pt idx="242">
                  <c:v>45253</c:v>
                </c:pt>
                <c:pt idx="243">
                  <c:v>45254</c:v>
                </c:pt>
                <c:pt idx="244">
                  <c:v>45255</c:v>
                </c:pt>
                <c:pt idx="245">
                  <c:v>45256</c:v>
                </c:pt>
                <c:pt idx="246">
                  <c:v>45257</c:v>
                </c:pt>
                <c:pt idx="247">
                  <c:v>45258</c:v>
                </c:pt>
                <c:pt idx="248">
                  <c:v>45259</c:v>
                </c:pt>
                <c:pt idx="249">
                  <c:v>45260</c:v>
                </c:pt>
                <c:pt idx="250">
                  <c:v>45261</c:v>
                </c:pt>
                <c:pt idx="251">
                  <c:v>45262</c:v>
                </c:pt>
                <c:pt idx="252">
                  <c:v>45263</c:v>
                </c:pt>
                <c:pt idx="253">
                  <c:v>45264</c:v>
                </c:pt>
                <c:pt idx="254">
                  <c:v>45265</c:v>
                </c:pt>
                <c:pt idx="255">
                  <c:v>45266</c:v>
                </c:pt>
                <c:pt idx="256">
                  <c:v>45267</c:v>
                </c:pt>
                <c:pt idx="257">
                  <c:v>45268</c:v>
                </c:pt>
                <c:pt idx="258">
                  <c:v>45269</c:v>
                </c:pt>
                <c:pt idx="259">
                  <c:v>45270</c:v>
                </c:pt>
                <c:pt idx="260">
                  <c:v>45271</c:v>
                </c:pt>
                <c:pt idx="261">
                  <c:v>45272</c:v>
                </c:pt>
                <c:pt idx="262">
                  <c:v>45273</c:v>
                </c:pt>
                <c:pt idx="263">
                  <c:v>45274</c:v>
                </c:pt>
                <c:pt idx="264">
                  <c:v>45275</c:v>
                </c:pt>
                <c:pt idx="265">
                  <c:v>45276</c:v>
                </c:pt>
                <c:pt idx="266">
                  <c:v>45277</c:v>
                </c:pt>
                <c:pt idx="267">
                  <c:v>45278</c:v>
                </c:pt>
                <c:pt idx="268">
                  <c:v>45279</c:v>
                </c:pt>
                <c:pt idx="269">
                  <c:v>45280</c:v>
                </c:pt>
                <c:pt idx="270">
                  <c:v>45281</c:v>
                </c:pt>
                <c:pt idx="271">
                  <c:v>45282</c:v>
                </c:pt>
                <c:pt idx="272">
                  <c:v>45283</c:v>
                </c:pt>
                <c:pt idx="273">
                  <c:v>45284</c:v>
                </c:pt>
                <c:pt idx="274">
                  <c:v>45285</c:v>
                </c:pt>
                <c:pt idx="275">
                  <c:v>45286</c:v>
                </c:pt>
                <c:pt idx="276">
                  <c:v>45287</c:v>
                </c:pt>
                <c:pt idx="277">
                  <c:v>45288</c:v>
                </c:pt>
                <c:pt idx="278">
                  <c:v>45289</c:v>
                </c:pt>
                <c:pt idx="279">
                  <c:v>45290</c:v>
                </c:pt>
                <c:pt idx="280">
                  <c:v>45291</c:v>
                </c:pt>
                <c:pt idx="281">
                  <c:v>45292</c:v>
                </c:pt>
                <c:pt idx="282">
                  <c:v>45293</c:v>
                </c:pt>
                <c:pt idx="283">
                  <c:v>45294</c:v>
                </c:pt>
                <c:pt idx="284">
                  <c:v>45295</c:v>
                </c:pt>
                <c:pt idx="285">
                  <c:v>45296</c:v>
                </c:pt>
                <c:pt idx="286">
                  <c:v>45297</c:v>
                </c:pt>
                <c:pt idx="287">
                  <c:v>45298</c:v>
                </c:pt>
                <c:pt idx="288">
                  <c:v>45299</c:v>
                </c:pt>
                <c:pt idx="289">
                  <c:v>45300</c:v>
                </c:pt>
                <c:pt idx="290">
                  <c:v>45301</c:v>
                </c:pt>
                <c:pt idx="291">
                  <c:v>45302</c:v>
                </c:pt>
                <c:pt idx="292">
                  <c:v>45303</c:v>
                </c:pt>
                <c:pt idx="293">
                  <c:v>45304</c:v>
                </c:pt>
                <c:pt idx="294">
                  <c:v>45305</c:v>
                </c:pt>
                <c:pt idx="295">
                  <c:v>45306</c:v>
                </c:pt>
                <c:pt idx="296">
                  <c:v>45307</c:v>
                </c:pt>
                <c:pt idx="297">
                  <c:v>45308</c:v>
                </c:pt>
                <c:pt idx="298">
                  <c:v>45309</c:v>
                </c:pt>
                <c:pt idx="299">
                  <c:v>45310</c:v>
                </c:pt>
                <c:pt idx="300">
                  <c:v>45311</c:v>
                </c:pt>
                <c:pt idx="301">
                  <c:v>45312</c:v>
                </c:pt>
                <c:pt idx="302">
                  <c:v>45313</c:v>
                </c:pt>
                <c:pt idx="303">
                  <c:v>45314</c:v>
                </c:pt>
                <c:pt idx="304">
                  <c:v>45315</c:v>
                </c:pt>
                <c:pt idx="305">
                  <c:v>45316</c:v>
                </c:pt>
                <c:pt idx="306">
                  <c:v>45317</c:v>
                </c:pt>
                <c:pt idx="307">
                  <c:v>45318</c:v>
                </c:pt>
                <c:pt idx="308">
                  <c:v>45319</c:v>
                </c:pt>
                <c:pt idx="309">
                  <c:v>45320</c:v>
                </c:pt>
                <c:pt idx="310">
                  <c:v>45321</c:v>
                </c:pt>
                <c:pt idx="311">
                  <c:v>45322</c:v>
                </c:pt>
                <c:pt idx="312">
                  <c:v>45323</c:v>
                </c:pt>
                <c:pt idx="313">
                  <c:v>45324</c:v>
                </c:pt>
                <c:pt idx="314">
                  <c:v>45325</c:v>
                </c:pt>
                <c:pt idx="315">
                  <c:v>45326</c:v>
                </c:pt>
                <c:pt idx="316">
                  <c:v>45327</c:v>
                </c:pt>
                <c:pt idx="317">
                  <c:v>45328</c:v>
                </c:pt>
                <c:pt idx="318">
                  <c:v>45329</c:v>
                </c:pt>
                <c:pt idx="319">
                  <c:v>45330</c:v>
                </c:pt>
                <c:pt idx="320">
                  <c:v>45331</c:v>
                </c:pt>
                <c:pt idx="321">
                  <c:v>45332</c:v>
                </c:pt>
                <c:pt idx="322">
                  <c:v>45333</c:v>
                </c:pt>
                <c:pt idx="323">
                  <c:v>45334</c:v>
                </c:pt>
                <c:pt idx="324">
                  <c:v>45335</c:v>
                </c:pt>
                <c:pt idx="325">
                  <c:v>45336</c:v>
                </c:pt>
                <c:pt idx="326">
                  <c:v>45337</c:v>
                </c:pt>
                <c:pt idx="327">
                  <c:v>45338</c:v>
                </c:pt>
                <c:pt idx="328">
                  <c:v>45339</c:v>
                </c:pt>
                <c:pt idx="329">
                  <c:v>45340</c:v>
                </c:pt>
                <c:pt idx="330">
                  <c:v>45341</c:v>
                </c:pt>
                <c:pt idx="331">
                  <c:v>45342</c:v>
                </c:pt>
                <c:pt idx="332">
                  <c:v>45343</c:v>
                </c:pt>
                <c:pt idx="333">
                  <c:v>45344</c:v>
                </c:pt>
                <c:pt idx="334">
                  <c:v>45345</c:v>
                </c:pt>
                <c:pt idx="335">
                  <c:v>45346</c:v>
                </c:pt>
                <c:pt idx="336">
                  <c:v>45347</c:v>
                </c:pt>
                <c:pt idx="337">
                  <c:v>45348</c:v>
                </c:pt>
                <c:pt idx="338">
                  <c:v>45349</c:v>
                </c:pt>
                <c:pt idx="339">
                  <c:v>45350</c:v>
                </c:pt>
                <c:pt idx="340">
                  <c:v>45351</c:v>
                </c:pt>
                <c:pt idx="341">
                  <c:v>45352</c:v>
                </c:pt>
                <c:pt idx="342">
                  <c:v>45353</c:v>
                </c:pt>
                <c:pt idx="343">
                  <c:v>45354</c:v>
                </c:pt>
                <c:pt idx="344">
                  <c:v>45355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0.23601628186068427</c:v>
                </c:pt>
                <c:pt idx="1">
                  <c:v>0.48326715857794877</c:v>
                </c:pt>
                <c:pt idx="2">
                  <c:v>0.73140488186400732</c:v>
                </c:pt>
                <c:pt idx="3">
                  <c:v>0.97054577014718324</c:v>
                </c:pt>
                <c:pt idx="4">
                  <c:v>1.2109503234106556</c:v>
                </c:pt>
                <c:pt idx="5">
                  <c:v>1.430906887878014</c:v>
                </c:pt>
                <c:pt idx="6">
                  <c:v>1.6349582870161838</c:v>
                </c:pt>
                <c:pt idx="7">
                  <c:v>1.8426241612259289</c:v>
                </c:pt>
                <c:pt idx="8">
                  <c:v>2.0397345803177975</c:v>
                </c:pt>
                <c:pt idx="9">
                  <c:v>2.226697484733001</c:v>
                </c:pt>
                <c:pt idx="10">
                  <c:v>2.4075332918386776</c:v>
                </c:pt>
                <c:pt idx="11">
                  <c:v>2.591992261637051</c:v>
                </c:pt>
                <c:pt idx="12">
                  <c:v>2.780344951135524</c:v>
                </c:pt>
                <c:pt idx="13">
                  <c:v>2.9692623805129674</c:v>
                </c:pt>
                <c:pt idx="14">
                  <c:v>3.1525471757334578</c:v>
                </c:pt>
                <c:pt idx="15">
                  <c:v>3.3201704162440175</c:v>
                </c:pt>
                <c:pt idx="16">
                  <c:v>3.4901270844826837</c:v>
                </c:pt>
                <c:pt idx="17">
                  <c:v>3.6581503210158295</c:v>
                </c:pt>
                <c:pt idx="18">
                  <c:v>3.832018598995715</c:v>
                </c:pt>
                <c:pt idx="19">
                  <c:v>3.9981709302841004</c:v>
                </c:pt>
                <c:pt idx="20">
                  <c:v>4.1742786200666124</c:v>
                </c:pt>
                <c:pt idx="21">
                  <c:v>4.3428447156929781</c:v>
                </c:pt>
                <c:pt idx="22">
                  <c:v>4.5154216708884904</c:v>
                </c:pt>
                <c:pt idx="23">
                  <c:v>4.6765472955785139</c:v>
                </c:pt>
                <c:pt idx="24">
                  <c:v>4.8374474139792731</c:v>
                </c:pt>
                <c:pt idx="25">
                  <c:v>5.0037408538865549</c:v>
                </c:pt>
                <c:pt idx="26">
                  <c:v>5.1574528648150491</c:v>
                </c:pt>
                <c:pt idx="27">
                  <c:v>5.3066669817974947</c:v>
                </c:pt>
                <c:pt idx="28">
                  <c:v>5.4620575295762226</c:v>
                </c:pt>
                <c:pt idx="29">
                  <c:v>5.6103084941187387</c:v>
                </c:pt>
                <c:pt idx="30">
                  <c:v>5.7674215087999965</c:v>
                </c:pt>
                <c:pt idx="31">
                  <c:v>5.9237884924689608</c:v>
                </c:pt>
                <c:pt idx="32">
                  <c:v>6.0836777520616661</c:v>
                </c:pt>
                <c:pt idx="33">
                  <c:v>6.2503844588168294</c:v>
                </c:pt>
                <c:pt idx="34">
                  <c:v>6.4104233763251575</c:v>
                </c:pt>
                <c:pt idx="35">
                  <c:v>6.5700098007254644</c:v>
                </c:pt>
                <c:pt idx="36">
                  <c:v>6.7234342915982994</c:v>
                </c:pt>
                <c:pt idx="37">
                  <c:v>6.8776921814132859</c:v>
                </c:pt>
                <c:pt idx="38">
                  <c:v>7.0297551327596484</c:v>
                </c:pt>
                <c:pt idx="39">
                  <c:v>7.1908379160892384</c:v>
                </c:pt>
                <c:pt idx="40">
                  <c:v>7.3507564458736336</c:v>
                </c:pt>
                <c:pt idx="41">
                  <c:v>7.5290294716806097</c:v>
                </c:pt>
                <c:pt idx="42">
                  <c:v>7.6992115212648482</c:v>
                </c:pt>
                <c:pt idx="43">
                  <c:v>7.8577514310138961</c:v>
                </c:pt>
                <c:pt idx="44">
                  <c:v>8.0168881558786076</c:v>
                </c:pt>
                <c:pt idx="45">
                  <c:v>8.1764068035405906</c:v>
                </c:pt>
                <c:pt idx="46">
                  <c:v>8.3397889677778103</c:v>
                </c:pt>
                <c:pt idx="47">
                  <c:v>8.510248092380774</c:v>
                </c:pt>
                <c:pt idx="48">
                  <c:v>8.6698641784664741</c:v>
                </c:pt>
                <c:pt idx="49">
                  <c:v>8.8286070904543763</c:v>
                </c:pt>
                <c:pt idx="50">
                  <c:v>8.9814856494052773</c:v>
                </c:pt>
                <c:pt idx="51">
                  <c:v>9.1445812449348836</c:v>
                </c:pt>
                <c:pt idx="52">
                  <c:v>9.2977160627306255</c:v>
                </c:pt>
                <c:pt idx="53">
                  <c:v>9.4479865981253521</c:v>
                </c:pt>
                <c:pt idx="54">
                  <c:v>9.6039186735311635</c:v>
                </c:pt>
                <c:pt idx="55">
                  <c:v>9.7631089011687084</c:v>
                </c:pt>
                <c:pt idx="56">
                  <c:v>9.9214729435201079</c:v>
                </c:pt>
                <c:pt idx="57">
                  <c:v>10.068441493768058</c:v>
                </c:pt>
                <c:pt idx="58">
                  <c:v>10.226729770626054</c:v>
                </c:pt>
                <c:pt idx="59">
                  <c:v>10.387776142842956</c:v>
                </c:pt>
                <c:pt idx="60">
                  <c:v>10.542478201714847</c:v>
                </c:pt>
                <c:pt idx="61">
                  <c:v>10.700265807717319</c:v>
                </c:pt>
                <c:pt idx="62">
                  <c:v>10.856424528401515</c:v>
                </c:pt>
                <c:pt idx="63">
                  <c:v>11.008239727036335</c:v>
                </c:pt>
                <c:pt idx="64">
                  <c:v>11.163103201035367</c:v>
                </c:pt>
                <c:pt idx="65">
                  <c:v>11.310654017059909</c:v>
                </c:pt>
                <c:pt idx="66">
                  <c:v>11.458988583636598</c:v>
                </c:pt>
                <c:pt idx="67">
                  <c:v>11.608898757842528</c:v>
                </c:pt>
                <c:pt idx="68">
                  <c:v>11.753804987083804</c:v>
                </c:pt>
                <c:pt idx="69">
                  <c:v>11.894120028498179</c:v>
                </c:pt>
                <c:pt idx="70">
                  <c:v>12.031726533376357</c:v>
                </c:pt>
                <c:pt idx="71">
                  <c:v>12.168289031440317</c:v>
                </c:pt>
                <c:pt idx="72">
                  <c:v>12.299854475797821</c:v>
                </c:pt>
                <c:pt idx="73">
                  <c:v>12.434639345848888</c:v>
                </c:pt>
                <c:pt idx="74">
                  <c:v>12.577544217386583</c:v>
                </c:pt>
                <c:pt idx="75">
                  <c:v>12.723691080002039</c:v>
                </c:pt>
                <c:pt idx="76">
                  <c:v>12.869837942617496</c:v>
                </c:pt>
                <c:pt idx="77">
                  <c:v>13.012589614707553</c:v>
                </c:pt>
                <c:pt idx="78">
                  <c:v>13.15672394340219</c:v>
                </c:pt>
                <c:pt idx="79">
                  <c:v>13.288434617660032</c:v>
                </c:pt>
                <c:pt idx="80">
                  <c:v>13.42544390972026</c:v>
                </c:pt>
                <c:pt idx="81">
                  <c:v>13.564099632156999</c:v>
                </c:pt>
                <c:pt idx="82">
                  <c:v>13.69278255428743</c:v>
                </c:pt>
                <c:pt idx="83">
                  <c:v>13.812521937465274</c:v>
                </c:pt>
                <c:pt idx="84">
                  <c:v>13.938646423808189</c:v>
                </c:pt>
                <c:pt idx="85">
                  <c:v>14.063364165938333</c:v>
                </c:pt>
                <c:pt idx="86">
                  <c:v>14.188924704773667</c:v>
                </c:pt>
                <c:pt idx="87">
                  <c:v>14.316182093220142</c:v>
                </c:pt>
                <c:pt idx="88">
                  <c:v>14.437566031726231</c:v>
                </c:pt>
                <c:pt idx="89">
                  <c:v>14.559916163546525</c:v>
                </c:pt>
                <c:pt idx="90">
                  <c:v>14.686464705348172</c:v>
                </c:pt>
                <c:pt idx="91">
                  <c:v>14.812025244183506</c:v>
                </c:pt>
                <c:pt idx="92">
                  <c:v>14.941137868051541</c:v>
                </c:pt>
                <c:pt idx="93">
                  <c:v>15.063073296338958</c:v>
                </c:pt>
                <c:pt idx="94">
                  <c:v>15.181453549850904</c:v>
                </c:pt>
                <c:pt idx="95">
                  <c:v>15.302975205714638</c:v>
                </c:pt>
                <c:pt idx="96">
                  <c:v>15.429240939562721</c:v>
                </c:pt>
                <c:pt idx="97">
                  <c:v>15.546003794973322</c:v>
                </c:pt>
                <c:pt idx="98">
                  <c:v>15.658394676975979</c:v>
                </c:pt>
                <c:pt idx="99">
                  <c:v>15.777997684108206</c:v>
                </c:pt>
                <c:pt idx="100">
                  <c:v>15.901180019312319</c:v>
                </c:pt>
                <c:pt idx="101">
                  <c:v>16.028153555807158</c:v>
                </c:pt>
                <c:pt idx="102">
                  <c:v>16.152171827784464</c:v>
                </c:pt>
                <c:pt idx="103">
                  <c:v>16.265875837836187</c:v>
                </c:pt>
                <c:pt idx="104">
                  <c:v>16.375028210008256</c:v>
                </c:pt>
                <c:pt idx="105">
                  <c:v>16.487288337546634</c:v>
                </c:pt>
                <c:pt idx="106">
                  <c:v>16.602315647747531</c:v>
                </c:pt>
                <c:pt idx="107">
                  <c:v>16.716151529588718</c:v>
                </c:pt>
                <c:pt idx="108">
                  <c:v>16.833182926160713</c:v>
                </c:pt>
                <c:pt idx="109">
                  <c:v>16.95129258737402</c:v>
                </c:pt>
                <c:pt idx="110">
                  <c:v>17.07295206396866</c:v>
                </c:pt>
                <c:pt idx="111">
                  <c:v>17.190521772405859</c:v>
                </c:pt>
                <c:pt idx="112">
                  <c:v>17.314540044383165</c:v>
                </c:pt>
                <c:pt idx="113">
                  <c:v>17.440100583218499</c:v>
                </c:pt>
                <c:pt idx="114">
                  <c:v>17.563979272885007</c:v>
                </c:pt>
                <c:pt idx="115">
                  <c:v>17.690811040077794</c:v>
                </c:pt>
                <c:pt idx="116">
                  <c:v>17.820210655932257</c:v>
                </c:pt>
                <c:pt idx="117">
                  <c:v>17.943671221612838</c:v>
                </c:pt>
                <c:pt idx="118">
                  <c:v>18.071212879986824</c:v>
                </c:pt>
                <c:pt idx="119">
                  <c:v>18.202488180384933</c:v>
                </c:pt>
                <c:pt idx="120">
                  <c:v>18.332031449560638</c:v>
                </c:pt>
                <c:pt idx="121">
                  <c:v>18.462872323230012</c:v>
                </c:pt>
                <c:pt idx="122">
                  <c:v>18.592991255162147</c:v>
                </c:pt>
                <c:pt idx="123">
                  <c:v>18.728071336766586</c:v>
                </c:pt>
                <c:pt idx="124">
                  <c:v>18.862120030015539</c:v>
                </c:pt>
                <c:pt idx="125">
                  <c:v>19.002435071429915</c:v>
                </c:pt>
                <c:pt idx="126">
                  <c:v>19.133710371828023</c:v>
                </c:pt>
                <c:pt idx="127">
                  <c:v>19.270124150923444</c:v>
                </c:pt>
                <c:pt idx="128">
                  <c:v>19.409834310276512</c:v>
                </c:pt>
                <c:pt idx="129">
                  <c:v>19.54550608611369</c:v>
                </c:pt>
                <c:pt idx="130">
                  <c:v>19.675769196234974</c:v>
                </c:pt>
                <c:pt idx="131">
                  <c:v>19.812331694298933</c:v>
                </c:pt>
                <c:pt idx="132">
                  <c:v>19.951438678665966</c:v>
                </c:pt>
                <c:pt idx="133">
                  <c:v>20.091496102977572</c:v>
                </c:pt>
                <c:pt idx="134">
                  <c:v>20.233941697702495</c:v>
                </c:pt>
                <c:pt idx="135">
                  <c:v>20.372447212564353</c:v>
                </c:pt>
                <c:pt idx="136">
                  <c:v>20.500701375809367</c:v>
                </c:pt>
                <c:pt idx="137">
                  <c:v>20.635338798884902</c:v>
                </c:pt>
                <c:pt idx="138">
                  <c:v>20.776564367630339</c:v>
                </c:pt>
                <c:pt idx="139">
                  <c:v>20.921316001810485</c:v>
                </c:pt>
                <c:pt idx="140">
                  <c:v>21.061479662584258</c:v>
                </c:pt>
                <c:pt idx="141">
                  <c:v>21.19983507636379</c:v>
                </c:pt>
                <c:pt idx="142">
                  <c:v>21.332857562042349</c:v>
                </c:pt>
                <c:pt idx="143">
                  <c:v>21.46927134113777</c:v>
                </c:pt>
                <c:pt idx="144">
                  <c:v>21.614022975317916</c:v>
                </c:pt>
                <c:pt idx="145">
                  <c:v>21.759703793207034</c:v>
                </c:pt>
                <c:pt idx="146">
                  <c:v>21.901081490652768</c:v>
                </c:pt>
                <c:pt idx="147">
                  <c:v>22.043221436556582</c:v>
                </c:pt>
                <c:pt idx="148">
                  <c:v>22.180678478780592</c:v>
                </c:pt>
                <c:pt idx="149">
                  <c:v>22.321904047526029</c:v>
                </c:pt>
                <c:pt idx="150">
                  <c:v>22.465115639611071</c:v>
                </c:pt>
                <c:pt idx="151">
                  <c:v>22.615500606545325</c:v>
                </c:pt>
                <c:pt idx="152">
                  <c:v>22.769075809450523</c:v>
                </c:pt>
                <c:pt idx="153">
                  <c:v>22.921689379784681</c:v>
                </c:pt>
                <c:pt idx="154">
                  <c:v>23.07446295039253</c:v>
                </c:pt>
                <c:pt idx="155">
                  <c:v>23.232250556395002</c:v>
                </c:pt>
                <c:pt idx="156">
                  <c:v>23.384384777867563</c:v>
                </c:pt>
                <c:pt idx="157">
                  <c:v>23.546126384274515</c:v>
                </c:pt>
                <c:pt idx="158">
                  <c:v>23.693364455752548</c:v>
                </c:pt>
                <c:pt idx="159">
                  <c:v>23.850600554274511</c:v>
                </c:pt>
                <c:pt idx="160">
                  <c:v>24.012413833902052</c:v>
                </c:pt>
                <c:pt idx="161">
                  <c:v>24.166878911211981</c:v>
                </c:pt>
                <c:pt idx="162">
                  <c:v>24.318092830531842</c:v>
                </c:pt>
                <c:pt idx="163">
                  <c:v>24.46308974887107</c:v>
                </c:pt>
                <c:pt idx="164">
                  <c:v>24.612313490456778</c:v>
                </c:pt>
                <c:pt idx="165">
                  <c:v>24.757679415025606</c:v>
                </c:pt>
                <c:pt idx="166">
                  <c:v>24.894559606049185</c:v>
                </c:pt>
                <c:pt idx="167">
                  <c:v>25.021108906652749</c:v>
                </c:pt>
                <c:pt idx="168">
                  <c:v>25.158107652761021</c:v>
                </c:pt>
                <c:pt idx="169">
                  <c:v>25.303989430599394</c:v>
                </c:pt>
                <c:pt idx="170">
                  <c:v>25.446202963276683</c:v>
                </c:pt>
                <c:pt idx="171">
                  <c:v>25.583802463688333</c:v>
                </c:pt>
                <c:pt idx="172">
                  <c:v>25.724550118191431</c:v>
                </c:pt>
                <c:pt idx="173">
                  <c:v>25.871557800297683</c:v>
                </c:pt>
                <c:pt idx="174">
                  <c:v>26.009915475126572</c:v>
                </c:pt>
                <c:pt idx="175">
                  <c:v>26.135226088314926</c:v>
                </c:pt>
                <c:pt idx="176">
                  <c:v>26.255540926037575</c:v>
                </c:pt>
                <c:pt idx="177">
                  <c:v>26.378256310215537</c:v>
                </c:pt>
                <c:pt idx="178">
                  <c:v>26.494792211225253</c:v>
                </c:pt>
                <c:pt idx="179">
                  <c:v>26.614716214208183</c:v>
                </c:pt>
                <c:pt idx="180">
                  <c:v>26.728801019619496</c:v>
                </c:pt>
                <c:pt idx="181">
                  <c:v>26.837720462358</c:v>
                </c:pt>
                <c:pt idx="182">
                  <c:v>26.952128988645661</c:v>
                </c:pt>
                <c:pt idx="183">
                  <c:v>27.062141409722877</c:v>
                </c:pt>
                <c:pt idx="184">
                  <c:v>27.179233850540648</c:v>
                </c:pt>
                <c:pt idx="185">
                  <c:v>27.294246339760374</c:v>
                </c:pt>
                <c:pt idx="186">
                  <c:v>27.407382364477627</c:v>
                </c:pt>
                <c:pt idx="187">
                  <c:v>27.518867215050221</c:v>
                </c:pt>
                <c:pt idx="188">
                  <c:v>27.638313064108544</c:v>
                </c:pt>
                <c:pt idx="189">
                  <c:v>27.753092713710345</c:v>
                </c:pt>
                <c:pt idx="190">
                  <c:v>27.867394783452585</c:v>
                </c:pt>
                <c:pt idx="191">
                  <c:v>27.975021194390063</c:v>
                </c:pt>
                <c:pt idx="192">
                  <c:v>28.081546667037962</c:v>
                </c:pt>
                <c:pt idx="193">
                  <c:v>28.185149363492169</c:v>
                </c:pt>
                <c:pt idx="194">
                  <c:v>28.291218779026011</c:v>
                </c:pt>
                <c:pt idx="195">
                  <c:v>28.395231234182567</c:v>
                </c:pt>
                <c:pt idx="196">
                  <c:v>28.495449337045212</c:v>
                </c:pt>
                <c:pt idx="197">
                  <c:v>28.594065600414453</c:v>
                </c:pt>
                <c:pt idx="198">
                  <c:v>28.69257641425305</c:v>
                </c:pt>
                <c:pt idx="199">
                  <c:v>28.796373458169906</c:v>
                </c:pt>
                <c:pt idx="200">
                  <c:v>28.910425037914671</c:v>
                </c:pt>
                <c:pt idx="201">
                  <c:v>29.019360090764739</c:v>
                </c:pt>
                <c:pt idx="202">
                  <c:v>29.122747351291025</c:v>
                </c:pt>
                <c:pt idx="203">
                  <c:v>29.220625430235856</c:v>
                </c:pt>
                <c:pt idx="204">
                  <c:v>29.320354384688585</c:v>
                </c:pt>
                <c:pt idx="205">
                  <c:v>29.424825632126034</c:v>
                </c:pt>
                <c:pt idx="206">
                  <c:v>29.519708495233154</c:v>
                </c:pt>
                <c:pt idx="207">
                  <c:v>29.613159402844083</c:v>
                </c:pt>
                <c:pt idx="208">
                  <c:v>29.703858811692182</c:v>
                </c:pt>
                <c:pt idx="209">
                  <c:v>29.801342318409418</c:v>
                </c:pt>
                <c:pt idx="210">
                  <c:v>29.888064763831565</c:v>
                </c:pt>
                <c:pt idx="211">
                  <c:v>29.973493973733127</c:v>
                </c:pt>
                <c:pt idx="212">
                  <c:v>30.058083527473084</c:v>
                </c:pt>
                <c:pt idx="213">
                  <c:v>30.14204872713232</c:v>
                </c:pt>
                <c:pt idx="214">
                  <c:v>30.233483852833064</c:v>
                </c:pt>
                <c:pt idx="215">
                  <c:v>30.321115575665374</c:v>
                </c:pt>
                <c:pt idx="216">
                  <c:v>30.413905874666071</c:v>
                </c:pt>
                <c:pt idx="217">
                  <c:v>30.507448215220215</c:v>
                </c:pt>
                <c:pt idx="218">
                  <c:v>30.59808861776753</c:v>
                </c:pt>
                <c:pt idx="219">
                  <c:v>30.686742343555501</c:v>
                </c:pt>
                <c:pt idx="220">
                  <c:v>30.779804640676108</c:v>
                </c:pt>
                <c:pt idx="221">
                  <c:v>30.86772819225132</c:v>
                </c:pt>
                <c:pt idx="222">
                  <c:v>30.956646434861643</c:v>
                </c:pt>
                <c:pt idx="223">
                  <c:v>31.045655977350538</c:v>
                </c:pt>
                <c:pt idx="224">
                  <c:v>31.133779900885166</c:v>
                </c:pt>
                <c:pt idx="225">
                  <c:v>31.217786064459602</c:v>
                </c:pt>
                <c:pt idx="226">
                  <c:v>31.305148852792044</c:v>
                </c:pt>
                <c:pt idx="227">
                  <c:v>31.391591364052672</c:v>
                </c:pt>
                <c:pt idx="228">
                  <c:v>31.479778733635229</c:v>
                </c:pt>
                <c:pt idx="229">
                  <c:v>31.579283571951837</c:v>
                </c:pt>
                <c:pt idx="230">
                  <c:v>31.672872582855362</c:v>
                </c:pt>
                <c:pt idx="231">
                  <c:v>31.764877367517492</c:v>
                </c:pt>
                <c:pt idx="232">
                  <c:v>31.849841089014305</c:v>
                </c:pt>
                <c:pt idx="233">
                  <c:v>31.938227762994341</c:v>
                </c:pt>
                <c:pt idx="234">
                  <c:v>32.029211901724352</c:v>
                </c:pt>
                <c:pt idx="235">
                  <c:v>32.123775265017464</c:v>
                </c:pt>
                <c:pt idx="236">
                  <c:v>32.211683505796444</c:v>
                </c:pt>
                <c:pt idx="237">
                  <c:v>32.297134776179924</c:v>
                </c:pt>
                <c:pt idx="238">
                  <c:v>32.382768893323089</c:v>
                </c:pt>
                <c:pt idx="239">
                  <c:v>32.475537948014335</c:v>
                </c:pt>
                <c:pt idx="240">
                  <c:v>32.56945592509247</c:v>
                </c:pt>
                <c:pt idx="241">
                  <c:v>32.657487203064591</c:v>
                </c:pt>
                <c:pt idx="242">
                  <c:v>32.755619392234699</c:v>
                </c:pt>
                <c:pt idx="243">
                  <c:v>32.855609780517526</c:v>
                </c:pt>
                <c:pt idx="244">
                  <c:v>32.960762328917383</c:v>
                </c:pt>
                <c:pt idx="245">
                  <c:v>33.063698988190453</c:v>
                </c:pt>
                <c:pt idx="246">
                  <c:v>33.162694205629421</c:v>
                </c:pt>
                <c:pt idx="247">
                  <c:v>33.261697646780284</c:v>
                </c:pt>
                <c:pt idx="248">
                  <c:v>33.357391987979661</c:v>
                </c:pt>
                <c:pt idx="249">
                  <c:v>33.456631007130071</c:v>
                </c:pt>
                <c:pt idx="250">
                  <c:v>33.563861967266604</c:v>
                </c:pt>
                <c:pt idx="251">
                  <c:v>33.672121252348973</c:v>
                </c:pt>
                <c:pt idx="252">
                  <c:v>33.785368919710507</c:v>
                </c:pt>
                <c:pt idx="253">
                  <c:v>33.894004632230114</c:v>
                </c:pt>
                <c:pt idx="254">
                  <c:v>34.002057679801943</c:v>
                </c:pt>
                <c:pt idx="255">
                  <c:v>34.10548228592252</c:v>
                </c:pt>
                <c:pt idx="256">
                  <c:v>34.213129566422545</c:v>
                </c:pt>
                <c:pt idx="257">
                  <c:v>34.323465256991774</c:v>
                </c:pt>
                <c:pt idx="258">
                  <c:v>34.426249251487043</c:v>
                </c:pt>
                <c:pt idx="259">
                  <c:v>34.534019342943225</c:v>
                </c:pt>
                <c:pt idx="260">
                  <c:v>34.649432230827301</c:v>
                </c:pt>
                <c:pt idx="261">
                  <c:v>34.77132152826497</c:v>
                </c:pt>
                <c:pt idx="262">
                  <c:v>34.885901174871449</c:v>
                </c:pt>
                <c:pt idx="263">
                  <c:v>34.993321611381837</c:v>
                </c:pt>
                <c:pt idx="264">
                  <c:v>35.110447654108867</c:v>
                </c:pt>
                <c:pt idx="265">
                  <c:v>35.224480756898132</c:v>
                </c:pt>
                <c:pt idx="266">
                  <c:v>35.337335504386843</c:v>
                </c:pt>
                <c:pt idx="267">
                  <c:v>35.45331465347035</c:v>
                </c:pt>
                <c:pt idx="268">
                  <c:v>35.569933543699918</c:v>
                </c:pt>
                <c:pt idx="269">
                  <c:v>35.688104484490744</c:v>
                </c:pt>
                <c:pt idx="270">
                  <c:v>35.805805396936854</c:v>
                </c:pt>
                <c:pt idx="271">
                  <c:v>35.927219034687582</c:v>
                </c:pt>
                <c:pt idx="272">
                  <c:v>36.046165273378698</c:v>
                </c:pt>
                <c:pt idx="273">
                  <c:v>36.168761225066739</c:v>
                </c:pt>
                <c:pt idx="274">
                  <c:v>36.290196234650175</c:v>
                </c:pt>
                <c:pt idx="275">
                  <c:v>36.403584824922085</c:v>
                </c:pt>
                <c:pt idx="276">
                  <c:v>36.533315870093176</c:v>
                </c:pt>
                <c:pt idx="277">
                  <c:v>36.668415012125571</c:v>
                </c:pt>
                <c:pt idx="278">
                  <c:v>36.788757485231152</c:v>
                </c:pt>
                <c:pt idx="279">
                  <c:v>36.916311852248313</c:v>
                </c:pt>
                <c:pt idx="280">
                  <c:v>37.037502984644377</c:v>
                </c:pt>
                <c:pt idx="281">
                  <c:v>37.160419747356606</c:v>
                </c:pt>
                <c:pt idx="282">
                  <c:v>37.293260383816708</c:v>
                </c:pt>
                <c:pt idx="283">
                  <c:v>37.424140698927943</c:v>
                </c:pt>
                <c:pt idx="284">
                  <c:v>37.545285702989204</c:v>
                </c:pt>
                <c:pt idx="285">
                  <c:v>37.669034332322362</c:v>
                </c:pt>
                <c:pt idx="286">
                  <c:v>37.792049599831095</c:v>
                </c:pt>
                <c:pt idx="287">
                  <c:v>37.926016056575016</c:v>
                </c:pt>
                <c:pt idx="288">
                  <c:v>38.058601763937403</c:v>
                </c:pt>
                <c:pt idx="289">
                  <c:v>38.181090253048879</c:v>
                </c:pt>
                <c:pt idx="290">
                  <c:v>38.302679467120143</c:v>
                </c:pt>
                <c:pt idx="291">
                  <c:v>38.429270998318309</c:v>
                </c:pt>
                <c:pt idx="292">
                  <c:v>38.562249726741264</c:v>
                </c:pt>
                <c:pt idx="293">
                  <c:v>38.695975642207351</c:v>
                </c:pt>
                <c:pt idx="294">
                  <c:v>38.828176434606164</c:v>
                </c:pt>
                <c:pt idx="295">
                  <c:v>38.964427222753223</c:v>
                </c:pt>
                <c:pt idx="296">
                  <c:v>39.093811362802519</c:v>
                </c:pt>
                <c:pt idx="297">
                  <c:v>39.220332673451964</c:v>
                </c:pt>
                <c:pt idx="298">
                  <c:v>39.356822688665652</c:v>
                </c:pt>
                <c:pt idx="299">
                  <c:v>39.489422807167074</c:v>
                </c:pt>
                <c:pt idx="300">
                  <c:v>39.608588339605078</c:v>
                </c:pt>
                <c:pt idx="301">
                  <c:v>39.74101590582476</c:v>
                </c:pt>
                <c:pt idx="302">
                  <c:v>39.882637362901541</c:v>
                </c:pt>
                <c:pt idx="303">
                  <c:v>40.01201686821031</c:v>
                </c:pt>
                <c:pt idx="304">
                  <c:v>40.138186345017054</c:v>
                </c:pt>
                <c:pt idx="305">
                  <c:v>40.262765331421029</c:v>
                </c:pt>
                <c:pt idx="306">
                  <c:v>40.384121098290379</c:v>
                </c:pt>
                <c:pt idx="307">
                  <c:v>40.506331855361708</c:v>
                </c:pt>
                <c:pt idx="308">
                  <c:v>40.634892687452016</c:v>
                </c:pt>
                <c:pt idx="309">
                  <c:v>40.765526438295019</c:v>
                </c:pt>
                <c:pt idx="310">
                  <c:v>40.900409114232176</c:v>
                </c:pt>
                <c:pt idx="311">
                  <c:v>41.036243836950632</c:v>
                </c:pt>
                <c:pt idx="312">
                  <c:v>41.164871585256641</c:v>
                </c:pt>
                <c:pt idx="313">
                  <c:v>41.283871000675525</c:v>
                </c:pt>
                <c:pt idx="314">
                  <c:v>41.40056725806437</c:v>
                </c:pt>
                <c:pt idx="315">
                  <c:v>41.533660143709753</c:v>
                </c:pt>
                <c:pt idx="316">
                  <c:v>41.650729040698621</c:v>
                </c:pt>
                <c:pt idx="317">
                  <c:v>41.770972244821486</c:v>
                </c:pt>
                <c:pt idx="318">
                  <c:v>41.89247726941899</c:v>
                </c:pt>
                <c:pt idx="319">
                  <c:v>42.016430006036074</c:v>
                </c:pt>
                <c:pt idx="320">
                  <c:v>42.141277290863115</c:v>
                </c:pt>
                <c:pt idx="321">
                  <c:v>42.264592976684661</c:v>
                </c:pt>
                <c:pt idx="322">
                  <c:v>42.39380514843392</c:v>
                </c:pt>
                <c:pt idx="323">
                  <c:v>42.52979946779945</c:v>
                </c:pt>
                <c:pt idx="324">
                  <c:v>42.651078968279386</c:v>
                </c:pt>
                <c:pt idx="325">
                  <c:v>42.769637765309966</c:v>
                </c:pt>
                <c:pt idx="326">
                  <c:v>42.885651471161552</c:v>
                </c:pt>
                <c:pt idx="327">
                  <c:v>43.00686701561807</c:v>
                </c:pt>
                <c:pt idx="328">
                  <c:v>43.139045503091062</c:v>
                </c:pt>
                <c:pt idx="329">
                  <c:v>43.276824370013998</c:v>
                </c:pt>
                <c:pt idx="330">
                  <c:v>43.406838246611528</c:v>
                </c:pt>
                <c:pt idx="331">
                  <c:v>43.535660480315002</c:v>
                </c:pt>
                <c:pt idx="332">
                  <c:v>43.663350114790177</c:v>
                </c:pt>
                <c:pt idx="333">
                  <c:v>43.78804282563069</c:v>
                </c:pt>
                <c:pt idx="334">
                  <c:v>43.910338926822213</c:v>
                </c:pt>
                <c:pt idx="335">
                  <c:v>44.039807592756908</c:v>
                </c:pt>
                <c:pt idx="336">
                  <c:v>44.161672744389968</c:v>
                </c:pt>
                <c:pt idx="337">
                  <c:v>44.284416487958161</c:v>
                </c:pt>
                <c:pt idx="338">
                  <c:v>44.406781699162458</c:v>
                </c:pt>
                <c:pt idx="339">
                  <c:v>44.527676886769257</c:v>
                </c:pt>
                <c:pt idx="340">
                  <c:v>44.648630450861219</c:v>
                </c:pt>
                <c:pt idx="341">
                  <c:v>44.767321199642893</c:v>
                </c:pt>
                <c:pt idx="342">
                  <c:v>44.882590704719128</c:v>
                </c:pt>
                <c:pt idx="343">
                  <c:v>44.993045777397576</c:v>
                </c:pt>
                <c:pt idx="344">
                  <c:v>45.116309790550787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45011</c:v>
                </c:pt>
                <c:pt idx="1">
                  <c:v>45012</c:v>
                </c:pt>
                <c:pt idx="2">
                  <c:v>45013</c:v>
                </c:pt>
                <c:pt idx="3">
                  <c:v>45014</c:v>
                </c:pt>
                <c:pt idx="4">
                  <c:v>45015</c:v>
                </c:pt>
                <c:pt idx="5">
                  <c:v>45016</c:v>
                </c:pt>
                <c:pt idx="6">
                  <c:v>45017</c:v>
                </c:pt>
                <c:pt idx="7">
                  <c:v>45018</c:v>
                </c:pt>
                <c:pt idx="8">
                  <c:v>45019</c:v>
                </c:pt>
                <c:pt idx="9">
                  <c:v>45020</c:v>
                </c:pt>
                <c:pt idx="10">
                  <c:v>45021</c:v>
                </c:pt>
                <c:pt idx="11">
                  <c:v>45022</c:v>
                </c:pt>
                <c:pt idx="12">
                  <c:v>45023</c:v>
                </c:pt>
                <c:pt idx="13">
                  <c:v>45024</c:v>
                </c:pt>
                <c:pt idx="14">
                  <c:v>45025</c:v>
                </c:pt>
                <c:pt idx="15">
                  <c:v>45026</c:v>
                </c:pt>
                <c:pt idx="16">
                  <c:v>45027</c:v>
                </c:pt>
                <c:pt idx="17">
                  <c:v>45028</c:v>
                </c:pt>
                <c:pt idx="18">
                  <c:v>45029</c:v>
                </c:pt>
                <c:pt idx="19">
                  <c:v>45030</c:v>
                </c:pt>
                <c:pt idx="20">
                  <c:v>45031</c:v>
                </c:pt>
                <c:pt idx="21">
                  <c:v>45032</c:v>
                </c:pt>
                <c:pt idx="22">
                  <c:v>45033</c:v>
                </c:pt>
                <c:pt idx="23">
                  <c:v>45034</c:v>
                </c:pt>
                <c:pt idx="24">
                  <c:v>45035</c:v>
                </c:pt>
                <c:pt idx="25">
                  <c:v>45036</c:v>
                </c:pt>
                <c:pt idx="26">
                  <c:v>45037</c:v>
                </c:pt>
                <c:pt idx="27">
                  <c:v>45038</c:v>
                </c:pt>
                <c:pt idx="28">
                  <c:v>45039</c:v>
                </c:pt>
                <c:pt idx="29">
                  <c:v>45040</c:v>
                </c:pt>
                <c:pt idx="30">
                  <c:v>45041</c:v>
                </c:pt>
                <c:pt idx="31">
                  <c:v>45042</c:v>
                </c:pt>
                <c:pt idx="32">
                  <c:v>45043</c:v>
                </c:pt>
                <c:pt idx="33">
                  <c:v>45044</c:v>
                </c:pt>
                <c:pt idx="34">
                  <c:v>45045</c:v>
                </c:pt>
                <c:pt idx="35">
                  <c:v>45046</c:v>
                </c:pt>
                <c:pt idx="36">
                  <c:v>45047</c:v>
                </c:pt>
                <c:pt idx="37">
                  <c:v>45048</c:v>
                </c:pt>
                <c:pt idx="38">
                  <c:v>45049</c:v>
                </c:pt>
                <c:pt idx="39">
                  <c:v>45050</c:v>
                </c:pt>
                <c:pt idx="40">
                  <c:v>45051</c:v>
                </c:pt>
                <c:pt idx="41">
                  <c:v>45052</c:v>
                </c:pt>
                <c:pt idx="42">
                  <c:v>45053</c:v>
                </c:pt>
                <c:pt idx="43">
                  <c:v>45054</c:v>
                </c:pt>
                <c:pt idx="44">
                  <c:v>45055</c:v>
                </c:pt>
                <c:pt idx="45">
                  <c:v>45056</c:v>
                </c:pt>
                <c:pt idx="46">
                  <c:v>45057</c:v>
                </c:pt>
                <c:pt idx="47">
                  <c:v>45058</c:v>
                </c:pt>
                <c:pt idx="48">
                  <c:v>45059</c:v>
                </c:pt>
                <c:pt idx="49">
                  <c:v>45060</c:v>
                </c:pt>
                <c:pt idx="50">
                  <c:v>45061</c:v>
                </c:pt>
                <c:pt idx="51">
                  <c:v>45062</c:v>
                </c:pt>
                <c:pt idx="52">
                  <c:v>45063</c:v>
                </c:pt>
                <c:pt idx="53">
                  <c:v>45064</c:v>
                </c:pt>
                <c:pt idx="54">
                  <c:v>45065</c:v>
                </c:pt>
                <c:pt idx="55">
                  <c:v>45066</c:v>
                </c:pt>
                <c:pt idx="56">
                  <c:v>45067</c:v>
                </c:pt>
                <c:pt idx="57">
                  <c:v>45068</c:v>
                </c:pt>
                <c:pt idx="58">
                  <c:v>45069</c:v>
                </c:pt>
                <c:pt idx="59">
                  <c:v>45070</c:v>
                </c:pt>
                <c:pt idx="60">
                  <c:v>45071</c:v>
                </c:pt>
                <c:pt idx="61">
                  <c:v>45072</c:v>
                </c:pt>
                <c:pt idx="62">
                  <c:v>45073</c:v>
                </c:pt>
                <c:pt idx="63">
                  <c:v>45074</c:v>
                </c:pt>
                <c:pt idx="64">
                  <c:v>45075</c:v>
                </c:pt>
                <c:pt idx="65">
                  <c:v>45076</c:v>
                </c:pt>
                <c:pt idx="66">
                  <c:v>45077</c:v>
                </c:pt>
                <c:pt idx="67">
                  <c:v>45078</c:v>
                </c:pt>
                <c:pt idx="68">
                  <c:v>45079</c:v>
                </c:pt>
                <c:pt idx="69">
                  <c:v>45080</c:v>
                </c:pt>
                <c:pt idx="70">
                  <c:v>45081</c:v>
                </c:pt>
                <c:pt idx="71">
                  <c:v>45082</c:v>
                </c:pt>
                <c:pt idx="72">
                  <c:v>45083</c:v>
                </c:pt>
                <c:pt idx="73">
                  <c:v>45084</c:v>
                </c:pt>
                <c:pt idx="74">
                  <c:v>45085</c:v>
                </c:pt>
                <c:pt idx="75">
                  <c:v>45086</c:v>
                </c:pt>
                <c:pt idx="76">
                  <c:v>45087</c:v>
                </c:pt>
                <c:pt idx="77">
                  <c:v>45088</c:v>
                </c:pt>
                <c:pt idx="78">
                  <c:v>45089</c:v>
                </c:pt>
                <c:pt idx="79">
                  <c:v>45090</c:v>
                </c:pt>
                <c:pt idx="80">
                  <c:v>45091</c:v>
                </c:pt>
                <c:pt idx="81">
                  <c:v>45092</c:v>
                </c:pt>
                <c:pt idx="82">
                  <c:v>45093</c:v>
                </c:pt>
                <c:pt idx="83">
                  <c:v>45094</c:v>
                </c:pt>
                <c:pt idx="84">
                  <c:v>45095</c:v>
                </c:pt>
                <c:pt idx="85">
                  <c:v>45096</c:v>
                </c:pt>
                <c:pt idx="86">
                  <c:v>45097</c:v>
                </c:pt>
                <c:pt idx="87">
                  <c:v>45098</c:v>
                </c:pt>
                <c:pt idx="88">
                  <c:v>45099</c:v>
                </c:pt>
                <c:pt idx="89">
                  <c:v>45100</c:v>
                </c:pt>
                <c:pt idx="90">
                  <c:v>45101</c:v>
                </c:pt>
                <c:pt idx="91">
                  <c:v>45102</c:v>
                </c:pt>
                <c:pt idx="92">
                  <c:v>45103</c:v>
                </c:pt>
                <c:pt idx="93">
                  <c:v>45104</c:v>
                </c:pt>
                <c:pt idx="94">
                  <c:v>45105</c:v>
                </c:pt>
                <c:pt idx="95">
                  <c:v>45106</c:v>
                </c:pt>
                <c:pt idx="96">
                  <c:v>45107</c:v>
                </c:pt>
                <c:pt idx="97">
                  <c:v>45108</c:v>
                </c:pt>
                <c:pt idx="98">
                  <c:v>45109</c:v>
                </c:pt>
                <c:pt idx="99">
                  <c:v>45110</c:v>
                </c:pt>
                <c:pt idx="100">
                  <c:v>45111</c:v>
                </c:pt>
                <c:pt idx="101">
                  <c:v>45112</c:v>
                </c:pt>
                <c:pt idx="102">
                  <c:v>45113</c:v>
                </c:pt>
                <c:pt idx="103">
                  <c:v>45114</c:v>
                </c:pt>
                <c:pt idx="104">
                  <c:v>45115</c:v>
                </c:pt>
                <c:pt idx="105">
                  <c:v>45116</c:v>
                </c:pt>
                <c:pt idx="106">
                  <c:v>45117</c:v>
                </c:pt>
                <c:pt idx="107">
                  <c:v>45118</c:v>
                </c:pt>
                <c:pt idx="108">
                  <c:v>45119</c:v>
                </c:pt>
                <c:pt idx="109">
                  <c:v>45120</c:v>
                </c:pt>
                <c:pt idx="110">
                  <c:v>45121</c:v>
                </c:pt>
                <c:pt idx="111">
                  <c:v>45122</c:v>
                </c:pt>
                <c:pt idx="112">
                  <c:v>45123</c:v>
                </c:pt>
                <c:pt idx="113">
                  <c:v>45124</c:v>
                </c:pt>
                <c:pt idx="114">
                  <c:v>45125</c:v>
                </c:pt>
                <c:pt idx="115">
                  <c:v>45126</c:v>
                </c:pt>
                <c:pt idx="116">
                  <c:v>45127</c:v>
                </c:pt>
                <c:pt idx="117">
                  <c:v>45128</c:v>
                </c:pt>
                <c:pt idx="118">
                  <c:v>45129</c:v>
                </c:pt>
                <c:pt idx="119">
                  <c:v>45130</c:v>
                </c:pt>
                <c:pt idx="120">
                  <c:v>45131</c:v>
                </c:pt>
                <c:pt idx="121">
                  <c:v>45132</c:v>
                </c:pt>
                <c:pt idx="122">
                  <c:v>45133</c:v>
                </c:pt>
                <c:pt idx="123">
                  <c:v>45134</c:v>
                </c:pt>
                <c:pt idx="124">
                  <c:v>45135</c:v>
                </c:pt>
                <c:pt idx="125">
                  <c:v>45136</c:v>
                </c:pt>
                <c:pt idx="126">
                  <c:v>45137</c:v>
                </c:pt>
                <c:pt idx="127">
                  <c:v>45138</c:v>
                </c:pt>
                <c:pt idx="128">
                  <c:v>45139</c:v>
                </c:pt>
                <c:pt idx="129">
                  <c:v>45140</c:v>
                </c:pt>
                <c:pt idx="130">
                  <c:v>45141</c:v>
                </c:pt>
                <c:pt idx="131">
                  <c:v>45142</c:v>
                </c:pt>
                <c:pt idx="132">
                  <c:v>45143</c:v>
                </c:pt>
                <c:pt idx="133">
                  <c:v>45144</c:v>
                </c:pt>
                <c:pt idx="134">
                  <c:v>45145</c:v>
                </c:pt>
                <c:pt idx="135">
                  <c:v>45146</c:v>
                </c:pt>
                <c:pt idx="136">
                  <c:v>45147</c:v>
                </c:pt>
                <c:pt idx="137">
                  <c:v>45148</c:v>
                </c:pt>
                <c:pt idx="138">
                  <c:v>45149</c:v>
                </c:pt>
                <c:pt idx="139">
                  <c:v>45150</c:v>
                </c:pt>
                <c:pt idx="140">
                  <c:v>45151</c:v>
                </c:pt>
                <c:pt idx="141">
                  <c:v>45152</c:v>
                </c:pt>
                <c:pt idx="142">
                  <c:v>45153</c:v>
                </c:pt>
                <c:pt idx="143">
                  <c:v>45154</c:v>
                </c:pt>
                <c:pt idx="144">
                  <c:v>45155</c:v>
                </c:pt>
                <c:pt idx="145">
                  <c:v>45156</c:v>
                </c:pt>
                <c:pt idx="146">
                  <c:v>45157</c:v>
                </c:pt>
                <c:pt idx="147">
                  <c:v>45158</c:v>
                </c:pt>
                <c:pt idx="148">
                  <c:v>45159</c:v>
                </c:pt>
                <c:pt idx="149">
                  <c:v>45160</c:v>
                </c:pt>
                <c:pt idx="150">
                  <c:v>45161</c:v>
                </c:pt>
                <c:pt idx="151">
                  <c:v>45162</c:v>
                </c:pt>
                <c:pt idx="152">
                  <c:v>45163</c:v>
                </c:pt>
                <c:pt idx="153">
                  <c:v>45164</c:v>
                </c:pt>
                <c:pt idx="154">
                  <c:v>45165</c:v>
                </c:pt>
                <c:pt idx="155">
                  <c:v>45166</c:v>
                </c:pt>
                <c:pt idx="156">
                  <c:v>45167</c:v>
                </c:pt>
                <c:pt idx="157">
                  <c:v>45168</c:v>
                </c:pt>
                <c:pt idx="158">
                  <c:v>45169</c:v>
                </c:pt>
                <c:pt idx="159">
                  <c:v>45170</c:v>
                </c:pt>
                <c:pt idx="160">
                  <c:v>45171</c:v>
                </c:pt>
                <c:pt idx="161">
                  <c:v>45172</c:v>
                </c:pt>
                <c:pt idx="162">
                  <c:v>45173</c:v>
                </c:pt>
                <c:pt idx="163">
                  <c:v>45174</c:v>
                </c:pt>
                <c:pt idx="164">
                  <c:v>45175</c:v>
                </c:pt>
                <c:pt idx="165">
                  <c:v>45176</c:v>
                </c:pt>
                <c:pt idx="166">
                  <c:v>45177</c:v>
                </c:pt>
                <c:pt idx="167">
                  <c:v>45178</c:v>
                </c:pt>
                <c:pt idx="168">
                  <c:v>45179</c:v>
                </c:pt>
                <c:pt idx="169">
                  <c:v>45180</c:v>
                </c:pt>
                <c:pt idx="170">
                  <c:v>45181</c:v>
                </c:pt>
                <c:pt idx="171">
                  <c:v>45182</c:v>
                </c:pt>
                <c:pt idx="172">
                  <c:v>45183</c:v>
                </c:pt>
                <c:pt idx="173">
                  <c:v>45184</c:v>
                </c:pt>
                <c:pt idx="174">
                  <c:v>45185</c:v>
                </c:pt>
                <c:pt idx="175">
                  <c:v>45186</c:v>
                </c:pt>
                <c:pt idx="176">
                  <c:v>45187</c:v>
                </c:pt>
                <c:pt idx="177">
                  <c:v>45188</c:v>
                </c:pt>
                <c:pt idx="178">
                  <c:v>45189</c:v>
                </c:pt>
                <c:pt idx="179">
                  <c:v>45190</c:v>
                </c:pt>
                <c:pt idx="180">
                  <c:v>45191</c:v>
                </c:pt>
                <c:pt idx="181">
                  <c:v>45192</c:v>
                </c:pt>
                <c:pt idx="182">
                  <c:v>45193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45199</c:v>
                </c:pt>
                <c:pt idx="189">
                  <c:v>45200</c:v>
                </c:pt>
                <c:pt idx="190">
                  <c:v>45201</c:v>
                </c:pt>
                <c:pt idx="191">
                  <c:v>45202</c:v>
                </c:pt>
                <c:pt idx="192">
                  <c:v>45203</c:v>
                </c:pt>
                <c:pt idx="193">
                  <c:v>45204</c:v>
                </c:pt>
                <c:pt idx="194">
                  <c:v>45205</c:v>
                </c:pt>
                <c:pt idx="195">
                  <c:v>45206</c:v>
                </c:pt>
                <c:pt idx="196">
                  <c:v>45207</c:v>
                </c:pt>
                <c:pt idx="197">
                  <c:v>45208</c:v>
                </c:pt>
                <c:pt idx="198">
                  <c:v>45209</c:v>
                </c:pt>
                <c:pt idx="199">
                  <c:v>45210</c:v>
                </c:pt>
                <c:pt idx="200">
                  <c:v>45211</c:v>
                </c:pt>
                <c:pt idx="201">
                  <c:v>45212</c:v>
                </c:pt>
                <c:pt idx="202">
                  <c:v>45213</c:v>
                </c:pt>
                <c:pt idx="203">
                  <c:v>45214</c:v>
                </c:pt>
                <c:pt idx="204">
                  <c:v>45215</c:v>
                </c:pt>
                <c:pt idx="205">
                  <c:v>45216</c:v>
                </c:pt>
                <c:pt idx="206">
                  <c:v>45217</c:v>
                </c:pt>
                <c:pt idx="207">
                  <c:v>45218</c:v>
                </c:pt>
                <c:pt idx="208">
                  <c:v>45219</c:v>
                </c:pt>
                <c:pt idx="209">
                  <c:v>45220</c:v>
                </c:pt>
                <c:pt idx="210">
                  <c:v>45221</c:v>
                </c:pt>
                <c:pt idx="211">
                  <c:v>45222</c:v>
                </c:pt>
                <c:pt idx="212">
                  <c:v>45223</c:v>
                </c:pt>
                <c:pt idx="213">
                  <c:v>45224</c:v>
                </c:pt>
                <c:pt idx="214">
                  <c:v>45225</c:v>
                </c:pt>
                <c:pt idx="215">
                  <c:v>45226</c:v>
                </c:pt>
                <c:pt idx="216">
                  <c:v>45227</c:v>
                </c:pt>
                <c:pt idx="217">
                  <c:v>45228</c:v>
                </c:pt>
                <c:pt idx="218">
                  <c:v>45229</c:v>
                </c:pt>
                <c:pt idx="219">
                  <c:v>45230</c:v>
                </c:pt>
                <c:pt idx="220">
                  <c:v>45231</c:v>
                </c:pt>
                <c:pt idx="221">
                  <c:v>45232</c:v>
                </c:pt>
                <c:pt idx="222">
                  <c:v>45233</c:v>
                </c:pt>
                <c:pt idx="223">
                  <c:v>45234</c:v>
                </c:pt>
                <c:pt idx="224">
                  <c:v>45235</c:v>
                </c:pt>
                <c:pt idx="225">
                  <c:v>45236</c:v>
                </c:pt>
                <c:pt idx="226">
                  <c:v>45237</c:v>
                </c:pt>
                <c:pt idx="227">
                  <c:v>45238</c:v>
                </c:pt>
                <c:pt idx="228">
                  <c:v>45239</c:v>
                </c:pt>
                <c:pt idx="229">
                  <c:v>45240</c:v>
                </c:pt>
                <c:pt idx="230">
                  <c:v>45241</c:v>
                </c:pt>
                <c:pt idx="231">
                  <c:v>45242</c:v>
                </c:pt>
                <c:pt idx="232">
                  <c:v>45243</c:v>
                </c:pt>
                <c:pt idx="233">
                  <c:v>45244</c:v>
                </c:pt>
                <c:pt idx="234">
                  <c:v>45245</c:v>
                </c:pt>
                <c:pt idx="235">
                  <c:v>45246</c:v>
                </c:pt>
                <c:pt idx="236">
                  <c:v>45247</c:v>
                </c:pt>
                <c:pt idx="237">
                  <c:v>45248</c:v>
                </c:pt>
                <c:pt idx="238">
                  <c:v>45249</c:v>
                </c:pt>
                <c:pt idx="239">
                  <c:v>45250</c:v>
                </c:pt>
                <c:pt idx="240">
                  <c:v>45251</c:v>
                </c:pt>
                <c:pt idx="241">
                  <c:v>45252</c:v>
                </c:pt>
                <c:pt idx="242">
                  <c:v>45253</c:v>
                </c:pt>
                <c:pt idx="243">
                  <c:v>45254</c:v>
                </c:pt>
                <c:pt idx="244">
                  <c:v>45255</c:v>
                </c:pt>
                <c:pt idx="245">
                  <c:v>45256</c:v>
                </c:pt>
                <c:pt idx="246">
                  <c:v>45257</c:v>
                </c:pt>
                <c:pt idx="247">
                  <c:v>45258</c:v>
                </c:pt>
                <c:pt idx="248">
                  <c:v>45259</c:v>
                </c:pt>
                <c:pt idx="249">
                  <c:v>45260</c:v>
                </c:pt>
                <c:pt idx="250">
                  <c:v>45261</c:v>
                </c:pt>
                <c:pt idx="251">
                  <c:v>45262</c:v>
                </c:pt>
                <c:pt idx="252">
                  <c:v>45263</c:v>
                </c:pt>
                <c:pt idx="253">
                  <c:v>45264</c:v>
                </c:pt>
                <c:pt idx="254">
                  <c:v>45265</c:v>
                </c:pt>
                <c:pt idx="255">
                  <c:v>45266</c:v>
                </c:pt>
                <c:pt idx="256">
                  <c:v>45267</c:v>
                </c:pt>
                <c:pt idx="257">
                  <c:v>45268</c:v>
                </c:pt>
                <c:pt idx="258">
                  <c:v>45269</c:v>
                </c:pt>
                <c:pt idx="259">
                  <c:v>45270</c:v>
                </c:pt>
                <c:pt idx="260">
                  <c:v>45271</c:v>
                </c:pt>
                <c:pt idx="261">
                  <c:v>45272</c:v>
                </c:pt>
                <c:pt idx="262">
                  <c:v>45273</c:v>
                </c:pt>
                <c:pt idx="263">
                  <c:v>45274</c:v>
                </c:pt>
                <c:pt idx="264">
                  <c:v>45275</c:v>
                </c:pt>
                <c:pt idx="265">
                  <c:v>45276</c:v>
                </c:pt>
                <c:pt idx="266">
                  <c:v>45277</c:v>
                </c:pt>
                <c:pt idx="267">
                  <c:v>45278</c:v>
                </c:pt>
                <c:pt idx="268">
                  <c:v>45279</c:v>
                </c:pt>
                <c:pt idx="269">
                  <c:v>45280</c:v>
                </c:pt>
                <c:pt idx="270">
                  <c:v>45281</c:v>
                </c:pt>
                <c:pt idx="271">
                  <c:v>45282</c:v>
                </c:pt>
                <c:pt idx="272">
                  <c:v>45283</c:v>
                </c:pt>
                <c:pt idx="273">
                  <c:v>45284</c:v>
                </c:pt>
                <c:pt idx="274">
                  <c:v>45285</c:v>
                </c:pt>
                <c:pt idx="275">
                  <c:v>45286</c:v>
                </c:pt>
                <c:pt idx="276">
                  <c:v>45287</c:v>
                </c:pt>
                <c:pt idx="277">
                  <c:v>45288</c:v>
                </c:pt>
                <c:pt idx="278">
                  <c:v>45289</c:v>
                </c:pt>
                <c:pt idx="279">
                  <c:v>45290</c:v>
                </c:pt>
                <c:pt idx="280">
                  <c:v>45291</c:v>
                </c:pt>
                <c:pt idx="281">
                  <c:v>45292</c:v>
                </c:pt>
                <c:pt idx="282">
                  <c:v>45293</c:v>
                </c:pt>
                <c:pt idx="283">
                  <c:v>45294</c:v>
                </c:pt>
                <c:pt idx="284">
                  <c:v>45295</c:v>
                </c:pt>
                <c:pt idx="285">
                  <c:v>45296</c:v>
                </c:pt>
                <c:pt idx="286">
                  <c:v>45297</c:v>
                </c:pt>
                <c:pt idx="287">
                  <c:v>45298</c:v>
                </c:pt>
                <c:pt idx="288">
                  <c:v>45299</c:v>
                </c:pt>
                <c:pt idx="289">
                  <c:v>45300</c:v>
                </c:pt>
                <c:pt idx="290">
                  <c:v>45301</c:v>
                </c:pt>
                <c:pt idx="291">
                  <c:v>45302</c:v>
                </c:pt>
                <c:pt idx="292">
                  <c:v>45303</c:v>
                </c:pt>
                <c:pt idx="293">
                  <c:v>45304</c:v>
                </c:pt>
                <c:pt idx="294">
                  <c:v>45305</c:v>
                </c:pt>
                <c:pt idx="295">
                  <c:v>45306</c:v>
                </c:pt>
                <c:pt idx="296">
                  <c:v>45307</c:v>
                </c:pt>
                <c:pt idx="297">
                  <c:v>45308</c:v>
                </c:pt>
                <c:pt idx="298">
                  <c:v>45309</c:v>
                </c:pt>
                <c:pt idx="299">
                  <c:v>45310</c:v>
                </c:pt>
                <c:pt idx="300">
                  <c:v>45311</c:v>
                </c:pt>
                <c:pt idx="301">
                  <c:v>45312</c:v>
                </c:pt>
                <c:pt idx="302">
                  <c:v>45313</c:v>
                </c:pt>
                <c:pt idx="303">
                  <c:v>45314</c:v>
                </c:pt>
                <c:pt idx="304">
                  <c:v>45315</c:v>
                </c:pt>
                <c:pt idx="305">
                  <c:v>45316</c:v>
                </c:pt>
                <c:pt idx="306">
                  <c:v>45317</c:v>
                </c:pt>
                <c:pt idx="307">
                  <c:v>45318</c:v>
                </c:pt>
                <c:pt idx="308">
                  <c:v>45319</c:v>
                </c:pt>
                <c:pt idx="309">
                  <c:v>45320</c:v>
                </c:pt>
                <c:pt idx="310">
                  <c:v>45321</c:v>
                </c:pt>
                <c:pt idx="311">
                  <c:v>45322</c:v>
                </c:pt>
                <c:pt idx="312">
                  <c:v>45323</c:v>
                </c:pt>
                <c:pt idx="313">
                  <c:v>45324</c:v>
                </c:pt>
                <c:pt idx="314">
                  <c:v>45325</c:v>
                </c:pt>
                <c:pt idx="315">
                  <c:v>45326</c:v>
                </c:pt>
                <c:pt idx="316">
                  <c:v>45327</c:v>
                </c:pt>
                <c:pt idx="317">
                  <c:v>45328</c:v>
                </c:pt>
                <c:pt idx="318">
                  <c:v>45329</c:v>
                </c:pt>
                <c:pt idx="319">
                  <c:v>45330</c:v>
                </c:pt>
                <c:pt idx="320">
                  <c:v>45331</c:v>
                </c:pt>
                <c:pt idx="321">
                  <c:v>45332</c:v>
                </c:pt>
                <c:pt idx="322">
                  <c:v>45333</c:v>
                </c:pt>
                <c:pt idx="323">
                  <c:v>45334</c:v>
                </c:pt>
                <c:pt idx="324">
                  <c:v>45335</c:v>
                </c:pt>
                <c:pt idx="325">
                  <c:v>45336</c:v>
                </c:pt>
                <c:pt idx="326">
                  <c:v>45337</c:v>
                </c:pt>
                <c:pt idx="327">
                  <c:v>45338</c:v>
                </c:pt>
                <c:pt idx="328">
                  <c:v>45339</c:v>
                </c:pt>
                <c:pt idx="329">
                  <c:v>45340</c:v>
                </c:pt>
                <c:pt idx="330">
                  <c:v>45341</c:v>
                </c:pt>
                <c:pt idx="331">
                  <c:v>45342</c:v>
                </c:pt>
                <c:pt idx="332">
                  <c:v>45343</c:v>
                </c:pt>
                <c:pt idx="333">
                  <c:v>45344</c:v>
                </c:pt>
                <c:pt idx="334">
                  <c:v>45345</c:v>
                </c:pt>
                <c:pt idx="335">
                  <c:v>45346</c:v>
                </c:pt>
                <c:pt idx="336">
                  <c:v>45347</c:v>
                </c:pt>
                <c:pt idx="337">
                  <c:v>45348</c:v>
                </c:pt>
                <c:pt idx="338">
                  <c:v>45349</c:v>
                </c:pt>
                <c:pt idx="339">
                  <c:v>45350</c:v>
                </c:pt>
                <c:pt idx="340">
                  <c:v>45351</c:v>
                </c:pt>
                <c:pt idx="341">
                  <c:v>45352</c:v>
                </c:pt>
                <c:pt idx="342">
                  <c:v>45353</c:v>
                </c:pt>
                <c:pt idx="343">
                  <c:v>45354</c:v>
                </c:pt>
                <c:pt idx="344">
                  <c:v>45355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2.1214720955180226</c:v>
                </c:pt>
                <c:pt idx="1">
                  <c:v>2.1040869377973701</c:v>
                </c:pt>
                <c:pt idx="2">
                  <c:v>2.1279462056742728</c:v>
                </c:pt>
                <c:pt idx="3">
                  <c:v>2.1895833997566494</c:v>
                </c:pt>
                <c:pt idx="4">
                  <c:v>2.2855402041386874</c:v>
                </c:pt>
                <c:pt idx="5">
                  <c:v>2.4033330090822913</c:v>
                </c:pt>
                <c:pt idx="6">
                  <c:v>2.539131784151754</c:v>
                </c:pt>
                <c:pt idx="7">
                  <c:v>2.7012086325367295</c:v>
                </c:pt>
                <c:pt idx="8">
                  <c:v>2.8768868153778269</c:v>
                </c:pt>
                <c:pt idx="9">
                  <c:v>3.0613413963971028</c:v>
                </c:pt>
                <c:pt idx="10">
                  <c:v>3.2554360501854669</c:v>
                </c:pt>
                <c:pt idx="11">
                  <c:v>3.4626454589215312</c:v>
                </c:pt>
                <c:pt idx="12">
                  <c:v>3.6781738364073178</c:v>
                </c:pt>
                <c:pt idx="13">
                  <c:v>3.9025934411787233</c:v>
                </c:pt>
                <c:pt idx="14">
                  <c:v>4.1253218562010066</c:v>
                </c:pt>
                <c:pt idx="15">
                  <c:v>4.3383085780461927</c:v>
                </c:pt>
                <c:pt idx="16">
                  <c:v>4.5592018604178568</c:v>
                </c:pt>
                <c:pt idx="17">
                  <c:v>4.7814040247182703</c:v>
                </c:pt>
                <c:pt idx="18">
                  <c:v>5.0137000772297444</c:v>
                </c:pt>
                <c:pt idx="19">
                  <c:v>5.2419963992025487</c:v>
                </c:pt>
                <c:pt idx="20">
                  <c:v>5.4879238928030079</c:v>
                </c:pt>
                <c:pt idx="21">
                  <c:v>5.7287791533230665</c:v>
                </c:pt>
                <c:pt idx="22">
                  <c:v>5.9742825262036732</c:v>
                </c:pt>
                <c:pt idx="23">
                  <c:v>6.2082549580450674</c:v>
                </c:pt>
                <c:pt idx="24">
                  <c:v>6.4438522798342008</c:v>
                </c:pt>
                <c:pt idx="25">
                  <c:v>6.6851640693019156</c:v>
                </c:pt>
                <c:pt idx="26">
                  <c:v>6.9110176562982399</c:v>
                </c:pt>
                <c:pt idx="27">
                  <c:v>7.1328092776191898</c:v>
                </c:pt>
                <c:pt idx="28">
                  <c:v>7.3624174530899626</c:v>
                </c:pt>
                <c:pt idx="29">
                  <c:v>7.5812039493309404</c:v>
                </c:pt>
                <c:pt idx="30">
                  <c:v>7.8065843219699929</c:v>
                </c:pt>
                <c:pt idx="31">
                  <c:v>8.0321329788450697</c:v>
                </c:pt>
                <c:pt idx="32">
                  <c:v>8.2572959917018061</c:v>
                </c:pt>
                <c:pt idx="33">
                  <c:v>8.4844877744193035</c:v>
                </c:pt>
                <c:pt idx="34">
                  <c:v>8.6895705963339012</c:v>
                </c:pt>
                <c:pt idx="35">
                  <c:v>8.8882468103202896</c:v>
                </c:pt>
                <c:pt idx="36">
                  <c:v>9.0797135655276193</c:v>
                </c:pt>
                <c:pt idx="37">
                  <c:v>9.270249209238699</c:v>
                </c:pt>
                <c:pt idx="38">
                  <c:v>9.4575262379464213</c:v>
                </c:pt>
                <c:pt idx="39">
                  <c:v>9.649133592071065</c:v>
                </c:pt>
                <c:pt idx="40">
                  <c:v>9.8372981635938324</c:v>
                </c:pt>
                <c:pt idx="41">
                  <c:v>10.033108131326397</c:v>
                </c:pt>
                <c:pt idx="42">
                  <c:v>10.219826108550599</c:v>
                </c:pt>
                <c:pt idx="43">
                  <c:v>10.390451125279442</c:v>
                </c:pt>
                <c:pt idx="44">
                  <c:v>10.560030822521915</c:v>
                </c:pt>
                <c:pt idx="45">
                  <c:v>10.725266268407159</c:v>
                </c:pt>
                <c:pt idx="46">
                  <c:v>10.891517282388889</c:v>
                </c:pt>
                <c:pt idx="47">
                  <c:v>11.058888144443168</c:v>
                </c:pt>
                <c:pt idx="48">
                  <c:v>11.215966083264684</c:v>
                </c:pt>
                <c:pt idx="49">
                  <c:v>11.368925684600416</c:v>
                </c:pt>
                <c:pt idx="50">
                  <c:v>11.514915443803721</c:v>
                </c:pt>
                <c:pt idx="51">
                  <c:v>11.663886572453915</c:v>
                </c:pt>
                <c:pt idx="52">
                  <c:v>11.801261055950469</c:v>
                </c:pt>
                <c:pt idx="53">
                  <c:v>11.93402748760291</c:v>
                </c:pt>
                <c:pt idx="54">
                  <c:v>12.067196800530541</c:v>
                </c:pt>
                <c:pt idx="55">
                  <c:v>12.198594976771446</c:v>
                </c:pt>
                <c:pt idx="56">
                  <c:v>12.325126185516368</c:v>
                </c:pt>
                <c:pt idx="57">
                  <c:v>12.442471828609715</c:v>
                </c:pt>
                <c:pt idx="58">
                  <c:v>12.563046100747329</c:v>
                </c:pt>
                <c:pt idx="59">
                  <c:v>12.679552582539332</c:v>
                </c:pt>
                <c:pt idx="60">
                  <c:v>12.790605917833963</c:v>
                </c:pt>
                <c:pt idx="61">
                  <c:v>12.901032035137613</c:v>
                </c:pt>
                <c:pt idx="62">
                  <c:v>13.008626244498384</c:v>
                </c:pt>
                <c:pt idx="63">
                  <c:v>13.112242828636198</c:v>
                </c:pt>
                <c:pt idx="64">
                  <c:v>13.215252705078422</c:v>
                </c:pt>
                <c:pt idx="65">
                  <c:v>13.313151844651244</c:v>
                </c:pt>
                <c:pt idx="66">
                  <c:v>13.409555638560674</c:v>
                </c:pt>
                <c:pt idx="67">
                  <c:v>13.504795462495597</c:v>
                </c:pt>
                <c:pt idx="68">
                  <c:v>13.596188042845046</c:v>
                </c:pt>
                <c:pt idx="69">
                  <c:v>13.684036404631621</c:v>
                </c:pt>
                <c:pt idx="70">
                  <c:v>13.769200979830973</c:v>
                </c:pt>
                <c:pt idx="71">
                  <c:v>13.852400942109591</c:v>
                </c:pt>
                <c:pt idx="72">
                  <c:v>13.932187952391619</c:v>
                </c:pt>
                <c:pt idx="73">
                  <c:v>14.011729587114061</c:v>
                </c:pt>
                <c:pt idx="74">
                  <c:v>14.092758130010816</c:v>
                </c:pt>
                <c:pt idx="75">
                  <c:v>14.173387492935161</c:v>
                </c:pt>
                <c:pt idx="76">
                  <c:v>14.252441934760327</c:v>
                </c:pt>
                <c:pt idx="77">
                  <c:v>14.328784039845647</c:v>
                </c:pt>
                <c:pt idx="78">
                  <c:v>14.404108695909661</c:v>
                </c:pt>
                <c:pt idx="79">
                  <c:v>14.473866757191555</c:v>
                </c:pt>
                <c:pt idx="80">
                  <c:v>14.54404169774369</c:v>
                </c:pt>
                <c:pt idx="81">
                  <c:v>14.613396827201562</c:v>
                </c:pt>
                <c:pt idx="82">
                  <c:v>14.678309099364654</c:v>
                </c:pt>
                <c:pt idx="83">
                  <c:v>14.739280205938813</c:v>
                </c:pt>
                <c:pt idx="84">
                  <c:v>14.801090614145592</c:v>
                </c:pt>
                <c:pt idx="85">
                  <c:v>14.861349214950261</c:v>
                </c:pt>
                <c:pt idx="86">
                  <c:v>14.920748497041329</c:v>
                </c:pt>
                <c:pt idx="87">
                  <c:v>14.979534874877139</c:v>
                </c:pt>
                <c:pt idx="88">
                  <c:v>15.03558516632841</c:v>
                </c:pt>
                <c:pt idx="89">
                  <c:v>15.090882924123163</c:v>
                </c:pt>
                <c:pt idx="90">
                  <c:v>15.146299256375</c:v>
                </c:pt>
                <c:pt idx="91">
                  <c:v>15.200417744359875</c:v>
                </c:pt>
                <c:pt idx="92">
                  <c:v>15.254445395020923</c:v>
                </c:pt>
                <c:pt idx="93">
                  <c:v>15.305620932422482</c:v>
                </c:pt>
                <c:pt idx="94">
                  <c:v>15.354964969755491</c:v>
                </c:pt>
                <c:pt idx="95">
                  <c:v>15.404185934946375</c:v>
                </c:pt>
                <c:pt idx="96">
                  <c:v>15.453639884277031</c:v>
                </c:pt>
                <c:pt idx="97">
                  <c:v>15.499912774158508</c:v>
                </c:pt>
                <c:pt idx="98">
                  <c:v>15.544330771317293</c:v>
                </c:pt>
                <c:pt idx="99">
                  <c:v>15.589611173163075</c:v>
                </c:pt>
                <c:pt idx="100">
                  <c:v>15.634859037369944</c:v>
                </c:pt>
                <c:pt idx="101">
                  <c:v>15.680088633029156</c:v>
                </c:pt>
                <c:pt idx="102">
                  <c:v>15.723817416794285</c:v>
                </c:pt>
                <c:pt idx="103">
                  <c:v>15.764538198940699</c:v>
                </c:pt>
                <c:pt idx="104">
                  <c:v>15.803577646472412</c:v>
                </c:pt>
                <c:pt idx="105">
                  <c:v>15.842569376367964</c:v>
                </c:pt>
                <c:pt idx="106">
                  <c:v>15.881420787249827</c:v>
                </c:pt>
                <c:pt idx="107">
                  <c:v>15.919332023829655</c:v>
                </c:pt>
                <c:pt idx="108">
                  <c:v>15.957177399972501</c:v>
                </c:pt>
                <c:pt idx="109">
                  <c:v>15.994531961865279</c:v>
                </c:pt>
                <c:pt idx="110">
                  <c:v>16.031856002443739</c:v>
                </c:pt>
                <c:pt idx="111">
                  <c:v>16.067729909215153</c:v>
                </c:pt>
                <c:pt idx="112">
                  <c:v>16.104095613772273</c:v>
                </c:pt>
                <c:pt idx="113">
                  <c:v>16.140036956888782</c:v>
                </c:pt>
                <c:pt idx="114">
                  <c:v>16.174996721719339</c:v>
                </c:pt>
                <c:pt idx="115">
                  <c:v>16.209785876570457</c:v>
                </c:pt>
                <c:pt idx="116">
                  <c:v>16.244323694494845</c:v>
                </c:pt>
                <c:pt idx="117">
                  <c:v>16.277220059236399</c:v>
                </c:pt>
                <c:pt idx="118">
                  <c:v>16.31013613327567</c:v>
                </c:pt>
                <c:pt idx="119">
                  <c:v>16.342990799877548</c:v>
                </c:pt>
                <c:pt idx="120">
                  <c:v>16.374928243813621</c:v>
                </c:pt>
                <c:pt idx="121">
                  <c:v>16.406429646051983</c:v>
                </c:pt>
                <c:pt idx="122">
                  <c:v>16.437199769347728</c:v>
                </c:pt>
                <c:pt idx="123">
                  <c:v>16.46807265994649</c:v>
                </c:pt>
                <c:pt idx="124">
                  <c:v>16.498174819329357</c:v>
                </c:pt>
                <c:pt idx="125">
                  <c:v>16.528531700793842</c:v>
                </c:pt>
                <c:pt idx="126">
                  <c:v>16.557039601225071</c:v>
                </c:pt>
                <c:pt idx="127">
                  <c:v>16.585658500519521</c:v>
                </c:pt>
                <c:pt idx="128">
                  <c:v>16.614119470191525</c:v>
                </c:pt>
                <c:pt idx="129">
                  <c:v>16.641479094288378</c:v>
                </c:pt>
                <c:pt idx="130">
                  <c:v>16.667610161027635</c:v>
                </c:pt>
                <c:pt idx="131">
                  <c:v>16.693989799009707</c:v>
                </c:pt>
                <c:pt idx="132">
                  <c:v>16.720133628995118</c:v>
                </c:pt>
                <c:pt idx="133">
                  <c:v>16.745895695322449</c:v>
                </c:pt>
                <c:pt idx="134">
                  <c:v>16.77134805558871</c:v>
                </c:pt>
                <c:pt idx="135">
                  <c:v>16.795826148968082</c:v>
                </c:pt>
                <c:pt idx="136">
                  <c:v>16.81867581299155</c:v>
                </c:pt>
                <c:pt idx="137">
                  <c:v>16.841763682560156</c:v>
                </c:pt>
                <c:pt idx="138">
                  <c:v>16.865077865635119</c:v>
                </c:pt>
                <c:pt idx="139">
                  <c:v>16.888269288115239</c:v>
                </c:pt>
                <c:pt idx="140">
                  <c:v>16.910507789702752</c:v>
                </c:pt>
                <c:pt idx="141">
                  <c:v>16.932107104347878</c:v>
                </c:pt>
                <c:pt idx="142">
                  <c:v>16.952746776106522</c:v>
                </c:pt>
                <c:pt idx="143">
                  <c:v>16.973294907439495</c:v>
                </c:pt>
                <c:pt idx="144">
                  <c:v>16.994199260176273</c:v>
                </c:pt>
                <c:pt idx="145">
                  <c:v>17.014746980382149</c:v>
                </c:pt>
                <c:pt idx="146">
                  <c:v>17.034477193660013</c:v>
                </c:pt>
                <c:pt idx="147">
                  <c:v>17.053864373420026</c:v>
                </c:pt>
                <c:pt idx="148">
                  <c:v>17.072448770116932</c:v>
                </c:pt>
                <c:pt idx="149">
                  <c:v>17.090969880361058</c:v>
                </c:pt>
                <c:pt idx="150">
                  <c:v>17.109270335879749</c:v>
                </c:pt>
                <c:pt idx="151">
                  <c:v>17.127763464913183</c:v>
                </c:pt>
                <c:pt idx="152">
                  <c:v>17.146108862878989</c:v>
                </c:pt>
                <c:pt idx="153">
                  <c:v>17.163981179988639</c:v>
                </c:pt>
                <c:pt idx="154">
                  <c:v>17.181478396338179</c:v>
                </c:pt>
                <c:pt idx="155">
                  <c:v>17.198964491974085</c:v>
                </c:pt>
                <c:pt idx="156">
                  <c:v>17.215658963571432</c:v>
                </c:pt>
                <c:pt idx="157">
                  <c:v>17.232668065513934</c:v>
                </c:pt>
                <c:pt idx="158">
                  <c:v>17.248301257959888</c:v>
                </c:pt>
                <c:pt idx="159">
                  <c:v>17.264336142354018</c:v>
                </c:pt>
                <c:pt idx="160">
                  <c:v>17.280509413921862</c:v>
                </c:pt>
                <c:pt idx="161">
                  <c:v>17.296015819615427</c:v>
                </c:pt>
                <c:pt idx="162">
                  <c:v>17.311146944392704</c:v>
                </c:pt>
                <c:pt idx="163">
                  <c:v>17.325702030961629</c:v>
                </c:pt>
                <c:pt idx="164">
                  <c:v>17.340366943014846</c:v>
                </c:pt>
                <c:pt idx="165">
                  <c:v>17.354763453983288</c:v>
                </c:pt>
                <c:pt idx="166">
                  <c:v>17.368485256547537</c:v>
                </c:pt>
                <c:pt idx="167">
                  <c:v>17.381384752921285</c:v>
                </c:pt>
                <c:pt idx="168">
                  <c:v>17.39490164710493</c:v>
                </c:pt>
                <c:pt idx="169">
                  <c:v>17.408766004229893</c:v>
                </c:pt>
                <c:pt idx="170">
                  <c:v>17.422223018737046</c:v>
                </c:pt>
                <c:pt idx="171">
                  <c:v>17.435153627755593</c:v>
                </c:pt>
                <c:pt idx="172">
                  <c:v>17.448212341592338</c:v>
                </c:pt>
                <c:pt idx="173">
                  <c:v>17.461673353219375</c:v>
                </c:pt>
                <c:pt idx="174">
                  <c:v>17.474649726516162</c:v>
                </c:pt>
                <c:pt idx="175">
                  <c:v>17.486775210156427</c:v>
                </c:pt>
                <c:pt idx="176">
                  <c:v>17.498417159988914</c:v>
                </c:pt>
                <c:pt idx="177">
                  <c:v>17.510013508864997</c:v>
                </c:pt>
                <c:pt idx="178">
                  <c:v>17.521049389527427</c:v>
                </c:pt>
                <c:pt idx="179">
                  <c:v>17.532189117516175</c:v>
                </c:pt>
                <c:pt idx="180">
                  <c:v>17.54281923990029</c:v>
                </c:pt>
                <c:pt idx="181">
                  <c:v>17.553067017318099</c:v>
                </c:pt>
                <c:pt idx="182">
                  <c:v>17.563428407356671</c:v>
                </c:pt>
                <c:pt idx="183">
                  <c:v>17.573223940729292</c:v>
                </c:pt>
                <c:pt idx="184">
                  <c:v>17.583341736013516</c:v>
                </c:pt>
                <c:pt idx="185">
                  <c:v>17.593366126364831</c:v>
                </c:pt>
                <c:pt idx="186">
                  <c:v>17.60298726321723</c:v>
                </c:pt>
                <c:pt idx="187">
                  <c:v>17.612302041190524</c:v>
                </c:pt>
                <c:pt idx="188">
                  <c:v>17.622169451262351</c:v>
                </c:pt>
                <c:pt idx="189">
                  <c:v>17.63181896949024</c:v>
                </c:pt>
                <c:pt idx="190">
                  <c:v>17.641174160884891</c:v>
                </c:pt>
                <c:pt idx="191">
                  <c:v>17.64997682547866</c:v>
                </c:pt>
                <c:pt idx="192">
                  <c:v>17.658515166503051</c:v>
                </c:pt>
                <c:pt idx="193">
                  <c:v>17.666654617091144</c:v>
                </c:pt>
                <c:pt idx="194">
                  <c:v>17.674524125129189</c:v>
                </c:pt>
                <c:pt idx="195">
                  <c:v>17.681915853738644</c:v>
                </c:pt>
                <c:pt idx="196">
                  <c:v>17.6891740533305</c:v>
                </c:pt>
                <c:pt idx="197">
                  <c:v>17.696284983610134</c:v>
                </c:pt>
                <c:pt idx="198">
                  <c:v>17.703273512177077</c:v>
                </c:pt>
                <c:pt idx="199">
                  <c:v>17.710280160076337</c:v>
                </c:pt>
                <c:pt idx="200">
                  <c:v>17.717466078205483</c:v>
                </c:pt>
                <c:pt idx="201">
                  <c:v>17.724290349189388</c:v>
                </c:pt>
                <c:pt idx="202">
                  <c:v>17.730601504241832</c:v>
                </c:pt>
                <c:pt idx="203">
                  <c:v>17.73636207830123</c:v>
                </c:pt>
                <c:pt idx="204">
                  <c:v>17.741860819681456</c:v>
                </c:pt>
                <c:pt idx="205">
                  <c:v>17.747253794647172</c:v>
                </c:pt>
                <c:pt idx="206">
                  <c:v>17.751887925511852</c:v>
                </c:pt>
                <c:pt idx="207">
                  <c:v>17.756300236244151</c:v>
                </c:pt>
                <c:pt idx="208">
                  <c:v>17.76026672182104</c:v>
                </c:pt>
                <c:pt idx="209">
                  <c:v>17.764156048509644</c:v>
                </c:pt>
                <c:pt idx="210">
                  <c:v>17.767495962226636</c:v>
                </c:pt>
                <c:pt idx="211">
                  <c:v>17.770680881957212</c:v>
                </c:pt>
                <c:pt idx="212">
                  <c:v>17.773643836448294</c:v>
                </c:pt>
                <c:pt idx="213">
                  <c:v>17.776291581379503</c:v>
                </c:pt>
                <c:pt idx="214">
                  <c:v>17.778977621168799</c:v>
                </c:pt>
                <c:pt idx="215">
                  <c:v>17.781556615516521</c:v>
                </c:pt>
                <c:pt idx="216">
                  <c:v>17.784234092587148</c:v>
                </c:pt>
                <c:pt idx="217">
                  <c:v>17.786801641978073</c:v>
                </c:pt>
                <c:pt idx="218">
                  <c:v>17.789265327552478</c:v>
                </c:pt>
                <c:pt idx="219">
                  <c:v>17.791482782427899</c:v>
                </c:pt>
                <c:pt idx="220">
                  <c:v>17.793667955296925</c:v>
                </c:pt>
                <c:pt idx="221">
                  <c:v>17.795777796342183</c:v>
                </c:pt>
                <c:pt idx="222">
                  <c:v>17.797809877775705</c:v>
                </c:pt>
                <c:pt idx="223">
                  <c:v>17.799774650518376</c:v>
                </c:pt>
                <c:pt idx="224">
                  <c:v>17.801779359462934</c:v>
                </c:pt>
                <c:pt idx="225">
                  <c:v>17.803682891473358</c:v>
                </c:pt>
                <c:pt idx="226">
                  <c:v>17.805783869539187</c:v>
                </c:pt>
                <c:pt idx="227">
                  <c:v>17.807783742576774</c:v>
                </c:pt>
                <c:pt idx="228">
                  <c:v>17.809750927925077</c:v>
                </c:pt>
                <c:pt idx="229">
                  <c:v>17.811767244284919</c:v>
                </c:pt>
                <c:pt idx="230">
                  <c:v>17.813622304012675</c:v>
                </c:pt>
                <c:pt idx="231">
                  <c:v>17.815604259681216</c:v>
                </c:pt>
                <c:pt idx="232">
                  <c:v>17.817437814997277</c:v>
                </c:pt>
                <c:pt idx="233">
                  <c:v>17.819174695561141</c:v>
                </c:pt>
                <c:pt idx="234">
                  <c:v>17.820832424571243</c:v>
                </c:pt>
                <c:pt idx="235">
                  <c:v>17.822639538740901</c:v>
                </c:pt>
                <c:pt idx="236">
                  <c:v>17.824377204849227</c:v>
                </c:pt>
                <c:pt idx="237">
                  <c:v>17.826259107649015</c:v>
                </c:pt>
                <c:pt idx="238">
                  <c:v>17.828315789647363</c:v>
                </c:pt>
                <c:pt idx="239">
                  <c:v>17.830483460668265</c:v>
                </c:pt>
                <c:pt idx="240">
                  <c:v>17.832830675307619</c:v>
                </c:pt>
                <c:pt idx="241">
                  <c:v>17.835016981302864</c:v>
                </c:pt>
                <c:pt idx="242">
                  <c:v>17.837278986995226</c:v>
                </c:pt>
                <c:pt idx="243">
                  <c:v>17.839492534363998</c:v>
                </c:pt>
                <c:pt idx="244">
                  <c:v>17.841977045856879</c:v>
                </c:pt>
                <c:pt idx="245">
                  <c:v>17.844419535034735</c:v>
                </c:pt>
                <c:pt idx="246">
                  <c:v>17.846664505766128</c:v>
                </c:pt>
                <c:pt idx="247">
                  <c:v>17.849033461359902</c:v>
                </c:pt>
                <c:pt idx="248">
                  <c:v>17.851247811006239</c:v>
                </c:pt>
                <c:pt idx="249">
                  <c:v>17.85350486831576</c:v>
                </c:pt>
                <c:pt idx="250">
                  <c:v>17.855818933297538</c:v>
                </c:pt>
                <c:pt idx="251">
                  <c:v>17.858010530294351</c:v>
                </c:pt>
                <c:pt idx="252">
                  <c:v>17.860188323323193</c:v>
                </c:pt>
                <c:pt idx="253">
                  <c:v>17.862211464136337</c:v>
                </c:pt>
                <c:pt idx="254">
                  <c:v>17.864230866463565</c:v>
                </c:pt>
                <c:pt idx="255">
                  <c:v>17.866214377309952</c:v>
                </c:pt>
                <c:pt idx="256">
                  <c:v>17.868203319389675</c:v>
                </c:pt>
                <c:pt idx="257">
                  <c:v>17.870384449052199</c:v>
                </c:pt>
                <c:pt idx="258">
                  <c:v>17.872298542611468</c:v>
                </c:pt>
                <c:pt idx="259">
                  <c:v>17.874177748617967</c:v>
                </c:pt>
                <c:pt idx="260">
                  <c:v>17.876001421901265</c:v>
                </c:pt>
                <c:pt idx="261">
                  <c:v>17.877891791016378</c:v>
                </c:pt>
                <c:pt idx="262">
                  <c:v>17.879835425949235</c:v>
                </c:pt>
                <c:pt idx="263">
                  <c:v>17.881619356738156</c:v>
                </c:pt>
                <c:pt idx="264">
                  <c:v>17.883481894268723</c:v>
                </c:pt>
                <c:pt idx="265">
                  <c:v>17.885357951859966</c:v>
                </c:pt>
                <c:pt idx="266">
                  <c:v>17.887316530459231</c:v>
                </c:pt>
                <c:pt idx="267">
                  <c:v>17.889350414555167</c:v>
                </c:pt>
                <c:pt idx="268">
                  <c:v>17.891398287315511</c:v>
                </c:pt>
                <c:pt idx="269">
                  <c:v>17.893718280348732</c:v>
                </c:pt>
                <c:pt idx="270">
                  <c:v>17.896074667453657</c:v>
                </c:pt>
                <c:pt idx="271">
                  <c:v>17.898481551344879</c:v>
                </c:pt>
                <c:pt idx="272">
                  <c:v>17.900798962959136</c:v>
                </c:pt>
                <c:pt idx="273">
                  <c:v>17.903003239538769</c:v>
                </c:pt>
                <c:pt idx="274">
                  <c:v>17.90507373929125</c:v>
                </c:pt>
                <c:pt idx="275">
                  <c:v>17.906910216746056</c:v>
                </c:pt>
                <c:pt idx="276">
                  <c:v>17.90890100105203</c:v>
                </c:pt>
                <c:pt idx="277">
                  <c:v>17.911094198971089</c:v>
                </c:pt>
                <c:pt idx="278">
                  <c:v>17.9129883914812</c:v>
                </c:pt>
                <c:pt idx="279">
                  <c:v>17.915051124780994</c:v>
                </c:pt>
                <c:pt idx="280">
                  <c:v>17.916936049473875</c:v>
                </c:pt>
                <c:pt idx="281">
                  <c:v>17.918732375123184</c:v>
                </c:pt>
                <c:pt idx="282">
                  <c:v>17.920636820190062</c:v>
                </c:pt>
                <c:pt idx="283">
                  <c:v>17.922571401569996</c:v>
                </c:pt>
                <c:pt idx="284">
                  <c:v>17.924387550132472</c:v>
                </c:pt>
                <c:pt idx="285">
                  <c:v>17.926206551256328</c:v>
                </c:pt>
                <c:pt idx="286">
                  <c:v>17.927887971480935</c:v>
                </c:pt>
                <c:pt idx="287">
                  <c:v>17.929622827368608</c:v>
                </c:pt>
                <c:pt idx="288">
                  <c:v>17.931401603716068</c:v>
                </c:pt>
                <c:pt idx="289">
                  <c:v>17.932985532215625</c:v>
                </c:pt>
                <c:pt idx="290">
                  <c:v>17.934644655265821</c:v>
                </c:pt>
                <c:pt idx="291">
                  <c:v>17.936404086909704</c:v>
                </c:pt>
                <c:pt idx="292">
                  <c:v>17.938305450293036</c:v>
                </c:pt>
                <c:pt idx="293">
                  <c:v>17.940149659715509</c:v>
                </c:pt>
                <c:pt idx="294">
                  <c:v>17.941886314014003</c:v>
                </c:pt>
                <c:pt idx="295">
                  <c:v>17.943599675570674</c:v>
                </c:pt>
                <c:pt idx="296">
                  <c:v>17.945148708091935</c:v>
                </c:pt>
                <c:pt idx="297">
                  <c:v>17.946572943517168</c:v>
                </c:pt>
                <c:pt idx="298">
                  <c:v>17.948253100253751</c:v>
                </c:pt>
                <c:pt idx="299">
                  <c:v>17.949819103345284</c:v>
                </c:pt>
                <c:pt idx="300">
                  <c:v>17.951132361532565</c:v>
                </c:pt>
                <c:pt idx="301">
                  <c:v>17.952469239019997</c:v>
                </c:pt>
                <c:pt idx="302">
                  <c:v>17.953929891903712</c:v>
                </c:pt>
                <c:pt idx="303">
                  <c:v>17.955208202581623</c:v>
                </c:pt>
                <c:pt idx="304">
                  <c:v>17.956452261934267</c:v>
                </c:pt>
                <c:pt idx="305">
                  <c:v>17.957664617527666</c:v>
                </c:pt>
                <c:pt idx="306">
                  <c:v>17.95880674030094</c:v>
                </c:pt>
                <c:pt idx="307">
                  <c:v>17.960022990167118</c:v>
                </c:pt>
                <c:pt idx="308">
                  <c:v>17.961254680887304</c:v>
                </c:pt>
                <c:pt idx="309">
                  <c:v>17.962391113480535</c:v>
                </c:pt>
                <c:pt idx="310">
                  <c:v>17.963500026218313</c:v>
                </c:pt>
                <c:pt idx="311">
                  <c:v>17.964593142891992</c:v>
                </c:pt>
                <c:pt idx="312">
                  <c:v>17.965554649376674</c:v>
                </c:pt>
                <c:pt idx="313">
                  <c:v>17.966456331676696</c:v>
                </c:pt>
                <c:pt idx="314">
                  <c:v>17.967310193096868</c:v>
                </c:pt>
                <c:pt idx="315">
                  <c:v>17.968319998628626</c:v>
                </c:pt>
                <c:pt idx="316">
                  <c:v>17.969288717567316</c:v>
                </c:pt>
                <c:pt idx="317">
                  <c:v>17.970220802047702</c:v>
                </c:pt>
                <c:pt idx="318">
                  <c:v>17.971211437465243</c:v>
                </c:pt>
                <c:pt idx="319">
                  <c:v>17.9721799208139</c:v>
                </c:pt>
                <c:pt idx="320">
                  <c:v>17.973142756979719</c:v>
                </c:pt>
                <c:pt idx="321">
                  <c:v>17.974059020569307</c:v>
                </c:pt>
                <c:pt idx="322">
                  <c:v>17.974999685151388</c:v>
                </c:pt>
                <c:pt idx="323">
                  <c:v>17.976052355045965</c:v>
                </c:pt>
                <c:pt idx="324">
                  <c:v>17.977028025628186</c:v>
                </c:pt>
                <c:pt idx="325">
                  <c:v>17.978052806018965</c:v>
                </c:pt>
                <c:pt idx="326">
                  <c:v>17.979096987002205</c:v>
                </c:pt>
                <c:pt idx="327">
                  <c:v>17.980161298671856</c:v>
                </c:pt>
                <c:pt idx="328">
                  <c:v>17.98129105840696</c:v>
                </c:pt>
                <c:pt idx="329">
                  <c:v>17.982492608188693</c:v>
                </c:pt>
                <c:pt idx="330">
                  <c:v>17.983566914629975</c:v>
                </c:pt>
                <c:pt idx="331">
                  <c:v>17.984685353662218</c:v>
                </c:pt>
                <c:pt idx="332">
                  <c:v>17.985737512918256</c:v>
                </c:pt>
                <c:pt idx="333">
                  <c:v>17.98675959958279</c:v>
                </c:pt>
                <c:pt idx="334">
                  <c:v>17.987770299798814</c:v>
                </c:pt>
                <c:pt idx="335">
                  <c:v>17.988830304080896</c:v>
                </c:pt>
                <c:pt idx="336">
                  <c:v>17.98977516616138</c:v>
                </c:pt>
                <c:pt idx="337">
                  <c:v>17.990742368131475</c:v>
                </c:pt>
                <c:pt idx="338">
                  <c:v>17.991680577561556</c:v>
                </c:pt>
                <c:pt idx="339">
                  <c:v>17.992593776477491</c:v>
                </c:pt>
                <c:pt idx="340">
                  <c:v>17.993448439101797</c:v>
                </c:pt>
                <c:pt idx="341">
                  <c:v>17.994296908313679</c:v>
                </c:pt>
                <c:pt idx="342">
                  <c:v>17.99521912353088</c:v>
                </c:pt>
                <c:pt idx="343">
                  <c:v>17.996123173962861</c:v>
                </c:pt>
                <c:pt idx="344">
                  <c:v>17.997146243500254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ser>
          <c:idx val="7"/>
          <c:order val="7"/>
          <c:spPr>
            <a:ln w="2857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45011</c:v>
                </c:pt>
                <c:pt idx="1">
                  <c:v>45012</c:v>
                </c:pt>
                <c:pt idx="2">
                  <c:v>45013</c:v>
                </c:pt>
                <c:pt idx="3">
                  <c:v>45014</c:v>
                </c:pt>
                <c:pt idx="4">
                  <c:v>45015</c:v>
                </c:pt>
                <c:pt idx="5">
                  <c:v>45016</c:v>
                </c:pt>
                <c:pt idx="6">
                  <c:v>45017</c:v>
                </c:pt>
                <c:pt idx="7">
                  <c:v>45018</c:v>
                </c:pt>
                <c:pt idx="8">
                  <c:v>45019</c:v>
                </c:pt>
                <c:pt idx="9">
                  <c:v>45020</c:v>
                </c:pt>
                <c:pt idx="10">
                  <c:v>45021</c:v>
                </c:pt>
                <c:pt idx="11">
                  <c:v>45022</c:v>
                </c:pt>
                <c:pt idx="12">
                  <c:v>45023</c:v>
                </c:pt>
                <c:pt idx="13">
                  <c:v>45024</c:v>
                </c:pt>
                <c:pt idx="14">
                  <c:v>45025</c:v>
                </c:pt>
                <c:pt idx="15">
                  <c:v>45026</c:v>
                </c:pt>
                <c:pt idx="16">
                  <c:v>45027</c:v>
                </c:pt>
                <c:pt idx="17">
                  <c:v>45028</c:v>
                </c:pt>
                <c:pt idx="18">
                  <c:v>45029</c:v>
                </c:pt>
                <c:pt idx="19">
                  <c:v>45030</c:v>
                </c:pt>
                <c:pt idx="20">
                  <c:v>45031</c:v>
                </c:pt>
                <c:pt idx="21">
                  <c:v>45032</c:v>
                </c:pt>
                <c:pt idx="22">
                  <c:v>45033</c:v>
                </c:pt>
                <c:pt idx="23">
                  <c:v>45034</c:v>
                </c:pt>
                <c:pt idx="24">
                  <c:v>45035</c:v>
                </c:pt>
                <c:pt idx="25">
                  <c:v>45036</c:v>
                </c:pt>
                <c:pt idx="26">
                  <c:v>45037</c:v>
                </c:pt>
                <c:pt idx="27">
                  <c:v>45038</c:v>
                </c:pt>
                <c:pt idx="28">
                  <c:v>45039</c:v>
                </c:pt>
                <c:pt idx="29">
                  <c:v>45040</c:v>
                </c:pt>
                <c:pt idx="30">
                  <c:v>45041</c:v>
                </c:pt>
                <c:pt idx="31">
                  <c:v>45042</c:v>
                </c:pt>
                <c:pt idx="32">
                  <c:v>45043</c:v>
                </c:pt>
                <c:pt idx="33">
                  <c:v>45044</c:v>
                </c:pt>
                <c:pt idx="34">
                  <c:v>45045</c:v>
                </c:pt>
                <c:pt idx="35">
                  <c:v>45046</c:v>
                </c:pt>
                <c:pt idx="36">
                  <c:v>45047</c:v>
                </c:pt>
                <c:pt idx="37">
                  <c:v>45048</c:v>
                </c:pt>
                <c:pt idx="38">
                  <c:v>45049</c:v>
                </c:pt>
                <c:pt idx="39">
                  <c:v>45050</c:v>
                </c:pt>
                <c:pt idx="40">
                  <c:v>45051</c:v>
                </c:pt>
                <c:pt idx="41">
                  <c:v>45052</c:v>
                </c:pt>
                <c:pt idx="42">
                  <c:v>45053</c:v>
                </c:pt>
                <c:pt idx="43">
                  <c:v>45054</c:v>
                </c:pt>
                <c:pt idx="44">
                  <c:v>45055</c:v>
                </c:pt>
                <c:pt idx="45">
                  <c:v>45056</c:v>
                </c:pt>
                <c:pt idx="46">
                  <c:v>45057</c:v>
                </c:pt>
                <c:pt idx="47">
                  <c:v>45058</c:v>
                </c:pt>
                <c:pt idx="48">
                  <c:v>45059</c:v>
                </c:pt>
                <c:pt idx="49">
                  <c:v>45060</c:v>
                </c:pt>
                <c:pt idx="50">
                  <c:v>45061</c:v>
                </c:pt>
                <c:pt idx="51">
                  <c:v>45062</c:v>
                </c:pt>
                <c:pt idx="52">
                  <c:v>45063</c:v>
                </c:pt>
                <c:pt idx="53">
                  <c:v>45064</c:v>
                </c:pt>
                <c:pt idx="54">
                  <c:v>45065</c:v>
                </c:pt>
                <c:pt idx="55">
                  <c:v>45066</c:v>
                </c:pt>
                <c:pt idx="56">
                  <c:v>45067</c:v>
                </c:pt>
                <c:pt idx="57">
                  <c:v>45068</c:v>
                </c:pt>
                <c:pt idx="58">
                  <c:v>45069</c:v>
                </c:pt>
                <c:pt idx="59">
                  <c:v>45070</c:v>
                </c:pt>
                <c:pt idx="60">
                  <c:v>45071</c:v>
                </c:pt>
                <c:pt idx="61">
                  <c:v>45072</c:v>
                </c:pt>
                <c:pt idx="62">
                  <c:v>45073</c:v>
                </c:pt>
                <c:pt idx="63">
                  <c:v>45074</c:v>
                </c:pt>
                <c:pt idx="64">
                  <c:v>45075</c:v>
                </c:pt>
                <c:pt idx="65">
                  <c:v>45076</c:v>
                </c:pt>
                <c:pt idx="66">
                  <c:v>45077</c:v>
                </c:pt>
                <c:pt idx="67">
                  <c:v>45078</c:v>
                </c:pt>
                <c:pt idx="68">
                  <c:v>45079</c:v>
                </c:pt>
                <c:pt idx="69">
                  <c:v>45080</c:v>
                </c:pt>
                <c:pt idx="70">
                  <c:v>45081</c:v>
                </c:pt>
                <c:pt idx="71">
                  <c:v>45082</c:v>
                </c:pt>
                <c:pt idx="72">
                  <c:v>45083</c:v>
                </c:pt>
                <c:pt idx="73">
                  <c:v>45084</c:v>
                </c:pt>
                <c:pt idx="74">
                  <c:v>45085</c:v>
                </c:pt>
                <c:pt idx="75">
                  <c:v>45086</c:v>
                </c:pt>
                <c:pt idx="76">
                  <c:v>45087</c:v>
                </c:pt>
                <c:pt idx="77">
                  <c:v>45088</c:v>
                </c:pt>
                <c:pt idx="78">
                  <c:v>45089</c:v>
                </c:pt>
                <c:pt idx="79">
                  <c:v>45090</c:v>
                </c:pt>
                <c:pt idx="80">
                  <c:v>45091</c:v>
                </c:pt>
                <c:pt idx="81">
                  <c:v>45092</c:v>
                </c:pt>
                <c:pt idx="82">
                  <c:v>45093</c:v>
                </c:pt>
                <c:pt idx="83">
                  <c:v>45094</c:v>
                </c:pt>
                <c:pt idx="84">
                  <c:v>45095</c:v>
                </c:pt>
                <c:pt idx="85">
                  <c:v>45096</c:v>
                </c:pt>
                <c:pt idx="86">
                  <c:v>45097</c:v>
                </c:pt>
                <c:pt idx="87">
                  <c:v>45098</c:v>
                </c:pt>
                <c:pt idx="88">
                  <c:v>45099</c:v>
                </c:pt>
                <c:pt idx="89">
                  <c:v>45100</c:v>
                </c:pt>
                <c:pt idx="90">
                  <c:v>45101</c:v>
                </c:pt>
                <c:pt idx="91">
                  <c:v>45102</c:v>
                </c:pt>
                <c:pt idx="92">
                  <c:v>45103</c:v>
                </c:pt>
                <c:pt idx="93">
                  <c:v>45104</c:v>
                </c:pt>
                <c:pt idx="94">
                  <c:v>45105</c:v>
                </c:pt>
                <c:pt idx="95">
                  <c:v>45106</c:v>
                </c:pt>
                <c:pt idx="96">
                  <c:v>45107</c:v>
                </c:pt>
                <c:pt idx="97">
                  <c:v>45108</c:v>
                </c:pt>
                <c:pt idx="98">
                  <c:v>45109</c:v>
                </c:pt>
                <c:pt idx="99">
                  <c:v>45110</c:v>
                </c:pt>
                <c:pt idx="100">
                  <c:v>45111</c:v>
                </c:pt>
                <c:pt idx="101">
                  <c:v>45112</c:v>
                </c:pt>
                <c:pt idx="102">
                  <c:v>45113</c:v>
                </c:pt>
                <c:pt idx="103">
                  <c:v>45114</c:v>
                </c:pt>
                <c:pt idx="104">
                  <c:v>45115</c:v>
                </c:pt>
                <c:pt idx="105">
                  <c:v>45116</c:v>
                </c:pt>
                <c:pt idx="106">
                  <c:v>45117</c:v>
                </c:pt>
                <c:pt idx="107">
                  <c:v>45118</c:v>
                </c:pt>
                <c:pt idx="108">
                  <c:v>45119</c:v>
                </c:pt>
                <c:pt idx="109">
                  <c:v>45120</c:v>
                </c:pt>
                <c:pt idx="110">
                  <c:v>45121</c:v>
                </c:pt>
                <c:pt idx="111">
                  <c:v>45122</c:v>
                </c:pt>
                <c:pt idx="112">
                  <c:v>45123</c:v>
                </c:pt>
                <c:pt idx="113">
                  <c:v>45124</c:v>
                </c:pt>
                <c:pt idx="114">
                  <c:v>45125</c:v>
                </c:pt>
                <c:pt idx="115">
                  <c:v>45126</c:v>
                </c:pt>
                <c:pt idx="116">
                  <c:v>45127</c:v>
                </c:pt>
                <c:pt idx="117">
                  <c:v>45128</c:v>
                </c:pt>
                <c:pt idx="118">
                  <c:v>45129</c:v>
                </c:pt>
                <c:pt idx="119">
                  <c:v>45130</c:v>
                </c:pt>
                <c:pt idx="120">
                  <c:v>45131</c:v>
                </c:pt>
                <c:pt idx="121">
                  <c:v>45132</c:v>
                </c:pt>
                <c:pt idx="122">
                  <c:v>45133</c:v>
                </c:pt>
                <c:pt idx="123">
                  <c:v>45134</c:v>
                </c:pt>
                <c:pt idx="124">
                  <c:v>45135</c:v>
                </c:pt>
                <c:pt idx="125">
                  <c:v>45136</c:v>
                </c:pt>
                <c:pt idx="126">
                  <c:v>45137</c:v>
                </c:pt>
                <c:pt idx="127">
                  <c:v>45138</c:v>
                </c:pt>
                <c:pt idx="128">
                  <c:v>45139</c:v>
                </c:pt>
                <c:pt idx="129">
                  <c:v>45140</c:v>
                </c:pt>
                <c:pt idx="130">
                  <c:v>45141</c:v>
                </c:pt>
                <c:pt idx="131">
                  <c:v>45142</c:v>
                </c:pt>
                <c:pt idx="132">
                  <c:v>45143</c:v>
                </c:pt>
                <c:pt idx="133">
                  <c:v>45144</c:v>
                </c:pt>
                <c:pt idx="134">
                  <c:v>45145</c:v>
                </c:pt>
                <c:pt idx="135">
                  <c:v>45146</c:v>
                </c:pt>
                <c:pt idx="136">
                  <c:v>45147</c:v>
                </c:pt>
                <c:pt idx="137">
                  <c:v>45148</c:v>
                </c:pt>
                <c:pt idx="138">
                  <c:v>45149</c:v>
                </c:pt>
                <c:pt idx="139">
                  <c:v>45150</c:v>
                </c:pt>
                <c:pt idx="140">
                  <c:v>45151</c:v>
                </c:pt>
                <c:pt idx="141">
                  <c:v>45152</c:v>
                </c:pt>
                <c:pt idx="142">
                  <c:v>45153</c:v>
                </c:pt>
                <c:pt idx="143">
                  <c:v>45154</c:v>
                </c:pt>
                <c:pt idx="144">
                  <c:v>45155</c:v>
                </c:pt>
                <c:pt idx="145">
                  <c:v>45156</c:v>
                </c:pt>
                <c:pt idx="146">
                  <c:v>45157</c:v>
                </c:pt>
                <c:pt idx="147">
                  <c:v>45158</c:v>
                </c:pt>
                <c:pt idx="148">
                  <c:v>45159</c:v>
                </c:pt>
                <c:pt idx="149">
                  <c:v>45160</c:v>
                </c:pt>
                <c:pt idx="150">
                  <c:v>45161</c:v>
                </c:pt>
                <c:pt idx="151">
                  <c:v>45162</c:v>
                </c:pt>
                <c:pt idx="152">
                  <c:v>45163</c:v>
                </c:pt>
                <c:pt idx="153">
                  <c:v>45164</c:v>
                </c:pt>
                <c:pt idx="154">
                  <c:v>45165</c:v>
                </c:pt>
                <c:pt idx="155">
                  <c:v>45166</c:v>
                </c:pt>
                <c:pt idx="156">
                  <c:v>45167</c:v>
                </c:pt>
                <c:pt idx="157">
                  <c:v>45168</c:v>
                </c:pt>
                <c:pt idx="158">
                  <c:v>45169</c:v>
                </c:pt>
                <c:pt idx="159">
                  <c:v>45170</c:v>
                </c:pt>
                <c:pt idx="160">
                  <c:v>45171</c:v>
                </c:pt>
                <c:pt idx="161">
                  <c:v>45172</c:v>
                </c:pt>
                <c:pt idx="162">
                  <c:v>45173</c:v>
                </c:pt>
                <c:pt idx="163">
                  <c:v>45174</c:v>
                </c:pt>
                <c:pt idx="164">
                  <c:v>45175</c:v>
                </c:pt>
                <c:pt idx="165">
                  <c:v>45176</c:v>
                </c:pt>
                <c:pt idx="166">
                  <c:v>45177</c:v>
                </c:pt>
                <c:pt idx="167">
                  <c:v>45178</c:v>
                </c:pt>
                <c:pt idx="168">
                  <c:v>45179</c:v>
                </c:pt>
                <c:pt idx="169">
                  <c:v>45180</c:v>
                </c:pt>
                <c:pt idx="170">
                  <c:v>45181</c:v>
                </c:pt>
                <c:pt idx="171">
                  <c:v>45182</c:v>
                </c:pt>
                <c:pt idx="172">
                  <c:v>45183</c:v>
                </c:pt>
                <c:pt idx="173">
                  <c:v>45184</c:v>
                </c:pt>
                <c:pt idx="174">
                  <c:v>45185</c:v>
                </c:pt>
                <c:pt idx="175">
                  <c:v>45186</c:v>
                </c:pt>
                <c:pt idx="176">
                  <c:v>45187</c:v>
                </c:pt>
                <c:pt idx="177">
                  <c:v>45188</c:v>
                </c:pt>
                <c:pt idx="178">
                  <c:v>45189</c:v>
                </c:pt>
                <c:pt idx="179">
                  <c:v>45190</c:v>
                </c:pt>
                <c:pt idx="180">
                  <c:v>45191</c:v>
                </c:pt>
                <c:pt idx="181">
                  <c:v>45192</c:v>
                </c:pt>
                <c:pt idx="182">
                  <c:v>45193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45199</c:v>
                </c:pt>
                <c:pt idx="189">
                  <c:v>45200</c:v>
                </c:pt>
                <c:pt idx="190">
                  <c:v>45201</c:v>
                </c:pt>
                <c:pt idx="191">
                  <c:v>45202</c:v>
                </c:pt>
                <c:pt idx="192">
                  <c:v>45203</c:v>
                </c:pt>
                <c:pt idx="193">
                  <c:v>45204</c:v>
                </c:pt>
                <c:pt idx="194">
                  <c:v>45205</c:v>
                </c:pt>
                <c:pt idx="195">
                  <c:v>45206</c:v>
                </c:pt>
                <c:pt idx="196">
                  <c:v>45207</c:v>
                </c:pt>
                <c:pt idx="197">
                  <c:v>45208</c:v>
                </c:pt>
                <c:pt idx="198">
                  <c:v>45209</c:v>
                </c:pt>
                <c:pt idx="199">
                  <c:v>45210</c:v>
                </c:pt>
                <c:pt idx="200">
                  <c:v>45211</c:v>
                </c:pt>
                <c:pt idx="201">
                  <c:v>45212</c:v>
                </c:pt>
                <c:pt idx="202">
                  <c:v>45213</c:v>
                </c:pt>
                <c:pt idx="203">
                  <c:v>45214</c:v>
                </c:pt>
                <c:pt idx="204">
                  <c:v>45215</c:v>
                </c:pt>
                <c:pt idx="205">
                  <c:v>45216</c:v>
                </c:pt>
                <c:pt idx="206">
                  <c:v>45217</c:v>
                </c:pt>
                <c:pt idx="207">
                  <c:v>45218</c:v>
                </c:pt>
                <c:pt idx="208">
                  <c:v>45219</c:v>
                </c:pt>
                <c:pt idx="209">
                  <c:v>45220</c:v>
                </c:pt>
                <c:pt idx="210">
                  <c:v>45221</c:v>
                </c:pt>
                <c:pt idx="211">
                  <c:v>45222</c:v>
                </c:pt>
                <c:pt idx="212">
                  <c:v>45223</c:v>
                </c:pt>
                <c:pt idx="213">
                  <c:v>45224</c:v>
                </c:pt>
                <c:pt idx="214">
                  <c:v>45225</c:v>
                </c:pt>
                <c:pt idx="215">
                  <c:v>45226</c:v>
                </c:pt>
                <c:pt idx="216">
                  <c:v>45227</c:v>
                </c:pt>
                <c:pt idx="217">
                  <c:v>45228</c:v>
                </c:pt>
                <c:pt idx="218">
                  <c:v>45229</c:v>
                </c:pt>
                <c:pt idx="219">
                  <c:v>45230</c:v>
                </c:pt>
                <c:pt idx="220">
                  <c:v>45231</c:v>
                </c:pt>
                <c:pt idx="221">
                  <c:v>45232</c:v>
                </c:pt>
                <c:pt idx="222">
                  <c:v>45233</c:v>
                </c:pt>
                <c:pt idx="223">
                  <c:v>45234</c:v>
                </c:pt>
                <c:pt idx="224">
                  <c:v>45235</c:v>
                </c:pt>
                <c:pt idx="225">
                  <c:v>45236</c:v>
                </c:pt>
                <c:pt idx="226">
                  <c:v>45237</c:v>
                </c:pt>
                <c:pt idx="227">
                  <c:v>45238</c:v>
                </c:pt>
                <c:pt idx="228">
                  <c:v>45239</c:v>
                </c:pt>
                <c:pt idx="229">
                  <c:v>45240</c:v>
                </c:pt>
                <c:pt idx="230">
                  <c:v>45241</c:v>
                </c:pt>
                <c:pt idx="231">
                  <c:v>45242</c:v>
                </c:pt>
                <c:pt idx="232">
                  <c:v>45243</c:v>
                </c:pt>
                <c:pt idx="233">
                  <c:v>45244</c:v>
                </c:pt>
                <c:pt idx="234">
                  <c:v>45245</c:v>
                </c:pt>
                <c:pt idx="235">
                  <c:v>45246</c:v>
                </c:pt>
                <c:pt idx="236">
                  <c:v>45247</c:v>
                </c:pt>
                <c:pt idx="237">
                  <c:v>45248</c:v>
                </c:pt>
                <c:pt idx="238">
                  <c:v>45249</c:v>
                </c:pt>
                <c:pt idx="239">
                  <c:v>45250</c:v>
                </c:pt>
                <c:pt idx="240">
                  <c:v>45251</c:v>
                </c:pt>
                <c:pt idx="241">
                  <c:v>45252</c:v>
                </c:pt>
                <c:pt idx="242">
                  <c:v>45253</c:v>
                </c:pt>
                <c:pt idx="243">
                  <c:v>45254</c:v>
                </c:pt>
                <c:pt idx="244">
                  <c:v>45255</c:v>
                </c:pt>
                <c:pt idx="245">
                  <c:v>45256</c:v>
                </c:pt>
                <c:pt idx="246">
                  <c:v>45257</c:v>
                </c:pt>
                <c:pt idx="247">
                  <c:v>45258</c:v>
                </c:pt>
                <c:pt idx="248">
                  <c:v>45259</c:v>
                </c:pt>
                <c:pt idx="249">
                  <c:v>45260</c:v>
                </c:pt>
                <c:pt idx="250">
                  <c:v>45261</c:v>
                </c:pt>
                <c:pt idx="251">
                  <c:v>45262</c:v>
                </c:pt>
                <c:pt idx="252">
                  <c:v>45263</c:v>
                </c:pt>
                <c:pt idx="253">
                  <c:v>45264</c:v>
                </c:pt>
                <c:pt idx="254">
                  <c:v>45265</c:v>
                </c:pt>
                <c:pt idx="255">
                  <c:v>45266</c:v>
                </c:pt>
                <c:pt idx="256">
                  <c:v>45267</c:v>
                </c:pt>
                <c:pt idx="257">
                  <c:v>45268</c:v>
                </c:pt>
                <c:pt idx="258">
                  <c:v>45269</c:v>
                </c:pt>
                <c:pt idx="259">
                  <c:v>45270</c:v>
                </c:pt>
                <c:pt idx="260">
                  <c:v>45271</c:v>
                </c:pt>
                <c:pt idx="261">
                  <c:v>45272</c:v>
                </c:pt>
                <c:pt idx="262">
                  <c:v>45273</c:v>
                </c:pt>
                <c:pt idx="263">
                  <c:v>45274</c:v>
                </c:pt>
                <c:pt idx="264">
                  <c:v>45275</c:v>
                </c:pt>
                <c:pt idx="265">
                  <c:v>45276</c:v>
                </c:pt>
                <c:pt idx="266">
                  <c:v>45277</c:v>
                </c:pt>
                <c:pt idx="267">
                  <c:v>45278</c:v>
                </c:pt>
                <c:pt idx="268">
                  <c:v>45279</c:v>
                </c:pt>
                <c:pt idx="269">
                  <c:v>45280</c:v>
                </c:pt>
                <c:pt idx="270">
                  <c:v>45281</c:v>
                </c:pt>
                <c:pt idx="271">
                  <c:v>45282</c:v>
                </c:pt>
                <c:pt idx="272">
                  <c:v>45283</c:v>
                </c:pt>
                <c:pt idx="273">
                  <c:v>45284</c:v>
                </c:pt>
                <c:pt idx="274">
                  <c:v>45285</c:v>
                </c:pt>
                <c:pt idx="275">
                  <c:v>45286</c:v>
                </c:pt>
                <c:pt idx="276">
                  <c:v>45287</c:v>
                </c:pt>
                <c:pt idx="277">
                  <c:v>45288</c:v>
                </c:pt>
                <c:pt idx="278">
                  <c:v>45289</c:v>
                </c:pt>
                <c:pt idx="279">
                  <c:v>45290</c:v>
                </c:pt>
                <c:pt idx="280">
                  <c:v>45291</c:v>
                </c:pt>
                <c:pt idx="281">
                  <c:v>45292</c:v>
                </c:pt>
                <c:pt idx="282">
                  <c:v>45293</c:v>
                </c:pt>
                <c:pt idx="283">
                  <c:v>45294</c:v>
                </c:pt>
                <c:pt idx="284">
                  <c:v>45295</c:v>
                </c:pt>
                <c:pt idx="285">
                  <c:v>45296</c:v>
                </c:pt>
                <c:pt idx="286">
                  <c:v>45297</c:v>
                </c:pt>
                <c:pt idx="287">
                  <c:v>45298</c:v>
                </c:pt>
                <c:pt idx="288">
                  <c:v>45299</c:v>
                </c:pt>
                <c:pt idx="289">
                  <c:v>45300</c:v>
                </c:pt>
                <c:pt idx="290">
                  <c:v>45301</c:v>
                </c:pt>
                <c:pt idx="291">
                  <c:v>45302</c:v>
                </c:pt>
                <c:pt idx="292">
                  <c:v>45303</c:v>
                </c:pt>
                <c:pt idx="293">
                  <c:v>45304</c:v>
                </c:pt>
                <c:pt idx="294">
                  <c:v>45305</c:v>
                </c:pt>
                <c:pt idx="295">
                  <c:v>45306</c:v>
                </c:pt>
                <c:pt idx="296">
                  <c:v>45307</c:v>
                </c:pt>
                <c:pt idx="297">
                  <c:v>45308</c:v>
                </c:pt>
                <c:pt idx="298">
                  <c:v>45309</c:v>
                </c:pt>
                <c:pt idx="299">
                  <c:v>45310</c:v>
                </c:pt>
                <c:pt idx="300">
                  <c:v>45311</c:v>
                </c:pt>
                <c:pt idx="301">
                  <c:v>45312</c:v>
                </c:pt>
                <c:pt idx="302">
                  <c:v>45313</c:v>
                </c:pt>
                <c:pt idx="303">
                  <c:v>45314</c:v>
                </c:pt>
                <c:pt idx="304">
                  <c:v>45315</c:v>
                </c:pt>
                <c:pt idx="305">
                  <c:v>45316</c:v>
                </c:pt>
                <c:pt idx="306">
                  <c:v>45317</c:v>
                </c:pt>
                <c:pt idx="307">
                  <c:v>45318</c:v>
                </c:pt>
                <c:pt idx="308">
                  <c:v>45319</c:v>
                </c:pt>
                <c:pt idx="309">
                  <c:v>45320</c:v>
                </c:pt>
                <c:pt idx="310">
                  <c:v>45321</c:v>
                </c:pt>
                <c:pt idx="311">
                  <c:v>45322</c:v>
                </c:pt>
                <c:pt idx="312">
                  <c:v>45323</c:v>
                </c:pt>
                <c:pt idx="313">
                  <c:v>45324</c:v>
                </c:pt>
                <c:pt idx="314">
                  <c:v>45325</c:v>
                </c:pt>
                <c:pt idx="315">
                  <c:v>45326</c:v>
                </c:pt>
                <c:pt idx="316">
                  <c:v>45327</c:v>
                </c:pt>
                <c:pt idx="317">
                  <c:v>45328</c:v>
                </c:pt>
                <c:pt idx="318">
                  <c:v>45329</c:v>
                </c:pt>
                <c:pt idx="319">
                  <c:v>45330</c:v>
                </c:pt>
                <c:pt idx="320">
                  <c:v>45331</c:v>
                </c:pt>
                <c:pt idx="321">
                  <c:v>45332</c:v>
                </c:pt>
                <c:pt idx="322">
                  <c:v>45333</c:v>
                </c:pt>
                <c:pt idx="323">
                  <c:v>45334</c:v>
                </c:pt>
                <c:pt idx="324">
                  <c:v>45335</c:v>
                </c:pt>
                <c:pt idx="325">
                  <c:v>45336</c:v>
                </c:pt>
                <c:pt idx="326">
                  <c:v>45337</c:v>
                </c:pt>
                <c:pt idx="327">
                  <c:v>45338</c:v>
                </c:pt>
                <c:pt idx="328">
                  <c:v>45339</c:v>
                </c:pt>
                <c:pt idx="329">
                  <c:v>45340</c:v>
                </c:pt>
                <c:pt idx="330">
                  <c:v>45341</c:v>
                </c:pt>
                <c:pt idx="331">
                  <c:v>45342</c:v>
                </c:pt>
                <c:pt idx="332">
                  <c:v>45343</c:v>
                </c:pt>
                <c:pt idx="333">
                  <c:v>45344</c:v>
                </c:pt>
                <c:pt idx="334">
                  <c:v>45345</c:v>
                </c:pt>
                <c:pt idx="335">
                  <c:v>45346</c:v>
                </c:pt>
                <c:pt idx="336">
                  <c:v>45347</c:v>
                </c:pt>
                <c:pt idx="337">
                  <c:v>45348</c:v>
                </c:pt>
                <c:pt idx="338">
                  <c:v>45349</c:v>
                </c:pt>
                <c:pt idx="339">
                  <c:v>45350</c:v>
                </c:pt>
                <c:pt idx="340">
                  <c:v>45351</c:v>
                </c:pt>
                <c:pt idx="341">
                  <c:v>45352</c:v>
                </c:pt>
                <c:pt idx="342">
                  <c:v>45353</c:v>
                </c:pt>
                <c:pt idx="343">
                  <c:v>45354</c:v>
                </c:pt>
                <c:pt idx="344">
                  <c:v>45355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ConceptDemo!$Z$18:$Z$662</c:f>
              <c:numCache>
                <c:formatCode>General</c:formatCode>
                <c:ptCount val="645"/>
                <c:pt idx="0">
                  <c:v>29.700609337252317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0.92083269827999281</c:v>
                </c:pt>
                <c:pt idx="17">
                  <c:v>0.92275940959594394</c:v>
                </c:pt>
                <c:pt idx="18">
                  <c:v>0.97381080139017762</c:v>
                </c:pt>
                <c:pt idx="19">
                  <c:v>0.9556134313641742</c:v>
                </c:pt>
                <c:pt idx="20">
                  <c:v>1.0517632240549037</c:v>
                </c:pt>
                <c:pt idx="21">
                  <c:v>1.0362027357579748</c:v>
                </c:pt>
                <c:pt idx="22">
                  <c:v>1.0729261634361738</c:v>
                </c:pt>
                <c:pt idx="23">
                  <c:v>1.0269870165961468</c:v>
                </c:pt>
                <c:pt idx="24">
                  <c:v>1.0526585058683864</c:v>
                </c:pt>
                <c:pt idx="25">
                  <c:v>1.1038710162297889</c:v>
                </c:pt>
                <c:pt idx="26">
                  <c:v>1.0373689792471836</c:v>
                </c:pt>
                <c:pt idx="27">
                  <c:v>1.0346569950467774</c:v>
                </c:pt>
                <c:pt idx="28">
                  <c:v>1.1063696118966195</c:v>
                </c:pt>
                <c:pt idx="29">
                  <c:v>1.0656636862473921</c:v>
                </c:pt>
                <c:pt idx="30">
                  <c:v>1.135554426448552</c:v>
                </c:pt>
                <c:pt idx="31">
                  <c:v>1.1679034480221731</c:v>
                </c:pt>
                <c:pt idx="32">
                  <c:v>1.1991638769105144</c:v>
                </c:pt>
                <c:pt idx="33">
                  <c:v>1.2489569725304399</c:v>
                </c:pt>
                <c:pt idx="34">
                  <c:v>1.131935220215178</c:v>
                </c:pt>
                <c:pt idx="35">
                  <c:v>1.1181583398033652</c:v>
                </c:pt>
                <c:pt idx="36">
                  <c:v>1.0957934074450701</c:v>
                </c:pt>
                <c:pt idx="37">
                  <c:v>1.1236201518313162</c:v>
                </c:pt>
                <c:pt idx="38">
                  <c:v>1.1332866717200982</c:v>
                </c:pt>
                <c:pt idx="39">
                  <c:v>1.2093779879583817</c:v>
                </c:pt>
                <c:pt idx="40">
                  <c:v>1.2219644200888347</c:v>
                </c:pt>
                <c:pt idx="41">
                  <c:v>1.3331362462768936</c:v>
                </c:pt>
                <c:pt idx="42">
                  <c:v>1.301595908404698</c:v>
                </c:pt>
                <c:pt idx="43">
                  <c:v>1.1941259964711524</c:v>
                </c:pt>
                <c:pt idx="44">
                  <c:v>1.2280208569963253</c:v>
                </c:pt>
                <c:pt idx="45">
                  <c:v>1.2285584526717841</c:v>
                </c:pt>
                <c:pt idx="46">
                  <c:v>1.2869961228366815</c:v>
                </c:pt>
                <c:pt idx="47">
                  <c:v>1.3498911214808054</c:v>
                </c:pt>
                <c:pt idx="48">
                  <c:v>1.2860413387759255</c:v>
                </c:pt>
                <c:pt idx="49">
                  <c:v>1.2876118149355467</c:v>
                </c:pt>
                <c:pt idx="50">
                  <c:v>1.2508430806500765</c:v>
                </c:pt>
                <c:pt idx="51">
                  <c:v>1.3407891837822845</c:v>
                </c:pt>
                <c:pt idx="52">
                  <c:v>1.2377908122655654</c:v>
                </c:pt>
                <c:pt idx="53">
                  <c:v>1.2215596326347473</c:v>
                </c:pt>
                <c:pt idx="54">
                  <c:v>1.278586466763425</c:v>
                </c:pt>
                <c:pt idx="55">
                  <c:v>1.3053369092095366</c:v>
                </c:pt>
                <c:pt idx="56">
                  <c:v>1.2833970213542365</c:v>
                </c:pt>
                <c:pt idx="57">
                  <c:v>1.1819810702330908</c:v>
                </c:pt>
                <c:pt idx="58">
                  <c:v>1.2898389886297039</c:v>
                </c:pt>
                <c:pt idx="59">
                  <c:v>1.2729406863838921</c:v>
                </c:pt>
                <c:pt idx="60">
                  <c:v>1.2256648234324228</c:v>
                </c:pt>
                <c:pt idx="61">
                  <c:v>1.2673052089338555</c:v>
                </c:pt>
                <c:pt idx="62">
                  <c:v>1.2663762846987581</c:v>
                </c:pt>
                <c:pt idx="63">
                  <c:v>1.2392410068668234</c:v>
                </c:pt>
                <c:pt idx="64">
                  <c:v>1.281656763439873</c:v>
                </c:pt>
                <c:pt idx="65">
                  <c:v>1.2241403546401024</c:v>
                </c:pt>
                <c:pt idx="66">
                  <c:v>1.2445904179638099</c:v>
                </c:pt>
                <c:pt idx="67">
                  <c:v>1.2733406277361112</c:v>
                </c:pt>
                <c:pt idx="68">
                  <c:v>1.2354137517677231</c:v>
                </c:pt>
                <c:pt idx="69">
                  <c:v>1.1993099839543824</c:v>
                </c:pt>
                <c:pt idx="70">
                  <c:v>1.1815123224823019</c:v>
                </c:pt>
                <c:pt idx="71">
                  <c:v>1.181119414863975</c:v>
                </c:pt>
                <c:pt idx="72">
                  <c:v>1.1356035381019751</c:v>
                </c:pt>
                <c:pt idx="73">
                  <c:v>1.1826131852014043</c:v>
                </c:pt>
                <c:pt idx="74">
                  <c:v>1.2849411818375671</c:v>
                </c:pt>
                <c:pt idx="75">
                  <c:v>1.3335753552513196</c:v>
                </c:pt>
                <c:pt idx="76">
                  <c:v>1.3471080912466462</c:v>
                </c:pt>
                <c:pt idx="77">
                  <c:v>1.3223522727486525</c:v>
                </c:pt>
                <c:pt idx="78">
                  <c:v>1.3512554761408211</c:v>
                </c:pt>
                <c:pt idx="79">
                  <c:v>1.2169675309993195</c:v>
                </c:pt>
                <c:pt idx="80">
                  <c:v>1.2924207060220603</c:v>
                </c:pt>
                <c:pt idx="81">
                  <c:v>1.3244486903155952</c:v>
                </c:pt>
                <c:pt idx="82">
                  <c:v>1.2126233027095843</c:v>
                </c:pt>
                <c:pt idx="83">
                  <c:v>1.1050727636764499</c:v>
                </c:pt>
                <c:pt idx="84">
                  <c:v>1.19911614773266</c:v>
                </c:pt>
                <c:pt idx="85">
                  <c:v>1.1904143449639975</c:v>
                </c:pt>
                <c:pt idx="86">
                  <c:v>1.2115530848608316</c:v>
                </c:pt>
                <c:pt idx="87">
                  <c:v>1.2444824171736109</c:v>
                </c:pt>
                <c:pt idx="88">
                  <c:v>1.1743476855306909</c:v>
                </c:pt>
                <c:pt idx="89">
                  <c:v>1.1971949453156121</c:v>
                </c:pt>
                <c:pt idx="90">
                  <c:v>1.2653232711465598</c:v>
                </c:pt>
                <c:pt idx="91">
                  <c:v>1.2621662049766158</c:v>
                </c:pt>
                <c:pt idx="92">
                  <c:v>1.3222578974144561</c:v>
                </c:pt>
                <c:pt idx="93">
                  <c:v>1.2315840862648848</c:v>
                </c:pt>
                <c:pt idx="94">
                  <c:v>1.1889604831422531</c:v>
                </c:pt>
                <c:pt idx="95">
                  <c:v>1.2447490432251378</c:v>
                </c:pt>
                <c:pt idx="96">
                  <c:v>1.3242502852312086</c:v>
                </c:pt>
                <c:pt idx="97">
                  <c:v>1.1928154173414853</c:v>
                </c:pt>
                <c:pt idx="98">
                  <c:v>1.1330989524904567</c:v>
                </c:pt>
                <c:pt idx="99">
                  <c:v>1.2541458998952777</c:v>
                </c:pt>
                <c:pt idx="100">
                  <c:v>1.3187292100394714</c:v>
                </c:pt>
                <c:pt idx="101">
                  <c:v>1.3868407337927167</c:v>
                </c:pt>
                <c:pt idx="102">
                  <c:v>1.3534077443596289</c:v>
                </c:pt>
                <c:pt idx="103">
                  <c:v>1.2000117543263613</c:v>
                </c:pt>
                <c:pt idx="104">
                  <c:v>1.1323928290643579</c:v>
                </c:pt>
                <c:pt idx="105">
                  <c:v>1.1925713411671772</c:v>
                </c:pt>
                <c:pt idx="106">
                  <c:v>1.2472799961995484</c:v>
                </c:pt>
                <c:pt idx="107">
                  <c:v>1.2363361574313316</c:v>
                </c:pt>
                <c:pt idx="108">
                  <c:v>1.2989355892385817</c:v>
                </c:pt>
                <c:pt idx="109">
                  <c:v>1.3266813419059709</c:v>
                </c:pt>
                <c:pt idx="110">
                  <c:v>1.3958494658398664</c:v>
                </c:pt>
                <c:pt idx="111">
                  <c:v>1.3380932969639829</c:v>
                </c:pt>
                <c:pt idx="112">
                  <c:v>1.4566984657529289</c:v>
                </c:pt>
                <c:pt idx="113">
                  <c:v>1.4941298589630918</c:v>
                </c:pt>
                <c:pt idx="114">
                  <c:v>1.4782639531814503</c:v>
                </c:pt>
                <c:pt idx="115">
                  <c:v>1.5399417416960191</c:v>
                </c:pt>
                <c:pt idx="116">
                  <c:v>1.5957924758517414</c:v>
                </c:pt>
                <c:pt idx="117">
                  <c:v>1.5083404404962906</c:v>
                </c:pt>
                <c:pt idx="118">
                  <c:v>1.590861810522874</c:v>
                </c:pt>
                <c:pt idx="119">
                  <c:v>1.6679043026681768</c:v>
                </c:pt>
                <c:pt idx="120">
                  <c:v>1.6528363008918632</c:v>
                </c:pt>
                <c:pt idx="121">
                  <c:v>1.6894429683462171</c:v>
                </c:pt>
                <c:pt idx="122">
                  <c:v>1.6915641280702935</c:v>
                </c:pt>
                <c:pt idx="123">
                  <c:v>1.7923552606618607</c:v>
                </c:pt>
                <c:pt idx="124">
                  <c:v>1.7906789900147615</c:v>
                </c:pt>
                <c:pt idx="125">
                  <c:v>1.9151832575779331</c:v>
                </c:pt>
                <c:pt idx="126">
                  <c:v>1.7743827032671433</c:v>
                </c:pt>
                <c:pt idx="127">
                  <c:v>1.8818467777580672</c:v>
                </c:pt>
                <c:pt idx="128">
                  <c:v>1.9574599888633735</c:v>
                </c:pt>
                <c:pt idx="129">
                  <c:v>1.9036031365636674</c:v>
                </c:pt>
                <c:pt idx="130">
                  <c:v>1.8209269001930046</c:v>
                </c:pt>
                <c:pt idx="131">
                  <c:v>1.953786350249576</c:v>
                </c:pt>
                <c:pt idx="132">
                  <c:v>2.0184397587765091</c:v>
                </c:pt>
                <c:pt idx="133">
                  <c:v>2.0623402281786696</c:v>
                </c:pt>
                <c:pt idx="134">
                  <c:v>2.1183359761440208</c:v>
                </c:pt>
                <c:pt idx="135">
                  <c:v>2.0651458256370923</c:v>
                </c:pt>
                <c:pt idx="136">
                  <c:v>1.8844669593226584</c:v>
                </c:pt>
                <c:pt idx="137">
                  <c:v>2.0269825964085051</c:v>
                </c:pt>
                <c:pt idx="138">
                  <c:v>2.1730286066930979</c:v>
                </c:pt>
                <c:pt idx="139">
                  <c:v>2.2612193686817221</c:v>
                </c:pt>
                <c:pt idx="140">
                  <c:v>2.1944682225620937</c:v>
                </c:pt>
                <c:pt idx="141">
                  <c:v>2.1792399299338072</c:v>
                </c:pt>
                <c:pt idx="142">
                  <c:v>2.0907754301555599</c:v>
                </c:pt>
                <c:pt idx="143">
                  <c:v>2.1791840847776172</c:v>
                </c:pt>
                <c:pt idx="144">
                  <c:v>2.3680125063378625</c:v>
                </c:pt>
                <c:pt idx="145">
                  <c:v>2.4097926059665156</c:v>
                </c:pt>
                <c:pt idx="146">
                  <c:v>2.3457533515518634</c:v>
                </c:pt>
                <c:pt idx="147">
                  <c:v>2.3838276944225427</c:v>
                </c:pt>
                <c:pt idx="148">
                  <c:v>2.3075799055244133</c:v>
                </c:pt>
                <c:pt idx="149">
                  <c:v>2.409255170976266</c:v>
                </c:pt>
                <c:pt idx="150">
                  <c:v>2.4743436401519148</c:v>
                </c:pt>
                <c:pt idx="151">
                  <c:v>2.6493151086938269</c:v>
                </c:pt>
                <c:pt idx="152">
                  <c:v>2.742743737743929</c:v>
                </c:pt>
                <c:pt idx="153">
                  <c:v>2.7512362359845852</c:v>
                </c:pt>
                <c:pt idx="154">
                  <c:v>2.7831179387721789</c:v>
                </c:pt>
                <c:pt idx="155">
                  <c:v>2.9181816854567089</c:v>
                </c:pt>
                <c:pt idx="156">
                  <c:v>2.828318554243026</c:v>
                </c:pt>
                <c:pt idx="157">
                  <c:v>3.0639147435515497</c:v>
                </c:pt>
                <c:pt idx="158">
                  <c:v>2.7793424976941026</c:v>
                </c:pt>
                <c:pt idx="159">
                  <c:v>3.0497286626232523</c:v>
                </c:pt>
                <c:pt idx="160">
                  <c:v>3.2450599756593235</c:v>
                </c:pt>
                <c:pt idx="161">
                  <c:v>3.1794060988852024</c:v>
                </c:pt>
                <c:pt idx="162">
                  <c:v>3.2030971004866231</c:v>
                </c:pt>
                <c:pt idx="163">
                  <c:v>3.1483903218349027</c:v>
                </c:pt>
                <c:pt idx="164">
                  <c:v>3.3439316804523784</c:v>
                </c:pt>
                <c:pt idx="165">
                  <c:v>3.4039809126191045</c:v>
                </c:pt>
                <c:pt idx="166">
                  <c:v>3.2992904353286789</c:v>
                </c:pt>
                <c:pt idx="167">
                  <c:v>3.108598340037247</c:v>
                </c:pt>
                <c:pt idx="168">
                  <c:v>3.5293151388250692</c:v>
                </c:pt>
                <c:pt idx="169">
                  <c:v>3.8477768980849731</c:v>
                </c:pt>
                <c:pt idx="170">
                  <c:v>3.8578851464201449</c:v>
                </c:pt>
                <c:pt idx="171">
                  <c:v>3.8059867064262534</c:v>
                </c:pt>
                <c:pt idx="172">
                  <c:v>4.0484734316987598</c:v>
                </c:pt>
                <c:pt idx="173">
                  <c:v>4.4284172492943483</c:v>
                </c:pt>
                <c:pt idx="174">
                  <c:v>4.414728779363891</c:v>
                </c:pt>
                <c:pt idx="175">
                  <c:v>4.2014872534050909</c:v>
                </c:pt>
                <c:pt idx="176">
                  <c:v>4.1440225299273266</c:v>
                </c:pt>
                <c:pt idx="177">
                  <c:v>4.3161323127633011</c:v>
                </c:pt>
                <c:pt idx="178">
                  <c:v>4.1996779933891517</c:v>
                </c:pt>
                <c:pt idx="179">
                  <c:v>4.46026827172075</c:v>
                </c:pt>
                <c:pt idx="180">
                  <c:v>4.3600760987991265</c:v>
                </c:pt>
                <c:pt idx="181">
                  <c:v>4.3194922762772237</c:v>
                </c:pt>
                <c:pt idx="182">
                  <c:v>4.5978788783617048</c:v>
                </c:pt>
                <c:pt idx="183">
                  <c:v>4.4273023226892931</c:v>
                </c:pt>
                <c:pt idx="184">
                  <c:v>4.8603530077982953</c:v>
                </c:pt>
                <c:pt idx="185">
                  <c:v>5.0227887453407192</c:v>
                </c:pt>
                <c:pt idx="186">
                  <c:v>4.9644601984425307</c:v>
                </c:pt>
                <c:pt idx="187">
                  <c:v>4.9617837593950185</c:v>
                </c:pt>
                <c:pt idx="188">
                  <c:v>5.615226858892413</c:v>
                </c:pt>
                <c:pt idx="189">
                  <c:v>5.7125135640381473</c:v>
                </c:pt>
                <c:pt idx="190">
                  <c:v>5.9458785582266884</c:v>
                </c:pt>
                <c:pt idx="191">
                  <c:v>5.642052778369063</c:v>
                </c:pt>
                <c:pt idx="192">
                  <c:v>5.5730850662543787</c:v>
                </c:pt>
                <c:pt idx="193">
                  <c:v>5.6014793503625029</c:v>
                </c:pt>
                <c:pt idx="194">
                  <c:v>5.9879674963099205</c:v>
                </c:pt>
                <c:pt idx="195">
                  <c:v>6.1121395718698039</c:v>
                </c:pt>
                <c:pt idx="196">
                  <c:v>5.7921986297411578</c:v>
                </c:pt>
                <c:pt idx="197">
                  <c:v>5.6897196139366386</c:v>
                </c:pt>
                <c:pt idx="198">
                  <c:v>5.7188903646678</c:v>
                </c:pt>
                <c:pt idx="199">
                  <c:v>6.1873928292333602</c:v>
                </c:pt>
                <c:pt idx="200">
                  <c:v>7.0068563983164438</c:v>
                </c:pt>
                <c:pt idx="201">
                  <c:v>6.7738597939753049</c:v>
                </c:pt>
                <c:pt idx="202">
                  <c:v>6.6491407118992072</c:v>
                </c:pt>
                <c:pt idx="203">
                  <c:v>6.5719273093396851</c:v>
                </c:pt>
                <c:pt idx="204">
                  <c:v>7.003327517898839</c:v>
                </c:pt>
                <c:pt idx="205">
                  <c:v>7.5942532755956336</c:v>
                </c:pt>
                <c:pt idx="206">
                  <c:v>7.3150709183301785</c:v>
                </c:pt>
                <c:pt idx="207">
                  <c:v>7.3957406083345774</c:v>
                </c:pt>
                <c:pt idx="208">
                  <c:v>7.5357051590820987</c:v>
                </c:pt>
                <c:pt idx="209">
                  <c:v>8.3557175041108422</c:v>
                </c:pt>
                <c:pt idx="210">
                  <c:v>7.7592630310477233</c:v>
                </c:pt>
                <c:pt idx="211">
                  <c:v>7.8171143007113528</c:v>
                </c:pt>
                <c:pt idx="212">
                  <c:v>7.9780127051041205</c:v>
                </c:pt>
                <c:pt idx="213">
                  <c:v>8.2335348899208469</c:v>
                </c:pt>
                <c:pt idx="214">
                  <c:v>9.0940680527495772</c:v>
                </c:pt>
                <c:pt idx="215">
                  <c:v>8.8836145465892145</c:v>
                </c:pt>
                <c:pt idx="216">
                  <c:v>9.4730793769027457</c:v>
                </c:pt>
                <c:pt idx="217">
                  <c:v>9.7573902527115308</c:v>
                </c:pt>
                <c:pt idx="218">
                  <c:v>9.6495216090794713</c:v>
                </c:pt>
                <c:pt idx="219">
                  <c:v>9.7390194599769444</c:v>
                </c:pt>
                <c:pt idx="220">
                  <c:v>10.380242929281252</c:v>
                </c:pt>
                <c:pt idx="221">
                  <c:v>10.003083573076438</c:v>
                </c:pt>
                <c:pt idx="222">
                  <c:v>10.309267585210918</c:v>
                </c:pt>
                <c:pt idx="223">
                  <c:v>10.510414572397849</c:v>
                </c:pt>
                <c:pt idx="224">
                  <c:v>10.517500687121085</c:v>
                </c:pt>
                <c:pt idx="225">
                  <c:v>10.235472381010766</c:v>
                </c:pt>
                <c:pt idx="226">
                  <c:v>10.615539225986225</c:v>
                </c:pt>
                <c:pt idx="227">
                  <c:v>10.723290088550826</c:v>
                </c:pt>
                <c:pt idx="228">
                  <c:v>11.110172314066403</c:v>
                </c:pt>
                <c:pt idx="229">
                  <c:v>12.607792871791332</c:v>
                </c:pt>
                <c:pt idx="230">
                  <c:v>12.206278132771658</c:v>
                </c:pt>
                <c:pt idx="231">
                  <c:v>12.06297108043141</c:v>
                </c:pt>
                <c:pt idx="232">
                  <c:v>11.425529490992901</c:v>
                </c:pt>
                <c:pt idx="233">
                  <c:v>12.127168479420988</c:v>
                </c:pt>
                <c:pt idx="234">
                  <c:v>12.710807641148136</c:v>
                </c:pt>
                <c:pt idx="235">
                  <c:v>13.227336789260804</c:v>
                </c:pt>
                <c:pt idx="236">
                  <c:v>12.562661788847947</c:v>
                </c:pt>
                <c:pt idx="237">
                  <c:v>12.211921078174072</c:v>
                </c:pt>
                <c:pt idx="238">
                  <c:v>12.174315457860956</c:v>
                </c:pt>
                <c:pt idx="239">
                  <c:v>13.243672290641797</c:v>
                </c:pt>
                <c:pt idx="240">
                  <c:v>13.33687435657842</c:v>
                </c:pt>
                <c:pt idx="241">
                  <c:v>12.797974083273147</c:v>
                </c:pt>
                <c:pt idx="242">
                  <c:v>14.39233155157045</c:v>
                </c:pt>
                <c:pt idx="243">
                  <c:v>14.914704471421786</c:v>
                </c:pt>
                <c:pt idx="244">
                  <c:v>15.496962598031672</c:v>
                </c:pt>
                <c:pt idx="245">
                  <c:v>15.407310428370664</c:v>
                </c:pt>
                <c:pt idx="246">
                  <c:v>15.272023348873262</c:v>
                </c:pt>
                <c:pt idx="247">
                  <c:v>15.249522095157204</c:v>
                </c:pt>
                <c:pt idx="248">
                  <c:v>15.12619599541901</c:v>
                </c:pt>
                <c:pt idx="249">
                  <c:v>15.814756693751292</c:v>
                </c:pt>
                <c:pt idx="250">
                  <c:v>17.218069376957857</c:v>
                </c:pt>
                <c:pt idx="251">
                  <c:v>17.802745722745613</c:v>
                </c:pt>
                <c:pt idx="252">
                  <c:v>18.860452505388082</c:v>
                </c:pt>
                <c:pt idx="253">
                  <c:v>18.618886005141093</c:v>
                </c:pt>
                <c:pt idx="254">
                  <c:v>18.774657161545633</c:v>
                </c:pt>
                <c:pt idx="255">
                  <c:v>18.283380754194695</c:v>
                </c:pt>
                <c:pt idx="256">
                  <c:v>19.237375655051267</c:v>
                </c:pt>
                <c:pt idx="257">
                  <c:v>19.587523311080957</c:v>
                </c:pt>
                <c:pt idx="258">
                  <c:v>18.988037224133137</c:v>
                </c:pt>
                <c:pt idx="259">
                  <c:v>20.194429443317375</c:v>
                </c:pt>
                <c:pt idx="260">
                  <c:v>21.914882565607371</c:v>
                </c:pt>
                <c:pt idx="261">
                  <c:v>23.22498306983772</c:v>
                </c:pt>
                <c:pt idx="262">
                  <c:v>22.153438080247156</c:v>
                </c:pt>
                <c:pt idx="263">
                  <c:v>21.426237955980696</c:v>
                </c:pt>
                <c:pt idx="264">
                  <c:v>23.361262980284096</c:v>
                </c:pt>
                <c:pt idx="265">
                  <c:v>23.056880838011466</c:v>
                </c:pt>
                <c:pt idx="266">
                  <c:v>22.923253843060508</c:v>
                </c:pt>
                <c:pt idx="267">
                  <c:v>23.631694116103063</c:v>
                </c:pt>
                <c:pt idx="268">
                  <c:v>24.000353069893521</c:v>
                </c:pt>
                <c:pt idx="269">
                  <c:v>23.819719017554519</c:v>
                </c:pt>
                <c:pt idx="270">
                  <c:v>23.82767534713966</c:v>
                </c:pt>
                <c:pt idx="271">
                  <c:v>24.684118621232301</c:v>
                </c:pt>
                <c:pt idx="272">
                  <c:v>24.659653539424738</c:v>
                </c:pt>
                <c:pt idx="273">
                  <c:v>26.071971790800347</c:v>
                </c:pt>
                <c:pt idx="274">
                  <c:v>26.5163388233224</c:v>
                </c:pt>
                <c:pt idx="275">
                  <c:v>25.74997558334951</c:v>
                </c:pt>
                <c:pt idx="276">
                  <c:v>29.139496754431747</c:v>
                </c:pt>
                <c:pt idx="277">
                  <c:v>29.981798091375737</c:v>
                </c:pt>
                <c:pt idx="278">
                  <c:v>28.021404686006491</c:v>
                </c:pt>
                <c:pt idx="279">
                  <c:v>29.367345943078476</c:v>
                </c:pt>
                <c:pt idx="280">
                  <c:v>28.828206681042019</c:v>
                </c:pt>
                <c:pt idx="281">
                  <c:v>29.850350079477579</c:v>
                </c:pt>
                <c:pt idx="282">
                  <c:v>32.084144968134325</c:v>
                </c:pt>
                <c:pt idx="283">
                  <c:v>31.85536016517969</c:v>
                </c:pt>
                <c:pt idx="284">
                  <c:v>30.267852450688508</c:v>
                </c:pt>
                <c:pt idx="285">
                  <c:v>31.186480723131922</c:v>
                </c:pt>
                <c:pt idx="286">
                  <c:v>31.867939619395258</c:v>
                </c:pt>
                <c:pt idx="287">
                  <c:v>34.66475813992821</c:v>
                </c:pt>
                <c:pt idx="288">
                  <c:v>34.506860162866758</c:v>
                </c:pt>
                <c:pt idx="289">
                  <c:v>33.11279157833485</c:v>
                </c:pt>
                <c:pt idx="290">
                  <c:v>32.838024179305137</c:v>
                </c:pt>
                <c:pt idx="291">
                  <c:v>33.969016662272111</c:v>
                </c:pt>
                <c:pt idx="292">
                  <c:v>35.2311476206865</c:v>
                </c:pt>
                <c:pt idx="293">
                  <c:v>36.005543078645587</c:v>
                </c:pt>
                <c:pt idx="294">
                  <c:v>36.442519502802782</c:v>
                </c:pt>
                <c:pt idx="295">
                  <c:v>37.956782993542447</c:v>
                </c:pt>
                <c:pt idx="296">
                  <c:v>37.257449480558137</c:v>
                </c:pt>
                <c:pt idx="297">
                  <c:v>37.418175964352258</c:v>
                </c:pt>
                <c:pt idx="298">
                  <c:v>39.137333779807477</c:v>
                </c:pt>
                <c:pt idx="299">
                  <c:v>38.987622945647388</c:v>
                </c:pt>
                <c:pt idx="300">
                  <c:v>36.819703286570018</c:v>
                </c:pt>
                <c:pt idx="301">
                  <c:v>40.784529276529497</c:v>
                </c:pt>
                <c:pt idx="302">
                  <c:v>43.031440914140774</c:v>
                </c:pt>
                <c:pt idx="303">
                  <c:v>40.924144616544027</c:v>
                </c:pt>
                <c:pt idx="304">
                  <c:v>40.500738142358045</c:v>
                </c:pt>
                <c:pt idx="305">
                  <c:v>40.512784284129623</c:v>
                </c:pt>
                <c:pt idx="306">
                  <c:v>40.239367844385356</c:v>
                </c:pt>
                <c:pt idx="307">
                  <c:v>40.341179305102287</c:v>
                </c:pt>
                <c:pt idx="308">
                  <c:v>42.458126539209729</c:v>
                </c:pt>
                <c:pt idx="309">
                  <c:v>43.933331941620679</c:v>
                </c:pt>
                <c:pt idx="310">
                  <c:v>45.659481126930189</c:v>
                </c:pt>
                <c:pt idx="311">
                  <c:v>46.359728376041517</c:v>
                </c:pt>
                <c:pt idx="312">
                  <c:v>45.273033622402806</c:v>
                </c:pt>
                <c:pt idx="313">
                  <c:v>42.943680452380534</c:v>
                </c:pt>
                <c:pt idx="314">
                  <c:v>42.754032518423855</c:v>
                </c:pt>
                <c:pt idx="315">
                  <c:v>47.227303890853307</c:v>
                </c:pt>
                <c:pt idx="316">
                  <c:v>42.6725314877296</c:v>
                </c:pt>
                <c:pt idx="317">
                  <c:v>44.176107611080567</c:v>
                </c:pt>
                <c:pt idx="318">
                  <c:v>44.42809894928854</c:v>
                </c:pt>
                <c:pt idx="319">
                  <c:v>45.593582099197704</c:v>
                </c:pt>
                <c:pt idx="320">
                  <c:v>46.138838103809462</c:v>
                </c:pt>
                <c:pt idx="321">
                  <c:v>46.158228313937343</c:v>
                </c:pt>
                <c:pt idx="322">
                  <c:v>48.122760798038598</c:v>
                </c:pt>
                <c:pt idx="323">
                  <c:v>49.744330085278193</c:v>
                </c:pt>
                <c:pt idx="324">
                  <c:v>45.604659779796634</c:v>
                </c:pt>
                <c:pt idx="325">
                  <c:v>44.388198977333673</c:v>
                </c:pt>
                <c:pt idx="326">
                  <c:v>43.397388846400077</c:v>
                </c:pt>
                <c:pt idx="327">
                  <c:v>45.177722585656511</c:v>
                </c:pt>
                <c:pt idx="328">
                  <c:v>48.526385910213207</c:v>
                </c:pt>
                <c:pt idx="329">
                  <c:v>49.882027038693309</c:v>
                </c:pt>
                <c:pt idx="330">
                  <c:v>48.412535925869634</c:v>
                </c:pt>
                <c:pt idx="331">
                  <c:v>47.630166947105863</c:v>
                </c:pt>
                <c:pt idx="332">
                  <c:v>47.890419048810941</c:v>
                </c:pt>
                <c:pt idx="333">
                  <c:v>47.132671671609046</c:v>
                </c:pt>
                <c:pt idx="334">
                  <c:v>46.386025731395193</c:v>
                </c:pt>
                <c:pt idx="335">
                  <c:v>48.486622693335903</c:v>
                </c:pt>
                <c:pt idx="336">
                  <c:v>46.878784933434872</c:v>
                </c:pt>
                <c:pt idx="337">
                  <c:v>46.963324457581621</c:v>
                </c:pt>
                <c:pt idx="338">
                  <c:v>47.095341624083176</c:v>
                </c:pt>
                <c:pt idx="339">
                  <c:v>46.780192865096978</c:v>
                </c:pt>
                <c:pt idx="340">
                  <c:v>47.356368678329432</c:v>
                </c:pt>
                <c:pt idx="341">
                  <c:v>46.552574067139972</c:v>
                </c:pt>
                <c:pt idx="342">
                  <c:v>44.39433896937544</c:v>
                </c:pt>
                <c:pt idx="343">
                  <c:v>42.632233467717128</c:v>
                </c:pt>
                <c:pt idx="344">
                  <c:v>46.026630579612288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03-4901-8D4F-141310547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4122207547977645"/>
          <c:h val="0.538078460950334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ConceptDemo!$AE$18:$AE$395</c:f>
              <c:numCache>
                <c:formatCode>m/d/yyyy</c:formatCode>
                <c:ptCount val="378"/>
                <c:pt idx="0">
                  <c:v>45356</c:v>
                </c:pt>
                <c:pt idx="1">
                  <c:v>45357</c:v>
                </c:pt>
                <c:pt idx="2">
                  <c:v>45358</c:v>
                </c:pt>
                <c:pt idx="3">
                  <c:v>45359</c:v>
                </c:pt>
                <c:pt idx="4">
                  <c:v>45360</c:v>
                </c:pt>
                <c:pt idx="5">
                  <c:v>45361</c:v>
                </c:pt>
                <c:pt idx="6">
                  <c:v>45362</c:v>
                </c:pt>
                <c:pt idx="7">
                  <c:v>45363</c:v>
                </c:pt>
                <c:pt idx="8">
                  <c:v>45364</c:v>
                </c:pt>
                <c:pt idx="9">
                  <c:v>45365</c:v>
                </c:pt>
                <c:pt idx="10">
                  <c:v>45366</c:v>
                </c:pt>
                <c:pt idx="11">
                  <c:v>45367</c:v>
                </c:pt>
                <c:pt idx="12">
                  <c:v>45368</c:v>
                </c:pt>
                <c:pt idx="13">
                  <c:v>45369</c:v>
                </c:pt>
                <c:pt idx="14">
                  <c:v>45370</c:v>
                </c:pt>
                <c:pt idx="15">
                  <c:v>45371</c:v>
                </c:pt>
                <c:pt idx="16">
                  <c:v>45372</c:v>
                </c:pt>
                <c:pt idx="17">
                  <c:v>45373</c:v>
                </c:pt>
                <c:pt idx="18">
                  <c:v>45374</c:v>
                </c:pt>
                <c:pt idx="19">
                  <c:v>45375</c:v>
                </c:pt>
                <c:pt idx="20">
                  <c:v>45376</c:v>
                </c:pt>
                <c:pt idx="21">
                  <c:v>45377</c:v>
                </c:pt>
                <c:pt idx="22">
                  <c:v>45378</c:v>
                </c:pt>
                <c:pt idx="23">
                  <c:v>45379</c:v>
                </c:pt>
                <c:pt idx="24">
                  <c:v>45380</c:v>
                </c:pt>
                <c:pt idx="25">
                  <c:v>45381</c:v>
                </c:pt>
                <c:pt idx="26">
                  <c:v>45382</c:v>
                </c:pt>
                <c:pt idx="27">
                  <c:v>45383</c:v>
                </c:pt>
                <c:pt idx="28">
                  <c:v>45384</c:v>
                </c:pt>
                <c:pt idx="29">
                  <c:v>45385</c:v>
                </c:pt>
                <c:pt idx="30">
                  <c:v>45386</c:v>
                </c:pt>
                <c:pt idx="31">
                  <c:v>45387</c:v>
                </c:pt>
                <c:pt idx="32">
                  <c:v>45388</c:v>
                </c:pt>
                <c:pt idx="33">
                  <c:v>45389</c:v>
                </c:pt>
                <c:pt idx="34">
                  <c:v>45390</c:v>
                </c:pt>
                <c:pt idx="35">
                  <c:v>45391</c:v>
                </c:pt>
                <c:pt idx="36">
                  <c:v>45392</c:v>
                </c:pt>
                <c:pt idx="37">
                  <c:v>45393</c:v>
                </c:pt>
                <c:pt idx="38">
                  <c:v>45394</c:v>
                </c:pt>
                <c:pt idx="39">
                  <c:v>45395</c:v>
                </c:pt>
                <c:pt idx="40">
                  <c:v>45396</c:v>
                </c:pt>
                <c:pt idx="41">
                  <c:v>45397</c:v>
                </c:pt>
                <c:pt idx="42">
                  <c:v>45398</c:v>
                </c:pt>
                <c:pt idx="43">
                  <c:v>45399</c:v>
                </c:pt>
                <c:pt idx="44">
                  <c:v>45400</c:v>
                </c:pt>
                <c:pt idx="45">
                  <c:v>45401</c:v>
                </c:pt>
                <c:pt idx="46">
                  <c:v>45402</c:v>
                </c:pt>
                <c:pt idx="47">
                  <c:v>45403</c:v>
                </c:pt>
                <c:pt idx="48">
                  <c:v>45404</c:v>
                </c:pt>
                <c:pt idx="49">
                  <c:v>45405</c:v>
                </c:pt>
                <c:pt idx="50">
                  <c:v>45406</c:v>
                </c:pt>
                <c:pt idx="51">
                  <c:v>45407</c:v>
                </c:pt>
                <c:pt idx="52">
                  <c:v>45408</c:v>
                </c:pt>
                <c:pt idx="53">
                  <c:v>45409</c:v>
                </c:pt>
                <c:pt idx="54">
                  <c:v>45410</c:v>
                </c:pt>
                <c:pt idx="55">
                  <c:v>45411</c:v>
                </c:pt>
                <c:pt idx="56">
                  <c:v>45412</c:v>
                </c:pt>
                <c:pt idx="57">
                  <c:v>45413</c:v>
                </c:pt>
                <c:pt idx="58">
                  <c:v>45414</c:v>
                </c:pt>
                <c:pt idx="59">
                  <c:v>45415</c:v>
                </c:pt>
                <c:pt idx="60">
                  <c:v>45416</c:v>
                </c:pt>
                <c:pt idx="61">
                  <c:v>45417</c:v>
                </c:pt>
                <c:pt idx="62">
                  <c:v>45418</c:v>
                </c:pt>
                <c:pt idx="63">
                  <c:v>45419</c:v>
                </c:pt>
                <c:pt idx="64">
                  <c:v>45420</c:v>
                </c:pt>
                <c:pt idx="65">
                  <c:v>45421</c:v>
                </c:pt>
                <c:pt idx="66">
                  <c:v>45422</c:v>
                </c:pt>
                <c:pt idx="67">
                  <c:v>45423</c:v>
                </c:pt>
                <c:pt idx="68">
                  <c:v>45424</c:v>
                </c:pt>
                <c:pt idx="69">
                  <c:v>45425</c:v>
                </c:pt>
                <c:pt idx="70">
                  <c:v>45426</c:v>
                </c:pt>
                <c:pt idx="71">
                  <c:v>45427</c:v>
                </c:pt>
                <c:pt idx="72">
                  <c:v>45428</c:v>
                </c:pt>
                <c:pt idx="73">
                  <c:v>45429</c:v>
                </c:pt>
                <c:pt idx="74">
                  <c:v>45430</c:v>
                </c:pt>
                <c:pt idx="75">
                  <c:v>45431</c:v>
                </c:pt>
                <c:pt idx="76">
                  <c:v>45432</c:v>
                </c:pt>
                <c:pt idx="77">
                  <c:v>45433</c:v>
                </c:pt>
                <c:pt idx="78">
                  <c:v>45434</c:v>
                </c:pt>
                <c:pt idx="79">
                  <c:v>45435</c:v>
                </c:pt>
                <c:pt idx="80">
                  <c:v>45436</c:v>
                </c:pt>
                <c:pt idx="81">
                  <c:v>45437</c:v>
                </c:pt>
                <c:pt idx="82">
                  <c:v>45438</c:v>
                </c:pt>
                <c:pt idx="83">
                  <c:v>45439</c:v>
                </c:pt>
                <c:pt idx="84">
                  <c:v>45440</c:v>
                </c:pt>
                <c:pt idx="85">
                  <c:v>45441</c:v>
                </c:pt>
                <c:pt idx="86">
                  <c:v>45442</c:v>
                </c:pt>
                <c:pt idx="87">
                  <c:v>45443</c:v>
                </c:pt>
                <c:pt idx="88">
                  <c:v>45444</c:v>
                </c:pt>
                <c:pt idx="89">
                  <c:v>45445</c:v>
                </c:pt>
                <c:pt idx="90">
                  <c:v>45446</c:v>
                </c:pt>
                <c:pt idx="91">
                  <c:v>45447</c:v>
                </c:pt>
                <c:pt idx="92">
                  <c:v>45448</c:v>
                </c:pt>
                <c:pt idx="93">
                  <c:v>45449</c:v>
                </c:pt>
                <c:pt idx="94">
                  <c:v>45450</c:v>
                </c:pt>
                <c:pt idx="95">
                  <c:v>45451</c:v>
                </c:pt>
                <c:pt idx="96">
                  <c:v>45452</c:v>
                </c:pt>
                <c:pt idx="97">
                  <c:v>45453</c:v>
                </c:pt>
                <c:pt idx="98">
                  <c:v>45454</c:v>
                </c:pt>
                <c:pt idx="99">
                  <c:v>45455</c:v>
                </c:pt>
                <c:pt idx="100">
                  <c:v>45456</c:v>
                </c:pt>
                <c:pt idx="101">
                  <c:v>45457</c:v>
                </c:pt>
                <c:pt idx="102">
                  <c:v>45458</c:v>
                </c:pt>
                <c:pt idx="103">
                  <c:v>45459</c:v>
                </c:pt>
                <c:pt idx="104">
                  <c:v>45460</c:v>
                </c:pt>
                <c:pt idx="105">
                  <c:v>45461</c:v>
                </c:pt>
                <c:pt idx="106">
                  <c:v>45462</c:v>
                </c:pt>
                <c:pt idx="107">
                  <c:v>45463</c:v>
                </c:pt>
                <c:pt idx="108">
                  <c:v>45464</c:v>
                </c:pt>
                <c:pt idx="109">
                  <c:v>45465</c:v>
                </c:pt>
                <c:pt idx="110">
                  <c:v>45466</c:v>
                </c:pt>
                <c:pt idx="111">
                  <c:v>45467</c:v>
                </c:pt>
                <c:pt idx="112">
                  <c:v>45468</c:v>
                </c:pt>
                <c:pt idx="113">
                  <c:v>45469</c:v>
                </c:pt>
                <c:pt idx="114">
                  <c:v>45470</c:v>
                </c:pt>
                <c:pt idx="115">
                  <c:v>45471</c:v>
                </c:pt>
                <c:pt idx="116">
                  <c:v>45472</c:v>
                </c:pt>
                <c:pt idx="117">
                  <c:v>45473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45479</c:v>
                </c:pt>
                <c:pt idx="124">
                  <c:v>45480</c:v>
                </c:pt>
                <c:pt idx="125">
                  <c:v>45481</c:v>
                </c:pt>
                <c:pt idx="126">
                  <c:v>45482</c:v>
                </c:pt>
                <c:pt idx="127">
                  <c:v>45483</c:v>
                </c:pt>
                <c:pt idx="128">
                  <c:v>45484</c:v>
                </c:pt>
                <c:pt idx="129">
                  <c:v>45485</c:v>
                </c:pt>
                <c:pt idx="130">
                  <c:v>45486</c:v>
                </c:pt>
                <c:pt idx="131">
                  <c:v>45487</c:v>
                </c:pt>
                <c:pt idx="132">
                  <c:v>45488</c:v>
                </c:pt>
                <c:pt idx="133">
                  <c:v>45489</c:v>
                </c:pt>
                <c:pt idx="134">
                  <c:v>45490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ConceptDemo!$AH$18:$AH$395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3.1383073592145814</c:v>
                </c:pt>
                <c:pt idx="15">
                  <c:v>3.5533160164828197</c:v>
                </c:pt>
                <c:pt idx="16">
                  <c:v>4.0021647326342071</c:v>
                </c:pt>
                <c:pt idx="17">
                  <c:v>4.4757788299228993</c:v>
                </c:pt>
                <c:pt idx="18">
                  <c:v>5.0122240340404911</c:v>
                </c:pt>
                <c:pt idx="19">
                  <c:v>5.6330164211983451</c:v>
                </c:pt>
                <c:pt idx="20">
                  <c:v>6.2678408771241649</c:v>
                </c:pt>
                <c:pt idx="21">
                  <c:v>7.0475571021150589</c:v>
                </c:pt>
                <c:pt idx="22">
                  <c:v>7.9674797145089782</c:v>
                </c:pt>
                <c:pt idx="23">
                  <c:v>8.9981620424985795</c:v>
                </c:pt>
                <c:pt idx="24">
                  <c:v>10.167553862571809</c:v>
                </c:pt>
                <c:pt idx="25">
                  <c:v>11.357425039766341</c:v>
                </c:pt>
                <c:pt idx="26">
                  <c:v>12.59427462131498</c:v>
                </c:pt>
                <c:pt idx="27">
                  <c:v>14.056491164578459</c:v>
                </c:pt>
                <c:pt idx="28">
                  <c:v>15.604161747520772</c:v>
                </c:pt>
                <c:pt idx="29">
                  <c:v>17.206603454139834</c:v>
                </c:pt>
                <c:pt idx="30">
                  <c:v>18.911162268229365</c:v>
                </c:pt>
                <c:pt idx="31">
                  <c:v>20.81047929992755</c:v>
                </c:pt>
                <c:pt idx="32">
                  <c:v>22.86225424877351</c:v>
                </c:pt>
                <c:pt idx="33">
                  <c:v>25.11223945780171</c:v>
                </c:pt>
                <c:pt idx="34">
                  <c:v>27.387244740738417</c:v>
                </c:pt>
                <c:pt idx="35">
                  <c:v>29.505867278512</c:v>
                </c:pt>
                <c:pt idx="36">
                  <c:v>31.863519679449382</c:v>
                </c:pt>
                <c:pt idx="37">
                  <c:v>34.333164568885365</c:v>
                </c:pt>
                <c:pt idx="38">
                  <c:v>37.166643721013209</c:v>
                </c:pt>
                <c:pt idx="39">
                  <c:v>40.026792152297851</c:v>
                </c:pt>
                <c:pt idx="40">
                  <c:v>43.550012437384737</c:v>
                </c:pt>
                <c:pt idx="41">
                  <c:v>47.143865241737089</c:v>
                </c:pt>
                <c:pt idx="42">
                  <c:v>51.122708617367621</c:v>
                </c:pt>
                <c:pt idx="43">
                  <c:v>54.959438766815921</c:v>
                </c:pt>
                <c:pt idx="44">
                  <c:v>59.107050516646012</c:v>
                </c:pt>
                <c:pt idx="45">
                  <c:v>63.769303774561507</c:v>
                </c:pt>
                <c:pt idx="46">
                  <c:v>68.081584263225807</c:v>
                </c:pt>
                <c:pt idx="47">
                  <c:v>72.481729575013759</c:v>
                </c:pt>
                <c:pt idx="48">
                  <c:v>77.568903586852841</c:v>
                </c:pt>
                <c:pt idx="49">
                  <c:v>82.43523405761141</c:v>
                </c:pt>
                <c:pt idx="50">
                  <c:v>88.004994619958893</c:v>
                </c:pt>
                <c:pt idx="51">
                  <c:v>93.980772489336957</c:v>
                </c:pt>
                <c:pt idx="52">
                  <c:v>100.36091104239333</c:v>
                </c:pt>
                <c:pt idx="53">
                  <c:v>107.32776021411507</c:v>
                </c:pt>
                <c:pt idx="54">
                  <c:v>113.25201246284331</c:v>
                </c:pt>
                <c:pt idx="55">
                  <c:v>119.07660898647651</c:v>
                </c:pt>
                <c:pt idx="56">
                  <c:v>124.69203060688397</c:v>
                </c:pt>
                <c:pt idx="57">
                  <c:v>130.58897469322392</c:v>
                </c:pt>
                <c:pt idx="58">
                  <c:v>136.5747093230932</c:v>
                </c:pt>
                <c:pt idx="59">
                  <c:v>143.33014811364546</c:v>
                </c:pt>
                <c:pt idx="60">
                  <c:v>150.18940414351039</c:v>
                </c:pt>
                <c:pt idx="61">
                  <c:v>158.17694999455586</c:v>
                </c:pt>
                <c:pt idx="62">
                  <c:v>165.77056934489244</c:v>
                </c:pt>
                <c:pt idx="63">
                  <c:v>172.14133897081967</c:v>
                </c:pt>
                <c:pt idx="64">
                  <c:v>178.77035257518386</c:v>
                </c:pt>
                <c:pt idx="65">
                  <c:v>185.29043762704106</c:v>
                </c:pt>
                <c:pt idx="66">
                  <c:v>192.29134817706364</c:v>
                </c:pt>
                <c:pt idx="67">
                  <c:v>199.7903220519643</c:v>
                </c:pt>
                <c:pt idx="68">
                  <c:v>206.46332793511209</c:v>
                </c:pt>
                <c:pt idx="69">
                  <c:v>212.97998527442959</c:v>
                </c:pt>
                <c:pt idx="70">
                  <c:v>218.953452507234</c:v>
                </c:pt>
                <c:pt idx="71">
                  <c:v>225.62455706395301</c:v>
                </c:pt>
                <c:pt idx="72">
                  <c:v>231.10601498639409</c:v>
                </c:pt>
                <c:pt idx="73">
                  <c:v>236.25999613397772</c:v>
                </c:pt>
                <c:pt idx="74">
                  <c:v>241.76532239617165</c:v>
                </c:pt>
                <c:pt idx="75">
                  <c:v>247.31796661262223</c:v>
                </c:pt>
                <c:pt idx="76">
                  <c:v>252.4767302852689</c:v>
                </c:pt>
                <c:pt idx="77">
                  <c:v>256.57735434515632</c:v>
                </c:pt>
                <c:pt idx="78">
                  <c:v>261.43007666346142</c:v>
                </c:pt>
                <c:pt idx="79">
                  <c:v>265.95647800542264</c:v>
                </c:pt>
                <c:pt idx="80">
                  <c:v>269.92897355424975</c:v>
                </c:pt>
                <c:pt idx="81">
                  <c:v>274.06896473183843</c:v>
                </c:pt>
                <c:pt idx="82">
                  <c:v>278.03438677406712</c:v>
                </c:pt>
                <c:pt idx="83">
                  <c:v>281.63732809715907</c:v>
                </c:pt>
                <c:pt idx="84">
                  <c:v>285.39730105963127</c:v>
                </c:pt>
                <c:pt idx="85">
                  <c:v>288.59639992865925</c:v>
                </c:pt>
                <c:pt idx="86">
                  <c:v>291.80226829436867</c:v>
                </c:pt>
                <c:pt idx="87">
                  <c:v>295.06400994282797</c:v>
                </c:pt>
                <c:pt idx="88">
                  <c:v>297.9399155798335</c:v>
                </c:pt>
                <c:pt idx="89">
                  <c:v>300.46497418941487</c:v>
                </c:pt>
                <c:pt idx="90">
                  <c:v>302.77288516925614</c:v>
                </c:pt>
                <c:pt idx="91">
                  <c:v>304.98026969420204</c:v>
                </c:pt>
                <c:pt idx="92">
                  <c:v>306.82376407252798</c:v>
                </c:pt>
                <c:pt idx="93">
                  <c:v>308.86042452560883</c:v>
                </c:pt>
                <c:pt idx="94">
                  <c:v>311.38817146640304</c:v>
                </c:pt>
                <c:pt idx="95">
                  <c:v>314.07101129978099</c:v>
                </c:pt>
                <c:pt idx="96">
                  <c:v>316.70418631112642</c:v>
                </c:pt>
                <c:pt idx="97">
                  <c:v>319.08841559508994</c:v>
                </c:pt>
                <c:pt idx="98">
                  <c:v>321.51001923083601</c:v>
                </c:pt>
                <c:pt idx="99">
                  <c:v>323.16041847231554</c:v>
                </c:pt>
                <c:pt idx="100">
                  <c:v>325.09985226769254</c:v>
                </c:pt>
                <c:pt idx="101">
                  <c:v>327.10138860181598</c:v>
                </c:pt>
                <c:pt idx="102">
                  <c:v>328.50044934417684</c:v>
                </c:pt>
                <c:pt idx="103">
                  <c:v>329.35154346918426</c:v>
                </c:pt>
                <c:pt idx="104">
                  <c:v>330.57487655298581</c:v>
                </c:pt>
                <c:pt idx="105">
                  <c:v>331.70320594803758</c:v>
                </c:pt>
                <c:pt idx="106">
                  <c:v>332.86791070215833</c:v>
                </c:pt>
                <c:pt idx="107">
                  <c:v>334.11508599199061</c:v>
                </c:pt>
                <c:pt idx="108">
                  <c:v>335.01690873493612</c:v>
                </c:pt>
                <c:pt idx="109">
                  <c:v>335.96528089281793</c:v>
                </c:pt>
                <c:pt idx="110">
                  <c:v>337.13606936066907</c:v>
                </c:pt>
                <c:pt idx="111">
                  <c:v>338.23946686665369</c:v>
                </c:pt>
                <c:pt idx="112">
                  <c:v>339.51815043045673</c:v>
                </c:pt>
                <c:pt idx="113">
                  <c:v>340.40057487965822</c:v>
                </c:pt>
                <c:pt idx="114">
                  <c:v>341.08266208349949</c:v>
                </c:pt>
                <c:pt idx="115">
                  <c:v>341.92801708797941</c:v>
                </c:pt>
                <c:pt idx="116">
                  <c:v>343.01135721080561</c:v>
                </c:pt>
                <c:pt idx="117">
                  <c:v>343.58747185782079</c:v>
                </c:pt>
                <c:pt idx="118">
                  <c:v>343.92413788780982</c:v>
                </c:pt>
                <c:pt idx="119">
                  <c:v>344.64311172499566</c:v>
                </c:pt>
                <c:pt idx="120">
                  <c:v>345.53847748714958</c:v>
                </c:pt>
                <c:pt idx="121">
                  <c:v>346.61126577833579</c:v>
                </c:pt>
                <c:pt idx="122">
                  <c:v>347.52641509687328</c:v>
                </c:pt>
                <c:pt idx="123">
                  <c:v>347.915415479572</c:v>
                </c:pt>
                <c:pt idx="124">
                  <c:v>348.0650427892553</c:v>
                </c:pt>
                <c:pt idx="125">
                  <c:v>348.37697776257454</c:v>
                </c:pt>
                <c:pt idx="126">
                  <c:v>348.82908986207764</c:v>
                </c:pt>
                <c:pt idx="127">
                  <c:v>349.21834181779877</c:v>
                </c:pt>
                <c:pt idx="128">
                  <c:v>349.76530231955297</c:v>
                </c:pt>
                <c:pt idx="129">
                  <c:v>350.36110674991994</c:v>
                </c:pt>
                <c:pt idx="130">
                  <c:v>351.12208621775505</c:v>
                </c:pt>
                <c:pt idx="131">
                  <c:v>351.68123198879437</c:v>
                </c:pt>
                <c:pt idx="132">
                  <c:v>352.53756752903166</c:v>
                </c:pt>
                <c:pt idx="133">
                  <c:v>353.45330111802315</c:v>
                </c:pt>
                <c:pt idx="134">
                  <c:v>354.28235294117644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ConceptDemo!$AE$18:$AE$395</c:f>
              <c:numCache>
                <c:formatCode>m/d/yyyy</c:formatCode>
                <c:ptCount val="378"/>
                <c:pt idx="0">
                  <c:v>45356</c:v>
                </c:pt>
                <c:pt idx="1">
                  <c:v>45357</c:v>
                </c:pt>
                <c:pt idx="2">
                  <c:v>45358</c:v>
                </c:pt>
                <c:pt idx="3">
                  <c:v>45359</c:v>
                </c:pt>
                <c:pt idx="4">
                  <c:v>45360</c:v>
                </c:pt>
                <c:pt idx="5">
                  <c:v>45361</c:v>
                </c:pt>
                <c:pt idx="6">
                  <c:v>45362</c:v>
                </c:pt>
                <c:pt idx="7">
                  <c:v>45363</c:v>
                </c:pt>
                <c:pt idx="8">
                  <c:v>45364</c:v>
                </c:pt>
                <c:pt idx="9">
                  <c:v>45365</c:v>
                </c:pt>
                <c:pt idx="10">
                  <c:v>45366</c:v>
                </c:pt>
                <c:pt idx="11">
                  <c:v>45367</c:v>
                </c:pt>
                <c:pt idx="12">
                  <c:v>45368</c:v>
                </c:pt>
                <c:pt idx="13">
                  <c:v>45369</c:v>
                </c:pt>
                <c:pt idx="14">
                  <c:v>45370</c:v>
                </c:pt>
                <c:pt idx="15">
                  <c:v>45371</c:v>
                </c:pt>
                <c:pt idx="16">
                  <c:v>45372</c:v>
                </c:pt>
                <c:pt idx="17">
                  <c:v>45373</c:v>
                </c:pt>
                <c:pt idx="18">
                  <c:v>45374</c:v>
                </c:pt>
                <c:pt idx="19">
                  <c:v>45375</c:v>
                </c:pt>
                <c:pt idx="20">
                  <c:v>45376</c:v>
                </c:pt>
                <c:pt idx="21">
                  <c:v>45377</c:v>
                </c:pt>
                <c:pt idx="22">
                  <c:v>45378</c:v>
                </c:pt>
                <c:pt idx="23">
                  <c:v>45379</c:v>
                </c:pt>
                <c:pt idx="24">
                  <c:v>45380</c:v>
                </c:pt>
                <c:pt idx="25">
                  <c:v>45381</c:v>
                </c:pt>
                <c:pt idx="26">
                  <c:v>45382</c:v>
                </c:pt>
                <c:pt idx="27">
                  <c:v>45383</c:v>
                </c:pt>
                <c:pt idx="28">
                  <c:v>45384</c:v>
                </c:pt>
                <c:pt idx="29">
                  <c:v>45385</c:v>
                </c:pt>
                <c:pt idx="30">
                  <c:v>45386</c:v>
                </c:pt>
                <c:pt idx="31">
                  <c:v>45387</c:v>
                </c:pt>
                <c:pt idx="32">
                  <c:v>45388</c:v>
                </c:pt>
                <c:pt idx="33">
                  <c:v>45389</c:v>
                </c:pt>
                <c:pt idx="34">
                  <c:v>45390</c:v>
                </c:pt>
                <c:pt idx="35">
                  <c:v>45391</c:v>
                </c:pt>
                <c:pt idx="36">
                  <c:v>45392</c:v>
                </c:pt>
                <c:pt idx="37">
                  <c:v>45393</c:v>
                </c:pt>
                <c:pt idx="38">
                  <c:v>45394</c:v>
                </c:pt>
                <c:pt idx="39">
                  <c:v>45395</c:v>
                </c:pt>
                <c:pt idx="40">
                  <c:v>45396</c:v>
                </c:pt>
                <c:pt idx="41">
                  <c:v>45397</c:v>
                </c:pt>
                <c:pt idx="42">
                  <c:v>45398</c:v>
                </c:pt>
                <c:pt idx="43">
                  <c:v>45399</c:v>
                </c:pt>
                <c:pt idx="44">
                  <c:v>45400</c:v>
                </c:pt>
                <c:pt idx="45">
                  <c:v>45401</c:v>
                </c:pt>
                <c:pt idx="46">
                  <c:v>45402</c:v>
                </c:pt>
                <c:pt idx="47">
                  <c:v>45403</c:v>
                </c:pt>
                <c:pt idx="48">
                  <c:v>45404</c:v>
                </c:pt>
                <c:pt idx="49">
                  <c:v>45405</c:v>
                </c:pt>
                <c:pt idx="50">
                  <c:v>45406</c:v>
                </c:pt>
                <c:pt idx="51">
                  <c:v>45407</c:v>
                </c:pt>
                <c:pt idx="52">
                  <c:v>45408</c:v>
                </c:pt>
                <c:pt idx="53">
                  <c:v>45409</c:v>
                </c:pt>
                <c:pt idx="54">
                  <c:v>45410</c:v>
                </c:pt>
                <c:pt idx="55">
                  <c:v>45411</c:v>
                </c:pt>
                <c:pt idx="56">
                  <c:v>45412</c:v>
                </c:pt>
                <c:pt idx="57">
                  <c:v>45413</c:v>
                </c:pt>
                <c:pt idx="58">
                  <c:v>45414</c:v>
                </c:pt>
                <c:pt idx="59">
                  <c:v>45415</c:v>
                </c:pt>
                <c:pt idx="60">
                  <c:v>45416</c:v>
                </c:pt>
                <c:pt idx="61">
                  <c:v>45417</c:v>
                </c:pt>
                <c:pt idx="62">
                  <c:v>45418</c:v>
                </c:pt>
                <c:pt idx="63">
                  <c:v>45419</c:v>
                </c:pt>
                <c:pt idx="64">
                  <c:v>45420</c:v>
                </c:pt>
                <c:pt idx="65">
                  <c:v>45421</c:v>
                </c:pt>
                <c:pt idx="66">
                  <c:v>45422</c:v>
                </c:pt>
                <c:pt idx="67">
                  <c:v>45423</c:v>
                </c:pt>
                <c:pt idx="68">
                  <c:v>45424</c:v>
                </c:pt>
                <c:pt idx="69">
                  <c:v>45425</c:v>
                </c:pt>
                <c:pt idx="70">
                  <c:v>45426</c:v>
                </c:pt>
                <c:pt idx="71">
                  <c:v>45427</c:v>
                </c:pt>
                <c:pt idx="72">
                  <c:v>45428</c:v>
                </c:pt>
                <c:pt idx="73">
                  <c:v>45429</c:v>
                </c:pt>
                <c:pt idx="74">
                  <c:v>45430</c:v>
                </c:pt>
                <c:pt idx="75">
                  <c:v>45431</c:v>
                </c:pt>
                <c:pt idx="76">
                  <c:v>45432</c:v>
                </c:pt>
                <c:pt idx="77">
                  <c:v>45433</c:v>
                </c:pt>
                <c:pt idx="78">
                  <c:v>45434</c:v>
                </c:pt>
                <c:pt idx="79">
                  <c:v>45435</c:v>
                </c:pt>
                <c:pt idx="80">
                  <c:v>45436</c:v>
                </c:pt>
                <c:pt idx="81">
                  <c:v>45437</c:v>
                </c:pt>
                <c:pt idx="82">
                  <c:v>45438</c:v>
                </c:pt>
                <c:pt idx="83">
                  <c:v>45439</c:v>
                </c:pt>
                <c:pt idx="84">
                  <c:v>45440</c:v>
                </c:pt>
                <c:pt idx="85">
                  <c:v>45441</c:v>
                </c:pt>
                <c:pt idx="86">
                  <c:v>45442</c:v>
                </c:pt>
                <c:pt idx="87">
                  <c:v>45443</c:v>
                </c:pt>
                <c:pt idx="88">
                  <c:v>45444</c:v>
                </c:pt>
                <c:pt idx="89">
                  <c:v>45445</c:v>
                </c:pt>
                <c:pt idx="90">
                  <c:v>45446</c:v>
                </c:pt>
                <c:pt idx="91">
                  <c:v>45447</c:v>
                </c:pt>
                <c:pt idx="92">
                  <c:v>45448</c:v>
                </c:pt>
                <c:pt idx="93">
                  <c:v>45449</c:v>
                </c:pt>
                <c:pt idx="94">
                  <c:v>45450</c:v>
                </c:pt>
                <c:pt idx="95">
                  <c:v>45451</c:v>
                </c:pt>
                <c:pt idx="96">
                  <c:v>45452</c:v>
                </c:pt>
                <c:pt idx="97">
                  <c:v>45453</c:v>
                </c:pt>
                <c:pt idx="98">
                  <c:v>45454</c:v>
                </c:pt>
                <c:pt idx="99">
                  <c:v>45455</c:v>
                </c:pt>
                <c:pt idx="100">
                  <c:v>45456</c:v>
                </c:pt>
                <c:pt idx="101">
                  <c:v>45457</c:v>
                </c:pt>
                <c:pt idx="102">
                  <c:v>45458</c:v>
                </c:pt>
                <c:pt idx="103">
                  <c:v>45459</c:v>
                </c:pt>
                <c:pt idx="104">
                  <c:v>45460</c:v>
                </c:pt>
                <c:pt idx="105">
                  <c:v>45461</c:v>
                </c:pt>
                <c:pt idx="106">
                  <c:v>45462</c:v>
                </c:pt>
                <c:pt idx="107">
                  <c:v>45463</c:v>
                </c:pt>
                <c:pt idx="108">
                  <c:v>45464</c:v>
                </c:pt>
                <c:pt idx="109">
                  <c:v>45465</c:v>
                </c:pt>
                <c:pt idx="110">
                  <c:v>45466</c:v>
                </c:pt>
                <c:pt idx="111">
                  <c:v>45467</c:v>
                </c:pt>
                <c:pt idx="112">
                  <c:v>45468</c:v>
                </c:pt>
                <c:pt idx="113">
                  <c:v>45469</c:v>
                </c:pt>
                <c:pt idx="114">
                  <c:v>45470</c:v>
                </c:pt>
                <c:pt idx="115">
                  <c:v>45471</c:v>
                </c:pt>
                <c:pt idx="116">
                  <c:v>45472</c:v>
                </c:pt>
                <c:pt idx="117">
                  <c:v>45473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45479</c:v>
                </c:pt>
                <c:pt idx="124">
                  <c:v>45480</c:v>
                </c:pt>
                <c:pt idx="125">
                  <c:v>45481</c:v>
                </c:pt>
                <c:pt idx="126">
                  <c:v>45482</c:v>
                </c:pt>
                <c:pt idx="127">
                  <c:v>45483</c:v>
                </c:pt>
                <c:pt idx="128">
                  <c:v>45484</c:v>
                </c:pt>
                <c:pt idx="129">
                  <c:v>45485</c:v>
                </c:pt>
                <c:pt idx="130">
                  <c:v>45486</c:v>
                </c:pt>
                <c:pt idx="131">
                  <c:v>45487</c:v>
                </c:pt>
                <c:pt idx="132">
                  <c:v>45488</c:v>
                </c:pt>
                <c:pt idx="133">
                  <c:v>45489</c:v>
                </c:pt>
                <c:pt idx="134">
                  <c:v>45490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43.655267734557242</c:v>
                </c:pt>
                <c:pt idx="1">
                  <c:v>41.615532496662325</c:v>
                </c:pt>
                <c:pt idx="2">
                  <c:v>39.574985289245859</c:v>
                </c:pt>
                <c:pt idx="3">
                  <c:v>37.686328029231333</c:v>
                </c:pt>
                <c:pt idx="4">
                  <c:v>35.624652617661255</c:v>
                </c:pt>
                <c:pt idx="5">
                  <c:v>33.592285825569384</c:v>
                </c:pt>
                <c:pt idx="6">
                  <c:v>31.372579071352668</c:v>
                </c:pt>
                <c:pt idx="7">
                  <c:v>28.986314378040838</c:v>
                </c:pt>
                <c:pt idx="8">
                  <c:v>26.615950548700006</c:v>
                </c:pt>
                <c:pt idx="9">
                  <c:v>24.420555434828863</c:v>
                </c:pt>
                <c:pt idx="10">
                  <c:v>22.284173677740352</c:v>
                </c:pt>
                <c:pt idx="11">
                  <c:v>20.228532991678719</c:v>
                </c:pt>
                <c:pt idx="12">
                  <c:v>18.328278059918119</c:v>
                </c:pt>
                <c:pt idx="13">
                  <c:v>16.39622249950623</c:v>
                </c:pt>
                <c:pt idx="14">
                  <c:v>14.493560235859828</c:v>
                </c:pt>
                <c:pt idx="15">
                  <c:v>12.315725213104749</c:v>
                </c:pt>
                <c:pt idx="16">
                  <c:v>10.221735719288523</c:v>
                </c:pt>
                <c:pt idx="17">
                  <c:v>8.1473517585576047</c:v>
                </c:pt>
                <c:pt idx="18">
                  <c:v>6.071372856070627</c:v>
                </c:pt>
                <c:pt idx="19">
                  <c:v>3.8857256456631308</c:v>
                </c:pt>
                <c:pt idx="20">
                  <c:v>1.8778103775294088</c:v>
                </c:pt>
                <c:pt idx="21">
                  <c:v>-0.29356580861144854</c:v>
                </c:pt>
                <c:pt idx="22">
                  <c:v>-2.5610981861637767</c:v>
                </c:pt>
                <c:pt idx="23">
                  <c:v>-4.8505995252861105</c:v>
                </c:pt>
                <c:pt idx="24">
                  <c:v>-7.2889620159499176</c:v>
                </c:pt>
                <c:pt idx="25">
                  <c:v>-9.6276830112396858</c:v>
                </c:pt>
                <c:pt idx="26">
                  <c:v>-11.889307217037803</c:v>
                </c:pt>
                <c:pt idx="27">
                  <c:v>-14.317606591871314</c:v>
                </c:pt>
                <c:pt idx="28">
                  <c:v>-16.738240545169283</c:v>
                </c:pt>
                <c:pt idx="29">
                  <c:v>-19.137060397648582</c:v>
                </c:pt>
                <c:pt idx="30">
                  <c:v>-21.568344301265078</c:v>
                </c:pt>
                <c:pt idx="31">
                  <c:v>-24.180722058670142</c:v>
                </c:pt>
                <c:pt idx="32">
                  <c:v>-26.961029621825446</c:v>
                </c:pt>
                <c:pt idx="33">
                  <c:v>-29.904967505070964</c:v>
                </c:pt>
                <c:pt idx="34">
                  <c:v>-32.845661662802733</c:v>
                </c:pt>
                <c:pt idx="35">
                  <c:v>-35.557817080792475</c:v>
                </c:pt>
                <c:pt idx="36">
                  <c:v>-38.47300880500093</c:v>
                </c:pt>
                <c:pt idx="37">
                  <c:v>-41.468226663560088</c:v>
                </c:pt>
                <c:pt idx="38">
                  <c:v>-44.802812969199415</c:v>
                </c:pt>
                <c:pt idx="39">
                  <c:v>-48.112743469576088</c:v>
                </c:pt>
                <c:pt idx="40">
                  <c:v>-52.057610299311435</c:v>
                </c:pt>
                <c:pt idx="41">
                  <c:v>-56.031576054568781</c:v>
                </c:pt>
                <c:pt idx="42">
                  <c:v>-60.381092381895606</c:v>
                </c:pt>
                <c:pt idx="43">
                  <c:v>-64.547076720281098</c:v>
                </c:pt>
                <c:pt idx="44">
                  <c:v>-68.996920823379824</c:v>
                </c:pt>
                <c:pt idx="45">
                  <c:v>-73.958416706475859</c:v>
                </c:pt>
                <c:pt idx="46">
                  <c:v>-78.544877792956896</c:v>
                </c:pt>
                <c:pt idx="47">
                  <c:v>-83.191388892555665</c:v>
                </c:pt>
                <c:pt idx="48">
                  <c:v>-88.510492286553045</c:v>
                </c:pt>
                <c:pt idx="49">
                  <c:v>-93.599173134127398</c:v>
                </c:pt>
                <c:pt idx="50">
                  <c:v>-99.395494454023719</c:v>
                </c:pt>
                <c:pt idx="51">
                  <c:v>-105.57152597060491</c:v>
                </c:pt>
                <c:pt idx="52">
                  <c:v>-112.15423502405324</c:v>
                </c:pt>
                <c:pt idx="53">
                  <c:v>-119.33333618017892</c:v>
                </c:pt>
                <c:pt idx="54">
                  <c:v>-125.51059211931221</c:v>
                </c:pt>
                <c:pt idx="55">
                  <c:v>-131.58812475866188</c:v>
                </c:pt>
                <c:pt idx="56">
                  <c:v>-137.43252671300996</c:v>
                </c:pt>
                <c:pt idx="57">
                  <c:v>-143.5418590142188</c:v>
                </c:pt>
                <c:pt idx="58">
                  <c:v>-149.71921286946932</c:v>
                </c:pt>
                <c:pt idx="59">
                  <c:v>-156.66405349596204</c:v>
                </c:pt>
                <c:pt idx="60">
                  <c:v>-163.69756803661352</c:v>
                </c:pt>
                <c:pt idx="61">
                  <c:v>-171.8794875559997</c:v>
                </c:pt>
                <c:pt idx="62">
                  <c:v>-179.64598468679645</c:v>
                </c:pt>
                <c:pt idx="63">
                  <c:v>-186.18690820568727</c:v>
                </c:pt>
                <c:pt idx="64">
                  <c:v>-192.97002267379548</c:v>
                </c:pt>
                <c:pt idx="65">
                  <c:v>-199.64141604829717</c:v>
                </c:pt>
                <c:pt idx="66">
                  <c:v>-206.78080528214682</c:v>
                </c:pt>
                <c:pt idx="67">
                  <c:v>-214.41482881725298</c:v>
                </c:pt>
                <c:pt idx="68">
                  <c:v>-221.20725144750639</c:v>
                </c:pt>
                <c:pt idx="69">
                  <c:v>-227.83666647364942</c:v>
                </c:pt>
                <c:pt idx="70">
                  <c:v>-233.91361395396939</c:v>
                </c:pt>
                <c:pt idx="71">
                  <c:v>-240.68661938510223</c:v>
                </c:pt>
                <c:pt idx="72">
                  <c:v>-246.26851766110599</c:v>
                </c:pt>
                <c:pt idx="73">
                  <c:v>-251.51599479906014</c:v>
                </c:pt>
                <c:pt idx="74">
                  <c:v>-257.11064369080543</c:v>
                </c:pt>
                <c:pt idx="75">
                  <c:v>-262.74977906573889</c:v>
                </c:pt>
                <c:pt idx="76">
                  <c:v>-267.99378883791024</c:v>
                </c:pt>
                <c:pt idx="77">
                  <c:v>-272.17262767919607</c:v>
                </c:pt>
                <c:pt idx="78">
                  <c:v>-277.09997908718947</c:v>
                </c:pt>
                <c:pt idx="79">
                  <c:v>-281.70349988610684</c:v>
                </c:pt>
                <c:pt idx="80">
                  <c:v>-285.74697308374465</c:v>
                </c:pt>
                <c:pt idx="81">
                  <c:v>-289.96241766195357</c:v>
                </c:pt>
                <c:pt idx="82">
                  <c:v>-293.99191215436895</c:v>
                </c:pt>
                <c:pt idx="83">
                  <c:v>-297.65210085330324</c:v>
                </c:pt>
                <c:pt idx="84">
                  <c:v>-301.46426306119594</c:v>
                </c:pt>
                <c:pt idx="85">
                  <c:v>-304.70664342286739</c:v>
                </c:pt>
                <c:pt idx="86">
                  <c:v>-307.94515112369112</c:v>
                </c:pt>
                <c:pt idx="87">
                  <c:v>-311.23335055482681</c:v>
                </c:pt>
                <c:pt idx="88">
                  <c:v>-314.1280888591275</c:v>
                </c:pt>
                <c:pt idx="89">
                  <c:v>-316.66477069119156</c:v>
                </c:pt>
                <c:pt idx="90">
                  <c:v>-318.9770943922133</c:v>
                </c:pt>
                <c:pt idx="91">
                  <c:v>-321.18076765018276</c:v>
                </c:pt>
                <c:pt idx="92">
                  <c:v>-323.01387038200835</c:v>
                </c:pt>
                <c:pt idx="93">
                  <c:v>-325.0316633458047</c:v>
                </c:pt>
                <c:pt idx="94">
                  <c:v>-327.52927337656837</c:v>
                </c:pt>
                <c:pt idx="95">
                  <c:v>-330.1716839579164</c:v>
                </c:pt>
                <c:pt idx="96">
                  <c:v>-332.75457818293711</c:v>
                </c:pt>
                <c:pt idx="97">
                  <c:v>-335.08177032376869</c:v>
                </c:pt>
                <c:pt idx="98">
                  <c:v>-337.43367042077807</c:v>
                </c:pt>
                <c:pt idx="99">
                  <c:v>-339.0124783789322</c:v>
                </c:pt>
                <c:pt idx="100">
                  <c:v>-340.86999490224696</c:v>
                </c:pt>
                <c:pt idx="101">
                  <c:v>-342.77811424018904</c:v>
                </c:pt>
                <c:pt idx="102">
                  <c:v>-344.08176727303339</c:v>
                </c:pt>
                <c:pt idx="103">
                  <c:v>-344.8353640464818</c:v>
                </c:pt>
                <c:pt idx="104">
                  <c:v>-345.94905705713097</c:v>
                </c:pt>
                <c:pt idx="105">
                  <c:v>-346.96178456630611</c:v>
                </c:pt>
                <c:pt idx="106">
                  <c:v>-348.00333550684383</c:v>
                </c:pt>
                <c:pt idx="107">
                  <c:v>-349.11913001501017</c:v>
                </c:pt>
                <c:pt idx="108">
                  <c:v>-349.88845971760918</c:v>
                </c:pt>
                <c:pt idx="109">
                  <c:v>-350.6984935733368</c:v>
                </c:pt>
                <c:pt idx="110">
                  <c:v>-351.72100023527361</c:v>
                </c:pt>
                <c:pt idx="111">
                  <c:v>-352.67209280268912</c:v>
                </c:pt>
                <c:pt idx="112">
                  <c:v>-353.79018427115761</c:v>
                </c:pt>
                <c:pt idx="113">
                  <c:v>-354.51437211849458</c:v>
                </c:pt>
                <c:pt idx="114">
                  <c:v>-355.03721107776016</c:v>
                </c:pt>
                <c:pt idx="115">
                  <c:v>-355.71227218100728</c:v>
                </c:pt>
                <c:pt idx="116">
                  <c:v>-356.61421581979459</c:v>
                </c:pt>
                <c:pt idx="117">
                  <c:v>-357.01661420411341</c:v>
                </c:pt>
                <c:pt idx="118">
                  <c:v>-357.18093598865693</c:v>
                </c:pt>
                <c:pt idx="119">
                  <c:v>-357.71439582150862</c:v>
                </c:pt>
                <c:pt idx="120">
                  <c:v>-358.41609971574161</c:v>
                </c:pt>
                <c:pt idx="121">
                  <c:v>-359.28745481876246</c:v>
                </c:pt>
                <c:pt idx="122">
                  <c:v>-359.99786650591648</c:v>
                </c:pt>
                <c:pt idx="123">
                  <c:v>-360.19371227829669</c:v>
                </c:pt>
                <c:pt idx="124">
                  <c:v>-360.15281348683476</c:v>
                </c:pt>
                <c:pt idx="125">
                  <c:v>-360.26728288556092</c:v>
                </c:pt>
                <c:pt idx="126">
                  <c:v>-360.51584079066726</c:v>
                </c:pt>
                <c:pt idx="127">
                  <c:v>-360.69994099307041</c:v>
                </c:pt>
                <c:pt idx="128">
                  <c:v>-361.0349223789687</c:v>
                </c:pt>
                <c:pt idx="129">
                  <c:v>-361.41457643060522</c:v>
                </c:pt>
                <c:pt idx="130">
                  <c:v>-361.95241372758261</c:v>
                </c:pt>
                <c:pt idx="131">
                  <c:v>-362.29271319876335</c:v>
                </c:pt>
                <c:pt idx="132">
                  <c:v>-362.91695903494912</c:v>
                </c:pt>
                <c:pt idx="133">
                  <c:v>-363.59341070155125</c:v>
                </c:pt>
                <c:pt idx="134">
                  <c:v>-364.17827213019933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ConceptDemo!$AJ$17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ConceptDemo!$AK$17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ConceptDemo!$AK$18:$AK$662</c:f>
              <c:numCache>
                <c:formatCode>General</c:formatCode>
                <c:ptCount val="645"/>
                <c:pt idx="0">
                  <c:v>0.12454013447889388</c:v>
                </c:pt>
                <c:pt idx="1">
                  <c:v>0.23939534920552524</c:v>
                </c:pt>
                <c:pt idx="2">
                  <c:v>0.35739167478801698</c:v>
                </c:pt>
                <c:pt idx="3">
                  <c:v>0.46865090356443384</c:v>
                </c:pt>
                <c:pt idx="4">
                  <c:v>0.59217461563080853</c:v>
                </c:pt>
                <c:pt idx="5">
                  <c:v>0.71063303433631975</c:v>
                </c:pt>
                <c:pt idx="6">
                  <c:v>0.83283381436909631</c:v>
                </c:pt>
                <c:pt idx="7">
                  <c:v>0.96170506423801971</c:v>
                </c:pt>
                <c:pt idx="8">
                  <c:v>1.089857534191937</c:v>
                </c:pt>
                <c:pt idx="9">
                  <c:v>1.2166756742953149</c:v>
                </c:pt>
                <c:pt idx="10">
                  <c:v>1.344138744416369</c:v>
                </c:pt>
                <c:pt idx="11">
                  <c:v>1.4702853209217241</c:v>
                </c:pt>
                <c:pt idx="12">
                  <c:v>1.5869030999685938</c:v>
                </c:pt>
                <c:pt idx="13">
                  <c:v>1.7120904111429989</c:v>
                </c:pt>
                <c:pt idx="14">
                  <c:v>1.8440314868333951</c:v>
                </c:pt>
                <c:pt idx="15">
                  <c:v>1.9711725810029939</c:v>
                </c:pt>
                <c:pt idx="16">
                  <c:v>2.0939316201548666</c:v>
                </c:pt>
                <c:pt idx="17">
                  <c:v>2.2133371266211377</c:v>
                </c:pt>
                <c:pt idx="18">
                  <c:v>2.3335908882216536</c:v>
                </c:pt>
                <c:pt idx="19">
                  <c:v>2.458858234131132</c:v>
                </c:pt>
                <c:pt idx="20">
                  <c:v>2.5741729390738652</c:v>
                </c:pt>
                <c:pt idx="21">
                  <c:v>2.6980641943163333</c:v>
                </c:pt>
                <c:pt idx="22">
                  <c:v>2.825744785750679</c:v>
                </c:pt>
                <c:pt idx="23">
                  <c:v>2.951746211640998</c:v>
                </c:pt>
                <c:pt idx="24">
                  <c:v>3.0808307598221449</c:v>
                </c:pt>
                <c:pt idx="25">
                  <c:v>3.200685314697242</c:v>
                </c:pt>
                <c:pt idx="26">
                  <c:v>3.3132540666333901</c:v>
                </c:pt>
                <c:pt idx="27">
                  <c:v>3.428964369442419</c:v>
                </c:pt>
                <c:pt idx="28">
                  <c:v>3.5393392920093261</c:v>
                </c:pt>
                <c:pt idx="29">
                  <c:v>3.6441347819600027</c:v>
                </c:pt>
                <c:pt idx="30">
                  <c:v>3.7454441760318287</c:v>
                </c:pt>
                <c:pt idx="31">
                  <c:v>3.8482867663568507</c:v>
                </c:pt>
                <c:pt idx="32">
                  <c:v>3.9524802442971003</c:v>
                </c:pt>
                <c:pt idx="33">
                  <c:v>4.056555886807045</c:v>
                </c:pt>
                <c:pt idx="34">
                  <c:v>4.156750063604024</c:v>
                </c:pt>
                <c:pt idx="35">
                  <c:v>4.2477943523882136</c:v>
                </c:pt>
                <c:pt idx="36">
                  <c:v>4.3396116603505543</c:v>
                </c:pt>
                <c:pt idx="37">
                  <c:v>4.4297934387348255</c:v>
                </c:pt>
                <c:pt idx="38">
                  <c:v>4.5226503056914416</c:v>
                </c:pt>
                <c:pt idx="39">
                  <c:v>4.6109370030738104</c:v>
                </c:pt>
                <c:pt idx="40">
                  <c:v>4.705040741688709</c:v>
                </c:pt>
                <c:pt idx="41">
                  <c:v>4.7949933025820517</c:v>
                </c:pt>
                <c:pt idx="42">
                  <c:v>4.8867498751890546</c:v>
                </c:pt>
                <c:pt idx="43">
                  <c:v>4.9719689052487679</c:v>
                </c:pt>
                <c:pt idx="44">
                  <c:v>5.0569941340072155</c:v>
                </c:pt>
                <c:pt idx="45">
                  <c:v>5.1450429388364478</c:v>
                </c:pt>
                <c:pt idx="46">
                  <c:v>5.2260736538549226</c:v>
                </c:pt>
                <c:pt idx="47">
                  <c:v>5.3047052936396852</c:v>
                </c:pt>
                <c:pt idx="48">
                  <c:v>5.386888802509044</c:v>
                </c:pt>
                <c:pt idx="49">
                  <c:v>5.4649795270633383</c:v>
                </c:pt>
                <c:pt idx="50">
                  <c:v>5.5474767114745616</c:v>
                </c:pt>
                <c:pt idx="51">
                  <c:v>5.6298041108163748</c:v>
                </c:pt>
                <c:pt idx="52">
                  <c:v>5.7136152108617724</c:v>
                </c:pt>
                <c:pt idx="53">
                  <c:v>5.8006857366654723</c:v>
                </c:pt>
                <c:pt idx="54">
                  <c:v>5.8826704090883357</c:v>
                </c:pt>
                <c:pt idx="55">
                  <c:v>5.9637204386340503</c:v>
                </c:pt>
                <c:pt idx="56">
                  <c:v>6.0413225332525959</c:v>
                </c:pt>
                <c:pt idx="57">
                  <c:v>6.1190512286340297</c:v>
                </c:pt>
                <c:pt idx="58">
                  <c:v>6.1953703484874616</c:v>
                </c:pt>
                <c:pt idx="59">
                  <c:v>6.2757681771332026</c:v>
                </c:pt>
                <c:pt idx="60">
                  <c:v>6.3552425007422073</c:v>
                </c:pt>
                <c:pt idx="61">
                  <c:v>6.4431296218770893</c:v>
                </c:pt>
                <c:pt idx="62">
                  <c:v>6.5266957067225926</c:v>
                </c:pt>
                <c:pt idx="63">
                  <c:v>6.6038432895417563</c:v>
                </c:pt>
                <c:pt idx="64">
                  <c:v>6.6810777820792362</c:v>
                </c:pt>
                <c:pt idx="65">
                  <c:v>6.7580605921308567</c:v>
                </c:pt>
                <c:pt idx="66">
                  <c:v>6.836683719205821</c:v>
                </c:pt>
                <c:pt idx="67">
                  <c:v>6.9183009681548171</c:v>
                </c:pt>
                <c:pt idx="68">
                  <c:v>6.9944543061820657</c:v>
                </c:pt>
                <c:pt idx="69">
                  <c:v>7.0698262942497978</c:v>
                </c:pt>
                <c:pt idx="70">
                  <c:v>7.1421089402238502</c:v>
                </c:pt>
                <c:pt idx="71">
                  <c:v>7.2188065400229435</c:v>
                </c:pt>
                <c:pt idx="72">
                  <c:v>7.2903482609136061</c:v>
                </c:pt>
                <c:pt idx="73">
                  <c:v>7.3603229992575772</c:v>
                </c:pt>
                <c:pt idx="74">
                  <c:v>7.4326948236541091</c:v>
                </c:pt>
                <c:pt idx="75">
                  <c:v>7.5062975686696918</c:v>
                </c:pt>
                <c:pt idx="76">
                  <c:v>7.5792293663794776</c:v>
                </c:pt>
                <c:pt idx="77">
                  <c:v>7.6467577451616613</c:v>
                </c:pt>
                <c:pt idx="78">
                  <c:v>7.7193283965446939</c:v>
                </c:pt>
                <c:pt idx="79">
                  <c:v>7.7929309471648844</c:v>
                </c:pt>
                <c:pt idx="80">
                  <c:v>7.8641818700447628</c:v>
                </c:pt>
                <c:pt idx="81">
                  <c:v>7.9409622278308394</c:v>
                </c:pt>
                <c:pt idx="82">
                  <c:v>8.0163125420499046</c:v>
                </c:pt>
                <c:pt idx="83">
                  <c:v>8.0905949967625244</c:v>
                </c:pt>
                <c:pt idx="84">
                  <c:v>8.1682700342810328</c:v>
                </c:pt>
                <c:pt idx="85">
                  <c:v>8.2427053260722634</c:v>
                </c:pt>
                <c:pt idx="86">
                  <c:v>8.3164870424902837</c:v>
                </c:pt>
                <c:pt idx="87">
                  <c:v>8.3928784008347144</c:v>
                </c:pt>
                <c:pt idx="88">
                  <c:v>8.4674842219305173</c:v>
                </c:pt>
                <c:pt idx="89">
                  <c:v>8.540627849105821</c:v>
                </c:pt>
                <c:pt idx="90">
                  <c:v>8.6134643392828369</c:v>
                </c:pt>
                <c:pt idx="91">
                  <c:v>8.6858166093207299</c:v>
                </c:pt>
                <c:pt idx="92">
                  <c:v>8.7558254470070445</c:v>
                </c:pt>
                <c:pt idx="93">
                  <c:v>8.8288104815143651</c:v>
                </c:pt>
                <c:pt idx="94">
                  <c:v>8.9073804697964594</c:v>
                </c:pt>
                <c:pt idx="95">
                  <c:v>8.9881017882008667</c:v>
                </c:pt>
                <c:pt idx="96">
                  <c:v>9.0700515155953507</c:v>
                </c:pt>
                <c:pt idx="97">
                  <c:v>9.1501280936639926</c:v>
                </c:pt>
                <c:pt idx="98">
                  <c:v>9.2351213536641499</c:v>
                </c:pt>
                <c:pt idx="99">
                  <c:v>9.3141176985717955</c:v>
                </c:pt>
                <c:pt idx="100">
                  <c:v>9.3967691340065382</c:v>
                </c:pt>
                <c:pt idx="101">
                  <c:v>9.4841304950414411</c:v>
                </c:pt>
                <c:pt idx="102">
                  <c:v>9.5676107897806641</c:v>
                </c:pt>
                <c:pt idx="103">
                  <c:v>9.6482571041455003</c:v>
                </c:pt>
                <c:pt idx="104">
                  <c:v>9.7350939571044677</c:v>
                </c:pt>
                <c:pt idx="105">
                  <c:v>9.8227855781694657</c:v>
                </c:pt>
                <c:pt idx="106">
                  <c:v>9.9128025797699113</c:v>
                </c:pt>
                <c:pt idx="107">
                  <c:v>10.005752007351285</c:v>
                </c:pt>
                <c:pt idx="108">
                  <c:v>10.096248615486928</c:v>
                </c:pt>
                <c:pt idx="109">
                  <c:v>10.187903057503352</c:v>
                </c:pt>
                <c:pt idx="110">
                  <c:v>10.284034764580566</c:v>
                </c:pt>
                <c:pt idx="111">
                  <c:v>10.380091997857901</c:v>
                </c:pt>
                <c:pt idx="112">
                  <c:v>10.479149709014258</c:v>
                </c:pt>
                <c:pt idx="113">
                  <c:v>10.574011185513221</c:v>
                </c:pt>
                <c:pt idx="114">
                  <c:v>10.667340819283964</c:v>
                </c:pt>
                <c:pt idx="115">
                  <c:v>10.767051565696031</c:v>
                </c:pt>
                <c:pt idx="116">
                  <c:v>10.872545257976114</c:v>
                </c:pt>
                <c:pt idx="117">
                  <c:v>10.970595683651666</c:v>
                </c:pt>
                <c:pt idx="118">
                  <c:v>11.065971840105197</c:v>
                </c:pt>
                <c:pt idx="119">
                  <c:v>11.168538299391644</c:v>
                </c:pt>
                <c:pt idx="120">
                  <c:v>11.27466920479095</c:v>
                </c:pt>
                <c:pt idx="121">
                  <c:v>11.383841795119304</c:v>
                </c:pt>
                <c:pt idx="122">
                  <c:v>11.494725777625559</c:v>
                </c:pt>
                <c:pt idx="123">
                  <c:v>11.596255950645068</c:v>
                </c:pt>
                <c:pt idx="124">
                  <c:v>11.69501194770984</c:v>
                </c:pt>
                <c:pt idx="125">
                  <c:v>11.796880581037723</c:v>
                </c:pt>
                <c:pt idx="126">
                  <c:v>11.901163829951804</c:v>
                </c:pt>
                <c:pt idx="127">
                  <c:v>12.005478006622065</c:v>
                </c:pt>
                <c:pt idx="128">
                  <c:v>12.112779750836378</c:v>
                </c:pt>
                <c:pt idx="129">
                  <c:v>12.221570152139606</c:v>
                </c:pt>
                <c:pt idx="130">
                  <c:v>12.333321018769972</c:v>
                </c:pt>
                <c:pt idx="131">
                  <c:v>12.441116321323536</c:v>
                </c:pt>
                <c:pt idx="132">
                  <c:v>12.556531973525116</c:v>
                </c:pt>
                <c:pt idx="133">
                  <c:v>12.67633052351718</c:v>
                </c:pt>
                <c:pt idx="134">
                  <c:v>12.800209213183688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ConceptDemo!$AL$17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ConceptDemo!$AL$17:$AL$662</c:f>
              <c:numCache>
                <c:formatCode>General</c:formatCode>
                <c:ptCount val="646"/>
                <c:pt idx="0">
                  <c:v>0</c:v>
                </c:pt>
                <c:pt idx="1">
                  <c:v>-2.3758456799830352</c:v>
                </c:pt>
                <c:pt idx="2">
                  <c:v>-4.5304361326045814</c:v>
                </c:pt>
                <c:pt idx="3">
                  <c:v>-6.688979665603533</c:v>
                </c:pt>
                <c:pt idx="4">
                  <c:v>-8.6888961543944792</c:v>
                </c:pt>
                <c:pt idx="5">
                  <c:v>-10.874095278030929</c:v>
                </c:pt>
                <c:pt idx="6">
                  <c:v>-13.024920488828307</c:v>
                </c:pt>
                <c:pt idx="7">
                  <c:v>-15.366828023077801</c:v>
                </c:pt>
                <c:pt idx="8">
                  <c:v>-17.881963966258553</c:v>
                </c:pt>
                <c:pt idx="9">
                  <c:v>-20.380480265553302</c:v>
                </c:pt>
                <c:pt idx="10">
                  <c:v>-22.70269351952782</c:v>
                </c:pt>
                <c:pt idx="11">
                  <c:v>-24.966538346737384</c:v>
                </c:pt>
                <c:pt idx="12">
                  <c:v>-27.148325609304372</c:v>
                </c:pt>
                <c:pt idx="13">
                  <c:v>-29.165198320111841</c:v>
                </c:pt>
                <c:pt idx="14">
                  <c:v>-31.222441191698131</c:v>
                </c:pt>
                <c:pt idx="15">
                  <c:v>-33.257044531034929</c:v>
                </c:pt>
                <c:pt idx="16">
                  <c:v>-35.147011990691368</c:v>
                </c:pt>
                <c:pt idx="17">
                  <c:v>-36.914911807508076</c:v>
                </c:pt>
                <c:pt idx="18">
                  <c:v>-38.635087177416573</c:v>
                </c:pt>
                <c:pt idx="19">
                  <c:v>-40.294874637386471</c:v>
                </c:pt>
                <c:pt idx="20">
                  <c:v>-41.984996806545595</c:v>
                </c:pt>
                <c:pt idx="21">
                  <c:v>-43.473402323696234</c:v>
                </c:pt>
                <c:pt idx="22">
                  <c:v>-44.988953540088666</c:v>
                </c:pt>
                <c:pt idx="23">
                  <c:v>-46.464243896681424</c:v>
                </c:pt>
                <c:pt idx="24">
                  <c:v>-47.849064333704476</c:v>
                </c:pt>
                <c:pt idx="25">
                  <c:v>-49.2471195524762</c:v>
                </c:pt>
                <c:pt idx="26">
                  <c:v>-50.515823925446533</c:v>
                </c:pt>
                <c:pt idx="27">
                  <c:v>-51.653167301632159</c:v>
                </c:pt>
                <c:pt idx="28">
                  <c:v>-52.734960436011221</c:v>
                </c:pt>
                <c:pt idx="29">
                  <c:v>-53.718298728933782</c:v>
                </c:pt>
                <c:pt idx="30">
                  <c:v>-54.619472364744695</c:v>
                </c:pt>
                <c:pt idx="31">
                  <c:v>-55.447506848343487</c:v>
                </c:pt>
                <c:pt idx="32">
                  <c:v>-56.263410164375387</c:v>
                </c:pt>
                <c:pt idx="33">
                  <c:v>-57.09613625662498</c:v>
                </c:pt>
                <c:pt idx="34">
                  <c:v>-57.894164573352242</c:v>
                </c:pt>
                <c:pt idx="35">
                  <c:v>-58.660047624944283</c:v>
                </c:pt>
                <c:pt idx="36">
                  <c:v>-59.344624793944632</c:v>
                </c:pt>
                <c:pt idx="37">
                  <c:v>-59.993981425178042</c:v>
                </c:pt>
                <c:pt idx="38">
                  <c:v>-60.609736172685487</c:v>
                </c:pt>
                <c:pt idx="39">
                  <c:v>-61.203700193153587</c:v>
                </c:pt>
                <c:pt idx="40">
                  <c:v>-61.741768959627983</c:v>
                </c:pt>
                <c:pt idx="41">
                  <c:v>-62.257519242891341</c:v>
                </c:pt>
                <c:pt idx="42">
                  <c:v>-62.72758475468968</c:v>
                </c:pt>
                <c:pt idx="43">
                  <c:v>-63.190014278992976</c:v>
                </c:pt>
                <c:pt idx="44">
                  <c:v>-63.604487497989886</c:v>
                </c:pt>
                <c:pt idx="45">
                  <c:v>-63.991745080016976</c:v>
                </c:pt>
                <c:pt idx="46">
                  <c:v>-64.379036510026737</c:v>
                </c:pt>
                <c:pt idx="47">
                  <c:v>-64.734247822861931</c:v>
                </c:pt>
                <c:pt idx="48">
                  <c:v>-65.059245250457508</c:v>
                </c:pt>
                <c:pt idx="49">
                  <c:v>-65.37335814148517</c:v>
                </c:pt>
                <c:pt idx="50">
                  <c:v>-65.673799242855253</c:v>
                </c:pt>
                <c:pt idx="51">
                  <c:v>-65.982857184815316</c:v>
                </c:pt>
                <c:pt idx="52">
                  <c:v>-66.265438231360235</c:v>
                </c:pt>
                <c:pt idx="53">
                  <c:v>-66.551819831797587</c:v>
                </c:pt>
                <c:pt idx="54">
                  <c:v>-66.851142342005218</c:v>
                </c:pt>
                <c:pt idx="55">
                  <c:v>-67.186130704833147</c:v>
                </c:pt>
                <c:pt idx="56">
                  <c:v>-67.520116850095363</c:v>
                </c:pt>
                <c:pt idx="57">
                  <c:v>-67.826699278654544</c:v>
                </c:pt>
                <c:pt idx="58">
                  <c:v>-68.116816188904892</c:v>
                </c:pt>
                <c:pt idx="59">
                  <c:v>-68.384754534139546</c:v>
                </c:pt>
                <c:pt idx="60">
                  <c:v>-68.654554198725748</c:v>
                </c:pt>
                <c:pt idx="61">
                  <c:v>-68.908287033121297</c:v>
                </c:pt>
                <c:pt idx="62">
                  <c:v>-69.190547822596898</c:v>
                </c:pt>
                <c:pt idx="63">
                  <c:v>-69.446991687902582</c:v>
                </c:pt>
                <c:pt idx="64">
                  <c:v>-69.69429316368533</c:v>
                </c:pt>
                <c:pt idx="65">
                  <c:v>-69.925628519966821</c:v>
                </c:pt>
                <c:pt idx="66">
                  <c:v>-70.153919652662921</c:v>
                </c:pt>
                <c:pt idx="67">
                  <c:v>-70.371021463564944</c:v>
                </c:pt>
                <c:pt idx="68">
                  <c:v>-70.587688372719441</c:v>
                </c:pt>
                <c:pt idx="69">
                  <c:v>-70.783258457852313</c:v>
                </c:pt>
                <c:pt idx="70">
                  <c:v>-70.971388132745574</c:v>
                </c:pt>
                <c:pt idx="71">
                  <c:v>-71.147151026235179</c:v>
                </c:pt>
                <c:pt idx="72">
                  <c:v>-71.325749500448126</c:v>
                </c:pt>
                <c:pt idx="73">
                  <c:v>-71.497731574901465</c:v>
                </c:pt>
                <c:pt idx="74">
                  <c:v>-71.661202303615966</c:v>
                </c:pt>
                <c:pt idx="75">
                  <c:v>-71.822896757563853</c:v>
                </c:pt>
                <c:pt idx="76">
                  <c:v>-71.982990661062303</c:v>
                </c:pt>
                <c:pt idx="77">
                  <c:v>-72.141168558296755</c:v>
                </c:pt>
                <c:pt idx="78">
                  <c:v>-72.286911718477342</c:v>
                </c:pt>
                <c:pt idx="79">
                  <c:v>-72.434111459548689</c:v>
                </c:pt>
                <c:pt idx="80">
                  <c:v>-72.584833467125065</c:v>
                </c:pt>
                <c:pt idx="81">
                  <c:v>-72.727062038815646</c:v>
                </c:pt>
                <c:pt idx="82">
                  <c:v>-72.879295797221943</c:v>
                </c:pt>
                <c:pt idx="83">
                  <c:v>-73.018718561627722</c:v>
                </c:pt>
                <c:pt idx="84">
                  <c:v>-73.150248392182647</c:v>
                </c:pt>
                <c:pt idx="85">
                  <c:v>-73.280112675121643</c:v>
                </c:pt>
                <c:pt idx="86">
                  <c:v>-73.397829459556391</c:v>
                </c:pt>
                <c:pt idx="87">
                  <c:v>-73.504250511088699</c:v>
                </c:pt>
                <c:pt idx="88">
                  <c:v>-73.607099652109525</c:v>
                </c:pt>
                <c:pt idx="89">
                  <c:v>-73.700538140500527</c:v>
                </c:pt>
                <c:pt idx="90">
                  <c:v>-73.78530499015848</c:v>
                </c:pt>
                <c:pt idx="91">
                  <c:v>-73.862554201515934</c:v>
                </c:pt>
                <c:pt idx="92">
                  <c:v>-73.93119520457735</c:v>
                </c:pt>
                <c:pt idx="93">
                  <c:v>-73.990812395763328</c:v>
                </c:pt>
                <c:pt idx="94">
                  <c:v>-74.044929940986179</c:v>
                </c:pt>
                <c:pt idx="95">
                  <c:v>-74.093363019237728</c:v>
                </c:pt>
                <c:pt idx="96">
                  <c:v>-74.133655085612247</c:v>
                </c:pt>
                <c:pt idx="97">
                  <c:v>-74.165324026682015</c:v>
                </c:pt>
                <c:pt idx="98">
                  <c:v>-74.188363461618763</c:v>
                </c:pt>
                <c:pt idx="99">
                  <c:v>-74.203653182882249</c:v>
                </c:pt>
                <c:pt idx="100">
                  <c:v>-74.211058244464454</c:v>
                </c:pt>
                <c:pt idx="101">
                  <c:v>-74.211792407836924</c:v>
                </c:pt>
                <c:pt idx="102">
                  <c:v>-74.205736772690457</c:v>
                </c:pt>
                <c:pt idx="103">
                  <c:v>-74.193809357913182</c:v>
                </c:pt>
                <c:pt idx="104">
                  <c:v>-74.176958320718995</c:v>
                </c:pt>
                <c:pt idx="105">
                  <c:v>-74.154155100525628</c:v>
                </c:pt>
                <c:pt idx="106">
                  <c:v>-74.126244835714004</c:v>
                </c:pt>
                <c:pt idx="107">
                  <c:v>-74.093108023731432</c:v>
                </c:pt>
                <c:pt idx="108">
                  <c:v>-74.054676669646838</c:v>
                </c:pt>
                <c:pt idx="109">
                  <c:v>-74.012680237435973</c:v>
                </c:pt>
                <c:pt idx="110">
                  <c:v>-73.965996377298183</c:v>
                </c:pt>
                <c:pt idx="111">
                  <c:v>-73.913846278461051</c:v>
                </c:pt>
                <c:pt idx="112">
                  <c:v>-73.857598573169298</c:v>
                </c:pt>
                <c:pt idx="113">
                  <c:v>-73.796064188991153</c:v>
                </c:pt>
                <c:pt idx="114">
                  <c:v>-73.7326890636256</c:v>
                </c:pt>
                <c:pt idx="115">
                  <c:v>-73.666770452820657</c:v>
                </c:pt>
                <c:pt idx="116">
                  <c:v>-73.596187297999961</c:v>
                </c:pt>
                <c:pt idx="117">
                  <c:v>-73.520284506241197</c:v>
                </c:pt>
                <c:pt idx="118">
                  <c:v>-73.444618669220347</c:v>
                </c:pt>
                <c:pt idx="119">
                  <c:v>-73.367650580228371</c:v>
                </c:pt>
                <c:pt idx="120">
                  <c:v>-73.284703035180669</c:v>
                </c:pt>
                <c:pt idx="121">
                  <c:v>-73.197172072659043</c:v>
                </c:pt>
                <c:pt idx="122">
                  <c:v>-73.104911474822003</c:v>
                </c:pt>
                <c:pt idx="123">
                  <c:v>-73.011057825944775</c:v>
                </c:pt>
                <c:pt idx="124">
                  <c:v>-72.919433388645757</c:v>
                </c:pt>
                <c:pt idx="125">
                  <c:v>-72.82766328456529</c:v>
                </c:pt>
                <c:pt idx="126">
                  <c:v>-72.732066343300062</c:v>
                </c:pt>
                <c:pt idx="127">
                  <c:v>-72.632795397817404</c:v>
                </c:pt>
                <c:pt idx="128">
                  <c:v>-72.531957821169669</c:v>
                </c:pt>
                <c:pt idx="129">
                  <c:v>-72.427280449528084</c:v>
                </c:pt>
                <c:pt idx="130">
                  <c:v>-72.319920472100847</c:v>
                </c:pt>
                <c:pt idx="131">
                  <c:v>-72.208529167873479</c:v>
                </c:pt>
                <c:pt idx="132">
                  <c:v>-72.097478170568451</c:v>
                </c:pt>
                <c:pt idx="133">
                  <c:v>-71.98080411871851</c:v>
                </c:pt>
                <c:pt idx="134">
                  <c:v>-71.861320746321226</c:v>
                </c:pt>
                <c:pt idx="135">
                  <c:v>-71.74100904148257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ConceptDemo!$AA$17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45011</c:v>
                </c:pt>
                <c:pt idx="1">
                  <c:v>45012</c:v>
                </c:pt>
                <c:pt idx="2">
                  <c:v>45013</c:v>
                </c:pt>
                <c:pt idx="3">
                  <c:v>45014</c:v>
                </c:pt>
                <c:pt idx="4">
                  <c:v>45015</c:v>
                </c:pt>
                <c:pt idx="5">
                  <c:v>45016</c:v>
                </c:pt>
                <c:pt idx="6">
                  <c:v>45017</c:v>
                </c:pt>
                <c:pt idx="7">
                  <c:v>45018</c:v>
                </c:pt>
                <c:pt idx="8">
                  <c:v>45019</c:v>
                </c:pt>
                <c:pt idx="9">
                  <c:v>45020</c:v>
                </c:pt>
                <c:pt idx="10">
                  <c:v>45021</c:v>
                </c:pt>
                <c:pt idx="11">
                  <c:v>45022</c:v>
                </c:pt>
                <c:pt idx="12">
                  <c:v>45023</c:v>
                </c:pt>
                <c:pt idx="13">
                  <c:v>45024</c:v>
                </c:pt>
                <c:pt idx="14">
                  <c:v>45025</c:v>
                </c:pt>
                <c:pt idx="15">
                  <c:v>45026</c:v>
                </c:pt>
                <c:pt idx="16">
                  <c:v>45027</c:v>
                </c:pt>
                <c:pt idx="17">
                  <c:v>45028</c:v>
                </c:pt>
                <c:pt idx="18">
                  <c:v>45029</c:v>
                </c:pt>
                <c:pt idx="19">
                  <c:v>45030</c:v>
                </c:pt>
                <c:pt idx="20">
                  <c:v>45031</c:v>
                </c:pt>
                <c:pt idx="21">
                  <c:v>45032</c:v>
                </c:pt>
                <c:pt idx="22">
                  <c:v>45033</c:v>
                </c:pt>
                <c:pt idx="23">
                  <c:v>45034</c:v>
                </c:pt>
                <c:pt idx="24">
                  <c:v>45035</c:v>
                </c:pt>
                <c:pt idx="25">
                  <c:v>45036</c:v>
                </c:pt>
                <c:pt idx="26">
                  <c:v>45037</c:v>
                </c:pt>
                <c:pt idx="27">
                  <c:v>45038</c:v>
                </c:pt>
                <c:pt idx="28">
                  <c:v>45039</c:v>
                </c:pt>
                <c:pt idx="29">
                  <c:v>45040</c:v>
                </c:pt>
                <c:pt idx="30">
                  <c:v>45041</c:v>
                </c:pt>
                <c:pt idx="31">
                  <c:v>45042</c:v>
                </c:pt>
                <c:pt idx="32">
                  <c:v>45043</c:v>
                </c:pt>
                <c:pt idx="33">
                  <c:v>45044</c:v>
                </c:pt>
                <c:pt idx="34">
                  <c:v>45045</c:v>
                </c:pt>
                <c:pt idx="35">
                  <c:v>45046</c:v>
                </c:pt>
                <c:pt idx="36">
                  <c:v>45047</c:v>
                </c:pt>
                <c:pt idx="37">
                  <c:v>45048</c:v>
                </c:pt>
                <c:pt idx="38">
                  <c:v>45049</c:v>
                </c:pt>
                <c:pt idx="39">
                  <c:v>45050</c:v>
                </c:pt>
                <c:pt idx="40">
                  <c:v>45051</c:v>
                </c:pt>
                <c:pt idx="41">
                  <c:v>45052</c:v>
                </c:pt>
                <c:pt idx="42">
                  <c:v>45053</c:v>
                </c:pt>
                <c:pt idx="43">
                  <c:v>45054</c:v>
                </c:pt>
                <c:pt idx="44">
                  <c:v>45055</c:v>
                </c:pt>
                <c:pt idx="45">
                  <c:v>45056</c:v>
                </c:pt>
                <c:pt idx="46">
                  <c:v>45057</c:v>
                </c:pt>
                <c:pt idx="47">
                  <c:v>45058</c:v>
                </c:pt>
                <c:pt idx="48">
                  <c:v>45059</c:v>
                </c:pt>
                <c:pt idx="49">
                  <c:v>45060</c:v>
                </c:pt>
                <c:pt idx="50">
                  <c:v>45061</c:v>
                </c:pt>
                <c:pt idx="51">
                  <c:v>45062</c:v>
                </c:pt>
                <c:pt idx="52">
                  <c:v>45063</c:v>
                </c:pt>
                <c:pt idx="53">
                  <c:v>45064</c:v>
                </c:pt>
                <c:pt idx="54">
                  <c:v>45065</c:v>
                </c:pt>
                <c:pt idx="55">
                  <c:v>45066</c:v>
                </c:pt>
                <c:pt idx="56">
                  <c:v>45067</c:v>
                </c:pt>
                <c:pt idx="57">
                  <c:v>45068</c:v>
                </c:pt>
                <c:pt idx="58">
                  <c:v>45069</c:v>
                </c:pt>
                <c:pt idx="59">
                  <c:v>45070</c:v>
                </c:pt>
                <c:pt idx="60">
                  <c:v>45071</c:v>
                </c:pt>
                <c:pt idx="61">
                  <c:v>45072</c:v>
                </c:pt>
                <c:pt idx="62">
                  <c:v>45073</c:v>
                </c:pt>
                <c:pt idx="63">
                  <c:v>45074</c:v>
                </c:pt>
                <c:pt idx="64">
                  <c:v>45075</c:v>
                </c:pt>
                <c:pt idx="65">
                  <c:v>45076</c:v>
                </c:pt>
                <c:pt idx="66">
                  <c:v>45077</c:v>
                </c:pt>
                <c:pt idx="67">
                  <c:v>45078</c:v>
                </c:pt>
                <c:pt idx="68">
                  <c:v>45079</c:v>
                </c:pt>
                <c:pt idx="69">
                  <c:v>45080</c:v>
                </c:pt>
                <c:pt idx="70">
                  <c:v>45081</c:v>
                </c:pt>
                <c:pt idx="71">
                  <c:v>45082</c:v>
                </c:pt>
                <c:pt idx="72">
                  <c:v>45083</c:v>
                </c:pt>
                <c:pt idx="73">
                  <c:v>45084</c:v>
                </c:pt>
                <c:pt idx="74">
                  <c:v>45085</c:v>
                </c:pt>
                <c:pt idx="75">
                  <c:v>45086</c:v>
                </c:pt>
                <c:pt idx="76">
                  <c:v>45087</c:v>
                </c:pt>
                <c:pt idx="77">
                  <c:v>45088</c:v>
                </c:pt>
                <c:pt idx="78">
                  <c:v>45089</c:v>
                </c:pt>
                <c:pt idx="79">
                  <c:v>45090</c:v>
                </c:pt>
                <c:pt idx="80">
                  <c:v>45091</c:v>
                </c:pt>
                <c:pt idx="81">
                  <c:v>45092</c:v>
                </c:pt>
                <c:pt idx="82">
                  <c:v>45093</c:v>
                </c:pt>
                <c:pt idx="83">
                  <c:v>45094</c:v>
                </c:pt>
                <c:pt idx="84">
                  <c:v>45095</c:v>
                </c:pt>
                <c:pt idx="85">
                  <c:v>45096</c:v>
                </c:pt>
                <c:pt idx="86">
                  <c:v>45097</c:v>
                </c:pt>
                <c:pt idx="87">
                  <c:v>45098</c:v>
                </c:pt>
                <c:pt idx="88">
                  <c:v>45099</c:v>
                </c:pt>
                <c:pt idx="89">
                  <c:v>45100</c:v>
                </c:pt>
                <c:pt idx="90">
                  <c:v>45101</c:v>
                </c:pt>
                <c:pt idx="91">
                  <c:v>45102</c:v>
                </c:pt>
                <c:pt idx="92">
                  <c:v>45103</c:v>
                </c:pt>
                <c:pt idx="93">
                  <c:v>45104</c:v>
                </c:pt>
                <c:pt idx="94">
                  <c:v>45105</c:v>
                </c:pt>
                <c:pt idx="95">
                  <c:v>45106</c:v>
                </c:pt>
                <c:pt idx="96">
                  <c:v>45107</c:v>
                </c:pt>
                <c:pt idx="97">
                  <c:v>45108</c:v>
                </c:pt>
                <c:pt idx="98">
                  <c:v>45109</c:v>
                </c:pt>
                <c:pt idx="99">
                  <c:v>45110</c:v>
                </c:pt>
                <c:pt idx="100">
                  <c:v>45111</c:v>
                </c:pt>
                <c:pt idx="101">
                  <c:v>45112</c:v>
                </c:pt>
                <c:pt idx="102">
                  <c:v>45113</c:v>
                </c:pt>
                <c:pt idx="103">
                  <c:v>45114</c:v>
                </c:pt>
                <c:pt idx="104">
                  <c:v>45115</c:v>
                </c:pt>
                <c:pt idx="105">
                  <c:v>45116</c:v>
                </c:pt>
                <c:pt idx="106">
                  <c:v>45117</c:v>
                </c:pt>
                <c:pt idx="107">
                  <c:v>45118</c:v>
                </c:pt>
                <c:pt idx="108">
                  <c:v>45119</c:v>
                </c:pt>
                <c:pt idx="109">
                  <c:v>45120</c:v>
                </c:pt>
                <c:pt idx="110">
                  <c:v>45121</c:v>
                </c:pt>
                <c:pt idx="111">
                  <c:v>45122</c:v>
                </c:pt>
                <c:pt idx="112">
                  <c:v>45123</c:v>
                </c:pt>
                <c:pt idx="113">
                  <c:v>45124</c:v>
                </c:pt>
                <c:pt idx="114">
                  <c:v>45125</c:v>
                </c:pt>
                <c:pt idx="115">
                  <c:v>45126</c:v>
                </c:pt>
                <c:pt idx="116">
                  <c:v>45127</c:v>
                </c:pt>
                <c:pt idx="117">
                  <c:v>45128</c:v>
                </c:pt>
                <c:pt idx="118">
                  <c:v>45129</c:v>
                </c:pt>
                <c:pt idx="119">
                  <c:v>45130</c:v>
                </c:pt>
                <c:pt idx="120">
                  <c:v>45131</c:v>
                </c:pt>
                <c:pt idx="121">
                  <c:v>45132</c:v>
                </c:pt>
                <c:pt idx="122">
                  <c:v>45133</c:v>
                </c:pt>
                <c:pt idx="123">
                  <c:v>45134</c:v>
                </c:pt>
                <c:pt idx="124">
                  <c:v>45135</c:v>
                </c:pt>
                <c:pt idx="125">
                  <c:v>45136</c:v>
                </c:pt>
                <c:pt idx="126">
                  <c:v>45137</c:v>
                </c:pt>
                <c:pt idx="127">
                  <c:v>45138</c:v>
                </c:pt>
                <c:pt idx="128">
                  <c:v>45139</c:v>
                </c:pt>
                <c:pt idx="129">
                  <c:v>45140</c:v>
                </c:pt>
                <c:pt idx="130">
                  <c:v>45141</c:v>
                </c:pt>
                <c:pt idx="131">
                  <c:v>45142</c:v>
                </c:pt>
                <c:pt idx="132">
                  <c:v>45143</c:v>
                </c:pt>
                <c:pt idx="133">
                  <c:v>45144</c:v>
                </c:pt>
                <c:pt idx="134">
                  <c:v>45145</c:v>
                </c:pt>
                <c:pt idx="135">
                  <c:v>45146</c:v>
                </c:pt>
                <c:pt idx="136">
                  <c:v>45147</c:v>
                </c:pt>
                <c:pt idx="137">
                  <c:v>45148</c:v>
                </c:pt>
                <c:pt idx="138">
                  <c:v>45149</c:v>
                </c:pt>
                <c:pt idx="139">
                  <c:v>45150</c:v>
                </c:pt>
                <c:pt idx="140">
                  <c:v>45151</c:v>
                </c:pt>
                <c:pt idx="141">
                  <c:v>45152</c:v>
                </c:pt>
                <c:pt idx="142">
                  <c:v>45153</c:v>
                </c:pt>
                <c:pt idx="143">
                  <c:v>45154</c:v>
                </c:pt>
                <c:pt idx="144">
                  <c:v>45155</c:v>
                </c:pt>
                <c:pt idx="145">
                  <c:v>45156</c:v>
                </c:pt>
                <c:pt idx="146">
                  <c:v>45157</c:v>
                </c:pt>
                <c:pt idx="147">
                  <c:v>45158</c:v>
                </c:pt>
                <c:pt idx="148">
                  <c:v>45159</c:v>
                </c:pt>
                <c:pt idx="149">
                  <c:v>45160</c:v>
                </c:pt>
                <c:pt idx="150">
                  <c:v>45161</c:v>
                </c:pt>
                <c:pt idx="151">
                  <c:v>45162</c:v>
                </c:pt>
                <c:pt idx="152">
                  <c:v>45163</c:v>
                </c:pt>
                <c:pt idx="153">
                  <c:v>45164</c:v>
                </c:pt>
                <c:pt idx="154">
                  <c:v>45165</c:v>
                </c:pt>
                <c:pt idx="155">
                  <c:v>45166</c:v>
                </c:pt>
                <c:pt idx="156">
                  <c:v>45167</c:v>
                </c:pt>
                <c:pt idx="157">
                  <c:v>45168</c:v>
                </c:pt>
                <c:pt idx="158">
                  <c:v>45169</c:v>
                </c:pt>
                <c:pt idx="159">
                  <c:v>45170</c:v>
                </c:pt>
                <c:pt idx="160">
                  <c:v>45171</c:v>
                </c:pt>
                <c:pt idx="161">
                  <c:v>45172</c:v>
                </c:pt>
                <c:pt idx="162">
                  <c:v>45173</c:v>
                </c:pt>
                <c:pt idx="163">
                  <c:v>45174</c:v>
                </c:pt>
                <c:pt idx="164">
                  <c:v>45175</c:v>
                </c:pt>
                <c:pt idx="165">
                  <c:v>45176</c:v>
                </c:pt>
                <c:pt idx="166">
                  <c:v>45177</c:v>
                </c:pt>
                <c:pt idx="167">
                  <c:v>45178</c:v>
                </c:pt>
                <c:pt idx="168">
                  <c:v>45179</c:v>
                </c:pt>
                <c:pt idx="169">
                  <c:v>45180</c:v>
                </c:pt>
                <c:pt idx="170">
                  <c:v>45181</c:v>
                </c:pt>
                <c:pt idx="171">
                  <c:v>45182</c:v>
                </c:pt>
                <c:pt idx="172">
                  <c:v>45183</c:v>
                </c:pt>
                <c:pt idx="173">
                  <c:v>45184</c:v>
                </c:pt>
                <c:pt idx="174">
                  <c:v>45185</c:v>
                </c:pt>
                <c:pt idx="175">
                  <c:v>45186</c:v>
                </c:pt>
                <c:pt idx="176">
                  <c:v>45187</c:v>
                </c:pt>
                <c:pt idx="177">
                  <c:v>45188</c:v>
                </c:pt>
                <c:pt idx="178">
                  <c:v>45189</c:v>
                </c:pt>
                <c:pt idx="179">
                  <c:v>45190</c:v>
                </c:pt>
                <c:pt idx="180">
                  <c:v>45191</c:v>
                </c:pt>
                <c:pt idx="181">
                  <c:v>45192</c:v>
                </c:pt>
                <c:pt idx="182">
                  <c:v>45193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45199</c:v>
                </c:pt>
                <c:pt idx="189">
                  <c:v>45200</c:v>
                </c:pt>
                <c:pt idx="190">
                  <c:v>45201</c:v>
                </c:pt>
                <c:pt idx="191">
                  <c:v>45202</c:v>
                </c:pt>
                <c:pt idx="192">
                  <c:v>45203</c:v>
                </c:pt>
                <c:pt idx="193">
                  <c:v>45204</c:v>
                </c:pt>
                <c:pt idx="194">
                  <c:v>45205</c:v>
                </c:pt>
                <c:pt idx="195">
                  <c:v>45206</c:v>
                </c:pt>
                <c:pt idx="196">
                  <c:v>45207</c:v>
                </c:pt>
                <c:pt idx="197">
                  <c:v>45208</c:v>
                </c:pt>
                <c:pt idx="198">
                  <c:v>45209</c:v>
                </c:pt>
                <c:pt idx="199">
                  <c:v>45210</c:v>
                </c:pt>
                <c:pt idx="200">
                  <c:v>45211</c:v>
                </c:pt>
                <c:pt idx="201">
                  <c:v>45212</c:v>
                </c:pt>
                <c:pt idx="202">
                  <c:v>45213</c:v>
                </c:pt>
                <c:pt idx="203">
                  <c:v>45214</c:v>
                </c:pt>
                <c:pt idx="204">
                  <c:v>45215</c:v>
                </c:pt>
                <c:pt idx="205">
                  <c:v>45216</c:v>
                </c:pt>
                <c:pt idx="206">
                  <c:v>45217</c:v>
                </c:pt>
                <c:pt idx="207">
                  <c:v>45218</c:v>
                </c:pt>
                <c:pt idx="208">
                  <c:v>45219</c:v>
                </c:pt>
                <c:pt idx="209">
                  <c:v>45220</c:v>
                </c:pt>
                <c:pt idx="210">
                  <c:v>45221</c:v>
                </c:pt>
                <c:pt idx="211">
                  <c:v>45222</c:v>
                </c:pt>
                <c:pt idx="212">
                  <c:v>45223</c:v>
                </c:pt>
                <c:pt idx="213">
                  <c:v>45224</c:v>
                </c:pt>
                <c:pt idx="214">
                  <c:v>45225</c:v>
                </c:pt>
                <c:pt idx="215">
                  <c:v>45226</c:v>
                </c:pt>
                <c:pt idx="216">
                  <c:v>45227</c:v>
                </c:pt>
                <c:pt idx="217">
                  <c:v>45228</c:v>
                </c:pt>
                <c:pt idx="218">
                  <c:v>45229</c:v>
                </c:pt>
                <c:pt idx="219">
                  <c:v>45230</c:v>
                </c:pt>
                <c:pt idx="220">
                  <c:v>45231</c:v>
                </c:pt>
                <c:pt idx="221">
                  <c:v>45232</c:v>
                </c:pt>
                <c:pt idx="222">
                  <c:v>45233</c:v>
                </c:pt>
                <c:pt idx="223">
                  <c:v>45234</c:v>
                </c:pt>
                <c:pt idx="224">
                  <c:v>45235</c:v>
                </c:pt>
                <c:pt idx="225">
                  <c:v>45236</c:v>
                </c:pt>
                <c:pt idx="226">
                  <c:v>45237</c:v>
                </c:pt>
                <c:pt idx="227">
                  <c:v>45238</c:v>
                </c:pt>
                <c:pt idx="228">
                  <c:v>45239</c:v>
                </c:pt>
                <c:pt idx="229">
                  <c:v>45240</c:v>
                </c:pt>
                <c:pt idx="230">
                  <c:v>45241</c:v>
                </c:pt>
                <c:pt idx="231">
                  <c:v>45242</c:v>
                </c:pt>
                <c:pt idx="232">
                  <c:v>45243</c:v>
                </c:pt>
                <c:pt idx="233">
                  <c:v>45244</c:v>
                </c:pt>
                <c:pt idx="234">
                  <c:v>45245</c:v>
                </c:pt>
                <c:pt idx="235">
                  <c:v>45246</c:v>
                </c:pt>
                <c:pt idx="236">
                  <c:v>45247</c:v>
                </c:pt>
                <c:pt idx="237">
                  <c:v>45248</c:v>
                </c:pt>
                <c:pt idx="238">
                  <c:v>45249</c:v>
                </c:pt>
                <c:pt idx="239">
                  <c:v>45250</c:v>
                </c:pt>
                <c:pt idx="240">
                  <c:v>45251</c:v>
                </c:pt>
                <c:pt idx="241">
                  <c:v>45252</c:v>
                </c:pt>
                <c:pt idx="242">
                  <c:v>45253</c:v>
                </c:pt>
                <c:pt idx="243">
                  <c:v>45254</c:v>
                </c:pt>
                <c:pt idx="244">
                  <c:v>45255</c:v>
                </c:pt>
                <c:pt idx="245">
                  <c:v>45256</c:v>
                </c:pt>
                <c:pt idx="246">
                  <c:v>45257</c:v>
                </c:pt>
                <c:pt idx="247">
                  <c:v>45258</c:v>
                </c:pt>
                <c:pt idx="248">
                  <c:v>45259</c:v>
                </c:pt>
                <c:pt idx="249">
                  <c:v>45260</c:v>
                </c:pt>
                <c:pt idx="250">
                  <c:v>45261</c:v>
                </c:pt>
                <c:pt idx="251">
                  <c:v>45262</c:v>
                </c:pt>
                <c:pt idx="252">
                  <c:v>45263</c:v>
                </c:pt>
                <c:pt idx="253">
                  <c:v>45264</c:v>
                </c:pt>
                <c:pt idx="254">
                  <c:v>45265</c:v>
                </c:pt>
                <c:pt idx="255">
                  <c:v>45266</c:v>
                </c:pt>
                <c:pt idx="256">
                  <c:v>45267</c:v>
                </c:pt>
                <c:pt idx="257">
                  <c:v>45268</c:v>
                </c:pt>
                <c:pt idx="258">
                  <c:v>45269</c:v>
                </c:pt>
                <c:pt idx="259">
                  <c:v>45270</c:v>
                </c:pt>
                <c:pt idx="260">
                  <c:v>45271</c:v>
                </c:pt>
                <c:pt idx="261">
                  <c:v>45272</c:v>
                </c:pt>
                <c:pt idx="262">
                  <c:v>45273</c:v>
                </c:pt>
                <c:pt idx="263">
                  <c:v>45274</c:v>
                </c:pt>
                <c:pt idx="264">
                  <c:v>45275</c:v>
                </c:pt>
                <c:pt idx="265">
                  <c:v>45276</c:v>
                </c:pt>
                <c:pt idx="266">
                  <c:v>45277</c:v>
                </c:pt>
                <c:pt idx="267">
                  <c:v>45278</c:v>
                </c:pt>
                <c:pt idx="268">
                  <c:v>45279</c:v>
                </c:pt>
                <c:pt idx="269">
                  <c:v>45280</c:v>
                </c:pt>
                <c:pt idx="270">
                  <c:v>45281</c:v>
                </c:pt>
                <c:pt idx="271">
                  <c:v>45282</c:v>
                </c:pt>
                <c:pt idx="272">
                  <c:v>45283</c:v>
                </c:pt>
                <c:pt idx="273">
                  <c:v>45284</c:v>
                </c:pt>
                <c:pt idx="274">
                  <c:v>45285</c:v>
                </c:pt>
                <c:pt idx="275">
                  <c:v>45286</c:v>
                </c:pt>
                <c:pt idx="276">
                  <c:v>45287</c:v>
                </c:pt>
                <c:pt idx="277">
                  <c:v>45288</c:v>
                </c:pt>
                <c:pt idx="278">
                  <c:v>45289</c:v>
                </c:pt>
                <c:pt idx="279">
                  <c:v>45290</c:v>
                </c:pt>
                <c:pt idx="280">
                  <c:v>45291</c:v>
                </c:pt>
                <c:pt idx="281">
                  <c:v>45292</c:v>
                </c:pt>
                <c:pt idx="282">
                  <c:v>45293</c:v>
                </c:pt>
                <c:pt idx="283">
                  <c:v>45294</c:v>
                </c:pt>
                <c:pt idx="284">
                  <c:v>45295</c:v>
                </c:pt>
                <c:pt idx="285">
                  <c:v>45296</c:v>
                </c:pt>
                <c:pt idx="286">
                  <c:v>45297</c:v>
                </c:pt>
                <c:pt idx="287">
                  <c:v>45298</c:v>
                </c:pt>
                <c:pt idx="288">
                  <c:v>45299</c:v>
                </c:pt>
                <c:pt idx="289">
                  <c:v>45300</c:v>
                </c:pt>
                <c:pt idx="290">
                  <c:v>45301</c:v>
                </c:pt>
                <c:pt idx="291">
                  <c:v>45302</c:v>
                </c:pt>
                <c:pt idx="292">
                  <c:v>45303</c:v>
                </c:pt>
                <c:pt idx="293">
                  <c:v>45304</c:v>
                </c:pt>
                <c:pt idx="294">
                  <c:v>45305</c:v>
                </c:pt>
                <c:pt idx="295">
                  <c:v>45306</c:v>
                </c:pt>
                <c:pt idx="296">
                  <c:v>45307</c:v>
                </c:pt>
                <c:pt idx="297">
                  <c:v>45308</c:v>
                </c:pt>
                <c:pt idx="298">
                  <c:v>45309</c:v>
                </c:pt>
                <c:pt idx="299">
                  <c:v>45310</c:v>
                </c:pt>
                <c:pt idx="300">
                  <c:v>45311</c:v>
                </c:pt>
                <c:pt idx="301">
                  <c:v>45312</c:v>
                </c:pt>
                <c:pt idx="302">
                  <c:v>45313</c:v>
                </c:pt>
                <c:pt idx="303">
                  <c:v>45314</c:v>
                </c:pt>
                <c:pt idx="304">
                  <c:v>45315</c:v>
                </c:pt>
                <c:pt idx="305">
                  <c:v>45316</c:v>
                </c:pt>
                <c:pt idx="306">
                  <c:v>45317</c:v>
                </c:pt>
                <c:pt idx="307">
                  <c:v>45318</c:v>
                </c:pt>
                <c:pt idx="308">
                  <c:v>45319</c:v>
                </c:pt>
                <c:pt idx="309">
                  <c:v>45320</c:v>
                </c:pt>
                <c:pt idx="310">
                  <c:v>45321</c:v>
                </c:pt>
                <c:pt idx="311">
                  <c:v>45322</c:v>
                </c:pt>
                <c:pt idx="312">
                  <c:v>45323</c:v>
                </c:pt>
                <c:pt idx="313">
                  <c:v>45324</c:v>
                </c:pt>
                <c:pt idx="314">
                  <c:v>45325</c:v>
                </c:pt>
                <c:pt idx="315">
                  <c:v>45326</c:v>
                </c:pt>
                <c:pt idx="316">
                  <c:v>45327</c:v>
                </c:pt>
                <c:pt idx="317">
                  <c:v>45328</c:v>
                </c:pt>
                <c:pt idx="318">
                  <c:v>45329</c:v>
                </c:pt>
                <c:pt idx="319">
                  <c:v>45330</c:v>
                </c:pt>
                <c:pt idx="320">
                  <c:v>45331</c:v>
                </c:pt>
                <c:pt idx="321">
                  <c:v>45332</c:v>
                </c:pt>
                <c:pt idx="322">
                  <c:v>45333</c:v>
                </c:pt>
                <c:pt idx="323">
                  <c:v>45334</c:v>
                </c:pt>
                <c:pt idx="324">
                  <c:v>45335</c:v>
                </c:pt>
                <c:pt idx="325">
                  <c:v>45336</c:v>
                </c:pt>
                <c:pt idx="326">
                  <c:v>45337</c:v>
                </c:pt>
                <c:pt idx="327">
                  <c:v>45338</c:v>
                </c:pt>
                <c:pt idx="328">
                  <c:v>45339</c:v>
                </c:pt>
                <c:pt idx="329">
                  <c:v>45340</c:v>
                </c:pt>
                <c:pt idx="330">
                  <c:v>45341</c:v>
                </c:pt>
                <c:pt idx="331">
                  <c:v>45342</c:v>
                </c:pt>
                <c:pt idx="332">
                  <c:v>45343</c:v>
                </c:pt>
                <c:pt idx="333">
                  <c:v>45344</c:v>
                </c:pt>
                <c:pt idx="334">
                  <c:v>45345</c:v>
                </c:pt>
                <c:pt idx="335">
                  <c:v>45346</c:v>
                </c:pt>
                <c:pt idx="336">
                  <c:v>45347</c:v>
                </c:pt>
                <c:pt idx="337">
                  <c:v>45348</c:v>
                </c:pt>
                <c:pt idx="338">
                  <c:v>45349</c:v>
                </c:pt>
                <c:pt idx="339">
                  <c:v>45350</c:v>
                </c:pt>
                <c:pt idx="340">
                  <c:v>45351</c:v>
                </c:pt>
                <c:pt idx="341">
                  <c:v>45352</c:v>
                </c:pt>
                <c:pt idx="342">
                  <c:v>45353</c:v>
                </c:pt>
                <c:pt idx="343">
                  <c:v>45354</c:v>
                </c:pt>
                <c:pt idx="344">
                  <c:v>45355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108</c:v>
                </c:pt>
                <c:pt idx="1">
                  <c:v>105.44869565217392</c:v>
                </c:pt>
                <c:pt idx="2">
                  <c:v>102.17993043478262</c:v>
                </c:pt>
                <c:pt idx="3">
                  <c:v>99.210585885318224</c:v>
                </c:pt>
                <c:pt idx="4">
                  <c:v>99.159743887217701</c:v>
                </c:pt>
                <c:pt idx="5">
                  <c:v>98.031790027871537</c:v>
                </c:pt>
                <c:pt idx="6">
                  <c:v>95.650982955641211</c:v>
                </c:pt>
                <c:pt idx="7">
                  <c:v>92.822053026406934</c:v>
                </c:pt>
                <c:pt idx="8">
                  <c:v>91.283448638130579</c:v>
                </c:pt>
                <c:pt idx="9">
                  <c:v>90.614347374159522</c:v>
                </c:pt>
                <c:pt idx="10">
                  <c:v>89.517195973484789</c:v>
                </c:pt>
                <c:pt idx="11">
                  <c:v>90.191560470116869</c:v>
                </c:pt>
                <c:pt idx="12">
                  <c:v>92.91045696841249</c:v>
                </c:pt>
                <c:pt idx="13">
                  <c:v>92.940469588049737</c:v>
                </c:pt>
                <c:pt idx="14">
                  <c:v>94.769819356674759</c:v>
                </c:pt>
                <c:pt idx="15">
                  <c:v>95.026099508483028</c:v>
                </c:pt>
                <c:pt idx="16">
                  <c:v>94.238754797551451</c:v>
                </c:pt>
                <c:pt idx="17">
                  <c:v>94.47150925578741</c:v>
                </c:pt>
                <c:pt idx="18">
                  <c:v>93.781717998082058</c:v>
                </c:pt>
                <c:pt idx="19">
                  <c:v>93.016977530526333</c:v>
                </c:pt>
                <c:pt idx="20">
                  <c:v>90.28801581653002</c:v>
                </c:pt>
                <c:pt idx="21">
                  <c:v>89.444586598442442</c:v>
                </c:pt>
                <c:pt idx="22">
                  <c:v>89.678994104386618</c:v>
                </c:pt>
                <c:pt idx="23">
                  <c:v>89.362477040763451</c:v>
                </c:pt>
                <c:pt idx="24">
                  <c:v>88.306922403573921</c:v>
                </c:pt>
                <c:pt idx="25">
                  <c:v>88.126814482205617</c:v>
                </c:pt>
                <c:pt idx="26">
                  <c:v>88.568595878341682</c:v>
                </c:pt>
                <c:pt idx="27">
                  <c:v>87.503108870104725</c:v>
                </c:pt>
                <c:pt idx="28">
                  <c:v>86.155011682834683</c:v>
                </c:pt>
                <c:pt idx="29">
                  <c:v>86.91537028330842</c:v>
                </c:pt>
                <c:pt idx="30">
                  <c:v>87.492619694267134</c:v>
                </c:pt>
                <c:pt idx="31">
                  <c:v>85.797688268349404</c:v>
                </c:pt>
                <c:pt idx="32">
                  <c:v>86.728010472680779</c:v>
                </c:pt>
                <c:pt idx="33">
                  <c:v>88.02045763622516</c:v>
                </c:pt>
                <c:pt idx="34">
                  <c:v>95.378303719437355</c:v>
                </c:pt>
                <c:pt idx="35">
                  <c:v>97.593091484197345</c:v>
                </c:pt>
                <c:pt idx="36">
                  <c:v>97.092772905204967</c:v>
                </c:pt>
                <c:pt idx="37">
                  <c:v>96.514359469281658</c:v>
                </c:pt>
                <c:pt idx="38">
                  <c:v>95.642670445544766</c:v>
                </c:pt>
                <c:pt idx="39">
                  <c:v>96.152387920297173</c:v>
                </c:pt>
                <c:pt idx="40">
                  <c:v>95.836632259566045</c:v>
                </c:pt>
                <c:pt idx="41">
                  <c:v>98.813136378137955</c:v>
                </c:pt>
                <c:pt idx="42">
                  <c:v>98.330873430833833</c:v>
                </c:pt>
                <c:pt idx="43">
                  <c:v>101.21946035142638</c:v>
                </c:pt>
                <c:pt idx="44">
                  <c:v>100.20527787530659</c:v>
                </c:pt>
                <c:pt idx="45">
                  <c:v>101.60996854341613</c:v>
                </c:pt>
                <c:pt idx="46">
                  <c:v>100.75581430046805</c:v>
                </c:pt>
                <c:pt idx="47">
                  <c:v>101.47947570192434</c:v>
                </c:pt>
                <c:pt idx="48">
                  <c:v>101.21114954094999</c:v>
                </c:pt>
                <c:pt idx="49">
                  <c:v>101.79553156447852</c:v>
                </c:pt>
                <c:pt idx="50">
                  <c:v>102.06805735048395</c:v>
                </c:pt>
                <c:pt idx="51">
                  <c:v>102.94850243449059</c:v>
                </c:pt>
                <c:pt idx="52">
                  <c:v>105.41614311255469</c:v>
                </c:pt>
                <c:pt idx="53">
                  <c:v>105.83190133994246</c:v>
                </c:pt>
                <c:pt idx="54">
                  <c:v>106.36077141254859</c:v>
                </c:pt>
                <c:pt idx="55">
                  <c:v>107.5531647727784</c:v>
                </c:pt>
                <c:pt idx="56">
                  <c:v>109.63805414483855</c:v>
                </c:pt>
                <c:pt idx="57">
                  <c:v>110.55475043660357</c:v>
                </c:pt>
                <c:pt idx="58">
                  <c:v>111.13903047256913</c:v>
                </c:pt>
                <c:pt idx="59">
                  <c:v>114.95025524034465</c:v>
                </c:pt>
                <c:pt idx="60">
                  <c:v>116.11978173828541</c:v>
                </c:pt>
                <c:pt idx="61">
                  <c:v>120</c:v>
                </c:pt>
                <c:pt idx="62">
                  <c:v>119.19999999999999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118.67826086956524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119.80869565217391</c:v>
                </c:pt>
                <c:pt idx="102">
                  <c:v>120</c:v>
                </c:pt>
                <c:pt idx="103">
                  <c:v>119.87826086956522</c:v>
                </c:pt>
                <c:pt idx="104">
                  <c:v>120</c:v>
                </c:pt>
                <c:pt idx="105">
                  <c:v>120</c:v>
                </c:pt>
                <c:pt idx="106">
                  <c:v>119.91304347826087</c:v>
                </c:pt>
                <c:pt idx="107">
                  <c:v>120</c:v>
                </c:pt>
                <c:pt idx="108">
                  <c:v>120</c:v>
                </c:pt>
                <c:pt idx="109">
                  <c:v>120</c:v>
                </c:pt>
                <c:pt idx="110">
                  <c:v>119.73913043478262</c:v>
                </c:pt>
                <c:pt idx="111">
                  <c:v>119.56880010340755</c:v>
                </c:pt>
                <c:pt idx="112">
                  <c:v>120</c:v>
                </c:pt>
                <c:pt idx="113">
                  <c:v>120</c:v>
                </c:pt>
                <c:pt idx="114">
                  <c:v>120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119.07826086956521</c:v>
                </c:pt>
                <c:pt idx="120">
                  <c:v>117.8938473054429</c:v>
                </c:pt>
                <c:pt idx="121">
                  <c:v>120</c:v>
                </c:pt>
                <c:pt idx="122">
                  <c:v>119.80869565217391</c:v>
                </c:pt>
                <c:pt idx="123">
                  <c:v>120</c:v>
                </c:pt>
                <c:pt idx="124">
                  <c:v>118.8</c:v>
                </c:pt>
                <c:pt idx="125">
                  <c:v>117.53638161363031</c:v>
                </c:pt>
                <c:pt idx="126">
                  <c:v>117.55154279486683</c:v>
                </c:pt>
                <c:pt idx="127">
                  <c:v>116.14291867654349</c:v>
                </c:pt>
                <c:pt idx="128">
                  <c:v>116.5669834761505</c:v>
                </c:pt>
                <c:pt idx="129">
                  <c:v>116.56205634788313</c:v>
                </c:pt>
                <c:pt idx="130">
                  <c:v>115.7297972747497</c:v>
                </c:pt>
                <c:pt idx="131">
                  <c:v>116.02676319889727</c:v>
                </c:pt>
                <c:pt idx="132">
                  <c:v>116.46799199028598</c:v>
                </c:pt>
                <c:pt idx="133">
                  <c:v>114.98531395535203</c:v>
                </c:pt>
                <c:pt idx="134">
                  <c:v>118.31346463920408</c:v>
                </c:pt>
                <c:pt idx="135">
                  <c:v>120</c:v>
                </c:pt>
                <c:pt idx="136">
                  <c:v>120</c:v>
                </c:pt>
                <c:pt idx="137">
                  <c:v>120</c:v>
                </c:pt>
                <c:pt idx="138">
                  <c:v>120</c:v>
                </c:pt>
                <c:pt idx="139">
                  <c:v>119.23478260869565</c:v>
                </c:pt>
                <c:pt idx="140">
                  <c:v>119.77226297339043</c:v>
                </c:pt>
                <c:pt idx="141">
                  <c:v>120</c:v>
                </c:pt>
                <c:pt idx="142">
                  <c:v>120</c:v>
                </c:pt>
                <c:pt idx="143">
                  <c:v>120</c:v>
                </c:pt>
                <c:pt idx="144">
                  <c:v>120</c:v>
                </c:pt>
                <c:pt idx="145">
                  <c:v>120</c:v>
                </c:pt>
                <c:pt idx="146">
                  <c:v>120</c:v>
                </c:pt>
                <c:pt idx="147">
                  <c:v>118.97391304347828</c:v>
                </c:pt>
                <c:pt idx="148">
                  <c:v>120</c:v>
                </c:pt>
                <c:pt idx="149">
                  <c:v>120</c:v>
                </c:pt>
                <c:pt idx="150">
                  <c:v>120</c:v>
                </c:pt>
                <c:pt idx="151">
                  <c:v>117.23478260869565</c:v>
                </c:pt>
                <c:pt idx="152">
                  <c:v>116.251738584503</c:v>
                </c:pt>
                <c:pt idx="153">
                  <c:v>117.64524095267051</c:v>
                </c:pt>
                <c:pt idx="154">
                  <c:v>119.41754429957076</c:v>
                </c:pt>
                <c:pt idx="155">
                  <c:v>119.1870049446849</c:v>
                </c:pt>
                <c:pt idx="156">
                  <c:v>119.60396542214983</c:v>
                </c:pt>
                <c:pt idx="157">
                  <c:v>118.37790386509519</c:v>
                </c:pt>
                <c:pt idx="158">
                  <c:v>115.96332424584973</c:v>
                </c:pt>
                <c:pt idx="159">
                  <c:v>114.72965661089439</c:v>
                </c:pt>
                <c:pt idx="160">
                  <c:v>113.04914726262575</c:v>
                </c:pt>
                <c:pt idx="161">
                  <c:v>111.34573088598034</c:v>
                </c:pt>
                <c:pt idx="162">
                  <c:v>109.61524731713271</c:v>
                </c:pt>
                <c:pt idx="163">
                  <c:v>107.98926900528018</c:v>
                </c:pt>
                <c:pt idx="164">
                  <c:v>106.51816896063357</c:v>
                </c:pt>
                <c:pt idx="165">
                  <c:v>103.48399402606434</c:v>
                </c:pt>
                <c:pt idx="166">
                  <c:v>101.41811681206984</c:v>
                </c:pt>
                <c:pt idx="167">
                  <c:v>99.759922115052021</c:v>
                </c:pt>
                <c:pt idx="168">
                  <c:v>97.595711219480108</c:v>
                </c:pt>
                <c:pt idx="169">
                  <c:v>96.893939047557311</c:v>
                </c:pt>
                <c:pt idx="170">
                  <c:v>95.373405587555496</c:v>
                </c:pt>
                <c:pt idx="171">
                  <c:v>94.550282056753446</c:v>
                </c:pt>
                <c:pt idx="172">
                  <c:v>92.239266885165108</c:v>
                </c:pt>
                <c:pt idx="173">
                  <c:v>89.186957504905877</c:v>
                </c:pt>
                <c:pt idx="174">
                  <c:v>85.169890657257781</c:v>
                </c:pt>
                <c:pt idx="175">
                  <c:v>81.7840693631031</c:v>
                </c:pt>
                <c:pt idx="176">
                  <c:v>80.353853282748844</c:v>
                </c:pt>
                <c:pt idx="177">
                  <c:v>79.630086086983511</c:v>
                </c:pt>
                <c:pt idx="178">
                  <c:v>78.379356801845603</c:v>
                </c:pt>
                <c:pt idx="179">
                  <c:v>76.759996726054112</c:v>
                </c:pt>
                <c:pt idx="180">
                  <c:v>75.298636387476165</c:v>
                </c:pt>
                <c:pt idx="181">
                  <c:v>72.930262460413658</c:v>
                </c:pt>
                <c:pt idx="182">
                  <c:v>72.968407109443575</c:v>
                </c:pt>
                <c:pt idx="183">
                  <c:v>73.737998567164738</c:v>
                </c:pt>
                <c:pt idx="184">
                  <c:v>72.232147975250967</c:v>
                </c:pt>
                <c:pt idx="185">
                  <c:v>68.782938912332256</c:v>
                </c:pt>
                <c:pt idx="186">
                  <c:v>69.489888740951884</c:v>
                </c:pt>
                <c:pt idx="187">
                  <c:v>69.31142355927291</c:v>
                </c:pt>
                <c:pt idx="188">
                  <c:v>65.308115729497089</c:v>
                </c:pt>
                <c:pt idx="189">
                  <c:v>61.35363447008217</c:v>
                </c:pt>
                <c:pt idx="190">
                  <c:v>58.413809523290503</c:v>
                </c:pt>
                <c:pt idx="191">
                  <c:v>59.28437199634616</c:v>
                </c:pt>
                <c:pt idx="192">
                  <c:v>60.707945402872141</c:v>
                </c:pt>
                <c:pt idx="193">
                  <c:v>58.872496010623045</c:v>
                </c:pt>
                <c:pt idx="194">
                  <c:v>55.940332540867296</c:v>
                </c:pt>
                <c:pt idx="195">
                  <c:v>53.426227804311715</c:v>
                </c:pt>
                <c:pt idx="196">
                  <c:v>56.356092012427709</c:v>
                </c:pt>
                <c:pt idx="197">
                  <c:v>57.648887554142121</c:v>
                </c:pt>
                <c:pt idx="198">
                  <c:v>58.179878722494273</c:v>
                </c:pt>
                <c:pt idx="199">
                  <c:v>56.838996120248964</c:v>
                </c:pt>
                <c:pt idx="200">
                  <c:v>54.642025625360112</c:v>
                </c:pt>
                <c:pt idx="201">
                  <c:v>55.189287573178859</c:v>
                </c:pt>
                <c:pt idx="202">
                  <c:v>53.480678409790976</c:v>
                </c:pt>
                <c:pt idx="203">
                  <c:v>50.760119609410523</c:v>
                </c:pt>
                <c:pt idx="204">
                  <c:v>47.516795088730873</c:v>
                </c:pt>
                <c:pt idx="205">
                  <c:v>44.96478785815021</c:v>
                </c:pt>
                <c:pt idx="206">
                  <c:v>41.027621368984512</c:v>
                </c:pt>
                <c:pt idx="207">
                  <c:v>39.785557193689158</c:v>
                </c:pt>
                <c:pt idx="208">
                  <c:v>36.163594330738491</c:v>
                </c:pt>
                <c:pt idx="209">
                  <c:v>33.381530103304968</c:v>
                </c:pt>
                <c:pt idx="210">
                  <c:v>31.29097166800365</c:v>
                </c:pt>
                <c:pt idx="211">
                  <c:v>30.354229691211231</c:v>
                </c:pt>
                <c:pt idx="212">
                  <c:v>28.412444296935828</c:v>
                </c:pt>
                <c:pt idx="213">
                  <c:v>25.293480050231011</c:v>
                </c:pt>
                <c:pt idx="214">
                  <c:v>24.105491386654904</c:v>
                </c:pt>
                <c:pt idx="215">
                  <c:v>24.174739624241692</c:v>
                </c:pt>
                <c:pt idx="216">
                  <c:v>24.275128683371825</c:v>
                </c:pt>
                <c:pt idx="217">
                  <c:v>23.21410277127314</c:v>
                </c:pt>
                <c:pt idx="218">
                  <c:v>23.036811297840366</c:v>
                </c:pt>
                <c:pt idx="219">
                  <c:v>21.032745955526696</c:v>
                </c:pt>
                <c:pt idx="220">
                  <c:v>20.005228517093563</c:v>
                </c:pt>
                <c:pt idx="221">
                  <c:v>20.426418421241348</c:v>
                </c:pt>
                <c:pt idx="222">
                  <c:v>19.568953372098914</c:v>
                </c:pt>
                <c:pt idx="223">
                  <c:v>18.99904983090201</c:v>
                </c:pt>
                <c:pt idx="224">
                  <c:v>19.791934938465261</c:v>
                </c:pt>
                <c:pt idx="225">
                  <c:v>19.643429228390325</c:v>
                </c:pt>
                <c:pt idx="226">
                  <c:v>21.445176630601324</c:v>
                </c:pt>
                <c:pt idx="227">
                  <c:v>20.663766962229985</c:v>
                </c:pt>
                <c:pt idx="228">
                  <c:v>20.119642374761096</c:v>
                </c:pt>
                <c:pt idx="229">
                  <c:v>18.733327712986249</c:v>
                </c:pt>
                <c:pt idx="230">
                  <c:v>18.207032142208551</c:v>
                </c:pt>
                <c:pt idx="231">
                  <c:v>20.112265882455201</c:v>
                </c:pt>
                <c:pt idx="232">
                  <c:v>19.943611949641955</c:v>
                </c:pt>
                <c:pt idx="233">
                  <c:v>18.291950550513477</c:v>
                </c:pt>
                <c:pt idx="234">
                  <c:v>17.074588516737094</c:v>
                </c:pt>
                <c:pt idx="235">
                  <c:v>18.321771477825813</c:v>
                </c:pt>
                <c:pt idx="236">
                  <c:v>18.876363095670278</c:v>
                </c:pt>
                <c:pt idx="237">
                  <c:v>21.383570779742801</c:v>
                </c:pt>
                <c:pt idx="238">
                  <c:v>23.91053745848517</c:v>
                </c:pt>
                <c:pt idx="239">
                  <c:v>23.925334754771281</c:v>
                </c:pt>
                <c:pt idx="240">
                  <c:v>26.344428217372439</c:v>
                </c:pt>
                <c:pt idx="241">
                  <c:v>26.015745877122221</c:v>
                </c:pt>
                <c:pt idx="242">
                  <c:v>24.788562321302965</c:v>
                </c:pt>
                <c:pt idx="243">
                  <c:v>24.029966805098116</c:v>
                </c:pt>
                <c:pt idx="244">
                  <c:v>26.661339554405551</c:v>
                </c:pt>
                <c:pt idx="245">
                  <c:v>27.0644758513947</c:v>
                </c:pt>
                <c:pt idx="246">
                  <c:v>25.727605706605218</c:v>
                </c:pt>
                <c:pt idx="247">
                  <c:v>27.86270350559413</c:v>
                </c:pt>
                <c:pt idx="248">
                  <c:v>26.878733797043001</c:v>
                </c:pt>
                <c:pt idx="249">
                  <c:v>26.930975234061652</c:v>
                </c:pt>
                <c:pt idx="250">
                  <c:v>26.081116016091197</c:v>
                </c:pt>
                <c:pt idx="251">
                  <c:v>24.524426231134697</c:v>
                </c:pt>
                <c:pt idx="252">
                  <c:v>23.577428001284837</c:v>
                </c:pt>
                <c:pt idx="253">
                  <c:v>22.814405225114545</c:v>
                </c:pt>
                <c:pt idx="254">
                  <c:v>23.175805413328838</c:v>
                </c:pt>
                <c:pt idx="255">
                  <c:v>23.983883671311084</c:v>
                </c:pt>
                <c:pt idx="256">
                  <c:v>23.429689556771901</c:v>
                </c:pt>
                <c:pt idx="257">
                  <c:v>25.894424501237744</c:v>
                </c:pt>
                <c:pt idx="258">
                  <c:v>24.054354539618235</c:v>
                </c:pt>
                <c:pt idx="259">
                  <c:v>22.748526690045239</c:v>
                </c:pt>
                <c:pt idx="260">
                  <c:v>20.76666269446401</c:v>
                </c:pt>
                <c:pt idx="261">
                  <c:v>20.734400522231777</c:v>
                </c:pt>
                <c:pt idx="262">
                  <c:v>23.112287591548363</c:v>
                </c:pt>
                <c:pt idx="263">
                  <c:v>22.551088163392706</c:v>
                </c:pt>
                <c:pt idx="264">
                  <c:v>22.02945115732107</c:v>
                </c:pt>
                <c:pt idx="265">
                  <c:v>23.124132539892383</c:v>
                </c:pt>
                <c:pt idx="266">
                  <c:v>24.941830115009342</c:v>
                </c:pt>
                <c:pt idx="267">
                  <c:v>25.75532522883821</c:v>
                </c:pt>
                <c:pt idx="268">
                  <c:v>26.210885538298545</c:v>
                </c:pt>
                <c:pt idx="269">
                  <c:v>30.779521942315856</c:v>
                </c:pt>
                <c:pt idx="270">
                  <c:v>32.148935294077553</c:v>
                </c:pt>
                <c:pt idx="271">
                  <c:v>32.564725882733207</c:v>
                </c:pt>
                <c:pt idx="272">
                  <c:v>32.302899167750297</c:v>
                </c:pt>
                <c:pt idx="273">
                  <c:v>29.788978318936515</c:v>
                </c:pt>
                <c:pt idx="274">
                  <c:v>28.262080779675436</c:v>
                </c:pt>
                <c:pt idx="275">
                  <c:v>26.569063890315608</c:v>
                </c:pt>
                <c:pt idx="276">
                  <c:v>25.808853160740888</c:v>
                </c:pt>
                <c:pt idx="277">
                  <c:v>28.345714117233975</c:v>
                </c:pt>
                <c:pt idx="278">
                  <c:v>27.22584974111173</c:v>
                </c:pt>
                <c:pt idx="279">
                  <c:v>28.935293900703464</c:v>
                </c:pt>
                <c:pt idx="280">
                  <c:v>27.755909217268929</c:v>
                </c:pt>
                <c:pt idx="281">
                  <c:v>26.139679705930405</c:v>
                </c:pt>
                <c:pt idx="282">
                  <c:v>26.221236086956406</c:v>
                </c:pt>
                <c:pt idx="283">
                  <c:v>27.652679224455042</c:v>
                </c:pt>
                <c:pt idx="284">
                  <c:v>28.26576008974585</c:v>
                </c:pt>
                <c:pt idx="285">
                  <c:v>28.121912644181897</c:v>
                </c:pt>
                <c:pt idx="286">
                  <c:v>26.046448175155124</c:v>
                </c:pt>
                <c:pt idx="287">
                  <c:v>25.032715208288266</c:v>
                </c:pt>
                <c:pt idx="288">
                  <c:v>26.53959200642274</c:v>
                </c:pt>
                <c:pt idx="289">
                  <c:v>25.445386258756987</c:v>
                </c:pt>
                <c:pt idx="290">
                  <c:v>27.577357222775067</c:v>
                </c:pt>
                <c:pt idx="291">
                  <c:v>28.887284106156599</c:v>
                </c:pt>
                <c:pt idx="292">
                  <c:v>30.7611264423753</c:v>
                </c:pt>
                <c:pt idx="293">
                  <c:v>29.907101784946519</c:v>
                </c:pt>
                <c:pt idx="294">
                  <c:v>28.530622526406646</c:v>
                </c:pt>
                <c:pt idx="295">
                  <c:v>27.553149202840029</c:v>
                </c:pt>
                <c:pt idx="296">
                  <c:v>26.136590593849039</c:v>
                </c:pt>
                <c:pt idx="297">
                  <c:v>24.499217539532847</c:v>
                </c:pt>
                <c:pt idx="298">
                  <c:v>28.106337704553471</c:v>
                </c:pt>
                <c:pt idx="299">
                  <c:v>27.002915038435233</c:v>
                </c:pt>
                <c:pt idx="300">
                  <c:v>24.741604549739396</c:v>
                </c:pt>
                <c:pt idx="301">
                  <c:v>22.88203566603605</c:v>
                </c:pt>
                <c:pt idx="302">
                  <c:v>23.974885635791303</c:v>
                </c:pt>
                <c:pt idx="303">
                  <c:v>22.854775847766064</c:v>
                </c:pt>
                <c:pt idx="304">
                  <c:v>23.013665032095545</c:v>
                </c:pt>
                <c:pt idx="305">
                  <c:v>22.896763730251543</c:v>
                </c:pt>
                <c:pt idx="306">
                  <c:v>22.18265618403667</c:v>
                </c:pt>
                <c:pt idx="307">
                  <c:v>24.027234580461972</c:v>
                </c:pt>
                <c:pt idx="308">
                  <c:v>23.408822602286783</c:v>
                </c:pt>
                <c:pt idx="309">
                  <c:v>21.165601041058206</c:v>
                </c:pt>
                <c:pt idx="310">
                  <c:v>20.104104586994787</c:v>
                </c:pt>
                <c:pt idx="311">
                  <c:v>19.844699073283707</c:v>
                </c:pt>
                <c:pt idx="312">
                  <c:v>18.324711180891413</c:v>
                </c:pt>
                <c:pt idx="313">
                  <c:v>18.610077933434294</c:v>
                </c:pt>
                <c:pt idx="314">
                  <c:v>17.997713396025251</c:v>
                </c:pt>
                <c:pt idx="315">
                  <c:v>19.237727022255676</c:v>
                </c:pt>
                <c:pt idx="316">
                  <c:v>21.15440565460111</c:v>
                </c:pt>
                <c:pt idx="317">
                  <c:v>19.887478886040814</c:v>
                </c:pt>
                <c:pt idx="318">
                  <c:v>21.339129133376989</c:v>
                </c:pt>
                <c:pt idx="319">
                  <c:v>20.575784068621594</c:v>
                </c:pt>
                <c:pt idx="320">
                  <c:v>20.49801423730597</c:v>
                </c:pt>
                <c:pt idx="321">
                  <c:v>19.802211218010484</c:v>
                </c:pt>
                <c:pt idx="322">
                  <c:v>19.645745446618285</c:v>
                </c:pt>
                <c:pt idx="323">
                  <c:v>21.45295830423408</c:v>
                </c:pt>
                <c:pt idx="324">
                  <c:v>22.401307960092005</c:v>
                </c:pt>
                <c:pt idx="325">
                  <c:v>24.611518103524769</c:v>
                </c:pt>
                <c:pt idx="326">
                  <c:v>26.07871076861964</c:v>
                </c:pt>
                <c:pt idx="327">
                  <c:v>25.816455671043347</c:v>
                </c:pt>
                <c:pt idx="328">
                  <c:v>25.632620876874967</c:v>
                </c:pt>
                <c:pt idx="329">
                  <c:v>26.806241438661136</c:v>
                </c:pt>
                <c:pt idx="330">
                  <c:v>25.236679262956589</c:v>
                </c:pt>
                <c:pt idx="331">
                  <c:v>27.180694273775945</c:v>
                </c:pt>
                <c:pt idx="332">
                  <c:v>25.782524211859581</c:v>
                </c:pt>
                <c:pt idx="333">
                  <c:v>25.86351081423717</c:v>
                </c:pt>
                <c:pt idx="334">
                  <c:v>26.388828419314873</c:v>
                </c:pt>
                <c:pt idx="335">
                  <c:v>26.670045821607086</c:v>
                </c:pt>
                <c:pt idx="336">
                  <c:v>25.027672262064907</c:v>
                </c:pt>
                <c:pt idx="337">
                  <c:v>25.880158007244589</c:v>
                </c:pt>
                <c:pt idx="338">
                  <c:v>25.325763699889883</c:v>
                </c:pt>
                <c:pt idx="339">
                  <c:v>25.122539686364263</c:v>
                </c:pt>
                <c:pt idx="340">
                  <c:v>23.443962126700853</c:v>
                </c:pt>
                <c:pt idx="341">
                  <c:v>23.968184934095188</c:v>
                </c:pt>
                <c:pt idx="342">
                  <c:v>27.709687640689189</c:v>
                </c:pt>
                <c:pt idx="343">
                  <c:v>28.624765430017934</c:v>
                </c:pt>
                <c:pt idx="344">
                  <c:v>30.21352029016488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ConceptDemo!$AC$17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45011</c:v>
                </c:pt>
                <c:pt idx="1">
                  <c:v>45012</c:v>
                </c:pt>
                <c:pt idx="2">
                  <c:v>45013</c:v>
                </c:pt>
                <c:pt idx="3">
                  <c:v>45014</c:v>
                </c:pt>
                <c:pt idx="4">
                  <c:v>45015</c:v>
                </c:pt>
                <c:pt idx="5">
                  <c:v>45016</c:v>
                </c:pt>
                <c:pt idx="6">
                  <c:v>45017</c:v>
                </c:pt>
                <c:pt idx="7">
                  <c:v>45018</c:v>
                </c:pt>
                <c:pt idx="8">
                  <c:v>45019</c:v>
                </c:pt>
                <c:pt idx="9">
                  <c:v>45020</c:v>
                </c:pt>
                <c:pt idx="10">
                  <c:v>45021</c:v>
                </c:pt>
                <c:pt idx="11">
                  <c:v>45022</c:v>
                </c:pt>
                <c:pt idx="12">
                  <c:v>45023</c:v>
                </c:pt>
                <c:pt idx="13">
                  <c:v>45024</c:v>
                </c:pt>
                <c:pt idx="14">
                  <c:v>45025</c:v>
                </c:pt>
                <c:pt idx="15">
                  <c:v>45026</c:v>
                </c:pt>
                <c:pt idx="16">
                  <c:v>45027</c:v>
                </c:pt>
                <c:pt idx="17">
                  <c:v>45028</c:v>
                </c:pt>
                <c:pt idx="18">
                  <c:v>45029</c:v>
                </c:pt>
                <c:pt idx="19">
                  <c:v>45030</c:v>
                </c:pt>
                <c:pt idx="20">
                  <c:v>45031</c:v>
                </c:pt>
                <c:pt idx="21">
                  <c:v>45032</c:v>
                </c:pt>
                <c:pt idx="22">
                  <c:v>45033</c:v>
                </c:pt>
                <c:pt idx="23">
                  <c:v>45034</c:v>
                </c:pt>
                <c:pt idx="24">
                  <c:v>45035</c:v>
                </c:pt>
                <c:pt idx="25">
                  <c:v>45036</c:v>
                </c:pt>
                <c:pt idx="26">
                  <c:v>45037</c:v>
                </c:pt>
                <c:pt idx="27">
                  <c:v>45038</c:v>
                </c:pt>
                <c:pt idx="28">
                  <c:v>45039</c:v>
                </c:pt>
                <c:pt idx="29">
                  <c:v>45040</c:v>
                </c:pt>
                <c:pt idx="30">
                  <c:v>45041</c:v>
                </c:pt>
                <c:pt idx="31">
                  <c:v>45042</c:v>
                </c:pt>
                <c:pt idx="32">
                  <c:v>45043</c:v>
                </c:pt>
                <c:pt idx="33">
                  <c:v>45044</c:v>
                </c:pt>
                <c:pt idx="34">
                  <c:v>45045</c:v>
                </c:pt>
                <c:pt idx="35">
                  <c:v>45046</c:v>
                </c:pt>
                <c:pt idx="36">
                  <c:v>45047</c:v>
                </c:pt>
                <c:pt idx="37">
                  <c:v>45048</c:v>
                </c:pt>
                <c:pt idx="38">
                  <c:v>45049</c:v>
                </c:pt>
                <c:pt idx="39">
                  <c:v>45050</c:v>
                </c:pt>
                <c:pt idx="40">
                  <c:v>45051</c:v>
                </c:pt>
                <c:pt idx="41">
                  <c:v>45052</c:v>
                </c:pt>
                <c:pt idx="42">
                  <c:v>45053</c:v>
                </c:pt>
                <c:pt idx="43">
                  <c:v>45054</c:v>
                </c:pt>
                <c:pt idx="44">
                  <c:v>45055</c:v>
                </c:pt>
                <c:pt idx="45">
                  <c:v>45056</c:v>
                </c:pt>
                <c:pt idx="46">
                  <c:v>45057</c:v>
                </c:pt>
                <c:pt idx="47">
                  <c:v>45058</c:v>
                </c:pt>
                <c:pt idx="48">
                  <c:v>45059</c:v>
                </c:pt>
                <c:pt idx="49">
                  <c:v>45060</c:v>
                </c:pt>
                <c:pt idx="50">
                  <c:v>45061</c:v>
                </c:pt>
                <c:pt idx="51">
                  <c:v>45062</c:v>
                </c:pt>
                <c:pt idx="52">
                  <c:v>45063</c:v>
                </c:pt>
                <c:pt idx="53">
                  <c:v>45064</c:v>
                </c:pt>
                <c:pt idx="54">
                  <c:v>45065</c:v>
                </c:pt>
                <c:pt idx="55">
                  <c:v>45066</c:v>
                </c:pt>
                <c:pt idx="56">
                  <c:v>45067</c:v>
                </c:pt>
                <c:pt idx="57">
                  <c:v>45068</c:v>
                </c:pt>
                <c:pt idx="58">
                  <c:v>45069</c:v>
                </c:pt>
                <c:pt idx="59">
                  <c:v>45070</c:v>
                </c:pt>
                <c:pt idx="60">
                  <c:v>45071</c:v>
                </c:pt>
                <c:pt idx="61">
                  <c:v>45072</c:v>
                </c:pt>
                <c:pt idx="62">
                  <c:v>45073</c:v>
                </c:pt>
                <c:pt idx="63">
                  <c:v>45074</c:v>
                </c:pt>
                <c:pt idx="64">
                  <c:v>45075</c:v>
                </c:pt>
                <c:pt idx="65">
                  <c:v>45076</c:v>
                </c:pt>
                <c:pt idx="66">
                  <c:v>45077</c:v>
                </c:pt>
                <c:pt idx="67">
                  <c:v>45078</c:v>
                </c:pt>
                <c:pt idx="68">
                  <c:v>45079</c:v>
                </c:pt>
                <c:pt idx="69">
                  <c:v>45080</c:v>
                </c:pt>
                <c:pt idx="70">
                  <c:v>45081</c:v>
                </c:pt>
                <c:pt idx="71">
                  <c:v>45082</c:v>
                </c:pt>
                <c:pt idx="72">
                  <c:v>45083</c:v>
                </c:pt>
                <c:pt idx="73">
                  <c:v>45084</c:v>
                </c:pt>
                <c:pt idx="74">
                  <c:v>45085</c:v>
                </c:pt>
                <c:pt idx="75">
                  <c:v>45086</c:v>
                </c:pt>
                <c:pt idx="76">
                  <c:v>45087</c:v>
                </c:pt>
                <c:pt idx="77">
                  <c:v>45088</c:v>
                </c:pt>
                <c:pt idx="78">
                  <c:v>45089</c:v>
                </c:pt>
                <c:pt idx="79">
                  <c:v>45090</c:v>
                </c:pt>
                <c:pt idx="80">
                  <c:v>45091</c:v>
                </c:pt>
                <c:pt idx="81">
                  <c:v>45092</c:v>
                </c:pt>
                <c:pt idx="82">
                  <c:v>45093</c:v>
                </c:pt>
                <c:pt idx="83">
                  <c:v>45094</c:v>
                </c:pt>
                <c:pt idx="84">
                  <c:v>45095</c:v>
                </c:pt>
                <c:pt idx="85">
                  <c:v>45096</c:v>
                </c:pt>
                <c:pt idx="86">
                  <c:v>45097</c:v>
                </c:pt>
                <c:pt idx="87">
                  <c:v>45098</c:v>
                </c:pt>
                <c:pt idx="88">
                  <c:v>45099</c:v>
                </c:pt>
                <c:pt idx="89">
                  <c:v>45100</c:v>
                </c:pt>
                <c:pt idx="90">
                  <c:v>45101</c:v>
                </c:pt>
                <c:pt idx="91">
                  <c:v>45102</c:v>
                </c:pt>
                <c:pt idx="92">
                  <c:v>45103</c:v>
                </c:pt>
                <c:pt idx="93">
                  <c:v>45104</c:v>
                </c:pt>
                <c:pt idx="94">
                  <c:v>45105</c:v>
                </c:pt>
                <c:pt idx="95">
                  <c:v>45106</c:v>
                </c:pt>
                <c:pt idx="96">
                  <c:v>45107</c:v>
                </c:pt>
                <c:pt idx="97">
                  <c:v>45108</c:v>
                </c:pt>
                <c:pt idx="98">
                  <c:v>45109</c:v>
                </c:pt>
                <c:pt idx="99">
                  <c:v>45110</c:v>
                </c:pt>
                <c:pt idx="100">
                  <c:v>45111</c:v>
                </c:pt>
                <c:pt idx="101">
                  <c:v>45112</c:v>
                </c:pt>
                <c:pt idx="102">
                  <c:v>45113</c:v>
                </c:pt>
                <c:pt idx="103">
                  <c:v>45114</c:v>
                </c:pt>
                <c:pt idx="104">
                  <c:v>45115</c:v>
                </c:pt>
                <c:pt idx="105">
                  <c:v>45116</c:v>
                </c:pt>
                <c:pt idx="106">
                  <c:v>45117</c:v>
                </c:pt>
                <c:pt idx="107">
                  <c:v>45118</c:v>
                </c:pt>
                <c:pt idx="108">
                  <c:v>45119</c:v>
                </c:pt>
                <c:pt idx="109">
                  <c:v>45120</c:v>
                </c:pt>
                <c:pt idx="110">
                  <c:v>45121</c:v>
                </c:pt>
                <c:pt idx="111">
                  <c:v>45122</c:v>
                </c:pt>
                <c:pt idx="112">
                  <c:v>45123</c:v>
                </c:pt>
                <c:pt idx="113">
                  <c:v>45124</c:v>
                </c:pt>
                <c:pt idx="114">
                  <c:v>45125</c:v>
                </c:pt>
                <c:pt idx="115">
                  <c:v>45126</c:v>
                </c:pt>
                <c:pt idx="116">
                  <c:v>45127</c:v>
                </c:pt>
                <c:pt idx="117">
                  <c:v>45128</c:v>
                </c:pt>
                <c:pt idx="118">
                  <c:v>45129</c:v>
                </c:pt>
                <c:pt idx="119">
                  <c:v>45130</c:v>
                </c:pt>
                <c:pt idx="120">
                  <c:v>45131</c:v>
                </c:pt>
                <c:pt idx="121">
                  <c:v>45132</c:v>
                </c:pt>
                <c:pt idx="122">
                  <c:v>45133</c:v>
                </c:pt>
                <c:pt idx="123">
                  <c:v>45134</c:v>
                </c:pt>
                <c:pt idx="124">
                  <c:v>45135</c:v>
                </c:pt>
                <c:pt idx="125">
                  <c:v>45136</c:v>
                </c:pt>
                <c:pt idx="126">
                  <c:v>45137</c:v>
                </c:pt>
                <c:pt idx="127">
                  <c:v>45138</c:v>
                </c:pt>
                <c:pt idx="128">
                  <c:v>45139</c:v>
                </c:pt>
                <c:pt idx="129">
                  <c:v>45140</c:v>
                </c:pt>
                <c:pt idx="130">
                  <c:v>45141</c:v>
                </c:pt>
                <c:pt idx="131">
                  <c:v>45142</c:v>
                </c:pt>
                <c:pt idx="132">
                  <c:v>45143</c:v>
                </c:pt>
                <c:pt idx="133">
                  <c:v>45144</c:v>
                </c:pt>
                <c:pt idx="134">
                  <c:v>45145</c:v>
                </c:pt>
                <c:pt idx="135">
                  <c:v>45146</c:v>
                </c:pt>
                <c:pt idx="136">
                  <c:v>45147</c:v>
                </c:pt>
                <c:pt idx="137">
                  <c:v>45148</c:v>
                </c:pt>
                <c:pt idx="138">
                  <c:v>45149</c:v>
                </c:pt>
                <c:pt idx="139">
                  <c:v>45150</c:v>
                </c:pt>
                <c:pt idx="140">
                  <c:v>45151</c:v>
                </c:pt>
                <c:pt idx="141">
                  <c:v>45152</c:v>
                </c:pt>
                <c:pt idx="142">
                  <c:v>45153</c:v>
                </c:pt>
                <c:pt idx="143">
                  <c:v>45154</c:v>
                </c:pt>
                <c:pt idx="144">
                  <c:v>45155</c:v>
                </c:pt>
                <c:pt idx="145">
                  <c:v>45156</c:v>
                </c:pt>
                <c:pt idx="146">
                  <c:v>45157</c:v>
                </c:pt>
                <c:pt idx="147">
                  <c:v>45158</c:v>
                </c:pt>
                <c:pt idx="148">
                  <c:v>45159</c:v>
                </c:pt>
                <c:pt idx="149">
                  <c:v>45160</c:v>
                </c:pt>
                <c:pt idx="150">
                  <c:v>45161</c:v>
                </c:pt>
                <c:pt idx="151">
                  <c:v>45162</c:v>
                </c:pt>
                <c:pt idx="152">
                  <c:v>45163</c:v>
                </c:pt>
                <c:pt idx="153">
                  <c:v>45164</c:v>
                </c:pt>
                <c:pt idx="154">
                  <c:v>45165</c:v>
                </c:pt>
                <c:pt idx="155">
                  <c:v>45166</c:v>
                </c:pt>
                <c:pt idx="156">
                  <c:v>45167</c:v>
                </c:pt>
                <c:pt idx="157">
                  <c:v>45168</c:v>
                </c:pt>
                <c:pt idx="158">
                  <c:v>45169</c:v>
                </c:pt>
                <c:pt idx="159">
                  <c:v>45170</c:v>
                </c:pt>
                <c:pt idx="160">
                  <c:v>45171</c:v>
                </c:pt>
                <c:pt idx="161">
                  <c:v>45172</c:v>
                </c:pt>
                <c:pt idx="162">
                  <c:v>45173</c:v>
                </c:pt>
                <c:pt idx="163">
                  <c:v>45174</c:v>
                </c:pt>
                <c:pt idx="164">
                  <c:v>45175</c:v>
                </c:pt>
                <c:pt idx="165">
                  <c:v>45176</c:v>
                </c:pt>
                <c:pt idx="166">
                  <c:v>45177</c:v>
                </c:pt>
                <c:pt idx="167">
                  <c:v>45178</c:v>
                </c:pt>
                <c:pt idx="168">
                  <c:v>45179</c:v>
                </c:pt>
                <c:pt idx="169">
                  <c:v>45180</c:v>
                </c:pt>
                <c:pt idx="170">
                  <c:v>45181</c:v>
                </c:pt>
                <c:pt idx="171">
                  <c:v>45182</c:v>
                </c:pt>
                <c:pt idx="172">
                  <c:v>45183</c:v>
                </c:pt>
                <c:pt idx="173">
                  <c:v>45184</c:v>
                </c:pt>
                <c:pt idx="174">
                  <c:v>45185</c:v>
                </c:pt>
                <c:pt idx="175">
                  <c:v>45186</c:v>
                </c:pt>
                <c:pt idx="176">
                  <c:v>45187</c:v>
                </c:pt>
                <c:pt idx="177">
                  <c:v>45188</c:v>
                </c:pt>
                <c:pt idx="178">
                  <c:v>45189</c:v>
                </c:pt>
                <c:pt idx="179">
                  <c:v>45190</c:v>
                </c:pt>
                <c:pt idx="180">
                  <c:v>45191</c:v>
                </c:pt>
                <c:pt idx="181">
                  <c:v>45192</c:v>
                </c:pt>
                <c:pt idx="182">
                  <c:v>45193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45199</c:v>
                </c:pt>
                <c:pt idx="189">
                  <c:v>45200</c:v>
                </c:pt>
                <c:pt idx="190">
                  <c:v>45201</c:v>
                </c:pt>
                <c:pt idx="191">
                  <c:v>45202</c:v>
                </c:pt>
                <c:pt idx="192">
                  <c:v>45203</c:v>
                </c:pt>
                <c:pt idx="193">
                  <c:v>45204</c:v>
                </c:pt>
                <c:pt idx="194">
                  <c:v>45205</c:v>
                </c:pt>
                <c:pt idx="195">
                  <c:v>45206</c:v>
                </c:pt>
                <c:pt idx="196">
                  <c:v>45207</c:v>
                </c:pt>
                <c:pt idx="197">
                  <c:v>45208</c:v>
                </c:pt>
                <c:pt idx="198">
                  <c:v>45209</c:v>
                </c:pt>
                <c:pt idx="199">
                  <c:v>45210</c:v>
                </c:pt>
                <c:pt idx="200">
                  <c:v>45211</c:v>
                </c:pt>
                <c:pt idx="201">
                  <c:v>45212</c:v>
                </c:pt>
                <c:pt idx="202">
                  <c:v>45213</c:v>
                </c:pt>
                <c:pt idx="203">
                  <c:v>45214</c:v>
                </c:pt>
                <c:pt idx="204">
                  <c:v>45215</c:v>
                </c:pt>
                <c:pt idx="205">
                  <c:v>45216</c:v>
                </c:pt>
                <c:pt idx="206">
                  <c:v>45217</c:v>
                </c:pt>
                <c:pt idx="207">
                  <c:v>45218</c:v>
                </c:pt>
                <c:pt idx="208">
                  <c:v>45219</c:v>
                </c:pt>
                <c:pt idx="209">
                  <c:v>45220</c:v>
                </c:pt>
                <c:pt idx="210">
                  <c:v>45221</c:v>
                </c:pt>
                <c:pt idx="211">
                  <c:v>45222</c:v>
                </c:pt>
                <c:pt idx="212">
                  <c:v>45223</c:v>
                </c:pt>
                <c:pt idx="213">
                  <c:v>45224</c:v>
                </c:pt>
                <c:pt idx="214">
                  <c:v>45225</c:v>
                </c:pt>
                <c:pt idx="215">
                  <c:v>45226</c:v>
                </c:pt>
                <c:pt idx="216">
                  <c:v>45227</c:v>
                </c:pt>
                <c:pt idx="217">
                  <c:v>45228</c:v>
                </c:pt>
                <c:pt idx="218">
                  <c:v>45229</c:v>
                </c:pt>
                <c:pt idx="219">
                  <c:v>45230</c:v>
                </c:pt>
                <c:pt idx="220">
                  <c:v>45231</c:v>
                </c:pt>
                <c:pt idx="221">
                  <c:v>45232</c:v>
                </c:pt>
                <c:pt idx="222">
                  <c:v>45233</c:v>
                </c:pt>
                <c:pt idx="223">
                  <c:v>45234</c:v>
                </c:pt>
                <c:pt idx="224">
                  <c:v>45235</c:v>
                </c:pt>
                <c:pt idx="225">
                  <c:v>45236</c:v>
                </c:pt>
                <c:pt idx="226">
                  <c:v>45237</c:v>
                </c:pt>
                <c:pt idx="227">
                  <c:v>45238</c:v>
                </c:pt>
                <c:pt idx="228">
                  <c:v>45239</c:v>
                </c:pt>
                <c:pt idx="229">
                  <c:v>45240</c:v>
                </c:pt>
                <c:pt idx="230">
                  <c:v>45241</c:v>
                </c:pt>
                <c:pt idx="231">
                  <c:v>45242</c:v>
                </c:pt>
                <c:pt idx="232">
                  <c:v>45243</c:v>
                </c:pt>
                <c:pt idx="233">
                  <c:v>45244</c:v>
                </c:pt>
                <c:pt idx="234">
                  <c:v>45245</c:v>
                </c:pt>
                <c:pt idx="235">
                  <c:v>45246</c:v>
                </c:pt>
                <c:pt idx="236">
                  <c:v>45247</c:v>
                </c:pt>
                <c:pt idx="237">
                  <c:v>45248</c:v>
                </c:pt>
                <c:pt idx="238">
                  <c:v>45249</c:v>
                </c:pt>
                <c:pt idx="239">
                  <c:v>45250</c:v>
                </c:pt>
                <c:pt idx="240">
                  <c:v>45251</c:v>
                </c:pt>
                <c:pt idx="241">
                  <c:v>45252</c:v>
                </c:pt>
                <c:pt idx="242">
                  <c:v>45253</c:v>
                </c:pt>
                <c:pt idx="243">
                  <c:v>45254</c:v>
                </c:pt>
                <c:pt idx="244">
                  <c:v>45255</c:v>
                </c:pt>
                <c:pt idx="245">
                  <c:v>45256</c:v>
                </c:pt>
                <c:pt idx="246">
                  <c:v>45257</c:v>
                </c:pt>
                <c:pt idx="247">
                  <c:v>45258</c:v>
                </c:pt>
                <c:pt idx="248">
                  <c:v>45259</c:v>
                </c:pt>
                <c:pt idx="249">
                  <c:v>45260</c:v>
                </c:pt>
                <c:pt idx="250">
                  <c:v>45261</c:v>
                </c:pt>
                <c:pt idx="251">
                  <c:v>45262</c:v>
                </c:pt>
                <c:pt idx="252">
                  <c:v>45263</c:v>
                </c:pt>
                <c:pt idx="253">
                  <c:v>45264</c:v>
                </c:pt>
                <c:pt idx="254">
                  <c:v>45265</c:v>
                </c:pt>
                <c:pt idx="255">
                  <c:v>45266</c:v>
                </c:pt>
                <c:pt idx="256">
                  <c:v>45267</c:v>
                </c:pt>
                <c:pt idx="257">
                  <c:v>45268</c:v>
                </c:pt>
                <c:pt idx="258">
                  <c:v>45269</c:v>
                </c:pt>
                <c:pt idx="259">
                  <c:v>45270</c:v>
                </c:pt>
                <c:pt idx="260">
                  <c:v>45271</c:v>
                </c:pt>
                <c:pt idx="261">
                  <c:v>45272</c:v>
                </c:pt>
                <c:pt idx="262">
                  <c:v>45273</c:v>
                </c:pt>
                <c:pt idx="263">
                  <c:v>45274</c:v>
                </c:pt>
                <c:pt idx="264">
                  <c:v>45275</c:v>
                </c:pt>
                <c:pt idx="265">
                  <c:v>45276</c:v>
                </c:pt>
                <c:pt idx="266">
                  <c:v>45277</c:v>
                </c:pt>
                <c:pt idx="267">
                  <c:v>45278</c:v>
                </c:pt>
                <c:pt idx="268">
                  <c:v>45279</c:v>
                </c:pt>
                <c:pt idx="269">
                  <c:v>45280</c:v>
                </c:pt>
                <c:pt idx="270">
                  <c:v>45281</c:v>
                </c:pt>
                <c:pt idx="271">
                  <c:v>45282</c:v>
                </c:pt>
                <c:pt idx="272">
                  <c:v>45283</c:v>
                </c:pt>
                <c:pt idx="273">
                  <c:v>45284</c:v>
                </c:pt>
                <c:pt idx="274">
                  <c:v>45285</c:v>
                </c:pt>
                <c:pt idx="275">
                  <c:v>45286</c:v>
                </c:pt>
                <c:pt idx="276">
                  <c:v>45287</c:v>
                </c:pt>
                <c:pt idx="277">
                  <c:v>45288</c:v>
                </c:pt>
                <c:pt idx="278">
                  <c:v>45289</c:v>
                </c:pt>
                <c:pt idx="279">
                  <c:v>45290</c:v>
                </c:pt>
                <c:pt idx="280">
                  <c:v>45291</c:v>
                </c:pt>
                <c:pt idx="281">
                  <c:v>45292</c:v>
                </c:pt>
                <c:pt idx="282">
                  <c:v>45293</c:v>
                </c:pt>
                <c:pt idx="283">
                  <c:v>45294</c:v>
                </c:pt>
                <c:pt idx="284">
                  <c:v>45295</c:v>
                </c:pt>
                <c:pt idx="285">
                  <c:v>45296</c:v>
                </c:pt>
                <c:pt idx="286">
                  <c:v>45297</c:v>
                </c:pt>
                <c:pt idx="287">
                  <c:v>45298</c:v>
                </c:pt>
                <c:pt idx="288">
                  <c:v>45299</c:v>
                </c:pt>
                <c:pt idx="289">
                  <c:v>45300</c:v>
                </c:pt>
                <c:pt idx="290">
                  <c:v>45301</c:v>
                </c:pt>
                <c:pt idx="291">
                  <c:v>45302</c:v>
                </c:pt>
                <c:pt idx="292">
                  <c:v>45303</c:v>
                </c:pt>
                <c:pt idx="293">
                  <c:v>45304</c:v>
                </c:pt>
                <c:pt idx="294">
                  <c:v>45305</c:v>
                </c:pt>
                <c:pt idx="295">
                  <c:v>45306</c:v>
                </c:pt>
                <c:pt idx="296">
                  <c:v>45307</c:v>
                </c:pt>
                <c:pt idx="297">
                  <c:v>45308</c:v>
                </c:pt>
                <c:pt idx="298">
                  <c:v>45309</c:v>
                </c:pt>
                <c:pt idx="299">
                  <c:v>45310</c:v>
                </c:pt>
                <c:pt idx="300">
                  <c:v>45311</c:v>
                </c:pt>
                <c:pt idx="301">
                  <c:v>45312</c:v>
                </c:pt>
                <c:pt idx="302">
                  <c:v>45313</c:v>
                </c:pt>
                <c:pt idx="303">
                  <c:v>45314</c:v>
                </c:pt>
                <c:pt idx="304">
                  <c:v>45315</c:v>
                </c:pt>
                <c:pt idx="305">
                  <c:v>45316</c:v>
                </c:pt>
                <c:pt idx="306">
                  <c:v>45317</c:v>
                </c:pt>
                <c:pt idx="307">
                  <c:v>45318</c:v>
                </c:pt>
                <c:pt idx="308">
                  <c:v>45319</c:v>
                </c:pt>
                <c:pt idx="309">
                  <c:v>45320</c:v>
                </c:pt>
                <c:pt idx="310">
                  <c:v>45321</c:v>
                </c:pt>
                <c:pt idx="311">
                  <c:v>45322</c:v>
                </c:pt>
                <c:pt idx="312">
                  <c:v>45323</c:v>
                </c:pt>
                <c:pt idx="313">
                  <c:v>45324</c:v>
                </c:pt>
                <c:pt idx="314">
                  <c:v>45325</c:v>
                </c:pt>
                <c:pt idx="315">
                  <c:v>45326</c:v>
                </c:pt>
                <c:pt idx="316">
                  <c:v>45327</c:v>
                </c:pt>
                <c:pt idx="317">
                  <c:v>45328</c:v>
                </c:pt>
                <c:pt idx="318">
                  <c:v>45329</c:v>
                </c:pt>
                <c:pt idx="319">
                  <c:v>45330</c:v>
                </c:pt>
                <c:pt idx="320">
                  <c:v>45331</c:v>
                </c:pt>
                <c:pt idx="321">
                  <c:v>45332</c:v>
                </c:pt>
                <c:pt idx="322">
                  <c:v>45333</c:v>
                </c:pt>
                <c:pt idx="323">
                  <c:v>45334</c:v>
                </c:pt>
                <c:pt idx="324">
                  <c:v>45335</c:v>
                </c:pt>
                <c:pt idx="325">
                  <c:v>45336</c:v>
                </c:pt>
                <c:pt idx="326">
                  <c:v>45337</c:v>
                </c:pt>
                <c:pt idx="327">
                  <c:v>45338</c:v>
                </c:pt>
                <c:pt idx="328">
                  <c:v>45339</c:v>
                </c:pt>
                <c:pt idx="329">
                  <c:v>45340</c:v>
                </c:pt>
                <c:pt idx="330">
                  <c:v>45341</c:v>
                </c:pt>
                <c:pt idx="331">
                  <c:v>45342</c:v>
                </c:pt>
                <c:pt idx="332">
                  <c:v>45343</c:v>
                </c:pt>
                <c:pt idx="333">
                  <c:v>45344</c:v>
                </c:pt>
                <c:pt idx="334">
                  <c:v>45345</c:v>
                </c:pt>
                <c:pt idx="335">
                  <c:v>45346</c:v>
                </c:pt>
                <c:pt idx="336">
                  <c:v>45347</c:v>
                </c:pt>
                <c:pt idx="337">
                  <c:v>45348</c:v>
                </c:pt>
                <c:pt idx="338">
                  <c:v>45349</c:v>
                </c:pt>
                <c:pt idx="339">
                  <c:v>45350</c:v>
                </c:pt>
                <c:pt idx="340">
                  <c:v>45351</c:v>
                </c:pt>
                <c:pt idx="341">
                  <c:v>45352</c:v>
                </c:pt>
                <c:pt idx="342">
                  <c:v>45353</c:v>
                </c:pt>
                <c:pt idx="343">
                  <c:v>45354</c:v>
                </c:pt>
                <c:pt idx="344">
                  <c:v>45355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ConceptDemo!$AB$17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45011</c:v>
                </c:pt>
                <c:pt idx="1">
                  <c:v>45012</c:v>
                </c:pt>
                <c:pt idx="2">
                  <c:v>45013</c:v>
                </c:pt>
                <c:pt idx="3">
                  <c:v>45014</c:v>
                </c:pt>
                <c:pt idx="4">
                  <c:v>45015</c:v>
                </c:pt>
                <c:pt idx="5">
                  <c:v>45016</c:v>
                </c:pt>
                <c:pt idx="6">
                  <c:v>45017</c:v>
                </c:pt>
                <c:pt idx="7">
                  <c:v>45018</c:v>
                </c:pt>
                <c:pt idx="8">
                  <c:v>45019</c:v>
                </c:pt>
                <c:pt idx="9">
                  <c:v>45020</c:v>
                </c:pt>
                <c:pt idx="10">
                  <c:v>45021</c:v>
                </c:pt>
                <c:pt idx="11">
                  <c:v>45022</c:v>
                </c:pt>
                <c:pt idx="12">
                  <c:v>45023</c:v>
                </c:pt>
                <c:pt idx="13">
                  <c:v>45024</c:v>
                </c:pt>
                <c:pt idx="14">
                  <c:v>45025</c:v>
                </c:pt>
                <c:pt idx="15">
                  <c:v>45026</c:v>
                </c:pt>
                <c:pt idx="16">
                  <c:v>45027</c:v>
                </c:pt>
                <c:pt idx="17">
                  <c:v>45028</c:v>
                </c:pt>
                <c:pt idx="18">
                  <c:v>45029</c:v>
                </c:pt>
                <c:pt idx="19">
                  <c:v>45030</c:v>
                </c:pt>
                <c:pt idx="20">
                  <c:v>45031</c:v>
                </c:pt>
                <c:pt idx="21">
                  <c:v>45032</c:v>
                </c:pt>
                <c:pt idx="22">
                  <c:v>45033</c:v>
                </c:pt>
                <c:pt idx="23">
                  <c:v>45034</c:v>
                </c:pt>
                <c:pt idx="24">
                  <c:v>45035</c:v>
                </c:pt>
                <c:pt idx="25">
                  <c:v>45036</c:v>
                </c:pt>
                <c:pt idx="26">
                  <c:v>45037</c:v>
                </c:pt>
                <c:pt idx="27">
                  <c:v>45038</c:v>
                </c:pt>
                <c:pt idx="28">
                  <c:v>45039</c:v>
                </c:pt>
                <c:pt idx="29">
                  <c:v>45040</c:v>
                </c:pt>
                <c:pt idx="30">
                  <c:v>45041</c:v>
                </c:pt>
                <c:pt idx="31">
                  <c:v>45042</c:v>
                </c:pt>
                <c:pt idx="32">
                  <c:v>45043</c:v>
                </c:pt>
                <c:pt idx="33">
                  <c:v>45044</c:v>
                </c:pt>
                <c:pt idx="34">
                  <c:v>45045</c:v>
                </c:pt>
                <c:pt idx="35">
                  <c:v>45046</c:v>
                </c:pt>
                <c:pt idx="36">
                  <c:v>45047</c:v>
                </c:pt>
                <c:pt idx="37">
                  <c:v>45048</c:v>
                </c:pt>
                <c:pt idx="38">
                  <c:v>45049</c:v>
                </c:pt>
                <c:pt idx="39">
                  <c:v>45050</c:v>
                </c:pt>
                <c:pt idx="40">
                  <c:v>45051</c:v>
                </c:pt>
                <c:pt idx="41">
                  <c:v>45052</c:v>
                </c:pt>
                <c:pt idx="42">
                  <c:v>45053</c:v>
                </c:pt>
                <c:pt idx="43">
                  <c:v>45054</c:v>
                </c:pt>
                <c:pt idx="44">
                  <c:v>45055</c:v>
                </c:pt>
                <c:pt idx="45">
                  <c:v>45056</c:v>
                </c:pt>
                <c:pt idx="46">
                  <c:v>45057</c:v>
                </c:pt>
                <c:pt idx="47">
                  <c:v>45058</c:v>
                </c:pt>
                <c:pt idx="48">
                  <c:v>45059</c:v>
                </c:pt>
                <c:pt idx="49">
                  <c:v>45060</c:v>
                </c:pt>
                <c:pt idx="50">
                  <c:v>45061</c:v>
                </c:pt>
                <c:pt idx="51">
                  <c:v>45062</c:v>
                </c:pt>
                <c:pt idx="52">
                  <c:v>45063</c:v>
                </c:pt>
                <c:pt idx="53">
                  <c:v>45064</c:v>
                </c:pt>
                <c:pt idx="54">
                  <c:v>45065</c:v>
                </c:pt>
                <c:pt idx="55">
                  <c:v>45066</c:v>
                </c:pt>
                <c:pt idx="56">
                  <c:v>45067</c:v>
                </c:pt>
                <c:pt idx="57">
                  <c:v>45068</c:v>
                </c:pt>
                <c:pt idx="58">
                  <c:v>45069</c:v>
                </c:pt>
                <c:pt idx="59">
                  <c:v>45070</c:v>
                </c:pt>
                <c:pt idx="60">
                  <c:v>45071</c:v>
                </c:pt>
                <c:pt idx="61">
                  <c:v>45072</c:v>
                </c:pt>
                <c:pt idx="62">
                  <c:v>45073</c:v>
                </c:pt>
                <c:pt idx="63">
                  <c:v>45074</c:v>
                </c:pt>
                <c:pt idx="64">
                  <c:v>45075</c:v>
                </c:pt>
                <c:pt idx="65">
                  <c:v>45076</c:v>
                </c:pt>
                <c:pt idx="66">
                  <c:v>45077</c:v>
                </c:pt>
                <c:pt idx="67">
                  <c:v>45078</c:v>
                </c:pt>
                <c:pt idx="68">
                  <c:v>45079</c:v>
                </c:pt>
                <c:pt idx="69">
                  <c:v>45080</c:v>
                </c:pt>
                <c:pt idx="70">
                  <c:v>45081</c:v>
                </c:pt>
                <c:pt idx="71">
                  <c:v>45082</c:v>
                </c:pt>
                <c:pt idx="72">
                  <c:v>45083</c:v>
                </c:pt>
                <c:pt idx="73">
                  <c:v>45084</c:v>
                </c:pt>
                <c:pt idx="74">
                  <c:v>45085</c:v>
                </c:pt>
                <c:pt idx="75">
                  <c:v>45086</c:v>
                </c:pt>
                <c:pt idx="76">
                  <c:v>45087</c:v>
                </c:pt>
                <c:pt idx="77">
                  <c:v>45088</c:v>
                </c:pt>
                <c:pt idx="78">
                  <c:v>45089</c:v>
                </c:pt>
                <c:pt idx="79">
                  <c:v>45090</c:v>
                </c:pt>
                <c:pt idx="80">
                  <c:v>45091</c:v>
                </c:pt>
                <c:pt idx="81">
                  <c:v>45092</c:v>
                </c:pt>
                <c:pt idx="82">
                  <c:v>45093</c:v>
                </c:pt>
                <c:pt idx="83">
                  <c:v>45094</c:v>
                </c:pt>
                <c:pt idx="84">
                  <c:v>45095</c:v>
                </c:pt>
                <c:pt idx="85">
                  <c:v>45096</c:v>
                </c:pt>
                <c:pt idx="86">
                  <c:v>45097</c:v>
                </c:pt>
                <c:pt idx="87">
                  <c:v>45098</c:v>
                </c:pt>
                <c:pt idx="88">
                  <c:v>45099</c:v>
                </c:pt>
                <c:pt idx="89">
                  <c:v>45100</c:v>
                </c:pt>
                <c:pt idx="90">
                  <c:v>45101</c:v>
                </c:pt>
                <c:pt idx="91">
                  <c:v>45102</c:v>
                </c:pt>
                <c:pt idx="92">
                  <c:v>45103</c:v>
                </c:pt>
                <c:pt idx="93">
                  <c:v>45104</c:v>
                </c:pt>
                <c:pt idx="94">
                  <c:v>45105</c:v>
                </c:pt>
                <c:pt idx="95">
                  <c:v>45106</c:v>
                </c:pt>
                <c:pt idx="96">
                  <c:v>45107</c:v>
                </c:pt>
                <c:pt idx="97">
                  <c:v>45108</c:v>
                </c:pt>
                <c:pt idx="98">
                  <c:v>45109</c:v>
                </c:pt>
                <c:pt idx="99">
                  <c:v>45110</c:v>
                </c:pt>
                <c:pt idx="100">
                  <c:v>45111</c:v>
                </c:pt>
                <c:pt idx="101">
                  <c:v>45112</c:v>
                </c:pt>
                <c:pt idx="102">
                  <c:v>45113</c:v>
                </c:pt>
                <c:pt idx="103">
                  <c:v>45114</c:v>
                </c:pt>
                <c:pt idx="104">
                  <c:v>45115</c:v>
                </c:pt>
                <c:pt idx="105">
                  <c:v>45116</c:v>
                </c:pt>
                <c:pt idx="106">
                  <c:v>45117</c:v>
                </c:pt>
                <c:pt idx="107">
                  <c:v>45118</c:v>
                </c:pt>
                <c:pt idx="108">
                  <c:v>45119</c:v>
                </c:pt>
                <c:pt idx="109">
                  <c:v>45120</c:v>
                </c:pt>
                <c:pt idx="110">
                  <c:v>45121</c:v>
                </c:pt>
                <c:pt idx="111">
                  <c:v>45122</c:v>
                </c:pt>
                <c:pt idx="112">
                  <c:v>45123</c:v>
                </c:pt>
                <c:pt idx="113">
                  <c:v>45124</c:v>
                </c:pt>
                <c:pt idx="114">
                  <c:v>45125</c:v>
                </c:pt>
                <c:pt idx="115">
                  <c:v>45126</c:v>
                </c:pt>
                <c:pt idx="116">
                  <c:v>45127</c:v>
                </c:pt>
                <c:pt idx="117">
                  <c:v>45128</c:v>
                </c:pt>
                <c:pt idx="118">
                  <c:v>45129</c:v>
                </c:pt>
                <c:pt idx="119">
                  <c:v>45130</c:v>
                </c:pt>
                <c:pt idx="120">
                  <c:v>45131</c:v>
                </c:pt>
                <c:pt idx="121">
                  <c:v>45132</c:v>
                </c:pt>
                <c:pt idx="122">
                  <c:v>45133</c:v>
                </c:pt>
                <c:pt idx="123">
                  <c:v>45134</c:v>
                </c:pt>
                <c:pt idx="124">
                  <c:v>45135</c:v>
                </c:pt>
                <c:pt idx="125">
                  <c:v>45136</c:v>
                </c:pt>
                <c:pt idx="126">
                  <c:v>45137</c:v>
                </c:pt>
                <c:pt idx="127">
                  <c:v>45138</c:v>
                </c:pt>
                <c:pt idx="128">
                  <c:v>45139</c:v>
                </c:pt>
                <c:pt idx="129">
                  <c:v>45140</c:v>
                </c:pt>
                <c:pt idx="130">
                  <c:v>45141</c:v>
                </c:pt>
                <c:pt idx="131">
                  <c:v>45142</c:v>
                </c:pt>
                <c:pt idx="132">
                  <c:v>45143</c:v>
                </c:pt>
                <c:pt idx="133">
                  <c:v>45144</c:v>
                </c:pt>
                <c:pt idx="134">
                  <c:v>45145</c:v>
                </c:pt>
                <c:pt idx="135">
                  <c:v>45146</c:v>
                </c:pt>
                <c:pt idx="136">
                  <c:v>45147</c:v>
                </c:pt>
                <c:pt idx="137">
                  <c:v>45148</c:v>
                </c:pt>
                <c:pt idx="138">
                  <c:v>45149</c:v>
                </c:pt>
                <c:pt idx="139">
                  <c:v>45150</c:v>
                </c:pt>
                <c:pt idx="140">
                  <c:v>45151</c:v>
                </c:pt>
                <c:pt idx="141">
                  <c:v>45152</c:v>
                </c:pt>
                <c:pt idx="142">
                  <c:v>45153</c:v>
                </c:pt>
                <c:pt idx="143">
                  <c:v>45154</c:v>
                </c:pt>
                <c:pt idx="144">
                  <c:v>45155</c:v>
                </c:pt>
                <c:pt idx="145">
                  <c:v>45156</c:v>
                </c:pt>
                <c:pt idx="146">
                  <c:v>45157</c:v>
                </c:pt>
                <c:pt idx="147">
                  <c:v>45158</c:v>
                </c:pt>
                <c:pt idx="148">
                  <c:v>45159</c:v>
                </c:pt>
                <c:pt idx="149">
                  <c:v>45160</c:v>
                </c:pt>
                <c:pt idx="150">
                  <c:v>45161</c:v>
                </c:pt>
                <c:pt idx="151">
                  <c:v>45162</c:v>
                </c:pt>
                <c:pt idx="152">
                  <c:v>45163</c:v>
                </c:pt>
                <c:pt idx="153">
                  <c:v>45164</c:v>
                </c:pt>
                <c:pt idx="154">
                  <c:v>45165</c:v>
                </c:pt>
                <c:pt idx="155">
                  <c:v>45166</c:v>
                </c:pt>
                <c:pt idx="156">
                  <c:v>45167</c:v>
                </c:pt>
                <c:pt idx="157">
                  <c:v>45168</c:v>
                </c:pt>
                <c:pt idx="158">
                  <c:v>45169</c:v>
                </c:pt>
                <c:pt idx="159">
                  <c:v>45170</c:v>
                </c:pt>
                <c:pt idx="160">
                  <c:v>45171</c:v>
                </c:pt>
                <c:pt idx="161">
                  <c:v>45172</c:v>
                </c:pt>
                <c:pt idx="162">
                  <c:v>45173</c:v>
                </c:pt>
                <c:pt idx="163">
                  <c:v>45174</c:v>
                </c:pt>
                <c:pt idx="164">
                  <c:v>45175</c:v>
                </c:pt>
                <c:pt idx="165">
                  <c:v>45176</c:v>
                </c:pt>
                <c:pt idx="166">
                  <c:v>45177</c:v>
                </c:pt>
                <c:pt idx="167">
                  <c:v>45178</c:v>
                </c:pt>
                <c:pt idx="168">
                  <c:v>45179</c:v>
                </c:pt>
                <c:pt idx="169">
                  <c:v>45180</c:v>
                </c:pt>
                <c:pt idx="170">
                  <c:v>45181</c:v>
                </c:pt>
                <c:pt idx="171">
                  <c:v>45182</c:v>
                </c:pt>
                <c:pt idx="172">
                  <c:v>45183</c:v>
                </c:pt>
                <c:pt idx="173">
                  <c:v>45184</c:v>
                </c:pt>
                <c:pt idx="174">
                  <c:v>45185</c:v>
                </c:pt>
                <c:pt idx="175">
                  <c:v>45186</c:v>
                </c:pt>
                <c:pt idx="176">
                  <c:v>45187</c:v>
                </c:pt>
                <c:pt idx="177">
                  <c:v>45188</c:v>
                </c:pt>
                <c:pt idx="178">
                  <c:v>45189</c:v>
                </c:pt>
                <c:pt idx="179">
                  <c:v>45190</c:v>
                </c:pt>
                <c:pt idx="180">
                  <c:v>45191</c:v>
                </c:pt>
                <c:pt idx="181">
                  <c:v>45192</c:v>
                </c:pt>
                <c:pt idx="182">
                  <c:v>45193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45199</c:v>
                </c:pt>
                <c:pt idx="189">
                  <c:v>45200</c:v>
                </c:pt>
                <c:pt idx="190">
                  <c:v>45201</c:v>
                </c:pt>
                <c:pt idx="191">
                  <c:v>45202</c:v>
                </c:pt>
                <c:pt idx="192">
                  <c:v>45203</c:v>
                </c:pt>
                <c:pt idx="193">
                  <c:v>45204</c:v>
                </c:pt>
                <c:pt idx="194">
                  <c:v>45205</c:v>
                </c:pt>
                <c:pt idx="195">
                  <c:v>45206</c:v>
                </c:pt>
                <c:pt idx="196">
                  <c:v>45207</c:v>
                </c:pt>
                <c:pt idx="197">
                  <c:v>45208</c:v>
                </c:pt>
                <c:pt idx="198">
                  <c:v>45209</c:v>
                </c:pt>
                <c:pt idx="199">
                  <c:v>45210</c:v>
                </c:pt>
                <c:pt idx="200">
                  <c:v>45211</c:v>
                </c:pt>
                <c:pt idx="201">
                  <c:v>45212</c:v>
                </c:pt>
                <c:pt idx="202">
                  <c:v>45213</c:v>
                </c:pt>
                <c:pt idx="203">
                  <c:v>45214</c:v>
                </c:pt>
                <c:pt idx="204">
                  <c:v>45215</c:v>
                </c:pt>
                <c:pt idx="205">
                  <c:v>45216</c:v>
                </c:pt>
                <c:pt idx="206">
                  <c:v>45217</c:v>
                </c:pt>
                <c:pt idx="207">
                  <c:v>45218</c:v>
                </c:pt>
                <c:pt idx="208">
                  <c:v>45219</c:v>
                </c:pt>
                <c:pt idx="209">
                  <c:v>45220</c:v>
                </c:pt>
                <c:pt idx="210">
                  <c:v>45221</c:v>
                </c:pt>
                <c:pt idx="211">
                  <c:v>45222</c:v>
                </c:pt>
                <c:pt idx="212">
                  <c:v>45223</c:v>
                </c:pt>
                <c:pt idx="213">
                  <c:v>45224</c:v>
                </c:pt>
                <c:pt idx="214">
                  <c:v>45225</c:v>
                </c:pt>
                <c:pt idx="215">
                  <c:v>45226</c:v>
                </c:pt>
                <c:pt idx="216">
                  <c:v>45227</c:v>
                </c:pt>
                <c:pt idx="217">
                  <c:v>45228</c:v>
                </c:pt>
                <c:pt idx="218">
                  <c:v>45229</c:v>
                </c:pt>
                <c:pt idx="219">
                  <c:v>45230</c:v>
                </c:pt>
                <c:pt idx="220">
                  <c:v>45231</c:v>
                </c:pt>
                <c:pt idx="221">
                  <c:v>45232</c:v>
                </c:pt>
                <c:pt idx="222">
                  <c:v>45233</c:v>
                </c:pt>
                <c:pt idx="223">
                  <c:v>45234</c:v>
                </c:pt>
                <c:pt idx="224">
                  <c:v>45235</c:v>
                </c:pt>
                <c:pt idx="225">
                  <c:v>45236</c:v>
                </c:pt>
                <c:pt idx="226">
                  <c:v>45237</c:v>
                </c:pt>
                <c:pt idx="227">
                  <c:v>45238</c:v>
                </c:pt>
                <c:pt idx="228">
                  <c:v>45239</c:v>
                </c:pt>
                <c:pt idx="229">
                  <c:v>45240</c:v>
                </c:pt>
                <c:pt idx="230">
                  <c:v>45241</c:v>
                </c:pt>
                <c:pt idx="231">
                  <c:v>45242</c:v>
                </c:pt>
                <c:pt idx="232">
                  <c:v>45243</c:v>
                </c:pt>
                <c:pt idx="233">
                  <c:v>45244</c:v>
                </c:pt>
                <c:pt idx="234">
                  <c:v>45245</c:v>
                </c:pt>
                <c:pt idx="235">
                  <c:v>45246</c:v>
                </c:pt>
                <c:pt idx="236">
                  <c:v>45247</c:v>
                </c:pt>
                <c:pt idx="237">
                  <c:v>45248</c:v>
                </c:pt>
                <c:pt idx="238">
                  <c:v>45249</c:v>
                </c:pt>
                <c:pt idx="239">
                  <c:v>45250</c:v>
                </c:pt>
                <c:pt idx="240">
                  <c:v>45251</c:v>
                </c:pt>
                <c:pt idx="241">
                  <c:v>45252</c:v>
                </c:pt>
                <c:pt idx="242">
                  <c:v>45253</c:v>
                </c:pt>
                <c:pt idx="243">
                  <c:v>45254</c:v>
                </c:pt>
                <c:pt idx="244">
                  <c:v>45255</c:v>
                </c:pt>
                <c:pt idx="245">
                  <c:v>45256</c:v>
                </c:pt>
                <c:pt idx="246">
                  <c:v>45257</c:v>
                </c:pt>
                <c:pt idx="247">
                  <c:v>45258</c:v>
                </c:pt>
                <c:pt idx="248">
                  <c:v>45259</c:v>
                </c:pt>
                <c:pt idx="249">
                  <c:v>45260</c:v>
                </c:pt>
                <c:pt idx="250">
                  <c:v>45261</c:v>
                </c:pt>
                <c:pt idx="251">
                  <c:v>45262</c:v>
                </c:pt>
                <c:pt idx="252">
                  <c:v>45263</c:v>
                </c:pt>
                <c:pt idx="253">
                  <c:v>45264</c:v>
                </c:pt>
                <c:pt idx="254">
                  <c:v>45265</c:v>
                </c:pt>
                <c:pt idx="255">
                  <c:v>45266</c:v>
                </c:pt>
                <c:pt idx="256">
                  <c:v>45267</c:v>
                </c:pt>
                <c:pt idx="257">
                  <c:v>45268</c:v>
                </c:pt>
                <c:pt idx="258">
                  <c:v>45269</c:v>
                </c:pt>
                <c:pt idx="259">
                  <c:v>45270</c:v>
                </c:pt>
                <c:pt idx="260">
                  <c:v>45271</c:v>
                </c:pt>
                <c:pt idx="261">
                  <c:v>45272</c:v>
                </c:pt>
                <c:pt idx="262">
                  <c:v>45273</c:v>
                </c:pt>
                <c:pt idx="263">
                  <c:v>45274</c:v>
                </c:pt>
                <c:pt idx="264">
                  <c:v>45275</c:v>
                </c:pt>
                <c:pt idx="265">
                  <c:v>45276</c:v>
                </c:pt>
                <c:pt idx="266">
                  <c:v>45277</c:v>
                </c:pt>
                <c:pt idx="267">
                  <c:v>45278</c:v>
                </c:pt>
                <c:pt idx="268">
                  <c:v>45279</c:v>
                </c:pt>
                <c:pt idx="269">
                  <c:v>45280</c:v>
                </c:pt>
                <c:pt idx="270">
                  <c:v>45281</c:v>
                </c:pt>
                <c:pt idx="271">
                  <c:v>45282</c:v>
                </c:pt>
                <c:pt idx="272">
                  <c:v>45283</c:v>
                </c:pt>
                <c:pt idx="273">
                  <c:v>45284</c:v>
                </c:pt>
                <c:pt idx="274">
                  <c:v>45285</c:v>
                </c:pt>
                <c:pt idx="275">
                  <c:v>45286</c:v>
                </c:pt>
                <c:pt idx="276">
                  <c:v>45287</c:v>
                </c:pt>
                <c:pt idx="277">
                  <c:v>45288</c:v>
                </c:pt>
                <c:pt idx="278">
                  <c:v>45289</c:v>
                </c:pt>
                <c:pt idx="279">
                  <c:v>45290</c:v>
                </c:pt>
                <c:pt idx="280">
                  <c:v>45291</c:v>
                </c:pt>
                <c:pt idx="281">
                  <c:v>45292</c:v>
                </c:pt>
                <c:pt idx="282">
                  <c:v>45293</c:v>
                </c:pt>
                <c:pt idx="283">
                  <c:v>45294</c:v>
                </c:pt>
                <c:pt idx="284">
                  <c:v>45295</c:v>
                </c:pt>
                <c:pt idx="285">
                  <c:v>45296</c:v>
                </c:pt>
                <c:pt idx="286">
                  <c:v>45297</c:v>
                </c:pt>
                <c:pt idx="287">
                  <c:v>45298</c:v>
                </c:pt>
                <c:pt idx="288">
                  <c:v>45299</c:v>
                </c:pt>
                <c:pt idx="289">
                  <c:v>45300</c:v>
                </c:pt>
                <c:pt idx="290">
                  <c:v>45301</c:v>
                </c:pt>
                <c:pt idx="291">
                  <c:v>45302</c:v>
                </c:pt>
                <c:pt idx="292">
                  <c:v>45303</c:v>
                </c:pt>
                <c:pt idx="293">
                  <c:v>45304</c:v>
                </c:pt>
                <c:pt idx="294">
                  <c:v>45305</c:v>
                </c:pt>
                <c:pt idx="295">
                  <c:v>45306</c:v>
                </c:pt>
                <c:pt idx="296">
                  <c:v>45307</c:v>
                </c:pt>
                <c:pt idx="297">
                  <c:v>45308</c:v>
                </c:pt>
                <c:pt idx="298">
                  <c:v>45309</c:v>
                </c:pt>
                <c:pt idx="299">
                  <c:v>45310</c:v>
                </c:pt>
                <c:pt idx="300">
                  <c:v>45311</c:v>
                </c:pt>
                <c:pt idx="301">
                  <c:v>45312</c:v>
                </c:pt>
                <c:pt idx="302">
                  <c:v>45313</c:v>
                </c:pt>
                <c:pt idx="303">
                  <c:v>45314</c:v>
                </c:pt>
                <c:pt idx="304">
                  <c:v>45315</c:v>
                </c:pt>
                <c:pt idx="305">
                  <c:v>45316</c:v>
                </c:pt>
                <c:pt idx="306">
                  <c:v>45317</c:v>
                </c:pt>
                <c:pt idx="307">
                  <c:v>45318</c:v>
                </c:pt>
                <c:pt idx="308">
                  <c:v>45319</c:v>
                </c:pt>
                <c:pt idx="309">
                  <c:v>45320</c:v>
                </c:pt>
                <c:pt idx="310">
                  <c:v>45321</c:v>
                </c:pt>
                <c:pt idx="311">
                  <c:v>45322</c:v>
                </c:pt>
                <c:pt idx="312">
                  <c:v>45323</c:v>
                </c:pt>
                <c:pt idx="313">
                  <c:v>45324</c:v>
                </c:pt>
                <c:pt idx="314">
                  <c:v>45325</c:v>
                </c:pt>
                <c:pt idx="315">
                  <c:v>45326</c:v>
                </c:pt>
                <c:pt idx="316">
                  <c:v>45327</c:v>
                </c:pt>
                <c:pt idx="317">
                  <c:v>45328</c:v>
                </c:pt>
                <c:pt idx="318">
                  <c:v>45329</c:v>
                </c:pt>
                <c:pt idx="319">
                  <c:v>45330</c:v>
                </c:pt>
                <c:pt idx="320">
                  <c:v>45331</c:v>
                </c:pt>
                <c:pt idx="321">
                  <c:v>45332</c:v>
                </c:pt>
                <c:pt idx="322">
                  <c:v>45333</c:v>
                </c:pt>
                <c:pt idx="323">
                  <c:v>45334</c:v>
                </c:pt>
                <c:pt idx="324">
                  <c:v>45335</c:v>
                </c:pt>
                <c:pt idx="325">
                  <c:v>45336</c:v>
                </c:pt>
                <c:pt idx="326">
                  <c:v>45337</c:v>
                </c:pt>
                <c:pt idx="327">
                  <c:v>45338</c:v>
                </c:pt>
                <c:pt idx="328">
                  <c:v>45339</c:v>
                </c:pt>
                <c:pt idx="329">
                  <c:v>45340</c:v>
                </c:pt>
                <c:pt idx="330">
                  <c:v>45341</c:v>
                </c:pt>
                <c:pt idx="331">
                  <c:v>45342</c:v>
                </c:pt>
                <c:pt idx="332">
                  <c:v>45343</c:v>
                </c:pt>
                <c:pt idx="333">
                  <c:v>45344</c:v>
                </c:pt>
                <c:pt idx="334">
                  <c:v>45345</c:v>
                </c:pt>
                <c:pt idx="335">
                  <c:v>45346</c:v>
                </c:pt>
                <c:pt idx="336">
                  <c:v>45347</c:v>
                </c:pt>
                <c:pt idx="337">
                  <c:v>45348</c:v>
                </c:pt>
                <c:pt idx="338">
                  <c:v>45349</c:v>
                </c:pt>
                <c:pt idx="339">
                  <c:v>45350</c:v>
                </c:pt>
                <c:pt idx="340">
                  <c:v>45351</c:v>
                </c:pt>
                <c:pt idx="341">
                  <c:v>45352</c:v>
                </c:pt>
                <c:pt idx="342">
                  <c:v>45353</c:v>
                </c:pt>
                <c:pt idx="343">
                  <c:v>45354</c:v>
                </c:pt>
                <c:pt idx="344">
                  <c:v>45355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0.85072108609000452</c:v>
                </c:pt>
                <c:pt idx="62">
                  <c:v>0.85072108609000452</c:v>
                </c:pt>
                <c:pt idx="63">
                  <c:v>1.161067040545845</c:v>
                </c:pt>
                <c:pt idx="64">
                  <c:v>2.5010670405458484</c:v>
                </c:pt>
                <c:pt idx="65">
                  <c:v>2.8110670405458507</c:v>
                </c:pt>
                <c:pt idx="66">
                  <c:v>2.8110670405458507</c:v>
                </c:pt>
                <c:pt idx="67">
                  <c:v>3.3654472408640004</c:v>
                </c:pt>
                <c:pt idx="68">
                  <c:v>3.9154472408640117</c:v>
                </c:pt>
                <c:pt idx="69">
                  <c:v>4.5754472408640083</c:v>
                </c:pt>
                <c:pt idx="70">
                  <c:v>5.3854472408640106</c:v>
                </c:pt>
                <c:pt idx="71">
                  <c:v>5.435447240864022</c:v>
                </c:pt>
                <c:pt idx="72">
                  <c:v>5.6654472408640117</c:v>
                </c:pt>
                <c:pt idx="73">
                  <c:v>6.5854472408639992</c:v>
                </c:pt>
                <c:pt idx="74">
                  <c:v>7.3854472408639964</c:v>
                </c:pt>
                <c:pt idx="75">
                  <c:v>7.6254472408639913</c:v>
                </c:pt>
                <c:pt idx="76">
                  <c:v>8.4154472408639975</c:v>
                </c:pt>
                <c:pt idx="77">
                  <c:v>8.4354472408639936</c:v>
                </c:pt>
                <c:pt idx="78">
                  <c:v>11.035447240864002</c:v>
                </c:pt>
                <c:pt idx="79">
                  <c:v>11.915447240864012</c:v>
                </c:pt>
                <c:pt idx="80">
                  <c:v>12.215447240864009</c:v>
                </c:pt>
                <c:pt idx="81">
                  <c:v>14.465447240864009</c:v>
                </c:pt>
                <c:pt idx="82">
                  <c:v>15.975447240864</c:v>
                </c:pt>
                <c:pt idx="83">
                  <c:v>17.915447240864012</c:v>
                </c:pt>
                <c:pt idx="84">
                  <c:v>19.055447240864012</c:v>
                </c:pt>
                <c:pt idx="85">
                  <c:v>20.145447240864016</c:v>
                </c:pt>
                <c:pt idx="86">
                  <c:v>21.155447240864021</c:v>
                </c:pt>
                <c:pt idx="87">
                  <c:v>22.12544724086402</c:v>
                </c:pt>
                <c:pt idx="88">
                  <c:v>23.195447240864027</c:v>
                </c:pt>
                <c:pt idx="89">
                  <c:v>23.445447240864027</c:v>
                </c:pt>
                <c:pt idx="90">
                  <c:v>24.175447240864031</c:v>
                </c:pt>
                <c:pt idx="91">
                  <c:v>24.545447240864021</c:v>
                </c:pt>
                <c:pt idx="92">
                  <c:v>24.695447240864013</c:v>
                </c:pt>
                <c:pt idx="93">
                  <c:v>25.425447240864017</c:v>
                </c:pt>
                <c:pt idx="94">
                  <c:v>26.125447240864005</c:v>
                </c:pt>
                <c:pt idx="95">
                  <c:v>28.235447240864005</c:v>
                </c:pt>
                <c:pt idx="96">
                  <c:v>29.195447240864013</c:v>
                </c:pt>
                <c:pt idx="97">
                  <c:v>29.465447240864023</c:v>
                </c:pt>
                <c:pt idx="98">
                  <c:v>30.025447240864025</c:v>
                </c:pt>
                <c:pt idx="99">
                  <c:v>30.585447240864028</c:v>
                </c:pt>
                <c:pt idx="100">
                  <c:v>30.835447240864028</c:v>
                </c:pt>
                <c:pt idx="101">
                  <c:v>30.835447240864028</c:v>
                </c:pt>
                <c:pt idx="102">
                  <c:v>32.827127473413341</c:v>
                </c:pt>
                <c:pt idx="103">
                  <c:v>32.827127473413341</c:v>
                </c:pt>
                <c:pt idx="104">
                  <c:v>33.468128576650642</c:v>
                </c:pt>
                <c:pt idx="105">
                  <c:v>33.628128576650639</c:v>
                </c:pt>
                <c:pt idx="106">
                  <c:v>33.628128576650639</c:v>
                </c:pt>
                <c:pt idx="107">
                  <c:v>34.158879676332688</c:v>
                </c:pt>
                <c:pt idx="108">
                  <c:v>34.188879676332689</c:v>
                </c:pt>
                <c:pt idx="109">
                  <c:v>34.438879676332689</c:v>
                </c:pt>
                <c:pt idx="110">
                  <c:v>34.438879676332689</c:v>
                </c:pt>
                <c:pt idx="111">
                  <c:v>34.438879676332689</c:v>
                </c:pt>
                <c:pt idx="112">
                  <c:v>35.004467285458219</c:v>
                </c:pt>
                <c:pt idx="113">
                  <c:v>36.364467285458218</c:v>
                </c:pt>
                <c:pt idx="114">
                  <c:v>38.954467285458222</c:v>
                </c:pt>
                <c:pt idx="115">
                  <c:v>39.874467285458223</c:v>
                </c:pt>
                <c:pt idx="116">
                  <c:v>40.464467285458227</c:v>
                </c:pt>
                <c:pt idx="117">
                  <c:v>41.474467285458218</c:v>
                </c:pt>
                <c:pt idx="118">
                  <c:v>42.794467285458211</c:v>
                </c:pt>
                <c:pt idx="119">
                  <c:v>42.794467285458211</c:v>
                </c:pt>
                <c:pt idx="120">
                  <c:v>42.794467285458211</c:v>
                </c:pt>
                <c:pt idx="121">
                  <c:v>42.795865124169495</c:v>
                </c:pt>
                <c:pt idx="122">
                  <c:v>42.795865124169495</c:v>
                </c:pt>
                <c:pt idx="123">
                  <c:v>43.558045407851282</c:v>
                </c:pt>
                <c:pt idx="124">
                  <c:v>43.558045407851282</c:v>
                </c:pt>
                <c:pt idx="125">
                  <c:v>43.558045407851282</c:v>
                </c:pt>
                <c:pt idx="126">
                  <c:v>43.558045407851282</c:v>
                </c:pt>
                <c:pt idx="127">
                  <c:v>43.558045407851282</c:v>
                </c:pt>
                <c:pt idx="128">
                  <c:v>43.558045407851282</c:v>
                </c:pt>
                <c:pt idx="129">
                  <c:v>43.558045407851282</c:v>
                </c:pt>
                <c:pt idx="130">
                  <c:v>43.558045407851282</c:v>
                </c:pt>
                <c:pt idx="131">
                  <c:v>43.558045407851282</c:v>
                </c:pt>
                <c:pt idx="132">
                  <c:v>43.558045407851282</c:v>
                </c:pt>
                <c:pt idx="133">
                  <c:v>43.558045407851282</c:v>
                </c:pt>
                <c:pt idx="134">
                  <c:v>43.558045407851282</c:v>
                </c:pt>
                <c:pt idx="135">
                  <c:v>44.128641518336082</c:v>
                </c:pt>
                <c:pt idx="136">
                  <c:v>44.218641518336071</c:v>
                </c:pt>
                <c:pt idx="137">
                  <c:v>44.238641518336081</c:v>
                </c:pt>
                <c:pt idx="138">
                  <c:v>44.378641518336082</c:v>
                </c:pt>
                <c:pt idx="139">
                  <c:v>44.378641518336082</c:v>
                </c:pt>
                <c:pt idx="140">
                  <c:v>44.378641518336082</c:v>
                </c:pt>
                <c:pt idx="141">
                  <c:v>44.780312549013047</c:v>
                </c:pt>
                <c:pt idx="142">
                  <c:v>45.180312549013038</c:v>
                </c:pt>
                <c:pt idx="143">
                  <c:v>45.490312549013041</c:v>
                </c:pt>
                <c:pt idx="144">
                  <c:v>46.140312549013032</c:v>
                </c:pt>
                <c:pt idx="145">
                  <c:v>46.950312549013034</c:v>
                </c:pt>
                <c:pt idx="146">
                  <c:v>47.160312549013042</c:v>
                </c:pt>
                <c:pt idx="147">
                  <c:v>47.160312549013042</c:v>
                </c:pt>
                <c:pt idx="148">
                  <c:v>47.632071884046724</c:v>
                </c:pt>
                <c:pt idx="149">
                  <c:v>49.492071884046723</c:v>
                </c:pt>
                <c:pt idx="150">
                  <c:v>49.712071884046722</c:v>
                </c:pt>
                <c:pt idx="151">
                  <c:v>49.712071884046722</c:v>
                </c:pt>
                <c:pt idx="152">
                  <c:v>49.712071884046722</c:v>
                </c:pt>
                <c:pt idx="153">
                  <c:v>49.712071884046722</c:v>
                </c:pt>
                <c:pt idx="154">
                  <c:v>49.712071884046722</c:v>
                </c:pt>
                <c:pt idx="155">
                  <c:v>49.712071884046722</c:v>
                </c:pt>
                <c:pt idx="156">
                  <c:v>49.712071884046722</c:v>
                </c:pt>
                <c:pt idx="157">
                  <c:v>49.712071884046722</c:v>
                </c:pt>
                <c:pt idx="158">
                  <c:v>49.712071884046722</c:v>
                </c:pt>
                <c:pt idx="159">
                  <c:v>49.712071884046722</c:v>
                </c:pt>
                <c:pt idx="160">
                  <c:v>49.712071884046722</c:v>
                </c:pt>
                <c:pt idx="161">
                  <c:v>49.712071884046722</c:v>
                </c:pt>
                <c:pt idx="162">
                  <c:v>49.712071884046722</c:v>
                </c:pt>
                <c:pt idx="163">
                  <c:v>49.712071884046722</c:v>
                </c:pt>
                <c:pt idx="164">
                  <c:v>49.712071884046722</c:v>
                </c:pt>
                <c:pt idx="165">
                  <c:v>49.712071884046722</c:v>
                </c:pt>
                <c:pt idx="166">
                  <c:v>49.712071884046722</c:v>
                </c:pt>
                <c:pt idx="167">
                  <c:v>49.712071884046722</c:v>
                </c:pt>
                <c:pt idx="168">
                  <c:v>49.712071884046722</c:v>
                </c:pt>
                <c:pt idx="169">
                  <c:v>49.712071884046722</c:v>
                </c:pt>
                <c:pt idx="170">
                  <c:v>49.712071884046722</c:v>
                </c:pt>
                <c:pt idx="171">
                  <c:v>49.712071884046722</c:v>
                </c:pt>
                <c:pt idx="172">
                  <c:v>49.712071884046722</c:v>
                </c:pt>
                <c:pt idx="173">
                  <c:v>49.712071884046722</c:v>
                </c:pt>
                <c:pt idx="174">
                  <c:v>49.712071884046722</c:v>
                </c:pt>
                <c:pt idx="175">
                  <c:v>49.712071884046722</c:v>
                </c:pt>
                <c:pt idx="176">
                  <c:v>49.712071884046722</c:v>
                </c:pt>
                <c:pt idx="177">
                  <c:v>49.712071884046722</c:v>
                </c:pt>
                <c:pt idx="178">
                  <c:v>49.712071884046722</c:v>
                </c:pt>
                <c:pt idx="179">
                  <c:v>49.712071884046722</c:v>
                </c:pt>
                <c:pt idx="180">
                  <c:v>49.712071884046722</c:v>
                </c:pt>
                <c:pt idx="181">
                  <c:v>49.712071884046722</c:v>
                </c:pt>
                <c:pt idx="182">
                  <c:v>49.712071884046722</c:v>
                </c:pt>
                <c:pt idx="183">
                  <c:v>49.712071884046722</c:v>
                </c:pt>
                <c:pt idx="184">
                  <c:v>49.712071884046722</c:v>
                </c:pt>
                <c:pt idx="185">
                  <c:v>49.712071884046722</c:v>
                </c:pt>
                <c:pt idx="186">
                  <c:v>49.712071884046722</c:v>
                </c:pt>
                <c:pt idx="187">
                  <c:v>49.712071884046722</c:v>
                </c:pt>
                <c:pt idx="188">
                  <c:v>49.712071884046722</c:v>
                </c:pt>
                <c:pt idx="189">
                  <c:v>49.712071884046722</c:v>
                </c:pt>
                <c:pt idx="190">
                  <c:v>49.712071884046722</c:v>
                </c:pt>
                <c:pt idx="191">
                  <c:v>49.712071884046722</c:v>
                </c:pt>
                <c:pt idx="192">
                  <c:v>49.712071884046722</c:v>
                </c:pt>
                <c:pt idx="193">
                  <c:v>49.712071884046722</c:v>
                </c:pt>
                <c:pt idx="194">
                  <c:v>49.712071884046722</c:v>
                </c:pt>
                <c:pt idx="195">
                  <c:v>49.712071884046722</c:v>
                </c:pt>
                <c:pt idx="196">
                  <c:v>49.712071884046722</c:v>
                </c:pt>
                <c:pt idx="197">
                  <c:v>49.712071884046722</c:v>
                </c:pt>
                <c:pt idx="198">
                  <c:v>49.712071884046722</c:v>
                </c:pt>
                <c:pt idx="199">
                  <c:v>49.712071884046722</c:v>
                </c:pt>
                <c:pt idx="200">
                  <c:v>49.712071884046722</c:v>
                </c:pt>
                <c:pt idx="201">
                  <c:v>49.712071884046722</c:v>
                </c:pt>
                <c:pt idx="202">
                  <c:v>49.712071884046722</c:v>
                </c:pt>
                <c:pt idx="203">
                  <c:v>49.712071884046722</c:v>
                </c:pt>
                <c:pt idx="204">
                  <c:v>49.712071884046722</c:v>
                </c:pt>
                <c:pt idx="205">
                  <c:v>49.712071884046722</c:v>
                </c:pt>
                <c:pt idx="206">
                  <c:v>49.712071884046722</c:v>
                </c:pt>
                <c:pt idx="207">
                  <c:v>49.712071884046722</c:v>
                </c:pt>
                <c:pt idx="208">
                  <c:v>49.712071884046722</c:v>
                </c:pt>
                <c:pt idx="209">
                  <c:v>49.712071884046722</c:v>
                </c:pt>
                <c:pt idx="210">
                  <c:v>49.712071884046722</c:v>
                </c:pt>
                <c:pt idx="211">
                  <c:v>49.712071884046722</c:v>
                </c:pt>
                <c:pt idx="212">
                  <c:v>49.712071884046722</c:v>
                </c:pt>
                <c:pt idx="213">
                  <c:v>49.712071884046722</c:v>
                </c:pt>
                <c:pt idx="214">
                  <c:v>49.712071884046722</c:v>
                </c:pt>
                <c:pt idx="215">
                  <c:v>49.712071884046722</c:v>
                </c:pt>
                <c:pt idx="216">
                  <c:v>49.712071884046722</c:v>
                </c:pt>
                <c:pt idx="217">
                  <c:v>49.712071884046722</c:v>
                </c:pt>
                <c:pt idx="218">
                  <c:v>49.712071884046722</c:v>
                </c:pt>
                <c:pt idx="219">
                  <c:v>49.712071884046722</c:v>
                </c:pt>
                <c:pt idx="220">
                  <c:v>49.712071884046722</c:v>
                </c:pt>
                <c:pt idx="221">
                  <c:v>49.712071884046722</c:v>
                </c:pt>
                <c:pt idx="222">
                  <c:v>49.712071884046722</c:v>
                </c:pt>
                <c:pt idx="223">
                  <c:v>49.712071884046722</c:v>
                </c:pt>
                <c:pt idx="224">
                  <c:v>49.712071884046722</c:v>
                </c:pt>
                <c:pt idx="225">
                  <c:v>49.712071884046722</c:v>
                </c:pt>
                <c:pt idx="226">
                  <c:v>49.712071884046722</c:v>
                </c:pt>
                <c:pt idx="227">
                  <c:v>49.712071884046722</c:v>
                </c:pt>
                <c:pt idx="228">
                  <c:v>49.712071884046722</c:v>
                </c:pt>
                <c:pt idx="229">
                  <c:v>49.712071884046722</c:v>
                </c:pt>
                <c:pt idx="230">
                  <c:v>49.712071884046722</c:v>
                </c:pt>
                <c:pt idx="231">
                  <c:v>49.712071884046722</c:v>
                </c:pt>
                <c:pt idx="232">
                  <c:v>49.712071884046722</c:v>
                </c:pt>
                <c:pt idx="233">
                  <c:v>49.712071884046722</c:v>
                </c:pt>
                <c:pt idx="234">
                  <c:v>49.712071884046722</c:v>
                </c:pt>
                <c:pt idx="235">
                  <c:v>49.712071884046722</c:v>
                </c:pt>
                <c:pt idx="236">
                  <c:v>49.712071884046722</c:v>
                </c:pt>
                <c:pt idx="237">
                  <c:v>49.712071884046722</c:v>
                </c:pt>
                <c:pt idx="238">
                  <c:v>49.712071884046722</c:v>
                </c:pt>
                <c:pt idx="239">
                  <c:v>49.712071884046722</c:v>
                </c:pt>
                <c:pt idx="240">
                  <c:v>49.712071884046722</c:v>
                </c:pt>
                <c:pt idx="241">
                  <c:v>49.712071884046722</c:v>
                </c:pt>
                <c:pt idx="242">
                  <c:v>49.712071884046722</c:v>
                </c:pt>
                <c:pt idx="243">
                  <c:v>49.712071884046722</c:v>
                </c:pt>
                <c:pt idx="244">
                  <c:v>49.712071884046722</c:v>
                </c:pt>
                <c:pt idx="245">
                  <c:v>49.712071884046722</c:v>
                </c:pt>
                <c:pt idx="246">
                  <c:v>49.712071884046722</c:v>
                </c:pt>
                <c:pt idx="247">
                  <c:v>49.712071884046722</c:v>
                </c:pt>
                <c:pt idx="248">
                  <c:v>49.712071884046722</c:v>
                </c:pt>
                <c:pt idx="249">
                  <c:v>49.712071884046722</c:v>
                </c:pt>
                <c:pt idx="250">
                  <c:v>49.712071884046722</c:v>
                </c:pt>
                <c:pt idx="251">
                  <c:v>49.712071884046722</c:v>
                </c:pt>
                <c:pt idx="252">
                  <c:v>49.712071884046722</c:v>
                </c:pt>
                <c:pt idx="253">
                  <c:v>49.712071884046722</c:v>
                </c:pt>
                <c:pt idx="254">
                  <c:v>49.712071884046722</c:v>
                </c:pt>
                <c:pt idx="255">
                  <c:v>49.712071884046722</c:v>
                </c:pt>
                <c:pt idx="256">
                  <c:v>49.712071884046722</c:v>
                </c:pt>
                <c:pt idx="257">
                  <c:v>49.712071884046722</c:v>
                </c:pt>
                <c:pt idx="258">
                  <c:v>49.712071884046722</c:v>
                </c:pt>
                <c:pt idx="259">
                  <c:v>49.712071884046722</c:v>
                </c:pt>
                <c:pt idx="260">
                  <c:v>49.712071884046722</c:v>
                </c:pt>
                <c:pt idx="261">
                  <c:v>49.712071884046722</c:v>
                </c:pt>
                <c:pt idx="262">
                  <c:v>49.712071884046722</c:v>
                </c:pt>
                <c:pt idx="263">
                  <c:v>49.712071884046722</c:v>
                </c:pt>
                <c:pt idx="264">
                  <c:v>49.712071884046722</c:v>
                </c:pt>
                <c:pt idx="265">
                  <c:v>49.712071884046722</c:v>
                </c:pt>
                <c:pt idx="266">
                  <c:v>49.712071884046722</c:v>
                </c:pt>
                <c:pt idx="267">
                  <c:v>49.712071884046722</c:v>
                </c:pt>
                <c:pt idx="268">
                  <c:v>49.712071884046722</c:v>
                </c:pt>
                <c:pt idx="269">
                  <c:v>49.712071884046722</c:v>
                </c:pt>
                <c:pt idx="270">
                  <c:v>49.712071884046722</c:v>
                </c:pt>
                <c:pt idx="271">
                  <c:v>49.712071884046722</c:v>
                </c:pt>
                <c:pt idx="272">
                  <c:v>49.712071884046722</c:v>
                </c:pt>
                <c:pt idx="273">
                  <c:v>49.712071884046722</c:v>
                </c:pt>
                <c:pt idx="274">
                  <c:v>49.712071884046722</c:v>
                </c:pt>
                <c:pt idx="275">
                  <c:v>49.712071884046722</c:v>
                </c:pt>
                <c:pt idx="276">
                  <c:v>49.712071884046722</c:v>
                </c:pt>
                <c:pt idx="277">
                  <c:v>49.712071884046722</c:v>
                </c:pt>
                <c:pt idx="278">
                  <c:v>49.712071884046722</c:v>
                </c:pt>
                <c:pt idx="279">
                  <c:v>49.712071884046722</c:v>
                </c:pt>
                <c:pt idx="280">
                  <c:v>49.712071884046722</c:v>
                </c:pt>
                <c:pt idx="281">
                  <c:v>49.712071884046722</c:v>
                </c:pt>
                <c:pt idx="282">
                  <c:v>49.712071884046722</c:v>
                </c:pt>
                <c:pt idx="283">
                  <c:v>49.712071884046722</c:v>
                </c:pt>
                <c:pt idx="284">
                  <c:v>49.712071884046722</c:v>
                </c:pt>
                <c:pt idx="285">
                  <c:v>49.712071884046722</c:v>
                </c:pt>
                <c:pt idx="286">
                  <c:v>49.712071884046722</c:v>
                </c:pt>
                <c:pt idx="287">
                  <c:v>49.712071884046722</c:v>
                </c:pt>
                <c:pt idx="288">
                  <c:v>49.712071884046722</c:v>
                </c:pt>
                <c:pt idx="289">
                  <c:v>49.712071884046722</c:v>
                </c:pt>
                <c:pt idx="290">
                  <c:v>49.712071884046722</c:v>
                </c:pt>
                <c:pt idx="291">
                  <c:v>49.712071884046722</c:v>
                </c:pt>
                <c:pt idx="292">
                  <c:v>49.712071884046722</c:v>
                </c:pt>
                <c:pt idx="293">
                  <c:v>49.712071884046722</c:v>
                </c:pt>
                <c:pt idx="294">
                  <c:v>49.712071884046722</c:v>
                </c:pt>
                <c:pt idx="295">
                  <c:v>49.712071884046722</c:v>
                </c:pt>
                <c:pt idx="296">
                  <c:v>49.712071884046722</c:v>
                </c:pt>
                <c:pt idx="297">
                  <c:v>49.712071884046722</c:v>
                </c:pt>
                <c:pt idx="298">
                  <c:v>49.712071884046722</c:v>
                </c:pt>
                <c:pt idx="299">
                  <c:v>49.712071884046722</c:v>
                </c:pt>
                <c:pt idx="300">
                  <c:v>49.712071884046722</c:v>
                </c:pt>
                <c:pt idx="301">
                  <c:v>49.712071884046722</c:v>
                </c:pt>
                <c:pt idx="302">
                  <c:v>49.712071884046722</c:v>
                </c:pt>
                <c:pt idx="303">
                  <c:v>49.712071884046722</c:v>
                </c:pt>
                <c:pt idx="304">
                  <c:v>49.712071884046722</c:v>
                </c:pt>
                <c:pt idx="305">
                  <c:v>49.712071884046722</c:v>
                </c:pt>
                <c:pt idx="306">
                  <c:v>49.712071884046722</c:v>
                </c:pt>
                <c:pt idx="307">
                  <c:v>49.712071884046722</c:v>
                </c:pt>
                <c:pt idx="308">
                  <c:v>49.712071884046722</c:v>
                </c:pt>
                <c:pt idx="309">
                  <c:v>49.712071884046722</c:v>
                </c:pt>
                <c:pt idx="310">
                  <c:v>49.712071884046722</c:v>
                </c:pt>
                <c:pt idx="311">
                  <c:v>49.712071884046722</c:v>
                </c:pt>
                <c:pt idx="312">
                  <c:v>49.712071884046722</c:v>
                </c:pt>
                <c:pt idx="313">
                  <c:v>49.712071884046722</c:v>
                </c:pt>
                <c:pt idx="314">
                  <c:v>49.712071884046722</c:v>
                </c:pt>
                <c:pt idx="315">
                  <c:v>49.712071884046722</c:v>
                </c:pt>
                <c:pt idx="316">
                  <c:v>49.712071884046722</c:v>
                </c:pt>
                <c:pt idx="317">
                  <c:v>49.712071884046722</c:v>
                </c:pt>
                <c:pt idx="318">
                  <c:v>49.712071884046722</c:v>
                </c:pt>
                <c:pt idx="319">
                  <c:v>49.712071884046722</c:v>
                </c:pt>
                <c:pt idx="320">
                  <c:v>49.712071884046722</c:v>
                </c:pt>
                <c:pt idx="321">
                  <c:v>49.712071884046722</c:v>
                </c:pt>
                <c:pt idx="322">
                  <c:v>49.712071884046722</c:v>
                </c:pt>
                <c:pt idx="323">
                  <c:v>49.712071884046722</c:v>
                </c:pt>
                <c:pt idx="324">
                  <c:v>49.712071884046722</c:v>
                </c:pt>
                <c:pt idx="325">
                  <c:v>49.712071884046722</c:v>
                </c:pt>
                <c:pt idx="326">
                  <c:v>49.712071884046722</c:v>
                </c:pt>
                <c:pt idx="327">
                  <c:v>49.712071884046722</c:v>
                </c:pt>
                <c:pt idx="328">
                  <c:v>49.712071884046722</c:v>
                </c:pt>
                <c:pt idx="329">
                  <c:v>49.712071884046722</c:v>
                </c:pt>
                <c:pt idx="330">
                  <c:v>49.712071884046722</c:v>
                </c:pt>
                <c:pt idx="331">
                  <c:v>49.712071884046722</c:v>
                </c:pt>
                <c:pt idx="332">
                  <c:v>49.712071884046722</c:v>
                </c:pt>
                <c:pt idx="333">
                  <c:v>49.712071884046722</c:v>
                </c:pt>
                <c:pt idx="334">
                  <c:v>49.712071884046722</c:v>
                </c:pt>
                <c:pt idx="335">
                  <c:v>49.712071884046722</c:v>
                </c:pt>
                <c:pt idx="336">
                  <c:v>49.712071884046722</c:v>
                </c:pt>
                <c:pt idx="337">
                  <c:v>49.712071884046722</c:v>
                </c:pt>
                <c:pt idx="338">
                  <c:v>49.712071884046722</c:v>
                </c:pt>
                <c:pt idx="339">
                  <c:v>49.712071884046722</c:v>
                </c:pt>
                <c:pt idx="340">
                  <c:v>49.712071884046722</c:v>
                </c:pt>
                <c:pt idx="341">
                  <c:v>49.712071884046722</c:v>
                </c:pt>
                <c:pt idx="342">
                  <c:v>49.712071884046722</c:v>
                </c:pt>
                <c:pt idx="343">
                  <c:v>49.712071884046722</c:v>
                </c:pt>
                <c:pt idx="344">
                  <c:v>49.712071884046722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ConceptDemo!$AD$17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45011</c:v>
                </c:pt>
                <c:pt idx="1">
                  <c:v>45012</c:v>
                </c:pt>
                <c:pt idx="2">
                  <c:v>45013</c:v>
                </c:pt>
                <c:pt idx="3">
                  <c:v>45014</c:v>
                </c:pt>
                <c:pt idx="4">
                  <c:v>45015</c:v>
                </c:pt>
                <c:pt idx="5">
                  <c:v>45016</c:v>
                </c:pt>
                <c:pt idx="6">
                  <c:v>45017</c:v>
                </c:pt>
                <c:pt idx="7">
                  <c:v>45018</c:v>
                </c:pt>
                <c:pt idx="8">
                  <c:v>45019</c:v>
                </c:pt>
                <c:pt idx="9">
                  <c:v>45020</c:v>
                </c:pt>
                <c:pt idx="10">
                  <c:v>45021</c:v>
                </c:pt>
                <c:pt idx="11">
                  <c:v>45022</c:v>
                </c:pt>
                <c:pt idx="12">
                  <c:v>45023</c:v>
                </c:pt>
                <c:pt idx="13">
                  <c:v>45024</c:v>
                </c:pt>
                <c:pt idx="14">
                  <c:v>45025</c:v>
                </c:pt>
                <c:pt idx="15">
                  <c:v>45026</c:v>
                </c:pt>
                <c:pt idx="16">
                  <c:v>45027</c:v>
                </c:pt>
                <c:pt idx="17">
                  <c:v>45028</c:v>
                </c:pt>
                <c:pt idx="18">
                  <c:v>45029</c:v>
                </c:pt>
                <c:pt idx="19">
                  <c:v>45030</c:v>
                </c:pt>
                <c:pt idx="20">
                  <c:v>45031</c:v>
                </c:pt>
                <c:pt idx="21">
                  <c:v>45032</c:v>
                </c:pt>
                <c:pt idx="22">
                  <c:v>45033</c:v>
                </c:pt>
                <c:pt idx="23">
                  <c:v>45034</c:v>
                </c:pt>
                <c:pt idx="24">
                  <c:v>45035</c:v>
                </c:pt>
                <c:pt idx="25">
                  <c:v>45036</c:v>
                </c:pt>
                <c:pt idx="26">
                  <c:v>45037</c:v>
                </c:pt>
                <c:pt idx="27">
                  <c:v>45038</c:v>
                </c:pt>
                <c:pt idx="28">
                  <c:v>45039</c:v>
                </c:pt>
                <c:pt idx="29">
                  <c:v>45040</c:v>
                </c:pt>
                <c:pt idx="30">
                  <c:v>45041</c:v>
                </c:pt>
                <c:pt idx="31">
                  <c:v>45042</c:v>
                </c:pt>
                <c:pt idx="32">
                  <c:v>45043</c:v>
                </c:pt>
                <c:pt idx="33">
                  <c:v>45044</c:v>
                </c:pt>
                <c:pt idx="34">
                  <c:v>45045</c:v>
                </c:pt>
                <c:pt idx="35">
                  <c:v>45046</c:v>
                </c:pt>
                <c:pt idx="36">
                  <c:v>45047</c:v>
                </c:pt>
                <c:pt idx="37">
                  <c:v>45048</c:v>
                </c:pt>
                <c:pt idx="38">
                  <c:v>45049</c:v>
                </c:pt>
                <c:pt idx="39">
                  <c:v>45050</c:v>
                </c:pt>
                <c:pt idx="40">
                  <c:v>45051</c:v>
                </c:pt>
                <c:pt idx="41">
                  <c:v>45052</c:v>
                </c:pt>
                <c:pt idx="42">
                  <c:v>45053</c:v>
                </c:pt>
                <c:pt idx="43">
                  <c:v>45054</c:v>
                </c:pt>
                <c:pt idx="44">
                  <c:v>45055</c:v>
                </c:pt>
                <c:pt idx="45">
                  <c:v>45056</c:v>
                </c:pt>
                <c:pt idx="46">
                  <c:v>45057</c:v>
                </c:pt>
                <c:pt idx="47">
                  <c:v>45058</c:v>
                </c:pt>
                <c:pt idx="48">
                  <c:v>45059</c:v>
                </c:pt>
                <c:pt idx="49">
                  <c:v>45060</c:v>
                </c:pt>
                <c:pt idx="50">
                  <c:v>45061</c:v>
                </c:pt>
                <c:pt idx="51">
                  <c:v>45062</c:v>
                </c:pt>
                <c:pt idx="52">
                  <c:v>45063</c:v>
                </c:pt>
                <c:pt idx="53">
                  <c:v>45064</c:v>
                </c:pt>
                <c:pt idx="54">
                  <c:v>45065</c:v>
                </c:pt>
                <c:pt idx="55">
                  <c:v>45066</c:v>
                </c:pt>
                <c:pt idx="56">
                  <c:v>45067</c:v>
                </c:pt>
                <c:pt idx="57">
                  <c:v>45068</c:v>
                </c:pt>
                <c:pt idx="58">
                  <c:v>45069</c:v>
                </c:pt>
                <c:pt idx="59">
                  <c:v>45070</c:v>
                </c:pt>
                <c:pt idx="60">
                  <c:v>45071</c:v>
                </c:pt>
                <c:pt idx="61">
                  <c:v>45072</c:v>
                </c:pt>
                <c:pt idx="62">
                  <c:v>45073</c:v>
                </c:pt>
                <c:pt idx="63">
                  <c:v>45074</c:v>
                </c:pt>
                <c:pt idx="64">
                  <c:v>45075</c:v>
                </c:pt>
                <c:pt idx="65">
                  <c:v>45076</c:v>
                </c:pt>
                <c:pt idx="66">
                  <c:v>45077</c:v>
                </c:pt>
                <c:pt idx="67">
                  <c:v>45078</c:v>
                </c:pt>
                <c:pt idx="68">
                  <c:v>45079</c:v>
                </c:pt>
                <c:pt idx="69">
                  <c:v>45080</c:v>
                </c:pt>
                <c:pt idx="70">
                  <c:v>45081</c:v>
                </c:pt>
                <c:pt idx="71">
                  <c:v>45082</c:v>
                </c:pt>
                <c:pt idx="72">
                  <c:v>45083</c:v>
                </c:pt>
                <c:pt idx="73">
                  <c:v>45084</c:v>
                </c:pt>
                <c:pt idx="74">
                  <c:v>45085</c:v>
                </c:pt>
                <c:pt idx="75">
                  <c:v>45086</c:v>
                </c:pt>
                <c:pt idx="76">
                  <c:v>45087</c:v>
                </c:pt>
                <c:pt idx="77">
                  <c:v>45088</c:v>
                </c:pt>
                <c:pt idx="78">
                  <c:v>45089</c:v>
                </c:pt>
                <c:pt idx="79">
                  <c:v>45090</c:v>
                </c:pt>
                <c:pt idx="80">
                  <c:v>45091</c:v>
                </c:pt>
                <c:pt idx="81">
                  <c:v>45092</c:v>
                </c:pt>
                <c:pt idx="82">
                  <c:v>45093</c:v>
                </c:pt>
                <c:pt idx="83">
                  <c:v>45094</c:v>
                </c:pt>
                <c:pt idx="84">
                  <c:v>45095</c:v>
                </c:pt>
                <c:pt idx="85">
                  <c:v>45096</c:v>
                </c:pt>
                <c:pt idx="86">
                  <c:v>45097</c:v>
                </c:pt>
                <c:pt idx="87">
                  <c:v>45098</c:v>
                </c:pt>
                <c:pt idx="88">
                  <c:v>45099</c:v>
                </c:pt>
                <c:pt idx="89">
                  <c:v>45100</c:v>
                </c:pt>
                <c:pt idx="90">
                  <c:v>45101</c:v>
                </c:pt>
                <c:pt idx="91">
                  <c:v>45102</c:v>
                </c:pt>
                <c:pt idx="92">
                  <c:v>45103</c:v>
                </c:pt>
                <c:pt idx="93">
                  <c:v>45104</c:v>
                </c:pt>
                <c:pt idx="94">
                  <c:v>45105</c:v>
                </c:pt>
                <c:pt idx="95">
                  <c:v>45106</c:v>
                </c:pt>
                <c:pt idx="96">
                  <c:v>45107</c:v>
                </c:pt>
                <c:pt idx="97">
                  <c:v>45108</c:v>
                </c:pt>
                <c:pt idx="98">
                  <c:v>45109</c:v>
                </c:pt>
                <c:pt idx="99">
                  <c:v>45110</c:v>
                </c:pt>
                <c:pt idx="100">
                  <c:v>45111</c:v>
                </c:pt>
                <c:pt idx="101">
                  <c:v>45112</c:v>
                </c:pt>
                <c:pt idx="102">
                  <c:v>45113</c:v>
                </c:pt>
                <c:pt idx="103">
                  <c:v>45114</c:v>
                </c:pt>
                <c:pt idx="104">
                  <c:v>45115</c:v>
                </c:pt>
                <c:pt idx="105">
                  <c:v>45116</c:v>
                </c:pt>
                <c:pt idx="106">
                  <c:v>45117</c:v>
                </c:pt>
                <c:pt idx="107">
                  <c:v>45118</c:v>
                </c:pt>
                <c:pt idx="108">
                  <c:v>45119</c:v>
                </c:pt>
                <c:pt idx="109">
                  <c:v>45120</c:v>
                </c:pt>
                <c:pt idx="110">
                  <c:v>45121</c:v>
                </c:pt>
                <c:pt idx="111">
                  <c:v>45122</c:v>
                </c:pt>
                <c:pt idx="112">
                  <c:v>45123</c:v>
                </c:pt>
                <c:pt idx="113">
                  <c:v>45124</c:v>
                </c:pt>
                <c:pt idx="114">
                  <c:v>45125</c:v>
                </c:pt>
                <c:pt idx="115">
                  <c:v>45126</c:v>
                </c:pt>
                <c:pt idx="116">
                  <c:v>45127</c:v>
                </c:pt>
                <c:pt idx="117">
                  <c:v>45128</c:v>
                </c:pt>
                <c:pt idx="118">
                  <c:v>45129</c:v>
                </c:pt>
                <c:pt idx="119">
                  <c:v>45130</c:v>
                </c:pt>
                <c:pt idx="120">
                  <c:v>45131</c:v>
                </c:pt>
                <c:pt idx="121">
                  <c:v>45132</c:v>
                </c:pt>
                <c:pt idx="122">
                  <c:v>45133</c:v>
                </c:pt>
                <c:pt idx="123">
                  <c:v>45134</c:v>
                </c:pt>
                <c:pt idx="124">
                  <c:v>45135</c:v>
                </c:pt>
                <c:pt idx="125">
                  <c:v>45136</c:v>
                </c:pt>
                <c:pt idx="126">
                  <c:v>45137</c:v>
                </c:pt>
                <c:pt idx="127">
                  <c:v>45138</c:v>
                </c:pt>
                <c:pt idx="128">
                  <c:v>45139</c:v>
                </c:pt>
                <c:pt idx="129">
                  <c:v>45140</c:v>
                </c:pt>
                <c:pt idx="130">
                  <c:v>45141</c:v>
                </c:pt>
                <c:pt idx="131">
                  <c:v>45142</c:v>
                </c:pt>
                <c:pt idx="132">
                  <c:v>45143</c:v>
                </c:pt>
                <c:pt idx="133">
                  <c:v>45144</c:v>
                </c:pt>
                <c:pt idx="134">
                  <c:v>45145</c:v>
                </c:pt>
                <c:pt idx="135">
                  <c:v>45146</c:v>
                </c:pt>
                <c:pt idx="136">
                  <c:v>45147</c:v>
                </c:pt>
                <c:pt idx="137">
                  <c:v>45148</c:v>
                </c:pt>
                <c:pt idx="138">
                  <c:v>45149</c:v>
                </c:pt>
                <c:pt idx="139">
                  <c:v>45150</c:v>
                </c:pt>
                <c:pt idx="140">
                  <c:v>45151</c:v>
                </c:pt>
                <c:pt idx="141">
                  <c:v>45152</c:v>
                </c:pt>
                <c:pt idx="142">
                  <c:v>45153</c:v>
                </c:pt>
                <c:pt idx="143">
                  <c:v>45154</c:v>
                </c:pt>
                <c:pt idx="144">
                  <c:v>45155</c:v>
                </c:pt>
                <c:pt idx="145">
                  <c:v>45156</c:v>
                </c:pt>
                <c:pt idx="146">
                  <c:v>45157</c:v>
                </c:pt>
                <c:pt idx="147">
                  <c:v>45158</c:v>
                </c:pt>
                <c:pt idx="148">
                  <c:v>45159</c:v>
                </c:pt>
                <c:pt idx="149">
                  <c:v>45160</c:v>
                </c:pt>
                <c:pt idx="150">
                  <c:v>45161</c:v>
                </c:pt>
                <c:pt idx="151">
                  <c:v>45162</c:v>
                </c:pt>
                <c:pt idx="152">
                  <c:v>45163</c:v>
                </c:pt>
                <c:pt idx="153">
                  <c:v>45164</c:v>
                </c:pt>
                <c:pt idx="154">
                  <c:v>45165</c:v>
                </c:pt>
                <c:pt idx="155">
                  <c:v>45166</c:v>
                </c:pt>
                <c:pt idx="156">
                  <c:v>45167</c:v>
                </c:pt>
                <c:pt idx="157">
                  <c:v>45168</c:v>
                </c:pt>
                <c:pt idx="158">
                  <c:v>45169</c:v>
                </c:pt>
                <c:pt idx="159">
                  <c:v>45170</c:v>
                </c:pt>
                <c:pt idx="160">
                  <c:v>45171</c:v>
                </c:pt>
                <c:pt idx="161">
                  <c:v>45172</c:v>
                </c:pt>
                <c:pt idx="162">
                  <c:v>45173</c:v>
                </c:pt>
                <c:pt idx="163">
                  <c:v>45174</c:v>
                </c:pt>
                <c:pt idx="164">
                  <c:v>45175</c:v>
                </c:pt>
                <c:pt idx="165">
                  <c:v>45176</c:v>
                </c:pt>
                <c:pt idx="166">
                  <c:v>45177</c:v>
                </c:pt>
                <c:pt idx="167">
                  <c:v>45178</c:v>
                </c:pt>
                <c:pt idx="168">
                  <c:v>45179</c:v>
                </c:pt>
                <c:pt idx="169">
                  <c:v>45180</c:v>
                </c:pt>
                <c:pt idx="170">
                  <c:v>45181</c:v>
                </c:pt>
                <c:pt idx="171">
                  <c:v>45182</c:v>
                </c:pt>
                <c:pt idx="172">
                  <c:v>45183</c:v>
                </c:pt>
                <c:pt idx="173">
                  <c:v>45184</c:v>
                </c:pt>
                <c:pt idx="174">
                  <c:v>45185</c:v>
                </c:pt>
                <c:pt idx="175">
                  <c:v>45186</c:v>
                </c:pt>
                <c:pt idx="176">
                  <c:v>45187</c:v>
                </c:pt>
                <c:pt idx="177">
                  <c:v>45188</c:v>
                </c:pt>
                <c:pt idx="178">
                  <c:v>45189</c:v>
                </c:pt>
                <c:pt idx="179">
                  <c:v>45190</c:v>
                </c:pt>
                <c:pt idx="180">
                  <c:v>45191</c:v>
                </c:pt>
                <c:pt idx="181">
                  <c:v>45192</c:v>
                </c:pt>
                <c:pt idx="182">
                  <c:v>45193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45199</c:v>
                </c:pt>
                <c:pt idx="189">
                  <c:v>45200</c:v>
                </c:pt>
                <c:pt idx="190">
                  <c:v>45201</c:v>
                </c:pt>
                <c:pt idx="191">
                  <c:v>45202</c:v>
                </c:pt>
                <c:pt idx="192">
                  <c:v>45203</c:v>
                </c:pt>
                <c:pt idx="193">
                  <c:v>45204</c:v>
                </c:pt>
                <c:pt idx="194">
                  <c:v>45205</c:v>
                </c:pt>
                <c:pt idx="195">
                  <c:v>45206</c:v>
                </c:pt>
                <c:pt idx="196">
                  <c:v>45207</c:v>
                </c:pt>
                <c:pt idx="197">
                  <c:v>45208</c:v>
                </c:pt>
                <c:pt idx="198">
                  <c:v>45209</c:v>
                </c:pt>
                <c:pt idx="199">
                  <c:v>45210</c:v>
                </c:pt>
                <c:pt idx="200">
                  <c:v>45211</c:v>
                </c:pt>
                <c:pt idx="201">
                  <c:v>45212</c:v>
                </c:pt>
                <c:pt idx="202">
                  <c:v>45213</c:v>
                </c:pt>
                <c:pt idx="203">
                  <c:v>45214</c:v>
                </c:pt>
                <c:pt idx="204">
                  <c:v>45215</c:v>
                </c:pt>
                <c:pt idx="205">
                  <c:v>45216</c:v>
                </c:pt>
                <c:pt idx="206">
                  <c:v>45217</c:v>
                </c:pt>
                <c:pt idx="207">
                  <c:v>45218</c:v>
                </c:pt>
                <c:pt idx="208">
                  <c:v>45219</c:v>
                </c:pt>
                <c:pt idx="209">
                  <c:v>45220</c:v>
                </c:pt>
                <c:pt idx="210">
                  <c:v>45221</c:v>
                </c:pt>
                <c:pt idx="211">
                  <c:v>45222</c:v>
                </c:pt>
                <c:pt idx="212">
                  <c:v>45223</c:v>
                </c:pt>
                <c:pt idx="213">
                  <c:v>45224</c:v>
                </c:pt>
                <c:pt idx="214">
                  <c:v>45225</c:v>
                </c:pt>
                <c:pt idx="215">
                  <c:v>45226</c:v>
                </c:pt>
                <c:pt idx="216">
                  <c:v>45227</c:v>
                </c:pt>
                <c:pt idx="217">
                  <c:v>45228</c:v>
                </c:pt>
                <c:pt idx="218">
                  <c:v>45229</c:v>
                </c:pt>
                <c:pt idx="219">
                  <c:v>45230</c:v>
                </c:pt>
                <c:pt idx="220">
                  <c:v>45231</c:v>
                </c:pt>
                <c:pt idx="221">
                  <c:v>45232</c:v>
                </c:pt>
                <c:pt idx="222">
                  <c:v>45233</c:v>
                </c:pt>
                <c:pt idx="223">
                  <c:v>45234</c:v>
                </c:pt>
                <c:pt idx="224">
                  <c:v>45235</c:v>
                </c:pt>
                <c:pt idx="225">
                  <c:v>45236</c:v>
                </c:pt>
                <c:pt idx="226">
                  <c:v>45237</c:v>
                </c:pt>
                <c:pt idx="227">
                  <c:v>45238</c:v>
                </c:pt>
                <c:pt idx="228">
                  <c:v>45239</c:v>
                </c:pt>
                <c:pt idx="229">
                  <c:v>45240</c:v>
                </c:pt>
                <c:pt idx="230">
                  <c:v>45241</c:v>
                </c:pt>
                <c:pt idx="231">
                  <c:v>45242</c:v>
                </c:pt>
                <c:pt idx="232">
                  <c:v>45243</c:v>
                </c:pt>
                <c:pt idx="233">
                  <c:v>45244</c:v>
                </c:pt>
                <c:pt idx="234">
                  <c:v>45245</c:v>
                </c:pt>
                <c:pt idx="235">
                  <c:v>45246</c:v>
                </c:pt>
                <c:pt idx="236">
                  <c:v>45247</c:v>
                </c:pt>
                <c:pt idx="237">
                  <c:v>45248</c:v>
                </c:pt>
                <c:pt idx="238">
                  <c:v>45249</c:v>
                </c:pt>
                <c:pt idx="239">
                  <c:v>45250</c:v>
                </c:pt>
                <c:pt idx="240">
                  <c:v>45251</c:v>
                </c:pt>
                <c:pt idx="241">
                  <c:v>45252</c:v>
                </c:pt>
                <c:pt idx="242">
                  <c:v>45253</c:v>
                </c:pt>
                <c:pt idx="243">
                  <c:v>45254</c:v>
                </c:pt>
                <c:pt idx="244">
                  <c:v>45255</c:v>
                </c:pt>
                <c:pt idx="245">
                  <c:v>45256</c:v>
                </c:pt>
                <c:pt idx="246">
                  <c:v>45257</c:v>
                </c:pt>
                <c:pt idx="247">
                  <c:v>45258</c:v>
                </c:pt>
                <c:pt idx="248">
                  <c:v>45259</c:v>
                </c:pt>
                <c:pt idx="249">
                  <c:v>45260</c:v>
                </c:pt>
                <c:pt idx="250">
                  <c:v>45261</c:v>
                </c:pt>
                <c:pt idx="251">
                  <c:v>45262</c:v>
                </c:pt>
                <c:pt idx="252">
                  <c:v>45263</c:v>
                </c:pt>
                <c:pt idx="253">
                  <c:v>45264</c:v>
                </c:pt>
                <c:pt idx="254">
                  <c:v>45265</c:v>
                </c:pt>
                <c:pt idx="255">
                  <c:v>45266</c:v>
                </c:pt>
                <c:pt idx="256">
                  <c:v>45267</c:v>
                </c:pt>
                <c:pt idx="257">
                  <c:v>45268</c:v>
                </c:pt>
                <c:pt idx="258">
                  <c:v>45269</c:v>
                </c:pt>
                <c:pt idx="259">
                  <c:v>45270</c:v>
                </c:pt>
                <c:pt idx="260">
                  <c:v>45271</c:v>
                </c:pt>
                <c:pt idx="261">
                  <c:v>45272</c:v>
                </c:pt>
                <c:pt idx="262">
                  <c:v>45273</c:v>
                </c:pt>
                <c:pt idx="263">
                  <c:v>45274</c:v>
                </c:pt>
                <c:pt idx="264">
                  <c:v>45275</c:v>
                </c:pt>
                <c:pt idx="265">
                  <c:v>45276</c:v>
                </c:pt>
                <c:pt idx="266">
                  <c:v>45277</c:v>
                </c:pt>
                <c:pt idx="267">
                  <c:v>45278</c:v>
                </c:pt>
                <c:pt idx="268">
                  <c:v>45279</c:v>
                </c:pt>
                <c:pt idx="269">
                  <c:v>45280</c:v>
                </c:pt>
                <c:pt idx="270">
                  <c:v>45281</c:v>
                </c:pt>
                <c:pt idx="271">
                  <c:v>45282</c:v>
                </c:pt>
                <c:pt idx="272">
                  <c:v>45283</c:v>
                </c:pt>
                <c:pt idx="273">
                  <c:v>45284</c:v>
                </c:pt>
                <c:pt idx="274">
                  <c:v>45285</c:v>
                </c:pt>
                <c:pt idx="275">
                  <c:v>45286</c:v>
                </c:pt>
                <c:pt idx="276">
                  <c:v>45287</c:v>
                </c:pt>
                <c:pt idx="277">
                  <c:v>45288</c:v>
                </c:pt>
                <c:pt idx="278">
                  <c:v>45289</c:v>
                </c:pt>
                <c:pt idx="279">
                  <c:v>45290</c:v>
                </c:pt>
                <c:pt idx="280">
                  <c:v>45291</c:v>
                </c:pt>
                <c:pt idx="281">
                  <c:v>45292</c:v>
                </c:pt>
                <c:pt idx="282">
                  <c:v>45293</c:v>
                </c:pt>
                <c:pt idx="283">
                  <c:v>45294</c:v>
                </c:pt>
                <c:pt idx="284">
                  <c:v>45295</c:v>
                </c:pt>
                <c:pt idx="285">
                  <c:v>45296</c:v>
                </c:pt>
                <c:pt idx="286">
                  <c:v>45297</c:v>
                </c:pt>
                <c:pt idx="287">
                  <c:v>45298</c:v>
                </c:pt>
                <c:pt idx="288">
                  <c:v>45299</c:v>
                </c:pt>
                <c:pt idx="289">
                  <c:v>45300</c:v>
                </c:pt>
                <c:pt idx="290">
                  <c:v>45301</c:v>
                </c:pt>
                <c:pt idx="291">
                  <c:v>45302</c:v>
                </c:pt>
                <c:pt idx="292">
                  <c:v>45303</c:v>
                </c:pt>
                <c:pt idx="293">
                  <c:v>45304</c:v>
                </c:pt>
                <c:pt idx="294">
                  <c:v>45305</c:v>
                </c:pt>
                <c:pt idx="295">
                  <c:v>45306</c:v>
                </c:pt>
                <c:pt idx="296">
                  <c:v>45307</c:v>
                </c:pt>
                <c:pt idx="297">
                  <c:v>45308</c:v>
                </c:pt>
                <c:pt idx="298">
                  <c:v>45309</c:v>
                </c:pt>
                <c:pt idx="299">
                  <c:v>45310</c:v>
                </c:pt>
                <c:pt idx="300">
                  <c:v>45311</c:v>
                </c:pt>
                <c:pt idx="301">
                  <c:v>45312</c:v>
                </c:pt>
                <c:pt idx="302">
                  <c:v>45313</c:v>
                </c:pt>
                <c:pt idx="303">
                  <c:v>45314</c:v>
                </c:pt>
                <c:pt idx="304">
                  <c:v>45315</c:v>
                </c:pt>
                <c:pt idx="305">
                  <c:v>45316</c:v>
                </c:pt>
                <c:pt idx="306">
                  <c:v>45317</c:v>
                </c:pt>
                <c:pt idx="307">
                  <c:v>45318</c:v>
                </c:pt>
                <c:pt idx="308">
                  <c:v>45319</c:v>
                </c:pt>
                <c:pt idx="309">
                  <c:v>45320</c:v>
                </c:pt>
                <c:pt idx="310">
                  <c:v>45321</c:v>
                </c:pt>
                <c:pt idx="311">
                  <c:v>45322</c:v>
                </c:pt>
                <c:pt idx="312">
                  <c:v>45323</c:v>
                </c:pt>
                <c:pt idx="313">
                  <c:v>45324</c:v>
                </c:pt>
                <c:pt idx="314">
                  <c:v>45325</c:v>
                </c:pt>
                <c:pt idx="315">
                  <c:v>45326</c:v>
                </c:pt>
                <c:pt idx="316">
                  <c:v>45327</c:v>
                </c:pt>
                <c:pt idx="317">
                  <c:v>45328</c:v>
                </c:pt>
                <c:pt idx="318">
                  <c:v>45329</c:v>
                </c:pt>
                <c:pt idx="319">
                  <c:v>45330</c:v>
                </c:pt>
                <c:pt idx="320">
                  <c:v>45331</c:v>
                </c:pt>
                <c:pt idx="321">
                  <c:v>45332</c:v>
                </c:pt>
                <c:pt idx="322">
                  <c:v>45333</c:v>
                </c:pt>
                <c:pt idx="323">
                  <c:v>45334</c:v>
                </c:pt>
                <c:pt idx="324">
                  <c:v>45335</c:v>
                </c:pt>
                <c:pt idx="325">
                  <c:v>45336</c:v>
                </c:pt>
                <c:pt idx="326">
                  <c:v>45337</c:v>
                </c:pt>
                <c:pt idx="327">
                  <c:v>45338</c:v>
                </c:pt>
                <c:pt idx="328">
                  <c:v>45339</c:v>
                </c:pt>
                <c:pt idx="329">
                  <c:v>45340</c:v>
                </c:pt>
                <c:pt idx="330">
                  <c:v>45341</c:v>
                </c:pt>
                <c:pt idx="331">
                  <c:v>45342</c:v>
                </c:pt>
                <c:pt idx="332">
                  <c:v>45343</c:v>
                </c:pt>
                <c:pt idx="333">
                  <c:v>45344</c:v>
                </c:pt>
                <c:pt idx="334">
                  <c:v>45345</c:v>
                </c:pt>
                <c:pt idx="335">
                  <c:v>45346</c:v>
                </c:pt>
                <c:pt idx="336">
                  <c:v>45347</c:v>
                </c:pt>
                <c:pt idx="337">
                  <c:v>45348</c:v>
                </c:pt>
                <c:pt idx="338">
                  <c:v>45349</c:v>
                </c:pt>
                <c:pt idx="339">
                  <c:v>45350</c:v>
                </c:pt>
                <c:pt idx="340">
                  <c:v>45351</c:v>
                </c:pt>
                <c:pt idx="341">
                  <c:v>45352</c:v>
                </c:pt>
                <c:pt idx="342">
                  <c:v>45353</c:v>
                </c:pt>
                <c:pt idx="343">
                  <c:v>45354</c:v>
                </c:pt>
                <c:pt idx="344">
                  <c:v>45355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ConceptDemo!$AD$18:$AD$395</c:f>
              <c:numCache>
                <c:formatCode>General</c:formatCode>
                <c:ptCount val="378"/>
                <c:pt idx="0">
                  <c:v>0.99999995543201425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6.9485089174574641E-3</c:v>
                </c:pt>
                <c:pt idx="16">
                  <c:v>7.2195750109689477E-3</c:v>
                </c:pt>
                <c:pt idx="17">
                  <c:v>7.4974261812012421E-3</c:v>
                </c:pt>
                <c:pt idx="18">
                  <c:v>7.7974458581029672E-3</c:v>
                </c:pt>
                <c:pt idx="19">
                  <c:v>8.0986898852122152E-3</c:v>
                </c:pt>
                <c:pt idx="20">
                  <c:v>8.4381194226515032E-3</c:v>
                </c:pt>
                <c:pt idx="21">
                  <c:v>8.7806531504299127E-3</c:v>
                </c:pt>
                <c:pt idx="22">
                  <c:v>9.1438846483038877E-3</c:v>
                </c:pt>
                <c:pt idx="23">
                  <c:v>9.4997745701493105E-3</c:v>
                </c:pt>
                <c:pt idx="24">
                  <c:v>9.8729502900134734E-3</c:v>
                </c:pt>
                <c:pt idx="25">
                  <c:v>1.0273463364774785E-2</c:v>
                </c:pt>
                <c:pt idx="26">
                  <c:v>1.0658469729156886E-2</c:v>
                </c:pt>
                <c:pt idx="27">
                  <c:v>1.1050841980507474E-2</c:v>
                </c:pt>
                <c:pt idx="28">
                  <c:v>1.147971577668753E-2</c:v>
                </c:pt>
                <c:pt idx="29">
                  <c:v>1.1901957008634268E-2</c:v>
                </c:pt>
                <c:pt idx="30">
                  <c:v>1.2361826190751846E-2</c:v>
                </c:pt>
                <c:pt idx="31">
                  <c:v>1.2845551264416933E-2</c:v>
                </c:pt>
                <c:pt idx="32">
                  <c:v>1.3353638649477043E-2</c:v>
                </c:pt>
                <c:pt idx="33">
                  <c:v>1.3895191421050212E-2</c:v>
                </c:pt>
                <c:pt idx="34">
                  <c:v>1.4396965714265891E-2</c:v>
                </c:pt>
                <c:pt idx="35">
                  <c:v>1.4902921577775462E-2</c:v>
                </c:pt>
                <c:pt idx="36">
                  <c:v>1.5408727336495828E-2</c:v>
                </c:pt>
                <c:pt idx="37">
                  <c:v>1.593767456184856E-2</c:v>
                </c:pt>
                <c:pt idx="38">
                  <c:v>1.6481782168401168E-2</c:v>
                </c:pt>
                <c:pt idx="39">
                  <c:v>1.7074229100447959E-2</c:v>
                </c:pt>
                <c:pt idx="40">
                  <c:v>1.7685279872097944E-2</c:v>
                </c:pt>
                <c:pt idx="41">
                  <c:v>1.8366249651431434E-2</c:v>
                </c:pt>
                <c:pt idx="42">
                  <c:v>1.9045598591686211E-2</c:v>
                </c:pt>
                <c:pt idx="43">
                  <c:v>1.9681502495485437E-2</c:v>
                </c:pt>
                <c:pt idx="44">
                  <c:v>2.0348130603996779E-2</c:v>
                </c:pt>
                <c:pt idx="45">
                  <c:v>2.1027959818747895E-2</c:v>
                </c:pt>
                <c:pt idx="46">
                  <c:v>2.1754025740677734E-2</c:v>
                </c:pt>
                <c:pt idx="47">
                  <c:v>2.2530913065890199E-2</c:v>
                </c:pt>
                <c:pt idx="48">
                  <c:v>2.3285713769390086E-2</c:v>
                </c:pt>
                <c:pt idx="49">
                  <c:v>2.4055815904643781E-2</c:v>
                </c:pt>
                <c:pt idx="50">
                  <c:v>2.4817748215951497E-2</c:v>
                </c:pt>
                <c:pt idx="51">
                  <c:v>2.5649640297783782E-2</c:v>
                </c:pt>
                <c:pt idx="52">
                  <c:v>2.6431600360702703E-2</c:v>
                </c:pt>
                <c:pt idx="53">
                  <c:v>2.7216493080456695E-2</c:v>
                </c:pt>
                <c:pt idx="54">
                  <c:v>2.8052091997046346E-2</c:v>
                </c:pt>
                <c:pt idx="55">
                  <c:v>2.8920046824282834E-2</c:v>
                </c:pt>
                <c:pt idx="56">
                  <c:v>2.978809535407843E-2</c:v>
                </c:pt>
                <c:pt idx="57">
                  <c:v>3.0600451762985644E-2</c:v>
                </c:pt>
                <c:pt idx="58">
                  <c:v>3.1501078488544401E-2</c:v>
                </c:pt>
                <c:pt idx="59">
                  <c:v>3.2404398710942424E-2</c:v>
                </c:pt>
                <c:pt idx="60">
                  <c:v>3.3287795284864356E-2</c:v>
                </c:pt>
                <c:pt idx="61">
                  <c:v>3.4215278239809403E-2</c:v>
                </c:pt>
                <c:pt idx="62">
                  <c:v>3.5156391048113467E-2</c:v>
                </c:pt>
                <c:pt idx="63">
                  <c:v>3.6091199765525099E-2</c:v>
                </c:pt>
                <c:pt idx="64">
                  <c:v>3.7072439863401904E-2</c:v>
                </c:pt>
                <c:pt idx="65">
                  <c:v>3.8023359522540913E-2</c:v>
                </c:pt>
                <c:pt idx="66">
                  <c:v>3.9003909220828178E-2</c:v>
                </c:pt>
                <c:pt idx="67">
                  <c:v>4.002145708990703E-2</c:v>
                </c:pt>
                <c:pt idx="68">
                  <c:v>4.1022569277039567E-2</c:v>
                </c:pt>
                <c:pt idx="69">
                  <c:v>4.2007495377214848E-2</c:v>
                </c:pt>
                <c:pt idx="70">
                  <c:v>4.2990395757379778E-2</c:v>
                </c:pt>
                <c:pt idx="71">
                  <c:v>4.3985456836395639E-2</c:v>
                </c:pt>
                <c:pt idx="72">
                  <c:v>4.4953941122842074E-2</c:v>
                </c:pt>
                <c:pt idx="73">
                  <c:v>4.5974775455116933E-2</c:v>
                </c:pt>
                <c:pt idx="74">
                  <c:v>4.7098108016593816E-2</c:v>
                </c:pt>
                <c:pt idx="75">
                  <c:v>4.8279549881657211E-2</c:v>
                </c:pt>
                <c:pt idx="76">
                  <c:v>4.9489088704770617E-2</c:v>
                </c:pt>
                <c:pt idx="77">
                  <c:v>5.069212719142116E-2</c:v>
                </c:pt>
                <c:pt idx="78">
                  <c:v>5.1937535411741689E-2</c:v>
                </c:pt>
                <c:pt idx="79">
                  <c:v>5.3073060745866173E-2</c:v>
                </c:pt>
                <c:pt idx="80">
                  <c:v>5.429337559226826E-2</c:v>
                </c:pt>
                <c:pt idx="81">
                  <c:v>5.5559278287706501E-2</c:v>
                </c:pt>
                <c:pt idx="82">
                  <c:v>5.6731895259262956E-2</c:v>
                </c:pt>
                <c:pt idx="83">
                  <c:v>5.7811807011309641E-2</c:v>
                </c:pt>
                <c:pt idx="84">
                  <c:v>5.8995783232073683E-2</c:v>
                </c:pt>
                <c:pt idx="85">
                  <c:v>6.0183661932084631E-2</c:v>
                </c:pt>
                <c:pt idx="86">
                  <c:v>6.1405386849329398E-2</c:v>
                </c:pt>
                <c:pt idx="87">
                  <c:v>6.2673677853870929E-2</c:v>
                </c:pt>
                <c:pt idx="88">
                  <c:v>6.3882875904304318E-2</c:v>
                </c:pt>
                <c:pt idx="89">
                  <c:v>6.5127942587761445E-2</c:v>
                </c:pt>
                <c:pt idx="90">
                  <c:v>6.6457368335732903E-2</c:v>
                </c:pt>
                <c:pt idx="91">
                  <c:v>6.7797261830574038E-2</c:v>
                </c:pt>
                <c:pt idx="92">
                  <c:v>6.9215663598408944E-2</c:v>
                </c:pt>
                <c:pt idx="93">
                  <c:v>7.0550295219987152E-2</c:v>
                </c:pt>
                <c:pt idx="94">
                  <c:v>7.1851041708868593E-2</c:v>
                </c:pt>
                <c:pt idx="95">
                  <c:v>7.3225726381292114E-2</c:v>
                </c:pt>
                <c:pt idx="96">
                  <c:v>7.470264582065167E-2</c:v>
                </c:pt>
                <c:pt idx="97">
                  <c:v>7.6045664533487933E-2</c:v>
                </c:pt>
                <c:pt idx="98">
                  <c:v>7.7332537670636248E-2</c:v>
                </c:pt>
                <c:pt idx="99">
                  <c:v>7.8769431439378076E-2</c:v>
                </c:pt>
                <c:pt idx="100">
                  <c:v>8.0294473635078828E-2</c:v>
                </c:pt>
                <c:pt idx="101">
                  <c:v>8.1913858743476717E-2</c:v>
                </c:pt>
                <c:pt idx="102">
                  <c:v>8.3509518553636267E-2</c:v>
                </c:pt>
                <c:pt idx="103">
                  <c:v>8.4936910776857638E-2</c:v>
                </c:pt>
                <c:pt idx="104">
                  <c:v>8.6294664376448296E-2</c:v>
                </c:pt>
                <c:pt idx="105">
                  <c:v>8.7735845961622136E-2</c:v>
                </c:pt>
                <c:pt idx="106">
                  <c:v>8.9255449147777846E-2</c:v>
                </c:pt>
                <c:pt idx="107">
                  <c:v>9.0774069104022803E-2</c:v>
                </c:pt>
                <c:pt idx="108">
                  <c:v>9.2382748818963009E-2</c:v>
                </c:pt>
                <c:pt idx="109">
                  <c:v>9.4039632623099653E-2</c:v>
                </c:pt>
                <c:pt idx="110">
                  <c:v>9.5797901634568999E-2</c:v>
                </c:pt>
                <c:pt idx="111">
                  <c:v>9.74977606717609E-2</c:v>
                </c:pt>
                <c:pt idx="112">
                  <c:v>9.936413538220093E-2</c:v>
                </c:pt>
                <c:pt idx="113">
                  <c:v>0.10129549586443921</c:v>
                </c:pt>
                <c:pt idx="114">
                  <c:v>0.1032231787890675</c:v>
                </c:pt>
                <c:pt idx="115">
                  <c:v>0.10524894207456045</c:v>
                </c:pt>
                <c:pt idx="116">
                  <c:v>0.10736700862963428</c:v>
                </c:pt>
                <c:pt idx="117">
                  <c:v>0.10938645853913939</c:v>
                </c:pt>
                <c:pt idx="118">
                  <c:v>0.11153459688120393</c:v>
                </c:pt>
                <c:pt idx="119">
                  <c:v>0.11380663050793459</c:v>
                </c:pt>
                <c:pt idx="120">
                  <c:v>0.11607798249417414</c:v>
                </c:pt>
                <c:pt idx="121">
                  <c:v>0.11841982458120745</c:v>
                </c:pt>
                <c:pt idx="122">
                  <c:v>0.12078481240479402</c:v>
                </c:pt>
                <c:pt idx="123">
                  <c:v>0.12331250557929103</c:v>
                </c:pt>
                <c:pt idx="124">
                  <c:v>0.12585993194347211</c:v>
                </c:pt>
                <c:pt idx="125">
                  <c:v>0.12860858198536296</c:v>
                </c:pt>
                <c:pt idx="126">
                  <c:v>0.13117707198782619</c:v>
                </c:pt>
                <c:pt idx="127">
                  <c:v>0.13392380837317311</c:v>
                </c:pt>
                <c:pt idx="128">
                  <c:v>0.13680530548109526</c:v>
                </c:pt>
                <c:pt idx="129">
                  <c:v>0.13963099050834599</c:v>
                </c:pt>
                <c:pt idx="130">
                  <c:v>0.14235524567540317</c:v>
                </c:pt>
                <c:pt idx="131">
                  <c:v>0.14530102666331376</c:v>
                </c:pt>
                <c:pt idx="132">
                  <c:v>0.14836858121851712</c:v>
                </c:pt>
                <c:pt idx="133">
                  <c:v>0.15152786041381602</c:v>
                </c:pt>
                <c:pt idx="134">
                  <c:v>0.15479869259148812</c:v>
                </c:pt>
                <c:pt idx="135">
                  <c:v>0.15801200266647356</c:v>
                </c:pt>
                <c:pt idx="136">
                  <c:v>0.16096492618239042</c:v>
                </c:pt>
                <c:pt idx="137">
                  <c:v>0.16416278663536527</c:v>
                </c:pt>
                <c:pt idx="138">
                  <c:v>0.16761537320823391</c:v>
                </c:pt>
                <c:pt idx="139">
                  <c:v>0.17123412824210157</c:v>
                </c:pt>
                <c:pt idx="140">
                  <c:v>0.17477078585488476</c:v>
                </c:pt>
                <c:pt idx="141">
                  <c:v>0.17830634479451854</c:v>
                </c:pt>
                <c:pt idx="142">
                  <c:v>0.18171973218589421</c:v>
                </c:pt>
                <c:pt idx="143">
                  <c:v>0.18529907458964009</c:v>
                </c:pt>
                <c:pt idx="144">
                  <c:v>0.18921282924002381</c:v>
                </c:pt>
                <c:pt idx="145">
                  <c:v>0.19322072032712651</c:v>
                </c:pt>
                <c:pt idx="146">
                  <c:v>0.19714555594401184</c:v>
                </c:pt>
                <c:pt idx="147">
                  <c:v>0.20115693483401889</c:v>
                </c:pt>
                <c:pt idx="148">
                  <c:v>0.20506111754338377</c:v>
                </c:pt>
                <c:pt idx="149">
                  <c:v>0.20915861336856048</c:v>
                </c:pt>
                <c:pt idx="150">
                  <c:v>0.2133885071437987</c:v>
                </c:pt>
                <c:pt idx="151">
                  <c:v>0.21794078825845667</c:v>
                </c:pt>
                <c:pt idx="152">
                  <c:v>0.22267770856603181</c:v>
                </c:pt>
                <c:pt idx="153">
                  <c:v>0.22745260489265334</c:v>
                </c:pt>
                <c:pt idx="154">
                  <c:v>0.23230521679912286</c:v>
                </c:pt>
                <c:pt idx="155">
                  <c:v>0.23741599728040474</c:v>
                </c:pt>
                <c:pt idx="156">
                  <c:v>0.24239006748946354</c:v>
                </c:pt>
                <c:pt idx="157">
                  <c:v>0.24779974984247205</c:v>
                </c:pt>
                <c:pt idx="158">
                  <c:v>0.25272464590883537</c:v>
                </c:pt>
                <c:pt idx="159">
                  <c:v>0.25814633289142397</c:v>
                </c:pt>
                <c:pt idx="160">
                  <c:v>0.26393366264387347</c:v>
                </c:pt>
                <c:pt idx="161">
                  <c:v>0.26962030711651463</c:v>
                </c:pt>
                <c:pt idx="162">
                  <c:v>0.27536374519368578</c:v>
                </c:pt>
                <c:pt idx="163">
                  <c:v>0.2810212830004109</c:v>
                </c:pt>
                <c:pt idx="164">
                  <c:v>0.28704135668994951</c:v>
                </c:pt>
                <c:pt idx="165">
                  <c:v>0.2931791229020585</c:v>
                </c:pt>
                <c:pt idx="166">
                  <c:v>0.29913521681721644</c:v>
                </c:pt>
                <c:pt idx="167">
                  <c:v>0.30475160766312798</c:v>
                </c:pt>
                <c:pt idx="168">
                  <c:v>0.31113130834064828</c:v>
                </c:pt>
                <c:pt idx="169">
                  <c:v>0.3180878294522696</c:v>
                </c:pt>
                <c:pt idx="170">
                  <c:v>0.32506086968859765</c:v>
                </c:pt>
                <c:pt idx="171">
                  <c:v>0.33193546784407374</c:v>
                </c:pt>
                <c:pt idx="172">
                  <c:v>0.33923985768136244</c:v>
                </c:pt>
                <c:pt idx="173">
                  <c:v>0.34721628725268322</c:v>
                </c:pt>
                <c:pt idx="174">
                  <c:v>0.35515005373123648</c:v>
                </c:pt>
                <c:pt idx="175">
                  <c:v>0.36268027523784518</c:v>
                </c:pt>
                <c:pt idx="176">
                  <c:v>0.37008481685746553</c:v>
                </c:pt>
                <c:pt idx="177">
                  <c:v>0.37776963252324158</c:v>
                </c:pt>
                <c:pt idx="178">
                  <c:v>0.38521730695865186</c:v>
                </c:pt>
                <c:pt idx="179">
                  <c:v>0.39309163319977813</c:v>
                </c:pt>
                <c:pt idx="180">
                  <c:v>0.40075060349140834</c:v>
                </c:pt>
                <c:pt idx="181">
                  <c:v>0.40829781778684965</c:v>
                </c:pt>
                <c:pt idx="182">
                  <c:v>0.4162840756637734</c:v>
                </c:pt>
                <c:pt idx="183">
                  <c:v>0.42392499664799471</c:v>
                </c:pt>
                <c:pt idx="184">
                  <c:v>0.4322546663048028</c:v>
                </c:pt>
                <c:pt idx="185">
                  <c:v>0.4407948022477402</c:v>
                </c:pt>
                <c:pt idx="186">
                  <c:v>0.44916459459667013</c:v>
                </c:pt>
                <c:pt idx="187">
                  <c:v>0.45745606921192389</c:v>
                </c:pt>
                <c:pt idx="188">
                  <c:v>0.46674687936456072</c:v>
                </c:pt>
                <c:pt idx="189">
                  <c:v>0.47609396178794056</c:v>
                </c:pt>
                <c:pt idx="190">
                  <c:v>0.48570680826399132</c:v>
                </c:pt>
                <c:pt idx="191">
                  <c:v>0.49471562393045021</c:v>
                </c:pt>
                <c:pt idx="192">
                  <c:v>0.50350360946037076</c:v>
                </c:pt>
                <c:pt idx="193">
                  <c:v>0.5122230189945447</c:v>
                </c:pt>
                <c:pt idx="194">
                  <c:v>0.52141590688402106</c:v>
                </c:pt>
                <c:pt idx="195">
                  <c:v>0.53066051466743036</c:v>
                </c:pt>
                <c:pt idx="196">
                  <c:v>0.53928981204756354</c:v>
                </c:pt>
                <c:pt idx="197">
                  <c:v>0.54764047229467228</c:v>
                </c:pt>
                <c:pt idx="198">
                  <c:v>0.55590698026044427</c:v>
                </c:pt>
                <c:pt idx="199">
                  <c:v>0.56470628402523326</c:v>
                </c:pt>
                <c:pt idx="200">
                  <c:v>0.57448871601632145</c:v>
                </c:pt>
                <c:pt idx="201">
                  <c:v>0.58376113582569622</c:v>
                </c:pt>
                <c:pt idx="202">
                  <c:v>0.59268593078443188</c:v>
                </c:pt>
                <c:pt idx="203">
                  <c:v>0.60133493650852343</c:v>
                </c:pt>
                <c:pt idx="204">
                  <c:v>0.61036375033891066</c:v>
                </c:pt>
                <c:pt idx="205">
                  <c:v>0.61993617990401961</c:v>
                </c:pt>
                <c:pt idx="206">
                  <c:v>0.62894335021022829</c:v>
                </c:pt>
                <c:pt idx="207">
                  <c:v>0.63783872803431596</c:v>
                </c:pt>
                <c:pt idx="208">
                  <c:v>0.6466862168618247</c:v>
                </c:pt>
                <c:pt idx="209">
                  <c:v>0.6562442762179963</c:v>
                </c:pt>
                <c:pt idx="210">
                  <c:v>0.66488576900603302</c:v>
                </c:pt>
                <c:pt idx="211">
                  <c:v>0.67336698226266034</c:v>
                </c:pt>
                <c:pt idx="212">
                  <c:v>0.68179396479917886</c:v>
                </c:pt>
                <c:pt idx="213">
                  <c:v>0.69025279231435088</c:v>
                </c:pt>
                <c:pt idx="214">
                  <c:v>0.69932025498234263</c:v>
                </c:pt>
                <c:pt idx="215">
                  <c:v>0.70790481340040623</c:v>
                </c:pt>
                <c:pt idx="216">
                  <c:v>0.71676883432253968</c:v>
                </c:pt>
                <c:pt idx="217">
                  <c:v>0.72559389425844267</c:v>
                </c:pt>
                <c:pt idx="218">
                  <c:v>0.7340254390398947</c:v>
                </c:pt>
                <c:pt idx="219">
                  <c:v>0.7422454324914427</c:v>
                </c:pt>
                <c:pt idx="220">
                  <c:v>0.75069598687749739</c:v>
                </c:pt>
                <c:pt idx="221">
                  <c:v>0.75854589053449084</c:v>
                </c:pt>
                <c:pt idx="222">
                  <c:v>0.76634460390706438</c:v>
                </c:pt>
                <c:pt idx="223">
                  <c:v>0.77400135972727724</c:v>
                </c:pt>
                <c:pt idx="224">
                  <c:v>0.78137660497860872</c:v>
                </c:pt>
                <c:pt idx="225">
                  <c:v>0.78828871151991331</c:v>
                </c:pt>
                <c:pt idx="226">
                  <c:v>0.79519116129586842</c:v>
                </c:pt>
                <c:pt idx="227">
                  <c:v>0.80189872674240248</c:v>
                </c:pt>
                <c:pt idx="228">
                  <c:v>0.80857842711841132</c:v>
                </c:pt>
                <c:pt idx="229">
                  <c:v>0.81583982529000354</c:v>
                </c:pt>
                <c:pt idx="230">
                  <c:v>0.82256142566328949</c:v>
                </c:pt>
                <c:pt idx="231">
                  <c:v>0.8289195319352749</c:v>
                </c:pt>
                <c:pt idx="232">
                  <c:v>0.83469243978181717</c:v>
                </c:pt>
                <c:pt idx="233">
                  <c:v>0.84056650479208994</c:v>
                </c:pt>
                <c:pt idx="234">
                  <c:v>0.8464560617853264</c:v>
                </c:pt>
                <c:pt idx="235">
                  <c:v>0.85230857826881168</c:v>
                </c:pt>
                <c:pt idx="236">
                  <c:v>0.85761879041264288</c:v>
                </c:pt>
                <c:pt idx="237">
                  <c:v>0.86256018652298494</c:v>
                </c:pt>
                <c:pt idx="238">
                  <c:v>0.86728014268582199</c:v>
                </c:pt>
                <c:pt idx="239">
                  <c:v>0.87219208598949893</c:v>
                </c:pt>
                <c:pt idx="240">
                  <c:v>0.87691575953344025</c:v>
                </c:pt>
                <c:pt idx="241">
                  <c:v>0.88124886426527771</c:v>
                </c:pt>
                <c:pt idx="242">
                  <c:v>0.88590016492539214</c:v>
                </c:pt>
                <c:pt idx="243">
                  <c:v>0.89048594243334567</c:v>
                </c:pt>
                <c:pt idx="244">
                  <c:v>0.89501234999749357</c:v>
                </c:pt>
                <c:pt idx="245">
                  <c:v>0.89928557809255483</c:v>
                </c:pt>
                <c:pt idx="246">
                  <c:v>0.90331082532215612</c:v>
                </c:pt>
                <c:pt idx="247">
                  <c:v>0.90713303551511026</c:v>
                </c:pt>
                <c:pt idx="248">
                  <c:v>0.91074076952841365</c:v>
                </c:pt>
                <c:pt idx="249">
                  <c:v>0.91432837063830696</c:v>
                </c:pt>
                <c:pt idx="250">
                  <c:v>0.91803265281928126</c:v>
                </c:pt>
                <c:pt idx="251">
                  <c:v>0.92165530509861782</c:v>
                </c:pt>
                <c:pt idx="252">
                  <c:v>0.92527806008688063</c:v>
                </c:pt>
                <c:pt idx="253">
                  <c:v>0.9286516402446704</c:v>
                </c:pt>
                <c:pt idx="254">
                  <c:v>0.93186302765735052</c:v>
                </c:pt>
                <c:pt idx="255">
                  <c:v>0.93481862985153008</c:v>
                </c:pt>
                <c:pt idx="256">
                  <c:v>0.93775746762982959</c:v>
                </c:pt>
                <c:pt idx="257">
                  <c:v>0.94058151053781114</c:v>
                </c:pt>
                <c:pt idx="258">
                  <c:v>0.94316774060870312</c:v>
                </c:pt>
                <c:pt idx="259">
                  <c:v>0.94576562183439594</c:v>
                </c:pt>
                <c:pt idx="260">
                  <c:v>0.94841894174493457</c:v>
                </c:pt>
                <c:pt idx="261">
                  <c:v>0.95105601180551858</c:v>
                </c:pt>
                <c:pt idx="262">
                  <c:v>0.95341604501982891</c:v>
                </c:pt>
                <c:pt idx="263">
                  <c:v>0.95556470982726083</c:v>
                </c:pt>
                <c:pt idx="264">
                  <c:v>0.95776810239698662</c:v>
                </c:pt>
                <c:pt idx="265">
                  <c:v>0.95981046975908257</c:v>
                </c:pt>
                <c:pt idx="266">
                  <c:v>0.96172010937169294</c:v>
                </c:pt>
                <c:pt idx="267">
                  <c:v>0.96357162548664976</c:v>
                </c:pt>
                <c:pt idx="268">
                  <c:v>0.96533903903897633</c:v>
                </c:pt>
                <c:pt idx="269">
                  <c:v>0.96698865412702528</c:v>
                </c:pt>
                <c:pt idx="270">
                  <c:v>0.96854207564587302</c:v>
                </c:pt>
                <c:pt idx="271">
                  <c:v>0.97005652843406998</c:v>
                </c:pt>
                <c:pt idx="272">
                  <c:v>0.97147997184682766</c:v>
                </c:pt>
                <c:pt idx="273">
                  <c:v>0.97289465316958779</c:v>
                </c:pt>
                <c:pt idx="274">
                  <c:v>0.97424519133740528</c:v>
                </c:pt>
                <c:pt idx="275">
                  <c:v>0.97547772900816587</c:v>
                </c:pt>
                <c:pt idx="276">
                  <c:v>0.97678566578499249</c:v>
                </c:pt>
                <c:pt idx="277">
                  <c:v>0.9780425444462405</c:v>
                </c:pt>
                <c:pt idx="278">
                  <c:v>0.97914208525560309</c:v>
                </c:pt>
                <c:pt idx="279">
                  <c:v>0.98022249378080051</c:v>
                </c:pt>
                <c:pt idx="280">
                  <c:v>0.98121680537386491</c:v>
                </c:pt>
                <c:pt idx="281">
                  <c:v>0.98218240017888359</c:v>
                </c:pt>
                <c:pt idx="282">
                  <c:v>0.98315322742555045</c:v>
                </c:pt>
                <c:pt idx="283">
                  <c:v>0.98405377709043229</c:v>
                </c:pt>
                <c:pt idx="284">
                  <c:v>0.98485547364725201</c:v>
                </c:pt>
                <c:pt idx="285">
                  <c:v>0.98563063601363454</c:v>
                </c:pt>
                <c:pt idx="286">
                  <c:v>0.98637337188045504</c:v>
                </c:pt>
                <c:pt idx="287">
                  <c:v>0.98712897599614691</c:v>
                </c:pt>
                <c:pt idx="288">
                  <c:v>0.9878312217163866</c:v>
                </c:pt>
                <c:pt idx="289">
                  <c:v>0.98846192237365149</c:v>
                </c:pt>
                <c:pt idx="290">
                  <c:v>0.9890487860627788</c:v>
                </c:pt>
                <c:pt idx="291">
                  <c:v>0.98961840988096739</c:v>
                </c:pt>
                <c:pt idx="292">
                  <c:v>0.99017196533209639</c:v>
                </c:pt>
                <c:pt idx="293">
                  <c:v>0.99070148698650506</c:v>
                </c:pt>
                <c:pt idx="294">
                  <c:v>0.99120302190398979</c:v>
                </c:pt>
                <c:pt idx="295">
                  <c:v>0.99169143218840805</c:v>
                </c:pt>
                <c:pt idx="296">
                  <c:v>0.99213973683816048</c:v>
                </c:pt>
                <c:pt idx="297">
                  <c:v>0.99256133572387162</c:v>
                </c:pt>
                <c:pt idx="298">
                  <c:v>0.99297393943551759</c:v>
                </c:pt>
                <c:pt idx="299">
                  <c:v>0.99335833209599367</c:v>
                </c:pt>
                <c:pt idx="300">
                  <c:v>0.99369877684760377</c:v>
                </c:pt>
                <c:pt idx="301">
                  <c:v>0.99405220495238644</c:v>
                </c:pt>
                <c:pt idx="302">
                  <c:v>0.99440018601445734</c:v>
                </c:pt>
                <c:pt idx="303">
                  <c:v>0.9947092389568043</c:v>
                </c:pt>
                <c:pt idx="304">
                  <c:v>0.99499569923183795</c:v>
                </c:pt>
                <c:pt idx="305">
                  <c:v>0.99526437492933062</c:v>
                </c:pt>
                <c:pt idx="306">
                  <c:v>0.9955148350951073</c:v>
                </c:pt>
                <c:pt idx="307">
                  <c:v>0.99575069969707775</c:v>
                </c:pt>
                <c:pt idx="308">
                  <c:v>0.99598365856641013</c:v>
                </c:pt>
                <c:pt idx="309">
                  <c:v>0.99620941924306838</c:v>
                </c:pt>
                <c:pt idx="310">
                  <c:v>0.99642880716226223</c:v>
                </c:pt>
                <c:pt idx="311">
                  <c:v>0.99663687708895632</c:v>
                </c:pt>
                <c:pt idx="312">
                  <c:v>0.99682687789003299</c:v>
                </c:pt>
                <c:pt idx="313">
                  <c:v>0.99699594440200334</c:v>
                </c:pt>
                <c:pt idx="314">
                  <c:v>0.99715423778310519</c:v>
                </c:pt>
                <c:pt idx="315">
                  <c:v>0.99731828983023285</c:v>
                </c:pt>
                <c:pt idx="316">
                  <c:v>0.99745745115804407</c:v>
                </c:pt>
                <c:pt idx="317">
                  <c:v>0.99759308112361011</c:v>
                </c:pt>
                <c:pt idx="318">
                  <c:v>0.99772141702451667</c:v>
                </c:pt>
                <c:pt idx="319">
                  <c:v>0.99784528364795078</c:v>
                </c:pt>
                <c:pt idx="320">
                  <c:v>0.99796310598681404</c:v>
                </c:pt>
                <c:pt idx="321">
                  <c:v>0.99807392333342093</c:v>
                </c:pt>
                <c:pt idx="322">
                  <c:v>0.99818246382167253</c:v>
                </c:pt>
                <c:pt idx="323">
                  <c:v>0.99828768347382368</c:v>
                </c:pt>
                <c:pt idx="324">
                  <c:v>0.99837834448309881</c:v>
                </c:pt>
                <c:pt idx="325">
                  <c:v>0.99846161208259865</c:v>
                </c:pt>
                <c:pt idx="326">
                  <c:v>0.99853857536602042</c:v>
                </c:pt>
                <c:pt idx="327">
                  <c:v>0.99861431679251234</c:v>
                </c:pt>
                <c:pt idx="328">
                  <c:v>0.99869101172012498</c:v>
                </c:pt>
                <c:pt idx="329">
                  <c:v>0.99876514823998996</c:v>
                </c:pt>
                <c:pt idx="330">
                  <c:v>0.99883284638618286</c:v>
                </c:pt>
                <c:pt idx="331">
                  <c:v>0.99889562833015966</c:v>
                </c:pt>
                <c:pt idx="332">
                  <c:v>0.99895517545090318</c:v>
                </c:pt>
                <c:pt idx="333">
                  <c:v>0.99901049734281333</c:v>
                </c:pt>
                <c:pt idx="334">
                  <c:v>0.99906195909660778</c:v>
                </c:pt>
                <c:pt idx="335">
                  <c:v>0.99911278137148352</c:v>
                </c:pt>
                <c:pt idx="336">
                  <c:v>0.99915920721916396</c:v>
                </c:pt>
                <c:pt idx="337">
                  <c:v>0.99920320566015974</c:v>
                </c:pt>
                <c:pt idx="338">
                  <c:v>0.99924495355350007</c:v>
                </c:pt>
                <c:pt idx="339">
                  <c:v>0.99928420675083884</c:v>
                </c:pt>
                <c:pt idx="340">
                  <c:v>0.99932182608534093</c:v>
                </c:pt>
                <c:pt idx="341">
                  <c:v>0.99935685055374601</c:v>
                </c:pt>
                <c:pt idx="342">
                  <c:v>0.99938854639817432</c:v>
                </c:pt>
                <c:pt idx="343">
                  <c:v>0.99941750239729621</c:v>
                </c:pt>
                <c:pt idx="344">
                  <c:v>0.9994472213630764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4</xdr:row>
      <xdr:rowOff>123824</xdr:rowOff>
    </xdr:from>
    <xdr:to>
      <xdr:col>6</xdr:col>
      <xdr:colOff>552450</xdr:colOff>
      <xdr:row>22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2</v>
    <v>8</v>
    <v>10</v>
    <v>1</v>
  </rv>
  <rv s="0">
    <v>2</v>
    <v>8</v>
    <v>9</v>
    <v>1</v>
  </rv>
  <rv s="0">
    <v>2</v>
    <v>8</v>
    <v>8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M662"/>
  <sheetViews>
    <sheetView tabSelected="1" zoomScale="110" zoomScaleNormal="110" workbookViewId="0">
      <selection activeCell="D4" sqref="D4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6" width="9.140625" style="55" customWidth="1"/>
    <col min="27" max="30" width="9.140625" customWidth="1"/>
    <col min="31" max="31" width="10.85546875" bestFit="1" customWidth="1"/>
  </cols>
  <sheetData>
    <row r="1" spans="2:35" s="55" customFormat="1" ht="20.25" customHeight="1">
      <c r="B1" s="55">
        <f>VLOOKUP(C1,ListMembers!U8:V10,2,FALSE)</f>
        <v>3</v>
      </c>
      <c r="C1" s="110" t="s">
        <v>182</v>
      </c>
      <c r="D1" s="123" t="s">
        <v>151</v>
      </c>
      <c r="E1" s="124"/>
      <c r="F1" s="124"/>
      <c r="G1" s="124"/>
      <c r="H1" s="125"/>
      <c r="AA1"/>
      <c r="AB1"/>
      <c r="AC1"/>
      <c r="AD1"/>
    </row>
    <row r="2" spans="2:35" s="55" customFormat="1" ht="47.25" customHeight="1">
      <c r="C2" s="100"/>
      <c r="D2" s="126" t="s">
        <v>152</v>
      </c>
      <c r="E2" s="127"/>
      <c r="F2" s="127"/>
      <c r="G2" s="127"/>
      <c r="H2" s="128"/>
      <c r="AA2"/>
      <c r="AB2"/>
      <c r="AC2"/>
      <c r="AD2"/>
    </row>
    <row r="3" spans="2:35" s="54" customFormat="1" ht="15.75" thickBot="1">
      <c r="B3" s="55"/>
      <c r="C3" s="129" t="s">
        <v>183</v>
      </c>
      <c r="D3" s="129"/>
      <c r="E3" s="129"/>
      <c r="F3" s="129"/>
      <c r="G3" s="130"/>
      <c r="H3" s="130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/>
      <c r="AB3"/>
      <c r="AC3"/>
      <c r="AD3"/>
    </row>
    <row r="4" spans="2:35" s="55" customFormat="1" ht="15.75">
      <c r="C4" s="102" t="s">
        <v>171</v>
      </c>
      <c r="D4" s="103" t="s">
        <v>284</v>
      </c>
      <c r="E4" s="58"/>
      <c r="F4" s="102" t="s">
        <v>191</v>
      </c>
      <c r="G4" s="86" t="str">
        <f>IF(H4="","Typical",H4)</f>
        <v>Typical</v>
      </c>
      <c r="H4" s="98"/>
      <c r="AA4"/>
      <c r="AB4"/>
      <c r="AC4"/>
      <c r="AD4"/>
    </row>
    <row r="5" spans="2:35" s="55" customFormat="1" ht="15.75">
      <c r="C5" s="102" t="s">
        <v>26</v>
      </c>
      <c r="D5" s="104" t="s">
        <v>45</v>
      </c>
      <c r="E5" s="58"/>
      <c r="F5" s="102" t="s">
        <v>192</v>
      </c>
      <c r="G5" s="86" t="str">
        <f>IF(H5="","Typical",H5)</f>
        <v>Typical</v>
      </c>
      <c r="H5" s="98"/>
      <c r="AA5"/>
      <c r="AB5"/>
      <c r="AC5"/>
      <c r="AD5"/>
    </row>
    <row r="6" spans="2:35" s="55" customFormat="1" ht="15.75">
      <c r="C6" s="102" t="s">
        <v>94</v>
      </c>
      <c r="D6" s="104" t="s">
        <v>42</v>
      </c>
      <c r="F6" s="102" t="s">
        <v>187</v>
      </c>
      <c r="G6" s="86" t="str">
        <f>IF(H6="","None",H6)</f>
        <v>None</v>
      </c>
      <c r="H6" s="112"/>
      <c r="AA6"/>
      <c r="AB6"/>
      <c r="AC6"/>
      <c r="AD6"/>
    </row>
    <row r="7" spans="2:35" s="55" customFormat="1">
      <c r="C7" s="57" t="s">
        <v>95</v>
      </c>
      <c r="D7" s="85" t="str">
        <f>IF(E7="","General",E7)</f>
        <v>Feed</v>
      </c>
      <c r="E7" s="92" t="s">
        <v>257</v>
      </c>
      <c r="AA7"/>
      <c r="AB7"/>
      <c r="AC7"/>
      <c r="AD7"/>
    </row>
    <row r="8" spans="2:35" s="55" customFormat="1">
      <c r="C8" s="64" t="s">
        <v>150</v>
      </c>
      <c r="D8" s="65" t="str">
        <f>SUBSTITUTE(CurrentCropName&amp;" "&amp;CurrentCropType&amp;" "&amp;CurrentCropVariety,"_"," ")</f>
        <v>Wheat Grain Feed</v>
      </c>
      <c r="AA8"/>
      <c r="AB8"/>
      <c r="AC8"/>
      <c r="AD8"/>
    </row>
    <row r="9" spans="2:35" s="55" customFormat="1">
      <c r="C9" s="57" t="s">
        <v>4</v>
      </c>
      <c r="D9" s="91">
        <f ca="1">IF(E9="",TODAY(),E9)</f>
        <v>45026</v>
      </c>
      <c r="E9" s="67">
        <v>45026</v>
      </c>
      <c r="F9" s="57" t="s">
        <v>145</v>
      </c>
      <c r="G9" s="85" t="str">
        <f>IF(H9="",VLOOKUP(CurrentCropNameFull,CropCoefficients,13,FALSE),H9)</f>
        <v>Seed</v>
      </c>
      <c r="H9" s="72"/>
      <c r="AA9"/>
      <c r="AB9"/>
      <c r="AC9"/>
      <c r="AD9"/>
    </row>
    <row r="10" spans="2:35" s="55" customFormat="1">
      <c r="C10" s="57" t="s">
        <v>5</v>
      </c>
      <c r="D10" s="91">
        <f>IF(E10="",CurrentEstablishDate+125,E10)</f>
        <v>45355</v>
      </c>
      <c r="E10" s="67">
        <v>45355</v>
      </c>
      <c r="F10" s="57" t="s">
        <v>146</v>
      </c>
      <c r="G10" s="85" t="str">
        <f>IF(H10="",VLOOKUP(CurrentCropNameFull,CropCoefficients,15,FALSE),H10)</f>
        <v>Vegetative</v>
      </c>
      <c r="H10" s="72" t="s">
        <v>19</v>
      </c>
      <c r="AA10"/>
      <c r="AB10"/>
      <c r="AC10"/>
      <c r="AD10"/>
    </row>
    <row r="11" spans="2:35" s="55" customFormat="1">
      <c r="C11" s="57" t="s">
        <v>136</v>
      </c>
      <c r="D11" s="85" t="str">
        <f>IF(CurrentUnits="kg/head",IF(E11="",VLOOKUP(CurrentCropNameFull,CropCoefficients,20,FALSE),E11),"1")</f>
        <v>1</v>
      </c>
      <c r="E11" s="72"/>
      <c r="F11" s="57" t="s">
        <v>133</v>
      </c>
      <c r="G11" s="85">
        <f>IF(H11="",VLOOKUP(CurrentCropNameFull,CropCoefficients,23,FALSE),H11)</f>
        <v>0</v>
      </c>
      <c r="H11" s="69"/>
      <c r="AA11"/>
      <c r="AB11"/>
      <c r="AC11"/>
      <c r="AD11"/>
    </row>
    <row r="12" spans="2:35" s="55" customFormat="1">
      <c r="C12" s="57" t="str">
        <f>"Yield ("&amp;CurrentUnits&amp;")"</f>
        <v>Yield (t/ha)</v>
      </c>
      <c r="D12" s="85">
        <f>IF(E12="",VLOOKUP(CurrentCropNameFull,CropCoefficients,17,FALSE),E12)</f>
        <v>10</v>
      </c>
      <c r="E12" s="69">
        <v>10</v>
      </c>
      <c r="F12" s="57" t="s">
        <v>135</v>
      </c>
      <c r="G12" s="85">
        <f>IF(H12="",VLOOKUP(CurrentCropNameFull,CropCoefficients,22,FALSE),H12)</f>
        <v>0</v>
      </c>
      <c r="H12" s="69"/>
      <c r="AA12"/>
      <c r="AB12"/>
      <c r="AC12"/>
      <c r="AD12"/>
    </row>
    <row r="13" spans="2:35" s="55" customFormat="1">
      <c r="C13" s="57" t="s">
        <v>15</v>
      </c>
      <c r="D13" s="86" t="str">
        <f>IF(E13="",VLOOKUP(CurrentCropNameFull,CropCoefficients,18,FALSE),E13)</f>
        <v>t/ha</v>
      </c>
      <c r="E13" s="71" t="s">
        <v>2</v>
      </c>
      <c r="F13" s="57" t="s">
        <v>134</v>
      </c>
      <c r="G13" s="93">
        <f>IF(H13="",VLOOKUP(CurrentCropNameFull,CropCoefficients,26,FALSE),H13)</f>
        <v>13</v>
      </c>
      <c r="H13" s="69"/>
      <c r="AA13"/>
      <c r="AB13"/>
      <c r="AC13"/>
      <c r="AD13"/>
    </row>
    <row r="14" spans="2:35" s="55" customFormat="1">
      <c r="B14" s="90">
        <f>IF(CurrentUnits="kg/head",CurrentYield*CurrentPopulation/1000,IF(CurrentUnits="kg/ha",CurrentYield/1000,CurrentYield))</f>
        <v>10</v>
      </c>
      <c r="C14" s="64" t="str">
        <f>"Yield "&amp;CurrentYield_tperHa&amp;" (t/ha)"</f>
        <v>Yield 10 (t/ha)</v>
      </c>
      <c r="D14" s="90" t="str">
        <f ca="1">"requires "&amp;ROUND(SUM('Model Interface'!P8:Q8),0)&amp;" kg N/ha from all sources"</f>
        <v>requires 314 kg N/ha from all sources</v>
      </c>
      <c r="F14" s="57" t="s">
        <v>157</v>
      </c>
      <c r="G14" s="85" t="str">
        <f>IF(H14="","None removed",H14)</f>
        <v>None removed</v>
      </c>
      <c r="H14" s="72"/>
      <c r="R14" s="83">
        <f ca="1">PriorHarvestDate</f>
        <v>45011</v>
      </c>
      <c r="AA14"/>
      <c r="AB14"/>
      <c r="AC14"/>
      <c r="AD14"/>
    </row>
    <row r="15" spans="2:35" s="55" customFormat="1" ht="16.5" thickBot="1">
      <c r="B15" s="55">
        <f ca="1">SUMIF(B29:B43,1,G29:G43)</f>
        <v>273.16589869937025</v>
      </c>
      <c r="C15" s="105" t="s">
        <v>220</v>
      </c>
      <c r="D15" s="106" t="str">
        <f ca="1">SUMIF(B29:B43,1,G29:G43)&amp;" Kg/ha"</f>
        <v>273.16589869937 Kg/ha</v>
      </c>
      <c r="E15" s="107" t="s">
        <v>186</v>
      </c>
      <c r="F15" s="57" t="s">
        <v>158</v>
      </c>
      <c r="G15" s="85" t="str">
        <f>IF(H15="","Full (Plough)",H15)</f>
        <v>Full (Plough)</v>
      </c>
      <c r="H15" s="72"/>
      <c r="R15" s="122" t="s">
        <v>222</v>
      </c>
      <c r="S15" s="122"/>
      <c r="T15" s="122"/>
      <c r="U15" s="122"/>
      <c r="V15" s="122"/>
      <c r="W15" s="115"/>
      <c r="X15" s="115"/>
      <c r="Y15" s="115"/>
      <c r="Z15" s="115"/>
      <c r="AA15" s="120" t="s">
        <v>221</v>
      </c>
      <c r="AB15" s="120"/>
      <c r="AC15" s="120"/>
      <c r="AD15" s="120"/>
      <c r="AE15" s="121" t="s">
        <v>223</v>
      </c>
      <c r="AF15" s="121"/>
      <c r="AG15" s="121"/>
      <c r="AH15" s="121"/>
      <c r="AI15" s="121"/>
    </row>
    <row r="16" spans="2:35" s="55" customFormat="1" ht="5.25" customHeight="1">
      <c r="AA16"/>
      <c r="AB16"/>
      <c r="AC16"/>
      <c r="AD16"/>
    </row>
    <row r="17" spans="1:38" s="54" customFormat="1" ht="15.75" thickBot="1">
      <c r="A17" s="55"/>
      <c r="B17" s="55"/>
      <c r="C17" s="129" t="s">
        <v>184</v>
      </c>
      <c r="D17" s="129"/>
      <c r="E17" s="129"/>
      <c r="F17" s="129"/>
      <c r="G17" s="129"/>
      <c r="H17" s="129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Interface'!J10</f>
        <v>Date</v>
      </c>
      <c r="S17" s="55"/>
      <c r="T17" s="55" t="s">
        <v>156</v>
      </c>
      <c r="U17" s="55" t="s">
        <v>155</v>
      </c>
      <c r="V17" s="55" t="s">
        <v>13</v>
      </c>
      <c r="W17" s="55" t="s">
        <v>173</v>
      </c>
      <c r="X17" s="55" t="s">
        <v>241</v>
      </c>
      <c r="Y17" s="55" t="s">
        <v>242</v>
      </c>
      <c r="Z17" s="55" t="s">
        <v>283</v>
      </c>
      <c r="AA17" s="55" t="s">
        <v>201</v>
      </c>
      <c r="AB17" s="55" t="s">
        <v>202</v>
      </c>
      <c r="AC17" s="55" t="s">
        <v>187</v>
      </c>
      <c r="AD17" s="55" t="s">
        <v>205</v>
      </c>
      <c r="AE17" s="55" t="s">
        <v>14</v>
      </c>
      <c r="AF17" s="55"/>
      <c r="AG17" s="55" t="s">
        <v>156</v>
      </c>
      <c r="AH17" s="55" t="s">
        <v>155</v>
      </c>
      <c r="AI17" s="55" t="s">
        <v>13</v>
      </c>
      <c r="AJ17" s="54" t="s">
        <v>173</v>
      </c>
      <c r="AK17" s="55" t="s">
        <v>241</v>
      </c>
      <c r="AL17" s="55" t="s">
        <v>242</v>
      </c>
    </row>
    <row r="18" spans="1:38" s="55" customFormat="1" ht="5.25" customHeight="1">
      <c r="F18" s="59"/>
      <c r="G18" s="59"/>
      <c r="H18" s="59"/>
      <c r="R18" s="83">
        <f t="array" aca="1" ref="R18:R662" ca="1">_xlfn._xlws.FILTER('Model Interface'!X11:X500,('Model Interface'!X11:X500&gt;=StartGraphDate)*('Model Interface'!X11:X500&lt;=CurrentHarvestDate),"")</f>
        <v>45011</v>
      </c>
      <c r="S18" s="55">
        <f ca="1">IF(R18&gt;1,R18,"")</f>
        <v>45011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62.70000000000001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0.23601628186068427</v>
      </c>
      <c r="Y18" s="55">
        <f ca="1">VLOOKUP(S18,ModelOutputs,3,FALSE)</f>
        <v>2.1214720955180226</v>
      </c>
      <c r="Z18" s="55">
        <f t="shared" ref="Z18:Z81" ca="1" si="3">VLOOKUP(S18,ModelOutputs,3,FALSE)*14</f>
        <v>29.700609337252317</v>
      </c>
      <c r="AA18">
        <f t="shared" ref="AA18:AA81" ca="1" si="4">VLOOKUP(S18,ModelOutputs,10,FALSE)*AWC</f>
        <v>108</v>
      </c>
      <c r="AB18">
        <f ca="1">VLOOKUP(S18,ModelOutputs,11,FALSE)</f>
        <v>0</v>
      </c>
      <c r="AC18">
        <f t="shared" ref="AC18:AC81" ca="1" si="5">VLOOKUP(S18,ModelOutputs,12,FALSE)</f>
        <v>0</v>
      </c>
      <c r="AD18">
        <f t="shared" ref="AD18:AD81" ca="1" si="6">VLOOKUP(S18,ModelOutputs,13,FALSE)</f>
        <v>0.99999995543201425</v>
      </c>
      <c r="AE18" s="83">
        <f t="array" aca="1" ref="AE18:AE662" ca="1">_xlfn._xlws.FILTER('Model Interface'!X11:X1004,('Model Interface'!X11:X1004&gt;=CurrentHarvestDate+1)*('Model Interface'!X11:X1004&lt;=FollowingHarvestDate),"")</f>
        <v>45356</v>
      </c>
      <c r="AF18" s="55">
        <f ca="1">IF(AE18&gt;1,AE18,"")</f>
        <v>45356</v>
      </c>
      <c r="AG18" s="55">
        <f t="shared" ref="AG18:AG20" ca="1" si="7">VLOOKUP(AF18,ModelOutputs,2,FALSE)</f>
        <v>43.655267734557242</v>
      </c>
      <c r="AH18" s="55">
        <f t="shared" ref="AH18:AH20" ca="1" si="8">VLOOKUP(AF18,ModelOutputs,7,FALSE)</f>
        <v>0</v>
      </c>
      <c r="AI18" s="55">
        <f t="shared" ref="AI18:AI20" ca="1" si="9">VLOOKUP(AF18,ModelOutputs,6,FALSE)</f>
        <v>0</v>
      </c>
      <c r="AJ18" s="55">
        <f ca="1">-VLOOKUP(AF18,ModelOutputs,9,FALSE)</f>
        <v>0</v>
      </c>
      <c r="AK18" s="55">
        <f t="shared" ref="AK18" ca="1" si="10">VLOOKUP(AF18,ModelOutputs,5,FALSE)</f>
        <v>0.12454013447889388</v>
      </c>
      <c r="AL18" s="55">
        <f t="shared" ref="AL18" ca="1" si="11">VLOOKUP(AF18,ModelOutputs,4,FALSE)</f>
        <v>-2.3758456799830352</v>
      </c>
    </row>
    <row r="19" spans="1:38" s="55" customFormat="1">
      <c r="C19" s="57" t="s">
        <v>217</v>
      </c>
      <c r="D19" s="85">
        <f>IF(E19="",60,E19)</f>
        <v>15</v>
      </c>
      <c r="E19" s="16">
        <v>15</v>
      </c>
      <c r="F19" s="94" t="str">
        <f ca="1">ROUND('Model Interface'!N7,0)&amp;" kg N/ha available from SOM mineralisation"</f>
        <v>45 kg N/ha available from SOM mineralisation</v>
      </c>
      <c r="R19" s="83">
        <f ca="1"/>
        <v>45012</v>
      </c>
      <c r="S19" s="55">
        <f t="shared" ref="S19:S82" ca="1" si="12">IF(R19&gt;1,R19,"")</f>
        <v>45012</v>
      </c>
      <c r="T19" s="55">
        <f t="shared" ca="1" si="0"/>
        <v>50.229865718996614</v>
      </c>
      <c r="U19" s="55">
        <f t="shared" ca="1" si="1"/>
        <v>0</v>
      </c>
      <c r="V19" s="55">
        <f t="shared" ca="1" si="2"/>
        <v>0</v>
      </c>
      <c r="W19" s="55">
        <f t="shared" ref="W19:W82" ca="1" si="13">-VLOOKUP(S19,ModelOutputs,9,FALSE)+W18</f>
        <v>0</v>
      </c>
      <c r="X19" s="55">
        <f t="shared" ref="X19:X82" ca="1" si="14">VLOOKUP(S19,ModelOutputs,5,FALSE)+X18</f>
        <v>0.48326715857794877</v>
      </c>
      <c r="Y19" s="55">
        <f t="shared" ref="Y19:Y82" ca="1" si="15">VLOOKUP(S19,ModelOutputs,4,FALSE)+Y18</f>
        <v>2.1040869377973701</v>
      </c>
      <c r="Z19" s="55">
        <f t="shared" ca="1" si="3"/>
        <v>0</v>
      </c>
      <c r="AA19">
        <f t="shared" ca="1" si="4"/>
        <v>105.44869565217392</v>
      </c>
      <c r="AB19">
        <f t="shared" ref="AB19:AB82" ca="1" si="16">VLOOKUP(S19,ModelOutputs,11,FALSE)+AB18</f>
        <v>0</v>
      </c>
      <c r="AC19">
        <f t="shared" ca="1" si="5"/>
        <v>0</v>
      </c>
      <c r="AD19">
        <f t="shared" ca="1" si="6"/>
        <v>0</v>
      </c>
      <c r="AE19" s="83">
        <f ca="1"/>
        <v>45357</v>
      </c>
      <c r="AF19" s="55">
        <f t="shared" ref="AF19:AF20" ca="1" si="17">IF(AE19&gt;1,AE19,"")</f>
        <v>45357</v>
      </c>
      <c r="AG19" s="55">
        <f t="shared" ca="1" si="7"/>
        <v>41.615532496662325</v>
      </c>
      <c r="AH19" s="55">
        <f t="shared" ca="1" si="8"/>
        <v>0</v>
      </c>
      <c r="AI19" s="55">
        <f t="shared" ca="1" si="9"/>
        <v>0</v>
      </c>
      <c r="AJ19" s="55">
        <f t="shared" ref="AJ19:AJ82" ca="1" si="18">-VLOOKUP(AF19,ModelOutputs,9,FALSE)+AJ18</f>
        <v>0</v>
      </c>
      <c r="AK19" s="55">
        <f t="shared" ref="AK19:AK82" ca="1" si="19">VLOOKUP(AF19,ModelOutputs,5,FALSE)+AK18</f>
        <v>0.23939534920552524</v>
      </c>
      <c r="AL19" s="55">
        <f t="shared" ref="AL19:AL82" ca="1" si="20">VLOOKUP(AF19,ModelOutputs,4,FALSE)+AL18</f>
        <v>-4.5304361326045814</v>
      </c>
    </row>
    <row r="20" spans="1:38" s="55" customFormat="1">
      <c r="C20" s="57" t="s">
        <v>226</v>
      </c>
      <c r="D20" s="85" t="str">
        <f>IF(E20="","Sedementary",E20)</f>
        <v>Sedimentary</v>
      </c>
      <c r="E20" s="16" t="s">
        <v>243</v>
      </c>
      <c r="F20" s="94"/>
      <c r="R20" s="83">
        <f ca="1"/>
        <v>45013</v>
      </c>
      <c r="S20" s="55">
        <f t="shared" ca="1" si="12"/>
        <v>45013</v>
      </c>
      <c r="T20" s="55">
        <f t="shared" ca="1" si="0"/>
        <v>50.501862710159571</v>
      </c>
      <c r="U20" s="55">
        <f t="shared" ca="1" si="1"/>
        <v>0</v>
      </c>
      <c r="V20" s="55">
        <f t="shared" ca="1" si="2"/>
        <v>0</v>
      </c>
      <c r="W20" s="55">
        <f t="shared" ca="1" si="13"/>
        <v>0</v>
      </c>
      <c r="X20" s="55">
        <f t="shared" ca="1" si="14"/>
        <v>0.73140488186400732</v>
      </c>
      <c r="Y20" s="55">
        <f t="shared" ca="1" si="15"/>
        <v>2.1279462056742728</v>
      </c>
      <c r="Z20" s="55">
        <f t="shared" ca="1" si="3"/>
        <v>0</v>
      </c>
      <c r="AA20">
        <f t="shared" ca="1" si="4"/>
        <v>102.17993043478262</v>
      </c>
      <c r="AB20">
        <f t="shared" ca="1" si="16"/>
        <v>0</v>
      </c>
      <c r="AC20">
        <f t="shared" ca="1" si="5"/>
        <v>0</v>
      </c>
      <c r="AD20">
        <f t="shared" ca="1" si="6"/>
        <v>0</v>
      </c>
      <c r="AE20" s="83">
        <f ca="1"/>
        <v>45358</v>
      </c>
      <c r="AF20" s="55">
        <f t="shared" ca="1" si="17"/>
        <v>45358</v>
      </c>
      <c r="AG20" s="55">
        <f t="shared" ca="1" si="7"/>
        <v>39.574985289245859</v>
      </c>
      <c r="AH20" s="55">
        <f t="shared" ca="1" si="8"/>
        <v>0</v>
      </c>
      <c r="AI20" s="55">
        <f t="shared" ca="1" si="9"/>
        <v>0</v>
      </c>
      <c r="AJ20" s="55">
        <f t="shared" ca="1" si="18"/>
        <v>0</v>
      </c>
      <c r="AK20" s="55">
        <f t="shared" ca="1" si="19"/>
        <v>0.35739167478801698</v>
      </c>
      <c r="AL20" s="55">
        <f t="shared" ca="1" si="20"/>
        <v>-6.688979665603533</v>
      </c>
    </row>
    <row r="21" spans="1:38" s="55" customFormat="1" ht="15.75" customHeight="1">
      <c r="B21" s="55">
        <f>VLOOKUP(SampleDepth,depths,2,FALSE)</f>
        <v>3</v>
      </c>
      <c r="C21" s="57" t="s">
        <v>208</v>
      </c>
      <c r="D21" s="85" t="str">
        <f>IF(E21="","0-30cm",E21)</f>
        <v>Top30cm</v>
      </c>
      <c r="E21" s="16" t="s">
        <v>261</v>
      </c>
      <c r="F21" s="94"/>
      <c r="R21" s="83">
        <f ca="1"/>
        <v>45014</v>
      </c>
      <c r="S21" s="55">
        <f t="shared" ca="1" si="12"/>
        <v>45014</v>
      </c>
      <c r="T21" s="55">
        <f t="shared" ca="1" si="0"/>
        <v>50.802640792525125</v>
      </c>
      <c r="U21" s="55">
        <f t="shared" ca="1" si="1"/>
        <v>0</v>
      </c>
      <c r="V21" s="55">
        <f t="shared" ca="1" si="2"/>
        <v>0</v>
      </c>
      <c r="W21" s="55">
        <f t="shared" ca="1" si="13"/>
        <v>0</v>
      </c>
      <c r="X21" s="55">
        <f t="shared" ca="1" si="14"/>
        <v>0.97054577014718324</v>
      </c>
      <c r="Y21" s="55">
        <f t="shared" ca="1" si="15"/>
        <v>2.1895833997566494</v>
      </c>
      <c r="Z21" s="55">
        <f t="shared" ca="1" si="3"/>
        <v>0</v>
      </c>
      <c r="AA21">
        <f t="shared" ca="1" si="4"/>
        <v>99.210585885318224</v>
      </c>
      <c r="AB21">
        <f t="shared" ca="1" si="16"/>
        <v>0</v>
      </c>
      <c r="AC21">
        <f t="shared" ca="1" si="5"/>
        <v>0</v>
      </c>
      <c r="AD21">
        <f t="shared" ca="1" si="6"/>
        <v>0</v>
      </c>
      <c r="AE21" s="83">
        <f ca="1"/>
        <v>45359</v>
      </c>
      <c r="AF21" s="55">
        <f t="shared" ref="AF21:AF84" ca="1" si="21">IF(AE21&gt;1,AE21,"")</f>
        <v>45359</v>
      </c>
      <c r="AG21" s="55">
        <f t="shared" ref="AG21:AG84" ca="1" si="22">VLOOKUP(AF21,ModelOutputs,2,FALSE)</f>
        <v>37.686328029231333</v>
      </c>
      <c r="AH21" s="55">
        <f t="shared" ref="AH21:AH84" ca="1" si="23">VLOOKUP(AF21,ModelOutputs,7,FALSE)</f>
        <v>0</v>
      </c>
      <c r="AI21" s="55">
        <f t="shared" ref="AI21:AI84" ca="1" si="24">VLOOKUP(AF21,ModelOutputs,6,FALSE)</f>
        <v>0</v>
      </c>
      <c r="AJ21" s="55">
        <f t="shared" ca="1" si="18"/>
        <v>0</v>
      </c>
      <c r="AK21" s="55">
        <f t="shared" ca="1" si="19"/>
        <v>0.46865090356443384</v>
      </c>
      <c r="AL21" s="55">
        <f t="shared" ca="1" si="20"/>
        <v>-8.6888961543944792</v>
      </c>
    </row>
    <row r="22" spans="1:38" s="55" customFormat="1" ht="15" customHeight="1">
      <c r="C22" s="57" t="s">
        <v>209</v>
      </c>
      <c r="D22" s="85" t="str">
        <f>IF(E22="","loam",E22)</f>
        <v>SandyLoam</v>
      </c>
      <c r="E22" s="16" t="s">
        <v>267</v>
      </c>
      <c r="F22" s="94"/>
      <c r="R22" s="83">
        <f ca="1"/>
        <v>45015</v>
      </c>
      <c r="S22" s="55">
        <f t="shared" ca="1" si="12"/>
        <v>45015</v>
      </c>
      <c r="T22" s="55">
        <f t="shared" ca="1" si="0"/>
        <v>51.13900215017064</v>
      </c>
      <c r="U22" s="55">
        <f t="shared" ca="1" si="1"/>
        <v>0</v>
      </c>
      <c r="V22" s="55">
        <f t="shared" ca="1" si="2"/>
        <v>0</v>
      </c>
      <c r="W22" s="55">
        <f t="shared" ca="1" si="13"/>
        <v>0</v>
      </c>
      <c r="X22" s="55">
        <f t="shared" ca="1" si="14"/>
        <v>1.2109503234106556</v>
      </c>
      <c r="Y22" s="55">
        <f t="shared" ca="1" si="15"/>
        <v>2.2855402041386874</v>
      </c>
      <c r="Z22" s="55">
        <f t="shared" ca="1" si="3"/>
        <v>0</v>
      </c>
      <c r="AA22">
        <f t="shared" ca="1" si="4"/>
        <v>99.159743887217701</v>
      </c>
      <c r="AB22">
        <f t="shared" ca="1" si="16"/>
        <v>0</v>
      </c>
      <c r="AC22">
        <f t="shared" ca="1" si="5"/>
        <v>0</v>
      </c>
      <c r="AD22">
        <f t="shared" ca="1" si="6"/>
        <v>0</v>
      </c>
      <c r="AE22" s="83">
        <f ca="1"/>
        <v>45360</v>
      </c>
      <c r="AF22" s="55">
        <f t="shared" ca="1" si="21"/>
        <v>45360</v>
      </c>
      <c r="AG22" s="55">
        <f t="shared" ca="1" si="22"/>
        <v>35.624652617661255</v>
      </c>
      <c r="AH22" s="55">
        <f t="shared" ca="1" si="23"/>
        <v>0</v>
      </c>
      <c r="AI22" s="55">
        <f t="shared" ca="1" si="24"/>
        <v>0</v>
      </c>
      <c r="AJ22" s="55">
        <f t="shared" ca="1" si="18"/>
        <v>0</v>
      </c>
      <c r="AK22" s="55">
        <f t="shared" ca="1" si="19"/>
        <v>0.59217461563080853</v>
      </c>
      <c r="AL22" s="55">
        <f t="shared" ca="1" si="20"/>
        <v>-10.874095278030929</v>
      </c>
    </row>
    <row r="23" spans="1:38" s="55" customFormat="1">
      <c r="C23" s="57"/>
      <c r="D23" s="85"/>
      <c r="E23" s="113"/>
      <c r="F23" s="94"/>
      <c r="R23" s="83">
        <f ca="1"/>
        <v>45016</v>
      </c>
      <c r="S23" s="55">
        <f t="shared" ca="1" si="12"/>
        <v>45016</v>
      </c>
      <c r="T23" s="55">
        <f t="shared" ca="1" si="0"/>
        <v>51.476751519581605</v>
      </c>
      <c r="U23" s="55">
        <f t="shared" ca="1" si="1"/>
        <v>0</v>
      </c>
      <c r="V23" s="55">
        <f t="shared" ca="1" si="2"/>
        <v>0</v>
      </c>
      <c r="W23" s="55">
        <f t="shared" ca="1" si="13"/>
        <v>0</v>
      </c>
      <c r="X23" s="55">
        <f t="shared" ca="1" si="14"/>
        <v>1.430906887878014</v>
      </c>
      <c r="Y23" s="55">
        <f t="shared" ca="1" si="15"/>
        <v>2.4033330090822913</v>
      </c>
      <c r="Z23" s="55">
        <f t="shared" ca="1" si="3"/>
        <v>0</v>
      </c>
      <c r="AA23">
        <f t="shared" ca="1" si="4"/>
        <v>98.031790027871537</v>
      </c>
      <c r="AB23">
        <f t="shared" ca="1" si="16"/>
        <v>0</v>
      </c>
      <c r="AC23">
        <f t="shared" ca="1" si="5"/>
        <v>0</v>
      </c>
      <c r="AD23">
        <f t="shared" ca="1" si="6"/>
        <v>0</v>
      </c>
      <c r="AE23" s="83">
        <f ca="1"/>
        <v>45361</v>
      </c>
      <c r="AF23" s="55">
        <f t="shared" ca="1" si="21"/>
        <v>45361</v>
      </c>
      <c r="AG23" s="55">
        <f t="shared" ca="1" si="22"/>
        <v>33.592285825569384</v>
      </c>
      <c r="AH23" s="55">
        <f t="shared" ca="1" si="23"/>
        <v>0</v>
      </c>
      <c r="AI23" s="55">
        <f t="shared" ca="1" si="24"/>
        <v>0</v>
      </c>
      <c r="AJ23" s="55">
        <f t="shared" ca="1" si="18"/>
        <v>0</v>
      </c>
      <c r="AK23" s="55">
        <f t="shared" ca="1" si="19"/>
        <v>0.71063303433631975</v>
      </c>
      <c r="AL23" s="55">
        <f t="shared" ca="1" si="20"/>
        <v>-13.024920488828307</v>
      </c>
    </row>
    <row r="24" spans="1:38" s="55" customFormat="1">
      <c r="C24" s="57" t="s">
        <v>225</v>
      </c>
      <c r="D24" s="85">
        <f>IF(E24="",0,E24)</f>
        <v>0</v>
      </c>
      <c r="E24" s="113">
        <v>0</v>
      </c>
      <c r="F24" s="94"/>
      <c r="R24" s="83">
        <f ca="1"/>
        <v>45017</v>
      </c>
      <c r="S24" s="55">
        <f t="shared" ca="1" si="12"/>
        <v>45017</v>
      </c>
      <c r="T24" s="55">
        <f t="shared" ca="1" si="0"/>
        <v>51.816601693789238</v>
      </c>
      <c r="U24" s="55">
        <f t="shared" ca="1" si="1"/>
        <v>0</v>
      </c>
      <c r="V24" s="55">
        <f t="shared" ca="1" si="2"/>
        <v>0</v>
      </c>
      <c r="W24" s="55">
        <f t="shared" ca="1" si="13"/>
        <v>0</v>
      </c>
      <c r="X24" s="55">
        <f t="shared" ca="1" si="14"/>
        <v>1.6349582870161838</v>
      </c>
      <c r="Y24" s="55">
        <f t="shared" ca="1" si="15"/>
        <v>2.539131784151754</v>
      </c>
      <c r="Z24" s="55">
        <f t="shared" ca="1" si="3"/>
        <v>0</v>
      </c>
      <c r="AA24">
        <f t="shared" ca="1" si="4"/>
        <v>95.650982955641211</v>
      </c>
      <c r="AB24">
        <f t="shared" ca="1" si="16"/>
        <v>0</v>
      </c>
      <c r="AC24">
        <f t="shared" ca="1" si="5"/>
        <v>0</v>
      </c>
      <c r="AD24">
        <f t="shared" ca="1" si="6"/>
        <v>0</v>
      </c>
      <c r="AE24" s="83">
        <f ca="1"/>
        <v>45362</v>
      </c>
      <c r="AF24" s="55">
        <f t="shared" ca="1" si="21"/>
        <v>45362</v>
      </c>
      <c r="AG24" s="55">
        <f t="shared" ca="1" si="22"/>
        <v>31.372579071352668</v>
      </c>
      <c r="AH24" s="55">
        <f t="shared" ca="1" si="23"/>
        <v>0</v>
      </c>
      <c r="AI24" s="55">
        <f t="shared" ca="1" si="24"/>
        <v>0</v>
      </c>
      <c r="AJ24" s="55">
        <f t="shared" ca="1" si="18"/>
        <v>0</v>
      </c>
      <c r="AK24" s="55">
        <f t="shared" ca="1" si="19"/>
        <v>0.83283381436909631</v>
      </c>
      <c r="AL24" s="55">
        <f t="shared" ca="1" si="20"/>
        <v>-15.366828023077801</v>
      </c>
    </row>
    <row r="25" spans="1:38" s="55" customFormat="1">
      <c r="C25" s="61" t="str">
        <f>IF(COUNT(C29:C34)&gt;0,"Side dressings remaining","Side dressings")</f>
        <v>Side dressings</v>
      </c>
      <c r="D25" s="85">
        <f>IF(E25="",1,E25)</f>
        <v>2</v>
      </c>
      <c r="E25" s="98">
        <v>2</v>
      </c>
      <c r="R25" s="83">
        <f ca="1"/>
        <v>45018</v>
      </c>
      <c r="S25" s="55">
        <f t="shared" ca="1" si="12"/>
        <v>45018</v>
      </c>
      <c r="T25" s="55">
        <f t="shared" ca="1" si="0"/>
        <v>52.18634441638396</v>
      </c>
      <c r="U25" s="55">
        <f t="shared" ca="1" si="1"/>
        <v>0</v>
      </c>
      <c r="V25" s="55">
        <f t="shared" ca="1" si="2"/>
        <v>0</v>
      </c>
      <c r="W25" s="55">
        <f t="shared" ca="1" si="13"/>
        <v>0</v>
      </c>
      <c r="X25" s="55">
        <f t="shared" ca="1" si="14"/>
        <v>1.8426241612259289</v>
      </c>
      <c r="Y25" s="55">
        <f t="shared" ca="1" si="15"/>
        <v>2.7012086325367295</v>
      </c>
      <c r="Z25" s="55">
        <f t="shared" ca="1" si="3"/>
        <v>0</v>
      </c>
      <c r="AA25">
        <f t="shared" ca="1" si="4"/>
        <v>92.822053026406934</v>
      </c>
      <c r="AB25">
        <f t="shared" ca="1" si="16"/>
        <v>0</v>
      </c>
      <c r="AC25">
        <f t="shared" ca="1" si="5"/>
        <v>0</v>
      </c>
      <c r="AD25">
        <f t="shared" ca="1" si="6"/>
        <v>0</v>
      </c>
      <c r="AE25" s="83">
        <f ca="1"/>
        <v>45363</v>
      </c>
      <c r="AF25" s="55">
        <f t="shared" ca="1" si="21"/>
        <v>45363</v>
      </c>
      <c r="AG25" s="55">
        <f t="shared" ca="1" si="22"/>
        <v>28.986314378040838</v>
      </c>
      <c r="AH25" s="55">
        <f t="shared" ca="1" si="23"/>
        <v>0</v>
      </c>
      <c r="AI25" s="55">
        <f t="shared" ca="1" si="24"/>
        <v>0</v>
      </c>
      <c r="AJ25" s="55">
        <f t="shared" ca="1" si="18"/>
        <v>0</v>
      </c>
      <c r="AK25" s="55">
        <f t="shared" ca="1" si="19"/>
        <v>0.96170506423801971</v>
      </c>
      <c r="AL25" s="55">
        <f t="shared" ca="1" si="20"/>
        <v>-17.881963966258553</v>
      </c>
    </row>
    <row r="26" spans="1:38" s="55" customFormat="1" ht="15.75" thickBot="1">
      <c r="C26" s="56"/>
      <c r="D26" s="56"/>
      <c r="E26" s="56"/>
      <c r="F26" s="56"/>
      <c r="R26" s="83">
        <f ca="1"/>
        <v>45019</v>
      </c>
      <c r="S26" s="55">
        <f t="shared" ca="1" si="12"/>
        <v>45019</v>
      </c>
      <c r="T26" s="55">
        <f t="shared" ca="1" si="0"/>
        <v>52.559133018316928</v>
      </c>
      <c r="U26" s="55">
        <f t="shared" ca="1" si="1"/>
        <v>0</v>
      </c>
      <c r="V26" s="55">
        <f t="shared" ca="1" si="2"/>
        <v>0</v>
      </c>
      <c r="W26" s="55">
        <f t="shared" ca="1" si="13"/>
        <v>0</v>
      </c>
      <c r="X26" s="55">
        <f t="shared" ca="1" si="14"/>
        <v>2.0397345803177975</v>
      </c>
      <c r="Y26" s="55">
        <f t="shared" ca="1" si="15"/>
        <v>2.8768868153778269</v>
      </c>
      <c r="Z26" s="55">
        <f t="shared" ca="1" si="3"/>
        <v>0</v>
      </c>
      <c r="AA26">
        <f t="shared" ca="1" si="4"/>
        <v>91.283448638130579</v>
      </c>
      <c r="AB26">
        <f t="shared" ca="1" si="16"/>
        <v>0</v>
      </c>
      <c r="AC26">
        <f t="shared" ca="1" si="5"/>
        <v>0</v>
      </c>
      <c r="AD26">
        <f t="shared" ca="1" si="6"/>
        <v>0</v>
      </c>
      <c r="AE26" s="83">
        <f ca="1"/>
        <v>45364</v>
      </c>
      <c r="AF26" s="55">
        <f t="shared" ca="1" si="21"/>
        <v>45364</v>
      </c>
      <c r="AG26" s="55">
        <f t="shared" ca="1" si="22"/>
        <v>26.615950548700006</v>
      </c>
      <c r="AH26" s="55">
        <f t="shared" ca="1" si="23"/>
        <v>0</v>
      </c>
      <c r="AI26" s="55">
        <f t="shared" ca="1" si="24"/>
        <v>0</v>
      </c>
      <c r="AJ26" s="55">
        <f t="shared" ca="1" si="18"/>
        <v>0</v>
      </c>
      <c r="AK26" s="55">
        <f t="shared" ca="1" si="19"/>
        <v>1.089857534191937</v>
      </c>
      <c r="AL26" s="55">
        <f t="shared" ca="1" si="20"/>
        <v>-20.380480265553302</v>
      </c>
    </row>
    <row r="27" spans="1:38" s="55" customFormat="1" ht="15.75" thickBot="1">
      <c r="C27" s="132" t="s">
        <v>137</v>
      </c>
      <c r="D27" s="133"/>
      <c r="E27" s="60"/>
      <c r="F27" s="134" t="s">
        <v>144</v>
      </c>
      <c r="G27" s="135"/>
      <c r="R27" s="83">
        <f ca="1"/>
        <v>45020</v>
      </c>
      <c r="S27" s="55">
        <f t="shared" ca="1" si="12"/>
        <v>45020</v>
      </c>
      <c r="T27" s="55">
        <f t="shared" ca="1" si="0"/>
        <v>52.930550503751405</v>
      </c>
      <c r="U27" s="55">
        <f t="shared" ca="1" si="1"/>
        <v>0</v>
      </c>
      <c r="V27" s="55">
        <f t="shared" ca="1" si="2"/>
        <v>0</v>
      </c>
      <c r="W27" s="55">
        <f t="shared" ca="1" si="13"/>
        <v>0</v>
      </c>
      <c r="X27" s="55">
        <f t="shared" ca="1" si="14"/>
        <v>2.226697484733001</v>
      </c>
      <c r="Y27" s="55">
        <f t="shared" ca="1" si="15"/>
        <v>3.0613413963971028</v>
      </c>
      <c r="Z27" s="55">
        <f t="shared" ca="1" si="3"/>
        <v>0</v>
      </c>
      <c r="AA27">
        <f t="shared" ca="1" si="4"/>
        <v>90.614347374159522</v>
      </c>
      <c r="AB27">
        <f t="shared" ca="1" si="16"/>
        <v>0</v>
      </c>
      <c r="AC27">
        <f t="shared" ca="1" si="5"/>
        <v>0</v>
      </c>
      <c r="AD27">
        <f t="shared" ca="1" si="6"/>
        <v>0</v>
      </c>
      <c r="AE27" s="83">
        <f ca="1"/>
        <v>45365</v>
      </c>
      <c r="AF27" s="55">
        <f t="shared" ca="1" si="21"/>
        <v>45365</v>
      </c>
      <c r="AG27" s="55">
        <f t="shared" ca="1" si="22"/>
        <v>24.420555434828863</v>
      </c>
      <c r="AH27" s="55">
        <f t="shared" ca="1" si="23"/>
        <v>0</v>
      </c>
      <c r="AI27" s="55">
        <f t="shared" ca="1" si="24"/>
        <v>0</v>
      </c>
      <c r="AJ27" s="55">
        <f t="shared" ca="1" si="18"/>
        <v>0</v>
      </c>
      <c r="AK27" s="55">
        <f t="shared" ca="1" si="19"/>
        <v>1.2166756742953149</v>
      </c>
      <c r="AL27" s="55">
        <f t="shared" ca="1" si="20"/>
        <v>-22.70269351952782</v>
      </c>
    </row>
    <row r="28" spans="1:38" s="55" customFormat="1" ht="15.75" thickBot="1">
      <c r="C28" s="108" t="s">
        <v>14</v>
      </c>
      <c r="D28" s="109" t="s">
        <v>111</v>
      </c>
      <c r="F28" s="8" t="s">
        <v>14</v>
      </c>
      <c r="G28" s="62" t="s">
        <v>111</v>
      </c>
      <c r="R28" s="83">
        <f ca="1"/>
        <v>45021</v>
      </c>
      <c r="S28" s="55">
        <f t="shared" ca="1" si="12"/>
        <v>45021</v>
      </c>
      <c r="T28" s="55">
        <f t="shared" ca="1" si="0"/>
        <v>53.305480964645447</v>
      </c>
      <c r="U28" s="55">
        <f t="shared" ca="1" si="1"/>
        <v>0</v>
      </c>
      <c r="V28" s="55">
        <f t="shared" ca="1" si="2"/>
        <v>0</v>
      </c>
      <c r="W28" s="55">
        <f t="shared" ca="1" si="13"/>
        <v>0</v>
      </c>
      <c r="X28" s="55">
        <f t="shared" ca="1" si="14"/>
        <v>2.4075332918386776</v>
      </c>
      <c r="Y28" s="55">
        <f t="shared" ca="1" si="15"/>
        <v>3.2554360501854669</v>
      </c>
      <c r="Z28" s="55">
        <f t="shared" ca="1" si="3"/>
        <v>0</v>
      </c>
      <c r="AA28">
        <f t="shared" ca="1" si="4"/>
        <v>89.517195973484789</v>
      </c>
      <c r="AB28">
        <f t="shared" ca="1" si="16"/>
        <v>0</v>
      </c>
      <c r="AC28">
        <f t="shared" ca="1" si="5"/>
        <v>0</v>
      </c>
      <c r="AD28">
        <f t="shared" ca="1" si="6"/>
        <v>0</v>
      </c>
      <c r="AE28" s="83">
        <f ca="1"/>
        <v>45366</v>
      </c>
      <c r="AF28" s="55">
        <f t="shared" ca="1" si="21"/>
        <v>45366</v>
      </c>
      <c r="AG28" s="55">
        <f t="shared" ca="1" si="22"/>
        <v>22.284173677740352</v>
      </c>
      <c r="AH28" s="55">
        <f t="shared" ca="1" si="23"/>
        <v>0</v>
      </c>
      <c r="AI28" s="55">
        <f t="shared" ca="1" si="24"/>
        <v>0</v>
      </c>
      <c r="AJ28" s="55">
        <f t="shared" ca="1" si="18"/>
        <v>0</v>
      </c>
      <c r="AK28" s="55">
        <f t="shared" ca="1" si="19"/>
        <v>1.344138744416369</v>
      </c>
      <c r="AL28" s="55">
        <f t="shared" ca="1" si="20"/>
        <v>-24.966538346737384</v>
      </c>
    </row>
    <row r="29" spans="1:38" s="55" customFormat="1">
      <c r="A29" s="83">
        <f t="array" aca="1" ref="A29:A43" ca="1">_xlfn._xlws.FILTER('Model Interface'!X11:X500,'Model Interface'!Y11:Y500&gt;0,"")</f>
        <v>45026</v>
      </c>
      <c r="B29" s="55">
        <f t="shared" ref="B29:B43" ca="1" si="25">IF(AND(NOT(F29=""),F29&gt;=StartSchedullingDate),1,0)</f>
        <v>1</v>
      </c>
      <c r="C29" s="67"/>
      <c r="D29" s="80">
        <v>80</v>
      </c>
      <c r="F29" s="74">
        <f ca="1">A29</f>
        <v>45026</v>
      </c>
      <c r="G29" s="76">
        <f ca="1">IFERROR(VLOOKUP(F29,'Model Interface'!$J$11:$O$500,6,FALSE),"")</f>
        <v>48.230646460128419</v>
      </c>
      <c r="H29" s="55" t="str">
        <f ca="1">IF(B29=1,"Suggested","Applied or Planned")</f>
        <v>Suggested</v>
      </c>
      <c r="R29" s="83">
        <f ca="1"/>
        <v>45022</v>
      </c>
      <c r="S29" s="55">
        <f t="shared" ca="1" si="12"/>
        <v>45022</v>
      </c>
      <c r="T29" s="55">
        <f t="shared" ca="1" si="0"/>
        <v>53.697149343179881</v>
      </c>
      <c r="U29" s="55">
        <f t="shared" ca="1" si="1"/>
        <v>0</v>
      </c>
      <c r="V29" s="55">
        <f t="shared" ca="1" si="2"/>
        <v>0</v>
      </c>
      <c r="W29" s="55">
        <f t="shared" ca="1" si="13"/>
        <v>0</v>
      </c>
      <c r="X29" s="55">
        <f t="shared" ca="1" si="14"/>
        <v>2.591992261637051</v>
      </c>
      <c r="Y29" s="55">
        <f t="shared" ca="1" si="15"/>
        <v>3.4626454589215312</v>
      </c>
      <c r="Z29" s="55">
        <f t="shared" ca="1" si="3"/>
        <v>0</v>
      </c>
      <c r="AA29">
        <f t="shared" ca="1" si="4"/>
        <v>90.191560470116869</v>
      </c>
      <c r="AB29">
        <f t="shared" ca="1" si="16"/>
        <v>0</v>
      </c>
      <c r="AC29">
        <f t="shared" ca="1" si="5"/>
        <v>0</v>
      </c>
      <c r="AD29">
        <f t="shared" ca="1" si="6"/>
        <v>0</v>
      </c>
      <c r="AE29" s="83">
        <f ca="1"/>
        <v>45367</v>
      </c>
      <c r="AF29" s="55">
        <f t="shared" ca="1" si="21"/>
        <v>45367</v>
      </c>
      <c r="AG29" s="55">
        <f t="shared" ca="1" si="22"/>
        <v>20.228532991678719</v>
      </c>
      <c r="AH29" s="55">
        <f t="shared" ca="1" si="23"/>
        <v>0</v>
      </c>
      <c r="AI29" s="55">
        <f t="shared" ca="1" si="24"/>
        <v>0</v>
      </c>
      <c r="AJ29" s="55">
        <f t="shared" ca="1" si="18"/>
        <v>0</v>
      </c>
      <c r="AK29" s="55">
        <f t="shared" ca="1" si="19"/>
        <v>1.4702853209217241</v>
      </c>
      <c r="AL29" s="55">
        <f t="shared" ca="1" si="20"/>
        <v>-27.148325609304372</v>
      </c>
    </row>
    <row r="30" spans="1:38" s="55" customFormat="1">
      <c r="A30" s="83">
        <f ca="1"/>
        <v>45281</v>
      </c>
      <c r="B30" s="55">
        <f t="shared" ca="1" si="25"/>
        <v>1</v>
      </c>
      <c r="C30" s="78"/>
      <c r="D30" s="81"/>
      <c r="F30" s="74">
        <f t="shared" ref="F30:F43" ca="1" si="26">IFERROR(IF(A30=A29,"",A30),"")</f>
        <v>45281</v>
      </c>
      <c r="G30" s="76">
        <f ca="1">IFERROR(VLOOKUP(F30,'Model Interface'!$J$11:$O$500,6,FALSE),"")</f>
        <v>224.93525223924183</v>
      </c>
      <c r="H30" s="55" t="str">
        <f t="shared" ref="H30:H43" ca="1" si="27">IF(F30="","",IF(F30&lt;=StartSchedullingDate,"Applied or Planned","Suggested"))</f>
        <v>Suggested</v>
      </c>
      <c r="R30" s="83">
        <f ca="1"/>
        <v>45023</v>
      </c>
      <c r="S30" s="55">
        <f t="shared" ca="1" si="12"/>
        <v>45023</v>
      </c>
      <c r="T30" s="55">
        <f t="shared" ca="1" si="0"/>
        <v>54.101030410164142</v>
      </c>
      <c r="U30" s="55">
        <f t="shared" ca="1" si="1"/>
        <v>0</v>
      </c>
      <c r="V30" s="55">
        <f t="shared" ca="1" si="2"/>
        <v>0</v>
      </c>
      <c r="W30" s="55">
        <f t="shared" ca="1" si="13"/>
        <v>0</v>
      </c>
      <c r="X30" s="55">
        <f t="shared" ca="1" si="14"/>
        <v>2.780344951135524</v>
      </c>
      <c r="Y30" s="55">
        <f t="shared" ca="1" si="15"/>
        <v>3.6781738364073178</v>
      </c>
      <c r="Z30" s="55">
        <f t="shared" ca="1" si="3"/>
        <v>0</v>
      </c>
      <c r="AA30">
        <f t="shared" ca="1" si="4"/>
        <v>92.91045696841249</v>
      </c>
      <c r="AB30">
        <f t="shared" ca="1" si="16"/>
        <v>0</v>
      </c>
      <c r="AC30">
        <f t="shared" ca="1" si="5"/>
        <v>0</v>
      </c>
      <c r="AD30">
        <f t="shared" ca="1" si="6"/>
        <v>0</v>
      </c>
      <c r="AE30" s="83">
        <f ca="1"/>
        <v>45368</v>
      </c>
      <c r="AF30" s="55">
        <f t="shared" ca="1" si="21"/>
        <v>45368</v>
      </c>
      <c r="AG30" s="55">
        <f t="shared" ca="1" si="22"/>
        <v>18.328278059918119</v>
      </c>
      <c r="AH30" s="55">
        <f t="shared" ca="1" si="23"/>
        <v>0</v>
      </c>
      <c r="AI30" s="55">
        <f t="shared" ca="1" si="24"/>
        <v>0</v>
      </c>
      <c r="AJ30" s="55">
        <f t="shared" ca="1" si="18"/>
        <v>0</v>
      </c>
      <c r="AK30" s="55">
        <f t="shared" ca="1" si="19"/>
        <v>1.5869030999685938</v>
      </c>
      <c r="AL30" s="55">
        <f t="shared" ca="1" si="20"/>
        <v>-29.165198320111841</v>
      </c>
    </row>
    <row r="31" spans="1:38" s="55" customFormat="1">
      <c r="A31" s="83" t="e">
        <f ca="1"/>
        <v>#N/A</v>
      </c>
      <c r="B31" s="55">
        <f t="shared" ca="1" si="25"/>
        <v>0</v>
      </c>
      <c r="C31" s="78"/>
      <c r="D31" s="81"/>
      <c r="F31" s="74" t="str">
        <f t="shared" ca="1" si="26"/>
        <v/>
      </c>
      <c r="G31" s="76" t="str">
        <f ca="1">IFERROR(VLOOKUP(F31,'Model Interface'!$J$11:$O$500,6,FALSE),"")</f>
        <v/>
      </c>
      <c r="H31" s="55" t="str">
        <f t="shared" ca="1" si="27"/>
        <v/>
      </c>
      <c r="R31" s="83">
        <f ca="1"/>
        <v>45024</v>
      </c>
      <c r="S31" s="55">
        <f t="shared" ca="1" si="12"/>
        <v>45024</v>
      </c>
      <c r="T31" s="55">
        <f t="shared" ca="1" si="0"/>
        <v>54.514367444312988</v>
      </c>
      <c r="U31" s="55">
        <f t="shared" ca="1" si="1"/>
        <v>0</v>
      </c>
      <c r="V31" s="55">
        <f t="shared" ca="1" si="2"/>
        <v>0</v>
      </c>
      <c r="W31" s="55">
        <f t="shared" ca="1" si="13"/>
        <v>0</v>
      </c>
      <c r="X31" s="55">
        <f t="shared" ca="1" si="14"/>
        <v>2.9692623805129674</v>
      </c>
      <c r="Y31" s="55">
        <f t="shared" ca="1" si="15"/>
        <v>3.9025934411787233</v>
      </c>
      <c r="Z31" s="55">
        <f t="shared" ca="1" si="3"/>
        <v>0</v>
      </c>
      <c r="AA31">
        <f t="shared" ca="1" si="4"/>
        <v>92.940469588049737</v>
      </c>
      <c r="AB31">
        <f t="shared" ca="1" si="16"/>
        <v>0</v>
      </c>
      <c r="AC31">
        <f t="shared" ca="1" si="5"/>
        <v>0</v>
      </c>
      <c r="AD31">
        <f t="shared" ca="1" si="6"/>
        <v>0</v>
      </c>
      <c r="AE31" s="83">
        <f ca="1"/>
        <v>45369</v>
      </c>
      <c r="AF31" s="55">
        <f t="shared" ca="1" si="21"/>
        <v>45369</v>
      </c>
      <c r="AG31" s="55">
        <f t="shared" ca="1" si="22"/>
        <v>16.39622249950623</v>
      </c>
      <c r="AH31" s="55">
        <f t="shared" ca="1" si="23"/>
        <v>0</v>
      </c>
      <c r="AI31" s="55">
        <f t="shared" ca="1" si="24"/>
        <v>0</v>
      </c>
      <c r="AJ31" s="55">
        <f t="shared" ca="1" si="18"/>
        <v>0</v>
      </c>
      <c r="AK31" s="55">
        <f t="shared" ca="1" si="19"/>
        <v>1.7120904111429989</v>
      </c>
      <c r="AL31" s="55">
        <f t="shared" ca="1" si="20"/>
        <v>-31.222441191698131</v>
      </c>
    </row>
    <row r="32" spans="1:38" s="55" customFormat="1">
      <c r="A32" s="83" t="e">
        <f ca="1"/>
        <v>#N/A</v>
      </c>
      <c r="B32" s="55">
        <f t="shared" ca="1" si="25"/>
        <v>0</v>
      </c>
      <c r="C32" s="78"/>
      <c r="D32" s="81"/>
      <c r="F32" s="74" t="str">
        <f t="shared" ca="1" si="26"/>
        <v/>
      </c>
      <c r="G32" s="76" t="str">
        <f ca="1">IFERROR(VLOOKUP(F32,'Model Interface'!$J$11:$O$500,6,FALSE),"")</f>
        <v/>
      </c>
      <c r="H32" s="55" t="str">
        <f t="shared" ca="1" si="27"/>
        <v/>
      </c>
      <c r="R32" s="83">
        <f ca="1"/>
        <v>45025</v>
      </c>
      <c r="S32" s="55">
        <f t="shared" ca="1" si="12"/>
        <v>45025</v>
      </c>
      <c r="T32" s="55">
        <f t="shared" ca="1" si="0"/>
        <v>54.920380654555757</v>
      </c>
      <c r="U32" s="55">
        <f t="shared" ca="1" si="1"/>
        <v>0</v>
      </c>
      <c r="V32" s="55">
        <f t="shared" ca="1" si="2"/>
        <v>0</v>
      </c>
      <c r="W32" s="55">
        <f t="shared" ca="1" si="13"/>
        <v>0</v>
      </c>
      <c r="X32" s="55">
        <f t="shared" ca="1" si="14"/>
        <v>3.1525471757334578</v>
      </c>
      <c r="Y32" s="55">
        <f t="shared" ca="1" si="15"/>
        <v>4.1253218562010066</v>
      </c>
      <c r="Z32" s="55">
        <f t="shared" ca="1" si="3"/>
        <v>0</v>
      </c>
      <c r="AA32">
        <f t="shared" ca="1" si="4"/>
        <v>94.769819356674759</v>
      </c>
      <c r="AB32">
        <f t="shared" ca="1" si="16"/>
        <v>0</v>
      </c>
      <c r="AC32">
        <f t="shared" ca="1" si="5"/>
        <v>0</v>
      </c>
      <c r="AD32">
        <f t="shared" ca="1" si="6"/>
        <v>0</v>
      </c>
      <c r="AE32" s="83">
        <f ca="1"/>
        <v>45370</v>
      </c>
      <c r="AF32" s="55">
        <f t="shared" ca="1" si="21"/>
        <v>45370</v>
      </c>
      <c r="AG32" s="55">
        <f t="shared" ca="1" si="22"/>
        <v>14.493560235859828</v>
      </c>
      <c r="AH32" s="55">
        <f t="shared" ca="1" si="23"/>
        <v>3.1383073592145814</v>
      </c>
      <c r="AI32" s="55">
        <f t="shared" ca="1" si="24"/>
        <v>0</v>
      </c>
      <c r="AJ32" s="55">
        <f t="shared" ca="1" si="18"/>
        <v>0</v>
      </c>
      <c r="AK32" s="55">
        <f t="shared" ca="1" si="19"/>
        <v>1.8440314868333951</v>
      </c>
      <c r="AL32" s="55">
        <f t="shared" ca="1" si="20"/>
        <v>-33.257044531034929</v>
      </c>
    </row>
    <row r="33" spans="1:39" s="55" customFormat="1">
      <c r="A33" s="83" t="e">
        <f ca="1"/>
        <v>#N/A</v>
      </c>
      <c r="B33" s="55">
        <f t="shared" ca="1" si="25"/>
        <v>0</v>
      </c>
      <c r="C33" s="78"/>
      <c r="D33" s="81"/>
      <c r="F33" s="74" t="str">
        <f t="shared" ca="1" si="26"/>
        <v/>
      </c>
      <c r="G33" s="76" t="str">
        <f ca="1">IFERROR(VLOOKUP(F33,'Model Interface'!$J$11:$O$500,6,FALSE),"")</f>
        <v/>
      </c>
      <c r="H33" s="55" t="str">
        <f t="shared" ca="1" si="27"/>
        <v/>
      </c>
      <c r="R33" s="83">
        <f ca="1"/>
        <v>45026</v>
      </c>
      <c r="S33" s="55">
        <f t="shared" ca="1" si="12"/>
        <v>45026</v>
      </c>
      <c r="T33" s="55">
        <f t="shared" ca="1" si="0"/>
        <v>103.53163707703992</v>
      </c>
      <c r="U33" s="55">
        <f t="shared" ca="1" si="1"/>
        <v>4.2629768872283949</v>
      </c>
      <c r="V33" s="55">
        <f t="shared" ca="1" si="2"/>
        <v>48.230646460128419</v>
      </c>
      <c r="W33" s="55">
        <f t="shared" ca="1" si="13"/>
        <v>0</v>
      </c>
      <c r="X33" s="55">
        <f t="shared" ca="1" si="14"/>
        <v>3.3201704162440175</v>
      </c>
      <c r="Y33" s="55">
        <f t="shared" ca="1" si="15"/>
        <v>4.3383085780461927</v>
      </c>
      <c r="Z33" s="55">
        <f t="shared" ca="1" si="3"/>
        <v>0</v>
      </c>
      <c r="AA33">
        <f t="shared" ca="1" si="4"/>
        <v>95.026099508483028</v>
      </c>
      <c r="AB33">
        <f t="shared" ca="1" si="16"/>
        <v>0</v>
      </c>
      <c r="AC33">
        <f t="shared" ca="1" si="5"/>
        <v>0</v>
      </c>
      <c r="AD33">
        <f t="shared" ca="1" si="6"/>
        <v>6.9485089174574641E-3</v>
      </c>
      <c r="AE33" s="83">
        <f ca="1"/>
        <v>45371</v>
      </c>
      <c r="AF33" s="55">
        <f t="shared" ca="1" si="21"/>
        <v>45371</v>
      </c>
      <c r="AG33" s="55">
        <f t="shared" ca="1" si="22"/>
        <v>12.315725213104749</v>
      </c>
      <c r="AH33" s="55">
        <f t="shared" ca="1" si="23"/>
        <v>3.5533160164828197</v>
      </c>
      <c r="AI33" s="55">
        <f t="shared" ca="1" si="24"/>
        <v>0</v>
      </c>
      <c r="AJ33" s="55">
        <f t="shared" ca="1" si="18"/>
        <v>0</v>
      </c>
      <c r="AK33" s="55">
        <f t="shared" ca="1" si="19"/>
        <v>1.9711725810029939</v>
      </c>
      <c r="AL33" s="55">
        <f t="shared" ca="1" si="20"/>
        <v>-35.147011990691368</v>
      </c>
    </row>
    <row r="34" spans="1:39" s="55" customFormat="1" ht="15.75" thickBot="1">
      <c r="A34" s="83" t="e">
        <f ca="1"/>
        <v>#N/A</v>
      </c>
      <c r="B34" s="55">
        <f t="shared" ca="1" si="25"/>
        <v>0</v>
      </c>
      <c r="C34" s="79"/>
      <c r="D34" s="82"/>
      <c r="F34" s="74" t="str">
        <f t="shared" ca="1" si="26"/>
        <v/>
      </c>
      <c r="G34" s="76" t="str">
        <f ca="1">IFERROR(VLOOKUP(F34,'Model Interface'!$J$11:$O$500,6,FALSE),"")</f>
        <v/>
      </c>
      <c r="H34" s="55" t="str">
        <f t="shared" ca="1" si="27"/>
        <v/>
      </c>
      <c r="R34" s="83">
        <f ca="1"/>
        <v>45027</v>
      </c>
      <c r="S34" s="55">
        <f t="shared" ca="1" si="12"/>
        <v>45027</v>
      </c>
      <c r="T34" s="55">
        <f t="shared" ca="1" si="0"/>
        <v>103.85671326348739</v>
      </c>
      <c r="U34" s="55">
        <f t="shared" ca="1" si="1"/>
        <v>4.3287506513912515</v>
      </c>
      <c r="V34" s="55">
        <f t="shared" ca="1" si="2"/>
        <v>0</v>
      </c>
      <c r="W34" s="55">
        <f t="shared" ca="1" si="13"/>
        <v>0</v>
      </c>
      <c r="X34" s="55">
        <f t="shared" ca="1" si="14"/>
        <v>3.4901270844826837</v>
      </c>
      <c r="Y34" s="55">
        <f t="shared" ca="1" si="15"/>
        <v>4.5592018604178568</v>
      </c>
      <c r="Z34" s="55">
        <f t="shared" ca="1" si="3"/>
        <v>0.92083269827999281</v>
      </c>
      <c r="AA34">
        <f t="shared" ca="1" si="4"/>
        <v>94.238754797551451</v>
      </c>
      <c r="AB34">
        <f t="shared" ca="1" si="16"/>
        <v>0</v>
      </c>
      <c r="AC34">
        <f t="shared" ca="1" si="5"/>
        <v>0</v>
      </c>
      <c r="AD34">
        <f t="shared" ca="1" si="6"/>
        <v>7.2195750109689477E-3</v>
      </c>
      <c r="AE34" s="83">
        <f ca="1"/>
        <v>45372</v>
      </c>
      <c r="AF34" s="55">
        <f t="shared" ca="1" si="21"/>
        <v>45372</v>
      </c>
      <c r="AG34" s="55">
        <f t="shared" ca="1" si="22"/>
        <v>10.221735719288523</v>
      </c>
      <c r="AH34" s="55">
        <f t="shared" ca="1" si="23"/>
        <v>4.0021647326342071</v>
      </c>
      <c r="AI34" s="55">
        <f t="shared" ca="1" si="24"/>
        <v>0</v>
      </c>
      <c r="AJ34" s="55">
        <f t="shared" ca="1" si="18"/>
        <v>0</v>
      </c>
      <c r="AK34" s="55">
        <f t="shared" ca="1" si="19"/>
        <v>2.0939316201548666</v>
      </c>
      <c r="AL34" s="55">
        <f t="shared" ca="1" si="20"/>
        <v>-36.914911807508076</v>
      </c>
    </row>
    <row r="35" spans="1:39" s="55" customFormat="1" ht="15.75" thickBot="1">
      <c r="A35" s="83" t="e">
        <f ca="1"/>
        <v>#N/A</v>
      </c>
      <c r="B35" s="55">
        <f t="shared" ca="1" si="25"/>
        <v>0</v>
      </c>
      <c r="F35" s="74" t="str">
        <f t="shared" ca="1" si="26"/>
        <v/>
      </c>
      <c r="G35" s="76" t="str">
        <f ca="1">IFERROR(VLOOKUP(F35,'Model Interface'!$J$11:$O$500,6,FALSE),"")</f>
        <v/>
      </c>
      <c r="H35" s="55" t="str">
        <f t="shared" ca="1" si="27"/>
        <v/>
      </c>
      <c r="R35" s="83">
        <f ca="1"/>
        <v>45028</v>
      </c>
      <c r="S35" s="55">
        <f t="shared" ca="1" si="12"/>
        <v>45028</v>
      </c>
      <c r="T35" s="55">
        <f t="shared" ca="1" si="0"/>
        <v>104.18102727792125</v>
      </c>
      <c r="U35" s="55">
        <f t="shared" ca="1" si="1"/>
        <v>4.3946620377909618</v>
      </c>
      <c r="V35" s="55">
        <f t="shared" ca="1" si="2"/>
        <v>0</v>
      </c>
      <c r="W35" s="55">
        <f t="shared" ca="1" si="13"/>
        <v>0</v>
      </c>
      <c r="X35" s="55">
        <f t="shared" ca="1" si="14"/>
        <v>3.6581503210158295</v>
      </c>
      <c r="Y35" s="55">
        <f t="shared" ca="1" si="15"/>
        <v>4.7814040247182703</v>
      </c>
      <c r="Z35" s="55">
        <f t="shared" ca="1" si="3"/>
        <v>0.92275940959594394</v>
      </c>
      <c r="AA35">
        <f t="shared" ca="1" si="4"/>
        <v>94.47150925578741</v>
      </c>
      <c r="AB35">
        <f t="shared" ca="1" si="16"/>
        <v>0</v>
      </c>
      <c r="AC35">
        <f t="shared" ca="1" si="5"/>
        <v>0</v>
      </c>
      <c r="AD35">
        <f t="shared" ca="1" si="6"/>
        <v>7.4974261812012421E-3</v>
      </c>
      <c r="AE35" s="83">
        <f ca="1"/>
        <v>45373</v>
      </c>
      <c r="AF35" s="55">
        <f t="shared" ca="1" si="21"/>
        <v>45373</v>
      </c>
      <c r="AG35" s="55">
        <f t="shared" ca="1" si="22"/>
        <v>8.1473517585576047</v>
      </c>
      <c r="AH35" s="55">
        <f t="shared" ca="1" si="23"/>
        <v>4.4757788299228993</v>
      </c>
      <c r="AI35" s="55">
        <f t="shared" ca="1" si="24"/>
        <v>0</v>
      </c>
      <c r="AJ35" s="55">
        <f t="shared" ca="1" si="18"/>
        <v>0</v>
      </c>
      <c r="AK35" s="55">
        <f t="shared" ca="1" si="19"/>
        <v>2.2133371266211377</v>
      </c>
      <c r="AL35" s="55">
        <f t="shared" ca="1" si="20"/>
        <v>-38.635087177416573</v>
      </c>
    </row>
    <row r="36" spans="1:39" s="55" customFormat="1" ht="15.75" thickBot="1">
      <c r="A36" s="83" t="e">
        <f ca="1"/>
        <v>#N/A</v>
      </c>
      <c r="B36" s="55">
        <f t="shared" ca="1" si="25"/>
        <v>0</v>
      </c>
      <c r="C36" s="132" t="s">
        <v>138</v>
      </c>
      <c r="D36" s="133"/>
      <c r="F36" s="74" t="str">
        <f t="shared" ca="1" si="26"/>
        <v/>
      </c>
      <c r="G36" s="76" t="str">
        <f ca="1">IFERROR(VLOOKUP(F36,'Model Interface'!$J$11:$O$500,6,FALSE),"")</f>
        <v/>
      </c>
      <c r="H36" s="55" t="str">
        <f t="shared" ca="1" si="27"/>
        <v/>
      </c>
      <c r="R36" s="83">
        <f ca="1"/>
        <v>45029</v>
      </c>
      <c r="S36" s="55">
        <f t="shared" ca="1" si="12"/>
        <v>45029</v>
      </c>
      <c r="T36" s="55">
        <f t="shared" ca="1" si="0"/>
        <v>104.51763369402759</v>
      </c>
      <c r="U36" s="55">
        <f t="shared" ca="1" si="1"/>
        <v>4.4642199521759744</v>
      </c>
      <c r="V36" s="55">
        <f t="shared" ca="1" si="2"/>
        <v>0</v>
      </c>
      <c r="W36" s="55">
        <f t="shared" ca="1" si="13"/>
        <v>0</v>
      </c>
      <c r="X36" s="55">
        <f t="shared" ca="1" si="14"/>
        <v>3.832018598995715</v>
      </c>
      <c r="Y36" s="55">
        <f t="shared" ca="1" si="15"/>
        <v>5.0137000772297444</v>
      </c>
      <c r="Z36" s="55">
        <f t="shared" ca="1" si="3"/>
        <v>0.97381080139017762</v>
      </c>
      <c r="AA36">
        <f t="shared" ca="1" si="4"/>
        <v>93.781717998082058</v>
      </c>
      <c r="AB36">
        <f t="shared" ca="1" si="16"/>
        <v>0</v>
      </c>
      <c r="AC36">
        <f t="shared" ca="1" si="5"/>
        <v>0</v>
      </c>
      <c r="AD36">
        <f t="shared" ca="1" si="6"/>
        <v>7.7974458581029672E-3</v>
      </c>
      <c r="AE36" s="83">
        <f ca="1"/>
        <v>45374</v>
      </c>
      <c r="AF36" s="55">
        <f t="shared" ca="1" si="21"/>
        <v>45374</v>
      </c>
      <c r="AG36" s="55">
        <f t="shared" ca="1" si="22"/>
        <v>6.071372856070627</v>
      </c>
      <c r="AH36" s="55">
        <f t="shared" ca="1" si="23"/>
        <v>5.0122240340404911</v>
      </c>
      <c r="AI36" s="55">
        <f t="shared" ca="1" si="24"/>
        <v>0</v>
      </c>
      <c r="AJ36" s="55">
        <f t="shared" ca="1" si="18"/>
        <v>0</v>
      </c>
      <c r="AK36" s="55">
        <f t="shared" ca="1" si="19"/>
        <v>2.3335908882216536</v>
      </c>
      <c r="AL36" s="55">
        <f t="shared" ca="1" si="20"/>
        <v>-40.294874637386471</v>
      </c>
    </row>
    <row r="37" spans="1:39" s="55" customFormat="1" ht="15.75" thickBot="1">
      <c r="A37" s="83" t="e">
        <f ca="1"/>
        <v>#N/A</v>
      </c>
      <c r="B37" s="55">
        <f t="shared" ca="1" si="25"/>
        <v>0</v>
      </c>
      <c r="C37" s="108" t="s">
        <v>14</v>
      </c>
      <c r="D37" s="109" t="s">
        <v>17</v>
      </c>
      <c r="F37" s="74" t="str">
        <f t="shared" ca="1" si="26"/>
        <v/>
      </c>
      <c r="G37" s="76" t="str">
        <f ca="1">IFERROR(VLOOKUP(F37,'Model Interface'!$J$11:$O$500,6,FALSE),"")</f>
        <v/>
      </c>
      <c r="H37" s="55" t="str">
        <f t="shared" ca="1" si="27"/>
        <v/>
      </c>
      <c r="R37" s="83">
        <f ca="1"/>
        <v>45030</v>
      </c>
      <c r="S37" s="55">
        <f t="shared" ca="1" si="12"/>
        <v>45030</v>
      </c>
      <c r="T37" s="55">
        <f t="shared" ca="1" si="0"/>
        <v>104.84382424504849</v>
      </c>
      <c r="U37" s="55">
        <f t="shared" ca="1" si="1"/>
        <v>4.5324780544162726</v>
      </c>
      <c r="V37" s="55">
        <f t="shared" ca="1" si="2"/>
        <v>0</v>
      </c>
      <c r="W37" s="55">
        <f t="shared" ca="1" si="13"/>
        <v>0</v>
      </c>
      <c r="X37" s="55">
        <f t="shared" ca="1" si="14"/>
        <v>3.9981709302841004</v>
      </c>
      <c r="Y37" s="55">
        <f t="shared" ca="1" si="15"/>
        <v>5.2419963992025487</v>
      </c>
      <c r="Z37" s="55">
        <f t="shared" ca="1" si="3"/>
        <v>0.9556134313641742</v>
      </c>
      <c r="AA37">
        <f t="shared" ca="1" si="4"/>
        <v>93.016977530526333</v>
      </c>
      <c r="AB37">
        <f t="shared" ca="1" si="16"/>
        <v>0</v>
      </c>
      <c r="AC37">
        <f t="shared" ca="1" si="5"/>
        <v>0</v>
      </c>
      <c r="AD37">
        <f t="shared" ca="1" si="6"/>
        <v>8.0986898852122152E-3</v>
      </c>
      <c r="AE37" s="83">
        <f ca="1"/>
        <v>45375</v>
      </c>
      <c r="AF37" s="55">
        <f t="shared" ca="1" si="21"/>
        <v>45375</v>
      </c>
      <c r="AG37" s="55">
        <f t="shared" ca="1" si="22"/>
        <v>3.8857256456631308</v>
      </c>
      <c r="AH37" s="55">
        <f t="shared" ca="1" si="23"/>
        <v>5.6330164211983451</v>
      </c>
      <c r="AI37" s="55">
        <f t="shared" ca="1" si="24"/>
        <v>0</v>
      </c>
      <c r="AJ37" s="55">
        <f t="shared" ca="1" si="18"/>
        <v>0</v>
      </c>
      <c r="AK37" s="55">
        <f t="shared" ca="1" si="19"/>
        <v>2.458858234131132</v>
      </c>
      <c r="AL37" s="55">
        <f t="shared" ca="1" si="20"/>
        <v>-41.984996806545595</v>
      </c>
    </row>
    <row r="38" spans="1:39" s="55" customFormat="1">
      <c r="A38" s="83" t="e">
        <f ca="1"/>
        <v>#N/A</v>
      </c>
      <c r="B38" s="55">
        <f t="shared" ca="1" si="25"/>
        <v>0</v>
      </c>
      <c r="C38" s="78"/>
      <c r="D38" s="81"/>
      <c r="F38" s="74" t="str">
        <f t="shared" ca="1" si="26"/>
        <v/>
      </c>
      <c r="G38" s="76" t="str">
        <f ca="1">IFERROR(VLOOKUP(F38,'Model Interface'!$J$11:$O$500,6,FALSE),"")</f>
        <v/>
      </c>
      <c r="H38" s="55" t="str">
        <f t="shared" ca="1" si="27"/>
        <v/>
      </c>
      <c r="R38" s="83">
        <f ca="1"/>
        <v>45031</v>
      </c>
      <c r="S38" s="55">
        <f t="shared" ca="1" si="12"/>
        <v>45031</v>
      </c>
      <c r="T38" s="55">
        <f t="shared" ca="1" si="0"/>
        <v>105.19073348385612</v>
      </c>
      <c r="U38" s="55">
        <f t="shared" ca="1" si="1"/>
        <v>4.6076039989916229</v>
      </c>
      <c r="V38" s="55">
        <f t="shared" ca="1" si="2"/>
        <v>0</v>
      </c>
      <c r="W38" s="55">
        <f t="shared" ca="1" si="13"/>
        <v>0</v>
      </c>
      <c r="X38" s="55">
        <f t="shared" ca="1" si="14"/>
        <v>4.1742786200666124</v>
      </c>
      <c r="Y38" s="55">
        <f t="shared" ca="1" si="15"/>
        <v>5.4879238928030079</v>
      </c>
      <c r="Z38" s="55">
        <f t="shared" ca="1" si="3"/>
        <v>1.0517632240549037</v>
      </c>
      <c r="AA38">
        <f t="shared" ca="1" si="4"/>
        <v>90.28801581653002</v>
      </c>
      <c r="AB38">
        <f t="shared" ca="1" si="16"/>
        <v>0</v>
      </c>
      <c r="AC38">
        <f t="shared" ca="1" si="5"/>
        <v>0</v>
      </c>
      <c r="AD38">
        <f t="shared" ca="1" si="6"/>
        <v>8.4381194226515032E-3</v>
      </c>
      <c r="AE38" s="83">
        <f ca="1"/>
        <v>45376</v>
      </c>
      <c r="AF38" s="55">
        <f t="shared" ca="1" si="21"/>
        <v>45376</v>
      </c>
      <c r="AG38" s="55">
        <f t="shared" ca="1" si="22"/>
        <v>1.8778103775294088</v>
      </c>
      <c r="AH38" s="55">
        <f t="shared" ca="1" si="23"/>
        <v>6.2678408771241649</v>
      </c>
      <c r="AI38" s="55">
        <f t="shared" ca="1" si="24"/>
        <v>0</v>
      </c>
      <c r="AJ38" s="55">
        <f t="shared" ca="1" si="18"/>
        <v>0</v>
      </c>
      <c r="AK38" s="55">
        <f t="shared" ca="1" si="19"/>
        <v>2.5741729390738652</v>
      </c>
      <c r="AL38" s="55">
        <f t="shared" ca="1" si="20"/>
        <v>-43.473402323696234</v>
      </c>
    </row>
    <row r="39" spans="1:39" s="55" customFormat="1">
      <c r="A39" s="83" t="e">
        <f ca="1"/>
        <v>#N/A</v>
      </c>
      <c r="B39" s="55">
        <f t="shared" ca="1" si="25"/>
        <v>0</v>
      </c>
      <c r="C39" s="78"/>
      <c r="D39" s="81"/>
      <c r="F39" s="74" t="str">
        <f t="shared" ca="1" si="26"/>
        <v/>
      </c>
      <c r="G39" s="76" t="str">
        <f ca="1">IFERROR(VLOOKUP(F39,'Model Interface'!$J$11:$O$500,6,FALSE),"")</f>
        <v/>
      </c>
      <c r="H39" s="55" t="str">
        <f t="shared" ca="1" si="27"/>
        <v/>
      </c>
      <c r="R39" s="83">
        <f ca="1"/>
        <v>45032</v>
      </c>
      <c r="S39" s="55">
        <f t="shared" ca="1" si="12"/>
        <v>45032</v>
      </c>
      <c r="T39" s="55">
        <f t="shared" ca="1" si="0"/>
        <v>105.52614035887697</v>
      </c>
      <c r="U39" s="55">
        <f t="shared" ca="1" si="1"/>
        <v>4.6816184801171925</v>
      </c>
      <c r="V39" s="55">
        <f t="shared" ca="1" si="2"/>
        <v>0</v>
      </c>
      <c r="W39" s="55">
        <f t="shared" ca="1" si="13"/>
        <v>0</v>
      </c>
      <c r="X39" s="55">
        <f t="shared" ca="1" si="14"/>
        <v>4.3428447156929781</v>
      </c>
      <c r="Y39" s="55">
        <f t="shared" ca="1" si="15"/>
        <v>5.7287791533230665</v>
      </c>
      <c r="Z39" s="55">
        <f t="shared" ca="1" si="3"/>
        <v>1.0362027357579748</v>
      </c>
      <c r="AA39">
        <f t="shared" ca="1" si="4"/>
        <v>89.444586598442442</v>
      </c>
      <c r="AB39">
        <f t="shared" ca="1" si="16"/>
        <v>0</v>
      </c>
      <c r="AC39">
        <f t="shared" ca="1" si="5"/>
        <v>0</v>
      </c>
      <c r="AD39">
        <f t="shared" ca="1" si="6"/>
        <v>8.7806531504299127E-3</v>
      </c>
      <c r="AE39" s="83">
        <f ca="1"/>
        <v>45377</v>
      </c>
      <c r="AF39" s="55">
        <f t="shared" ca="1" si="21"/>
        <v>45377</v>
      </c>
      <c r="AG39" s="55">
        <f t="shared" ca="1" si="22"/>
        <v>-0.29356580861144854</v>
      </c>
      <c r="AH39" s="55">
        <f t="shared" ca="1" si="23"/>
        <v>7.0475571021150589</v>
      </c>
      <c r="AI39" s="55">
        <f t="shared" ca="1" si="24"/>
        <v>0</v>
      </c>
      <c r="AJ39" s="55">
        <f t="shared" ca="1" si="18"/>
        <v>0</v>
      </c>
      <c r="AK39" s="55">
        <f t="shared" ca="1" si="19"/>
        <v>2.6980641943163333</v>
      </c>
      <c r="AL39" s="55">
        <f t="shared" ca="1" si="20"/>
        <v>-44.988953540088666</v>
      </c>
    </row>
    <row r="40" spans="1:39" s="55" customFormat="1" ht="6.75" customHeight="1">
      <c r="A40" s="83" t="e">
        <f ca="1"/>
        <v>#N/A</v>
      </c>
      <c r="B40" s="55">
        <f t="shared" ca="1" si="25"/>
        <v>0</v>
      </c>
      <c r="C40" s="78"/>
      <c r="D40" s="81"/>
      <c r="F40" s="74" t="str">
        <f t="shared" ca="1" si="26"/>
        <v/>
      </c>
      <c r="G40" s="76" t="str">
        <f ca="1">IFERROR(VLOOKUP(F40,'Model Interface'!$J$11:$O$500,6,FALSE),"")</f>
        <v/>
      </c>
      <c r="H40" s="55" t="str">
        <f t="shared" ca="1" si="27"/>
        <v/>
      </c>
      <c r="R40" s="83">
        <f ca="1"/>
        <v>45033</v>
      </c>
      <c r="S40" s="55">
        <f t="shared" ca="1" si="12"/>
        <v>45033</v>
      </c>
      <c r="T40" s="55">
        <f t="shared" ca="1" si="0"/>
        <v>105.86758310385051</v>
      </c>
      <c r="U40" s="55">
        <f t="shared" ca="1" si="1"/>
        <v>4.7582560632197763</v>
      </c>
      <c r="V40" s="55">
        <f t="shared" ca="1" si="2"/>
        <v>0</v>
      </c>
      <c r="W40" s="55">
        <f t="shared" ca="1" si="13"/>
        <v>0</v>
      </c>
      <c r="X40" s="55">
        <f t="shared" ca="1" si="14"/>
        <v>4.5154216708884904</v>
      </c>
      <c r="Y40" s="55">
        <f t="shared" ca="1" si="15"/>
        <v>5.9742825262036732</v>
      </c>
      <c r="Z40" s="55">
        <f t="shared" ca="1" si="3"/>
        <v>1.0729261634361738</v>
      </c>
      <c r="AA40">
        <f t="shared" ca="1" si="4"/>
        <v>89.678994104386618</v>
      </c>
      <c r="AB40">
        <f t="shared" ca="1" si="16"/>
        <v>0</v>
      </c>
      <c r="AC40">
        <f t="shared" ca="1" si="5"/>
        <v>0</v>
      </c>
      <c r="AD40">
        <f t="shared" ca="1" si="6"/>
        <v>9.1438846483038877E-3</v>
      </c>
      <c r="AE40" s="83">
        <f ca="1"/>
        <v>45378</v>
      </c>
      <c r="AF40" s="55">
        <f t="shared" ca="1" si="21"/>
        <v>45378</v>
      </c>
      <c r="AG40" s="55">
        <f t="shared" ca="1" si="22"/>
        <v>-2.5610981861637767</v>
      </c>
      <c r="AH40" s="55">
        <f t="shared" ca="1" si="23"/>
        <v>7.9674797145089782</v>
      </c>
      <c r="AI40" s="55">
        <f t="shared" ca="1" si="24"/>
        <v>0</v>
      </c>
      <c r="AJ40" s="55">
        <f t="shared" ca="1" si="18"/>
        <v>0</v>
      </c>
      <c r="AK40" s="55">
        <f t="shared" ca="1" si="19"/>
        <v>2.825744785750679</v>
      </c>
      <c r="AL40" s="55">
        <f t="shared" ca="1" si="20"/>
        <v>-46.464243896681424</v>
      </c>
    </row>
    <row r="41" spans="1:39" s="55" customFormat="1">
      <c r="A41" s="83" t="e">
        <f ca="1"/>
        <v>#N/A</v>
      </c>
      <c r="B41" s="55">
        <f t="shared" ca="1" si="25"/>
        <v>0</v>
      </c>
      <c r="C41" s="78"/>
      <c r="D41" s="81"/>
      <c r="F41" s="74" t="str">
        <f t="shared" ca="1" si="26"/>
        <v/>
      </c>
      <c r="G41" s="76" t="str">
        <f ca="1">IFERROR(VLOOKUP(F41,'Model Interface'!$J$11:$O$500,6,FALSE),"")</f>
        <v/>
      </c>
      <c r="H41" s="55" t="str">
        <f t="shared" ca="1" si="27"/>
        <v/>
      </c>
      <c r="R41" s="83">
        <f ca="1"/>
        <v>45034</v>
      </c>
      <c r="S41" s="55">
        <f t="shared" ca="1" si="12"/>
        <v>45034</v>
      </c>
      <c r="T41" s="55">
        <f t="shared" ca="1" si="0"/>
        <v>106.18932494491078</v>
      </c>
      <c r="U41" s="55">
        <f t="shared" ca="1" si="1"/>
        <v>4.8316122786909297</v>
      </c>
      <c r="V41" s="55">
        <f t="shared" ca="1" si="2"/>
        <v>0</v>
      </c>
      <c r="W41" s="55">
        <f t="shared" ca="1" si="13"/>
        <v>0</v>
      </c>
      <c r="X41" s="55">
        <f t="shared" ca="1" si="14"/>
        <v>4.6765472955785139</v>
      </c>
      <c r="Y41" s="55">
        <f t="shared" ca="1" si="15"/>
        <v>6.2082549580450674</v>
      </c>
      <c r="Z41" s="55">
        <f t="shared" ca="1" si="3"/>
        <v>1.0269870165961468</v>
      </c>
      <c r="AA41">
        <f t="shared" ca="1" si="4"/>
        <v>89.362477040763451</v>
      </c>
      <c r="AB41">
        <f t="shared" ca="1" si="16"/>
        <v>0</v>
      </c>
      <c r="AC41">
        <f t="shared" ca="1" si="5"/>
        <v>0</v>
      </c>
      <c r="AD41">
        <f t="shared" ca="1" si="6"/>
        <v>9.4997745701493105E-3</v>
      </c>
      <c r="AE41" s="83">
        <f ca="1"/>
        <v>45379</v>
      </c>
      <c r="AF41" s="55">
        <f t="shared" ca="1" si="21"/>
        <v>45379</v>
      </c>
      <c r="AG41" s="55">
        <f t="shared" ca="1" si="22"/>
        <v>-4.8505995252861105</v>
      </c>
      <c r="AH41" s="55">
        <f t="shared" ca="1" si="23"/>
        <v>8.9981620424985795</v>
      </c>
      <c r="AI41" s="55">
        <f t="shared" ca="1" si="24"/>
        <v>0</v>
      </c>
      <c r="AJ41" s="55">
        <f t="shared" ca="1" si="18"/>
        <v>0</v>
      </c>
      <c r="AK41" s="55">
        <f t="shared" ca="1" si="19"/>
        <v>2.951746211640998</v>
      </c>
      <c r="AL41" s="55">
        <f t="shared" ca="1" si="20"/>
        <v>-47.849064333704476</v>
      </c>
    </row>
    <row r="42" spans="1:39" s="55" customFormat="1">
      <c r="A42" s="83" t="e">
        <f ca="1"/>
        <v>#N/A</v>
      </c>
      <c r="B42" s="55">
        <f t="shared" ca="1" si="25"/>
        <v>0</v>
      </c>
      <c r="C42" s="78"/>
      <c r="D42" s="81"/>
      <c r="F42" s="74" t="str">
        <f t="shared" ca="1" si="26"/>
        <v/>
      </c>
      <c r="G42" s="76" t="str">
        <f ca="1">IFERROR(VLOOKUP(F42,'Model Interface'!$J$11:$O$500,6,FALSE),"")</f>
        <v/>
      </c>
      <c r="H42" s="55" t="str">
        <f t="shared" ca="1" si="27"/>
        <v/>
      </c>
      <c r="R42" s="83">
        <f ca="1"/>
        <v>45035</v>
      </c>
      <c r="S42" s="55">
        <f t="shared" ca="1" si="12"/>
        <v>45035</v>
      </c>
      <c r="T42" s="55">
        <f t="shared" ca="1" si="0"/>
        <v>106.51063249182435</v>
      </c>
      <c r="U42" s="55">
        <f t="shared" ca="1" si="1"/>
        <v>4.906802171967243</v>
      </c>
      <c r="V42" s="55">
        <f t="shared" ca="1" si="2"/>
        <v>0</v>
      </c>
      <c r="W42" s="55">
        <f t="shared" ca="1" si="13"/>
        <v>0</v>
      </c>
      <c r="X42" s="55">
        <f t="shared" ca="1" si="14"/>
        <v>4.8374474139792731</v>
      </c>
      <c r="Y42" s="55">
        <f t="shared" ca="1" si="15"/>
        <v>6.4438522798342008</v>
      </c>
      <c r="Z42" s="55">
        <f t="shared" ca="1" si="3"/>
        <v>1.0526585058683864</v>
      </c>
      <c r="AA42">
        <f t="shared" ca="1" si="4"/>
        <v>88.306922403573921</v>
      </c>
      <c r="AB42">
        <f t="shared" ca="1" si="16"/>
        <v>0</v>
      </c>
      <c r="AC42">
        <f t="shared" ca="1" si="5"/>
        <v>0</v>
      </c>
      <c r="AD42">
        <f t="shared" ca="1" si="6"/>
        <v>9.8729502900134734E-3</v>
      </c>
      <c r="AE42" s="83">
        <f ca="1"/>
        <v>45380</v>
      </c>
      <c r="AF42" s="55">
        <f t="shared" ca="1" si="21"/>
        <v>45380</v>
      </c>
      <c r="AG42" s="55">
        <f t="shared" ca="1" si="22"/>
        <v>-7.2889620159499176</v>
      </c>
      <c r="AH42" s="55">
        <f t="shared" ca="1" si="23"/>
        <v>10.167553862571809</v>
      </c>
      <c r="AI42" s="55">
        <f t="shared" ca="1" si="24"/>
        <v>0</v>
      </c>
      <c r="AJ42" s="55">
        <f t="shared" ca="1" si="18"/>
        <v>0</v>
      </c>
      <c r="AK42" s="55">
        <f t="shared" ca="1" si="19"/>
        <v>3.0808307598221449</v>
      </c>
      <c r="AL42" s="55">
        <f t="shared" ca="1" si="20"/>
        <v>-49.2471195524762</v>
      </c>
    </row>
    <row r="43" spans="1:39" s="55" customFormat="1" ht="15.75" thickBot="1">
      <c r="A43" s="83" t="e">
        <f ca="1"/>
        <v>#N/A</v>
      </c>
      <c r="B43" s="55">
        <f t="shared" ca="1" si="25"/>
        <v>0</v>
      </c>
      <c r="C43" s="79"/>
      <c r="D43" s="82"/>
      <c r="F43" s="75" t="str">
        <f t="shared" ca="1" si="26"/>
        <v/>
      </c>
      <c r="G43" s="77" t="str">
        <f ca="1">IFERROR(VLOOKUP(F43,'Model Interface'!$J$11:$O$500,6,FALSE),"")</f>
        <v/>
      </c>
      <c r="H43" s="55" t="str">
        <f t="shared" ca="1" si="27"/>
        <v/>
      </c>
      <c r="R43" s="83">
        <f ca="1"/>
        <v>45036</v>
      </c>
      <c r="S43" s="55">
        <f t="shared" ca="1" si="12"/>
        <v>45036</v>
      </c>
      <c r="T43" s="55">
        <f t="shared" ca="1" si="0"/>
        <v>106.83938979146865</v>
      </c>
      <c r="U43" s="55">
        <f t="shared" ca="1" si="1"/>
        <v>4.9856501016979422</v>
      </c>
      <c r="V43" s="55">
        <f t="shared" ca="1" si="2"/>
        <v>0</v>
      </c>
      <c r="W43" s="55">
        <f t="shared" ca="1" si="13"/>
        <v>0</v>
      </c>
      <c r="X43" s="55">
        <f t="shared" ca="1" si="14"/>
        <v>5.0037408538865549</v>
      </c>
      <c r="Y43" s="55">
        <f t="shared" ca="1" si="15"/>
        <v>6.6851640693019156</v>
      </c>
      <c r="Z43" s="55">
        <f t="shared" ca="1" si="3"/>
        <v>1.1038710162297889</v>
      </c>
      <c r="AA43">
        <f t="shared" ca="1" si="4"/>
        <v>88.126814482205617</v>
      </c>
      <c r="AB43">
        <f t="shared" ca="1" si="16"/>
        <v>0</v>
      </c>
      <c r="AC43">
        <f t="shared" ca="1" si="5"/>
        <v>0</v>
      </c>
      <c r="AD43">
        <f t="shared" ca="1" si="6"/>
        <v>1.0273463364774785E-2</v>
      </c>
      <c r="AE43" s="83">
        <f ca="1"/>
        <v>45381</v>
      </c>
      <c r="AF43" s="55">
        <f t="shared" ca="1" si="21"/>
        <v>45381</v>
      </c>
      <c r="AG43" s="55">
        <f t="shared" ca="1" si="22"/>
        <v>-9.6276830112396858</v>
      </c>
      <c r="AH43" s="55">
        <f t="shared" ca="1" si="23"/>
        <v>11.357425039766341</v>
      </c>
      <c r="AI43" s="55">
        <f t="shared" ca="1" si="24"/>
        <v>0</v>
      </c>
      <c r="AJ43" s="55">
        <f t="shared" ca="1" si="18"/>
        <v>0</v>
      </c>
      <c r="AK43" s="55">
        <f t="shared" ca="1" si="19"/>
        <v>3.200685314697242</v>
      </c>
      <c r="AL43" s="55">
        <f t="shared" ca="1" si="20"/>
        <v>-50.515823925446533</v>
      </c>
    </row>
    <row r="44" spans="1:39" s="54" customFormat="1">
      <c r="A44" s="55"/>
      <c r="B44" s="55">
        <f ca="1">IF(C38="",CurrentEstablishDate,IF(AND(C38&gt;CurrentEstablishDate,(C38-CurrentEstablishDate)&lt;10),C38,CurrentEstablishDate))</f>
        <v>45026</v>
      </c>
      <c r="C44" s="94" t="s">
        <v>149</v>
      </c>
      <c r="D44" s="96">
        <f ca="1">MAX(CurrentEstablishDate,C38:C43,MAX(C29:C34)+1)</f>
        <v>45026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45037</v>
      </c>
      <c r="S44" s="55">
        <f t="shared" ca="1" si="12"/>
        <v>45037</v>
      </c>
      <c r="T44" s="55">
        <f t="shared" ca="1" si="0"/>
        <v>107.14485760516152</v>
      </c>
      <c r="U44" s="55">
        <f t="shared" ca="1" si="1"/>
        <v>5.0597478859298839</v>
      </c>
      <c r="V44" s="55">
        <f t="shared" ca="1" si="2"/>
        <v>0</v>
      </c>
      <c r="W44" s="55">
        <f t="shared" ca="1" si="13"/>
        <v>0</v>
      </c>
      <c r="X44" s="55">
        <f t="shared" ca="1" si="14"/>
        <v>5.1574528648150491</v>
      </c>
      <c r="Y44" s="55">
        <f t="shared" ca="1" si="15"/>
        <v>6.9110176562982399</v>
      </c>
      <c r="Z44" s="55">
        <f t="shared" ca="1" si="3"/>
        <v>1.0373689792471836</v>
      </c>
      <c r="AA44">
        <f t="shared" ca="1" si="4"/>
        <v>88.568595878341682</v>
      </c>
      <c r="AB44">
        <f t="shared" ca="1" si="16"/>
        <v>0</v>
      </c>
      <c r="AC44">
        <f t="shared" ca="1" si="5"/>
        <v>0</v>
      </c>
      <c r="AD44">
        <f t="shared" ca="1" si="6"/>
        <v>1.0658469729156886E-2</v>
      </c>
      <c r="AE44" s="83">
        <f ca="1"/>
        <v>45382</v>
      </c>
      <c r="AF44" s="55">
        <f t="shared" ca="1" si="21"/>
        <v>45382</v>
      </c>
      <c r="AG44" s="55">
        <f t="shared" ca="1" si="22"/>
        <v>-11.889307217037803</v>
      </c>
      <c r="AH44" s="55">
        <f t="shared" ca="1" si="23"/>
        <v>12.59427462131498</v>
      </c>
      <c r="AI44" s="55">
        <f t="shared" ca="1" si="24"/>
        <v>0</v>
      </c>
      <c r="AJ44" s="55">
        <f t="shared" ca="1" si="18"/>
        <v>0</v>
      </c>
      <c r="AK44" s="55">
        <f t="shared" ca="1" si="19"/>
        <v>3.3132540666333901</v>
      </c>
      <c r="AL44" s="55">
        <f t="shared" ca="1" si="20"/>
        <v>-51.653167301632159</v>
      </c>
      <c r="AM44" s="55"/>
    </row>
    <row r="45" spans="1:39" s="55" customFormat="1">
      <c r="R45" s="83">
        <f ca="1"/>
        <v>45038</v>
      </c>
      <c r="S45" s="55">
        <f t="shared" ca="1" si="12"/>
        <v>45038</v>
      </c>
      <c r="T45" s="55">
        <f t="shared" ca="1" si="0"/>
        <v>107.44195927239015</v>
      </c>
      <c r="U45" s="55">
        <f t="shared" ca="1" si="1"/>
        <v>5.1336519570046537</v>
      </c>
      <c r="V45" s="55">
        <f t="shared" ca="1" si="2"/>
        <v>0</v>
      </c>
      <c r="W45" s="55">
        <f t="shared" ca="1" si="13"/>
        <v>0</v>
      </c>
      <c r="X45" s="55">
        <f t="shared" ca="1" si="14"/>
        <v>5.3066669817974947</v>
      </c>
      <c r="Y45" s="55">
        <f t="shared" ca="1" si="15"/>
        <v>7.1328092776191898</v>
      </c>
      <c r="Z45" s="55">
        <f t="shared" ca="1" si="3"/>
        <v>1.0346569950467774</v>
      </c>
      <c r="AA45">
        <f t="shared" ca="1" si="4"/>
        <v>87.503108870104725</v>
      </c>
      <c r="AB45">
        <f t="shared" ca="1" si="16"/>
        <v>0</v>
      </c>
      <c r="AC45">
        <f t="shared" ca="1" si="5"/>
        <v>0</v>
      </c>
      <c r="AD45">
        <f t="shared" ca="1" si="6"/>
        <v>1.1050841980507474E-2</v>
      </c>
      <c r="AE45" s="83">
        <f ca="1"/>
        <v>45383</v>
      </c>
      <c r="AF45" s="55">
        <f t="shared" ca="1" si="21"/>
        <v>45383</v>
      </c>
      <c r="AG45" s="55">
        <f t="shared" ca="1" si="22"/>
        <v>-14.317606591871314</v>
      </c>
      <c r="AH45" s="55">
        <f t="shared" ca="1" si="23"/>
        <v>14.056491164578459</v>
      </c>
      <c r="AI45" s="55">
        <f t="shared" ca="1" si="24"/>
        <v>0</v>
      </c>
      <c r="AJ45" s="55">
        <f t="shared" ca="1" si="18"/>
        <v>0</v>
      </c>
      <c r="AK45" s="55">
        <f t="shared" ca="1" si="19"/>
        <v>3.428964369442419</v>
      </c>
      <c r="AL45" s="55">
        <f t="shared" ca="1" si="20"/>
        <v>-52.734960436011221</v>
      </c>
    </row>
    <row r="46" spans="1:39" s="55" customFormat="1" ht="15.75" thickBot="1">
      <c r="C46" s="129" t="s">
        <v>153</v>
      </c>
      <c r="D46" s="129"/>
      <c r="E46" s="129"/>
      <c r="F46" s="129"/>
      <c r="G46" s="129"/>
      <c r="H46" s="129"/>
      <c r="R46" s="83">
        <f ca="1"/>
        <v>45039</v>
      </c>
      <c r="S46" s="55">
        <f t="shared" ca="1" si="12"/>
        <v>45039</v>
      </c>
      <c r="T46" s="55">
        <f t="shared" ca="1" si="0"/>
        <v>107.74793159478989</v>
      </c>
      <c r="U46" s="55">
        <f t="shared" ca="1" si="1"/>
        <v>5.2126783578544122</v>
      </c>
      <c r="V46" s="55">
        <f t="shared" ca="1" si="2"/>
        <v>0</v>
      </c>
      <c r="W46" s="55">
        <f t="shared" ca="1" si="13"/>
        <v>0</v>
      </c>
      <c r="X46" s="55">
        <f t="shared" ca="1" si="14"/>
        <v>5.4620575295762226</v>
      </c>
      <c r="Y46" s="55">
        <f t="shared" ca="1" si="15"/>
        <v>7.3624174530899626</v>
      </c>
      <c r="Z46" s="55">
        <f t="shared" ca="1" si="3"/>
        <v>1.1063696118966195</v>
      </c>
      <c r="AA46">
        <f t="shared" ca="1" si="4"/>
        <v>86.155011682834683</v>
      </c>
      <c r="AB46">
        <f t="shared" ca="1" si="16"/>
        <v>0</v>
      </c>
      <c r="AC46">
        <f t="shared" ca="1" si="5"/>
        <v>0</v>
      </c>
      <c r="AD46">
        <f t="shared" ca="1" si="6"/>
        <v>1.147971577668753E-2</v>
      </c>
      <c r="AE46" s="83">
        <f ca="1"/>
        <v>45384</v>
      </c>
      <c r="AF46" s="55">
        <f t="shared" ca="1" si="21"/>
        <v>45384</v>
      </c>
      <c r="AG46" s="55">
        <f t="shared" ca="1" si="22"/>
        <v>-16.738240545169283</v>
      </c>
      <c r="AH46" s="55">
        <f t="shared" ca="1" si="23"/>
        <v>15.604161747520772</v>
      </c>
      <c r="AI46" s="55">
        <f t="shared" ca="1" si="24"/>
        <v>0</v>
      </c>
      <c r="AJ46" s="55">
        <f t="shared" ca="1" si="18"/>
        <v>0</v>
      </c>
      <c r="AK46" s="55">
        <f t="shared" ca="1" si="19"/>
        <v>3.5393392920093261</v>
      </c>
      <c r="AL46" s="55">
        <f t="shared" ca="1" si="20"/>
        <v>-53.718298728933782</v>
      </c>
    </row>
    <row r="47" spans="1:39" s="55" customFormat="1">
      <c r="C47" s="61" t="s">
        <v>26</v>
      </c>
      <c r="D47" s="88" t="str">
        <f>IF(E47="","Fodder",E47)</f>
        <v>Green_manure</v>
      </c>
      <c r="E47" s="87" t="s">
        <v>281</v>
      </c>
      <c r="F47" s="61" t="s">
        <v>133</v>
      </c>
      <c r="G47" s="88">
        <f>IF(H47="",VLOOKUP(PriorCropNameFull,CropCoefficients,23,FALSE),H47)</f>
        <v>0</v>
      </c>
      <c r="H47" s="89"/>
      <c r="R47" s="83">
        <f ca="1"/>
        <v>45040</v>
      </c>
      <c r="S47" s="55">
        <f t="shared" ca="1" si="12"/>
        <v>45040</v>
      </c>
      <c r="T47" s="55">
        <f t="shared" ca="1" si="0"/>
        <v>108.03885022084143</v>
      </c>
      <c r="U47" s="55">
        <f t="shared" ca="1" si="1"/>
        <v>5.2887971925863688</v>
      </c>
      <c r="V47" s="55">
        <f t="shared" ca="1" si="2"/>
        <v>0</v>
      </c>
      <c r="W47" s="55">
        <f t="shared" ca="1" si="13"/>
        <v>0</v>
      </c>
      <c r="X47" s="55">
        <f t="shared" ca="1" si="14"/>
        <v>5.6103084941187387</v>
      </c>
      <c r="Y47" s="55">
        <f t="shared" ca="1" si="15"/>
        <v>7.5812039493309404</v>
      </c>
      <c r="Z47" s="55">
        <f t="shared" ca="1" si="3"/>
        <v>1.0656636862473921</v>
      </c>
      <c r="AA47">
        <f t="shared" ca="1" si="4"/>
        <v>86.91537028330842</v>
      </c>
      <c r="AB47">
        <f t="shared" ca="1" si="16"/>
        <v>0</v>
      </c>
      <c r="AC47">
        <f t="shared" ca="1" si="5"/>
        <v>0</v>
      </c>
      <c r="AD47">
        <f t="shared" ca="1" si="6"/>
        <v>1.1901957008634268E-2</v>
      </c>
      <c r="AE47" s="83">
        <f ca="1"/>
        <v>45385</v>
      </c>
      <c r="AF47" s="55">
        <f t="shared" ca="1" si="21"/>
        <v>45385</v>
      </c>
      <c r="AG47" s="55">
        <f t="shared" ca="1" si="22"/>
        <v>-19.137060397648582</v>
      </c>
      <c r="AH47" s="55">
        <f t="shared" ca="1" si="23"/>
        <v>17.206603454139834</v>
      </c>
      <c r="AI47" s="55">
        <f t="shared" ca="1" si="24"/>
        <v>0</v>
      </c>
      <c r="AJ47" s="55">
        <f t="shared" ca="1" si="18"/>
        <v>0</v>
      </c>
      <c r="AK47" s="55">
        <f t="shared" ca="1" si="19"/>
        <v>3.6441347819600027</v>
      </c>
      <c r="AL47" s="55">
        <f t="shared" ca="1" si="20"/>
        <v>-54.619472364744695</v>
      </c>
    </row>
    <row r="48" spans="1:39" s="55" customFormat="1">
      <c r="C48" s="61" t="s">
        <v>94</v>
      </c>
      <c r="D48" s="84" t="str">
        <f>IF(E48="","Barley",E48)</f>
        <v>Annual ryegrass</v>
      </c>
      <c r="E48" s="66" t="s">
        <v>40</v>
      </c>
      <c r="F48" s="61" t="s">
        <v>135</v>
      </c>
      <c r="G48" s="84">
        <f>IF(H48="",VLOOKUP(PriorCropNameFull,CropCoefficients,22,FALSE),H48)</f>
        <v>0</v>
      </c>
      <c r="H48" s="72"/>
      <c r="R48" s="83">
        <f ca="1"/>
        <v>45041</v>
      </c>
      <c r="S48" s="55">
        <f t="shared" ca="1" si="12"/>
        <v>45041</v>
      </c>
      <c r="T48" s="55">
        <f t="shared" ca="1" si="0"/>
        <v>108.34023257770113</v>
      </c>
      <c r="U48" s="55">
        <f t="shared" ca="1" si="1"/>
        <v>5.3699082230469797</v>
      </c>
      <c r="V48" s="55">
        <f t="shared" ca="1" si="2"/>
        <v>0</v>
      </c>
      <c r="W48" s="55">
        <f t="shared" ca="1" si="13"/>
        <v>0</v>
      </c>
      <c r="X48" s="55">
        <f t="shared" ca="1" si="14"/>
        <v>5.7674215087999965</v>
      </c>
      <c r="Y48" s="55">
        <f t="shared" ca="1" si="15"/>
        <v>7.8065843219699929</v>
      </c>
      <c r="Z48" s="55">
        <f t="shared" ca="1" si="3"/>
        <v>1.135554426448552</v>
      </c>
      <c r="AA48">
        <f t="shared" ca="1" si="4"/>
        <v>87.492619694267134</v>
      </c>
      <c r="AB48">
        <f t="shared" ca="1" si="16"/>
        <v>0</v>
      </c>
      <c r="AC48">
        <f t="shared" ca="1" si="5"/>
        <v>0</v>
      </c>
      <c r="AD48">
        <f t="shared" ca="1" si="6"/>
        <v>1.2361826190751846E-2</v>
      </c>
      <c r="AE48" s="83">
        <f ca="1"/>
        <v>45386</v>
      </c>
      <c r="AF48" s="55">
        <f t="shared" ca="1" si="21"/>
        <v>45386</v>
      </c>
      <c r="AG48" s="55">
        <f t="shared" ca="1" si="22"/>
        <v>-21.568344301265078</v>
      </c>
      <c r="AH48" s="55">
        <f t="shared" ca="1" si="23"/>
        <v>18.911162268229365</v>
      </c>
      <c r="AI48" s="55">
        <f t="shared" ca="1" si="24"/>
        <v>0</v>
      </c>
      <c r="AJ48" s="55">
        <f t="shared" ca="1" si="18"/>
        <v>0</v>
      </c>
      <c r="AK48" s="55">
        <f t="shared" ca="1" si="19"/>
        <v>3.7454441760318287</v>
      </c>
      <c r="AL48" s="55">
        <f t="shared" ca="1" si="20"/>
        <v>-55.447506848343487</v>
      </c>
    </row>
    <row r="49" spans="2:39" s="55" customFormat="1">
      <c r="C49" s="61" t="s">
        <v>95</v>
      </c>
      <c r="D49" s="84" t="str">
        <f>IF(E49="","General",E49)</f>
        <v>General</v>
      </c>
      <c r="E49" s="66" t="s">
        <v>29</v>
      </c>
      <c r="F49" s="61" t="s">
        <v>134</v>
      </c>
      <c r="G49" s="84">
        <f>IF(H49="",VLOOKUP(PriorCropNameFull,CropCoefficients,26,FALSE),H49)</f>
        <v>0</v>
      </c>
      <c r="H49" s="72"/>
      <c r="R49" s="83">
        <f ca="1"/>
        <v>45042</v>
      </c>
      <c r="S49" s="55">
        <f t="shared" ca="1" si="12"/>
        <v>45042</v>
      </c>
      <c r="T49" s="55">
        <f t="shared" ca="1" si="0"/>
        <v>108.63872654338644</v>
      </c>
      <c r="U49" s="55">
        <f t="shared" ca="1" si="1"/>
        <v>5.4533298979057063</v>
      </c>
      <c r="V49" s="55">
        <f t="shared" ca="1" si="2"/>
        <v>0</v>
      </c>
      <c r="W49" s="55">
        <f t="shared" ca="1" si="13"/>
        <v>0</v>
      </c>
      <c r="X49" s="55">
        <f t="shared" ca="1" si="14"/>
        <v>5.9237884924689608</v>
      </c>
      <c r="Y49" s="55">
        <f t="shared" ca="1" si="15"/>
        <v>8.0321329788450697</v>
      </c>
      <c r="Z49" s="55">
        <f t="shared" ca="1" si="3"/>
        <v>1.1679034480221731</v>
      </c>
      <c r="AA49">
        <f t="shared" ca="1" si="4"/>
        <v>85.797688268349404</v>
      </c>
      <c r="AB49">
        <f t="shared" ca="1" si="16"/>
        <v>0</v>
      </c>
      <c r="AC49">
        <f t="shared" ca="1" si="5"/>
        <v>0</v>
      </c>
      <c r="AD49">
        <f t="shared" ca="1" si="6"/>
        <v>1.2845551264416933E-2</v>
      </c>
      <c r="AE49" s="83">
        <f ca="1"/>
        <v>45387</v>
      </c>
      <c r="AF49" s="55">
        <f t="shared" ca="1" si="21"/>
        <v>45387</v>
      </c>
      <c r="AG49" s="55">
        <f t="shared" ca="1" si="22"/>
        <v>-24.180722058670142</v>
      </c>
      <c r="AH49" s="55">
        <f t="shared" ca="1" si="23"/>
        <v>20.81047929992755</v>
      </c>
      <c r="AI49" s="55">
        <f t="shared" ca="1" si="24"/>
        <v>0</v>
      </c>
      <c r="AJ49" s="55">
        <f t="shared" ca="1" si="18"/>
        <v>0</v>
      </c>
      <c r="AK49" s="55">
        <f t="shared" ca="1" si="19"/>
        <v>3.8482867663568507</v>
      </c>
      <c r="AL49" s="55">
        <f t="shared" ca="1" si="20"/>
        <v>-56.263410164375387</v>
      </c>
    </row>
    <row r="50" spans="2:39" s="55" customFormat="1">
      <c r="B50" s="90">
        <f>IF(PriorUnits="kg/head",PriorYield*PriorPopulation/1000,IF(PriorUnits="kg/ha",PriorYield/1000,PriorYield))</f>
        <v>3</v>
      </c>
      <c r="C50" s="64" t="s">
        <v>150</v>
      </c>
      <c r="D50" s="65" t="str">
        <f>SUBSTITUTE(PriorCropName&amp;" "&amp;PriorCropType&amp;" "&amp;PriorCropVariety,"_"," ")</f>
        <v>Annual ryegrass Green manure General</v>
      </c>
      <c r="F50" s="56"/>
      <c r="R50" s="83">
        <f ca="1"/>
        <v>45043</v>
      </c>
      <c r="S50" s="55">
        <f t="shared" ca="1" si="12"/>
        <v>45043</v>
      </c>
      <c r="T50" s="55">
        <f t="shared" ca="1" si="0"/>
        <v>108.93812425319942</v>
      </c>
      <c r="U50" s="55">
        <f t="shared" ca="1" si="1"/>
        <v>5.5389844605421716</v>
      </c>
      <c r="V50" s="55">
        <f t="shared" ca="1" si="2"/>
        <v>0</v>
      </c>
      <c r="W50" s="55">
        <f t="shared" ca="1" si="13"/>
        <v>0</v>
      </c>
      <c r="X50" s="55">
        <f t="shared" ca="1" si="14"/>
        <v>6.0836777520616661</v>
      </c>
      <c r="Y50" s="55">
        <f t="shared" ca="1" si="15"/>
        <v>8.2572959917018061</v>
      </c>
      <c r="Z50" s="55">
        <f t="shared" ca="1" si="3"/>
        <v>1.1991638769105144</v>
      </c>
      <c r="AA50">
        <f t="shared" ca="1" si="4"/>
        <v>86.728010472680779</v>
      </c>
      <c r="AB50">
        <f t="shared" ca="1" si="16"/>
        <v>0</v>
      </c>
      <c r="AC50">
        <f t="shared" ca="1" si="5"/>
        <v>0</v>
      </c>
      <c r="AD50">
        <f t="shared" ca="1" si="6"/>
        <v>1.3353638649477043E-2</v>
      </c>
      <c r="AE50" s="83">
        <f ca="1"/>
        <v>45388</v>
      </c>
      <c r="AF50" s="55">
        <f t="shared" ca="1" si="21"/>
        <v>45388</v>
      </c>
      <c r="AG50" s="55">
        <f t="shared" ca="1" si="22"/>
        <v>-26.961029621825446</v>
      </c>
      <c r="AH50" s="55">
        <f t="shared" ca="1" si="23"/>
        <v>22.86225424877351</v>
      </c>
      <c r="AI50" s="55">
        <f t="shared" ca="1" si="24"/>
        <v>0</v>
      </c>
      <c r="AJ50" s="55">
        <f t="shared" ca="1" si="18"/>
        <v>0</v>
      </c>
      <c r="AK50" s="55">
        <f t="shared" ca="1" si="19"/>
        <v>3.9524802442971003</v>
      </c>
      <c r="AL50" s="55">
        <f t="shared" ca="1" si="20"/>
        <v>-57.09613625662498</v>
      </c>
    </row>
    <row r="51" spans="2:39" s="55" customFormat="1">
      <c r="C51" s="61" t="s">
        <v>4</v>
      </c>
      <c r="D51" s="68">
        <f ca="1">IF(E51="",CurrentEstablishDate-60,E51)</f>
        <v>44966</v>
      </c>
      <c r="E51" s="67"/>
      <c r="F51" s="61" t="s">
        <v>145</v>
      </c>
      <c r="G51" s="84" t="str">
        <f>IF(H51="",VLOOKUP(PriorCropNameFull,CropCoefficients,13,FALSE),H51)</f>
        <v>Seed</v>
      </c>
      <c r="H51" s="72"/>
      <c r="R51" s="83">
        <f ca="1"/>
        <v>45044</v>
      </c>
      <c r="S51" s="55">
        <f t="shared" ca="1" si="12"/>
        <v>45044</v>
      </c>
      <c r="T51" s="55">
        <f t="shared" ca="1" si="0"/>
        <v>109.24281153034848</v>
      </c>
      <c r="U51" s="55">
        <f t="shared" ca="1" si="1"/>
        <v>5.6281956728657745</v>
      </c>
      <c r="V51" s="55">
        <f t="shared" ca="1" si="2"/>
        <v>0</v>
      </c>
      <c r="W51" s="55">
        <f t="shared" ca="1" si="13"/>
        <v>0</v>
      </c>
      <c r="X51" s="55">
        <f t="shared" ca="1" si="14"/>
        <v>6.2503844588168294</v>
      </c>
      <c r="Y51" s="55">
        <f t="shared" ca="1" si="15"/>
        <v>8.4844877744193035</v>
      </c>
      <c r="Z51" s="55">
        <f t="shared" ca="1" si="3"/>
        <v>1.2489569725304399</v>
      </c>
      <c r="AA51">
        <f t="shared" ca="1" si="4"/>
        <v>88.02045763622516</v>
      </c>
      <c r="AB51">
        <f t="shared" ca="1" si="16"/>
        <v>0</v>
      </c>
      <c r="AC51">
        <f t="shared" ca="1" si="5"/>
        <v>0</v>
      </c>
      <c r="AD51">
        <f t="shared" ca="1" si="6"/>
        <v>1.3895191421050212E-2</v>
      </c>
      <c r="AE51" s="83">
        <f ca="1"/>
        <v>45389</v>
      </c>
      <c r="AF51" s="55">
        <f t="shared" ca="1" si="21"/>
        <v>45389</v>
      </c>
      <c r="AG51" s="55">
        <f t="shared" ca="1" si="22"/>
        <v>-29.904967505070964</v>
      </c>
      <c r="AH51" s="55">
        <f t="shared" ca="1" si="23"/>
        <v>25.11223945780171</v>
      </c>
      <c r="AI51" s="55">
        <f t="shared" ca="1" si="24"/>
        <v>0</v>
      </c>
      <c r="AJ51" s="55">
        <f t="shared" ca="1" si="18"/>
        <v>0</v>
      </c>
      <c r="AK51" s="55">
        <f t="shared" ca="1" si="19"/>
        <v>4.056555886807045</v>
      </c>
      <c r="AL51" s="55">
        <f t="shared" ca="1" si="20"/>
        <v>-57.894164573352242</v>
      </c>
    </row>
    <row r="52" spans="2:39" s="55" customFormat="1">
      <c r="C52" s="61" t="s">
        <v>5</v>
      </c>
      <c r="D52" s="68">
        <f ca="1">IF(E52="",CurrentEstablishDate-15,E52)</f>
        <v>45011</v>
      </c>
      <c r="F52" s="61" t="s">
        <v>146</v>
      </c>
      <c r="G52" s="84" t="str">
        <f>IF(H52="",VLOOKUP(PriorCropNameFull,CropCoefficients,15,FALSE),H52)</f>
        <v>EarlyReproductive</v>
      </c>
      <c r="H52" s="72"/>
      <c r="R52" s="83">
        <f ca="1"/>
        <v>45045</v>
      </c>
      <c r="S52" s="55">
        <f t="shared" ca="1" si="12"/>
        <v>45045</v>
      </c>
      <c r="T52" s="55">
        <f t="shared" ca="1" si="0"/>
        <v>109.52708075404175</v>
      </c>
      <c r="U52" s="55">
        <f t="shared" ca="1" si="1"/>
        <v>5.7090481885954301</v>
      </c>
      <c r="V52" s="55">
        <f t="shared" ca="1" si="2"/>
        <v>0</v>
      </c>
      <c r="W52" s="55">
        <f t="shared" ca="1" si="13"/>
        <v>0</v>
      </c>
      <c r="X52" s="55">
        <f t="shared" ca="1" si="14"/>
        <v>6.4104233763251575</v>
      </c>
      <c r="Y52" s="55">
        <f t="shared" ca="1" si="15"/>
        <v>8.6895705963339012</v>
      </c>
      <c r="Z52" s="55">
        <f t="shared" ca="1" si="3"/>
        <v>1.131935220215178</v>
      </c>
      <c r="AA52">
        <f t="shared" ca="1" si="4"/>
        <v>95.378303719437355</v>
      </c>
      <c r="AB52">
        <f t="shared" ca="1" si="16"/>
        <v>0</v>
      </c>
      <c r="AC52">
        <f t="shared" ca="1" si="5"/>
        <v>0</v>
      </c>
      <c r="AD52">
        <f t="shared" ca="1" si="6"/>
        <v>1.4396965714265891E-2</v>
      </c>
      <c r="AE52" s="83">
        <f ca="1"/>
        <v>45390</v>
      </c>
      <c r="AF52" s="55">
        <f t="shared" ca="1" si="21"/>
        <v>45390</v>
      </c>
      <c r="AG52" s="55">
        <f t="shared" ca="1" si="22"/>
        <v>-32.845661662802733</v>
      </c>
      <c r="AH52" s="55">
        <f t="shared" ca="1" si="23"/>
        <v>27.387244740738417</v>
      </c>
      <c r="AI52" s="55">
        <f t="shared" ca="1" si="24"/>
        <v>0</v>
      </c>
      <c r="AJ52" s="55">
        <f t="shared" ca="1" si="18"/>
        <v>0</v>
      </c>
      <c r="AK52" s="55">
        <f t="shared" ca="1" si="19"/>
        <v>4.156750063604024</v>
      </c>
      <c r="AL52" s="55">
        <f t="shared" ca="1" si="20"/>
        <v>-58.660047624944283</v>
      </c>
    </row>
    <row r="53" spans="2:39" s="55" customFormat="1">
      <c r="C53" s="61" t="s">
        <v>136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45046</v>
      </c>
      <c r="S53" s="55">
        <f t="shared" ca="1" si="12"/>
        <v>45046</v>
      </c>
      <c r="T53" s="55">
        <f t="shared" ca="1" si="0"/>
        <v>109.80547493958534</v>
      </c>
      <c r="U53" s="55">
        <f t="shared" ca="1" si="1"/>
        <v>5.7889166414385276</v>
      </c>
      <c r="V53" s="55">
        <f t="shared" ca="1" si="2"/>
        <v>0</v>
      </c>
      <c r="W53" s="55">
        <f t="shared" ca="1" si="13"/>
        <v>0</v>
      </c>
      <c r="X53" s="55">
        <f t="shared" ca="1" si="14"/>
        <v>6.5700098007254644</v>
      </c>
      <c r="Y53" s="55">
        <f t="shared" ca="1" si="15"/>
        <v>8.8882468103202896</v>
      </c>
      <c r="Z53" s="55">
        <f t="shared" ca="1" si="3"/>
        <v>1.1181583398033652</v>
      </c>
      <c r="AA53">
        <f t="shared" ca="1" si="4"/>
        <v>97.593091484197345</v>
      </c>
      <c r="AB53">
        <f t="shared" ca="1" si="16"/>
        <v>0</v>
      </c>
      <c r="AC53">
        <f t="shared" ca="1" si="5"/>
        <v>0</v>
      </c>
      <c r="AD53">
        <f t="shared" ca="1" si="6"/>
        <v>1.4902921577775462E-2</v>
      </c>
      <c r="AE53" s="83">
        <f ca="1"/>
        <v>45391</v>
      </c>
      <c r="AF53" s="55">
        <f t="shared" ca="1" si="21"/>
        <v>45391</v>
      </c>
      <c r="AG53" s="55">
        <f t="shared" ca="1" si="22"/>
        <v>-35.557817080792475</v>
      </c>
      <c r="AH53" s="55">
        <f t="shared" ca="1" si="23"/>
        <v>29.505867278512</v>
      </c>
      <c r="AI53" s="55">
        <f t="shared" ca="1" si="24"/>
        <v>0</v>
      </c>
      <c r="AJ53" s="55">
        <f t="shared" ca="1" si="18"/>
        <v>0</v>
      </c>
      <c r="AK53" s="55">
        <f t="shared" ca="1" si="19"/>
        <v>4.2477943523882136</v>
      </c>
      <c r="AL53" s="55">
        <f t="shared" ca="1" si="20"/>
        <v>-59.344624793944632</v>
      </c>
    </row>
    <row r="54" spans="2:39" s="54" customFormat="1">
      <c r="B54" s="55"/>
      <c r="C54" s="61" t="s">
        <v>100</v>
      </c>
      <c r="D54" s="70">
        <f>IF(E54="",VLOOKUP(PriorCropNameFull,CropCoefficients,17,FALSE),E54)</f>
        <v>3</v>
      </c>
      <c r="E54" s="69"/>
      <c r="F54" s="61" t="s">
        <v>148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45047</v>
      </c>
      <c r="S54" s="55">
        <f t="shared" ca="1" si="12"/>
        <v>45047</v>
      </c>
      <c r="T54" s="55">
        <f t="shared" ca="1" si="0"/>
        <v>110.07209522799086</v>
      </c>
      <c r="U54" s="55">
        <f t="shared" ca="1" si="1"/>
        <v>5.8671875991131754</v>
      </c>
      <c r="V54" s="55">
        <f t="shared" ca="1" si="2"/>
        <v>0</v>
      </c>
      <c r="W54" s="55">
        <f t="shared" ca="1" si="13"/>
        <v>0</v>
      </c>
      <c r="X54" s="55">
        <f t="shared" ca="1" si="14"/>
        <v>6.7234342915982994</v>
      </c>
      <c r="Y54" s="55">
        <f t="shared" ca="1" si="15"/>
        <v>9.0797135655276193</v>
      </c>
      <c r="Z54" s="55">
        <f t="shared" ca="1" si="3"/>
        <v>1.0957934074450701</v>
      </c>
      <c r="AA54">
        <f t="shared" ca="1" si="4"/>
        <v>97.092772905204967</v>
      </c>
      <c r="AB54">
        <f t="shared" ca="1" si="16"/>
        <v>0</v>
      </c>
      <c r="AC54">
        <f t="shared" ca="1" si="5"/>
        <v>0</v>
      </c>
      <c r="AD54">
        <f t="shared" ca="1" si="6"/>
        <v>1.5408727336495828E-2</v>
      </c>
      <c r="AE54" s="83">
        <f ca="1"/>
        <v>45392</v>
      </c>
      <c r="AF54" s="55">
        <f t="shared" ca="1" si="21"/>
        <v>45392</v>
      </c>
      <c r="AG54" s="55">
        <f t="shared" ca="1" si="22"/>
        <v>-38.47300880500093</v>
      </c>
      <c r="AH54" s="55">
        <f t="shared" ca="1" si="23"/>
        <v>31.863519679449382</v>
      </c>
      <c r="AI54" s="55">
        <f t="shared" ca="1" si="24"/>
        <v>0</v>
      </c>
      <c r="AJ54" s="55">
        <f t="shared" ca="1" si="18"/>
        <v>0</v>
      </c>
      <c r="AK54" s="55">
        <f t="shared" ca="1" si="19"/>
        <v>4.3396116603505543</v>
      </c>
      <c r="AL54" s="55">
        <f t="shared" ca="1" si="20"/>
        <v>-59.993981425178042</v>
      </c>
      <c r="AM54" s="55"/>
    </row>
    <row r="55" spans="2:39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158</v>
      </c>
      <c r="G55" s="85" t="str">
        <f>IF(H55="","Full (Plough)",H55)</f>
        <v>Full (Plough)</v>
      </c>
      <c r="H55" s="72"/>
      <c r="R55" s="83">
        <f ca="1"/>
        <v>45048</v>
      </c>
      <c r="S55" s="55">
        <f t="shared" ca="1" si="12"/>
        <v>45048</v>
      </c>
      <c r="T55" s="55">
        <f t="shared" ca="1" si="0"/>
        <v>110.33663017924326</v>
      </c>
      <c r="U55" s="55">
        <f t="shared" ca="1" si="1"/>
        <v>5.9474461813868409</v>
      </c>
      <c r="V55" s="55">
        <f t="shared" ca="1" si="2"/>
        <v>0</v>
      </c>
      <c r="W55" s="55">
        <f t="shared" ca="1" si="13"/>
        <v>0</v>
      </c>
      <c r="X55" s="55">
        <f t="shared" ca="1" si="14"/>
        <v>6.8776921814132859</v>
      </c>
      <c r="Y55" s="55">
        <f t="shared" ca="1" si="15"/>
        <v>9.270249209238699</v>
      </c>
      <c r="Z55" s="55">
        <f t="shared" ca="1" si="3"/>
        <v>1.1236201518313162</v>
      </c>
      <c r="AA55">
        <f t="shared" ca="1" si="4"/>
        <v>96.514359469281658</v>
      </c>
      <c r="AB55">
        <f t="shared" ca="1" si="16"/>
        <v>0</v>
      </c>
      <c r="AC55">
        <f t="shared" ca="1" si="5"/>
        <v>0</v>
      </c>
      <c r="AD55">
        <f t="shared" ca="1" si="6"/>
        <v>1.593767456184856E-2</v>
      </c>
      <c r="AE55" s="83">
        <f ca="1"/>
        <v>45393</v>
      </c>
      <c r="AF55" s="55">
        <f t="shared" ca="1" si="21"/>
        <v>45393</v>
      </c>
      <c r="AG55" s="55">
        <f t="shared" ca="1" si="22"/>
        <v>-41.468226663560088</v>
      </c>
      <c r="AH55" s="55">
        <f t="shared" ca="1" si="23"/>
        <v>34.333164568885365</v>
      </c>
      <c r="AI55" s="55">
        <f t="shared" ca="1" si="24"/>
        <v>0</v>
      </c>
      <c r="AJ55" s="55">
        <f t="shared" ca="1" si="18"/>
        <v>0</v>
      </c>
      <c r="AK55" s="55">
        <f t="shared" ca="1" si="19"/>
        <v>4.4297934387348255</v>
      </c>
      <c r="AL55" s="55">
        <f t="shared" ca="1" si="20"/>
        <v>-60.609736172685487</v>
      </c>
    </row>
    <row r="56" spans="2:39" s="55" customFormat="1">
      <c r="C56" s="64" t="str">
        <f>"Yield "&amp;ROUND(PriorYield_tperHa,0)&amp;" (t/ha)"</f>
        <v>Yield 3 (t/ha)</v>
      </c>
      <c r="D56" s="90" t="str">
        <f ca="1">"Previous crop residues are providing "&amp;ROUND('Model Interface'!M9,0)&amp;" kg N/ha to the current crop"</f>
        <v>Previous crop residues are providing 16 kg N/ha to the current crop</v>
      </c>
      <c r="R56" s="83">
        <f ca="1"/>
        <v>45049</v>
      </c>
      <c r="S56" s="55">
        <f t="shared" ca="1" si="12"/>
        <v>45049</v>
      </c>
      <c r="T56" s="55">
        <f t="shared" ca="1" si="0"/>
        <v>110.59502111131734</v>
      </c>
      <c r="U56" s="55">
        <f t="shared" ca="1" si="1"/>
        <v>6.0283952293668479</v>
      </c>
      <c r="V56" s="55">
        <f t="shared" ca="1" si="2"/>
        <v>0</v>
      </c>
      <c r="W56" s="55">
        <f t="shared" ca="1" si="13"/>
        <v>0</v>
      </c>
      <c r="X56" s="55">
        <f t="shared" ca="1" si="14"/>
        <v>7.0297551327596484</v>
      </c>
      <c r="Y56" s="55">
        <f t="shared" ca="1" si="15"/>
        <v>9.4575262379464213</v>
      </c>
      <c r="Z56" s="55">
        <f t="shared" ca="1" si="3"/>
        <v>1.1332866717200982</v>
      </c>
      <c r="AA56">
        <f t="shared" ca="1" si="4"/>
        <v>95.642670445544766</v>
      </c>
      <c r="AB56">
        <f t="shared" ca="1" si="16"/>
        <v>0</v>
      </c>
      <c r="AC56">
        <f t="shared" ca="1" si="5"/>
        <v>0</v>
      </c>
      <c r="AD56">
        <f t="shared" ca="1" si="6"/>
        <v>1.6481782168401168E-2</v>
      </c>
      <c r="AE56" s="83">
        <f ca="1"/>
        <v>45394</v>
      </c>
      <c r="AF56" s="55">
        <f t="shared" ca="1" si="21"/>
        <v>45394</v>
      </c>
      <c r="AG56" s="55">
        <f t="shared" ca="1" si="22"/>
        <v>-44.802812969199415</v>
      </c>
      <c r="AH56" s="55">
        <f t="shared" ca="1" si="23"/>
        <v>37.166643721013209</v>
      </c>
      <c r="AI56" s="55">
        <f t="shared" ca="1" si="24"/>
        <v>0</v>
      </c>
      <c r="AJ56" s="55">
        <f t="shared" ca="1" si="18"/>
        <v>0</v>
      </c>
      <c r="AK56" s="55">
        <f t="shared" ca="1" si="19"/>
        <v>4.5226503056914416</v>
      </c>
      <c r="AL56" s="55">
        <f t="shared" ca="1" si="20"/>
        <v>-61.203700193153587</v>
      </c>
    </row>
    <row r="57" spans="2:39" s="55" customFormat="1" ht="15.75" thickBot="1">
      <c r="C57" s="129" t="s">
        <v>154</v>
      </c>
      <c r="D57" s="129"/>
      <c r="E57" s="129"/>
      <c r="F57" s="129"/>
      <c r="G57" s="129"/>
      <c r="H57" s="129"/>
      <c r="R57" s="83">
        <f ca="1"/>
        <v>45050</v>
      </c>
      <c r="S57" s="55">
        <f t="shared" ca="1" si="12"/>
        <v>45050</v>
      </c>
      <c r="T57" s="55">
        <f t="shared" ca="1" si="0"/>
        <v>110.86132710677454</v>
      </c>
      <c r="U57" s="55">
        <f t="shared" ca="1" si="1"/>
        <v>6.1147793713638752</v>
      </c>
      <c r="V57" s="55">
        <f t="shared" ca="1" si="2"/>
        <v>0</v>
      </c>
      <c r="W57" s="55">
        <f t="shared" ca="1" si="13"/>
        <v>0</v>
      </c>
      <c r="X57" s="55">
        <f t="shared" ca="1" si="14"/>
        <v>7.1908379160892384</v>
      </c>
      <c r="Y57" s="55">
        <f t="shared" ca="1" si="15"/>
        <v>9.649133592071065</v>
      </c>
      <c r="Z57" s="55">
        <f t="shared" ca="1" si="3"/>
        <v>1.2093779879583817</v>
      </c>
      <c r="AA57">
        <f t="shared" ca="1" si="4"/>
        <v>96.152387920297173</v>
      </c>
      <c r="AB57">
        <f t="shared" ca="1" si="16"/>
        <v>0</v>
      </c>
      <c r="AC57">
        <f t="shared" ca="1" si="5"/>
        <v>0</v>
      </c>
      <c r="AD57">
        <f t="shared" ca="1" si="6"/>
        <v>1.7074229100447959E-2</v>
      </c>
      <c r="AE57" s="83">
        <f ca="1"/>
        <v>45395</v>
      </c>
      <c r="AF57" s="55">
        <f t="shared" ca="1" si="21"/>
        <v>45395</v>
      </c>
      <c r="AG57" s="55">
        <f t="shared" ca="1" si="22"/>
        <v>-48.112743469576088</v>
      </c>
      <c r="AH57" s="55">
        <f t="shared" ca="1" si="23"/>
        <v>40.026792152297851</v>
      </c>
      <c r="AI57" s="55">
        <f t="shared" ca="1" si="24"/>
        <v>0</v>
      </c>
      <c r="AJ57" s="55">
        <f t="shared" ca="1" si="18"/>
        <v>0</v>
      </c>
      <c r="AK57" s="55">
        <f t="shared" ca="1" si="19"/>
        <v>4.6109370030738104</v>
      </c>
      <c r="AL57" s="55">
        <f t="shared" ca="1" si="20"/>
        <v>-61.741768959627983</v>
      </c>
    </row>
    <row r="58" spans="2:39" s="55" customFormat="1">
      <c r="C58" s="61" t="s">
        <v>26</v>
      </c>
      <c r="D58" s="88" t="str">
        <f>IF(E58="","Fodder",E58)</f>
        <v>Potato</v>
      </c>
      <c r="E58" s="87" t="s">
        <v>8</v>
      </c>
      <c r="F58" s="61" t="s">
        <v>133</v>
      </c>
      <c r="G58" s="88">
        <f>IF(H58="",VLOOKUP(FollowingCropFullName,CropCoefficients,23,FALSE),H58)</f>
        <v>0</v>
      </c>
      <c r="H58" s="89"/>
      <c r="R58" s="83">
        <f ca="1"/>
        <v>45051</v>
      </c>
      <c r="S58" s="55">
        <f t="shared" ca="1" si="12"/>
        <v>45051</v>
      </c>
      <c r="T58" s="55">
        <f t="shared" ca="1" si="0"/>
        <v>111.1221270352182</v>
      </c>
      <c r="U58" s="55">
        <f t="shared" ca="1" si="1"/>
        <v>6.2020625442273634</v>
      </c>
      <c r="V58" s="55">
        <f t="shared" ca="1" si="2"/>
        <v>0</v>
      </c>
      <c r="W58" s="55">
        <f t="shared" ca="1" si="13"/>
        <v>0</v>
      </c>
      <c r="X58" s="55">
        <f t="shared" ca="1" si="14"/>
        <v>7.3507564458736336</v>
      </c>
      <c r="Y58" s="55">
        <f t="shared" ca="1" si="15"/>
        <v>9.8372981635938324</v>
      </c>
      <c r="Z58" s="55">
        <f t="shared" ca="1" si="3"/>
        <v>1.2219644200888347</v>
      </c>
      <c r="AA58">
        <f t="shared" ca="1" si="4"/>
        <v>95.836632259566045</v>
      </c>
      <c r="AB58">
        <f t="shared" ca="1" si="16"/>
        <v>0</v>
      </c>
      <c r="AC58">
        <f t="shared" ca="1" si="5"/>
        <v>0</v>
      </c>
      <c r="AD58">
        <f t="shared" ca="1" si="6"/>
        <v>1.7685279872097944E-2</v>
      </c>
      <c r="AE58" s="83">
        <f ca="1"/>
        <v>45396</v>
      </c>
      <c r="AF58" s="55">
        <f t="shared" ca="1" si="21"/>
        <v>45396</v>
      </c>
      <c r="AG58" s="55">
        <f t="shared" ca="1" si="22"/>
        <v>-52.057610299311435</v>
      </c>
      <c r="AH58" s="55">
        <f t="shared" ca="1" si="23"/>
        <v>43.550012437384737</v>
      </c>
      <c r="AI58" s="55">
        <f t="shared" ca="1" si="24"/>
        <v>0</v>
      </c>
      <c r="AJ58" s="55">
        <f t="shared" ca="1" si="18"/>
        <v>0</v>
      </c>
      <c r="AK58" s="55">
        <f t="shared" ca="1" si="19"/>
        <v>4.705040741688709</v>
      </c>
      <c r="AL58" s="55">
        <f t="shared" ca="1" si="20"/>
        <v>-62.257519242891341</v>
      </c>
    </row>
    <row r="59" spans="2:39" s="55" customFormat="1">
      <c r="C59" s="61" t="s">
        <v>94</v>
      </c>
      <c r="D59" s="84" t="str">
        <f>IF(E59="","Oat",E59)</f>
        <v>Early_harvest</v>
      </c>
      <c r="E59" s="66" t="s">
        <v>279</v>
      </c>
      <c r="F59" s="61" t="s">
        <v>135</v>
      </c>
      <c r="G59" s="84">
        <f>IF(H59="",VLOOKUP(FollowingCropFullName,CropCoefficients,22,FALSE),H59)</f>
        <v>0</v>
      </c>
      <c r="H59" s="72"/>
      <c r="R59" s="83">
        <f ca="1"/>
        <v>45052</v>
      </c>
      <c r="S59" s="55">
        <f t="shared" ca="1" si="12"/>
        <v>45052</v>
      </c>
      <c r="T59" s="55">
        <f t="shared" ca="1" si="0"/>
        <v>111.40098601116654</v>
      </c>
      <c r="U59" s="55">
        <f t="shared" ca="1" si="1"/>
        <v>6.29728656181857</v>
      </c>
      <c r="V59" s="55">
        <f t="shared" ca="1" si="2"/>
        <v>0</v>
      </c>
      <c r="W59" s="55">
        <f t="shared" ca="1" si="13"/>
        <v>0</v>
      </c>
      <c r="X59" s="55">
        <f t="shared" ca="1" si="14"/>
        <v>7.5290294716806097</v>
      </c>
      <c r="Y59" s="55">
        <f t="shared" ca="1" si="15"/>
        <v>10.033108131326397</v>
      </c>
      <c r="Z59" s="55">
        <f t="shared" ca="1" si="3"/>
        <v>1.3331362462768936</v>
      </c>
      <c r="AA59">
        <f t="shared" ca="1" si="4"/>
        <v>98.813136378137955</v>
      </c>
      <c r="AB59">
        <f t="shared" ca="1" si="16"/>
        <v>0</v>
      </c>
      <c r="AC59">
        <f t="shared" ca="1" si="5"/>
        <v>0</v>
      </c>
      <c r="AD59">
        <f t="shared" ca="1" si="6"/>
        <v>1.8366249651431434E-2</v>
      </c>
      <c r="AE59" s="83">
        <f ca="1"/>
        <v>45397</v>
      </c>
      <c r="AF59" s="55">
        <f t="shared" ca="1" si="21"/>
        <v>45397</v>
      </c>
      <c r="AG59" s="55">
        <f t="shared" ca="1" si="22"/>
        <v>-56.031576054568781</v>
      </c>
      <c r="AH59" s="55">
        <f t="shared" ca="1" si="23"/>
        <v>47.143865241737089</v>
      </c>
      <c r="AI59" s="55">
        <f t="shared" ca="1" si="24"/>
        <v>0</v>
      </c>
      <c r="AJ59" s="55">
        <f t="shared" ca="1" si="18"/>
        <v>0</v>
      </c>
      <c r="AK59" s="55">
        <f t="shared" ca="1" si="19"/>
        <v>4.7949933025820517</v>
      </c>
      <c r="AL59" s="55">
        <f t="shared" ca="1" si="20"/>
        <v>-62.72758475468968</v>
      </c>
    </row>
    <row r="60" spans="2:39" s="55" customFormat="1">
      <c r="C60" s="61" t="s">
        <v>95</v>
      </c>
      <c r="D60" s="84" t="str">
        <f>IF(E60="","General",E60)</f>
        <v>Moonlight</v>
      </c>
      <c r="E60" s="66" t="s">
        <v>246</v>
      </c>
      <c r="F60" s="61" t="s">
        <v>134</v>
      </c>
      <c r="G60" s="84">
        <f>IF(H60="",VLOOKUP(FollowingCropFullName,CropCoefficients,26,FALSE),H60)</f>
        <v>76</v>
      </c>
      <c r="H60" s="72"/>
      <c r="R60" s="83">
        <f ca="1"/>
        <v>45053</v>
      </c>
      <c r="S60" s="55">
        <f t="shared" ca="1" si="12"/>
        <v>45053</v>
      </c>
      <c r="T60" s="55">
        <f t="shared" ca="1" si="0"/>
        <v>111.66491490166037</v>
      </c>
      <c r="U60" s="55">
        <f t="shared" ca="1" si="1"/>
        <v>6.3902576981331913</v>
      </c>
      <c r="V60" s="55">
        <f t="shared" ca="1" si="2"/>
        <v>0</v>
      </c>
      <c r="W60" s="55">
        <f t="shared" ca="1" si="13"/>
        <v>0</v>
      </c>
      <c r="X60" s="55">
        <f t="shared" ca="1" si="14"/>
        <v>7.6992115212648482</v>
      </c>
      <c r="Y60" s="55">
        <f t="shared" ca="1" si="15"/>
        <v>10.219826108550599</v>
      </c>
      <c r="Z60" s="55">
        <f t="shared" ca="1" si="3"/>
        <v>1.301595908404698</v>
      </c>
      <c r="AA60">
        <f t="shared" ca="1" si="4"/>
        <v>98.330873430833833</v>
      </c>
      <c r="AB60">
        <f t="shared" ca="1" si="16"/>
        <v>0</v>
      </c>
      <c r="AC60">
        <f t="shared" ca="1" si="5"/>
        <v>0</v>
      </c>
      <c r="AD60">
        <f t="shared" ca="1" si="6"/>
        <v>1.9045598591686211E-2</v>
      </c>
      <c r="AE60" s="83">
        <f ca="1"/>
        <v>45398</v>
      </c>
      <c r="AF60" s="55">
        <f t="shared" ca="1" si="21"/>
        <v>45398</v>
      </c>
      <c r="AG60" s="55">
        <f t="shared" ca="1" si="22"/>
        <v>-60.381092381895606</v>
      </c>
      <c r="AH60" s="55">
        <f t="shared" ca="1" si="23"/>
        <v>51.122708617367621</v>
      </c>
      <c r="AI60" s="55">
        <f t="shared" ca="1" si="24"/>
        <v>0</v>
      </c>
      <c r="AJ60" s="55">
        <f t="shared" ca="1" si="18"/>
        <v>0</v>
      </c>
      <c r="AK60" s="55">
        <f t="shared" ca="1" si="19"/>
        <v>4.8867498751890546</v>
      </c>
      <c r="AL60" s="55">
        <f t="shared" ca="1" si="20"/>
        <v>-63.190014278992976</v>
      </c>
    </row>
    <row r="61" spans="2:39" s="55" customFormat="1">
      <c r="B61" s="90">
        <f>IF(FollowingUnits="kg/head",FollowingYIeld*FollowingPopulation/1000,IF(FollowingUnits="kg/ha",FollowingYIeld/1000,FollowingYIeld))</f>
        <v>70</v>
      </c>
      <c r="C61" s="64" t="s">
        <v>150</v>
      </c>
      <c r="D61" s="65" t="str">
        <f>SUBSTITUTE(FollowingCropName&amp;" "&amp;FollowingCropType&amp;" "&amp;FollowingCropVariety,"_"," ")</f>
        <v>Early harvest Potato Moonlight</v>
      </c>
      <c r="F61" s="56"/>
      <c r="R61" s="83">
        <f ca="1"/>
        <v>45054</v>
      </c>
      <c r="S61" s="55">
        <f t="shared" ca="1" si="12"/>
        <v>45054</v>
      </c>
      <c r="T61" s="55">
        <f t="shared" ca="1" si="0"/>
        <v>111.90878511410462</v>
      </c>
      <c r="U61" s="55">
        <f t="shared" ca="1" si="1"/>
        <v>6.4755524121668451</v>
      </c>
      <c r="V61" s="55">
        <f t="shared" ca="1" si="2"/>
        <v>0</v>
      </c>
      <c r="W61" s="55">
        <f t="shared" ca="1" si="13"/>
        <v>0</v>
      </c>
      <c r="X61" s="55">
        <f t="shared" ca="1" si="14"/>
        <v>7.8577514310138961</v>
      </c>
      <c r="Y61" s="55">
        <f t="shared" ca="1" si="15"/>
        <v>10.390451125279442</v>
      </c>
      <c r="Z61" s="55">
        <f t="shared" ca="1" si="3"/>
        <v>1.1941259964711524</v>
      </c>
      <c r="AA61">
        <f t="shared" ca="1" si="4"/>
        <v>101.21946035142638</v>
      </c>
      <c r="AB61">
        <f t="shared" ca="1" si="16"/>
        <v>0</v>
      </c>
      <c r="AC61">
        <f t="shared" ca="1" si="5"/>
        <v>0</v>
      </c>
      <c r="AD61">
        <f t="shared" ca="1" si="6"/>
        <v>1.9681502495485437E-2</v>
      </c>
      <c r="AE61" s="83">
        <f ca="1"/>
        <v>45399</v>
      </c>
      <c r="AF61" s="55">
        <f t="shared" ca="1" si="21"/>
        <v>45399</v>
      </c>
      <c r="AG61" s="55">
        <f t="shared" ca="1" si="22"/>
        <v>-64.547076720281098</v>
      </c>
      <c r="AH61" s="55">
        <f t="shared" ca="1" si="23"/>
        <v>54.959438766815921</v>
      </c>
      <c r="AI61" s="55">
        <f t="shared" ca="1" si="24"/>
        <v>0</v>
      </c>
      <c r="AJ61" s="55">
        <f t="shared" ca="1" si="18"/>
        <v>0</v>
      </c>
      <c r="AK61" s="55">
        <f t="shared" ca="1" si="19"/>
        <v>4.9719689052487679</v>
      </c>
      <c r="AL61" s="55">
        <f t="shared" ca="1" si="20"/>
        <v>-63.604487497989886</v>
      </c>
    </row>
    <row r="62" spans="2:39" s="55" customFormat="1">
      <c r="C62" s="61" t="s">
        <v>4</v>
      </c>
      <c r="D62" s="68">
        <f>IF(E62="",CurrentHarvestDate+15,E62)</f>
        <v>45370</v>
      </c>
      <c r="E62" s="67"/>
      <c r="F62" s="61" t="s">
        <v>145</v>
      </c>
      <c r="G62" s="84" t="str">
        <f>IF(H62="",VLOOKUP(FollowingCropFullName,CropCoefficients,13,FALSE),H62)</f>
        <v>Seed</v>
      </c>
      <c r="H62" s="72"/>
      <c r="R62" s="83">
        <f ca="1"/>
        <v>45055</v>
      </c>
      <c r="S62" s="55">
        <f t="shared" ca="1" si="12"/>
        <v>45055</v>
      </c>
      <c r="T62" s="55">
        <f t="shared" ca="1" si="0"/>
        <v>112.14978576071206</v>
      </c>
      <c r="U62" s="55">
        <f t="shared" ca="1" si="1"/>
        <v>6.5632681876665826</v>
      </c>
      <c r="V62" s="55">
        <f t="shared" ca="1" si="2"/>
        <v>0</v>
      </c>
      <c r="W62" s="55">
        <f t="shared" ca="1" si="13"/>
        <v>0</v>
      </c>
      <c r="X62" s="55">
        <f t="shared" ca="1" si="14"/>
        <v>8.0168881558786076</v>
      </c>
      <c r="Y62" s="55">
        <f t="shared" ca="1" si="15"/>
        <v>10.560030822521915</v>
      </c>
      <c r="Z62" s="55">
        <f t="shared" ca="1" si="3"/>
        <v>1.2280208569963253</v>
      </c>
      <c r="AA62">
        <f t="shared" ca="1" si="4"/>
        <v>100.20527787530659</v>
      </c>
      <c r="AB62">
        <f t="shared" ca="1" si="16"/>
        <v>0</v>
      </c>
      <c r="AC62">
        <f t="shared" ca="1" si="5"/>
        <v>0</v>
      </c>
      <c r="AD62">
        <f t="shared" ca="1" si="6"/>
        <v>2.0348130603996779E-2</v>
      </c>
      <c r="AE62" s="83">
        <f ca="1"/>
        <v>45400</v>
      </c>
      <c r="AF62" s="55">
        <f t="shared" ca="1" si="21"/>
        <v>45400</v>
      </c>
      <c r="AG62" s="55">
        <f t="shared" ca="1" si="22"/>
        <v>-68.996920823379824</v>
      </c>
      <c r="AH62" s="55">
        <f t="shared" ca="1" si="23"/>
        <v>59.107050516646012</v>
      </c>
      <c r="AI62" s="55">
        <f t="shared" ca="1" si="24"/>
        <v>0</v>
      </c>
      <c r="AJ62" s="55">
        <f t="shared" ca="1" si="18"/>
        <v>0</v>
      </c>
      <c r="AK62" s="55">
        <f t="shared" ca="1" si="19"/>
        <v>5.0569941340072155</v>
      </c>
      <c r="AL62" s="55">
        <f t="shared" ca="1" si="20"/>
        <v>-63.991745080016976</v>
      </c>
    </row>
    <row r="63" spans="2:39" s="55" customFormat="1">
      <c r="C63" s="61" t="s">
        <v>5</v>
      </c>
      <c r="D63" s="68">
        <f>IF(E63="",FollowingEstablishDate+120,E63)</f>
        <v>45490</v>
      </c>
      <c r="E63" s="67"/>
      <c r="F63" s="61" t="s">
        <v>146</v>
      </c>
      <c r="G63" s="84" t="str">
        <f>IF(H63="",VLOOKUP(FollowingCropFullName,CropCoefficients,15,FALSE),H63)</f>
        <v>MidReproductive</v>
      </c>
      <c r="H63" s="72"/>
      <c r="R63" s="83">
        <f ca="1"/>
        <v>45056</v>
      </c>
      <c r="S63" s="55">
        <f t="shared" ca="1" si="12"/>
        <v>45056</v>
      </c>
      <c r="T63" s="55">
        <f t="shared" ca="1" si="0"/>
        <v>112.38678567906845</v>
      </c>
      <c r="U63" s="55">
        <f t="shared" ca="1" si="1"/>
        <v>6.6510223628574243</v>
      </c>
      <c r="V63" s="55">
        <f t="shared" ca="1" si="2"/>
        <v>0</v>
      </c>
      <c r="W63" s="55">
        <f t="shared" ca="1" si="13"/>
        <v>0</v>
      </c>
      <c r="X63" s="55">
        <f t="shared" ca="1" si="14"/>
        <v>8.1764068035405906</v>
      </c>
      <c r="Y63" s="55">
        <f t="shared" ca="1" si="15"/>
        <v>10.725266268407159</v>
      </c>
      <c r="Z63" s="55">
        <f t="shared" ca="1" si="3"/>
        <v>1.2285584526717841</v>
      </c>
      <c r="AA63">
        <f t="shared" ca="1" si="4"/>
        <v>101.60996854341613</v>
      </c>
      <c r="AB63">
        <f t="shared" ca="1" si="16"/>
        <v>0</v>
      </c>
      <c r="AC63">
        <f t="shared" ca="1" si="5"/>
        <v>0</v>
      </c>
      <c r="AD63">
        <f t="shared" ca="1" si="6"/>
        <v>2.1027959818747895E-2</v>
      </c>
      <c r="AE63" s="83">
        <f ca="1"/>
        <v>45401</v>
      </c>
      <c r="AF63" s="55">
        <f t="shared" ca="1" si="21"/>
        <v>45401</v>
      </c>
      <c r="AG63" s="55">
        <f t="shared" ca="1" si="22"/>
        <v>-73.958416706475859</v>
      </c>
      <c r="AH63" s="55">
        <f t="shared" ca="1" si="23"/>
        <v>63.769303774561507</v>
      </c>
      <c r="AI63" s="55">
        <f t="shared" ca="1" si="24"/>
        <v>0</v>
      </c>
      <c r="AJ63" s="55">
        <f t="shared" ca="1" si="18"/>
        <v>0</v>
      </c>
      <c r="AK63" s="55">
        <f t="shared" ca="1" si="19"/>
        <v>5.1450429388364478</v>
      </c>
      <c r="AL63" s="55">
        <f t="shared" ca="1" si="20"/>
        <v>-64.379036510026737</v>
      </c>
    </row>
    <row r="64" spans="2:39" s="54" customFormat="1">
      <c r="B64" s="55"/>
      <c r="C64" s="61" t="s">
        <v>136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45057</v>
      </c>
      <c r="S64" s="55">
        <f t="shared" ca="1" si="12"/>
        <v>45057</v>
      </c>
      <c r="T64" s="55">
        <f t="shared" ca="1" si="0"/>
        <v>112.62449056279907</v>
      </c>
      <c r="U64" s="55">
        <f t="shared" ca="1" si="1"/>
        <v>6.7429506573457587</v>
      </c>
      <c r="V64" s="55">
        <f t="shared" ca="1" si="2"/>
        <v>0</v>
      </c>
      <c r="W64" s="55">
        <f t="shared" ca="1" si="13"/>
        <v>0</v>
      </c>
      <c r="X64" s="55">
        <f t="shared" ca="1" si="14"/>
        <v>8.3397889677778103</v>
      </c>
      <c r="Y64" s="55">
        <f t="shared" ca="1" si="15"/>
        <v>10.891517282388889</v>
      </c>
      <c r="Z64" s="55">
        <f t="shared" ca="1" si="3"/>
        <v>1.2869961228366815</v>
      </c>
      <c r="AA64">
        <f t="shared" ca="1" si="4"/>
        <v>100.75581430046805</v>
      </c>
      <c r="AB64">
        <f t="shared" ca="1" si="16"/>
        <v>0</v>
      </c>
      <c r="AC64">
        <f t="shared" ca="1" si="5"/>
        <v>0</v>
      </c>
      <c r="AD64">
        <f t="shared" ca="1" si="6"/>
        <v>2.1754025740677734E-2</v>
      </c>
      <c r="AE64" s="83">
        <f ca="1"/>
        <v>45402</v>
      </c>
      <c r="AF64" s="55">
        <f t="shared" ca="1" si="21"/>
        <v>45402</v>
      </c>
      <c r="AG64" s="55">
        <f t="shared" ca="1" si="22"/>
        <v>-78.544877792956896</v>
      </c>
      <c r="AH64" s="55">
        <f t="shared" ca="1" si="23"/>
        <v>68.081584263225807</v>
      </c>
      <c r="AI64" s="55">
        <f t="shared" ca="1" si="24"/>
        <v>0</v>
      </c>
      <c r="AJ64" s="55">
        <f t="shared" ca="1" si="18"/>
        <v>0</v>
      </c>
      <c r="AK64" s="55">
        <f t="shared" ca="1" si="19"/>
        <v>5.2260736538549226</v>
      </c>
      <c r="AL64" s="55">
        <f t="shared" ca="1" si="20"/>
        <v>-64.734247822861931</v>
      </c>
      <c r="AM64" s="55"/>
    </row>
    <row r="65" spans="2:39" s="55" customFormat="1">
      <c r="C65" s="61" t="s">
        <v>100</v>
      </c>
      <c r="D65" s="70">
        <f>IF(E65="",VLOOKUP(FollowingCropFullName,CropCoefficients,17,FALSE),E65)</f>
        <v>70</v>
      </c>
      <c r="E65" s="69"/>
      <c r="F65" s="61" t="s">
        <v>148</v>
      </c>
      <c r="G65" s="85" t="str">
        <f>IF(H65="","None removed",H65)</f>
        <v>None removed</v>
      </c>
      <c r="H65" s="72"/>
      <c r="R65" s="83">
        <f ca="1"/>
        <v>45058</v>
      </c>
      <c r="S65" s="55">
        <f t="shared" ca="1" si="12"/>
        <v>45058</v>
      </c>
      <c r="T65" s="55">
        <f t="shared" ca="1" si="0"/>
        <v>112.86589975506482</v>
      </c>
      <c r="U65" s="55">
        <f t="shared" ca="1" si="1"/>
        <v>6.8393714517372448</v>
      </c>
      <c r="V65" s="55">
        <f t="shared" ca="1" si="2"/>
        <v>0</v>
      </c>
      <c r="W65" s="55">
        <f t="shared" ca="1" si="13"/>
        <v>0</v>
      </c>
      <c r="X65" s="55">
        <f t="shared" ca="1" si="14"/>
        <v>8.510248092380774</v>
      </c>
      <c r="Y65" s="55">
        <f t="shared" ca="1" si="15"/>
        <v>11.058888144443168</v>
      </c>
      <c r="Z65" s="55">
        <f t="shared" ca="1" si="3"/>
        <v>1.3498911214808054</v>
      </c>
      <c r="AA65">
        <f t="shared" ca="1" si="4"/>
        <v>101.47947570192434</v>
      </c>
      <c r="AB65">
        <f t="shared" ca="1" si="16"/>
        <v>0</v>
      </c>
      <c r="AC65">
        <f t="shared" ca="1" si="5"/>
        <v>0</v>
      </c>
      <c r="AD65">
        <f t="shared" ca="1" si="6"/>
        <v>2.2530913065890199E-2</v>
      </c>
      <c r="AE65" s="83">
        <f ca="1"/>
        <v>45403</v>
      </c>
      <c r="AF65" s="55">
        <f t="shared" ca="1" si="21"/>
        <v>45403</v>
      </c>
      <c r="AG65" s="55">
        <f t="shared" ca="1" si="22"/>
        <v>-83.191388892555665</v>
      </c>
      <c r="AH65" s="55">
        <f t="shared" ca="1" si="23"/>
        <v>72.481729575013759</v>
      </c>
      <c r="AI65" s="55">
        <f t="shared" ca="1" si="24"/>
        <v>0</v>
      </c>
      <c r="AJ65" s="55">
        <f t="shared" ca="1" si="18"/>
        <v>0</v>
      </c>
      <c r="AK65" s="55">
        <f t="shared" ca="1" si="19"/>
        <v>5.3047052936396852</v>
      </c>
      <c r="AL65" s="55">
        <f t="shared" ca="1" si="20"/>
        <v>-65.059245250457508</v>
      </c>
    </row>
    <row r="66" spans="2:39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158</v>
      </c>
      <c r="G66" s="85" t="str">
        <f>IF(H66="","Full (Plough)",H66)</f>
        <v>Full (Plough)</v>
      </c>
      <c r="H66" s="72"/>
      <c r="R66" s="83">
        <f ca="1"/>
        <v>45059</v>
      </c>
      <c r="S66" s="55">
        <f t="shared" ca="1" si="12"/>
        <v>45059</v>
      </c>
      <c r="T66" s="55">
        <f t="shared" ca="1" si="0"/>
        <v>113.09073368434518</v>
      </c>
      <c r="U66" s="55">
        <f t="shared" ca="1" si="1"/>
        <v>6.9312315473640966</v>
      </c>
      <c r="V66" s="55">
        <f t="shared" ca="1" si="2"/>
        <v>0</v>
      </c>
      <c r="W66" s="55">
        <f t="shared" ca="1" si="13"/>
        <v>0</v>
      </c>
      <c r="X66" s="55">
        <f t="shared" ca="1" si="14"/>
        <v>8.6698641784664741</v>
      </c>
      <c r="Y66" s="55">
        <f t="shared" ca="1" si="15"/>
        <v>11.215966083264684</v>
      </c>
      <c r="Z66" s="55">
        <f t="shared" ca="1" si="3"/>
        <v>1.2860413387759255</v>
      </c>
      <c r="AA66">
        <f t="shared" ca="1" si="4"/>
        <v>101.21114954094999</v>
      </c>
      <c r="AB66">
        <f t="shared" ca="1" si="16"/>
        <v>0</v>
      </c>
      <c r="AC66">
        <f t="shared" ca="1" si="5"/>
        <v>0</v>
      </c>
      <c r="AD66">
        <f t="shared" ca="1" si="6"/>
        <v>2.3285713769390086E-2</v>
      </c>
      <c r="AE66" s="83">
        <f ca="1"/>
        <v>45404</v>
      </c>
      <c r="AF66" s="55">
        <f t="shared" ca="1" si="21"/>
        <v>45404</v>
      </c>
      <c r="AG66" s="55">
        <f t="shared" ca="1" si="22"/>
        <v>-88.510492286553045</v>
      </c>
      <c r="AH66" s="55">
        <f t="shared" ca="1" si="23"/>
        <v>77.568903586852841</v>
      </c>
      <c r="AI66" s="55">
        <f t="shared" ca="1" si="24"/>
        <v>0</v>
      </c>
      <c r="AJ66" s="55">
        <f t="shared" ca="1" si="18"/>
        <v>0</v>
      </c>
      <c r="AK66" s="55">
        <f t="shared" ca="1" si="19"/>
        <v>5.386888802509044</v>
      </c>
      <c r="AL66" s="55">
        <f t="shared" ca="1" si="20"/>
        <v>-65.37335814148517</v>
      </c>
    </row>
    <row r="67" spans="2:39">
      <c r="B67" s="55"/>
      <c r="C67" s="64" t="str">
        <f>"Yield "&amp;ROUND(FollowingYield_tperHa,0)&amp;" (t/ha)"</f>
        <v>Yield 70 (t/ha)</v>
      </c>
      <c r="D67" s="101" t="str">
        <f ca="1">"Following crop will take up "&amp;ROUND('Model Interface'!L9,0)&amp;" kg N/ha"</f>
        <v>Following crop will take up 354 kg N/ha</v>
      </c>
      <c r="R67" s="83">
        <f ca="1"/>
        <v>45060</v>
      </c>
      <c r="S67" s="55">
        <f t="shared" ca="1" si="12"/>
        <v>45060</v>
      </c>
      <c r="T67" s="55">
        <f t="shared" ca="1" si="0"/>
        <v>113.31046392517342</v>
      </c>
      <c r="U67" s="55">
        <f t="shared" ca="1" si="1"/>
        <v>7.0232038198594928</v>
      </c>
      <c r="V67" s="55">
        <f t="shared" ca="1" si="2"/>
        <v>0</v>
      </c>
      <c r="W67" s="55">
        <f t="shared" ca="1" si="13"/>
        <v>0</v>
      </c>
      <c r="X67" s="55">
        <f t="shared" ca="1" si="14"/>
        <v>8.8286070904543763</v>
      </c>
      <c r="Y67" s="55">
        <f t="shared" ca="1" si="15"/>
        <v>11.368925684600416</v>
      </c>
      <c r="Z67" s="55">
        <f t="shared" ca="1" si="3"/>
        <v>1.2876118149355467</v>
      </c>
      <c r="AA67">
        <f t="shared" ca="1" si="4"/>
        <v>101.79553156447852</v>
      </c>
      <c r="AB67">
        <f t="shared" ca="1" si="16"/>
        <v>0</v>
      </c>
      <c r="AC67">
        <f t="shared" ca="1" si="5"/>
        <v>0</v>
      </c>
      <c r="AD67">
        <f t="shared" ca="1" si="6"/>
        <v>2.4055815904643781E-2</v>
      </c>
      <c r="AE67" s="83">
        <f ca="1"/>
        <v>45405</v>
      </c>
      <c r="AF67" s="55">
        <f t="shared" ca="1" si="21"/>
        <v>45405</v>
      </c>
      <c r="AG67" s="55">
        <f t="shared" ca="1" si="22"/>
        <v>-93.599173134127398</v>
      </c>
      <c r="AH67" s="55">
        <f t="shared" ca="1" si="23"/>
        <v>82.43523405761141</v>
      </c>
      <c r="AI67" s="55">
        <f t="shared" ca="1" si="24"/>
        <v>0</v>
      </c>
      <c r="AJ67" s="55">
        <f t="shared" ca="1" si="18"/>
        <v>0</v>
      </c>
      <c r="AK67" s="55">
        <f t="shared" ca="1" si="19"/>
        <v>5.4649795270633383</v>
      </c>
      <c r="AL67" s="55">
        <f t="shared" ca="1" si="20"/>
        <v>-65.673799242855253</v>
      </c>
      <c r="AM67" s="55"/>
    </row>
    <row r="68" spans="2:39" ht="15.75" thickBot="1">
      <c r="C68" s="131" t="s">
        <v>185</v>
      </c>
      <c r="D68" s="131"/>
      <c r="E68" s="131"/>
      <c r="F68" s="131"/>
      <c r="G68" s="131"/>
      <c r="H68" s="131"/>
      <c r="R68" s="83">
        <f ca="1"/>
        <v>45061</v>
      </c>
      <c r="S68" s="55">
        <f t="shared" ca="1" si="12"/>
        <v>45061</v>
      </c>
      <c r="T68" s="55">
        <f t="shared" ca="1" si="0"/>
        <v>113.51998630899548</v>
      </c>
      <c r="U68" s="55">
        <f t="shared" ca="1" si="1"/>
        <v>7.1125497541916411</v>
      </c>
      <c r="V68" s="55">
        <f t="shared" ca="1" si="2"/>
        <v>0</v>
      </c>
      <c r="W68" s="55">
        <f t="shared" ca="1" si="13"/>
        <v>0</v>
      </c>
      <c r="X68" s="55">
        <f t="shared" ca="1" si="14"/>
        <v>8.9814856494052773</v>
      </c>
      <c r="Y68" s="55">
        <f t="shared" ca="1" si="15"/>
        <v>11.514915443803721</v>
      </c>
      <c r="Z68" s="55">
        <f t="shared" ca="1" si="3"/>
        <v>1.2508430806500765</v>
      </c>
      <c r="AA68">
        <f t="shared" ca="1" si="4"/>
        <v>102.06805735048395</v>
      </c>
      <c r="AB68">
        <f t="shared" ca="1" si="16"/>
        <v>0</v>
      </c>
      <c r="AC68">
        <f t="shared" ca="1" si="5"/>
        <v>0</v>
      </c>
      <c r="AD68">
        <f t="shared" ca="1" si="6"/>
        <v>2.4817748215951497E-2</v>
      </c>
      <c r="AE68" s="83">
        <f ca="1"/>
        <v>45406</v>
      </c>
      <c r="AF68" s="55">
        <f t="shared" ca="1" si="21"/>
        <v>45406</v>
      </c>
      <c r="AG68" s="55">
        <f t="shared" ca="1" si="22"/>
        <v>-99.395494454023719</v>
      </c>
      <c r="AH68" s="55">
        <f t="shared" ca="1" si="23"/>
        <v>88.004994619958893</v>
      </c>
      <c r="AI68" s="55">
        <f t="shared" ca="1" si="24"/>
        <v>0</v>
      </c>
      <c r="AJ68" s="55">
        <f t="shared" ca="1" si="18"/>
        <v>0</v>
      </c>
      <c r="AK68" s="55">
        <f t="shared" ca="1" si="19"/>
        <v>5.5474767114745616</v>
      </c>
      <c r="AL68" s="55">
        <f t="shared" ca="1" si="20"/>
        <v>-65.982857184815316</v>
      </c>
      <c r="AM68" s="55"/>
    </row>
    <row r="69" spans="2:39">
      <c r="C69" s="61"/>
      <c r="D69" s="88"/>
      <c r="E69" s="99"/>
      <c r="R69" s="83">
        <f ca="1"/>
        <v>45062</v>
      </c>
      <c r="S69" s="55">
        <f t="shared" ca="1" si="12"/>
        <v>45062</v>
      </c>
      <c r="T69" s="55">
        <f t="shared" ca="1" si="0"/>
        <v>113.73628237719083</v>
      </c>
      <c r="U69" s="55">
        <f t="shared" ca="1" si="1"/>
        <v>7.20832041017609</v>
      </c>
      <c r="V69" s="55">
        <f t="shared" ca="1" si="2"/>
        <v>0</v>
      </c>
      <c r="W69" s="55">
        <f t="shared" ca="1" si="13"/>
        <v>0</v>
      </c>
      <c r="X69" s="55">
        <f t="shared" ca="1" si="14"/>
        <v>9.1445812449348836</v>
      </c>
      <c r="Y69" s="55">
        <f t="shared" ca="1" si="15"/>
        <v>11.663886572453915</v>
      </c>
      <c r="Z69" s="55">
        <f t="shared" ca="1" si="3"/>
        <v>1.3407891837822845</v>
      </c>
      <c r="AA69">
        <f t="shared" ca="1" si="4"/>
        <v>102.94850243449059</v>
      </c>
      <c r="AB69">
        <f t="shared" ca="1" si="16"/>
        <v>0</v>
      </c>
      <c r="AC69">
        <f t="shared" ca="1" si="5"/>
        <v>0</v>
      </c>
      <c r="AD69">
        <f t="shared" ca="1" si="6"/>
        <v>2.5649640297783782E-2</v>
      </c>
      <c r="AE69" s="83">
        <f ca="1"/>
        <v>45407</v>
      </c>
      <c r="AF69" s="55">
        <f t="shared" ca="1" si="21"/>
        <v>45407</v>
      </c>
      <c r="AG69" s="55">
        <f t="shared" ca="1" si="22"/>
        <v>-105.57152597060491</v>
      </c>
      <c r="AH69" s="55">
        <f t="shared" ca="1" si="23"/>
        <v>93.980772489336957</v>
      </c>
      <c r="AI69" s="55">
        <f t="shared" ca="1" si="24"/>
        <v>0</v>
      </c>
      <c r="AJ69" s="55">
        <f t="shared" ca="1" si="18"/>
        <v>0</v>
      </c>
      <c r="AK69" s="55">
        <f t="shared" ca="1" si="19"/>
        <v>5.6298041108163748</v>
      </c>
      <c r="AL69" s="55">
        <f t="shared" ca="1" si="20"/>
        <v>-66.265438231360235</v>
      </c>
      <c r="AM69" s="55"/>
    </row>
    <row r="70" spans="2:39">
      <c r="C70" s="61"/>
      <c r="D70" s="84"/>
      <c r="E70" s="69"/>
      <c r="R70" s="83">
        <f ca="1"/>
        <v>45063</v>
      </c>
      <c r="S70" s="55">
        <f t="shared" ca="1" si="12"/>
        <v>45063</v>
      </c>
      <c r="T70" s="55">
        <f t="shared" ca="1" si="0"/>
        <v>113.93837804903559</v>
      </c>
      <c r="U70" s="55">
        <f t="shared" ca="1" si="1"/>
        <v>7.2967340396236304</v>
      </c>
      <c r="V70" s="55">
        <f t="shared" ca="1" si="2"/>
        <v>0</v>
      </c>
      <c r="W70" s="55">
        <f t="shared" ca="1" si="13"/>
        <v>0</v>
      </c>
      <c r="X70" s="55">
        <f t="shared" ca="1" si="14"/>
        <v>9.2977160627306255</v>
      </c>
      <c r="Y70" s="55">
        <f t="shared" ca="1" si="15"/>
        <v>11.801261055950469</v>
      </c>
      <c r="Z70" s="55">
        <f t="shared" ca="1" si="3"/>
        <v>1.2377908122655654</v>
      </c>
      <c r="AA70">
        <f t="shared" ca="1" si="4"/>
        <v>105.41614311255469</v>
      </c>
      <c r="AB70">
        <f t="shared" ca="1" si="16"/>
        <v>0</v>
      </c>
      <c r="AC70">
        <f t="shared" ca="1" si="5"/>
        <v>0</v>
      </c>
      <c r="AD70">
        <f t="shared" ca="1" si="6"/>
        <v>2.6431600360702703E-2</v>
      </c>
      <c r="AE70" s="83">
        <f ca="1"/>
        <v>45408</v>
      </c>
      <c r="AF70" s="55">
        <f t="shared" ca="1" si="21"/>
        <v>45408</v>
      </c>
      <c r="AG70" s="55">
        <f t="shared" ca="1" si="22"/>
        <v>-112.15423502405324</v>
      </c>
      <c r="AH70" s="55">
        <f t="shared" ca="1" si="23"/>
        <v>100.36091104239333</v>
      </c>
      <c r="AI70" s="55">
        <f t="shared" ca="1" si="24"/>
        <v>0</v>
      </c>
      <c r="AJ70" s="55">
        <f t="shared" ca="1" si="18"/>
        <v>0</v>
      </c>
      <c r="AK70" s="55">
        <f t="shared" ca="1" si="19"/>
        <v>5.7136152108617724</v>
      </c>
      <c r="AL70" s="55">
        <f t="shared" ca="1" si="20"/>
        <v>-66.551819831797587</v>
      </c>
      <c r="AM70" s="55"/>
    </row>
    <row r="71" spans="2:39">
      <c r="C71" s="61"/>
      <c r="D71" s="84"/>
      <c r="E71" s="69"/>
      <c r="R71" s="83">
        <f ca="1"/>
        <v>45064</v>
      </c>
      <c r="S71" s="55">
        <f t="shared" ca="1" si="12"/>
        <v>45064</v>
      </c>
      <c r="T71" s="55">
        <f t="shared" ca="1" si="0"/>
        <v>114.13416075660885</v>
      </c>
      <c r="U71" s="55">
        <f t="shared" ca="1" si="1"/>
        <v>7.383988299097541</v>
      </c>
      <c r="V71" s="55">
        <f t="shared" ca="1" si="2"/>
        <v>0</v>
      </c>
      <c r="W71" s="55">
        <f t="shared" ca="1" si="13"/>
        <v>0</v>
      </c>
      <c r="X71" s="55">
        <f t="shared" ca="1" si="14"/>
        <v>9.4479865981253521</v>
      </c>
      <c r="Y71" s="55">
        <f t="shared" ca="1" si="15"/>
        <v>11.93402748760291</v>
      </c>
      <c r="Z71" s="55">
        <f t="shared" ca="1" si="3"/>
        <v>1.2215596326347473</v>
      </c>
      <c r="AA71">
        <f t="shared" ca="1" si="4"/>
        <v>105.83190133994246</v>
      </c>
      <c r="AB71">
        <f t="shared" ca="1" si="16"/>
        <v>0</v>
      </c>
      <c r="AC71">
        <f t="shared" ca="1" si="5"/>
        <v>0</v>
      </c>
      <c r="AD71">
        <f t="shared" ca="1" si="6"/>
        <v>2.7216493080456695E-2</v>
      </c>
      <c r="AE71" s="83">
        <f ca="1"/>
        <v>45409</v>
      </c>
      <c r="AF71" s="55">
        <f t="shared" ca="1" si="21"/>
        <v>45409</v>
      </c>
      <c r="AG71" s="55">
        <f t="shared" ca="1" si="22"/>
        <v>-119.33333618017892</v>
      </c>
      <c r="AH71" s="55">
        <f t="shared" ca="1" si="23"/>
        <v>107.32776021411507</v>
      </c>
      <c r="AI71" s="55">
        <f t="shared" ca="1" si="24"/>
        <v>0</v>
      </c>
      <c r="AJ71" s="55">
        <f t="shared" ca="1" si="18"/>
        <v>0</v>
      </c>
      <c r="AK71" s="55">
        <f t="shared" ca="1" si="19"/>
        <v>5.8006857366654723</v>
      </c>
      <c r="AL71" s="55">
        <f t="shared" ca="1" si="20"/>
        <v>-66.851142342005218</v>
      </c>
      <c r="AM71" s="55"/>
    </row>
    <row r="72" spans="2:39">
      <c r="C72" s="61"/>
      <c r="D72" s="84">
        <v>120</v>
      </c>
      <c r="E72" s="69">
        <v>120</v>
      </c>
      <c r="R72" s="83">
        <f ca="1"/>
        <v>45065</v>
      </c>
      <c r="S72" s="55">
        <f t="shared" ca="1" si="12"/>
        <v>45065</v>
      </c>
      <c r="T72" s="55">
        <f t="shared" ca="1" si="0"/>
        <v>114.33193454017348</v>
      </c>
      <c r="U72" s="55">
        <f t="shared" ca="1" si="1"/>
        <v>7.475315903866357</v>
      </c>
      <c r="V72" s="55">
        <f t="shared" ca="1" si="2"/>
        <v>0</v>
      </c>
      <c r="W72" s="55">
        <f t="shared" ca="1" si="13"/>
        <v>0</v>
      </c>
      <c r="X72" s="55">
        <f t="shared" ca="1" si="14"/>
        <v>9.6039186735311635</v>
      </c>
      <c r="Y72" s="55">
        <f t="shared" ca="1" si="15"/>
        <v>12.067196800530541</v>
      </c>
      <c r="Z72" s="55">
        <f t="shared" ca="1" si="3"/>
        <v>1.278586466763425</v>
      </c>
      <c r="AA72">
        <f t="shared" ca="1" si="4"/>
        <v>106.36077141254859</v>
      </c>
      <c r="AB72">
        <f t="shared" ca="1" si="16"/>
        <v>0</v>
      </c>
      <c r="AC72">
        <f t="shared" ca="1" si="5"/>
        <v>0</v>
      </c>
      <c r="AD72">
        <f t="shared" ca="1" si="6"/>
        <v>2.8052091997046346E-2</v>
      </c>
      <c r="AE72" s="83">
        <f ca="1"/>
        <v>45410</v>
      </c>
      <c r="AF72" s="55">
        <f t="shared" ca="1" si="21"/>
        <v>45410</v>
      </c>
      <c r="AG72" s="55">
        <f t="shared" ca="1" si="22"/>
        <v>-125.51059211931221</v>
      </c>
      <c r="AH72" s="55">
        <f t="shared" ca="1" si="23"/>
        <v>113.25201246284331</v>
      </c>
      <c r="AI72" s="55">
        <f t="shared" ca="1" si="24"/>
        <v>0</v>
      </c>
      <c r="AJ72" s="55">
        <f t="shared" ca="1" si="18"/>
        <v>0</v>
      </c>
      <c r="AK72" s="55">
        <f t="shared" ca="1" si="19"/>
        <v>5.8826704090883357</v>
      </c>
      <c r="AL72" s="55">
        <f t="shared" ca="1" si="20"/>
        <v>-67.186130704833147</v>
      </c>
      <c r="AM72" s="55"/>
    </row>
    <row r="73" spans="2:39">
      <c r="R73" s="83">
        <f ca="1"/>
        <v>45066</v>
      </c>
      <c r="S73" s="55">
        <f t="shared" ca="1" si="12"/>
        <v>45066</v>
      </c>
      <c r="T73" s="55">
        <f t="shared" ca="1" si="0"/>
        <v>114.52928459339411</v>
      </c>
      <c r="U73" s="55">
        <f t="shared" ca="1" si="1"/>
        <v>7.5685542545241811</v>
      </c>
      <c r="V73" s="55">
        <f t="shared" ca="1" si="2"/>
        <v>0</v>
      </c>
      <c r="W73" s="55">
        <f t="shared" ca="1" si="13"/>
        <v>0</v>
      </c>
      <c r="X73" s="55">
        <f t="shared" ca="1" si="14"/>
        <v>9.7631089011687084</v>
      </c>
      <c r="Y73" s="55">
        <f t="shared" ca="1" si="15"/>
        <v>12.198594976771446</v>
      </c>
      <c r="Z73" s="55">
        <f t="shared" ca="1" si="3"/>
        <v>1.3053369092095366</v>
      </c>
      <c r="AA73">
        <f t="shared" ca="1" si="4"/>
        <v>107.5531647727784</v>
      </c>
      <c r="AB73">
        <f t="shared" ca="1" si="16"/>
        <v>0</v>
      </c>
      <c r="AC73">
        <f t="shared" ca="1" si="5"/>
        <v>0</v>
      </c>
      <c r="AD73">
        <f t="shared" ca="1" si="6"/>
        <v>2.8920046824282834E-2</v>
      </c>
      <c r="AE73" s="83">
        <f ca="1"/>
        <v>45411</v>
      </c>
      <c r="AF73" s="55">
        <f t="shared" ca="1" si="21"/>
        <v>45411</v>
      </c>
      <c r="AG73" s="55">
        <f t="shared" ca="1" si="22"/>
        <v>-131.58812475866188</v>
      </c>
      <c r="AH73" s="55">
        <f t="shared" ca="1" si="23"/>
        <v>119.07660898647651</v>
      </c>
      <c r="AI73" s="55">
        <f t="shared" ca="1" si="24"/>
        <v>0</v>
      </c>
      <c r="AJ73" s="55">
        <f t="shared" ca="1" si="18"/>
        <v>0</v>
      </c>
      <c r="AK73" s="55">
        <f t="shared" ca="1" si="19"/>
        <v>5.9637204386340503</v>
      </c>
      <c r="AL73" s="55">
        <f t="shared" ca="1" si="20"/>
        <v>-67.520116850095363</v>
      </c>
      <c r="AM73" s="55"/>
    </row>
    <row r="74" spans="2:39">
      <c r="R74" s="83">
        <f ca="1"/>
        <v>45067</v>
      </c>
      <c r="S74" s="55">
        <f t="shared" ca="1" si="12"/>
        <v>45067</v>
      </c>
      <c r="T74" s="55">
        <f t="shared" ca="1" si="0"/>
        <v>114.72250862867941</v>
      </c>
      <c r="U74" s="55">
        <f t="shared" ca="1" si="1"/>
        <v>7.660225470335198</v>
      </c>
      <c r="V74" s="55">
        <f t="shared" ca="1" si="2"/>
        <v>0</v>
      </c>
      <c r="W74" s="55">
        <f t="shared" ca="1" si="13"/>
        <v>0</v>
      </c>
      <c r="X74" s="55">
        <f t="shared" ca="1" si="14"/>
        <v>9.9214729435201079</v>
      </c>
      <c r="Y74" s="55">
        <f t="shared" ca="1" si="15"/>
        <v>12.325126185516368</v>
      </c>
      <c r="Z74" s="55">
        <f t="shared" ca="1" si="3"/>
        <v>1.2833970213542365</v>
      </c>
      <c r="AA74">
        <f t="shared" ca="1" si="4"/>
        <v>109.63805414483855</v>
      </c>
      <c r="AB74">
        <f t="shared" ca="1" si="16"/>
        <v>0</v>
      </c>
      <c r="AC74">
        <f t="shared" ca="1" si="5"/>
        <v>0</v>
      </c>
      <c r="AD74">
        <f t="shared" ca="1" si="6"/>
        <v>2.978809535407843E-2</v>
      </c>
      <c r="AE74" s="83">
        <f ca="1"/>
        <v>45412</v>
      </c>
      <c r="AF74" s="55">
        <f t="shared" ca="1" si="21"/>
        <v>45412</v>
      </c>
      <c r="AG74" s="55">
        <f t="shared" ca="1" si="22"/>
        <v>-137.43252671300996</v>
      </c>
      <c r="AH74" s="55">
        <f t="shared" ca="1" si="23"/>
        <v>124.69203060688397</v>
      </c>
      <c r="AI74" s="55">
        <f t="shared" ca="1" si="24"/>
        <v>0</v>
      </c>
      <c r="AJ74" s="55">
        <f t="shared" ca="1" si="18"/>
        <v>0</v>
      </c>
      <c r="AK74" s="55">
        <f t="shared" ca="1" si="19"/>
        <v>6.0413225332525959</v>
      </c>
      <c r="AL74" s="55">
        <f t="shared" ca="1" si="20"/>
        <v>-67.826699278654544</v>
      </c>
      <c r="AM74" s="55"/>
    </row>
    <row r="75" spans="2:39">
      <c r="R75" s="83">
        <f ca="1"/>
        <v>45068</v>
      </c>
      <c r="S75" s="55">
        <f t="shared" ca="1" si="12"/>
        <v>45068</v>
      </c>
      <c r="T75" s="55">
        <f t="shared" ca="1" si="0"/>
        <v>114.90239560271833</v>
      </c>
      <c r="U75" s="55">
        <f t="shared" ca="1" si="1"/>
        <v>7.7446526896375616</v>
      </c>
      <c r="V75" s="55">
        <f t="shared" ca="1" si="2"/>
        <v>0</v>
      </c>
      <c r="W75" s="55">
        <f t="shared" ca="1" si="13"/>
        <v>0</v>
      </c>
      <c r="X75" s="55">
        <f t="shared" ca="1" si="14"/>
        <v>10.068441493768058</v>
      </c>
      <c r="Y75" s="55">
        <f t="shared" ca="1" si="15"/>
        <v>12.442471828609715</v>
      </c>
      <c r="Z75" s="55">
        <f t="shared" ca="1" si="3"/>
        <v>1.1819810702330908</v>
      </c>
      <c r="AA75">
        <f t="shared" ca="1" si="4"/>
        <v>110.55475043660357</v>
      </c>
      <c r="AB75">
        <f t="shared" ca="1" si="16"/>
        <v>0</v>
      </c>
      <c r="AC75">
        <f t="shared" ca="1" si="5"/>
        <v>0</v>
      </c>
      <c r="AD75">
        <f t="shared" ca="1" si="6"/>
        <v>3.0600451762985644E-2</v>
      </c>
      <c r="AE75" s="83">
        <f ca="1"/>
        <v>45413</v>
      </c>
      <c r="AF75" s="55">
        <f t="shared" ca="1" si="21"/>
        <v>45413</v>
      </c>
      <c r="AG75" s="55">
        <f t="shared" ca="1" si="22"/>
        <v>-143.5418590142188</v>
      </c>
      <c r="AH75" s="55">
        <f t="shared" ca="1" si="23"/>
        <v>130.58897469322392</v>
      </c>
      <c r="AI75" s="55">
        <f t="shared" ca="1" si="24"/>
        <v>0</v>
      </c>
      <c r="AJ75" s="55">
        <f t="shared" ca="1" si="18"/>
        <v>0</v>
      </c>
      <c r="AK75" s="55">
        <f t="shared" ca="1" si="19"/>
        <v>6.1190512286340297</v>
      </c>
      <c r="AL75" s="55">
        <f t="shared" ca="1" si="20"/>
        <v>-68.116816188904892</v>
      </c>
      <c r="AM75" s="55"/>
    </row>
    <row r="76" spans="2:39">
      <c r="R76" s="83">
        <f ca="1"/>
        <v>45069</v>
      </c>
      <c r="S76" s="55">
        <f t="shared" ca="1" si="12"/>
        <v>45069</v>
      </c>
      <c r="T76" s="55">
        <f t="shared" ca="1" si="0"/>
        <v>115.08912679538325</v>
      </c>
      <c r="U76" s="55">
        <f t="shared" ca="1" si="1"/>
        <v>7.8367840459682547</v>
      </c>
      <c r="V76" s="55">
        <f t="shared" ca="1" si="2"/>
        <v>0</v>
      </c>
      <c r="W76" s="55">
        <f t="shared" ca="1" si="13"/>
        <v>0</v>
      </c>
      <c r="X76" s="55">
        <f t="shared" ca="1" si="14"/>
        <v>10.226729770626054</v>
      </c>
      <c r="Y76" s="55">
        <f t="shared" ca="1" si="15"/>
        <v>12.563046100747329</v>
      </c>
      <c r="Z76" s="55">
        <f t="shared" ca="1" si="3"/>
        <v>1.2898389886297039</v>
      </c>
      <c r="AA76">
        <f t="shared" ca="1" si="4"/>
        <v>111.13903047256913</v>
      </c>
      <c r="AB76">
        <f t="shared" ca="1" si="16"/>
        <v>0</v>
      </c>
      <c r="AC76">
        <f t="shared" ca="1" si="5"/>
        <v>0</v>
      </c>
      <c r="AD76">
        <f t="shared" ca="1" si="6"/>
        <v>3.1501078488544401E-2</v>
      </c>
      <c r="AE76" s="83">
        <f ca="1"/>
        <v>45414</v>
      </c>
      <c r="AF76" s="55">
        <f t="shared" ca="1" si="21"/>
        <v>45414</v>
      </c>
      <c r="AG76" s="55">
        <f t="shared" ca="1" si="22"/>
        <v>-149.71921286946932</v>
      </c>
      <c r="AH76" s="55">
        <f t="shared" ca="1" si="23"/>
        <v>136.5747093230932</v>
      </c>
      <c r="AI76" s="55">
        <f t="shared" ca="1" si="24"/>
        <v>0</v>
      </c>
      <c r="AJ76" s="55">
        <f t="shared" ca="1" si="18"/>
        <v>0</v>
      </c>
      <c r="AK76" s="55">
        <f t="shared" ca="1" si="19"/>
        <v>6.1953703484874616</v>
      </c>
      <c r="AL76" s="55">
        <f t="shared" ca="1" si="20"/>
        <v>-68.384754534139546</v>
      </c>
      <c r="AM76" s="55"/>
    </row>
    <row r="77" spans="2:39">
      <c r="R77" s="83">
        <f ca="1"/>
        <v>45070</v>
      </c>
      <c r="S77" s="55">
        <f t="shared" ca="1" si="12"/>
        <v>45070</v>
      </c>
      <c r="T77" s="55">
        <f t="shared" ca="1" si="0"/>
        <v>115.27575531465045</v>
      </c>
      <c r="U77" s="55">
        <f t="shared" ca="1" si="1"/>
        <v>7.9277083807099613</v>
      </c>
      <c r="V77" s="55">
        <f t="shared" ca="1" si="2"/>
        <v>0</v>
      </c>
      <c r="W77" s="55">
        <f t="shared" ca="1" si="13"/>
        <v>0</v>
      </c>
      <c r="X77" s="55">
        <f t="shared" ca="1" si="14"/>
        <v>10.387776142842956</v>
      </c>
      <c r="Y77" s="55">
        <f t="shared" ca="1" si="15"/>
        <v>12.679552582539332</v>
      </c>
      <c r="Z77" s="55">
        <f t="shared" ca="1" si="3"/>
        <v>1.2729406863838921</v>
      </c>
      <c r="AA77">
        <f t="shared" ca="1" si="4"/>
        <v>114.95025524034465</v>
      </c>
      <c r="AB77">
        <f t="shared" ca="1" si="16"/>
        <v>0</v>
      </c>
      <c r="AC77">
        <f t="shared" ca="1" si="5"/>
        <v>0</v>
      </c>
      <c r="AD77">
        <f t="shared" ca="1" si="6"/>
        <v>3.2404398710942424E-2</v>
      </c>
      <c r="AE77" s="83">
        <f ca="1"/>
        <v>45415</v>
      </c>
      <c r="AF77" s="55">
        <f t="shared" ca="1" si="21"/>
        <v>45415</v>
      </c>
      <c r="AG77" s="55">
        <f t="shared" ca="1" si="22"/>
        <v>-156.66405349596204</v>
      </c>
      <c r="AH77" s="55">
        <f t="shared" ca="1" si="23"/>
        <v>143.33014811364546</v>
      </c>
      <c r="AI77" s="55">
        <f t="shared" ca="1" si="24"/>
        <v>0</v>
      </c>
      <c r="AJ77" s="55">
        <f t="shared" ca="1" si="18"/>
        <v>0</v>
      </c>
      <c r="AK77" s="55">
        <f t="shared" ca="1" si="19"/>
        <v>6.2757681771332026</v>
      </c>
      <c r="AL77" s="55">
        <f t="shared" ca="1" si="20"/>
        <v>-68.654554198725748</v>
      </c>
      <c r="AM77" s="55"/>
    </row>
    <row r="78" spans="2:39">
      <c r="R78" s="83">
        <f ca="1"/>
        <v>45071</v>
      </c>
      <c r="S78" s="55">
        <f t="shared" ca="1" si="12"/>
        <v>45071</v>
      </c>
      <c r="T78" s="55">
        <f t="shared" ca="1" si="0"/>
        <v>115.45396322142894</v>
      </c>
      <c r="U78" s="55">
        <f t="shared" ca="1" si="1"/>
        <v>8.0152558680979915</v>
      </c>
      <c r="V78" s="55">
        <f t="shared" ca="1" si="2"/>
        <v>0</v>
      </c>
      <c r="W78" s="55">
        <f t="shared" ca="1" si="13"/>
        <v>0</v>
      </c>
      <c r="X78" s="55">
        <f t="shared" ca="1" si="14"/>
        <v>10.542478201714847</v>
      </c>
      <c r="Y78" s="55">
        <f t="shared" ca="1" si="15"/>
        <v>12.790605917833963</v>
      </c>
      <c r="Z78" s="55">
        <f t="shared" ca="1" si="3"/>
        <v>1.2256648234324228</v>
      </c>
      <c r="AA78">
        <f t="shared" ca="1" si="4"/>
        <v>116.11978173828541</v>
      </c>
      <c r="AB78">
        <f t="shared" ca="1" si="16"/>
        <v>0</v>
      </c>
      <c r="AC78">
        <f t="shared" ca="1" si="5"/>
        <v>0</v>
      </c>
      <c r="AD78">
        <f t="shared" ca="1" si="6"/>
        <v>3.3287795284864356E-2</v>
      </c>
      <c r="AE78" s="83">
        <f ca="1"/>
        <v>45416</v>
      </c>
      <c r="AF78" s="55">
        <f t="shared" ca="1" si="21"/>
        <v>45416</v>
      </c>
      <c r="AG78" s="55">
        <f t="shared" ca="1" si="22"/>
        <v>-163.69756803661352</v>
      </c>
      <c r="AH78" s="55">
        <f t="shared" ca="1" si="23"/>
        <v>150.18940414351039</v>
      </c>
      <c r="AI78" s="55">
        <f t="shared" ca="1" si="24"/>
        <v>0</v>
      </c>
      <c r="AJ78" s="55">
        <f t="shared" ca="1" si="18"/>
        <v>0</v>
      </c>
      <c r="AK78" s="55">
        <f t="shared" ca="1" si="19"/>
        <v>6.3552425007422073</v>
      </c>
      <c r="AL78" s="55">
        <f t="shared" ca="1" si="20"/>
        <v>-68.908287033121297</v>
      </c>
      <c r="AM78" s="55"/>
    </row>
    <row r="79" spans="2:39">
      <c r="R79" s="83">
        <f ca="1"/>
        <v>45072</v>
      </c>
      <c r="S79" s="55">
        <f t="shared" ca="1" si="12"/>
        <v>45072</v>
      </c>
      <c r="T79" s="55">
        <f t="shared" ca="1" si="0"/>
        <v>115.09243206660118</v>
      </c>
      <c r="U79" s="55">
        <f t="shared" ca="1" si="1"/>
        <v>8.105777668736124</v>
      </c>
      <c r="V79" s="55">
        <f t="shared" ca="1" si="2"/>
        <v>0</v>
      </c>
      <c r="W79" s="55">
        <f t="shared" ca="1" si="13"/>
        <v>-0.53922307749575116</v>
      </c>
      <c r="X79" s="55">
        <f t="shared" ca="1" si="14"/>
        <v>10.700265807717319</v>
      </c>
      <c r="Y79" s="55">
        <f t="shared" ca="1" si="15"/>
        <v>12.901032035137613</v>
      </c>
      <c r="Z79" s="55">
        <f t="shared" ca="1" si="3"/>
        <v>1.2673052089338555</v>
      </c>
      <c r="AA79">
        <f t="shared" ca="1" si="4"/>
        <v>120</v>
      </c>
      <c r="AB79">
        <f t="shared" ca="1" si="16"/>
        <v>0.85072108609000452</v>
      </c>
      <c r="AC79">
        <f t="shared" ca="1" si="5"/>
        <v>0</v>
      </c>
      <c r="AD79">
        <f t="shared" ca="1" si="6"/>
        <v>3.4215278239809403E-2</v>
      </c>
      <c r="AE79" s="83">
        <f ca="1"/>
        <v>45417</v>
      </c>
      <c r="AF79" s="55">
        <f t="shared" ca="1" si="21"/>
        <v>45417</v>
      </c>
      <c r="AG79" s="55">
        <f t="shared" ca="1" si="22"/>
        <v>-171.8794875559997</v>
      </c>
      <c r="AH79" s="55">
        <f t="shared" ca="1" si="23"/>
        <v>158.17694999455586</v>
      </c>
      <c r="AI79" s="55">
        <f t="shared" ca="1" si="24"/>
        <v>0</v>
      </c>
      <c r="AJ79" s="55">
        <f t="shared" ca="1" si="18"/>
        <v>0</v>
      </c>
      <c r="AK79" s="55">
        <f t="shared" ca="1" si="19"/>
        <v>6.4431296218770893</v>
      </c>
      <c r="AL79" s="55">
        <f t="shared" ca="1" si="20"/>
        <v>-69.190547822596898</v>
      </c>
      <c r="AM79" s="55"/>
    </row>
    <row r="80" spans="2:39">
      <c r="R80" s="83">
        <f ca="1"/>
        <v>45073</v>
      </c>
      <c r="S80" s="55">
        <f t="shared" ca="1" si="12"/>
        <v>45073</v>
      </c>
      <c r="T80" s="55">
        <f t="shared" ca="1" si="0"/>
        <v>115.2657295477391</v>
      </c>
      <c r="U80" s="55">
        <f t="shared" ca="1" si="1"/>
        <v>8.1962331176431782</v>
      </c>
      <c r="V80" s="55">
        <f t="shared" ca="1" si="2"/>
        <v>0</v>
      </c>
      <c r="W80" s="55">
        <f t="shared" ca="1" si="13"/>
        <v>-0.53922307749575116</v>
      </c>
      <c r="X80" s="55">
        <f t="shared" ca="1" si="14"/>
        <v>10.856424528401515</v>
      </c>
      <c r="Y80" s="55">
        <f t="shared" ca="1" si="15"/>
        <v>13.008626244498384</v>
      </c>
      <c r="Z80" s="55">
        <f t="shared" ca="1" si="3"/>
        <v>1.2663762846987581</v>
      </c>
      <c r="AA80">
        <f t="shared" ca="1" si="4"/>
        <v>119.19999999999999</v>
      </c>
      <c r="AB80">
        <f t="shared" ca="1" si="16"/>
        <v>0.85072108609000452</v>
      </c>
      <c r="AC80">
        <f t="shared" ca="1" si="5"/>
        <v>0</v>
      </c>
      <c r="AD80">
        <f t="shared" ca="1" si="6"/>
        <v>3.5156391048113467E-2</v>
      </c>
      <c r="AE80" s="83">
        <f ca="1"/>
        <v>45418</v>
      </c>
      <c r="AF80" s="55">
        <f t="shared" ca="1" si="21"/>
        <v>45418</v>
      </c>
      <c r="AG80" s="55">
        <f t="shared" ca="1" si="22"/>
        <v>-179.64598468679645</v>
      </c>
      <c r="AH80" s="55">
        <f t="shared" ca="1" si="23"/>
        <v>165.77056934489244</v>
      </c>
      <c r="AI80" s="55">
        <f t="shared" ca="1" si="24"/>
        <v>0</v>
      </c>
      <c r="AJ80" s="55">
        <f t="shared" ca="1" si="18"/>
        <v>0</v>
      </c>
      <c r="AK80" s="55">
        <f t="shared" ca="1" si="19"/>
        <v>6.5266957067225926</v>
      </c>
      <c r="AL80" s="55">
        <f t="shared" ca="1" si="20"/>
        <v>-69.446991687902582</v>
      </c>
      <c r="AM80" s="55"/>
    </row>
    <row r="81" spans="18:39">
      <c r="R81" s="83">
        <f ca="1"/>
        <v>45074</v>
      </c>
      <c r="S81" s="55">
        <f t="shared" ca="1" si="12"/>
        <v>45074</v>
      </c>
      <c r="T81" s="55">
        <f t="shared" ca="1" si="0"/>
        <v>115.2356888499307</v>
      </c>
      <c r="U81" s="55">
        <f t="shared" ca="1" si="1"/>
        <v>8.2847503324193799</v>
      </c>
      <c r="V81" s="55">
        <f t="shared" ca="1" si="2"/>
        <v>0</v>
      </c>
      <c r="W81" s="55">
        <f t="shared" ca="1" si="13"/>
        <v>-0.73617834330057785</v>
      </c>
      <c r="X81" s="55">
        <f t="shared" ca="1" si="14"/>
        <v>11.008239727036335</v>
      </c>
      <c r="Y81" s="55">
        <f t="shared" ca="1" si="15"/>
        <v>13.112242828636198</v>
      </c>
      <c r="Z81" s="55">
        <f t="shared" ca="1" si="3"/>
        <v>1.2392410068668234</v>
      </c>
      <c r="AA81">
        <f t="shared" ca="1" si="4"/>
        <v>120</v>
      </c>
      <c r="AB81">
        <f t="shared" ca="1" si="16"/>
        <v>1.161067040545845</v>
      </c>
      <c r="AC81">
        <f t="shared" ca="1" si="5"/>
        <v>0</v>
      </c>
      <c r="AD81">
        <f t="shared" ca="1" si="6"/>
        <v>3.6091199765525099E-2</v>
      </c>
      <c r="AE81" s="83">
        <f ca="1"/>
        <v>45419</v>
      </c>
      <c r="AF81" s="55">
        <f t="shared" ca="1" si="21"/>
        <v>45419</v>
      </c>
      <c r="AG81" s="55">
        <f t="shared" ca="1" si="22"/>
        <v>-186.18690820568727</v>
      </c>
      <c r="AH81" s="55">
        <f t="shared" ca="1" si="23"/>
        <v>172.14133897081967</v>
      </c>
      <c r="AI81" s="55">
        <f t="shared" ca="1" si="24"/>
        <v>0</v>
      </c>
      <c r="AJ81" s="55">
        <f t="shared" ca="1" si="18"/>
        <v>0</v>
      </c>
      <c r="AK81" s="55">
        <f t="shared" ca="1" si="19"/>
        <v>6.6038432895417563</v>
      </c>
      <c r="AL81" s="55">
        <f t="shared" ca="1" si="20"/>
        <v>-69.69429316368533</v>
      </c>
      <c r="AM81" s="55"/>
    </row>
    <row r="82" spans="18:39">
      <c r="R82" s="83">
        <f ca="1"/>
        <v>45075</v>
      </c>
      <c r="S82" s="55">
        <f t="shared" ca="1" si="12"/>
        <v>45075</v>
      </c>
      <c r="T82" s="55">
        <f t="shared" ref="T82:T145" ca="1" si="28">VLOOKUP(S82,ModelOutputs,2,FALSE)</f>
        <v>114.55662063324193</v>
      </c>
      <c r="U82" s="55">
        <f t="shared" ref="U82:U145" ca="1" si="29">VLOOKUP(S82,ModelOutputs,7,FALSE)</f>
        <v>8.3762972440936565</v>
      </c>
      <c r="V82" s="55">
        <f t="shared" ref="V82:V145" ca="1" si="30">VLOOKUP(S82,ModelOutputs,6,FALSE)</f>
        <v>0</v>
      </c>
      <c r="W82" s="55">
        <f t="shared" ca="1" si="13"/>
        <v>-1.5815729987563305</v>
      </c>
      <c r="X82" s="55">
        <f t="shared" ca="1" si="14"/>
        <v>11.163103201035367</v>
      </c>
      <c r="Y82" s="55">
        <f t="shared" ca="1" si="15"/>
        <v>13.215252705078422</v>
      </c>
      <c r="Z82" s="55">
        <f t="shared" ref="Z82:Z145" ca="1" si="31">VLOOKUP(S82,ModelOutputs,3,FALSE)*14</f>
        <v>1.281656763439873</v>
      </c>
      <c r="AA82">
        <f t="shared" ref="AA82:AA145" ca="1" si="32">VLOOKUP(S82,ModelOutputs,10,FALSE)*AWC</f>
        <v>120</v>
      </c>
      <c r="AB82">
        <f t="shared" ca="1" si="16"/>
        <v>2.5010670405458484</v>
      </c>
      <c r="AC82">
        <f t="shared" ref="AC82:AC145" ca="1" si="33">VLOOKUP(S82,ModelOutputs,12,FALSE)</f>
        <v>0</v>
      </c>
      <c r="AD82">
        <f t="shared" ref="AD82:AD145" ca="1" si="34">VLOOKUP(S82,ModelOutputs,13,FALSE)</f>
        <v>3.7072439863401904E-2</v>
      </c>
      <c r="AE82" s="83">
        <f ca="1"/>
        <v>45420</v>
      </c>
      <c r="AF82" s="55">
        <f t="shared" ca="1" si="21"/>
        <v>45420</v>
      </c>
      <c r="AG82" s="55">
        <f t="shared" ca="1" si="22"/>
        <v>-192.97002267379548</v>
      </c>
      <c r="AH82" s="55">
        <f t="shared" ca="1" si="23"/>
        <v>178.77035257518386</v>
      </c>
      <c r="AI82" s="55">
        <f t="shared" ca="1" si="24"/>
        <v>0</v>
      </c>
      <c r="AJ82" s="55">
        <f t="shared" ca="1" si="18"/>
        <v>0</v>
      </c>
      <c r="AK82" s="55">
        <f t="shared" ca="1" si="19"/>
        <v>6.6810777820792362</v>
      </c>
      <c r="AL82" s="55">
        <f t="shared" ca="1" si="20"/>
        <v>-69.925628519966821</v>
      </c>
      <c r="AM82" s="55"/>
    </row>
    <row r="83" spans="18:39">
      <c r="R83" s="83">
        <f ca="1"/>
        <v>45076</v>
      </c>
      <c r="S83" s="55">
        <f t="shared" ref="S83:S146" ca="1" si="35">IF(R83&gt;1,R83,"")</f>
        <v>45076</v>
      </c>
      <c r="T83" s="55">
        <f t="shared" ca="1" si="28"/>
        <v>114.51911963999824</v>
      </c>
      <c r="U83" s="55">
        <f t="shared" ca="1" si="29"/>
        <v>8.4637358408536638</v>
      </c>
      <c r="V83" s="55">
        <f t="shared" ca="1" si="30"/>
        <v>0</v>
      </c>
      <c r="W83" s="55">
        <f t="shared" ref="W83:W146" ca="1" si="36">-VLOOKUP(S83,ModelOutputs,9,FALSE)+W82</f>
        <v>-1.7770853508373725</v>
      </c>
      <c r="X83" s="55">
        <f t="shared" ref="X83:X146" ca="1" si="37">VLOOKUP(S83,ModelOutputs,5,FALSE)+X82</f>
        <v>11.310654017059909</v>
      </c>
      <c r="Y83" s="55">
        <f t="shared" ref="Y83:Y146" ca="1" si="38">VLOOKUP(S83,ModelOutputs,4,FALSE)+Y82</f>
        <v>13.313151844651244</v>
      </c>
      <c r="Z83" s="55">
        <f t="shared" ca="1" si="31"/>
        <v>1.2241403546401024</v>
      </c>
      <c r="AA83">
        <f t="shared" ca="1" si="32"/>
        <v>120</v>
      </c>
      <c r="AB83">
        <f t="shared" ref="AB83:AB146" ca="1" si="39">VLOOKUP(S83,ModelOutputs,11,FALSE)+AB82</f>
        <v>2.8110670405458507</v>
      </c>
      <c r="AC83">
        <f t="shared" ca="1" si="33"/>
        <v>0</v>
      </c>
      <c r="AD83">
        <f t="shared" ca="1" si="34"/>
        <v>3.8023359522540913E-2</v>
      </c>
      <c r="AE83" s="83">
        <f ca="1"/>
        <v>45421</v>
      </c>
      <c r="AF83" s="55">
        <f t="shared" ca="1" si="21"/>
        <v>45421</v>
      </c>
      <c r="AG83" s="55">
        <f t="shared" ca="1" si="22"/>
        <v>-199.64141604829717</v>
      </c>
      <c r="AH83" s="55">
        <f t="shared" ca="1" si="23"/>
        <v>185.29043762704106</v>
      </c>
      <c r="AI83" s="55">
        <f t="shared" ca="1" si="24"/>
        <v>0</v>
      </c>
      <c r="AJ83" s="55">
        <f t="shared" ref="AJ83:AJ146" ca="1" si="40">-VLOOKUP(AF83,ModelOutputs,9,FALSE)+AJ82</f>
        <v>0</v>
      </c>
      <c r="AK83" s="55">
        <f t="shared" ref="AK83:AK146" ca="1" si="41">VLOOKUP(AF83,ModelOutputs,5,FALSE)+AK82</f>
        <v>6.7580605921308567</v>
      </c>
      <c r="AL83" s="55">
        <f t="shared" ref="AL83:AL146" ca="1" si="42">VLOOKUP(AF83,ModelOutputs,4,FALSE)+AL82</f>
        <v>-70.153919652662921</v>
      </c>
      <c r="AM83" s="55"/>
    </row>
    <row r="84" spans="18:39">
      <c r="R84" s="83">
        <f ca="1"/>
        <v>45077</v>
      </c>
      <c r="S84" s="55">
        <f t="shared" ca="1" si="35"/>
        <v>45077</v>
      </c>
      <c r="T84" s="55">
        <f t="shared" ca="1" si="28"/>
        <v>114.67495868491552</v>
      </c>
      <c r="U84" s="55">
        <f t="shared" ca="1" si="29"/>
        <v>8.5526351564225074</v>
      </c>
      <c r="V84" s="55">
        <f t="shared" ca="1" si="30"/>
        <v>0</v>
      </c>
      <c r="W84" s="55">
        <f t="shared" ca="1" si="36"/>
        <v>-1.7770853508373725</v>
      </c>
      <c r="X84" s="55">
        <f t="shared" ca="1" si="37"/>
        <v>11.458988583636598</v>
      </c>
      <c r="Y84" s="55">
        <f t="shared" ca="1" si="38"/>
        <v>13.409555638560674</v>
      </c>
      <c r="Z84" s="55">
        <f t="shared" ca="1" si="31"/>
        <v>1.2445904179638099</v>
      </c>
      <c r="AA84">
        <f t="shared" ca="1" si="32"/>
        <v>118.67826086956524</v>
      </c>
      <c r="AB84">
        <f t="shared" ca="1" si="39"/>
        <v>2.8110670405458507</v>
      </c>
      <c r="AC84">
        <f t="shared" ca="1" si="33"/>
        <v>0</v>
      </c>
      <c r="AD84">
        <f t="shared" ca="1" si="34"/>
        <v>3.9003909220828178E-2</v>
      </c>
      <c r="AE84" s="83">
        <f ca="1"/>
        <v>45422</v>
      </c>
      <c r="AF84" s="55">
        <f t="shared" ca="1" si="21"/>
        <v>45422</v>
      </c>
      <c r="AG84" s="55">
        <f t="shared" ca="1" si="22"/>
        <v>-206.78080528214682</v>
      </c>
      <c r="AH84" s="55">
        <f t="shared" ca="1" si="23"/>
        <v>192.29134817706364</v>
      </c>
      <c r="AI84" s="55">
        <f t="shared" ca="1" si="24"/>
        <v>0</v>
      </c>
      <c r="AJ84" s="55">
        <f t="shared" ca="1" si="40"/>
        <v>0</v>
      </c>
      <c r="AK84" s="55">
        <f t="shared" ca="1" si="41"/>
        <v>6.836683719205821</v>
      </c>
      <c r="AL84" s="55">
        <f t="shared" ca="1" si="42"/>
        <v>-70.371021463564944</v>
      </c>
      <c r="AM84" s="55"/>
    </row>
    <row r="85" spans="18:39">
      <c r="R85" s="83">
        <f ca="1"/>
        <v>45078</v>
      </c>
      <c r="S85" s="55">
        <f t="shared" ca="1" si="35"/>
        <v>45078</v>
      </c>
      <c r="T85" s="55">
        <f t="shared" ca="1" si="28"/>
        <v>114.47963704535536</v>
      </c>
      <c r="U85" s="55">
        <f t="shared" ca="1" si="29"/>
        <v>8.6435880584036582</v>
      </c>
      <c r="V85" s="55">
        <f t="shared" ca="1" si="30"/>
        <v>0</v>
      </c>
      <c r="W85" s="55">
        <f t="shared" ca="1" si="36"/>
        <v>-2.1266040865572307</v>
      </c>
      <c r="X85" s="55">
        <f t="shared" ca="1" si="37"/>
        <v>11.608898757842528</v>
      </c>
      <c r="Y85" s="55">
        <f t="shared" ca="1" si="38"/>
        <v>13.504795462495597</v>
      </c>
      <c r="Z85" s="55">
        <f t="shared" ca="1" si="31"/>
        <v>1.2733406277361112</v>
      </c>
      <c r="AA85">
        <f t="shared" ca="1" si="32"/>
        <v>120</v>
      </c>
      <c r="AB85">
        <f t="shared" ca="1" si="39"/>
        <v>3.3654472408640004</v>
      </c>
      <c r="AC85">
        <f t="shared" ca="1" si="33"/>
        <v>0</v>
      </c>
      <c r="AD85">
        <f t="shared" ca="1" si="34"/>
        <v>4.002145708990703E-2</v>
      </c>
      <c r="AE85" s="83">
        <f ca="1"/>
        <v>45423</v>
      </c>
      <c r="AF85" s="55">
        <f t="shared" ref="AF85:AF148" ca="1" si="43">IF(AE85&gt;1,AE85,"")</f>
        <v>45423</v>
      </c>
      <c r="AG85" s="55">
        <f t="shared" ref="AG85:AG148" ca="1" si="44">VLOOKUP(AF85,ModelOutputs,2,FALSE)</f>
        <v>-214.41482881725298</v>
      </c>
      <c r="AH85" s="55">
        <f t="shared" ref="AH85:AH148" ca="1" si="45">VLOOKUP(AF85,ModelOutputs,7,FALSE)</f>
        <v>199.7903220519643</v>
      </c>
      <c r="AI85" s="55">
        <f t="shared" ref="AI85:AI148" ca="1" si="46">VLOOKUP(AF85,ModelOutputs,6,FALSE)</f>
        <v>0</v>
      </c>
      <c r="AJ85" s="55">
        <f t="shared" ca="1" si="40"/>
        <v>0</v>
      </c>
      <c r="AK85" s="55">
        <f t="shared" ca="1" si="41"/>
        <v>6.9183009681548171</v>
      </c>
      <c r="AL85" s="55">
        <f t="shared" ca="1" si="42"/>
        <v>-70.587688372719441</v>
      </c>
      <c r="AM85" s="55"/>
    </row>
    <row r="86" spans="18:39">
      <c r="R86" s="83">
        <f ca="1"/>
        <v>45079</v>
      </c>
      <c r="S86" s="55">
        <f t="shared" ca="1" si="35"/>
        <v>45079</v>
      </c>
      <c r="T86" s="55">
        <f t="shared" ca="1" si="28"/>
        <v>114.28153490256835</v>
      </c>
      <c r="U86" s="55">
        <f t="shared" ca="1" si="29"/>
        <v>8.7318318978156384</v>
      </c>
      <c r="V86" s="55">
        <f t="shared" ca="1" si="30"/>
        <v>0</v>
      </c>
      <c r="W86" s="55">
        <f t="shared" ca="1" si="36"/>
        <v>-2.4727611995229881</v>
      </c>
      <c r="X86" s="55">
        <f t="shared" ca="1" si="37"/>
        <v>11.753804987083804</v>
      </c>
      <c r="Y86" s="55">
        <f t="shared" ca="1" si="38"/>
        <v>13.596188042845046</v>
      </c>
      <c r="Z86" s="55">
        <f t="shared" ca="1" si="31"/>
        <v>1.2354137517677231</v>
      </c>
      <c r="AA86">
        <f t="shared" ca="1" si="32"/>
        <v>120</v>
      </c>
      <c r="AB86">
        <f t="shared" ca="1" si="39"/>
        <v>3.9154472408640117</v>
      </c>
      <c r="AC86">
        <f t="shared" ca="1" si="33"/>
        <v>0</v>
      </c>
      <c r="AD86">
        <f t="shared" ca="1" si="34"/>
        <v>4.1022569277039567E-2</v>
      </c>
      <c r="AE86" s="83">
        <f ca="1"/>
        <v>45424</v>
      </c>
      <c r="AF86" s="55">
        <f t="shared" ca="1" si="43"/>
        <v>45424</v>
      </c>
      <c r="AG86" s="55">
        <f t="shared" ca="1" si="44"/>
        <v>-221.20725144750639</v>
      </c>
      <c r="AH86" s="55">
        <f t="shared" ca="1" si="45"/>
        <v>206.46332793511209</v>
      </c>
      <c r="AI86" s="55">
        <f t="shared" ca="1" si="46"/>
        <v>0</v>
      </c>
      <c r="AJ86" s="55">
        <f t="shared" ca="1" si="40"/>
        <v>0</v>
      </c>
      <c r="AK86" s="55">
        <f t="shared" ca="1" si="41"/>
        <v>6.9944543061820657</v>
      </c>
      <c r="AL86" s="55">
        <f t="shared" ca="1" si="42"/>
        <v>-70.783258457852313</v>
      </c>
      <c r="AM86" s="55"/>
    </row>
    <row r="87" spans="18:39">
      <c r="R87" s="83">
        <f ca="1"/>
        <v>45080</v>
      </c>
      <c r="S87" s="55">
        <f t="shared" ca="1" si="35"/>
        <v>45080</v>
      </c>
      <c r="T87" s="55">
        <f t="shared" ca="1" si="28"/>
        <v>114.0096330753892</v>
      </c>
      <c r="U87" s="55">
        <f t="shared" ca="1" si="29"/>
        <v>8.8174968966695229</v>
      </c>
      <c r="V87" s="55">
        <f t="shared" ca="1" si="30"/>
        <v>0</v>
      </c>
      <c r="W87" s="55">
        <f t="shared" ca="1" si="36"/>
        <v>-2.8871614310491833</v>
      </c>
      <c r="X87" s="55">
        <f t="shared" ca="1" si="37"/>
        <v>11.894120028498179</v>
      </c>
      <c r="Y87" s="55">
        <f t="shared" ca="1" si="38"/>
        <v>13.684036404631621</v>
      </c>
      <c r="Z87" s="55">
        <f t="shared" ca="1" si="31"/>
        <v>1.1993099839543824</v>
      </c>
      <c r="AA87">
        <f t="shared" ca="1" si="32"/>
        <v>120</v>
      </c>
      <c r="AB87">
        <f t="shared" ca="1" si="39"/>
        <v>4.5754472408640083</v>
      </c>
      <c r="AC87">
        <f t="shared" ca="1" si="33"/>
        <v>0</v>
      </c>
      <c r="AD87">
        <f t="shared" ca="1" si="34"/>
        <v>4.2007495377214848E-2</v>
      </c>
      <c r="AE87" s="83">
        <f ca="1"/>
        <v>45425</v>
      </c>
      <c r="AF87" s="55">
        <f t="shared" ca="1" si="43"/>
        <v>45425</v>
      </c>
      <c r="AG87" s="55">
        <f t="shared" ca="1" si="44"/>
        <v>-227.83666647364942</v>
      </c>
      <c r="AH87" s="55">
        <f t="shared" ca="1" si="45"/>
        <v>212.97998527442959</v>
      </c>
      <c r="AI87" s="55">
        <f t="shared" ca="1" si="46"/>
        <v>0</v>
      </c>
      <c r="AJ87" s="55">
        <f t="shared" ca="1" si="40"/>
        <v>0</v>
      </c>
      <c r="AK87" s="55">
        <f t="shared" ca="1" si="41"/>
        <v>7.0698262942497978</v>
      </c>
      <c r="AL87" s="55">
        <f t="shared" ca="1" si="42"/>
        <v>-70.971388132745574</v>
      </c>
      <c r="AM87" s="55"/>
    </row>
    <row r="88" spans="18:39">
      <c r="R88" s="83">
        <f ca="1"/>
        <v>45081</v>
      </c>
      <c r="S88" s="55">
        <f t="shared" ca="1" si="35"/>
        <v>45081</v>
      </c>
      <c r="T88" s="55">
        <f t="shared" ca="1" si="28"/>
        <v>113.6410724168436</v>
      </c>
      <c r="U88" s="55">
        <f t="shared" ca="1" si="29"/>
        <v>8.9018906339896873</v>
      </c>
      <c r="V88" s="55">
        <f t="shared" ca="1" si="30"/>
        <v>0</v>
      </c>
      <c r="W88" s="55">
        <f t="shared" ca="1" si="36"/>
        <v>-3.3940994323521481</v>
      </c>
      <c r="X88" s="55">
        <f t="shared" ca="1" si="37"/>
        <v>12.031726533376357</v>
      </c>
      <c r="Y88" s="55">
        <f t="shared" ca="1" si="38"/>
        <v>13.769200979830973</v>
      </c>
      <c r="Z88" s="55">
        <f t="shared" ca="1" si="31"/>
        <v>1.1815123224823019</v>
      </c>
      <c r="AA88">
        <f t="shared" ca="1" si="32"/>
        <v>120</v>
      </c>
      <c r="AB88">
        <f t="shared" ca="1" si="39"/>
        <v>5.3854472408640106</v>
      </c>
      <c r="AC88">
        <f t="shared" ca="1" si="33"/>
        <v>0</v>
      </c>
      <c r="AD88">
        <f t="shared" ca="1" si="34"/>
        <v>4.2990395757379778E-2</v>
      </c>
      <c r="AE88" s="83">
        <f ca="1"/>
        <v>45426</v>
      </c>
      <c r="AF88" s="55">
        <f t="shared" ca="1" si="43"/>
        <v>45426</v>
      </c>
      <c r="AG88" s="55">
        <f t="shared" ca="1" si="44"/>
        <v>-233.91361395396939</v>
      </c>
      <c r="AH88" s="55">
        <f t="shared" ca="1" si="45"/>
        <v>218.953452507234</v>
      </c>
      <c r="AI88" s="55">
        <f t="shared" ca="1" si="46"/>
        <v>0</v>
      </c>
      <c r="AJ88" s="55">
        <f t="shared" ca="1" si="40"/>
        <v>0</v>
      </c>
      <c r="AK88" s="55">
        <f t="shared" ca="1" si="41"/>
        <v>7.1421089402238502</v>
      </c>
      <c r="AL88" s="55">
        <f t="shared" ca="1" si="42"/>
        <v>-71.147151026235179</v>
      </c>
      <c r="AM88" s="55"/>
    </row>
    <row r="89" spans="18:39">
      <c r="R89" s="83">
        <f ca="1"/>
        <v>45082</v>
      </c>
      <c r="S89" s="55">
        <f t="shared" ca="1" si="35"/>
        <v>45082</v>
      </c>
      <c r="T89" s="55">
        <f t="shared" ca="1" si="28"/>
        <v>113.74514807696455</v>
      </c>
      <c r="U89" s="55">
        <f t="shared" ca="1" si="29"/>
        <v>8.9862563064799712</v>
      </c>
      <c r="V89" s="55">
        <f t="shared" ca="1" si="30"/>
        <v>0</v>
      </c>
      <c r="W89" s="55">
        <f t="shared" ca="1" si="36"/>
        <v>-3.4254205600834933</v>
      </c>
      <c r="X89" s="55">
        <f t="shared" ca="1" si="37"/>
        <v>12.168289031440317</v>
      </c>
      <c r="Y89" s="55">
        <f t="shared" ca="1" si="38"/>
        <v>13.852400942109591</v>
      </c>
      <c r="Z89" s="55">
        <f t="shared" ca="1" si="31"/>
        <v>1.181119414863975</v>
      </c>
      <c r="AA89">
        <f t="shared" ca="1" si="32"/>
        <v>120</v>
      </c>
      <c r="AB89">
        <f t="shared" ca="1" si="39"/>
        <v>5.435447240864022</v>
      </c>
      <c r="AC89">
        <f t="shared" ca="1" si="33"/>
        <v>0</v>
      </c>
      <c r="AD89">
        <f t="shared" ca="1" si="34"/>
        <v>4.3985456836395639E-2</v>
      </c>
      <c r="AE89" s="83">
        <f ca="1"/>
        <v>45427</v>
      </c>
      <c r="AF89" s="55">
        <f t="shared" ca="1" si="43"/>
        <v>45427</v>
      </c>
      <c r="AG89" s="55">
        <f t="shared" ca="1" si="44"/>
        <v>-240.68661938510223</v>
      </c>
      <c r="AH89" s="55">
        <f t="shared" ca="1" si="45"/>
        <v>225.62455706395301</v>
      </c>
      <c r="AI89" s="55">
        <f t="shared" ca="1" si="46"/>
        <v>0</v>
      </c>
      <c r="AJ89" s="55">
        <f t="shared" ca="1" si="40"/>
        <v>0</v>
      </c>
      <c r="AK89" s="55">
        <f t="shared" ca="1" si="41"/>
        <v>7.2188065400229435</v>
      </c>
      <c r="AL89" s="55">
        <f t="shared" ca="1" si="42"/>
        <v>-71.325749500448126</v>
      </c>
      <c r="AM89" s="55"/>
    </row>
    <row r="90" spans="18:39">
      <c r="R90" s="83">
        <f ca="1"/>
        <v>45083</v>
      </c>
      <c r="S90" s="55">
        <f t="shared" ca="1" si="35"/>
        <v>45083</v>
      </c>
      <c r="T90" s="55">
        <f t="shared" ca="1" si="28"/>
        <v>113.73132631317156</v>
      </c>
      <c r="U90" s="55">
        <f t="shared" ca="1" si="29"/>
        <v>9.0673708449158266</v>
      </c>
      <c r="V90" s="55">
        <f t="shared" ca="1" si="30"/>
        <v>0</v>
      </c>
      <c r="W90" s="55">
        <f t="shared" ca="1" si="36"/>
        <v>-3.5694802400801708</v>
      </c>
      <c r="X90" s="55">
        <f t="shared" ca="1" si="37"/>
        <v>12.299854475797821</v>
      </c>
      <c r="Y90" s="55">
        <f t="shared" ca="1" si="38"/>
        <v>13.932187952391619</v>
      </c>
      <c r="Z90" s="55">
        <f t="shared" ca="1" si="31"/>
        <v>1.1356035381019751</v>
      </c>
      <c r="AA90">
        <f t="shared" ca="1" si="32"/>
        <v>120</v>
      </c>
      <c r="AB90">
        <f t="shared" ca="1" si="39"/>
        <v>5.6654472408640117</v>
      </c>
      <c r="AC90">
        <f t="shared" ca="1" si="33"/>
        <v>0</v>
      </c>
      <c r="AD90">
        <f t="shared" ca="1" si="34"/>
        <v>4.4953941122842074E-2</v>
      </c>
      <c r="AE90" s="83">
        <f ca="1"/>
        <v>45428</v>
      </c>
      <c r="AF90" s="55">
        <f t="shared" ca="1" si="43"/>
        <v>45428</v>
      </c>
      <c r="AG90" s="55">
        <f t="shared" ca="1" si="44"/>
        <v>-246.26851766110599</v>
      </c>
      <c r="AH90" s="55">
        <f t="shared" ca="1" si="45"/>
        <v>231.10601498639409</v>
      </c>
      <c r="AI90" s="55">
        <f t="shared" ca="1" si="46"/>
        <v>0</v>
      </c>
      <c r="AJ90" s="55">
        <f t="shared" ca="1" si="40"/>
        <v>0</v>
      </c>
      <c r="AK90" s="55">
        <f t="shared" ca="1" si="41"/>
        <v>7.2903482609136061</v>
      </c>
      <c r="AL90" s="55">
        <f t="shared" ca="1" si="42"/>
        <v>-71.497731574901465</v>
      </c>
      <c r="AM90" s="55"/>
    </row>
    <row r="91" spans="18:39">
      <c r="R91" s="83">
        <f ca="1"/>
        <v>45084</v>
      </c>
      <c r="S91" s="55">
        <f t="shared" ca="1" si="35"/>
        <v>45084</v>
      </c>
      <c r="T91" s="55">
        <f t="shared" ca="1" si="28"/>
        <v>113.28719200806601</v>
      </c>
      <c r="U91" s="55">
        <f t="shared" ca="1" si="29"/>
        <v>9.1518432152873554</v>
      </c>
      <c r="V91" s="55">
        <f t="shared" ca="1" si="30"/>
        <v>0</v>
      </c>
      <c r="W91" s="55">
        <f t="shared" ca="1" si="36"/>
        <v>-4.1434686795876976</v>
      </c>
      <c r="X91" s="55">
        <f t="shared" ca="1" si="37"/>
        <v>12.434639345848888</v>
      </c>
      <c r="Y91" s="55">
        <f t="shared" ca="1" si="38"/>
        <v>14.011729587114061</v>
      </c>
      <c r="Z91" s="55">
        <f t="shared" ca="1" si="31"/>
        <v>1.1826131852014043</v>
      </c>
      <c r="AA91">
        <f t="shared" ca="1" si="32"/>
        <v>120</v>
      </c>
      <c r="AB91">
        <f t="shared" ca="1" si="39"/>
        <v>6.5854472408639992</v>
      </c>
      <c r="AC91">
        <f t="shared" ca="1" si="33"/>
        <v>0</v>
      </c>
      <c r="AD91">
        <f t="shared" ca="1" si="34"/>
        <v>4.5974775455116933E-2</v>
      </c>
      <c r="AE91" s="83">
        <f ca="1"/>
        <v>45429</v>
      </c>
      <c r="AF91" s="55">
        <f t="shared" ca="1" si="43"/>
        <v>45429</v>
      </c>
      <c r="AG91" s="55">
        <f t="shared" ca="1" si="44"/>
        <v>-251.51599479906014</v>
      </c>
      <c r="AH91" s="55">
        <f t="shared" ca="1" si="45"/>
        <v>236.25999613397772</v>
      </c>
      <c r="AI91" s="55">
        <f t="shared" ca="1" si="46"/>
        <v>0</v>
      </c>
      <c r="AJ91" s="55">
        <f t="shared" ca="1" si="40"/>
        <v>0</v>
      </c>
      <c r="AK91" s="55">
        <f t="shared" ca="1" si="41"/>
        <v>7.3603229992575772</v>
      </c>
      <c r="AL91" s="55">
        <f t="shared" ca="1" si="42"/>
        <v>-71.661202303615966</v>
      </c>
      <c r="AM91" s="55"/>
    </row>
    <row r="92" spans="18:39">
      <c r="R92" s="83">
        <f ca="1"/>
        <v>45085</v>
      </c>
      <c r="S92" s="55">
        <f t="shared" ca="1" si="35"/>
        <v>45085</v>
      </c>
      <c r="T92" s="55">
        <f t="shared" ca="1" si="28"/>
        <v>112.92183322400341</v>
      </c>
      <c r="U92" s="55">
        <f t="shared" ca="1" si="29"/>
        <v>9.2436247282757531</v>
      </c>
      <c r="V92" s="55">
        <f t="shared" ca="1" si="30"/>
        <v>0</v>
      </c>
      <c r="W92" s="55">
        <f t="shared" ca="1" si="36"/>
        <v>-4.6409793650963485</v>
      </c>
      <c r="X92" s="55">
        <f t="shared" ca="1" si="37"/>
        <v>12.577544217386583</v>
      </c>
      <c r="Y92" s="55">
        <f t="shared" ca="1" si="38"/>
        <v>14.092758130010816</v>
      </c>
      <c r="Z92" s="55">
        <f t="shared" ca="1" si="31"/>
        <v>1.2849411818375671</v>
      </c>
      <c r="AA92">
        <f t="shared" ca="1" si="32"/>
        <v>120</v>
      </c>
      <c r="AB92">
        <f t="shared" ca="1" si="39"/>
        <v>7.3854472408639964</v>
      </c>
      <c r="AC92">
        <f t="shared" ca="1" si="33"/>
        <v>0</v>
      </c>
      <c r="AD92">
        <f t="shared" ca="1" si="34"/>
        <v>4.7098108016593816E-2</v>
      </c>
      <c r="AE92" s="83">
        <f ca="1"/>
        <v>45430</v>
      </c>
      <c r="AF92" s="55">
        <f t="shared" ca="1" si="43"/>
        <v>45430</v>
      </c>
      <c r="AG92" s="55">
        <f t="shared" ca="1" si="44"/>
        <v>-257.11064369080543</v>
      </c>
      <c r="AH92" s="55">
        <f t="shared" ca="1" si="45"/>
        <v>241.76532239617165</v>
      </c>
      <c r="AI92" s="55">
        <f t="shared" ca="1" si="46"/>
        <v>0</v>
      </c>
      <c r="AJ92" s="55">
        <f t="shared" ca="1" si="40"/>
        <v>0</v>
      </c>
      <c r="AK92" s="55">
        <f t="shared" ca="1" si="41"/>
        <v>7.4326948236541091</v>
      </c>
      <c r="AL92" s="55">
        <f t="shared" ca="1" si="42"/>
        <v>-71.822896757563853</v>
      </c>
      <c r="AM92" s="55"/>
    </row>
    <row r="93" spans="18:39">
      <c r="R93" s="83">
        <f ca="1"/>
        <v>45086</v>
      </c>
      <c r="S93" s="55">
        <f t="shared" ca="1" si="35"/>
        <v>45086</v>
      </c>
      <c r="T93" s="55">
        <f t="shared" ca="1" si="28"/>
        <v>112.90412426799278</v>
      </c>
      <c r="U93" s="55">
        <f t="shared" ca="1" si="29"/>
        <v>9.3388801107937045</v>
      </c>
      <c r="V93" s="55">
        <f t="shared" ca="1" si="30"/>
        <v>0</v>
      </c>
      <c r="W93" s="55">
        <f t="shared" ca="1" si="36"/>
        <v>-4.7902091641288225</v>
      </c>
      <c r="X93" s="55">
        <f t="shared" ca="1" si="37"/>
        <v>12.723691080002039</v>
      </c>
      <c r="Y93" s="55">
        <f t="shared" ca="1" si="38"/>
        <v>14.173387492935161</v>
      </c>
      <c r="Z93" s="55">
        <f t="shared" ca="1" si="31"/>
        <v>1.3335753552513196</v>
      </c>
      <c r="AA93">
        <f t="shared" ca="1" si="32"/>
        <v>120</v>
      </c>
      <c r="AB93">
        <f t="shared" ca="1" si="39"/>
        <v>7.6254472408639913</v>
      </c>
      <c r="AC93">
        <f t="shared" ca="1" si="33"/>
        <v>0</v>
      </c>
      <c r="AD93">
        <f t="shared" ca="1" si="34"/>
        <v>4.8279549881657211E-2</v>
      </c>
      <c r="AE93" s="83">
        <f ca="1"/>
        <v>45431</v>
      </c>
      <c r="AF93" s="55">
        <f t="shared" ca="1" si="43"/>
        <v>45431</v>
      </c>
      <c r="AG93" s="55">
        <f t="shared" ca="1" si="44"/>
        <v>-262.74977906573889</v>
      </c>
      <c r="AH93" s="55">
        <f t="shared" ca="1" si="45"/>
        <v>247.31796661262223</v>
      </c>
      <c r="AI93" s="55">
        <f t="shared" ca="1" si="46"/>
        <v>0</v>
      </c>
      <c r="AJ93" s="55">
        <f t="shared" ca="1" si="40"/>
        <v>0</v>
      </c>
      <c r="AK93" s="55">
        <f t="shared" ca="1" si="41"/>
        <v>7.5062975686696918</v>
      </c>
      <c r="AL93" s="55">
        <f t="shared" ca="1" si="42"/>
        <v>-71.982990661062303</v>
      </c>
      <c r="AM93" s="55"/>
    </row>
    <row r="94" spans="18:39">
      <c r="R94" s="83">
        <f ca="1"/>
        <v>45087</v>
      </c>
      <c r="S94" s="55">
        <f t="shared" ca="1" si="35"/>
        <v>45087</v>
      </c>
      <c r="T94" s="55">
        <f t="shared" ca="1" si="28"/>
        <v>112.54345797051363</v>
      </c>
      <c r="U94" s="55">
        <f t="shared" ca="1" si="29"/>
        <v>9.4351021173113221</v>
      </c>
      <c r="V94" s="55">
        <f t="shared" ca="1" si="30"/>
        <v>0</v>
      </c>
      <c r="W94" s="55">
        <f t="shared" ca="1" si="36"/>
        <v>-5.2798547595309744</v>
      </c>
      <c r="X94" s="55">
        <f t="shared" ca="1" si="37"/>
        <v>12.869837942617496</v>
      </c>
      <c r="Y94" s="55">
        <f t="shared" ca="1" si="38"/>
        <v>14.252441934760327</v>
      </c>
      <c r="Z94" s="55">
        <f t="shared" ca="1" si="31"/>
        <v>1.3471080912466462</v>
      </c>
      <c r="AA94">
        <f t="shared" ca="1" si="32"/>
        <v>120</v>
      </c>
      <c r="AB94">
        <f t="shared" ca="1" si="39"/>
        <v>8.4154472408639975</v>
      </c>
      <c r="AC94">
        <f t="shared" ca="1" si="33"/>
        <v>0</v>
      </c>
      <c r="AD94">
        <f t="shared" ca="1" si="34"/>
        <v>4.9489088704770617E-2</v>
      </c>
      <c r="AE94" s="83">
        <f ca="1"/>
        <v>45432</v>
      </c>
      <c r="AF94" s="55">
        <f t="shared" ca="1" si="43"/>
        <v>45432</v>
      </c>
      <c r="AG94" s="55">
        <f t="shared" ca="1" si="44"/>
        <v>-267.99378883791024</v>
      </c>
      <c r="AH94" s="55">
        <f t="shared" ca="1" si="45"/>
        <v>252.4767302852689</v>
      </c>
      <c r="AI94" s="55">
        <f t="shared" ca="1" si="46"/>
        <v>0</v>
      </c>
      <c r="AJ94" s="55">
        <f t="shared" ca="1" si="40"/>
        <v>0</v>
      </c>
      <c r="AK94" s="55">
        <f t="shared" ca="1" si="41"/>
        <v>7.5792293663794776</v>
      </c>
      <c r="AL94" s="55">
        <f t="shared" ca="1" si="42"/>
        <v>-72.141168558296755</v>
      </c>
      <c r="AM94" s="55"/>
    </row>
    <row r="95" spans="18:39">
      <c r="R95" s="83">
        <f ca="1"/>
        <v>45088</v>
      </c>
      <c r="S95" s="55">
        <f t="shared" ca="1" si="35"/>
        <v>45088</v>
      </c>
      <c r="T95" s="55">
        <f t="shared" ca="1" si="28"/>
        <v>112.65568956115798</v>
      </c>
      <c r="U95" s="55">
        <f t="shared" ca="1" si="29"/>
        <v>9.529555851079083</v>
      </c>
      <c r="V95" s="55">
        <f t="shared" ca="1" si="30"/>
        <v>0</v>
      </c>
      <c r="W95" s="55">
        <f t="shared" ca="1" si="36"/>
        <v>-5.2922632122942295</v>
      </c>
      <c r="X95" s="55">
        <f t="shared" ca="1" si="37"/>
        <v>13.012589614707553</v>
      </c>
      <c r="Y95" s="55">
        <f t="shared" ca="1" si="38"/>
        <v>14.328784039845647</v>
      </c>
      <c r="Z95" s="55">
        <f t="shared" ca="1" si="31"/>
        <v>1.3223522727486525</v>
      </c>
      <c r="AA95">
        <f t="shared" ca="1" si="32"/>
        <v>120</v>
      </c>
      <c r="AB95">
        <f t="shared" ca="1" si="39"/>
        <v>8.4354472408639936</v>
      </c>
      <c r="AC95">
        <f t="shared" ca="1" si="33"/>
        <v>0</v>
      </c>
      <c r="AD95">
        <f t="shared" ca="1" si="34"/>
        <v>5.069212719142116E-2</v>
      </c>
      <c r="AE95" s="83">
        <f ca="1"/>
        <v>45433</v>
      </c>
      <c r="AF95" s="55">
        <f t="shared" ca="1" si="43"/>
        <v>45433</v>
      </c>
      <c r="AG95" s="55">
        <f t="shared" ca="1" si="44"/>
        <v>-272.17262767919607</v>
      </c>
      <c r="AH95" s="55">
        <f t="shared" ca="1" si="45"/>
        <v>256.57735434515632</v>
      </c>
      <c r="AI95" s="55">
        <f t="shared" ca="1" si="46"/>
        <v>0</v>
      </c>
      <c r="AJ95" s="55">
        <f t="shared" ca="1" si="40"/>
        <v>0</v>
      </c>
      <c r="AK95" s="55">
        <f t="shared" ca="1" si="41"/>
        <v>7.6467577451616613</v>
      </c>
      <c r="AL95" s="55">
        <f t="shared" ca="1" si="42"/>
        <v>-72.286911718477342</v>
      </c>
      <c r="AM95" s="55"/>
    </row>
    <row r="96" spans="18:39">
      <c r="R96" s="83">
        <f ca="1"/>
        <v>45089</v>
      </c>
      <c r="S96" s="55">
        <f t="shared" ca="1" si="35"/>
        <v>45089</v>
      </c>
      <c r="T96" s="55">
        <f t="shared" ca="1" si="28"/>
        <v>111.18656756209406</v>
      </c>
      <c r="U96" s="55">
        <f t="shared" ca="1" si="29"/>
        <v>9.6260740993748559</v>
      </c>
      <c r="V96" s="55">
        <f t="shared" ca="1" si="30"/>
        <v>0</v>
      </c>
      <c r="W96" s="55">
        <f t="shared" ca="1" si="36"/>
        <v>-6.884325947821031</v>
      </c>
      <c r="X96" s="55">
        <f t="shared" ca="1" si="37"/>
        <v>13.15672394340219</v>
      </c>
      <c r="Y96" s="55">
        <f t="shared" ca="1" si="38"/>
        <v>14.404108695909661</v>
      </c>
      <c r="Z96" s="55">
        <f t="shared" ca="1" si="31"/>
        <v>1.3512554761408211</v>
      </c>
      <c r="AA96">
        <f t="shared" ca="1" si="32"/>
        <v>120</v>
      </c>
      <c r="AB96">
        <f t="shared" ca="1" si="39"/>
        <v>11.035447240864002</v>
      </c>
      <c r="AC96">
        <f t="shared" ca="1" si="33"/>
        <v>0</v>
      </c>
      <c r="AD96">
        <f t="shared" ca="1" si="34"/>
        <v>5.1937535411741689E-2</v>
      </c>
      <c r="AE96" s="83">
        <f ca="1"/>
        <v>45434</v>
      </c>
      <c r="AF96" s="55">
        <f t="shared" ca="1" si="43"/>
        <v>45434</v>
      </c>
      <c r="AG96" s="55">
        <f t="shared" ca="1" si="44"/>
        <v>-277.09997908718947</v>
      </c>
      <c r="AH96" s="55">
        <f t="shared" ca="1" si="45"/>
        <v>261.43007666346142</v>
      </c>
      <c r="AI96" s="55">
        <f t="shared" ca="1" si="46"/>
        <v>0</v>
      </c>
      <c r="AJ96" s="55">
        <f t="shared" ca="1" si="40"/>
        <v>0</v>
      </c>
      <c r="AK96" s="55">
        <f t="shared" ca="1" si="41"/>
        <v>7.7193283965446939</v>
      </c>
      <c r="AL96" s="55">
        <f t="shared" ca="1" si="42"/>
        <v>-72.434111459548689</v>
      </c>
      <c r="AM96" s="55"/>
    </row>
    <row r="97" spans="18:39">
      <c r="R97" s="83">
        <f ca="1"/>
        <v>45090</v>
      </c>
      <c r="S97" s="55">
        <f t="shared" ca="1" si="35"/>
        <v>45090</v>
      </c>
      <c r="T97" s="55">
        <f t="shared" ca="1" si="28"/>
        <v>110.76430448859367</v>
      </c>
      <c r="U97" s="55">
        <f t="shared" ca="1" si="29"/>
        <v>9.713000351589093</v>
      </c>
      <c r="V97" s="55">
        <f t="shared" ca="1" si="30"/>
        <v>0</v>
      </c>
      <c r="W97" s="55">
        <f t="shared" ca="1" si="36"/>
        <v>-7.4211315046469171</v>
      </c>
      <c r="X97" s="55">
        <f t="shared" ca="1" si="37"/>
        <v>13.288434617660032</v>
      </c>
      <c r="Y97" s="55">
        <f t="shared" ca="1" si="38"/>
        <v>14.473866757191555</v>
      </c>
      <c r="Z97" s="55">
        <f t="shared" ca="1" si="31"/>
        <v>1.2169675309993195</v>
      </c>
      <c r="AA97">
        <f t="shared" ca="1" si="32"/>
        <v>120</v>
      </c>
      <c r="AB97">
        <f t="shared" ca="1" si="39"/>
        <v>11.915447240864012</v>
      </c>
      <c r="AC97">
        <f t="shared" ca="1" si="33"/>
        <v>0</v>
      </c>
      <c r="AD97">
        <f t="shared" ca="1" si="34"/>
        <v>5.3073060745866173E-2</v>
      </c>
      <c r="AE97" s="83">
        <f ca="1"/>
        <v>45435</v>
      </c>
      <c r="AF97" s="55">
        <f t="shared" ca="1" si="43"/>
        <v>45435</v>
      </c>
      <c r="AG97" s="55">
        <f t="shared" ca="1" si="44"/>
        <v>-281.70349988610684</v>
      </c>
      <c r="AH97" s="55">
        <f t="shared" ca="1" si="45"/>
        <v>265.95647800542264</v>
      </c>
      <c r="AI97" s="55">
        <f t="shared" ca="1" si="46"/>
        <v>0</v>
      </c>
      <c r="AJ97" s="55">
        <f t="shared" ca="1" si="40"/>
        <v>0</v>
      </c>
      <c r="AK97" s="55">
        <f t="shared" ca="1" si="41"/>
        <v>7.7929309471648844</v>
      </c>
      <c r="AL97" s="55">
        <f t="shared" ca="1" si="42"/>
        <v>-72.584833467125065</v>
      </c>
      <c r="AM97" s="55"/>
    </row>
    <row r="98" spans="18:39">
      <c r="R98" s="83">
        <f ca="1"/>
        <v>45091</v>
      </c>
      <c r="S98" s="55">
        <f t="shared" ca="1" si="35"/>
        <v>45091</v>
      </c>
      <c r="T98" s="55">
        <f t="shared" ca="1" si="28"/>
        <v>110.69628344471195</v>
      </c>
      <c r="U98" s="55">
        <f t="shared" ca="1" si="29"/>
        <v>9.8053161163049545</v>
      </c>
      <c r="V98" s="55">
        <f t="shared" ca="1" si="30"/>
        <v>0</v>
      </c>
      <c r="W98" s="55">
        <f t="shared" ca="1" si="36"/>
        <v>-7.6040210164251354</v>
      </c>
      <c r="X98" s="55">
        <f t="shared" ca="1" si="37"/>
        <v>13.42544390972026</v>
      </c>
      <c r="Y98" s="55">
        <f t="shared" ca="1" si="38"/>
        <v>14.54404169774369</v>
      </c>
      <c r="Z98" s="55">
        <f t="shared" ca="1" si="31"/>
        <v>1.2924207060220603</v>
      </c>
      <c r="AA98">
        <f t="shared" ca="1" si="32"/>
        <v>120</v>
      </c>
      <c r="AB98">
        <f t="shared" ca="1" si="39"/>
        <v>12.215447240864009</v>
      </c>
      <c r="AC98">
        <f t="shared" ca="1" si="33"/>
        <v>0</v>
      </c>
      <c r="AD98">
        <f t="shared" ca="1" si="34"/>
        <v>5.429337559226826E-2</v>
      </c>
      <c r="AE98" s="83">
        <f ca="1"/>
        <v>45436</v>
      </c>
      <c r="AF98" s="55">
        <f t="shared" ca="1" si="43"/>
        <v>45436</v>
      </c>
      <c r="AG98" s="55">
        <f t="shared" ca="1" si="44"/>
        <v>-285.74697308374465</v>
      </c>
      <c r="AH98" s="55">
        <f t="shared" ca="1" si="45"/>
        <v>269.92897355424975</v>
      </c>
      <c r="AI98" s="55">
        <f t="shared" ca="1" si="46"/>
        <v>0</v>
      </c>
      <c r="AJ98" s="55">
        <f t="shared" ca="1" si="40"/>
        <v>0</v>
      </c>
      <c r="AK98" s="55">
        <f t="shared" ca="1" si="41"/>
        <v>7.8641818700447628</v>
      </c>
      <c r="AL98" s="55">
        <f t="shared" ca="1" si="42"/>
        <v>-72.727062038815646</v>
      </c>
      <c r="AM98" s="55"/>
    </row>
    <row r="99" spans="18:39">
      <c r="R99" s="83">
        <f ca="1"/>
        <v>45092</v>
      </c>
      <c r="S99" s="55">
        <f t="shared" ca="1" si="35"/>
        <v>45092</v>
      </c>
      <c r="T99" s="55">
        <f t="shared" ca="1" si="28"/>
        <v>109.45342017739824</v>
      </c>
      <c r="U99" s="55">
        <f t="shared" ca="1" si="29"/>
        <v>9.8999195941846398</v>
      </c>
      <c r="V99" s="55">
        <f t="shared" ca="1" si="30"/>
        <v>0</v>
      </c>
      <c r="W99" s="55">
        <f t="shared" ca="1" si="36"/>
        <v>-8.9602916577537659</v>
      </c>
      <c r="X99" s="55">
        <f t="shared" ca="1" si="37"/>
        <v>13.564099632156999</v>
      </c>
      <c r="Y99" s="55">
        <f t="shared" ca="1" si="38"/>
        <v>14.613396827201562</v>
      </c>
      <c r="Z99" s="55">
        <f t="shared" ca="1" si="31"/>
        <v>1.3244486903155952</v>
      </c>
      <c r="AA99">
        <f t="shared" ca="1" si="32"/>
        <v>120</v>
      </c>
      <c r="AB99">
        <f t="shared" ca="1" si="39"/>
        <v>14.465447240864009</v>
      </c>
      <c r="AC99">
        <f t="shared" ca="1" si="33"/>
        <v>0</v>
      </c>
      <c r="AD99">
        <f t="shared" ca="1" si="34"/>
        <v>5.5559278287706501E-2</v>
      </c>
      <c r="AE99" s="83">
        <f ca="1"/>
        <v>45437</v>
      </c>
      <c r="AF99" s="55">
        <f t="shared" ca="1" si="43"/>
        <v>45437</v>
      </c>
      <c r="AG99" s="55">
        <f t="shared" ca="1" si="44"/>
        <v>-289.96241766195357</v>
      </c>
      <c r="AH99" s="55">
        <f t="shared" ca="1" si="45"/>
        <v>274.06896473183843</v>
      </c>
      <c r="AI99" s="55">
        <f t="shared" ca="1" si="46"/>
        <v>0</v>
      </c>
      <c r="AJ99" s="55">
        <f t="shared" ca="1" si="40"/>
        <v>0</v>
      </c>
      <c r="AK99" s="55">
        <f t="shared" ca="1" si="41"/>
        <v>7.9409622278308394</v>
      </c>
      <c r="AL99" s="55">
        <f t="shared" ca="1" si="42"/>
        <v>-72.879295797221943</v>
      </c>
      <c r="AM99" s="55"/>
    </row>
    <row r="100" spans="18:39">
      <c r="R100" s="83">
        <f ca="1"/>
        <v>45093</v>
      </c>
      <c r="S100" s="55">
        <f t="shared" ca="1" si="35"/>
        <v>45093</v>
      </c>
      <c r="T100" s="55">
        <f t="shared" ca="1" si="28"/>
        <v>108.65681564156877</v>
      </c>
      <c r="U100" s="55">
        <f t="shared" ca="1" si="29"/>
        <v>9.9865355443781816</v>
      </c>
      <c r="V100" s="55">
        <f t="shared" ca="1" si="30"/>
        <v>0</v>
      </c>
      <c r="W100" s="55">
        <f t="shared" ca="1" si="36"/>
        <v>-9.8638754376832125</v>
      </c>
      <c r="X100" s="55">
        <f t="shared" ca="1" si="37"/>
        <v>13.69278255428743</v>
      </c>
      <c r="Y100" s="55">
        <f t="shared" ca="1" si="38"/>
        <v>14.678309099364654</v>
      </c>
      <c r="Z100" s="55">
        <f t="shared" ca="1" si="31"/>
        <v>1.2126233027095843</v>
      </c>
      <c r="AA100">
        <f t="shared" ca="1" si="32"/>
        <v>120</v>
      </c>
      <c r="AB100">
        <f t="shared" ca="1" si="39"/>
        <v>15.975447240864</v>
      </c>
      <c r="AC100">
        <f t="shared" ca="1" si="33"/>
        <v>0</v>
      </c>
      <c r="AD100">
        <f t="shared" ca="1" si="34"/>
        <v>5.6731895259262956E-2</v>
      </c>
      <c r="AE100" s="83">
        <f ca="1"/>
        <v>45438</v>
      </c>
      <c r="AF100" s="55">
        <f t="shared" ca="1" si="43"/>
        <v>45438</v>
      </c>
      <c r="AG100" s="55">
        <f t="shared" ca="1" si="44"/>
        <v>-293.99191215436895</v>
      </c>
      <c r="AH100" s="55">
        <f t="shared" ca="1" si="45"/>
        <v>278.03438677406712</v>
      </c>
      <c r="AI100" s="55">
        <f t="shared" ca="1" si="46"/>
        <v>0</v>
      </c>
      <c r="AJ100" s="55">
        <f t="shared" ca="1" si="40"/>
        <v>0</v>
      </c>
      <c r="AK100" s="55">
        <f t="shared" ca="1" si="41"/>
        <v>8.0163125420499046</v>
      </c>
      <c r="AL100" s="55">
        <f t="shared" ca="1" si="42"/>
        <v>-73.018718561627722</v>
      </c>
      <c r="AM100" s="55"/>
    </row>
    <row r="101" spans="18:39">
      <c r="R101" s="83">
        <f ca="1"/>
        <v>45094</v>
      </c>
      <c r="S101" s="55">
        <f t="shared" ca="1" si="35"/>
        <v>45094</v>
      </c>
      <c r="T101" s="55">
        <f t="shared" ca="1" si="28"/>
        <v>107.60889271452804</v>
      </c>
      <c r="U101" s="55">
        <f t="shared" ca="1" si="29"/>
        <v>10.065469313212214</v>
      </c>
      <c r="V101" s="55">
        <f t="shared" ca="1" si="30"/>
        <v>0</v>
      </c>
      <c r="W101" s="55">
        <f t="shared" ca="1" si="36"/>
        <v>-11.013575085641916</v>
      </c>
      <c r="X101" s="55">
        <f t="shared" ca="1" si="37"/>
        <v>13.812521937465274</v>
      </c>
      <c r="Y101" s="55">
        <f t="shared" ca="1" si="38"/>
        <v>14.739280205938813</v>
      </c>
      <c r="Z101" s="55">
        <f t="shared" ca="1" si="31"/>
        <v>1.1050727636764499</v>
      </c>
      <c r="AA101">
        <f t="shared" ca="1" si="32"/>
        <v>120</v>
      </c>
      <c r="AB101">
        <f t="shared" ca="1" si="39"/>
        <v>17.915447240864012</v>
      </c>
      <c r="AC101">
        <f t="shared" ca="1" si="33"/>
        <v>0</v>
      </c>
      <c r="AD101">
        <f t="shared" ca="1" si="34"/>
        <v>5.7811807011309641E-2</v>
      </c>
      <c r="AE101" s="83">
        <f ca="1"/>
        <v>45439</v>
      </c>
      <c r="AF101" s="55">
        <f t="shared" ca="1" si="43"/>
        <v>45439</v>
      </c>
      <c r="AG101" s="55">
        <f t="shared" ca="1" si="44"/>
        <v>-297.65210085330324</v>
      </c>
      <c r="AH101" s="55">
        <f t="shared" ca="1" si="45"/>
        <v>281.63732809715907</v>
      </c>
      <c r="AI101" s="55">
        <f t="shared" ca="1" si="46"/>
        <v>0</v>
      </c>
      <c r="AJ101" s="55">
        <f t="shared" ca="1" si="40"/>
        <v>0</v>
      </c>
      <c r="AK101" s="55">
        <f t="shared" ca="1" si="41"/>
        <v>8.0905949967625244</v>
      </c>
      <c r="AL101" s="55">
        <f t="shared" ca="1" si="42"/>
        <v>-73.150248392182647</v>
      </c>
      <c r="AM101" s="55"/>
    </row>
    <row r="102" spans="18:39">
      <c r="R102" s="83">
        <f ca="1"/>
        <v>45095</v>
      </c>
      <c r="S102" s="55">
        <f t="shared" ca="1" si="35"/>
        <v>45095</v>
      </c>
      <c r="T102" s="55">
        <f t="shared" ca="1" si="28"/>
        <v>107.03915670660592</v>
      </c>
      <c r="U102" s="55">
        <f t="shared" ca="1" si="29"/>
        <v>10.151120466621689</v>
      </c>
      <c r="V102" s="55">
        <f t="shared" ca="1" si="30"/>
        <v>0</v>
      </c>
      <c r="W102" s="55">
        <f t="shared" ca="1" si="36"/>
        <v>-11.68559483470426</v>
      </c>
      <c r="X102" s="55">
        <f t="shared" ca="1" si="37"/>
        <v>13.938646423808189</v>
      </c>
      <c r="Y102" s="55">
        <f t="shared" ca="1" si="38"/>
        <v>14.801090614145592</v>
      </c>
      <c r="Z102" s="55">
        <f t="shared" ca="1" si="31"/>
        <v>1.19911614773266</v>
      </c>
      <c r="AA102">
        <f t="shared" ca="1" si="32"/>
        <v>120</v>
      </c>
      <c r="AB102">
        <f t="shared" ca="1" si="39"/>
        <v>19.055447240864012</v>
      </c>
      <c r="AC102">
        <f t="shared" ca="1" si="33"/>
        <v>0</v>
      </c>
      <c r="AD102">
        <f t="shared" ca="1" si="34"/>
        <v>5.8995783232073683E-2</v>
      </c>
      <c r="AE102" s="83">
        <f ca="1"/>
        <v>45440</v>
      </c>
      <c r="AF102" s="55">
        <f t="shared" ca="1" si="43"/>
        <v>45440</v>
      </c>
      <c r="AG102" s="55">
        <f t="shared" ca="1" si="44"/>
        <v>-301.46426306119594</v>
      </c>
      <c r="AH102" s="55">
        <f t="shared" ca="1" si="45"/>
        <v>285.39730105963127</v>
      </c>
      <c r="AI102" s="55">
        <f t="shared" ca="1" si="46"/>
        <v>0</v>
      </c>
      <c r="AJ102" s="55">
        <f t="shared" ca="1" si="40"/>
        <v>0</v>
      </c>
      <c r="AK102" s="55">
        <f t="shared" ca="1" si="41"/>
        <v>8.1682700342810328</v>
      </c>
      <c r="AL102" s="55">
        <f t="shared" ca="1" si="42"/>
        <v>-73.280112675121643</v>
      </c>
      <c r="AM102" s="55"/>
    </row>
    <row r="103" spans="18:39">
      <c r="R103" s="83">
        <f ca="1"/>
        <v>45096</v>
      </c>
      <c r="S103" s="55">
        <f t="shared" ca="1" si="35"/>
        <v>45096</v>
      </c>
      <c r="T103" s="55">
        <f t="shared" ca="1" si="28"/>
        <v>106.49979598251596</v>
      </c>
      <c r="U103" s="55">
        <f t="shared" ca="1" si="29"/>
        <v>10.236150062690546</v>
      </c>
      <c r="V103" s="55">
        <f t="shared" ca="1" si="30"/>
        <v>0</v>
      </c>
      <c r="W103" s="55">
        <f t="shared" ca="1" si="36"/>
        <v>-12.324902305660176</v>
      </c>
      <c r="X103" s="55">
        <f t="shared" ca="1" si="37"/>
        <v>14.063364165938333</v>
      </c>
      <c r="Y103" s="55">
        <f t="shared" ca="1" si="38"/>
        <v>14.861349214950261</v>
      </c>
      <c r="Z103" s="55">
        <f t="shared" ca="1" si="31"/>
        <v>1.1904143449639975</v>
      </c>
      <c r="AA103">
        <f t="shared" ca="1" si="32"/>
        <v>120</v>
      </c>
      <c r="AB103">
        <f t="shared" ca="1" si="39"/>
        <v>20.145447240864016</v>
      </c>
      <c r="AC103">
        <f t="shared" ca="1" si="33"/>
        <v>0</v>
      </c>
      <c r="AD103">
        <f t="shared" ca="1" si="34"/>
        <v>6.0183661932084631E-2</v>
      </c>
      <c r="AE103" s="83">
        <f ca="1"/>
        <v>45441</v>
      </c>
      <c r="AF103" s="55">
        <f t="shared" ca="1" si="43"/>
        <v>45441</v>
      </c>
      <c r="AG103" s="55">
        <f t="shared" ca="1" si="44"/>
        <v>-304.70664342286739</v>
      </c>
      <c r="AH103" s="55">
        <f t="shared" ca="1" si="45"/>
        <v>288.59639992865925</v>
      </c>
      <c r="AI103" s="55">
        <f t="shared" ca="1" si="46"/>
        <v>0</v>
      </c>
      <c r="AJ103" s="55">
        <f t="shared" ca="1" si="40"/>
        <v>0</v>
      </c>
      <c r="AK103" s="55">
        <f t="shared" ca="1" si="41"/>
        <v>8.2427053260722634</v>
      </c>
      <c r="AL103" s="55">
        <f t="shared" ca="1" si="42"/>
        <v>-73.397829459556391</v>
      </c>
      <c r="AM103" s="55"/>
    </row>
    <row r="104" spans="18:39">
      <c r="R104" s="83">
        <f ca="1"/>
        <v>45097</v>
      </c>
      <c r="S104" s="55">
        <f t="shared" ca="1" si="35"/>
        <v>45097</v>
      </c>
      <c r="T104" s="55">
        <f t="shared" ca="1" si="28"/>
        <v>106.0085628708615</v>
      </c>
      <c r="U104" s="55">
        <f t="shared" ca="1" si="29"/>
        <v>10.322689568752034</v>
      </c>
      <c r="V104" s="55">
        <f t="shared" ca="1" si="30"/>
        <v>0</v>
      </c>
      <c r="W104" s="55">
        <f t="shared" ca="1" si="36"/>
        <v>-12.914555732179551</v>
      </c>
      <c r="X104" s="55">
        <f t="shared" ca="1" si="37"/>
        <v>14.188924704773667</v>
      </c>
      <c r="Y104" s="55">
        <f t="shared" ca="1" si="38"/>
        <v>14.920748497041329</v>
      </c>
      <c r="Z104" s="55">
        <f t="shared" ca="1" si="31"/>
        <v>1.2115530848608316</v>
      </c>
      <c r="AA104">
        <f t="shared" ca="1" si="32"/>
        <v>120</v>
      </c>
      <c r="AB104">
        <f t="shared" ca="1" si="39"/>
        <v>21.155447240864021</v>
      </c>
      <c r="AC104">
        <f t="shared" ca="1" si="33"/>
        <v>0</v>
      </c>
      <c r="AD104">
        <f t="shared" ca="1" si="34"/>
        <v>6.1405386849329398E-2</v>
      </c>
      <c r="AE104" s="83">
        <f ca="1"/>
        <v>45442</v>
      </c>
      <c r="AF104" s="55">
        <f t="shared" ca="1" si="43"/>
        <v>45442</v>
      </c>
      <c r="AG104" s="55">
        <f t="shared" ca="1" si="44"/>
        <v>-307.94515112369112</v>
      </c>
      <c r="AH104" s="55">
        <f t="shared" ca="1" si="45"/>
        <v>291.80226829436867</v>
      </c>
      <c r="AI104" s="55">
        <f t="shared" ca="1" si="46"/>
        <v>0</v>
      </c>
      <c r="AJ104" s="55">
        <f t="shared" ca="1" si="40"/>
        <v>0</v>
      </c>
      <c r="AK104" s="55">
        <f t="shared" ca="1" si="41"/>
        <v>8.3164870424902837</v>
      </c>
      <c r="AL104" s="55">
        <f t="shared" ca="1" si="42"/>
        <v>-73.504250511088699</v>
      </c>
      <c r="AM104" s="55"/>
    </row>
    <row r="105" spans="18:39">
      <c r="R105" s="83">
        <f ca="1"/>
        <v>45098</v>
      </c>
      <c r="S105" s="55">
        <f t="shared" ca="1" si="35"/>
        <v>45098</v>
      </c>
      <c r="T105" s="55">
        <f t="shared" ca="1" si="28"/>
        <v>105.54190710895534</v>
      </c>
      <c r="U105" s="55">
        <f t="shared" ca="1" si="29"/>
        <v>10.411581169978721</v>
      </c>
      <c r="V105" s="55">
        <f t="shared" ca="1" si="30"/>
        <v>0</v>
      </c>
      <c r="W105" s="55">
        <f t="shared" ca="1" si="36"/>
        <v>-13.478363659141303</v>
      </c>
      <c r="X105" s="55">
        <f t="shared" ca="1" si="37"/>
        <v>14.316182093220142</v>
      </c>
      <c r="Y105" s="55">
        <f t="shared" ca="1" si="38"/>
        <v>14.979534874877139</v>
      </c>
      <c r="Z105" s="55">
        <f t="shared" ca="1" si="31"/>
        <v>1.2444824171736109</v>
      </c>
      <c r="AA105">
        <f t="shared" ca="1" si="32"/>
        <v>120</v>
      </c>
      <c r="AB105">
        <f t="shared" ca="1" si="39"/>
        <v>22.12544724086402</v>
      </c>
      <c r="AC105">
        <f t="shared" ca="1" si="33"/>
        <v>0</v>
      </c>
      <c r="AD105">
        <f t="shared" ca="1" si="34"/>
        <v>6.2673677853870929E-2</v>
      </c>
      <c r="AE105" s="83">
        <f ca="1"/>
        <v>45443</v>
      </c>
      <c r="AF105" s="55">
        <f t="shared" ca="1" si="43"/>
        <v>45443</v>
      </c>
      <c r="AG105" s="55">
        <f t="shared" ca="1" si="44"/>
        <v>-311.23335055482681</v>
      </c>
      <c r="AH105" s="55">
        <f t="shared" ca="1" si="45"/>
        <v>295.06400994282797</v>
      </c>
      <c r="AI105" s="55">
        <f t="shared" ca="1" si="46"/>
        <v>0</v>
      </c>
      <c r="AJ105" s="55">
        <f t="shared" ca="1" si="40"/>
        <v>0</v>
      </c>
      <c r="AK105" s="55">
        <f t="shared" ca="1" si="41"/>
        <v>8.3928784008347144</v>
      </c>
      <c r="AL105" s="55">
        <f t="shared" ca="1" si="42"/>
        <v>-73.607099652109525</v>
      </c>
      <c r="AM105" s="55"/>
    </row>
    <row r="106" spans="18:39">
      <c r="R106" s="83">
        <f ca="1"/>
        <v>45099</v>
      </c>
      <c r="S106" s="55">
        <f t="shared" ca="1" si="35"/>
        <v>45099</v>
      </c>
      <c r="T106" s="55">
        <f t="shared" ca="1" si="28"/>
        <v>105.01662227993965</v>
      </c>
      <c r="U106" s="55">
        <f t="shared" ca="1" si="29"/>
        <v>10.495463147516627</v>
      </c>
      <c r="V106" s="55">
        <f t="shared" ca="1" si="30"/>
        <v>0</v>
      </c>
      <c r="W106" s="55">
        <f t="shared" ca="1" si="36"/>
        <v>-14.097200740576429</v>
      </c>
      <c r="X106" s="55">
        <f t="shared" ca="1" si="37"/>
        <v>14.437566031726231</v>
      </c>
      <c r="Y106" s="55">
        <f t="shared" ca="1" si="38"/>
        <v>15.03558516632841</v>
      </c>
      <c r="Z106" s="55">
        <f t="shared" ca="1" si="31"/>
        <v>1.1743476855306909</v>
      </c>
      <c r="AA106">
        <f t="shared" ca="1" si="32"/>
        <v>120</v>
      </c>
      <c r="AB106">
        <f t="shared" ca="1" si="39"/>
        <v>23.195447240864027</v>
      </c>
      <c r="AC106">
        <f t="shared" ca="1" si="33"/>
        <v>0</v>
      </c>
      <c r="AD106">
        <f t="shared" ca="1" si="34"/>
        <v>6.3882875904304318E-2</v>
      </c>
      <c r="AE106" s="83">
        <f ca="1"/>
        <v>45444</v>
      </c>
      <c r="AF106" s="55">
        <f t="shared" ca="1" si="43"/>
        <v>45444</v>
      </c>
      <c r="AG106" s="55">
        <f t="shared" ca="1" si="44"/>
        <v>-314.1280888591275</v>
      </c>
      <c r="AH106" s="55">
        <f t="shared" ca="1" si="45"/>
        <v>297.9399155798335</v>
      </c>
      <c r="AI106" s="55">
        <f t="shared" ca="1" si="46"/>
        <v>0</v>
      </c>
      <c r="AJ106" s="55">
        <f t="shared" ca="1" si="40"/>
        <v>0</v>
      </c>
      <c r="AK106" s="55">
        <f t="shared" ca="1" si="41"/>
        <v>8.4674842219305173</v>
      </c>
      <c r="AL106" s="55">
        <f t="shared" ca="1" si="42"/>
        <v>-73.700538140500527</v>
      </c>
      <c r="AM106" s="55"/>
    </row>
    <row r="107" spans="18:39">
      <c r="R107" s="83">
        <f ca="1"/>
        <v>45100</v>
      </c>
      <c r="S107" s="55">
        <f t="shared" ca="1" si="35"/>
        <v>45100</v>
      </c>
      <c r="T107" s="55">
        <f t="shared" ca="1" si="28"/>
        <v>104.96424026191998</v>
      </c>
      <c r="U107" s="55">
        <f t="shared" ca="1" si="29"/>
        <v>10.580977072182028</v>
      </c>
      <c r="V107" s="55">
        <f t="shared" ca="1" si="30"/>
        <v>0</v>
      </c>
      <c r="W107" s="55">
        <f t="shared" ca="1" si="36"/>
        <v>-14.241716723545739</v>
      </c>
      <c r="X107" s="55">
        <f t="shared" ca="1" si="37"/>
        <v>14.559916163546525</v>
      </c>
      <c r="Y107" s="55">
        <f t="shared" ca="1" si="38"/>
        <v>15.090882924123163</v>
      </c>
      <c r="Z107" s="55">
        <f t="shared" ca="1" si="31"/>
        <v>1.1971949453156121</v>
      </c>
      <c r="AA107">
        <f t="shared" ca="1" si="32"/>
        <v>120</v>
      </c>
      <c r="AB107">
        <f t="shared" ca="1" si="39"/>
        <v>23.445447240864027</v>
      </c>
      <c r="AC107">
        <f t="shared" ca="1" si="33"/>
        <v>0</v>
      </c>
      <c r="AD107">
        <f t="shared" ca="1" si="34"/>
        <v>6.5127942587761445E-2</v>
      </c>
      <c r="AE107" s="83">
        <f ca="1"/>
        <v>45445</v>
      </c>
      <c r="AF107" s="55">
        <f t="shared" ca="1" si="43"/>
        <v>45445</v>
      </c>
      <c r="AG107" s="55">
        <f t="shared" ca="1" si="44"/>
        <v>-316.66477069119156</v>
      </c>
      <c r="AH107" s="55">
        <f t="shared" ca="1" si="45"/>
        <v>300.46497418941487</v>
      </c>
      <c r="AI107" s="55">
        <f t="shared" ca="1" si="46"/>
        <v>0</v>
      </c>
      <c r="AJ107" s="55">
        <f t="shared" ca="1" si="40"/>
        <v>0</v>
      </c>
      <c r="AK107" s="55">
        <f t="shared" ca="1" si="41"/>
        <v>8.540627849105821</v>
      </c>
      <c r="AL107" s="55">
        <f t="shared" ca="1" si="42"/>
        <v>-73.78530499015848</v>
      </c>
      <c r="AM107" s="55"/>
    </row>
    <row r="108" spans="18:39">
      <c r="R108" s="83">
        <f ca="1"/>
        <v>45101</v>
      </c>
      <c r="S108" s="55">
        <f t="shared" ca="1" si="35"/>
        <v>45101</v>
      </c>
      <c r="T108" s="55">
        <f t="shared" ca="1" si="28"/>
        <v>104.63516122516276</v>
      </c>
      <c r="U108" s="55">
        <f t="shared" ca="1" si="29"/>
        <v>10.671357305835354</v>
      </c>
      <c r="V108" s="55">
        <f t="shared" ca="1" si="30"/>
        <v>0</v>
      </c>
      <c r="W108" s="55">
        <f t="shared" ca="1" si="36"/>
        <v>-14.662380400703135</v>
      </c>
      <c r="X108" s="55">
        <f t="shared" ca="1" si="37"/>
        <v>14.686464705348172</v>
      </c>
      <c r="Y108" s="55">
        <f t="shared" ca="1" si="38"/>
        <v>15.146299256375</v>
      </c>
      <c r="Z108" s="55">
        <f t="shared" ca="1" si="31"/>
        <v>1.2653232711465598</v>
      </c>
      <c r="AA108">
        <f t="shared" ca="1" si="32"/>
        <v>120</v>
      </c>
      <c r="AB108">
        <f t="shared" ca="1" si="39"/>
        <v>24.175447240864031</v>
      </c>
      <c r="AC108">
        <f t="shared" ca="1" si="33"/>
        <v>0</v>
      </c>
      <c r="AD108">
        <f t="shared" ca="1" si="34"/>
        <v>6.6457368335732903E-2</v>
      </c>
      <c r="AE108" s="83">
        <f ca="1"/>
        <v>45446</v>
      </c>
      <c r="AF108" s="55">
        <f t="shared" ca="1" si="43"/>
        <v>45446</v>
      </c>
      <c r="AG108" s="55">
        <f t="shared" ca="1" si="44"/>
        <v>-318.9770943922133</v>
      </c>
      <c r="AH108" s="55">
        <f t="shared" ca="1" si="45"/>
        <v>302.77288516925614</v>
      </c>
      <c r="AI108" s="55">
        <f t="shared" ca="1" si="46"/>
        <v>0</v>
      </c>
      <c r="AJ108" s="55">
        <f t="shared" ca="1" si="40"/>
        <v>0</v>
      </c>
      <c r="AK108" s="55">
        <f t="shared" ca="1" si="41"/>
        <v>8.6134643392828369</v>
      </c>
      <c r="AL108" s="55">
        <f t="shared" ca="1" si="42"/>
        <v>-73.862554201515934</v>
      </c>
      <c r="AM108" s="55"/>
    </row>
    <row r="109" spans="18:39">
      <c r="R109" s="83">
        <f ca="1"/>
        <v>45102</v>
      </c>
      <c r="S109" s="55">
        <f t="shared" ca="1" si="35"/>
        <v>45102</v>
      </c>
      <c r="T109" s="55">
        <f t="shared" ca="1" si="28"/>
        <v>104.51172395222009</v>
      </c>
      <c r="U109" s="55">
        <f t="shared" ca="1" si="29"/>
        <v>10.761512034762255</v>
      </c>
      <c r="V109" s="55">
        <f t="shared" ca="1" si="30"/>
        <v>0</v>
      </c>
      <c r="W109" s="55">
        <f t="shared" ca="1" si="36"/>
        <v>-14.875341971539102</v>
      </c>
      <c r="X109" s="55">
        <f t="shared" ca="1" si="37"/>
        <v>14.812025244183506</v>
      </c>
      <c r="Y109" s="55">
        <f t="shared" ca="1" si="38"/>
        <v>15.200417744359875</v>
      </c>
      <c r="Z109" s="55">
        <f t="shared" ca="1" si="31"/>
        <v>1.2621662049766158</v>
      </c>
      <c r="AA109">
        <f t="shared" ca="1" si="32"/>
        <v>120</v>
      </c>
      <c r="AB109">
        <f t="shared" ca="1" si="39"/>
        <v>24.545447240864021</v>
      </c>
      <c r="AC109">
        <f t="shared" ca="1" si="33"/>
        <v>0</v>
      </c>
      <c r="AD109">
        <f t="shared" ca="1" si="34"/>
        <v>6.7797261830574038E-2</v>
      </c>
      <c r="AE109" s="83">
        <f ca="1"/>
        <v>45447</v>
      </c>
      <c r="AF109" s="55">
        <f t="shared" ca="1" si="43"/>
        <v>45447</v>
      </c>
      <c r="AG109" s="55">
        <f t="shared" ca="1" si="44"/>
        <v>-321.18076765018276</v>
      </c>
      <c r="AH109" s="55">
        <f t="shared" ca="1" si="45"/>
        <v>304.98026969420204</v>
      </c>
      <c r="AI109" s="55">
        <f t="shared" ca="1" si="46"/>
        <v>0</v>
      </c>
      <c r="AJ109" s="55">
        <f t="shared" ca="1" si="40"/>
        <v>0</v>
      </c>
      <c r="AK109" s="55">
        <f t="shared" ca="1" si="41"/>
        <v>8.6858166093207299</v>
      </c>
      <c r="AL109" s="55">
        <f t="shared" ca="1" si="42"/>
        <v>-73.93119520457735</v>
      </c>
      <c r="AM109" s="55"/>
    </row>
    <row r="110" spans="18:39">
      <c r="R110" s="83">
        <f ca="1"/>
        <v>45103</v>
      </c>
      <c r="S110" s="55">
        <f t="shared" ca="1" si="35"/>
        <v>45103</v>
      </c>
      <c r="T110" s="55">
        <f t="shared" ca="1" si="28"/>
        <v>104.51407951621552</v>
      </c>
      <c r="U110" s="55">
        <f t="shared" ca="1" si="29"/>
        <v>10.855959027434716</v>
      </c>
      <c r="V110" s="55">
        <f t="shared" ca="1" si="30"/>
        <v>0</v>
      </c>
      <c r="W110" s="55">
        <f t="shared" ca="1" si="36"/>
        <v>-14.961679689400318</v>
      </c>
      <c r="X110" s="55">
        <f t="shared" ca="1" si="37"/>
        <v>14.941137868051541</v>
      </c>
      <c r="Y110" s="55">
        <f t="shared" ca="1" si="38"/>
        <v>15.254445395020923</v>
      </c>
      <c r="Z110" s="55">
        <f t="shared" ca="1" si="31"/>
        <v>1.3222578974144561</v>
      </c>
      <c r="AA110">
        <f t="shared" ca="1" si="32"/>
        <v>120</v>
      </c>
      <c r="AB110">
        <f t="shared" ca="1" si="39"/>
        <v>24.695447240864013</v>
      </c>
      <c r="AC110">
        <f t="shared" ca="1" si="33"/>
        <v>0</v>
      </c>
      <c r="AD110">
        <f t="shared" ca="1" si="34"/>
        <v>6.9215663598408944E-2</v>
      </c>
      <c r="AE110" s="83">
        <f ca="1"/>
        <v>45448</v>
      </c>
      <c r="AF110" s="55">
        <f t="shared" ca="1" si="43"/>
        <v>45448</v>
      </c>
      <c r="AG110" s="55">
        <f t="shared" ca="1" si="44"/>
        <v>-323.01387038200835</v>
      </c>
      <c r="AH110" s="55">
        <f t="shared" ca="1" si="45"/>
        <v>306.82376407252798</v>
      </c>
      <c r="AI110" s="55">
        <f t="shared" ca="1" si="46"/>
        <v>0</v>
      </c>
      <c r="AJ110" s="55">
        <f t="shared" ca="1" si="40"/>
        <v>0</v>
      </c>
      <c r="AK110" s="55">
        <f t="shared" ca="1" si="41"/>
        <v>8.7558254470070445</v>
      </c>
      <c r="AL110" s="55">
        <f t="shared" ca="1" si="42"/>
        <v>-73.990812395763328</v>
      </c>
      <c r="AM110" s="55"/>
    </row>
    <row r="111" spans="18:39">
      <c r="R111" s="83">
        <f ca="1"/>
        <v>45104</v>
      </c>
      <c r="S111" s="55">
        <f t="shared" ca="1" si="35"/>
        <v>45104</v>
      </c>
      <c r="T111" s="55">
        <f t="shared" ca="1" si="28"/>
        <v>104.18038484573557</v>
      </c>
      <c r="U111" s="55">
        <f t="shared" ca="1" si="29"/>
        <v>10.943929319310779</v>
      </c>
      <c r="V111" s="55">
        <f t="shared" ca="1" si="30"/>
        <v>0</v>
      </c>
      <c r="W111" s="55">
        <f t="shared" ca="1" si="36"/>
        <v>-15.380515033693177</v>
      </c>
      <c r="X111" s="55">
        <f t="shared" ca="1" si="37"/>
        <v>15.063073296338958</v>
      </c>
      <c r="Y111" s="55">
        <f t="shared" ca="1" si="38"/>
        <v>15.305620932422482</v>
      </c>
      <c r="Z111" s="55">
        <f t="shared" ca="1" si="31"/>
        <v>1.2315840862648848</v>
      </c>
      <c r="AA111">
        <f t="shared" ca="1" si="32"/>
        <v>120</v>
      </c>
      <c r="AB111">
        <f t="shared" ca="1" si="39"/>
        <v>25.425447240864017</v>
      </c>
      <c r="AC111">
        <f t="shared" ca="1" si="33"/>
        <v>0</v>
      </c>
      <c r="AD111">
        <f t="shared" ca="1" si="34"/>
        <v>7.0550295219987152E-2</v>
      </c>
      <c r="AE111" s="83">
        <f ca="1"/>
        <v>45449</v>
      </c>
      <c r="AF111" s="55">
        <f t="shared" ca="1" si="43"/>
        <v>45449</v>
      </c>
      <c r="AG111" s="55">
        <f t="shared" ca="1" si="44"/>
        <v>-325.0316633458047</v>
      </c>
      <c r="AH111" s="55">
        <f t="shared" ca="1" si="45"/>
        <v>308.86042452560883</v>
      </c>
      <c r="AI111" s="55">
        <f t="shared" ca="1" si="46"/>
        <v>0</v>
      </c>
      <c r="AJ111" s="55">
        <f t="shared" ca="1" si="40"/>
        <v>0</v>
      </c>
      <c r="AK111" s="55">
        <f t="shared" ca="1" si="41"/>
        <v>8.8288104815143651</v>
      </c>
      <c r="AL111" s="55">
        <f t="shared" ca="1" si="42"/>
        <v>-74.044929940986179</v>
      </c>
      <c r="AM111" s="55"/>
    </row>
    <row r="112" spans="18:39">
      <c r="R112" s="83">
        <f ca="1"/>
        <v>45105</v>
      </c>
      <c r="S112" s="55">
        <f t="shared" ca="1" si="35"/>
        <v>45105</v>
      </c>
      <c r="T112" s="55">
        <f t="shared" ca="1" si="28"/>
        <v>103.86278482599172</v>
      </c>
      <c r="U112" s="55">
        <f t="shared" ca="1" si="29"/>
        <v>11.028855068106655</v>
      </c>
      <c r="V112" s="55">
        <f t="shared" ca="1" si="30"/>
        <v>0</v>
      </c>
      <c r="W112" s="55">
        <f t="shared" ca="1" si="36"/>
        <v>-15.780913595486124</v>
      </c>
      <c r="X112" s="55">
        <f t="shared" ca="1" si="37"/>
        <v>15.181453549850904</v>
      </c>
      <c r="Y112" s="55">
        <f t="shared" ca="1" si="38"/>
        <v>15.354964969755491</v>
      </c>
      <c r="Z112" s="55">
        <f t="shared" ca="1" si="31"/>
        <v>1.1889604831422531</v>
      </c>
      <c r="AA112">
        <f t="shared" ca="1" si="32"/>
        <v>120</v>
      </c>
      <c r="AB112">
        <f t="shared" ca="1" si="39"/>
        <v>26.125447240864005</v>
      </c>
      <c r="AC112">
        <f t="shared" ca="1" si="33"/>
        <v>0</v>
      </c>
      <c r="AD112">
        <f t="shared" ca="1" si="34"/>
        <v>7.1851041708868593E-2</v>
      </c>
      <c r="AE112" s="83">
        <f ca="1"/>
        <v>45450</v>
      </c>
      <c r="AF112" s="55">
        <f t="shared" ca="1" si="43"/>
        <v>45450</v>
      </c>
      <c r="AG112" s="55">
        <f t="shared" ca="1" si="44"/>
        <v>-327.52927337656837</v>
      </c>
      <c r="AH112" s="55">
        <f t="shared" ca="1" si="45"/>
        <v>311.38817146640304</v>
      </c>
      <c r="AI112" s="55">
        <f t="shared" ca="1" si="46"/>
        <v>0</v>
      </c>
      <c r="AJ112" s="55">
        <f t="shared" ca="1" si="40"/>
        <v>0</v>
      </c>
      <c r="AK112" s="55">
        <f t="shared" ca="1" si="41"/>
        <v>8.9073804697964594</v>
      </c>
      <c r="AL112" s="55">
        <f t="shared" ca="1" si="42"/>
        <v>-74.093363019237728</v>
      </c>
      <c r="AM112" s="55"/>
    </row>
    <row r="113" spans="18:39">
      <c r="R113" s="83">
        <f ca="1"/>
        <v>45106</v>
      </c>
      <c r="S113" s="55">
        <f t="shared" ca="1" si="35"/>
        <v>45106</v>
      </c>
      <c r="T113" s="55">
        <f t="shared" ca="1" si="28"/>
        <v>102.75062475861678</v>
      </c>
      <c r="U113" s="55">
        <f t="shared" ca="1" si="29"/>
        <v>11.117765714051307</v>
      </c>
      <c r="V113" s="55">
        <f t="shared" ca="1" si="30"/>
        <v>0</v>
      </c>
      <c r="W113" s="55">
        <f t="shared" ca="1" si="36"/>
        <v>-16.974905637971037</v>
      </c>
      <c r="X113" s="55">
        <f t="shared" ca="1" si="37"/>
        <v>15.302975205714638</v>
      </c>
      <c r="Y113" s="55">
        <f t="shared" ca="1" si="38"/>
        <v>15.404185934946375</v>
      </c>
      <c r="Z113" s="55">
        <f t="shared" ca="1" si="31"/>
        <v>1.2447490432251378</v>
      </c>
      <c r="AA113">
        <f t="shared" ca="1" si="32"/>
        <v>120</v>
      </c>
      <c r="AB113">
        <f t="shared" ca="1" si="39"/>
        <v>28.235447240864005</v>
      </c>
      <c r="AC113">
        <f t="shared" ca="1" si="33"/>
        <v>0</v>
      </c>
      <c r="AD113">
        <f t="shared" ca="1" si="34"/>
        <v>7.3225726381292114E-2</v>
      </c>
      <c r="AE113" s="83">
        <f ca="1"/>
        <v>45451</v>
      </c>
      <c r="AF113" s="55">
        <f t="shared" ca="1" si="43"/>
        <v>45451</v>
      </c>
      <c r="AG113" s="55">
        <f t="shared" ca="1" si="44"/>
        <v>-330.1716839579164</v>
      </c>
      <c r="AH113" s="55">
        <f t="shared" ca="1" si="45"/>
        <v>314.07101129978099</v>
      </c>
      <c r="AI113" s="55">
        <f t="shared" ca="1" si="46"/>
        <v>0</v>
      </c>
      <c r="AJ113" s="55">
        <f t="shared" ca="1" si="40"/>
        <v>0</v>
      </c>
      <c r="AK113" s="55">
        <f t="shared" ca="1" si="41"/>
        <v>8.9881017882008667</v>
      </c>
      <c r="AL113" s="55">
        <f t="shared" ca="1" si="42"/>
        <v>-74.133655085612247</v>
      </c>
      <c r="AM113" s="55"/>
    </row>
    <row r="114" spans="18:39">
      <c r="R114" s="83">
        <f ca="1"/>
        <v>45107</v>
      </c>
      <c r="S114" s="55">
        <f t="shared" ca="1" si="35"/>
        <v>45107</v>
      </c>
      <c r="T114" s="55">
        <f t="shared" ca="1" si="28"/>
        <v>102.29094734452954</v>
      </c>
      <c r="U114" s="55">
        <f t="shared" ca="1" si="29"/>
        <v>11.212355020139251</v>
      </c>
      <c r="V114" s="55">
        <f t="shared" ca="1" si="30"/>
        <v>0</v>
      </c>
      <c r="W114" s="55">
        <f t="shared" ca="1" si="36"/>
        <v>-17.515713429149077</v>
      </c>
      <c r="X114" s="55">
        <f t="shared" ca="1" si="37"/>
        <v>15.429240939562721</v>
      </c>
      <c r="Y114" s="55">
        <f t="shared" ca="1" si="38"/>
        <v>15.453639884277031</v>
      </c>
      <c r="Z114" s="55">
        <f t="shared" ca="1" si="31"/>
        <v>1.3242502852312086</v>
      </c>
      <c r="AA114">
        <f t="shared" ca="1" si="32"/>
        <v>120</v>
      </c>
      <c r="AB114">
        <f t="shared" ca="1" si="39"/>
        <v>29.195447240864013</v>
      </c>
      <c r="AC114">
        <f t="shared" ca="1" si="33"/>
        <v>0</v>
      </c>
      <c r="AD114">
        <f t="shared" ca="1" si="34"/>
        <v>7.470264582065167E-2</v>
      </c>
      <c r="AE114" s="83">
        <f ca="1"/>
        <v>45452</v>
      </c>
      <c r="AF114" s="55">
        <f t="shared" ca="1" si="43"/>
        <v>45452</v>
      </c>
      <c r="AG114" s="55">
        <f t="shared" ca="1" si="44"/>
        <v>-332.75457818293711</v>
      </c>
      <c r="AH114" s="55">
        <f t="shared" ca="1" si="45"/>
        <v>316.70418631112642</v>
      </c>
      <c r="AI114" s="55">
        <f t="shared" ca="1" si="46"/>
        <v>0</v>
      </c>
      <c r="AJ114" s="55">
        <f t="shared" ca="1" si="40"/>
        <v>0</v>
      </c>
      <c r="AK114" s="55">
        <f t="shared" ca="1" si="41"/>
        <v>9.0700515155953507</v>
      </c>
      <c r="AL114" s="55">
        <f t="shared" ca="1" si="42"/>
        <v>-74.165324026682015</v>
      </c>
      <c r="AM114" s="55"/>
    </row>
    <row r="115" spans="18:39">
      <c r="R115" s="83">
        <f ca="1"/>
        <v>45108</v>
      </c>
      <c r="S115" s="55">
        <f t="shared" ca="1" si="35"/>
        <v>45108</v>
      </c>
      <c r="T115" s="55">
        <f t="shared" ca="1" si="28"/>
        <v>102.21679006596311</v>
      </c>
      <c r="U115" s="55">
        <f t="shared" ca="1" si="29"/>
        <v>11.297556121377928</v>
      </c>
      <c r="V115" s="55">
        <f t="shared" ca="1" si="30"/>
        <v>0</v>
      </c>
      <c r="W115" s="55">
        <f t="shared" ca="1" si="36"/>
        <v>-17.667705351768905</v>
      </c>
      <c r="X115" s="55">
        <f t="shared" ca="1" si="37"/>
        <v>15.546003794973322</v>
      </c>
      <c r="Y115" s="55">
        <f t="shared" ca="1" si="38"/>
        <v>15.499912774158508</v>
      </c>
      <c r="Z115" s="55">
        <f t="shared" ca="1" si="31"/>
        <v>1.1928154173414853</v>
      </c>
      <c r="AA115">
        <f t="shared" ca="1" si="32"/>
        <v>120</v>
      </c>
      <c r="AB115">
        <f t="shared" ca="1" si="39"/>
        <v>29.465447240864023</v>
      </c>
      <c r="AC115">
        <f t="shared" ca="1" si="33"/>
        <v>0</v>
      </c>
      <c r="AD115">
        <f t="shared" ca="1" si="34"/>
        <v>7.6045664533487933E-2</v>
      </c>
      <c r="AE115" s="83">
        <f ca="1"/>
        <v>45453</v>
      </c>
      <c r="AF115" s="55">
        <f t="shared" ca="1" si="43"/>
        <v>45453</v>
      </c>
      <c r="AG115" s="55">
        <f t="shared" ca="1" si="44"/>
        <v>-335.08177032376869</v>
      </c>
      <c r="AH115" s="55">
        <f t="shared" ca="1" si="45"/>
        <v>319.08841559508994</v>
      </c>
      <c r="AI115" s="55">
        <f t="shared" ca="1" si="46"/>
        <v>0</v>
      </c>
      <c r="AJ115" s="55">
        <f t="shared" ca="1" si="40"/>
        <v>0</v>
      </c>
      <c r="AK115" s="55">
        <f t="shared" ca="1" si="41"/>
        <v>9.1501280936639926</v>
      </c>
      <c r="AL115" s="55">
        <f t="shared" ca="1" si="42"/>
        <v>-74.188363461618763</v>
      </c>
      <c r="AM115" s="55"/>
    </row>
    <row r="116" spans="18:39">
      <c r="R116" s="83">
        <f ca="1"/>
        <v>45109</v>
      </c>
      <c r="S116" s="55">
        <f t="shared" ca="1" si="35"/>
        <v>45109</v>
      </c>
      <c r="T116" s="55">
        <f t="shared" ca="1" si="28"/>
        <v>101.97815675844072</v>
      </c>
      <c r="U116" s="55">
        <f t="shared" ca="1" si="29"/>
        <v>11.378491760841532</v>
      </c>
      <c r="V116" s="55">
        <f t="shared" ca="1" si="30"/>
        <v>0</v>
      </c>
      <c r="W116" s="55">
        <f t="shared" ca="1" si="36"/>
        <v>-17.982211898989142</v>
      </c>
      <c r="X116" s="55">
        <f t="shared" ca="1" si="37"/>
        <v>15.658394676975979</v>
      </c>
      <c r="Y116" s="55">
        <f t="shared" ca="1" si="38"/>
        <v>15.544330771317293</v>
      </c>
      <c r="Z116" s="55">
        <f t="shared" ca="1" si="31"/>
        <v>1.1330989524904567</v>
      </c>
      <c r="AA116">
        <f t="shared" ca="1" si="32"/>
        <v>120</v>
      </c>
      <c r="AB116">
        <f t="shared" ca="1" si="39"/>
        <v>30.025447240864025</v>
      </c>
      <c r="AC116">
        <f t="shared" ca="1" si="33"/>
        <v>0</v>
      </c>
      <c r="AD116">
        <f t="shared" ca="1" si="34"/>
        <v>7.7332537670636248E-2</v>
      </c>
      <c r="AE116" s="83">
        <f ca="1"/>
        <v>45454</v>
      </c>
      <c r="AF116" s="55">
        <f t="shared" ca="1" si="43"/>
        <v>45454</v>
      </c>
      <c r="AG116" s="55">
        <f t="shared" ca="1" si="44"/>
        <v>-337.43367042077807</v>
      </c>
      <c r="AH116" s="55">
        <f t="shared" ca="1" si="45"/>
        <v>321.51001923083601</v>
      </c>
      <c r="AI116" s="55">
        <f t="shared" ca="1" si="46"/>
        <v>0</v>
      </c>
      <c r="AJ116" s="55">
        <f t="shared" ca="1" si="40"/>
        <v>0</v>
      </c>
      <c r="AK116" s="55">
        <f t="shared" ca="1" si="41"/>
        <v>9.2351213536641499</v>
      </c>
      <c r="AL116" s="55">
        <f t="shared" ca="1" si="42"/>
        <v>-74.203653182882249</v>
      </c>
      <c r="AM116" s="55"/>
    </row>
    <row r="117" spans="18:39">
      <c r="R117" s="83">
        <f ca="1"/>
        <v>45110</v>
      </c>
      <c r="S117" s="55">
        <f t="shared" ca="1" si="35"/>
        <v>45110</v>
      </c>
      <c r="T117" s="55">
        <f t="shared" ca="1" si="28"/>
        <v>101.73968722407429</v>
      </c>
      <c r="U117" s="55">
        <f t="shared" ca="1" si="29"/>
        <v>11.468073610834052</v>
      </c>
      <c r="V117" s="55">
        <f t="shared" ca="1" si="30"/>
        <v>0</v>
      </c>
      <c r="W117" s="55">
        <f t="shared" ca="1" si="36"/>
        <v>-18.29598299234107</v>
      </c>
      <c r="X117" s="55">
        <f t="shared" ca="1" si="37"/>
        <v>15.777997684108206</v>
      </c>
      <c r="Y117" s="55">
        <f t="shared" ca="1" si="38"/>
        <v>15.589611173163075</v>
      </c>
      <c r="Z117" s="55">
        <f t="shared" ca="1" si="31"/>
        <v>1.2541458998952777</v>
      </c>
      <c r="AA117">
        <f t="shared" ca="1" si="32"/>
        <v>120</v>
      </c>
      <c r="AB117">
        <f t="shared" ca="1" si="39"/>
        <v>30.585447240864028</v>
      </c>
      <c r="AC117">
        <f t="shared" ca="1" si="33"/>
        <v>0</v>
      </c>
      <c r="AD117">
        <f t="shared" ca="1" si="34"/>
        <v>7.8769431439378076E-2</v>
      </c>
      <c r="AE117" s="83">
        <f ca="1"/>
        <v>45455</v>
      </c>
      <c r="AF117" s="55">
        <f t="shared" ca="1" si="43"/>
        <v>45455</v>
      </c>
      <c r="AG117" s="55">
        <f t="shared" ca="1" si="44"/>
        <v>-339.0124783789322</v>
      </c>
      <c r="AH117" s="55">
        <f t="shared" ca="1" si="45"/>
        <v>323.16041847231554</v>
      </c>
      <c r="AI117" s="55">
        <f t="shared" ca="1" si="46"/>
        <v>0</v>
      </c>
      <c r="AJ117" s="55">
        <f t="shared" ca="1" si="40"/>
        <v>0</v>
      </c>
      <c r="AK117" s="55">
        <f t="shared" ca="1" si="41"/>
        <v>9.3141176985717955</v>
      </c>
      <c r="AL117" s="55">
        <f t="shared" ca="1" si="42"/>
        <v>-74.211058244464454</v>
      </c>
      <c r="AM117" s="55"/>
    </row>
    <row r="118" spans="18:39">
      <c r="R118" s="83">
        <f ca="1"/>
        <v>45111</v>
      </c>
      <c r="S118" s="55">
        <f t="shared" ca="1" si="35"/>
        <v>45111</v>
      </c>
      <c r="T118" s="55">
        <f t="shared" ca="1" si="28"/>
        <v>101.67393662513727</v>
      </c>
      <c r="U118" s="55">
        <f t="shared" ca="1" si="29"/>
        <v>11.5622685544083</v>
      </c>
      <c r="V118" s="55">
        <f t="shared" ca="1" si="30"/>
        <v>0</v>
      </c>
      <c r="W118" s="55">
        <f t="shared" ca="1" si="36"/>
        <v>-18.435968847114811</v>
      </c>
      <c r="X118" s="55">
        <f t="shared" ca="1" si="37"/>
        <v>15.901180019312319</v>
      </c>
      <c r="Y118" s="55">
        <f t="shared" ca="1" si="38"/>
        <v>15.634859037369944</v>
      </c>
      <c r="Z118" s="55">
        <f t="shared" ca="1" si="31"/>
        <v>1.3187292100394714</v>
      </c>
      <c r="AA118">
        <f t="shared" ca="1" si="32"/>
        <v>120</v>
      </c>
      <c r="AB118">
        <f t="shared" ca="1" si="39"/>
        <v>30.835447240864028</v>
      </c>
      <c r="AC118">
        <f t="shared" ca="1" si="33"/>
        <v>0</v>
      </c>
      <c r="AD118">
        <f t="shared" ca="1" si="34"/>
        <v>8.0294473635078828E-2</v>
      </c>
      <c r="AE118" s="83">
        <f ca="1"/>
        <v>45456</v>
      </c>
      <c r="AF118" s="55">
        <f t="shared" ca="1" si="43"/>
        <v>45456</v>
      </c>
      <c r="AG118" s="55">
        <f t="shared" ca="1" si="44"/>
        <v>-340.86999490224696</v>
      </c>
      <c r="AH118" s="55">
        <f t="shared" ca="1" si="45"/>
        <v>325.09985226769254</v>
      </c>
      <c r="AI118" s="55">
        <f t="shared" ca="1" si="46"/>
        <v>0</v>
      </c>
      <c r="AJ118" s="55">
        <f t="shared" ca="1" si="40"/>
        <v>0</v>
      </c>
      <c r="AK118" s="55">
        <f t="shared" ca="1" si="41"/>
        <v>9.3967691340065382</v>
      </c>
      <c r="AL118" s="55">
        <f t="shared" ca="1" si="42"/>
        <v>-74.211792407836924</v>
      </c>
      <c r="AM118" s="55"/>
    </row>
    <row r="119" spans="18:39">
      <c r="R119" s="83">
        <f ca="1"/>
        <v>45112</v>
      </c>
      <c r="S119" s="55">
        <f t="shared" ca="1" si="35"/>
        <v>45112</v>
      </c>
      <c r="T119" s="55">
        <f t="shared" ca="1" si="28"/>
        <v>101.74707970487756</v>
      </c>
      <c r="U119" s="55">
        <f t="shared" ca="1" si="29"/>
        <v>11.661328606822066</v>
      </c>
      <c r="V119" s="55">
        <f t="shared" ca="1" si="30"/>
        <v>0</v>
      </c>
      <c r="W119" s="55">
        <f t="shared" ca="1" si="36"/>
        <v>-18.435968847114811</v>
      </c>
      <c r="X119" s="55">
        <f t="shared" ca="1" si="37"/>
        <v>16.028153555807158</v>
      </c>
      <c r="Y119" s="55">
        <f t="shared" ca="1" si="38"/>
        <v>15.680088633029156</v>
      </c>
      <c r="Z119" s="55">
        <f t="shared" ca="1" si="31"/>
        <v>1.3868407337927167</v>
      </c>
      <c r="AA119">
        <f t="shared" ca="1" si="32"/>
        <v>119.80869565217391</v>
      </c>
      <c r="AB119">
        <f t="shared" ca="1" si="39"/>
        <v>30.835447240864028</v>
      </c>
      <c r="AC119">
        <f t="shared" ca="1" si="33"/>
        <v>0</v>
      </c>
      <c r="AD119">
        <f t="shared" ca="1" si="34"/>
        <v>8.1913858743476717E-2</v>
      </c>
      <c r="AE119" s="83">
        <f ca="1"/>
        <v>45457</v>
      </c>
      <c r="AF119" s="55">
        <f t="shared" ca="1" si="43"/>
        <v>45457</v>
      </c>
      <c r="AG119" s="55">
        <f t="shared" ca="1" si="44"/>
        <v>-342.77811424018904</v>
      </c>
      <c r="AH119" s="55">
        <f t="shared" ca="1" si="45"/>
        <v>327.10138860181598</v>
      </c>
      <c r="AI119" s="55">
        <f t="shared" ca="1" si="46"/>
        <v>0</v>
      </c>
      <c r="AJ119" s="55">
        <f t="shared" ca="1" si="40"/>
        <v>0</v>
      </c>
      <c r="AK119" s="55">
        <f t="shared" ca="1" si="41"/>
        <v>9.4841304950414411</v>
      </c>
      <c r="AL119" s="55">
        <f t="shared" ca="1" si="42"/>
        <v>-74.205736772690457</v>
      </c>
      <c r="AM119" s="55"/>
    </row>
    <row r="120" spans="18:39">
      <c r="R120" s="83">
        <f ca="1"/>
        <v>45113</v>
      </c>
      <c r="S120" s="55">
        <f t="shared" ca="1" si="35"/>
        <v>45113</v>
      </c>
      <c r="T120" s="55">
        <f t="shared" ca="1" si="28"/>
        <v>100.7134616760785</v>
      </c>
      <c r="U120" s="55">
        <f t="shared" ca="1" si="29"/>
        <v>11.758000588562039</v>
      </c>
      <c r="V120" s="55">
        <f t="shared" ca="1" si="30"/>
        <v>0</v>
      </c>
      <c r="W120" s="55">
        <f t="shared" ca="1" si="36"/>
        <v>-19.540661949916348</v>
      </c>
      <c r="X120" s="55">
        <f t="shared" ca="1" si="37"/>
        <v>16.152171827784464</v>
      </c>
      <c r="Y120" s="55">
        <f t="shared" ca="1" si="38"/>
        <v>15.723817416794285</v>
      </c>
      <c r="Z120" s="55">
        <f t="shared" ca="1" si="31"/>
        <v>1.3534077443596289</v>
      </c>
      <c r="AA120">
        <f t="shared" ca="1" si="32"/>
        <v>120</v>
      </c>
      <c r="AB120">
        <f t="shared" ca="1" si="39"/>
        <v>32.827127473413341</v>
      </c>
      <c r="AC120">
        <f t="shared" ca="1" si="33"/>
        <v>0</v>
      </c>
      <c r="AD120">
        <f t="shared" ca="1" si="34"/>
        <v>8.3509518553636267E-2</v>
      </c>
      <c r="AE120" s="83">
        <f ca="1"/>
        <v>45458</v>
      </c>
      <c r="AF120" s="55">
        <f t="shared" ca="1" si="43"/>
        <v>45458</v>
      </c>
      <c r="AG120" s="55">
        <f t="shared" ca="1" si="44"/>
        <v>-344.08176727303339</v>
      </c>
      <c r="AH120" s="55">
        <f t="shared" ca="1" si="45"/>
        <v>328.50044934417684</v>
      </c>
      <c r="AI120" s="55">
        <f t="shared" ca="1" si="46"/>
        <v>0</v>
      </c>
      <c r="AJ120" s="55">
        <f t="shared" ca="1" si="40"/>
        <v>0</v>
      </c>
      <c r="AK120" s="55">
        <f t="shared" ca="1" si="41"/>
        <v>9.5676107897806641</v>
      </c>
      <c r="AL120" s="55">
        <f t="shared" ca="1" si="42"/>
        <v>-74.193809357913182</v>
      </c>
      <c r="AM120" s="55"/>
    </row>
    <row r="121" spans="18:39">
      <c r="R121" s="83">
        <f ca="1"/>
        <v>45114</v>
      </c>
      <c r="S121" s="55">
        <f t="shared" ca="1" si="35"/>
        <v>45114</v>
      </c>
      <c r="T121" s="55">
        <f t="shared" ca="1" si="28"/>
        <v>100.7821713429676</v>
      </c>
      <c r="U121" s="55">
        <f t="shared" ca="1" si="29"/>
        <v>11.843715713871065</v>
      </c>
      <c r="V121" s="55">
        <f t="shared" ca="1" si="30"/>
        <v>0</v>
      </c>
      <c r="W121" s="55">
        <f t="shared" ca="1" si="36"/>
        <v>-19.540661949916348</v>
      </c>
      <c r="X121" s="55">
        <f t="shared" ca="1" si="37"/>
        <v>16.265875837836187</v>
      </c>
      <c r="Y121" s="55">
        <f t="shared" ca="1" si="38"/>
        <v>15.764538198940699</v>
      </c>
      <c r="Z121" s="55">
        <f t="shared" ca="1" si="31"/>
        <v>1.2000117543263613</v>
      </c>
      <c r="AA121">
        <f t="shared" ca="1" si="32"/>
        <v>119.87826086956522</v>
      </c>
      <c r="AB121">
        <f t="shared" ca="1" si="39"/>
        <v>32.827127473413341</v>
      </c>
      <c r="AC121">
        <f t="shared" ca="1" si="33"/>
        <v>0</v>
      </c>
      <c r="AD121">
        <f t="shared" ca="1" si="34"/>
        <v>8.4936910776857638E-2</v>
      </c>
      <c r="AE121" s="83">
        <f ca="1"/>
        <v>45459</v>
      </c>
      <c r="AF121" s="55">
        <f t="shared" ca="1" si="43"/>
        <v>45459</v>
      </c>
      <c r="AG121" s="55">
        <f t="shared" ca="1" si="44"/>
        <v>-344.8353640464818</v>
      </c>
      <c r="AH121" s="55">
        <f t="shared" ca="1" si="45"/>
        <v>329.35154346918426</v>
      </c>
      <c r="AI121" s="55">
        <f t="shared" ca="1" si="46"/>
        <v>0</v>
      </c>
      <c r="AJ121" s="55">
        <f t="shared" ca="1" si="40"/>
        <v>0</v>
      </c>
      <c r="AK121" s="55">
        <f t="shared" ca="1" si="41"/>
        <v>9.6482571041455003</v>
      </c>
      <c r="AL121" s="55">
        <f t="shared" ca="1" si="42"/>
        <v>-74.176958320718995</v>
      </c>
      <c r="AM121" s="55"/>
    </row>
    <row r="122" spans="18:39">
      <c r="R122" s="83">
        <f ca="1"/>
        <v>45115</v>
      </c>
      <c r="S122" s="55">
        <f t="shared" ca="1" si="35"/>
        <v>45115</v>
      </c>
      <c r="T122" s="55">
        <f t="shared" ca="1" si="28"/>
        <v>100.49471643653696</v>
      </c>
      <c r="U122" s="55">
        <f t="shared" ca="1" si="29"/>
        <v>11.92460091594709</v>
      </c>
      <c r="V122" s="55">
        <f t="shared" ca="1" si="30"/>
        <v>0</v>
      </c>
      <c r="W122" s="55">
        <f t="shared" ca="1" si="36"/>
        <v>-19.895423473974741</v>
      </c>
      <c r="X122" s="55">
        <f t="shared" ca="1" si="37"/>
        <v>16.375028210008256</v>
      </c>
      <c r="Y122" s="55">
        <f t="shared" ca="1" si="38"/>
        <v>15.803577646472412</v>
      </c>
      <c r="Z122" s="55">
        <f t="shared" ca="1" si="31"/>
        <v>1.1323928290643579</v>
      </c>
      <c r="AA122">
        <f t="shared" ca="1" si="32"/>
        <v>120</v>
      </c>
      <c r="AB122">
        <f t="shared" ca="1" si="39"/>
        <v>33.468128576650642</v>
      </c>
      <c r="AC122">
        <f t="shared" ca="1" si="33"/>
        <v>0</v>
      </c>
      <c r="AD122">
        <f t="shared" ca="1" si="34"/>
        <v>8.6294664376448296E-2</v>
      </c>
      <c r="AE122" s="83">
        <f ca="1"/>
        <v>45460</v>
      </c>
      <c r="AF122" s="55">
        <f t="shared" ca="1" si="43"/>
        <v>45460</v>
      </c>
      <c r="AG122" s="55">
        <f t="shared" ca="1" si="44"/>
        <v>-345.94905705713097</v>
      </c>
      <c r="AH122" s="55">
        <f t="shared" ca="1" si="45"/>
        <v>330.57487655298581</v>
      </c>
      <c r="AI122" s="55">
        <f t="shared" ca="1" si="46"/>
        <v>0</v>
      </c>
      <c r="AJ122" s="55">
        <f t="shared" ca="1" si="40"/>
        <v>0</v>
      </c>
      <c r="AK122" s="55">
        <f t="shared" ca="1" si="41"/>
        <v>9.7350939571044677</v>
      </c>
      <c r="AL122" s="55">
        <f t="shared" ca="1" si="42"/>
        <v>-74.154155100525628</v>
      </c>
      <c r="AM122" s="55"/>
    </row>
    <row r="123" spans="18:39">
      <c r="R123" s="83">
        <f ca="1"/>
        <v>45116</v>
      </c>
      <c r="S123" s="55">
        <f t="shared" ca="1" si="35"/>
        <v>45116</v>
      </c>
      <c r="T123" s="55">
        <f t="shared" ca="1" si="28"/>
        <v>100.47225255492815</v>
      </c>
      <c r="U123" s="55">
        <f t="shared" ca="1" si="29"/>
        <v>12.009784583173317</v>
      </c>
      <c r="V123" s="55">
        <f t="shared" ca="1" si="30"/>
        <v>0</v>
      </c>
      <c r="W123" s="55">
        <f t="shared" ca="1" si="36"/>
        <v>-19.983955545791257</v>
      </c>
      <c r="X123" s="55">
        <f t="shared" ca="1" si="37"/>
        <v>16.487288337546634</v>
      </c>
      <c r="Y123" s="55">
        <f t="shared" ca="1" si="38"/>
        <v>15.842569376367964</v>
      </c>
      <c r="Z123" s="55">
        <f t="shared" ca="1" si="31"/>
        <v>1.1925713411671772</v>
      </c>
      <c r="AA123">
        <f t="shared" ca="1" si="32"/>
        <v>120</v>
      </c>
      <c r="AB123">
        <f t="shared" ca="1" si="39"/>
        <v>33.628128576650639</v>
      </c>
      <c r="AC123">
        <f t="shared" ca="1" si="33"/>
        <v>0</v>
      </c>
      <c r="AD123">
        <f t="shared" ca="1" si="34"/>
        <v>8.7735845961622136E-2</v>
      </c>
      <c r="AE123" s="83">
        <f ca="1"/>
        <v>45461</v>
      </c>
      <c r="AF123" s="55">
        <f t="shared" ca="1" si="43"/>
        <v>45461</v>
      </c>
      <c r="AG123" s="55">
        <f t="shared" ca="1" si="44"/>
        <v>-346.96178456630611</v>
      </c>
      <c r="AH123" s="55">
        <f t="shared" ca="1" si="45"/>
        <v>331.70320594803758</v>
      </c>
      <c r="AI123" s="55">
        <f t="shared" ca="1" si="46"/>
        <v>0</v>
      </c>
      <c r="AJ123" s="55">
        <f t="shared" ca="1" si="40"/>
        <v>0</v>
      </c>
      <c r="AK123" s="55">
        <f t="shared" ca="1" si="41"/>
        <v>9.8227855781694657</v>
      </c>
      <c r="AL123" s="55">
        <f t="shared" ca="1" si="42"/>
        <v>-74.126244835714004</v>
      </c>
      <c r="AM123" s="55"/>
    </row>
    <row r="124" spans="18:39">
      <c r="R124" s="83">
        <f ca="1"/>
        <v>45117</v>
      </c>
      <c r="S124" s="55">
        <f t="shared" ca="1" si="35"/>
        <v>45117</v>
      </c>
      <c r="T124" s="55">
        <f t="shared" ca="1" si="28"/>
        <v>100.53703984771094</v>
      </c>
      <c r="U124" s="55">
        <f t="shared" ca="1" si="29"/>
        <v>12.098876011473285</v>
      </c>
      <c r="V124" s="55">
        <f t="shared" ca="1" si="30"/>
        <v>0</v>
      </c>
      <c r="W124" s="55">
        <f t="shared" ca="1" si="36"/>
        <v>-19.983955545791257</v>
      </c>
      <c r="X124" s="55">
        <f t="shared" ca="1" si="37"/>
        <v>16.602315647747531</v>
      </c>
      <c r="Y124" s="55">
        <f t="shared" ca="1" si="38"/>
        <v>15.881420787249827</v>
      </c>
      <c r="Z124" s="55">
        <f t="shared" ca="1" si="31"/>
        <v>1.2472799961995484</v>
      </c>
      <c r="AA124">
        <f t="shared" ca="1" si="32"/>
        <v>119.91304347826087</v>
      </c>
      <c r="AB124">
        <f t="shared" ca="1" si="39"/>
        <v>33.628128576650639</v>
      </c>
      <c r="AC124">
        <f t="shared" ca="1" si="33"/>
        <v>0</v>
      </c>
      <c r="AD124">
        <f t="shared" ca="1" si="34"/>
        <v>8.9255449147777846E-2</v>
      </c>
      <c r="AE124" s="83">
        <f ca="1"/>
        <v>45462</v>
      </c>
      <c r="AF124" s="55">
        <f t="shared" ca="1" si="43"/>
        <v>45462</v>
      </c>
      <c r="AG124" s="55">
        <f t="shared" ca="1" si="44"/>
        <v>-348.00333550684383</v>
      </c>
      <c r="AH124" s="55">
        <f t="shared" ca="1" si="45"/>
        <v>332.86791070215833</v>
      </c>
      <c r="AI124" s="55">
        <f t="shared" ca="1" si="46"/>
        <v>0</v>
      </c>
      <c r="AJ124" s="55">
        <f t="shared" ca="1" si="40"/>
        <v>0</v>
      </c>
      <c r="AK124" s="55">
        <f t="shared" ca="1" si="41"/>
        <v>9.9128025797699113</v>
      </c>
      <c r="AL124" s="55">
        <f t="shared" ca="1" si="42"/>
        <v>-74.093108023731432</v>
      </c>
      <c r="AM124" s="55"/>
    </row>
    <row r="125" spans="18:39">
      <c r="R125" s="83">
        <f ca="1"/>
        <v>45118</v>
      </c>
      <c r="S125" s="55">
        <f t="shared" ca="1" si="35"/>
        <v>45118</v>
      </c>
      <c r="T125" s="55">
        <f t="shared" ca="1" si="28"/>
        <v>100.30728135716862</v>
      </c>
      <c r="U125" s="55">
        <f t="shared" ca="1" si="29"/>
        <v>12.187185737004095</v>
      </c>
      <c r="V125" s="55">
        <f t="shared" ca="1" si="30"/>
        <v>0</v>
      </c>
      <c r="W125" s="55">
        <f t="shared" ca="1" si="36"/>
        <v>-20.277151429223792</v>
      </c>
      <c r="X125" s="55">
        <f t="shared" ca="1" si="37"/>
        <v>16.716151529588718</v>
      </c>
      <c r="Y125" s="55">
        <f t="shared" ca="1" si="38"/>
        <v>15.919332023829655</v>
      </c>
      <c r="Z125" s="55">
        <f t="shared" ca="1" si="31"/>
        <v>1.2363361574313316</v>
      </c>
      <c r="AA125">
        <f t="shared" ca="1" si="32"/>
        <v>120</v>
      </c>
      <c r="AB125">
        <f t="shared" ca="1" si="39"/>
        <v>34.158879676332688</v>
      </c>
      <c r="AC125">
        <f t="shared" ca="1" si="33"/>
        <v>0</v>
      </c>
      <c r="AD125">
        <f t="shared" ca="1" si="34"/>
        <v>9.0774069104022803E-2</v>
      </c>
      <c r="AE125" s="83">
        <f ca="1"/>
        <v>45463</v>
      </c>
      <c r="AF125" s="55">
        <f t="shared" ca="1" si="43"/>
        <v>45463</v>
      </c>
      <c r="AG125" s="55">
        <f t="shared" ca="1" si="44"/>
        <v>-349.11913001501017</v>
      </c>
      <c r="AH125" s="55">
        <f t="shared" ca="1" si="45"/>
        <v>334.11508599199061</v>
      </c>
      <c r="AI125" s="55">
        <f t="shared" ca="1" si="46"/>
        <v>0</v>
      </c>
      <c r="AJ125" s="55">
        <f t="shared" ca="1" si="40"/>
        <v>0</v>
      </c>
      <c r="AK125" s="55">
        <f t="shared" ca="1" si="41"/>
        <v>10.005752007351285</v>
      </c>
      <c r="AL125" s="55">
        <f t="shared" ca="1" si="42"/>
        <v>-74.054676669646838</v>
      </c>
      <c r="AM125" s="55"/>
    </row>
    <row r="126" spans="18:39">
      <c r="R126" s="83">
        <f ca="1"/>
        <v>45119</v>
      </c>
      <c r="S126" s="55">
        <f t="shared" ca="1" si="35"/>
        <v>45119</v>
      </c>
      <c r="T126" s="55">
        <f t="shared" ca="1" si="28"/>
        <v>100.3527969890378</v>
      </c>
      <c r="U126" s="55">
        <f t="shared" ca="1" si="29"/>
        <v>12.279966850521136</v>
      </c>
      <c r="V126" s="55">
        <f t="shared" ca="1" si="30"/>
        <v>0</v>
      </c>
      <c r="W126" s="55">
        <f t="shared" ca="1" si="36"/>
        <v>-20.293731456552418</v>
      </c>
      <c r="X126" s="55">
        <f t="shared" ca="1" si="37"/>
        <v>16.833182926160713</v>
      </c>
      <c r="Y126" s="55">
        <f t="shared" ca="1" si="38"/>
        <v>15.957177399972501</v>
      </c>
      <c r="Z126" s="55">
        <f t="shared" ca="1" si="31"/>
        <v>1.2989355892385817</v>
      </c>
      <c r="AA126">
        <f t="shared" ca="1" si="32"/>
        <v>120</v>
      </c>
      <c r="AB126">
        <f t="shared" ca="1" si="39"/>
        <v>34.188879676332689</v>
      </c>
      <c r="AC126">
        <f t="shared" ca="1" si="33"/>
        <v>0</v>
      </c>
      <c r="AD126">
        <f t="shared" ca="1" si="34"/>
        <v>9.2382748818963009E-2</v>
      </c>
      <c r="AE126" s="83">
        <f ca="1"/>
        <v>45464</v>
      </c>
      <c r="AF126" s="55">
        <f t="shared" ca="1" si="43"/>
        <v>45464</v>
      </c>
      <c r="AG126" s="55">
        <f t="shared" ca="1" si="44"/>
        <v>-349.88845971760918</v>
      </c>
      <c r="AH126" s="55">
        <f t="shared" ca="1" si="45"/>
        <v>335.01690873493612</v>
      </c>
      <c r="AI126" s="55">
        <f t="shared" ca="1" si="46"/>
        <v>0</v>
      </c>
      <c r="AJ126" s="55">
        <f t="shared" ca="1" si="40"/>
        <v>0</v>
      </c>
      <c r="AK126" s="55">
        <f t="shared" ca="1" si="41"/>
        <v>10.096248615486928</v>
      </c>
      <c r="AL126" s="55">
        <f t="shared" ca="1" si="42"/>
        <v>-74.012680237435973</v>
      </c>
      <c r="AM126" s="55"/>
    </row>
    <row r="127" spans="18:39">
      <c r="R127" s="83">
        <f ca="1"/>
        <v>45120</v>
      </c>
      <c r="S127" s="55">
        <f t="shared" ca="1" si="35"/>
        <v>45120</v>
      </c>
      <c r="T127" s="55">
        <f t="shared" ca="1" si="28"/>
        <v>100.27543787367237</v>
      </c>
      <c r="U127" s="55">
        <f t="shared" ca="1" si="29"/>
        <v>12.37472980351442</v>
      </c>
      <c r="V127" s="55">
        <f t="shared" ca="1" si="30"/>
        <v>0</v>
      </c>
      <c r="W127" s="55">
        <f t="shared" ca="1" si="36"/>
        <v>-20.431791842030663</v>
      </c>
      <c r="X127" s="55">
        <f t="shared" ca="1" si="37"/>
        <v>16.95129258737402</v>
      </c>
      <c r="Y127" s="55">
        <f t="shared" ca="1" si="38"/>
        <v>15.994531961865279</v>
      </c>
      <c r="Z127" s="55">
        <f t="shared" ca="1" si="31"/>
        <v>1.3266813419059709</v>
      </c>
      <c r="AA127">
        <f t="shared" ca="1" si="32"/>
        <v>120</v>
      </c>
      <c r="AB127">
        <f t="shared" ca="1" si="39"/>
        <v>34.438879676332689</v>
      </c>
      <c r="AC127">
        <f t="shared" ca="1" si="33"/>
        <v>0</v>
      </c>
      <c r="AD127">
        <f t="shared" ca="1" si="34"/>
        <v>9.4039632623099653E-2</v>
      </c>
      <c r="AE127" s="83">
        <f ca="1"/>
        <v>45465</v>
      </c>
      <c r="AF127" s="55">
        <f t="shared" ca="1" si="43"/>
        <v>45465</v>
      </c>
      <c r="AG127" s="55">
        <f t="shared" ca="1" si="44"/>
        <v>-350.6984935733368</v>
      </c>
      <c r="AH127" s="55">
        <f t="shared" ca="1" si="45"/>
        <v>335.96528089281793</v>
      </c>
      <c r="AI127" s="55">
        <f t="shared" ca="1" si="46"/>
        <v>0</v>
      </c>
      <c r="AJ127" s="55">
        <f t="shared" ca="1" si="40"/>
        <v>0</v>
      </c>
      <c r="AK127" s="55">
        <f t="shared" ca="1" si="41"/>
        <v>10.187903057503352</v>
      </c>
      <c r="AL127" s="55">
        <f t="shared" ca="1" si="42"/>
        <v>-73.965996377298183</v>
      </c>
      <c r="AM127" s="55"/>
    </row>
    <row r="128" spans="18:39">
      <c r="R128" s="83">
        <f ca="1"/>
        <v>45121</v>
      </c>
      <c r="S128" s="55">
        <f t="shared" ca="1" si="35"/>
        <v>45121</v>
      </c>
      <c r="T128" s="55">
        <f t="shared" ca="1" si="28"/>
        <v>100.33471785757119</v>
      </c>
      <c r="U128" s="55">
        <f t="shared" ca="1" si="29"/>
        <v>12.474433336788696</v>
      </c>
      <c r="V128" s="55">
        <f t="shared" ca="1" si="30"/>
        <v>0</v>
      </c>
      <c r="W128" s="55">
        <f t="shared" ca="1" si="36"/>
        <v>-20.431791842030663</v>
      </c>
      <c r="X128" s="55">
        <f t="shared" ca="1" si="37"/>
        <v>17.07295206396866</v>
      </c>
      <c r="Y128" s="55">
        <f t="shared" ca="1" si="38"/>
        <v>16.031856002443739</v>
      </c>
      <c r="Z128" s="55">
        <f t="shared" ca="1" si="31"/>
        <v>1.3958494658398664</v>
      </c>
      <c r="AA128">
        <f t="shared" ca="1" si="32"/>
        <v>119.73913043478262</v>
      </c>
      <c r="AB128">
        <f t="shared" ca="1" si="39"/>
        <v>34.438879676332689</v>
      </c>
      <c r="AC128">
        <f t="shared" ca="1" si="33"/>
        <v>0</v>
      </c>
      <c r="AD128">
        <f t="shared" ca="1" si="34"/>
        <v>9.5797901634568999E-2</v>
      </c>
      <c r="AE128" s="83">
        <f ca="1"/>
        <v>45466</v>
      </c>
      <c r="AF128" s="55">
        <f t="shared" ca="1" si="43"/>
        <v>45466</v>
      </c>
      <c r="AG128" s="55">
        <f t="shared" ca="1" si="44"/>
        <v>-351.72100023527361</v>
      </c>
      <c r="AH128" s="55">
        <f t="shared" ca="1" si="45"/>
        <v>337.13606936066907</v>
      </c>
      <c r="AI128" s="55">
        <f t="shared" ca="1" si="46"/>
        <v>0</v>
      </c>
      <c r="AJ128" s="55">
        <f t="shared" ca="1" si="40"/>
        <v>0</v>
      </c>
      <c r="AK128" s="55">
        <f t="shared" ca="1" si="41"/>
        <v>10.284034764580566</v>
      </c>
      <c r="AL128" s="55">
        <f t="shared" ca="1" si="42"/>
        <v>-73.913846278461051</v>
      </c>
      <c r="AM128" s="55"/>
    </row>
    <row r="129" spans="18:39">
      <c r="R129" s="83">
        <f ca="1"/>
        <v>45122</v>
      </c>
      <c r="S129" s="55">
        <f t="shared" ca="1" si="35"/>
        <v>45122</v>
      </c>
      <c r="T129" s="55">
        <f t="shared" ca="1" si="28"/>
        <v>100.39258338013953</v>
      </c>
      <c r="U129" s="55">
        <f t="shared" ca="1" si="29"/>
        <v>12.57001142942898</v>
      </c>
      <c r="V129" s="55">
        <f t="shared" ca="1" si="30"/>
        <v>0</v>
      </c>
      <c r="W129" s="55">
        <f t="shared" ca="1" si="36"/>
        <v>-20.431791842030663</v>
      </c>
      <c r="X129" s="55">
        <f t="shared" ca="1" si="37"/>
        <v>17.190521772405859</v>
      </c>
      <c r="Y129" s="55">
        <f t="shared" ca="1" si="38"/>
        <v>16.067729909215153</v>
      </c>
      <c r="Z129" s="55">
        <f t="shared" ca="1" si="31"/>
        <v>1.3380932969639829</v>
      </c>
      <c r="AA129">
        <f t="shared" ca="1" si="32"/>
        <v>119.56880010340755</v>
      </c>
      <c r="AB129">
        <f t="shared" ca="1" si="39"/>
        <v>34.438879676332689</v>
      </c>
      <c r="AC129">
        <f t="shared" ca="1" si="33"/>
        <v>0</v>
      </c>
      <c r="AD129">
        <f t="shared" ca="1" si="34"/>
        <v>9.74977606717609E-2</v>
      </c>
      <c r="AE129" s="83">
        <f ca="1"/>
        <v>45467</v>
      </c>
      <c r="AF129" s="55">
        <f t="shared" ca="1" si="43"/>
        <v>45467</v>
      </c>
      <c r="AG129" s="55">
        <f t="shared" ca="1" si="44"/>
        <v>-352.67209280268912</v>
      </c>
      <c r="AH129" s="55">
        <f t="shared" ca="1" si="45"/>
        <v>338.23946686665369</v>
      </c>
      <c r="AI129" s="55">
        <f t="shared" ca="1" si="46"/>
        <v>0</v>
      </c>
      <c r="AJ129" s="55">
        <f t="shared" ca="1" si="40"/>
        <v>0</v>
      </c>
      <c r="AK129" s="55">
        <f t="shared" ca="1" si="41"/>
        <v>10.380091997857901</v>
      </c>
      <c r="AL129" s="55">
        <f t="shared" ca="1" si="42"/>
        <v>-73.857598573169298</v>
      </c>
      <c r="AM129" s="55"/>
    </row>
    <row r="130" spans="18:39">
      <c r="R130" s="83">
        <f ca="1"/>
        <v>45123</v>
      </c>
      <c r="S130" s="55">
        <f t="shared" ca="1" si="35"/>
        <v>45123</v>
      </c>
      <c r="T130" s="55">
        <f t="shared" ca="1" si="28"/>
        <v>100.13700767947753</v>
      </c>
      <c r="U130" s="55">
        <f t="shared" ca="1" si="29"/>
        <v>12.674061319839904</v>
      </c>
      <c r="V130" s="55">
        <f t="shared" ca="1" si="30"/>
        <v>0</v>
      </c>
      <c r="W130" s="55">
        <f t="shared" ca="1" si="36"/>
        <v>-20.743701628816165</v>
      </c>
      <c r="X130" s="55">
        <f t="shared" ca="1" si="37"/>
        <v>17.314540044383165</v>
      </c>
      <c r="Y130" s="55">
        <f t="shared" ca="1" si="38"/>
        <v>16.104095613772273</v>
      </c>
      <c r="Z130" s="55">
        <f t="shared" ca="1" si="31"/>
        <v>1.4566984657529289</v>
      </c>
      <c r="AA130">
        <f t="shared" ca="1" si="32"/>
        <v>120</v>
      </c>
      <c r="AB130">
        <f t="shared" ca="1" si="39"/>
        <v>35.004467285458219</v>
      </c>
      <c r="AC130">
        <f t="shared" ca="1" si="33"/>
        <v>0</v>
      </c>
      <c r="AD130">
        <f t="shared" ca="1" si="34"/>
        <v>9.936413538220093E-2</v>
      </c>
      <c r="AE130" s="83">
        <f ca="1"/>
        <v>45468</v>
      </c>
      <c r="AF130" s="55">
        <f t="shared" ca="1" si="43"/>
        <v>45468</v>
      </c>
      <c r="AG130" s="55">
        <f t="shared" ca="1" si="44"/>
        <v>-353.79018427115761</v>
      </c>
      <c r="AH130" s="55">
        <f t="shared" ca="1" si="45"/>
        <v>339.51815043045673</v>
      </c>
      <c r="AI130" s="55">
        <f t="shared" ca="1" si="46"/>
        <v>0</v>
      </c>
      <c r="AJ130" s="55">
        <f t="shared" ca="1" si="40"/>
        <v>0</v>
      </c>
      <c r="AK130" s="55">
        <f t="shared" ca="1" si="41"/>
        <v>10.479149709014258</v>
      </c>
      <c r="AL130" s="55">
        <f t="shared" ca="1" si="42"/>
        <v>-73.796064188991153</v>
      </c>
      <c r="AM130" s="55"/>
    </row>
    <row r="131" spans="18:39">
      <c r="R131" s="83">
        <f ca="1"/>
        <v>45124</v>
      </c>
      <c r="S131" s="55">
        <f t="shared" ca="1" si="35"/>
        <v>45124</v>
      </c>
      <c r="T131" s="55">
        <f t="shared" ca="1" si="28"/>
        <v>99.446942811020733</v>
      </c>
      <c r="U131" s="55">
        <f t="shared" ca="1" si="29"/>
        <v>12.78078488119441</v>
      </c>
      <c r="V131" s="55">
        <f t="shared" ca="1" si="30"/>
        <v>0</v>
      </c>
      <c r="W131" s="55">
        <f t="shared" ca="1" si="36"/>
        <v>-21.488544817870302</v>
      </c>
      <c r="X131" s="55">
        <f t="shared" ca="1" si="37"/>
        <v>17.440100583218499</v>
      </c>
      <c r="Y131" s="55">
        <f t="shared" ca="1" si="38"/>
        <v>16.140036956888782</v>
      </c>
      <c r="Z131" s="55">
        <f t="shared" ca="1" si="31"/>
        <v>1.4941298589630918</v>
      </c>
      <c r="AA131">
        <f t="shared" ca="1" si="32"/>
        <v>120</v>
      </c>
      <c r="AB131">
        <f t="shared" ca="1" si="39"/>
        <v>36.364467285458218</v>
      </c>
      <c r="AC131">
        <f t="shared" ca="1" si="33"/>
        <v>0</v>
      </c>
      <c r="AD131">
        <f t="shared" ca="1" si="34"/>
        <v>0.10129549586443921</v>
      </c>
      <c r="AE131" s="83">
        <f ca="1"/>
        <v>45469</v>
      </c>
      <c r="AF131" s="55">
        <f t="shared" ca="1" si="43"/>
        <v>45469</v>
      </c>
      <c r="AG131" s="55">
        <f t="shared" ca="1" si="44"/>
        <v>-354.51437211849458</v>
      </c>
      <c r="AH131" s="55">
        <f t="shared" ca="1" si="45"/>
        <v>340.40057487965822</v>
      </c>
      <c r="AI131" s="55">
        <f t="shared" ca="1" si="46"/>
        <v>0</v>
      </c>
      <c r="AJ131" s="55">
        <f t="shared" ca="1" si="40"/>
        <v>0</v>
      </c>
      <c r="AK131" s="55">
        <f t="shared" ca="1" si="41"/>
        <v>10.574011185513221</v>
      </c>
      <c r="AL131" s="55">
        <f t="shared" ca="1" si="42"/>
        <v>-73.7326890636256</v>
      </c>
      <c r="AM131" s="55"/>
    </row>
    <row r="132" spans="18:39">
      <c r="R132" s="83">
        <f ca="1"/>
        <v>45125</v>
      </c>
      <c r="S132" s="55">
        <f t="shared" ca="1" si="35"/>
        <v>45125</v>
      </c>
      <c r="T132" s="55">
        <f t="shared" ca="1" si="28"/>
        <v>98.100902458514796</v>
      </c>
      <c r="U132" s="55">
        <f t="shared" ca="1" si="29"/>
        <v>12.886375163564514</v>
      </c>
      <c r="V132" s="55">
        <f t="shared" ca="1" si="30"/>
        <v>0</v>
      </c>
      <c r="W132" s="55">
        <f t="shared" ca="1" si="36"/>
        <v>-22.887833342503207</v>
      </c>
      <c r="X132" s="55">
        <f t="shared" ca="1" si="37"/>
        <v>17.563979272885007</v>
      </c>
      <c r="Y132" s="55">
        <f t="shared" ca="1" si="38"/>
        <v>16.174996721719339</v>
      </c>
      <c r="Z132" s="55">
        <f t="shared" ca="1" si="31"/>
        <v>1.4782639531814503</v>
      </c>
      <c r="AA132">
        <f t="shared" ca="1" si="32"/>
        <v>120</v>
      </c>
      <c r="AB132">
        <f t="shared" ca="1" si="39"/>
        <v>38.954467285458222</v>
      </c>
      <c r="AC132">
        <f t="shared" ca="1" si="33"/>
        <v>0</v>
      </c>
      <c r="AD132">
        <f t="shared" ca="1" si="34"/>
        <v>0.1032231787890675</v>
      </c>
      <c r="AE132" s="83">
        <f ca="1"/>
        <v>45470</v>
      </c>
      <c r="AF132" s="55">
        <f t="shared" ca="1" si="43"/>
        <v>45470</v>
      </c>
      <c r="AG132" s="55">
        <f t="shared" ca="1" si="44"/>
        <v>-355.03721107776016</v>
      </c>
      <c r="AH132" s="55">
        <f t="shared" ca="1" si="45"/>
        <v>341.08266208349949</v>
      </c>
      <c r="AI132" s="55">
        <f t="shared" ca="1" si="46"/>
        <v>0</v>
      </c>
      <c r="AJ132" s="55">
        <f t="shared" ca="1" si="40"/>
        <v>0</v>
      </c>
      <c r="AK132" s="55">
        <f t="shared" ca="1" si="41"/>
        <v>10.667340819283964</v>
      </c>
      <c r="AL132" s="55">
        <f t="shared" ca="1" si="42"/>
        <v>-73.666770452820657</v>
      </c>
      <c r="AM132" s="55"/>
    </row>
    <row r="133" spans="18:39">
      <c r="R133" s="83">
        <f ca="1"/>
        <v>45126</v>
      </c>
      <c r="S133" s="55">
        <f t="shared" ca="1" si="35"/>
        <v>45126</v>
      </c>
      <c r="T133" s="55">
        <f t="shared" ca="1" si="28"/>
        <v>97.65772838471689</v>
      </c>
      <c r="U133" s="55">
        <f t="shared" ca="1" si="29"/>
        <v>12.996371002257087</v>
      </c>
      <c r="V133" s="55">
        <f t="shared" ca="1" si="30"/>
        <v>0</v>
      </c>
      <c r="W133" s="55">
        <f t="shared" ca="1" si="36"/>
        <v>-23.382632499652441</v>
      </c>
      <c r="X133" s="55">
        <f t="shared" ca="1" si="37"/>
        <v>17.690811040077794</v>
      </c>
      <c r="Y133" s="55">
        <f t="shared" ca="1" si="38"/>
        <v>16.209785876570457</v>
      </c>
      <c r="Z133" s="55">
        <f t="shared" ca="1" si="31"/>
        <v>1.5399417416960191</v>
      </c>
      <c r="AA133">
        <f t="shared" ca="1" si="32"/>
        <v>120</v>
      </c>
      <c r="AB133">
        <f t="shared" ca="1" si="39"/>
        <v>39.874467285458223</v>
      </c>
      <c r="AC133">
        <f t="shared" ca="1" si="33"/>
        <v>0</v>
      </c>
      <c r="AD133">
        <f t="shared" ca="1" si="34"/>
        <v>0.10524894207456045</v>
      </c>
      <c r="AE133" s="83">
        <f ca="1"/>
        <v>45471</v>
      </c>
      <c r="AF133" s="55">
        <f t="shared" ca="1" si="43"/>
        <v>45471</v>
      </c>
      <c r="AG133" s="55">
        <f t="shared" ca="1" si="44"/>
        <v>-355.71227218100728</v>
      </c>
      <c r="AH133" s="55">
        <f t="shared" ca="1" si="45"/>
        <v>341.92801708797941</v>
      </c>
      <c r="AI133" s="55">
        <f t="shared" ca="1" si="46"/>
        <v>0</v>
      </c>
      <c r="AJ133" s="55">
        <f t="shared" ca="1" si="40"/>
        <v>0</v>
      </c>
      <c r="AK133" s="55">
        <f t="shared" ca="1" si="41"/>
        <v>10.767051565696031</v>
      </c>
      <c r="AL133" s="55">
        <f t="shared" ca="1" si="42"/>
        <v>-73.596187297999961</v>
      </c>
      <c r="AM133" s="55"/>
    </row>
    <row r="134" spans="18:39">
      <c r="R134" s="83">
        <f ca="1"/>
        <v>45127</v>
      </c>
      <c r="S134" s="55">
        <f t="shared" ca="1" si="35"/>
        <v>45127</v>
      </c>
      <c r="T134" s="55">
        <f t="shared" ca="1" si="28"/>
        <v>97.391229718419197</v>
      </c>
      <c r="U134" s="55">
        <f t="shared" ca="1" si="29"/>
        <v>13.11035617910364</v>
      </c>
      <c r="V134" s="55">
        <f t="shared" ca="1" si="30"/>
        <v>0</v>
      </c>
      <c r="W134" s="55">
        <f t="shared" ca="1" si="36"/>
        <v>-23.699083422882438</v>
      </c>
      <c r="X134" s="55">
        <f t="shared" ca="1" si="37"/>
        <v>17.820210655932257</v>
      </c>
      <c r="Y134" s="55">
        <f t="shared" ca="1" si="38"/>
        <v>16.244323694494845</v>
      </c>
      <c r="Z134" s="55">
        <f t="shared" ca="1" si="31"/>
        <v>1.5957924758517414</v>
      </c>
      <c r="AA134">
        <f t="shared" ca="1" si="32"/>
        <v>120</v>
      </c>
      <c r="AB134">
        <f t="shared" ca="1" si="39"/>
        <v>40.464467285458227</v>
      </c>
      <c r="AC134">
        <f t="shared" ca="1" si="33"/>
        <v>0</v>
      </c>
      <c r="AD134">
        <f t="shared" ca="1" si="34"/>
        <v>0.10736700862963428</v>
      </c>
      <c r="AE134" s="83">
        <f ca="1"/>
        <v>45472</v>
      </c>
      <c r="AF134" s="55">
        <f t="shared" ca="1" si="43"/>
        <v>45472</v>
      </c>
      <c r="AG134" s="55">
        <f t="shared" ca="1" si="44"/>
        <v>-356.61421581979459</v>
      </c>
      <c r="AH134" s="55">
        <f t="shared" ca="1" si="45"/>
        <v>343.01135721080561</v>
      </c>
      <c r="AI134" s="55">
        <f t="shared" ca="1" si="46"/>
        <v>0</v>
      </c>
      <c r="AJ134" s="55">
        <f t="shared" ca="1" si="40"/>
        <v>0</v>
      </c>
      <c r="AK134" s="55">
        <f t="shared" ca="1" si="41"/>
        <v>10.872545257976114</v>
      </c>
      <c r="AL134" s="55">
        <f t="shared" ca="1" si="42"/>
        <v>-73.520284506241197</v>
      </c>
      <c r="AM134" s="55"/>
    </row>
    <row r="135" spans="18:39">
      <c r="R135" s="83">
        <f ca="1"/>
        <v>45128</v>
      </c>
      <c r="S135" s="55">
        <f t="shared" ca="1" si="35"/>
        <v>45128</v>
      </c>
      <c r="T135" s="55">
        <f t="shared" ca="1" si="28"/>
        <v>96.900854596756915</v>
      </c>
      <c r="U135" s="55">
        <f t="shared" ca="1" si="29"/>
        <v>13.218094781996232</v>
      </c>
      <c r="V135" s="55">
        <f t="shared" ca="1" si="30"/>
        <v>0</v>
      </c>
      <c r="W135" s="55">
        <f t="shared" ca="1" si="36"/>
        <v>-24.238076872074249</v>
      </c>
      <c r="X135" s="55">
        <f t="shared" ca="1" si="37"/>
        <v>17.943671221612838</v>
      </c>
      <c r="Y135" s="55">
        <f t="shared" ca="1" si="38"/>
        <v>16.277220059236399</v>
      </c>
      <c r="Z135" s="55">
        <f t="shared" ca="1" si="31"/>
        <v>1.5083404404962906</v>
      </c>
      <c r="AA135">
        <f t="shared" ca="1" si="32"/>
        <v>120</v>
      </c>
      <c r="AB135">
        <f t="shared" ca="1" si="39"/>
        <v>41.474467285458218</v>
      </c>
      <c r="AC135">
        <f t="shared" ca="1" si="33"/>
        <v>0</v>
      </c>
      <c r="AD135">
        <f t="shared" ca="1" si="34"/>
        <v>0.10938645853913939</v>
      </c>
      <c r="AE135" s="83">
        <f ca="1"/>
        <v>45473</v>
      </c>
      <c r="AF135" s="55">
        <f t="shared" ca="1" si="43"/>
        <v>45473</v>
      </c>
      <c r="AG135" s="55">
        <f t="shared" ca="1" si="44"/>
        <v>-357.01661420411341</v>
      </c>
      <c r="AH135" s="55">
        <f t="shared" ca="1" si="45"/>
        <v>343.58747185782079</v>
      </c>
      <c r="AI135" s="55">
        <f t="shared" ca="1" si="46"/>
        <v>0</v>
      </c>
      <c r="AJ135" s="55">
        <f t="shared" ca="1" si="40"/>
        <v>0</v>
      </c>
      <c r="AK135" s="55">
        <f t="shared" ca="1" si="41"/>
        <v>10.970595683651666</v>
      </c>
      <c r="AL135" s="55">
        <f t="shared" ca="1" si="42"/>
        <v>-73.444618669220347</v>
      </c>
      <c r="AM135" s="55"/>
    </row>
    <row r="136" spans="18:39">
      <c r="R136" s="83">
        <f ca="1"/>
        <v>45129</v>
      </c>
      <c r="S136" s="55">
        <f t="shared" ca="1" si="35"/>
        <v>45129</v>
      </c>
      <c r="T136" s="55">
        <f t="shared" ca="1" si="28"/>
        <v>96.247998242437504</v>
      </c>
      <c r="U136" s="55">
        <f t="shared" ca="1" si="29"/>
        <v>13.331727768462152</v>
      </c>
      <c r="V136" s="55">
        <f t="shared" ca="1" si="30"/>
        <v>0</v>
      </c>
      <c r="W136" s="55">
        <f t="shared" ca="1" si="36"/>
        <v>-24.937757972341007</v>
      </c>
      <c r="X136" s="55">
        <f t="shared" ca="1" si="37"/>
        <v>18.071212879986824</v>
      </c>
      <c r="Y136" s="55">
        <f t="shared" ca="1" si="38"/>
        <v>16.31013613327567</v>
      </c>
      <c r="Z136" s="55">
        <f t="shared" ca="1" si="31"/>
        <v>1.590861810522874</v>
      </c>
      <c r="AA136">
        <f t="shared" ca="1" si="32"/>
        <v>120</v>
      </c>
      <c r="AB136">
        <f t="shared" ca="1" si="39"/>
        <v>42.794467285458211</v>
      </c>
      <c r="AC136">
        <f t="shared" ca="1" si="33"/>
        <v>0</v>
      </c>
      <c r="AD136">
        <f t="shared" ca="1" si="34"/>
        <v>0.11153459688120393</v>
      </c>
      <c r="AE136" s="83">
        <f ca="1"/>
        <v>45474</v>
      </c>
      <c r="AF136" s="55">
        <f t="shared" ca="1" si="43"/>
        <v>45474</v>
      </c>
      <c r="AG136" s="55">
        <f t="shared" ca="1" si="44"/>
        <v>-357.18093598865693</v>
      </c>
      <c r="AH136" s="55">
        <f t="shared" ca="1" si="45"/>
        <v>343.92413788780982</v>
      </c>
      <c r="AI136" s="55">
        <f t="shared" ca="1" si="46"/>
        <v>0</v>
      </c>
      <c r="AJ136" s="55">
        <f t="shared" ca="1" si="40"/>
        <v>0</v>
      </c>
      <c r="AK136" s="55">
        <f t="shared" ca="1" si="41"/>
        <v>11.065971840105197</v>
      </c>
      <c r="AL136" s="55">
        <f t="shared" ca="1" si="42"/>
        <v>-73.367650580228371</v>
      </c>
      <c r="AM136" s="55"/>
    </row>
    <row r="137" spans="18:39">
      <c r="R137" s="83">
        <f ca="1"/>
        <v>45130</v>
      </c>
      <c r="S137" s="55">
        <f t="shared" ca="1" si="35"/>
        <v>45130</v>
      </c>
      <c r="T137" s="55">
        <f t="shared" ca="1" si="28"/>
        <v>96.292992187818342</v>
      </c>
      <c r="U137" s="55">
        <f t="shared" ca="1" si="29"/>
        <v>13.450863790081307</v>
      </c>
      <c r="V137" s="55">
        <f t="shared" ca="1" si="30"/>
        <v>0</v>
      </c>
      <c r="W137" s="55">
        <f t="shared" ca="1" si="36"/>
        <v>-24.937757972341007</v>
      </c>
      <c r="X137" s="55">
        <f t="shared" ca="1" si="37"/>
        <v>18.202488180384933</v>
      </c>
      <c r="Y137" s="55">
        <f t="shared" ca="1" si="38"/>
        <v>16.342990799877548</v>
      </c>
      <c r="Z137" s="55">
        <f t="shared" ca="1" si="31"/>
        <v>1.6679043026681768</v>
      </c>
      <c r="AA137">
        <f t="shared" ca="1" si="32"/>
        <v>119.07826086956521</v>
      </c>
      <c r="AB137">
        <f t="shared" ca="1" si="39"/>
        <v>42.794467285458211</v>
      </c>
      <c r="AC137">
        <f t="shared" ca="1" si="33"/>
        <v>0</v>
      </c>
      <c r="AD137">
        <f t="shared" ca="1" si="34"/>
        <v>0.11380663050793459</v>
      </c>
      <c r="AE137" s="83">
        <f ca="1"/>
        <v>45475</v>
      </c>
      <c r="AF137" s="55">
        <f t="shared" ca="1" si="43"/>
        <v>45475</v>
      </c>
      <c r="AG137" s="55">
        <f t="shared" ca="1" si="44"/>
        <v>-357.71439582150862</v>
      </c>
      <c r="AH137" s="55">
        <f t="shared" ca="1" si="45"/>
        <v>344.64311172499566</v>
      </c>
      <c r="AI137" s="55">
        <f t="shared" ca="1" si="46"/>
        <v>0</v>
      </c>
      <c r="AJ137" s="55">
        <f t="shared" ca="1" si="40"/>
        <v>0</v>
      </c>
      <c r="AK137" s="55">
        <f t="shared" ca="1" si="41"/>
        <v>11.168538299391644</v>
      </c>
      <c r="AL137" s="55">
        <f t="shared" ca="1" si="42"/>
        <v>-73.284703035180669</v>
      </c>
      <c r="AM137" s="55"/>
    </row>
    <row r="138" spans="18:39">
      <c r="R138" s="83">
        <f ca="1"/>
        <v>45131</v>
      </c>
      <c r="S138" s="55">
        <f t="shared" ca="1" si="35"/>
        <v>45131</v>
      </c>
      <c r="T138" s="55">
        <f t="shared" ca="1" si="28"/>
        <v>96.336413165152138</v>
      </c>
      <c r="U138" s="55">
        <f t="shared" ca="1" si="29"/>
        <v>13.568923525859297</v>
      </c>
      <c r="V138" s="55">
        <f t="shared" ca="1" si="30"/>
        <v>0</v>
      </c>
      <c r="W138" s="55">
        <f t="shared" ca="1" si="36"/>
        <v>-24.937757972341007</v>
      </c>
      <c r="X138" s="55">
        <f t="shared" ca="1" si="37"/>
        <v>18.332031449560638</v>
      </c>
      <c r="Y138" s="55">
        <f t="shared" ca="1" si="38"/>
        <v>16.374928243813621</v>
      </c>
      <c r="Z138" s="55">
        <f t="shared" ca="1" si="31"/>
        <v>1.6528363008918632</v>
      </c>
      <c r="AA138">
        <f t="shared" ca="1" si="32"/>
        <v>117.8938473054429</v>
      </c>
      <c r="AB138">
        <f t="shared" ca="1" si="39"/>
        <v>42.794467285458211</v>
      </c>
      <c r="AC138">
        <f t="shared" ca="1" si="33"/>
        <v>0</v>
      </c>
      <c r="AD138">
        <f t="shared" ca="1" si="34"/>
        <v>0.11607798249417414</v>
      </c>
      <c r="AE138" s="83">
        <f ca="1"/>
        <v>45476</v>
      </c>
      <c r="AF138" s="55">
        <f t="shared" ca="1" si="43"/>
        <v>45476</v>
      </c>
      <c r="AG138" s="55">
        <f t="shared" ca="1" si="44"/>
        <v>-358.41609971574161</v>
      </c>
      <c r="AH138" s="55">
        <f t="shared" ca="1" si="45"/>
        <v>345.53847748714958</v>
      </c>
      <c r="AI138" s="55">
        <f t="shared" ca="1" si="46"/>
        <v>0</v>
      </c>
      <c r="AJ138" s="55">
        <f t="shared" ca="1" si="40"/>
        <v>0</v>
      </c>
      <c r="AK138" s="55">
        <f t="shared" ca="1" si="41"/>
        <v>11.27466920479095</v>
      </c>
      <c r="AL138" s="55">
        <f t="shared" ca="1" si="42"/>
        <v>-73.197172072659043</v>
      </c>
      <c r="AM138" s="55"/>
    </row>
    <row r="139" spans="18:39">
      <c r="R139" s="83">
        <f ca="1"/>
        <v>45132</v>
      </c>
      <c r="S139" s="55">
        <f t="shared" ca="1" si="35"/>
        <v>45132</v>
      </c>
      <c r="T139" s="55">
        <f t="shared" ca="1" si="28"/>
        <v>96.377339007224691</v>
      </c>
      <c r="U139" s="55">
        <f t="shared" ca="1" si="29"/>
        <v>13.689598023598313</v>
      </c>
      <c r="V139" s="55">
        <f t="shared" ca="1" si="30"/>
        <v>0</v>
      </c>
      <c r="W139" s="55">
        <f t="shared" ca="1" si="36"/>
        <v>-24.938499908437166</v>
      </c>
      <c r="X139" s="55">
        <f t="shared" ca="1" si="37"/>
        <v>18.462872323230012</v>
      </c>
      <c r="Y139" s="55">
        <f t="shared" ca="1" si="38"/>
        <v>16.406429646051983</v>
      </c>
      <c r="Z139" s="55">
        <f t="shared" ca="1" si="31"/>
        <v>1.6894429683462171</v>
      </c>
      <c r="AA139">
        <f t="shared" ca="1" si="32"/>
        <v>120</v>
      </c>
      <c r="AB139">
        <f t="shared" ca="1" si="39"/>
        <v>42.795865124169495</v>
      </c>
      <c r="AC139">
        <f t="shared" ca="1" si="33"/>
        <v>0</v>
      </c>
      <c r="AD139">
        <f t="shared" ca="1" si="34"/>
        <v>0.11841982458120745</v>
      </c>
      <c r="AE139" s="83">
        <f ca="1"/>
        <v>45477</v>
      </c>
      <c r="AF139" s="55">
        <f t="shared" ca="1" si="43"/>
        <v>45477</v>
      </c>
      <c r="AG139" s="55">
        <f t="shared" ca="1" si="44"/>
        <v>-359.28745481876246</v>
      </c>
      <c r="AH139" s="55">
        <f t="shared" ca="1" si="45"/>
        <v>346.61126577833579</v>
      </c>
      <c r="AI139" s="55">
        <f t="shared" ca="1" si="46"/>
        <v>0</v>
      </c>
      <c r="AJ139" s="55">
        <f t="shared" ca="1" si="40"/>
        <v>0</v>
      </c>
      <c r="AK139" s="55">
        <f t="shared" ca="1" si="41"/>
        <v>11.383841795119304</v>
      </c>
      <c r="AL139" s="55">
        <f t="shared" ca="1" si="42"/>
        <v>-73.104911474822003</v>
      </c>
      <c r="AM139" s="55"/>
    </row>
    <row r="140" spans="18:39">
      <c r="R140" s="83">
        <f ca="1"/>
        <v>45133</v>
      </c>
      <c r="S140" s="55">
        <f t="shared" ca="1" si="35"/>
        <v>45133</v>
      </c>
      <c r="T140" s="55">
        <f t="shared" ca="1" si="28"/>
        <v>96.417402053304684</v>
      </c>
      <c r="U140" s="55">
        <f t="shared" ca="1" si="29"/>
        <v>13.810424032746191</v>
      </c>
      <c r="V140" s="55">
        <f t="shared" ca="1" si="30"/>
        <v>0</v>
      </c>
      <c r="W140" s="55">
        <f t="shared" ca="1" si="36"/>
        <v>-24.938499908437166</v>
      </c>
      <c r="X140" s="55">
        <f t="shared" ca="1" si="37"/>
        <v>18.592991255162147</v>
      </c>
      <c r="Y140" s="55">
        <f t="shared" ca="1" si="38"/>
        <v>16.437199769347728</v>
      </c>
      <c r="Z140" s="55">
        <f t="shared" ca="1" si="31"/>
        <v>1.6915641280702935</v>
      </c>
      <c r="AA140">
        <f t="shared" ca="1" si="32"/>
        <v>119.80869565217391</v>
      </c>
      <c r="AB140">
        <f t="shared" ca="1" si="39"/>
        <v>42.795865124169495</v>
      </c>
      <c r="AC140">
        <f t="shared" ca="1" si="33"/>
        <v>0</v>
      </c>
      <c r="AD140">
        <f t="shared" ca="1" si="34"/>
        <v>0.12078481240479402</v>
      </c>
      <c r="AE140" s="83">
        <f ca="1"/>
        <v>45478</v>
      </c>
      <c r="AF140" s="55">
        <f t="shared" ca="1" si="43"/>
        <v>45478</v>
      </c>
      <c r="AG140" s="55">
        <f t="shared" ca="1" si="44"/>
        <v>-359.99786650591648</v>
      </c>
      <c r="AH140" s="55">
        <f t="shared" ca="1" si="45"/>
        <v>347.52641509687328</v>
      </c>
      <c r="AI140" s="55">
        <f t="shared" ca="1" si="46"/>
        <v>0</v>
      </c>
      <c r="AJ140" s="55">
        <f t="shared" ca="1" si="40"/>
        <v>0</v>
      </c>
      <c r="AK140" s="55">
        <f t="shared" ca="1" si="41"/>
        <v>11.494725777625559</v>
      </c>
      <c r="AL140" s="55">
        <f t="shared" ca="1" si="42"/>
        <v>-73.011057825944775</v>
      </c>
      <c r="AM140" s="55"/>
    </row>
    <row r="141" spans="18:39">
      <c r="R141" s="83">
        <f ca="1"/>
        <v>45134</v>
      </c>
      <c r="S141" s="55">
        <f t="shared" ca="1" si="35"/>
        <v>45134</v>
      </c>
      <c r="T141" s="55">
        <f t="shared" ca="1" si="28"/>
        <v>96.052149349933046</v>
      </c>
      <c r="U141" s="55">
        <f t="shared" ca="1" si="29"/>
        <v>13.938449408507752</v>
      </c>
      <c r="V141" s="55">
        <f t="shared" ca="1" si="30"/>
        <v>0</v>
      </c>
      <c r="W141" s="55">
        <f t="shared" ca="1" si="36"/>
        <v>-25.34168020825043</v>
      </c>
      <c r="X141" s="55">
        <f t="shared" ca="1" si="37"/>
        <v>18.728071336766586</v>
      </c>
      <c r="Y141" s="55">
        <f t="shared" ca="1" si="38"/>
        <v>16.46807265994649</v>
      </c>
      <c r="Z141" s="55">
        <f t="shared" ca="1" si="31"/>
        <v>1.7923552606618607</v>
      </c>
      <c r="AA141">
        <f t="shared" ca="1" si="32"/>
        <v>120</v>
      </c>
      <c r="AB141">
        <f t="shared" ca="1" si="39"/>
        <v>43.558045407851282</v>
      </c>
      <c r="AC141">
        <f t="shared" ca="1" si="33"/>
        <v>0</v>
      </c>
      <c r="AD141">
        <f t="shared" ca="1" si="34"/>
        <v>0.12331250557929103</v>
      </c>
      <c r="AE141" s="83">
        <f ca="1"/>
        <v>45479</v>
      </c>
      <c r="AF141" s="55">
        <f t="shared" ca="1" si="43"/>
        <v>45479</v>
      </c>
      <c r="AG141" s="55">
        <f t="shared" ca="1" si="44"/>
        <v>-360.19371227829669</v>
      </c>
      <c r="AH141" s="55">
        <f t="shared" ca="1" si="45"/>
        <v>347.915415479572</v>
      </c>
      <c r="AI141" s="55">
        <f t="shared" ca="1" si="46"/>
        <v>0</v>
      </c>
      <c r="AJ141" s="55">
        <f t="shared" ca="1" si="40"/>
        <v>0</v>
      </c>
      <c r="AK141" s="55">
        <f t="shared" ca="1" si="41"/>
        <v>11.596255950645068</v>
      </c>
      <c r="AL141" s="55">
        <f t="shared" ca="1" si="42"/>
        <v>-72.919433388645757</v>
      </c>
      <c r="AM141" s="55"/>
    </row>
    <row r="142" spans="18:39">
      <c r="R142" s="83">
        <f ca="1"/>
        <v>45135</v>
      </c>
      <c r="S142" s="55">
        <f t="shared" ca="1" si="35"/>
        <v>45135</v>
      </c>
      <c r="T142" s="55">
        <f t="shared" ca="1" si="28"/>
        <v>96.088394560420952</v>
      </c>
      <c r="U142" s="55">
        <f t="shared" ca="1" si="29"/>
        <v>14.066355050651664</v>
      </c>
      <c r="V142" s="55">
        <f t="shared" ca="1" si="30"/>
        <v>0</v>
      </c>
      <c r="W142" s="55">
        <f t="shared" ca="1" si="36"/>
        <v>-25.34168020825043</v>
      </c>
      <c r="X142" s="55">
        <f t="shared" ca="1" si="37"/>
        <v>18.862120030015539</v>
      </c>
      <c r="Y142" s="55">
        <f t="shared" ca="1" si="38"/>
        <v>16.498174819329357</v>
      </c>
      <c r="Z142" s="55">
        <f t="shared" ca="1" si="31"/>
        <v>1.7906789900147615</v>
      </c>
      <c r="AA142">
        <f t="shared" ca="1" si="32"/>
        <v>118.8</v>
      </c>
      <c r="AB142">
        <f t="shared" ca="1" si="39"/>
        <v>43.558045407851282</v>
      </c>
      <c r="AC142">
        <f t="shared" ca="1" si="33"/>
        <v>0</v>
      </c>
      <c r="AD142">
        <f t="shared" ca="1" si="34"/>
        <v>0.12585993194347211</v>
      </c>
      <c r="AE142" s="83">
        <f ca="1"/>
        <v>45480</v>
      </c>
      <c r="AF142" s="55">
        <f t="shared" ca="1" si="43"/>
        <v>45480</v>
      </c>
      <c r="AG142" s="55">
        <f t="shared" ca="1" si="44"/>
        <v>-360.15281348683476</v>
      </c>
      <c r="AH142" s="55">
        <f t="shared" ca="1" si="45"/>
        <v>348.0650427892553</v>
      </c>
      <c r="AI142" s="55">
        <f t="shared" ca="1" si="46"/>
        <v>0</v>
      </c>
      <c r="AJ142" s="55">
        <f t="shared" ca="1" si="40"/>
        <v>0</v>
      </c>
      <c r="AK142" s="55">
        <f t="shared" ca="1" si="41"/>
        <v>11.69501194770984</v>
      </c>
      <c r="AL142" s="55">
        <f t="shared" ca="1" si="42"/>
        <v>-72.82766328456529</v>
      </c>
      <c r="AM142" s="55"/>
    </row>
    <row r="143" spans="18:39">
      <c r="R143" s="83">
        <f ca="1"/>
        <v>45136</v>
      </c>
      <c r="S143" s="55">
        <f t="shared" ca="1" si="35"/>
        <v>45136</v>
      </c>
      <c r="T143" s="55">
        <f t="shared" ca="1" si="28"/>
        <v>96.12226767918709</v>
      </c>
      <c r="U143" s="55">
        <f t="shared" ca="1" si="29"/>
        <v>14.203153854764373</v>
      </c>
      <c r="V143" s="55">
        <f t="shared" ca="1" si="30"/>
        <v>0</v>
      </c>
      <c r="W143" s="55">
        <f t="shared" ca="1" si="36"/>
        <v>-25.34168020825043</v>
      </c>
      <c r="X143" s="55">
        <f t="shared" ca="1" si="37"/>
        <v>19.002435071429915</v>
      </c>
      <c r="Y143" s="55">
        <f t="shared" ca="1" si="38"/>
        <v>16.528531700793842</v>
      </c>
      <c r="Z143" s="55">
        <f t="shared" ca="1" si="31"/>
        <v>1.9151832575779331</v>
      </c>
      <c r="AA143">
        <f t="shared" ca="1" si="32"/>
        <v>117.53638161363031</v>
      </c>
      <c r="AB143">
        <f t="shared" ca="1" si="39"/>
        <v>43.558045407851282</v>
      </c>
      <c r="AC143">
        <f t="shared" ca="1" si="33"/>
        <v>0</v>
      </c>
      <c r="AD143">
        <f t="shared" ca="1" si="34"/>
        <v>0.12860858198536296</v>
      </c>
      <c r="AE143" s="83">
        <f ca="1"/>
        <v>45481</v>
      </c>
      <c r="AF143" s="55">
        <f t="shared" ca="1" si="43"/>
        <v>45481</v>
      </c>
      <c r="AG143" s="55">
        <f t="shared" ca="1" si="44"/>
        <v>-360.26728288556092</v>
      </c>
      <c r="AH143" s="55">
        <f t="shared" ca="1" si="45"/>
        <v>348.37697776257454</v>
      </c>
      <c r="AI143" s="55">
        <f t="shared" ca="1" si="46"/>
        <v>0</v>
      </c>
      <c r="AJ143" s="55">
        <f t="shared" ca="1" si="40"/>
        <v>0</v>
      </c>
      <c r="AK143" s="55">
        <f t="shared" ca="1" si="41"/>
        <v>11.796880581037723</v>
      </c>
      <c r="AL143" s="55">
        <f t="shared" ca="1" si="42"/>
        <v>-72.732066343300062</v>
      </c>
      <c r="AM143" s="55"/>
    </row>
    <row r="144" spans="18:39">
      <c r="R144" s="83">
        <f ca="1"/>
        <v>45137</v>
      </c>
      <c r="S144" s="55">
        <f t="shared" ca="1" si="35"/>
        <v>45137</v>
      </c>
      <c r="T144" s="55">
        <f t="shared" ca="1" si="28"/>
        <v>96.155309258354492</v>
      </c>
      <c r="U144" s="55">
        <f t="shared" ca="1" si="29"/>
        <v>14.329895476426312</v>
      </c>
      <c r="V144" s="55">
        <f t="shared" ca="1" si="30"/>
        <v>0</v>
      </c>
      <c r="W144" s="55">
        <f t="shared" ca="1" si="36"/>
        <v>-25.34168020825043</v>
      </c>
      <c r="X144" s="55">
        <f t="shared" ca="1" si="37"/>
        <v>19.133710371828023</v>
      </c>
      <c r="Y144" s="55">
        <f t="shared" ca="1" si="38"/>
        <v>16.557039601225071</v>
      </c>
      <c r="Z144" s="55">
        <f t="shared" ca="1" si="31"/>
        <v>1.7743827032671433</v>
      </c>
      <c r="AA144">
        <f t="shared" ca="1" si="32"/>
        <v>117.55154279486683</v>
      </c>
      <c r="AB144">
        <f t="shared" ca="1" si="39"/>
        <v>43.558045407851282</v>
      </c>
      <c r="AC144">
        <f t="shared" ca="1" si="33"/>
        <v>0</v>
      </c>
      <c r="AD144">
        <f t="shared" ca="1" si="34"/>
        <v>0.13117707198782619</v>
      </c>
      <c r="AE144" s="83">
        <f ca="1"/>
        <v>45482</v>
      </c>
      <c r="AF144" s="55">
        <f t="shared" ca="1" si="43"/>
        <v>45482</v>
      </c>
      <c r="AG144" s="55">
        <f t="shared" ca="1" si="44"/>
        <v>-360.51584079066726</v>
      </c>
      <c r="AH144" s="55">
        <f t="shared" ca="1" si="45"/>
        <v>348.82908986207764</v>
      </c>
      <c r="AI144" s="55">
        <f t="shared" ca="1" si="46"/>
        <v>0</v>
      </c>
      <c r="AJ144" s="55">
        <f t="shared" ca="1" si="40"/>
        <v>0</v>
      </c>
      <c r="AK144" s="55">
        <f t="shared" ca="1" si="41"/>
        <v>11.901163829951804</v>
      </c>
      <c r="AL144" s="55">
        <f t="shared" ca="1" si="42"/>
        <v>-72.632795397817404</v>
      </c>
      <c r="AM144" s="55"/>
    </row>
    <row r="145" spans="18:39">
      <c r="R145" s="83">
        <f ca="1"/>
        <v>45138</v>
      </c>
      <c r="S145" s="55">
        <f t="shared" ca="1" si="35"/>
        <v>45138</v>
      </c>
      <c r="T145" s="55">
        <f t="shared" ca="1" si="28"/>
        <v>96.185924309761646</v>
      </c>
      <c r="U145" s="55">
        <f t="shared" ca="1" si="29"/>
        <v>14.464313103409031</v>
      </c>
      <c r="V145" s="55">
        <f t="shared" ca="1" si="30"/>
        <v>0</v>
      </c>
      <c r="W145" s="55">
        <f t="shared" ca="1" si="36"/>
        <v>-25.34168020825043</v>
      </c>
      <c r="X145" s="55">
        <f t="shared" ca="1" si="37"/>
        <v>19.270124150923444</v>
      </c>
      <c r="Y145" s="55">
        <f t="shared" ca="1" si="38"/>
        <v>16.585658500519521</v>
      </c>
      <c r="Z145" s="55">
        <f t="shared" ca="1" si="31"/>
        <v>1.8818467777580672</v>
      </c>
      <c r="AA145">
        <f t="shared" ca="1" si="32"/>
        <v>116.14291867654349</v>
      </c>
      <c r="AB145">
        <f t="shared" ca="1" si="39"/>
        <v>43.558045407851282</v>
      </c>
      <c r="AC145">
        <f t="shared" ca="1" si="33"/>
        <v>0</v>
      </c>
      <c r="AD145">
        <f t="shared" ca="1" si="34"/>
        <v>0.13392380837317311</v>
      </c>
      <c r="AE145" s="83">
        <f ca="1"/>
        <v>45483</v>
      </c>
      <c r="AF145" s="55">
        <f t="shared" ca="1" si="43"/>
        <v>45483</v>
      </c>
      <c r="AG145" s="55">
        <f t="shared" ca="1" si="44"/>
        <v>-360.69994099307041</v>
      </c>
      <c r="AH145" s="55">
        <f t="shared" ca="1" si="45"/>
        <v>349.21834181779877</v>
      </c>
      <c r="AI145" s="55">
        <f t="shared" ca="1" si="46"/>
        <v>0</v>
      </c>
      <c r="AJ145" s="55">
        <f t="shared" ca="1" si="40"/>
        <v>0</v>
      </c>
      <c r="AK145" s="55">
        <f t="shared" ca="1" si="41"/>
        <v>12.005478006622065</v>
      </c>
      <c r="AL145" s="55">
        <f t="shared" ca="1" si="42"/>
        <v>-72.531957821169669</v>
      </c>
      <c r="AM145" s="55"/>
    </row>
    <row r="146" spans="18:39">
      <c r="R146" s="83">
        <f ca="1"/>
        <v>45139</v>
      </c>
      <c r="S146" s="55">
        <f t="shared" ca="1" si="35"/>
        <v>45139</v>
      </c>
      <c r="T146" s="55">
        <f t="shared" ref="T146:T209" ca="1" si="47">VLOOKUP(S146,ModelOutputs,2,FALSE)</f>
        <v>96.214276868153632</v>
      </c>
      <c r="U146" s="55">
        <f t="shared" ref="U146:U209" ca="1" si="48">VLOOKUP(S146,ModelOutputs,7,FALSE)</f>
        <v>14.604131674042129</v>
      </c>
      <c r="V146" s="55">
        <f t="shared" ref="V146:V209" ca="1" si="49">VLOOKUP(S146,ModelOutputs,6,FALSE)</f>
        <v>0</v>
      </c>
      <c r="W146" s="55">
        <f t="shared" ca="1" si="36"/>
        <v>-25.34168020825043</v>
      </c>
      <c r="X146" s="55">
        <f t="shared" ca="1" si="37"/>
        <v>19.409834310276512</v>
      </c>
      <c r="Y146" s="55">
        <f t="shared" ca="1" si="38"/>
        <v>16.614119470191525</v>
      </c>
      <c r="Z146" s="55">
        <f t="shared" ref="Z146:Z209" ca="1" si="50">VLOOKUP(S146,ModelOutputs,3,FALSE)*14</f>
        <v>1.9574599888633735</v>
      </c>
      <c r="AA146">
        <f t="shared" ref="AA146:AA209" ca="1" si="51">VLOOKUP(S146,ModelOutputs,10,FALSE)*AWC</f>
        <v>116.5669834761505</v>
      </c>
      <c r="AB146">
        <f t="shared" ca="1" si="39"/>
        <v>43.558045407851282</v>
      </c>
      <c r="AC146">
        <f t="shared" ref="AC146:AC209" ca="1" si="52">VLOOKUP(S146,ModelOutputs,12,FALSE)</f>
        <v>0</v>
      </c>
      <c r="AD146">
        <f t="shared" ref="AD146:AD209" ca="1" si="53">VLOOKUP(S146,ModelOutputs,13,FALSE)</f>
        <v>0.13680530548109526</v>
      </c>
      <c r="AE146" s="83">
        <f ca="1"/>
        <v>45484</v>
      </c>
      <c r="AF146" s="55">
        <f t="shared" ca="1" si="43"/>
        <v>45484</v>
      </c>
      <c r="AG146" s="55">
        <f t="shared" ca="1" si="44"/>
        <v>-361.0349223789687</v>
      </c>
      <c r="AH146" s="55">
        <f t="shared" ca="1" si="45"/>
        <v>349.76530231955297</v>
      </c>
      <c r="AI146" s="55">
        <f t="shared" ca="1" si="46"/>
        <v>0</v>
      </c>
      <c r="AJ146" s="55">
        <f t="shared" ca="1" si="40"/>
        <v>0</v>
      </c>
      <c r="AK146" s="55">
        <f t="shared" ca="1" si="41"/>
        <v>12.112779750836378</v>
      </c>
      <c r="AL146" s="55">
        <f t="shared" ca="1" si="42"/>
        <v>-72.427280449528084</v>
      </c>
      <c r="AM146" s="55"/>
    </row>
    <row r="147" spans="18:39">
      <c r="R147" s="83">
        <f ca="1"/>
        <v>45140</v>
      </c>
      <c r="S147" s="55">
        <f t="shared" ref="S147:S210" ca="1" si="54">IF(R147&gt;1,R147,"")</f>
        <v>45140</v>
      </c>
      <c r="T147" s="55">
        <f t="shared" ca="1" si="47"/>
        <v>96.241336615475973</v>
      </c>
      <c r="U147" s="55">
        <f t="shared" ca="1" si="48"/>
        <v>14.74010332665382</v>
      </c>
      <c r="V147" s="55">
        <f t="shared" ca="1" si="49"/>
        <v>0</v>
      </c>
      <c r="W147" s="55">
        <f t="shared" ref="W147:W210" ca="1" si="55">-VLOOKUP(S147,ModelOutputs,9,FALSE)+W146</f>
        <v>-25.34168020825043</v>
      </c>
      <c r="X147" s="55">
        <f t="shared" ref="X147:X210" ca="1" si="56">VLOOKUP(S147,ModelOutputs,5,FALSE)+X146</f>
        <v>19.54550608611369</v>
      </c>
      <c r="Y147" s="55">
        <f t="shared" ref="Y147:Y210" ca="1" si="57">VLOOKUP(S147,ModelOutputs,4,FALSE)+Y146</f>
        <v>16.641479094288378</v>
      </c>
      <c r="Z147" s="55">
        <f t="shared" ca="1" si="50"/>
        <v>1.9036031365636674</v>
      </c>
      <c r="AA147">
        <f t="shared" ca="1" si="51"/>
        <v>116.56205634788313</v>
      </c>
      <c r="AB147">
        <f t="shared" ref="AB147:AB210" ca="1" si="58">VLOOKUP(S147,ModelOutputs,11,FALSE)+AB146</f>
        <v>43.558045407851282</v>
      </c>
      <c r="AC147">
        <f t="shared" ca="1" si="52"/>
        <v>0</v>
      </c>
      <c r="AD147">
        <f t="shared" ca="1" si="53"/>
        <v>0.13963099050834599</v>
      </c>
      <c r="AE147" s="83">
        <f ca="1"/>
        <v>45485</v>
      </c>
      <c r="AF147" s="55">
        <f t="shared" ca="1" si="43"/>
        <v>45485</v>
      </c>
      <c r="AG147" s="55">
        <f t="shared" ca="1" si="44"/>
        <v>-361.41457643060522</v>
      </c>
      <c r="AH147" s="55">
        <f t="shared" ca="1" si="45"/>
        <v>350.36110674991994</v>
      </c>
      <c r="AI147" s="55">
        <f t="shared" ca="1" si="46"/>
        <v>0</v>
      </c>
      <c r="AJ147" s="55">
        <f t="shared" ref="AJ147:AJ210" ca="1" si="59">-VLOOKUP(AF147,ModelOutputs,9,FALSE)+AJ146</f>
        <v>0</v>
      </c>
      <c r="AK147" s="55">
        <f t="shared" ref="AK147:AK210" ca="1" si="60">VLOOKUP(AF147,ModelOutputs,5,FALSE)+AK146</f>
        <v>12.221570152139606</v>
      </c>
      <c r="AL147" s="55">
        <f t="shared" ref="AL147:AL210" ca="1" si="61">VLOOKUP(AF147,ModelOutputs,4,FALSE)+AL146</f>
        <v>-72.319920472100847</v>
      </c>
      <c r="AM147" s="55"/>
    </row>
    <row r="148" spans="18:39">
      <c r="R148" s="83">
        <f ca="1"/>
        <v>45141</v>
      </c>
      <c r="S148" s="55">
        <f t="shared" ca="1" si="54"/>
        <v>45141</v>
      </c>
      <c r="T148" s="55">
        <f t="shared" ca="1" si="47"/>
        <v>96.267664585179858</v>
      </c>
      <c r="U148" s="55">
        <f t="shared" ca="1" si="48"/>
        <v>14.870169533810463</v>
      </c>
      <c r="V148" s="55">
        <f t="shared" ca="1" si="49"/>
        <v>0</v>
      </c>
      <c r="W148" s="55">
        <f t="shared" ca="1" si="55"/>
        <v>-25.34168020825043</v>
      </c>
      <c r="X148" s="55">
        <f t="shared" ca="1" si="56"/>
        <v>19.675769196234974</v>
      </c>
      <c r="Y148" s="55">
        <f t="shared" ca="1" si="57"/>
        <v>16.667610161027635</v>
      </c>
      <c r="Z148" s="55">
        <f t="shared" ca="1" si="50"/>
        <v>1.8209269001930046</v>
      </c>
      <c r="AA148">
        <f t="shared" ca="1" si="51"/>
        <v>115.7297972747497</v>
      </c>
      <c r="AB148">
        <f t="shared" ca="1" si="58"/>
        <v>43.558045407851282</v>
      </c>
      <c r="AC148">
        <f t="shared" ca="1" si="52"/>
        <v>0</v>
      </c>
      <c r="AD148">
        <f t="shared" ca="1" si="53"/>
        <v>0.14235524567540317</v>
      </c>
      <c r="AE148" s="83">
        <f ca="1"/>
        <v>45486</v>
      </c>
      <c r="AF148" s="55">
        <f t="shared" ca="1" si="43"/>
        <v>45486</v>
      </c>
      <c r="AG148" s="55">
        <f t="shared" ca="1" si="44"/>
        <v>-361.95241372758261</v>
      </c>
      <c r="AH148" s="55">
        <f t="shared" ca="1" si="45"/>
        <v>351.12208621775505</v>
      </c>
      <c r="AI148" s="55">
        <f t="shared" ca="1" si="46"/>
        <v>0</v>
      </c>
      <c r="AJ148" s="55">
        <f t="shared" ca="1" si="59"/>
        <v>0</v>
      </c>
      <c r="AK148" s="55">
        <f t="shared" ca="1" si="60"/>
        <v>12.333321018769972</v>
      </c>
      <c r="AL148" s="55">
        <f t="shared" ca="1" si="61"/>
        <v>-72.208529167873479</v>
      </c>
      <c r="AM148" s="55"/>
    </row>
    <row r="149" spans="18:39">
      <c r="R149" s="83">
        <f ca="1"/>
        <v>45142</v>
      </c>
      <c r="S149" s="55">
        <f t="shared" ca="1" si="54"/>
        <v>45142</v>
      </c>
      <c r="T149" s="55">
        <f t="shared" ca="1" si="47"/>
        <v>96.291050553350928</v>
      </c>
      <c r="U149" s="55">
        <f t="shared" ca="1" si="48"/>
        <v>15.009725701685433</v>
      </c>
      <c r="V149" s="55">
        <f t="shared" ca="1" si="49"/>
        <v>0</v>
      </c>
      <c r="W149" s="55">
        <f t="shared" ca="1" si="55"/>
        <v>-25.34168020825043</v>
      </c>
      <c r="X149" s="55">
        <f t="shared" ca="1" si="56"/>
        <v>19.812331694298933</v>
      </c>
      <c r="Y149" s="55">
        <f t="shared" ca="1" si="57"/>
        <v>16.693989799009707</v>
      </c>
      <c r="Z149" s="55">
        <f t="shared" ca="1" si="50"/>
        <v>1.953786350249576</v>
      </c>
      <c r="AA149">
        <f t="shared" ca="1" si="51"/>
        <v>116.02676319889727</v>
      </c>
      <c r="AB149">
        <f t="shared" ca="1" si="58"/>
        <v>43.558045407851282</v>
      </c>
      <c r="AC149">
        <f t="shared" ca="1" si="52"/>
        <v>0</v>
      </c>
      <c r="AD149">
        <f t="shared" ca="1" si="53"/>
        <v>0.14530102666331376</v>
      </c>
      <c r="AE149" s="83">
        <f ca="1"/>
        <v>45487</v>
      </c>
      <c r="AF149" s="55">
        <f t="shared" ref="AF149:AF212" ca="1" si="62">IF(AE149&gt;1,AE149,"")</f>
        <v>45487</v>
      </c>
      <c r="AG149" s="55">
        <f t="shared" ref="AG149:AG212" ca="1" si="63">VLOOKUP(AF149,ModelOutputs,2,FALSE)</f>
        <v>-362.29271319876335</v>
      </c>
      <c r="AH149" s="55">
        <f t="shared" ref="AH149:AH212" ca="1" si="64">VLOOKUP(AF149,ModelOutputs,7,FALSE)</f>
        <v>351.68123198879437</v>
      </c>
      <c r="AI149" s="55">
        <f t="shared" ref="AI149:AI212" ca="1" si="65">VLOOKUP(AF149,ModelOutputs,6,FALSE)</f>
        <v>0</v>
      </c>
      <c r="AJ149" s="55">
        <f t="shared" ca="1" si="59"/>
        <v>0</v>
      </c>
      <c r="AK149" s="55">
        <f t="shared" ca="1" si="60"/>
        <v>12.441116321323536</v>
      </c>
      <c r="AL149" s="55">
        <f t="shared" ca="1" si="61"/>
        <v>-72.097478170568451</v>
      </c>
      <c r="AM149" s="55"/>
    </row>
    <row r="150" spans="18:39">
      <c r="R150" s="83">
        <f ca="1"/>
        <v>45143</v>
      </c>
      <c r="S150" s="55">
        <f t="shared" ca="1" si="54"/>
        <v>45143</v>
      </c>
      <c r="T150" s="55">
        <f t="shared" ca="1" si="47"/>
        <v>96.312127099219339</v>
      </c>
      <c r="U150" s="55">
        <f t="shared" ca="1" si="48"/>
        <v>15.153899970169469</v>
      </c>
      <c r="V150" s="55">
        <f t="shared" ca="1" si="49"/>
        <v>0</v>
      </c>
      <c r="W150" s="55">
        <f t="shared" ca="1" si="55"/>
        <v>-25.34168020825043</v>
      </c>
      <c r="X150" s="55">
        <f t="shared" ca="1" si="56"/>
        <v>19.951438678665966</v>
      </c>
      <c r="Y150" s="55">
        <f t="shared" ca="1" si="57"/>
        <v>16.720133628995118</v>
      </c>
      <c r="Z150" s="55">
        <f t="shared" ca="1" si="50"/>
        <v>2.0184397587765091</v>
      </c>
      <c r="AA150">
        <f t="shared" ca="1" si="51"/>
        <v>116.46799199028598</v>
      </c>
      <c r="AB150">
        <f t="shared" ca="1" si="58"/>
        <v>43.558045407851282</v>
      </c>
      <c r="AC150">
        <f t="shared" ca="1" si="52"/>
        <v>0</v>
      </c>
      <c r="AD150">
        <f t="shared" ca="1" si="53"/>
        <v>0.14836858121851712</v>
      </c>
      <c r="AE150" s="83">
        <f ca="1"/>
        <v>45488</v>
      </c>
      <c r="AF150" s="55">
        <f t="shared" ca="1" si="62"/>
        <v>45488</v>
      </c>
      <c r="AG150" s="55">
        <f t="shared" ca="1" si="63"/>
        <v>-362.91695903494912</v>
      </c>
      <c r="AH150" s="55">
        <f t="shared" ca="1" si="64"/>
        <v>352.53756752903166</v>
      </c>
      <c r="AI150" s="55">
        <f t="shared" ca="1" si="65"/>
        <v>0</v>
      </c>
      <c r="AJ150" s="55">
        <f t="shared" ca="1" si="59"/>
        <v>0</v>
      </c>
      <c r="AK150" s="55">
        <f t="shared" ca="1" si="60"/>
        <v>12.556531973525116</v>
      </c>
      <c r="AL150" s="55">
        <f t="shared" ca="1" si="61"/>
        <v>-71.98080411871851</v>
      </c>
      <c r="AM150" s="55"/>
    </row>
    <row r="151" spans="18:39">
      <c r="R151" s="83">
        <f ca="1"/>
        <v>45144</v>
      </c>
      <c r="S151" s="55">
        <f t="shared" ca="1" si="54"/>
        <v>45144</v>
      </c>
      <c r="T151" s="55">
        <f t="shared" ca="1" si="47"/>
        <v>96.330636573559801</v>
      </c>
      <c r="U151" s="55">
        <f t="shared" ca="1" si="48"/>
        <v>15.301209986467946</v>
      </c>
      <c r="V151" s="55">
        <f t="shared" ca="1" si="49"/>
        <v>0</v>
      </c>
      <c r="W151" s="55">
        <f t="shared" ca="1" si="55"/>
        <v>-25.34168020825043</v>
      </c>
      <c r="X151" s="55">
        <f t="shared" ca="1" si="56"/>
        <v>20.091496102977572</v>
      </c>
      <c r="Y151" s="55">
        <f t="shared" ca="1" si="57"/>
        <v>16.745895695322449</v>
      </c>
      <c r="Z151" s="55">
        <f t="shared" ca="1" si="50"/>
        <v>2.0623402281786696</v>
      </c>
      <c r="AA151">
        <f t="shared" ca="1" si="51"/>
        <v>114.98531395535203</v>
      </c>
      <c r="AB151">
        <f t="shared" ca="1" si="58"/>
        <v>43.558045407851282</v>
      </c>
      <c r="AC151">
        <f t="shared" ca="1" si="52"/>
        <v>0</v>
      </c>
      <c r="AD151">
        <f t="shared" ca="1" si="53"/>
        <v>0.15152786041381602</v>
      </c>
      <c r="AE151" s="83">
        <f ca="1"/>
        <v>45489</v>
      </c>
      <c r="AF151" s="55">
        <f t="shared" ca="1" si="62"/>
        <v>45489</v>
      </c>
      <c r="AG151" s="55">
        <f t="shared" ca="1" si="63"/>
        <v>-363.59341070155125</v>
      </c>
      <c r="AH151" s="55">
        <f t="shared" ca="1" si="64"/>
        <v>353.45330111802315</v>
      </c>
      <c r="AI151" s="55">
        <f t="shared" ca="1" si="65"/>
        <v>0</v>
      </c>
      <c r="AJ151" s="55">
        <f t="shared" ca="1" si="59"/>
        <v>0</v>
      </c>
      <c r="AK151" s="55">
        <f t="shared" ca="1" si="60"/>
        <v>12.67633052351718</v>
      </c>
      <c r="AL151" s="55">
        <f t="shared" ca="1" si="61"/>
        <v>-71.861320746321226</v>
      </c>
      <c r="AM151" s="55"/>
    </row>
    <row r="152" spans="18:39">
      <c r="R152" s="83">
        <f ca="1"/>
        <v>45145</v>
      </c>
      <c r="S152" s="55">
        <f t="shared" ca="1" si="54"/>
        <v>45145</v>
      </c>
      <c r="T152" s="55">
        <f t="shared" ca="1" si="47"/>
        <v>96.347224815969255</v>
      </c>
      <c r="U152" s="55">
        <f t="shared" ca="1" si="48"/>
        <v>15.452519699049661</v>
      </c>
      <c r="V152" s="55">
        <f t="shared" ca="1" si="49"/>
        <v>0</v>
      </c>
      <c r="W152" s="55">
        <f t="shared" ca="1" si="55"/>
        <v>-25.34168020825043</v>
      </c>
      <c r="X152" s="55">
        <f t="shared" ca="1" si="56"/>
        <v>20.233941697702495</v>
      </c>
      <c r="Y152" s="55">
        <f t="shared" ca="1" si="57"/>
        <v>16.77134805558871</v>
      </c>
      <c r="Z152" s="55">
        <f t="shared" ca="1" si="50"/>
        <v>2.1183359761440208</v>
      </c>
      <c r="AA152">
        <f t="shared" ca="1" si="51"/>
        <v>118.31346463920408</v>
      </c>
      <c r="AB152">
        <f t="shared" ca="1" si="58"/>
        <v>43.558045407851282</v>
      </c>
      <c r="AC152">
        <f t="shared" ca="1" si="52"/>
        <v>0</v>
      </c>
      <c r="AD152">
        <f t="shared" ca="1" si="53"/>
        <v>0.15479869259148812</v>
      </c>
      <c r="AE152" s="83">
        <f ca="1"/>
        <v>45490</v>
      </c>
      <c r="AF152" s="55">
        <f t="shared" ca="1" si="62"/>
        <v>45490</v>
      </c>
      <c r="AG152" s="55">
        <f t="shared" ca="1" si="63"/>
        <v>-364.17827213019933</v>
      </c>
      <c r="AH152" s="55">
        <f t="shared" ca="1" si="64"/>
        <v>354.28235294117644</v>
      </c>
      <c r="AI152" s="55">
        <f t="shared" ca="1" si="65"/>
        <v>0</v>
      </c>
      <c r="AJ152" s="55">
        <f t="shared" ca="1" si="59"/>
        <v>0</v>
      </c>
      <c r="AK152" s="55">
        <f t="shared" ca="1" si="60"/>
        <v>12.800209213183688</v>
      </c>
      <c r="AL152" s="55">
        <f t="shared" ca="1" si="61"/>
        <v>-71.74100904148257</v>
      </c>
      <c r="AM152" s="55"/>
    </row>
    <row r="153" spans="18:39">
      <c r="R153" s="83">
        <f ca="1"/>
        <v>45146</v>
      </c>
      <c r="S153" s="55">
        <f t="shared" ca="1" si="54"/>
        <v>45146</v>
      </c>
      <c r="T153" s="55">
        <f t="shared" ca="1" si="47"/>
        <v>96.060835156125407</v>
      </c>
      <c r="U153" s="55">
        <f t="shared" ca="1" si="48"/>
        <v>15.600030115166597</v>
      </c>
      <c r="V153" s="55">
        <f t="shared" ca="1" si="49"/>
        <v>0</v>
      </c>
      <c r="W153" s="55">
        <f t="shared" ca="1" si="55"/>
        <v>-25.643543060218583</v>
      </c>
      <c r="X153" s="55">
        <f t="shared" ca="1" si="56"/>
        <v>20.372447212564353</v>
      </c>
      <c r="Y153" s="55">
        <f t="shared" ca="1" si="57"/>
        <v>16.795826148968082</v>
      </c>
      <c r="Z153" s="55">
        <f t="shared" ca="1" si="50"/>
        <v>2.0651458256370923</v>
      </c>
      <c r="AA153">
        <f t="shared" ca="1" si="51"/>
        <v>120</v>
      </c>
      <c r="AB153">
        <f t="shared" ca="1" si="58"/>
        <v>44.128641518336082</v>
      </c>
      <c r="AC153">
        <f t="shared" ca="1" si="52"/>
        <v>0</v>
      </c>
      <c r="AD153">
        <f t="shared" ca="1" si="53"/>
        <v>0.15801200266647356</v>
      </c>
      <c r="AE153" s="83" t="e">
        <f ca="1"/>
        <v>#N/A</v>
      </c>
      <c r="AF153" s="55" t="e">
        <f t="shared" ca="1" si="62"/>
        <v>#N/A</v>
      </c>
      <c r="AG153" s="55" t="e">
        <f t="shared" ca="1" si="63"/>
        <v>#N/A</v>
      </c>
      <c r="AH153" s="55" t="e">
        <f t="shared" ca="1" si="64"/>
        <v>#N/A</v>
      </c>
      <c r="AI153" s="55" t="e">
        <f t="shared" ca="1" si="65"/>
        <v>#N/A</v>
      </c>
      <c r="AJ153" s="55" t="e">
        <f t="shared" ca="1" si="59"/>
        <v>#N/A</v>
      </c>
      <c r="AK153" s="55" t="e">
        <f t="shared" ca="1" si="60"/>
        <v>#N/A</v>
      </c>
      <c r="AL153" s="55" t="e">
        <f t="shared" ca="1" si="61"/>
        <v>#N/A</v>
      </c>
      <c r="AM153" s="55"/>
    </row>
    <row r="154" spans="18:39">
      <c r="R154" s="83">
        <f ca="1"/>
        <v>45147</v>
      </c>
      <c r="S154" s="55">
        <f t="shared" ca="1" si="54"/>
        <v>45147</v>
      </c>
      <c r="T154" s="55">
        <f t="shared" ca="1" si="47"/>
        <v>96.029736852753771</v>
      </c>
      <c r="U154" s="55">
        <f t="shared" ca="1" si="48"/>
        <v>15.734634897975358</v>
      </c>
      <c r="V154" s="55">
        <f t="shared" ca="1" si="49"/>
        <v>0</v>
      </c>
      <c r="W154" s="55">
        <f t="shared" ca="1" si="55"/>
        <v>-25.691140408049943</v>
      </c>
      <c r="X154" s="55">
        <f t="shared" ca="1" si="56"/>
        <v>20.500701375809367</v>
      </c>
      <c r="Y154" s="55">
        <f t="shared" ca="1" si="57"/>
        <v>16.81867581299155</v>
      </c>
      <c r="Z154" s="55">
        <f t="shared" ca="1" si="50"/>
        <v>1.8844669593226584</v>
      </c>
      <c r="AA154">
        <f t="shared" ca="1" si="51"/>
        <v>120</v>
      </c>
      <c r="AB154">
        <f t="shared" ca="1" si="58"/>
        <v>44.218641518336071</v>
      </c>
      <c r="AC154">
        <f t="shared" ca="1" si="52"/>
        <v>0</v>
      </c>
      <c r="AD154">
        <f t="shared" ca="1" si="53"/>
        <v>0.16096492618239042</v>
      </c>
      <c r="AE154" s="83" t="e">
        <f ca="1"/>
        <v>#N/A</v>
      </c>
      <c r="AF154" s="55" t="e">
        <f t="shared" ca="1" si="62"/>
        <v>#N/A</v>
      </c>
      <c r="AG154" s="55" t="e">
        <f t="shared" ca="1" si="63"/>
        <v>#N/A</v>
      </c>
      <c r="AH154" s="55" t="e">
        <f t="shared" ca="1" si="64"/>
        <v>#N/A</v>
      </c>
      <c r="AI154" s="55" t="e">
        <f t="shared" ca="1" si="65"/>
        <v>#N/A</v>
      </c>
      <c r="AJ154" s="55" t="e">
        <f t="shared" ca="1" si="59"/>
        <v>#N/A</v>
      </c>
      <c r="AK154" s="55" t="e">
        <f t="shared" ca="1" si="60"/>
        <v>#N/A</v>
      </c>
      <c r="AL154" s="55" t="e">
        <f t="shared" ca="1" si="61"/>
        <v>#N/A</v>
      </c>
      <c r="AM154" s="55"/>
    </row>
    <row r="155" spans="18:39">
      <c r="R155" s="83">
        <f ca="1"/>
        <v>45148</v>
      </c>
      <c r="S155" s="55">
        <f t="shared" ca="1" si="54"/>
        <v>45148</v>
      </c>
      <c r="T155" s="55">
        <f t="shared" ca="1" si="47"/>
        <v>96.032100225505374</v>
      </c>
      <c r="U155" s="55">
        <f t="shared" ca="1" si="48"/>
        <v>15.879419369147394</v>
      </c>
      <c r="V155" s="55">
        <f t="shared" ca="1" si="49"/>
        <v>0</v>
      </c>
      <c r="W155" s="55">
        <f t="shared" ca="1" si="55"/>
        <v>-25.70171785677044</v>
      </c>
      <c r="X155" s="55">
        <f t="shared" ca="1" si="56"/>
        <v>20.635338798884902</v>
      </c>
      <c r="Y155" s="55">
        <f t="shared" ca="1" si="57"/>
        <v>16.841763682560156</v>
      </c>
      <c r="Z155" s="55">
        <f t="shared" ca="1" si="50"/>
        <v>2.0269825964085051</v>
      </c>
      <c r="AA155">
        <f t="shared" ca="1" si="51"/>
        <v>120</v>
      </c>
      <c r="AB155">
        <f t="shared" ca="1" si="58"/>
        <v>44.238641518336081</v>
      </c>
      <c r="AC155">
        <f t="shared" ca="1" si="52"/>
        <v>0</v>
      </c>
      <c r="AD155">
        <f t="shared" ca="1" si="53"/>
        <v>0.16416278663536527</v>
      </c>
      <c r="AE155" s="83" t="e">
        <f ca="1"/>
        <v>#N/A</v>
      </c>
      <c r="AF155" s="55" t="e">
        <f t="shared" ca="1" si="62"/>
        <v>#N/A</v>
      </c>
      <c r="AG155" s="55" t="e">
        <f t="shared" ca="1" si="63"/>
        <v>#N/A</v>
      </c>
      <c r="AH155" s="55" t="e">
        <f t="shared" ca="1" si="64"/>
        <v>#N/A</v>
      </c>
      <c r="AI155" s="55" t="e">
        <f t="shared" ca="1" si="65"/>
        <v>#N/A</v>
      </c>
      <c r="AJ155" s="55" t="e">
        <f t="shared" ca="1" si="59"/>
        <v>#N/A</v>
      </c>
      <c r="AK155" s="55" t="e">
        <f t="shared" ca="1" si="60"/>
        <v>#N/A</v>
      </c>
      <c r="AL155" s="55" t="e">
        <f t="shared" ca="1" si="61"/>
        <v>#N/A</v>
      </c>
      <c r="AM155" s="55"/>
    </row>
    <row r="156" spans="18:39">
      <c r="R156" s="83">
        <f ca="1"/>
        <v>45149</v>
      </c>
      <c r="S156" s="55">
        <f t="shared" ca="1" si="54"/>
        <v>45149</v>
      </c>
      <c r="T156" s="55">
        <f t="shared" ca="1" si="47"/>
        <v>95.967431367859305</v>
      </c>
      <c r="U156" s="55">
        <f t="shared" ca="1" si="48"/>
        <v>16.034635698196901</v>
      </c>
      <c r="V156" s="55">
        <f t="shared" ca="1" si="49"/>
        <v>0</v>
      </c>
      <c r="W156" s="55">
        <f t="shared" ca="1" si="55"/>
        <v>-25.775710137187399</v>
      </c>
      <c r="X156" s="55">
        <f t="shared" ca="1" si="56"/>
        <v>20.776564367630339</v>
      </c>
      <c r="Y156" s="55">
        <f t="shared" ca="1" si="57"/>
        <v>16.865077865635119</v>
      </c>
      <c r="Z156" s="55">
        <f t="shared" ca="1" si="50"/>
        <v>2.1730286066930979</v>
      </c>
      <c r="AA156">
        <f t="shared" ca="1" si="51"/>
        <v>120</v>
      </c>
      <c r="AB156">
        <f t="shared" ca="1" si="58"/>
        <v>44.378641518336082</v>
      </c>
      <c r="AC156">
        <f t="shared" ca="1" si="52"/>
        <v>0</v>
      </c>
      <c r="AD156">
        <f t="shared" ca="1" si="53"/>
        <v>0.16761537320823391</v>
      </c>
      <c r="AE156" s="83" t="e">
        <f ca="1"/>
        <v>#N/A</v>
      </c>
      <c r="AF156" s="55" t="e">
        <f t="shared" ca="1" si="62"/>
        <v>#N/A</v>
      </c>
      <c r="AG156" s="55" t="e">
        <f t="shared" ca="1" si="63"/>
        <v>#N/A</v>
      </c>
      <c r="AH156" s="55" t="e">
        <f t="shared" ca="1" si="64"/>
        <v>#N/A</v>
      </c>
      <c r="AI156" s="55" t="e">
        <f t="shared" ca="1" si="65"/>
        <v>#N/A</v>
      </c>
      <c r="AJ156" s="55" t="e">
        <f t="shared" ca="1" si="59"/>
        <v>#N/A</v>
      </c>
      <c r="AK156" s="55" t="e">
        <f t="shared" ca="1" si="60"/>
        <v>#N/A</v>
      </c>
      <c r="AL156" s="55" t="e">
        <f t="shared" ca="1" si="61"/>
        <v>#N/A</v>
      </c>
      <c r="AM156" s="55"/>
    </row>
    <row r="157" spans="18:39">
      <c r="R157" s="83">
        <f ca="1"/>
        <v>45150</v>
      </c>
      <c r="S157" s="55">
        <f t="shared" ca="1" si="54"/>
        <v>45150</v>
      </c>
      <c r="T157" s="55">
        <f t="shared" ca="1" si="47"/>
        <v>95.973858755328024</v>
      </c>
      <c r="U157" s="55">
        <f t="shared" ca="1" si="48"/>
        <v>16.196151367388453</v>
      </c>
      <c r="V157" s="55">
        <f t="shared" ca="1" si="49"/>
        <v>0</v>
      </c>
      <c r="W157" s="55">
        <f t="shared" ca="1" si="55"/>
        <v>-25.775710137187399</v>
      </c>
      <c r="X157" s="55">
        <f t="shared" ca="1" si="56"/>
        <v>20.921316001810485</v>
      </c>
      <c r="Y157" s="55">
        <f t="shared" ca="1" si="57"/>
        <v>16.888269288115239</v>
      </c>
      <c r="Z157" s="55">
        <f t="shared" ca="1" si="50"/>
        <v>2.2612193686817221</v>
      </c>
      <c r="AA157">
        <f t="shared" ca="1" si="51"/>
        <v>119.23478260869565</v>
      </c>
      <c r="AB157">
        <f t="shared" ca="1" si="58"/>
        <v>44.378641518336082</v>
      </c>
      <c r="AC157">
        <f t="shared" ca="1" si="52"/>
        <v>0</v>
      </c>
      <c r="AD157">
        <f t="shared" ca="1" si="53"/>
        <v>0.17123412824210157</v>
      </c>
      <c r="AE157" s="83" t="e">
        <f ca="1"/>
        <v>#N/A</v>
      </c>
      <c r="AF157" s="55" t="e">
        <f t="shared" ca="1" si="62"/>
        <v>#N/A</v>
      </c>
      <c r="AG157" s="55" t="e">
        <f t="shared" ca="1" si="63"/>
        <v>#N/A</v>
      </c>
      <c r="AH157" s="55" t="e">
        <f t="shared" ca="1" si="64"/>
        <v>#N/A</v>
      </c>
      <c r="AI157" s="55" t="e">
        <f t="shared" ca="1" si="65"/>
        <v>#N/A</v>
      </c>
      <c r="AJ157" s="55" t="e">
        <f t="shared" ca="1" si="59"/>
        <v>#N/A</v>
      </c>
      <c r="AK157" s="55" t="e">
        <f t="shared" ca="1" si="60"/>
        <v>#N/A</v>
      </c>
      <c r="AL157" s="55" t="e">
        <f t="shared" ca="1" si="61"/>
        <v>#N/A</v>
      </c>
      <c r="AM157" s="55"/>
    </row>
    <row r="158" spans="18:39">
      <c r="R158" s="83">
        <f ca="1"/>
        <v>45151</v>
      </c>
      <c r="S158" s="55">
        <f t="shared" ca="1" si="54"/>
        <v>45151</v>
      </c>
      <c r="T158" s="55">
        <f t="shared" ca="1" si="47"/>
        <v>95.979513187506313</v>
      </c>
      <c r="U158" s="55">
        <f t="shared" ca="1" si="48"/>
        <v>16.352899097571459</v>
      </c>
      <c r="V158" s="55">
        <f t="shared" ca="1" si="49"/>
        <v>0</v>
      </c>
      <c r="W158" s="55">
        <f t="shared" ca="1" si="55"/>
        <v>-25.775710137187399</v>
      </c>
      <c r="X158" s="55">
        <f t="shared" ca="1" si="56"/>
        <v>21.061479662584258</v>
      </c>
      <c r="Y158" s="55">
        <f t="shared" ca="1" si="57"/>
        <v>16.910507789702752</v>
      </c>
      <c r="Z158" s="55">
        <f t="shared" ca="1" si="50"/>
        <v>2.1944682225620937</v>
      </c>
      <c r="AA158">
        <f t="shared" ca="1" si="51"/>
        <v>119.77226297339043</v>
      </c>
      <c r="AB158">
        <f t="shared" ca="1" si="58"/>
        <v>44.378641518336082</v>
      </c>
      <c r="AC158">
        <f t="shared" ca="1" si="52"/>
        <v>0</v>
      </c>
      <c r="AD158">
        <f t="shared" ca="1" si="53"/>
        <v>0.17477078585488476</v>
      </c>
      <c r="AE158" s="83" t="e">
        <f ca="1"/>
        <v>#N/A</v>
      </c>
      <c r="AF158" s="55" t="e">
        <f t="shared" ca="1" si="62"/>
        <v>#N/A</v>
      </c>
      <c r="AG158" s="55" t="e">
        <f t="shared" ca="1" si="63"/>
        <v>#N/A</v>
      </c>
      <c r="AH158" s="55" t="e">
        <f t="shared" ca="1" si="64"/>
        <v>#N/A</v>
      </c>
      <c r="AI158" s="55" t="e">
        <f t="shared" ca="1" si="65"/>
        <v>#N/A</v>
      </c>
      <c r="AJ158" s="55" t="e">
        <f t="shared" ca="1" si="59"/>
        <v>#N/A</v>
      </c>
      <c r="AK158" s="55" t="e">
        <f t="shared" ca="1" si="60"/>
        <v>#N/A</v>
      </c>
      <c r="AL158" s="55" t="e">
        <f t="shared" ca="1" si="61"/>
        <v>#N/A</v>
      </c>
      <c r="AM158" s="55"/>
    </row>
    <row r="159" spans="18:39">
      <c r="R159" s="83">
        <f ca="1"/>
        <v>45152</v>
      </c>
      <c r="S159" s="55">
        <f t="shared" ca="1" si="54"/>
        <v>45152</v>
      </c>
      <c r="T159" s="55">
        <f t="shared" ca="1" si="47"/>
        <v>95.771950661656859</v>
      </c>
      <c r="U159" s="55">
        <f t="shared" ca="1" si="48"/>
        <v>16.508559092566731</v>
      </c>
      <c r="V159" s="55">
        <f t="shared" ca="1" si="49"/>
        <v>0</v>
      </c>
      <c r="W159" s="55">
        <f t="shared" ca="1" si="55"/>
        <v>-25.987567396466243</v>
      </c>
      <c r="X159" s="55">
        <f t="shared" ca="1" si="56"/>
        <v>21.19983507636379</v>
      </c>
      <c r="Y159" s="55">
        <f t="shared" ca="1" si="57"/>
        <v>16.932107104347878</v>
      </c>
      <c r="Z159" s="55">
        <f t="shared" ca="1" si="50"/>
        <v>2.1792399299338072</v>
      </c>
      <c r="AA159">
        <f t="shared" ca="1" si="51"/>
        <v>120</v>
      </c>
      <c r="AB159">
        <f t="shared" ca="1" si="58"/>
        <v>44.780312549013047</v>
      </c>
      <c r="AC159">
        <f t="shared" ca="1" si="52"/>
        <v>0</v>
      </c>
      <c r="AD159">
        <f t="shared" ca="1" si="53"/>
        <v>0.17830634479451854</v>
      </c>
      <c r="AE159" s="83" t="e">
        <f ca="1"/>
        <v>#N/A</v>
      </c>
      <c r="AF159" s="55" t="e">
        <f t="shared" ca="1" si="62"/>
        <v>#N/A</v>
      </c>
      <c r="AG159" s="55" t="e">
        <f t="shared" ca="1" si="63"/>
        <v>#N/A</v>
      </c>
      <c r="AH159" s="55" t="e">
        <f t="shared" ca="1" si="64"/>
        <v>#N/A</v>
      </c>
      <c r="AI159" s="55" t="e">
        <f t="shared" ca="1" si="65"/>
        <v>#N/A</v>
      </c>
      <c r="AJ159" s="55" t="e">
        <f t="shared" ca="1" si="59"/>
        <v>#N/A</v>
      </c>
      <c r="AK159" s="55" t="e">
        <f t="shared" ca="1" si="60"/>
        <v>#N/A</v>
      </c>
      <c r="AL159" s="55" t="e">
        <f t="shared" ca="1" si="61"/>
        <v>#N/A</v>
      </c>
      <c r="AM159" s="55"/>
    </row>
    <row r="160" spans="18:39">
      <c r="R160" s="83">
        <f ca="1"/>
        <v>45153</v>
      </c>
      <c r="S160" s="55">
        <f t="shared" ca="1" si="54"/>
        <v>45153</v>
      </c>
      <c r="T160" s="55">
        <f t="shared" ca="1" si="47"/>
        <v>95.565750064623813</v>
      </c>
      <c r="U160" s="55">
        <f t="shared" ca="1" si="48"/>
        <v>16.6579001947207</v>
      </c>
      <c r="V160" s="55">
        <f t="shared" ca="1" si="49"/>
        <v>0</v>
      </c>
      <c r="W160" s="55">
        <f t="shared" ca="1" si="55"/>
        <v>-26.19808904878251</v>
      </c>
      <c r="X160" s="55">
        <f t="shared" ca="1" si="56"/>
        <v>21.332857562042349</v>
      </c>
      <c r="Y160" s="55">
        <f t="shared" ca="1" si="57"/>
        <v>16.952746776106522</v>
      </c>
      <c r="Z160" s="55">
        <f t="shared" ca="1" si="50"/>
        <v>2.0907754301555599</v>
      </c>
      <c r="AA160">
        <f t="shared" ca="1" si="51"/>
        <v>120</v>
      </c>
      <c r="AB160">
        <f t="shared" ca="1" si="58"/>
        <v>45.180312549013038</v>
      </c>
      <c r="AC160">
        <f t="shared" ca="1" si="52"/>
        <v>0</v>
      </c>
      <c r="AD160">
        <f t="shared" ca="1" si="53"/>
        <v>0.18171973218589421</v>
      </c>
      <c r="AE160" s="83" t="e">
        <f ca="1"/>
        <v>#N/A</v>
      </c>
      <c r="AF160" s="55" t="e">
        <f t="shared" ca="1" si="62"/>
        <v>#N/A</v>
      </c>
      <c r="AG160" s="55" t="e">
        <f t="shared" ca="1" si="63"/>
        <v>#N/A</v>
      </c>
      <c r="AH160" s="55" t="e">
        <f t="shared" ca="1" si="64"/>
        <v>#N/A</v>
      </c>
      <c r="AI160" s="55" t="e">
        <f t="shared" ca="1" si="65"/>
        <v>#N/A</v>
      </c>
      <c r="AJ160" s="55" t="e">
        <f t="shared" ca="1" si="59"/>
        <v>#N/A</v>
      </c>
      <c r="AK160" s="55" t="e">
        <f t="shared" ca="1" si="60"/>
        <v>#N/A</v>
      </c>
      <c r="AL160" s="55" t="e">
        <f t="shared" ca="1" si="61"/>
        <v>#N/A</v>
      </c>
      <c r="AM160" s="55"/>
    </row>
    <row r="161" spans="18:39">
      <c r="R161" s="83">
        <f ca="1"/>
        <v>45154</v>
      </c>
      <c r="S161" s="55">
        <f t="shared" ca="1" si="54"/>
        <v>45154</v>
      </c>
      <c r="T161" s="55">
        <f t="shared" ca="1" si="47"/>
        <v>95.404177532571495</v>
      </c>
      <c r="U161" s="55">
        <f t="shared" ca="1" si="48"/>
        <v>16.813556200776244</v>
      </c>
      <c r="V161" s="55">
        <f t="shared" ca="1" si="49"/>
        <v>0</v>
      </c>
      <c r="W161" s="55">
        <f t="shared" ca="1" si="55"/>
        <v>-26.360967485207684</v>
      </c>
      <c r="X161" s="55">
        <f t="shared" ca="1" si="56"/>
        <v>21.46927134113777</v>
      </c>
      <c r="Y161" s="55">
        <f t="shared" ca="1" si="57"/>
        <v>16.973294907439495</v>
      </c>
      <c r="Z161" s="55">
        <f t="shared" ca="1" si="50"/>
        <v>2.1791840847776172</v>
      </c>
      <c r="AA161">
        <f t="shared" ca="1" si="51"/>
        <v>120</v>
      </c>
      <c r="AB161">
        <f t="shared" ca="1" si="58"/>
        <v>45.490312549013041</v>
      </c>
      <c r="AC161">
        <f t="shared" ca="1" si="52"/>
        <v>0</v>
      </c>
      <c r="AD161">
        <f t="shared" ca="1" si="53"/>
        <v>0.18529907458964009</v>
      </c>
      <c r="AE161" s="83" t="e">
        <f ca="1"/>
        <v>#N/A</v>
      </c>
      <c r="AF161" s="55" t="e">
        <f t="shared" ca="1" si="62"/>
        <v>#N/A</v>
      </c>
      <c r="AG161" s="55" t="e">
        <f t="shared" ca="1" si="63"/>
        <v>#N/A</v>
      </c>
      <c r="AH161" s="55" t="e">
        <f t="shared" ca="1" si="64"/>
        <v>#N/A</v>
      </c>
      <c r="AI161" s="55" t="e">
        <f t="shared" ca="1" si="65"/>
        <v>#N/A</v>
      </c>
      <c r="AJ161" s="55" t="e">
        <f t="shared" ca="1" si="59"/>
        <v>#N/A</v>
      </c>
      <c r="AK161" s="55" t="e">
        <f t="shared" ca="1" si="60"/>
        <v>#N/A</v>
      </c>
      <c r="AL161" s="55" t="e">
        <f t="shared" ca="1" si="61"/>
        <v>#N/A</v>
      </c>
      <c r="AM161" s="55"/>
    </row>
    <row r="162" spans="18:39">
      <c r="R162" s="83">
        <f ca="1"/>
        <v>45155</v>
      </c>
      <c r="S162" s="55">
        <f t="shared" ca="1" si="54"/>
        <v>45155</v>
      </c>
      <c r="T162" s="55">
        <f t="shared" ca="1" si="47"/>
        <v>95.060401086884113</v>
      </c>
      <c r="U162" s="55">
        <f t="shared" ca="1" si="48"/>
        <v>16.982699951228948</v>
      </c>
      <c r="V162" s="55">
        <f t="shared" ca="1" si="49"/>
        <v>0</v>
      </c>
      <c r="W162" s="55">
        <f t="shared" ca="1" si="55"/>
        <v>-26.701256167359279</v>
      </c>
      <c r="X162" s="55">
        <f t="shared" ca="1" si="56"/>
        <v>21.614022975317916</v>
      </c>
      <c r="Y162" s="55">
        <f t="shared" ca="1" si="57"/>
        <v>16.994199260176273</v>
      </c>
      <c r="Z162" s="55">
        <f t="shared" ca="1" si="50"/>
        <v>2.3680125063378625</v>
      </c>
      <c r="AA162">
        <f t="shared" ca="1" si="51"/>
        <v>120</v>
      </c>
      <c r="AB162">
        <f t="shared" ca="1" si="58"/>
        <v>46.140312549013032</v>
      </c>
      <c r="AC162">
        <f t="shared" ca="1" si="52"/>
        <v>0</v>
      </c>
      <c r="AD162">
        <f t="shared" ca="1" si="53"/>
        <v>0.18921282924002381</v>
      </c>
      <c r="AE162" s="83" t="e">
        <f ca="1"/>
        <v>#N/A</v>
      </c>
      <c r="AF162" s="55" t="e">
        <f t="shared" ca="1" si="62"/>
        <v>#N/A</v>
      </c>
      <c r="AG162" s="55" t="e">
        <f t="shared" ca="1" si="63"/>
        <v>#N/A</v>
      </c>
      <c r="AH162" s="55" t="e">
        <f t="shared" ca="1" si="64"/>
        <v>#N/A</v>
      </c>
      <c r="AI162" s="55" t="e">
        <f t="shared" ca="1" si="65"/>
        <v>#N/A</v>
      </c>
      <c r="AJ162" s="55" t="e">
        <f t="shared" ca="1" si="59"/>
        <v>#N/A</v>
      </c>
      <c r="AK162" s="55" t="e">
        <f t="shared" ca="1" si="60"/>
        <v>#N/A</v>
      </c>
      <c r="AL162" s="55" t="e">
        <f t="shared" ca="1" si="61"/>
        <v>#N/A</v>
      </c>
      <c r="AM162" s="55"/>
    </row>
    <row r="163" spans="18:39">
      <c r="R163" s="83">
        <f ca="1"/>
        <v>45156</v>
      </c>
      <c r="S163" s="55">
        <f t="shared" ca="1" si="54"/>
        <v>45156</v>
      </c>
      <c r="T163" s="55">
        <f t="shared" ca="1" si="47"/>
        <v>94.632358971674321</v>
      </c>
      <c r="U163" s="55">
        <f t="shared" ca="1" si="48"/>
        <v>17.154827994512271</v>
      </c>
      <c r="V163" s="55">
        <f t="shared" ca="1" si="49"/>
        <v>0</v>
      </c>
      <c r="W163" s="55">
        <f t="shared" ca="1" si="55"/>
        <v>-27.12339877738075</v>
      </c>
      <c r="X163" s="55">
        <f t="shared" ca="1" si="56"/>
        <v>21.759703793207034</v>
      </c>
      <c r="Y163" s="55">
        <f t="shared" ca="1" si="57"/>
        <v>17.014746980382149</v>
      </c>
      <c r="Z163" s="55">
        <f t="shared" ca="1" si="50"/>
        <v>2.4097926059665156</v>
      </c>
      <c r="AA163">
        <f t="shared" ca="1" si="51"/>
        <v>120</v>
      </c>
      <c r="AB163">
        <f t="shared" ca="1" si="58"/>
        <v>46.950312549013034</v>
      </c>
      <c r="AC163">
        <f t="shared" ca="1" si="52"/>
        <v>0</v>
      </c>
      <c r="AD163">
        <f t="shared" ca="1" si="53"/>
        <v>0.19322072032712651</v>
      </c>
      <c r="AE163" s="83" t="e">
        <f ca="1"/>
        <v>#N/A</v>
      </c>
      <c r="AF163" s="55" t="e">
        <f t="shared" ca="1" si="62"/>
        <v>#N/A</v>
      </c>
      <c r="AG163" s="55" t="e">
        <f t="shared" ca="1" si="63"/>
        <v>#N/A</v>
      </c>
      <c r="AH163" s="55" t="e">
        <f t="shared" ca="1" si="64"/>
        <v>#N/A</v>
      </c>
      <c r="AI163" s="55" t="e">
        <f t="shared" ca="1" si="65"/>
        <v>#N/A</v>
      </c>
      <c r="AJ163" s="55" t="e">
        <f t="shared" ca="1" si="59"/>
        <v>#N/A</v>
      </c>
      <c r="AK163" s="55" t="e">
        <f t="shared" ca="1" si="60"/>
        <v>#N/A</v>
      </c>
      <c r="AL163" s="55" t="e">
        <f t="shared" ca="1" si="61"/>
        <v>#N/A</v>
      </c>
      <c r="AM163" s="55"/>
    </row>
    <row r="164" spans="18:39">
      <c r="R164" s="83">
        <f ca="1"/>
        <v>45157</v>
      </c>
      <c r="S164" s="55">
        <f t="shared" ca="1" si="54"/>
        <v>45157</v>
      </c>
      <c r="T164" s="55">
        <f t="shared" ca="1" si="47"/>
        <v>94.516602565996465</v>
      </c>
      <c r="U164" s="55">
        <f t="shared" ca="1" si="48"/>
        <v>17.322381805337404</v>
      </c>
      <c r="V164" s="55">
        <f t="shared" ca="1" si="49"/>
        <v>0</v>
      </c>
      <c r="W164" s="55">
        <f t="shared" ca="1" si="55"/>
        <v>-27.232709282957082</v>
      </c>
      <c r="X164" s="55">
        <f t="shared" ca="1" si="56"/>
        <v>21.901081490652768</v>
      </c>
      <c r="Y164" s="55">
        <f t="shared" ca="1" si="57"/>
        <v>17.034477193660013</v>
      </c>
      <c r="Z164" s="55">
        <f t="shared" ca="1" si="50"/>
        <v>2.3457533515518634</v>
      </c>
      <c r="AA164">
        <f t="shared" ca="1" si="51"/>
        <v>120</v>
      </c>
      <c r="AB164">
        <f t="shared" ca="1" si="58"/>
        <v>47.160312549013042</v>
      </c>
      <c r="AC164">
        <f t="shared" ca="1" si="52"/>
        <v>0</v>
      </c>
      <c r="AD164">
        <f t="shared" ca="1" si="53"/>
        <v>0.19714555594401184</v>
      </c>
      <c r="AE164" s="83" t="e">
        <f ca="1"/>
        <v>#N/A</v>
      </c>
      <c r="AF164" s="55" t="e">
        <f t="shared" ca="1" si="62"/>
        <v>#N/A</v>
      </c>
      <c r="AG164" s="55" t="e">
        <f t="shared" ca="1" si="63"/>
        <v>#N/A</v>
      </c>
      <c r="AH164" s="55" t="e">
        <f t="shared" ca="1" si="64"/>
        <v>#N/A</v>
      </c>
      <c r="AI164" s="55" t="e">
        <f t="shared" ca="1" si="65"/>
        <v>#N/A</v>
      </c>
      <c r="AJ164" s="55" t="e">
        <f t="shared" ca="1" si="59"/>
        <v>#N/A</v>
      </c>
      <c r="AK164" s="55" t="e">
        <f t="shared" ca="1" si="60"/>
        <v>#N/A</v>
      </c>
      <c r="AL164" s="55" t="e">
        <f t="shared" ca="1" si="61"/>
        <v>#N/A</v>
      </c>
      <c r="AM164" s="55"/>
    </row>
    <row r="165" spans="18:39">
      <c r="R165" s="83">
        <f ca="1"/>
        <v>45158</v>
      </c>
      <c r="S165" s="55">
        <f t="shared" ca="1" si="54"/>
        <v>45158</v>
      </c>
      <c r="T165" s="55">
        <f t="shared" ca="1" si="47"/>
        <v>94.507856284915832</v>
      </c>
      <c r="U165" s="55">
        <f t="shared" ca="1" si="48"/>
        <v>17.492655212081871</v>
      </c>
      <c r="V165" s="55">
        <f t="shared" ca="1" si="49"/>
        <v>0</v>
      </c>
      <c r="W165" s="55">
        <f t="shared" ca="1" si="55"/>
        <v>-27.232709282957082</v>
      </c>
      <c r="X165" s="55">
        <f t="shared" ca="1" si="56"/>
        <v>22.043221436556582</v>
      </c>
      <c r="Y165" s="55">
        <f t="shared" ca="1" si="57"/>
        <v>17.053864373420026</v>
      </c>
      <c r="Z165" s="55">
        <f t="shared" ca="1" si="50"/>
        <v>2.3838276944225427</v>
      </c>
      <c r="AA165">
        <f t="shared" ca="1" si="51"/>
        <v>118.97391304347828</v>
      </c>
      <c r="AB165">
        <f t="shared" ca="1" si="58"/>
        <v>47.160312549013042</v>
      </c>
      <c r="AC165">
        <f t="shared" ca="1" si="52"/>
        <v>0</v>
      </c>
      <c r="AD165">
        <f t="shared" ca="1" si="53"/>
        <v>0.20115693483401889</v>
      </c>
      <c r="AE165" s="83" t="e">
        <f ca="1"/>
        <v>#N/A</v>
      </c>
      <c r="AF165" s="55" t="e">
        <f t="shared" ca="1" si="62"/>
        <v>#N/A</v>
      </c>
      <c r="AG165" s="55" t="e">
        <f t="shared" ca="1" si="63"/>
        <v>#N/A</v>
      </c>
      <c r="AH165" s="55" t="e">
        <f t="shared" ca="1" si="64"/>
        <v>#N/A</v>
      </c>
      <c r="AI165" s="55" t="e">
        <f t="shared" ca="1" si="65"/>
        <v>#N/A</v>
      </c>
      <c r="AJ165" s="55" t="e">
        <f t="shared" ca="1" si="59"/>
        <v>#N/A</v>
      </c>
      <c r="AK165" s="55" t="e">
        <f t="shared" ca="1" si="60"/>
        <v>#N/A</v>
      </c>
      <c r="AL165" s="55" t="e">
        <f t="shared" ca="1" si="61"/>
        <v>#N/A</v>
      </c>
      <c r="AM165" s="55"/>
    </row>
    <row r="166" spans="18:39">
      <c r="R166" s="83">
        <f ca="1"/>
        <v>45159</v>
      </c>
      <c r="S166" s="55">
        <f t="shared" ca="1" si="54"/>
        <v>45159</v>
      </c>
      <c r="T166" s="55">
        <f t="shared" ca="1" si="47"/>
        <v>94.254189260382162</v>
      </c>
      <c r="U166" s="55">
        <f t="shared" ca="1" si="48"/>
        <v>17.657482348190758</v>
      </c>
      <c r="V166" s="55">
        <f t="shared" ca="1" si="49"/>
        <v>0</v>
      </c>
      <c r="W166" s="55">
        <f t="shared" ca="1" si="55"/>
        <v>-27.477590610302798</v>
      </c>
      <c r="X166" s="55">
        <f t="shared" ca="1" si="56"/>
        <v>22.180678478780592</v>
      </c>
      <c r="Y166" s="55">
        <f t="shared" ca="1" si="57"/>
        <v>17.072448770116932</v>
      </c>
      <c r="Z166" s="55">
        <f t="shared" ca="1" si="50"/>
        <v>2.3075799055244133</v>
      </c>
      <c r="AA166">
        <f t="shared" ca="1" si="51"/>
        <v>120</v>
      </c>
      <c r="AB166">
        <f t="shared" ca="1" si="58"/>
        <v>47.632071884046724</v>
      </c>
      <c r="AC166">
        <f t="shared" ca="1" si="52"/>
        <v>0</v>
      </c>
      <c r="AD166">
        <f t="shared" ca="1" si="53"/>
        <v>0.20506111754338377</v>
      </c>
      <c r="AE166" s="83" t="e">
        <f ca="1"/>
        <v>#N/A</v>
      </c>
      <c r="AF166" s="55" t="e">
        <f t="shared" ca="1" si="62"/>
        <v>#N/A</v>
      </c>
      <c r="AG166" s="55" t="e">
        <f t="shared" ca="1" si="63"/>
        <v>#N/A</v>
      </c>
      <c r="AH166" s="55" t="e">
        <f t="shared" ca="1" si="64"/>
        <v>#N/A</v>
      </c>
      <c r="AI166" s="55" t="e">
        <f t="shared" ca="1" si="65"/>
        <v>#N/A</v>
      </c>
      <c r="AJ166" s="55" t="e">
        <f t="shared" ca="1" si="59"/>
        <v>#N/A</v>
      </c>
      <c r="AK166" s="55" t="e">
        <f t="shared" ca="1" si="60"/>
        <v>#N/A</v>
      </c>
      <c r="AL166" s="55" t="e">
        <f t="shared" ca="1" si="61"/>
        <v>#N/A</v>
      </c>
      <c r="AM166" s="55"/>
    </row>
    <row r="167" spans="18:39">
      <c r="R167" s="83">
        <f ca="1"/>
        <v>45160</v>
      </c>
      <c r="S167" s="55">
        <f t="shared" ca="1" si="54"/>
        <v>45160</v>
      </c>
      <c r="T167" s="55">
        <f t="shared" ca="1" si="47"/>
        <v>93.286270401407577</v>
      </c>
      <c r="U167" s="55">
        <f t="shared" ca="1" si="48"/>
        <v>17.829572003260491</v>
      </c>
      <c r="V167" s="55">
        <f t="shared" ca="1" si="49"/>
        <v>0</v>
      </c>
      <c r="W167" s="55">
        <f t="shared" ca="1" si="55"/>
        <v>-28.433166493197216</v>
      </c>
      <c r="X167" s="55">
        <f t="shared" ca="1" si="56"/>
        <v>22.321904047526029</v>
      </c>
      <c r="Y167" s="55">
        <f t="shared" ca="1" si="57"/>
        <v>17.090969880361058</v>
      </c>
      <c r="Z167" s="55">
        <f t="shared" ca="1" si="50"/>
        <v>2.409255170976266</v>
      </c>
      <c r="AA167">
        <f t="shared" ca="1" si="51"/>
        <v>120</v>
      </c>
      <c r="AB167">
        <f t="shared" ca="1" si="58"/>
        <v>49.492071884046723</v>
      </c>
      <c r="AC167">
        <f t="shared" ca="1" si="52"/>
        <v>0</v>
      </c>
      <c r="AD167">
        <f t="shared" ca="1" si="53"/>
        <v>0.20915861336856048</v>
      </c>
      <c r="AE167" s="83" t="e">
        <f ca="1"/>
        <v>#N/A</v>
      </c>
      <c r="AF167" s="55" t="e">
        <f t="shared" ca="1" si="62"/>
        <v>#N/A</v>
      </c>
      <c r="AG167" s="55" t="e">
        <f t="shared" ca="1" si="63"/>
        <v>#N/A</v>
      </c>
      <c r="AH167" s="55" t="e">
        <f t="shared" ca="1" si="64"/>
        <v>#N/A</v>
      </c>
      <c r="AI167" s="55" t="e">
        <f t="shared" ca="1" si="65"/>
        <v>#N/A</v>
      </c>
      <c r="AJ167" s="55" t="e">
        <f t="shared" ca="1" si="59"/>
        <v>#N/A</v>
      </c>
      <c r="AK167" s="55" t="e">
        <f t="shared" ca="1" si="60"/>
        <v>#N/A</v>
      </c>
      <c r="AL167" s="55" t="e">
        <f t="shared" ca="1" si="61"/>
        <v>#N/A</v>
      </c>
      <c r="AM167" s="55"/>
    </row>
    <row r="168" spans="18:39">
      <c r="R168" s="83">
        <f ca="1"/>
        <v>45161</v>
      </c>
      <c r="S168" s="55">
        <f t="shared" ca="1" si="54"/>
        <v>45161</v>
      </c>
      <c r="T168" s="55">
        <f t="shared" ca="1" si="47"/>
        <v>93.158173714346972</v>
      </c>
      <c r="U168" s="55">
        <f t="shared" ca="1" si="48"/>
        <v>18.006310834699914</v>
      </c>
      <c r="V168" s="55">
        <f t="shared" ca="1" si="49"/>
        <v>0</v>
      </c>
      <c r="W168" s="55">
        <f t="shared" ca="1" si="55"/>
        <v>-28.546036396422135</v>
      </c>
      <c r="X168" s="55">
        <f t="shared" ca="1" si="56"/>
        <v>22.465115639611071</v>
      </c>
      <c r="Y168" s="55">
        <f t="shared" ca="1" si="57"/>
        <v>17.109270335879749</v>
      </c>
      <c r="Z168" s="55">
        <f t="shared" ca="1" si="50"/>
        <v>2.4743436401519148</v>
      </c>
      <c r="AA168">
        <f t="shared" ca="1" si="51"/>
        <v>120</v>
      </c>
      <c r="AB168">
        <f t="shared" ca="1" si="58"/>
        <v>49.712071884046722</v>
      </c>
      <c r="AC168">
        <f t="shared" ca="1" si="52"/>
        <v>0</v>
      </c>
      <c r="AD168">
        <f t="shared" ca="1" si="53"/>
        <v>0.2133885071437987</v>
      </c>
      <c r="AE168" s="83" t="e">
        <f ca="1"/>
        <v>#N/A</v>
      </c>
      <c r="AF168" s="55" t="e">
        <f t="shared" ca="1" si="62"/>
        <v>#N/A</v>
      </c>
      <c r="AG168" s="55" t="e">
        <f t="shared" ca="1" si="63"/>
        <v>#N/A</v>
      </c>
      <c r="AH168" s="55" t="e">
        <f t="shared" ca="1" si="64"/>
        <v>#N/A</v>
      </c>
      <c r="AI168" s="55" t="e">
        <f t="shared" ca="1" si="65"/>
        <v>#N/A</v>
      </c>
      <c r="AJ168" s="55" t="e">
        <f t="shared" ca="1" si="59"/>
        <v>#N/A</v>
      </c>
      <c r="AK168" s="55" t="e">
        <f t="shared" ca="1" si="60"/>
        <v>#N/A</v>
      </c>
      <c r="AL168" s="55" t="e">
        <f t="shared" ca="1" si="61"/>
        <v>#N/A</v>
      </c>
      <c r="AM168" s="55"/>
    </row>
    <row r="169" spans="18:39">
      <c r="R169" s="83">
        <f ca="1"/>
        <v>45162</v>
      </c>
      <c r="S169" s="55">
        <f t="shared" ca="1" si="54"/>
        <v>45162</v>
      </c>
      <c r="T169" s="55">
        <f t="shared" ca="1" si="47"/>
        <v>93.137815016836527</v>
      </c>
      <c r="U169" s="55">
        <f t="shared" ca="1" si="48"/>
        <v>18.195547628178044</v>
      </c>
      <c r="V169" s="55">
        <f t="shared" ca="1" si="49"/>
        <v>0</v>
      </c>
      <c r="W169" s="55">
        <f t="shared" ca="1" si="55"/>
        <v>-28.546036396422135</v>
      </c>
      <c r="X169" s="55">
        <f t="shared" ca="1" si="56"/>
        <v>22.615500606545325</v>
      </c>
      <c r="Y169" s="55">
        <f t="shared" ca="1" si="57"/>
        <v>17.127763464913183</v>
      </c>
      <c r="Z169" s="55">
        <f t="shared" ca="1" si="50"/>
        <v>2.6493151086938269</v>
      </c>
      <c r="AA169">
        <f t="shared" ca="1" si="51"/>
        <v>117.23478260869565</v>
      </c>
      <c r="AB169">
        <f t="shared" ca="1" si="58"/>
        <v>49.712071884046722</v>
      </c>
      <c r="AC169">
        <f t="shared" ca="1" si="52"/>
        <v>0</v>
      </c>
      <c r="AD169">
        <f t="shared" ca="1" si="53"/>
        <v>0.21794078825845667</v>
      </c>
      <c r="AE169" s="83" t="e">
        <f ca="1"/>
        <v>#N/A</v>
      </c>
      <c r="AF169" s="55" t="e">
        <f t="shared" ca="1" si="62"/>
        <v>#N/A</v>
      </c>
      <c r="AG169" s="55" t="e">
        <f t="shared" ca="1" si="63"/>
        <v>#N/A</v>
      </c>
      <c r="AH169" s="55" t="e">
        <f t="shared" ca="1" si="64"/>
        <v>#N/A</v>
      </c>
      <c r="AI169" s="55" t="e">
        <f t="shared" ca="1" si="65"/>
        <v>#N/A</v>
      </c>
      <c r="AJ169" s="55" t="e">
        <f t="shared" ca="1" si="59"/>
        <v>#N/A</v>
      </c>
      <c r="AK169" s="55" t="e">
        <f t="shared" ca="1" si="60"/>
        <v>#N/A</v>
      </c>
      <c r="AL169" s="55" t="e">
        <f t="shared" ca="1" si="61"/>
        <v>#N/A</v>
      </c>
      <c r="AM169" s="55"/>
    </row>
    <row r="170" spans="18:39">
      <c r="R170" s="83">
        <f ca="1"/>
        <v>45163</v>
      </c>
      <c r="S170" s="55">
        <f t="shared" ca="1" si="54"/>
        <v>45163</v>
      </c>
      <c r="T170" s="55">
        <f t="shared" ca="1" si="47"/>
        <v>93.113825350725818</v>
      </c>
      <c r="U170" s="55">
        <f t="shared" ca="1" si="48"/>
        <v>18.391457895159753</v>
      </c>
      <c r="V170" s="55">
        <f t="shared" ca="1" si="49"/>
        <v>0</v>
      </c>
      <c r="W170" s="55">
        <f t="shared" ca="1" si="55"/>
        <v>-28.546036396422135</v>
      </c>
      <c r="X170" s="55">
        <f t="shared" ca="1" si="56"/>
        <v>22.769075809450523</v>
      </c>
      <c r="Y170" s="55">
        <f t="shared" ca="1" si="57"/>
        <v>17.146108862878989</v>
      </c>
      <c r="Z170" s="55">
        <f t="shared" ca="1" si="50"/>
        <v>2.742743737743929</v>
      </c>
      <c r="AA170">
        <f t="shared" ca="1" si="51"/>
        <v>116.251738584503</v>
      </c>
      <c r="AB170">
        <f t="shared" ca="1" si="58"/>
        <v>49.712071884046722</v>
      </c>
      <c r="AC170">
        <f t="shared" ca="1" si="52"/>
        <v>0</v>
      </c>
      <c r="AD170">
        <f t="shared" ca="1" si="53"/>
        <v>0.22267770856603181</v>
      </c>
      <c r="AE170" s="83" t="e">
        <f ca="1"/>
        <v>#N/A</v>
      </c>
      <c r="AF170" s="55" t="e">
        <f t="shared" ca="1" si="62"/>
        <v>#N/A</v>
      </c>
      <c r="AG170" s="55" t="e">
        <f t="shared" ca="1" si="63"/>
        <v>#N/A</v>
      </c>
      <c r="AH170" s="55" t="e">
        <f t="shared" ca="1" si="64"/>
        <v>#N/A</v>
      </c>
      <c r="AI170" s="55" t="e">
        <f t="shared" ca="1" si="65"/>
        <v>#N/A</v>
      </c>
      <c r="AJ170" s="55" t="e">
        <f t="shared" ca="1" si="59"/>
        <v>#N/A</v>
      </c>
      <c r="AK170" s="55" t="e">
        <f t="shared" ca="1" si="60"/>
        <v>#N/A</v>
      </c>
      <c r="AL170" s="55" t="e">
        <f t="shared" ca="1" si="61"/>
        <v>#N/A</v>
      </c>
      <c r="AM170" s="55"/>
    </row>
    <row r="171" spans="18:39">
      <c r="R171" s="83">
        <f ca="1"/>
        <v>45164</v>
      </c>
      <c r="S171" s="55">
        <f t="shared" ca="1" si="54"/>
        <v>45164</v>
      </c>
      <c r="T171" s="55">
        <f t="shared" ca="1" si="47"/>
        <v>93.087794364170719</v>
      </c>
      <c r="U171" s="55">
        <f t="shared" ca="1" si="48"/>
        <v>18.587974769158652</v>
      </c>
      <c r="V171" s="55">
        <f t="shared" ca="1" si="49"/>
        <v>0</v>
      </c>
      <c r="W171" s="55">
        <f t="shared" ca="1" si="55"/>
        <v>-28.546036396422135</v>
      </c>
      <c r="X171" s="55">
        <f t="shared" ca="1" si="56"/>
        <v>22.921689379784681</v>
      </c>
      <c r="Y171" s="55">
        <f t="shared" ca="1" si="57"/>
        <v>17.163981179988639</v>
      </c>
      <c r="Z171" s="55">
        <f t="shared" ca="1" si="50"/>
        <v>2.7512362359845852</v>
      </c>
      <c r="AA171">
        <f t="shared" ca="1" si="51"/>
        <v>117.64524095267051</v>
      </c>
      <c r="AB171">
        <f t="shared" ca="1" si="58"/>
        <v>49.712071884046722</v>
      </c>
      <c r="AC171">
        <f t="shared" ca="1" si="52"/>
        <v>0</v>
      </c>
      <c r="AD171">
        <f t="shared" ca="1" si="53"/>
        <v>0.22745260489265334</v>
      </c>
      <c r="AE171" s="83" t="e">
        <f ca="1"/>
        <v>#N/A</v>
      </c>
      <c r="AF171" s="55" t="e">
        <f t="shared" ca="1" si="62"/>
        <v>#N/A</v>
      </c>
      <c r="AG171" s="55" t="e">
        <f t="shared" ca="1" si="63"/>
        <v>#N/A</v>
      </c>
      <c r="AH171" s="55" t="e">
        <f t="shared" ca="1" si="64"/>
        <v>#N/A</v>
      </c>
      <c r="AI171" s="55" t="e">
        <f t="shared" ca="1" si="65"/>
        <v>#N/A</v>
      </c>
      <c r="AJ171" s="55" t="e">
        <f t="shared" ca="1" si="59"/>
        <v>#N/A</v>
      </c>
      <c r="AK171" s="55" t="e">
        <f t="shared" ca="1" si="60"/>
        <v>#N/A</v>
      </c>
      <c r="AL171" s="55" t="e">
        <f t="shared" ca="1" si="61"/>
        <v>#N/A</v>
      </c>
      <c r="AM171" s="55"/>
    </row>
    <row r="172" spans="18:39">
      <c r="R172" s="83">
        <f ca="1"/>
        <v>45165</v>
      </c>
      <c r="S172" s="55">
        <f t="shared" ca="1" si="54"/>
        <v>45165</v>
      </c>
      <c r="T172" s="55">
        <f t="shared" ca="1" si="47"/>
        <v>93.059271012644388</v>
      </c>
      <c r="U172" s="55">
        <f t="shared" ca="1" si="48"/>
        <v>18.786768907642379</v>
      </c>
      <c r="V172" s="55">
        <f t="shared" ca="1" si="49"/>
        <v>0</v>
      </c>
      <c r="W172" s="55">
        <f t="shared" ca="1" si="55"/>
        <v>-28.546036396422135</v>
      </c>
      <c r="X172" s="55">
        <f t="shared" ca="1" si="56"/>
        <v>23.07446295039253</v>
      </c>
      <c r="Y172" s="55">
        <f t="shared" ca="1" si="57"/>
        <v>17.181478396338179</v>
      </c>
      <c r="Z172" s="55">
        <f t="shared" ca="1" si="50"/>
        <v>2.7831179387721789</v>
      </c>
      <c r="AA172">
        <f t="shared" ca="1" si="51"/>
        <v>119.41754429957076</v>
      </c>
      <c r="AB172">
        <f t="shared" ca="1" si="58"/>
        <v>49.712071884046722</v>
      </c>
      <c r="AC172">
        <f t="shared" ca="1" si="52"/>
        <v>0</v>
      </c>
      <c r="AD172">
        <f t="shared" ca="1" si="53"/>
        <v>0.23230521679912286</v>
      </c>
      <c r="AE172" s="83" t="e">
        <f ca="1"/>
        <v>#N/A</v>
      </c>
      <c r="AF172" s="55" t="e">
        <f t="shared" ca="1" si="62"/>
        <v>#N/A</v>
      </c>
      <c r="AG172" s="55" t="e">
        <f t="shared" ca="1" si="63"/>
        <v>#N/A</v>
      </c>
      <c r="AH172" s="55" t="e">
        <f t="shared" ca="1" si="64"/>
        <v>#N/A</v>
      </c>
      <c r="AI172" s="55" t="e">
        <f t="shared" ca="1" si="65"/>
        <v>#N/A</v>
      </c>
      <c r="AJ172" s="55" t="e">
        <f t="shared" ca="1" si="59"/>
        <v>#N/A</v>
      </c>
      <c r="AK172" s="55" t="e">
        <f t="shared" ca="1" si="60"/>
        <v>#N/A</v>
      </c>
      <c r="AL172" s="55" t="e">
        <f t="shared" ca="1" si="61"/>
        <v>#N/A</v>
      </c>
      <c r="AM172" s="55"/>
    </row>
    <row r="173" spans="18:39">
      <c r="R173" s="83">
        <f ca="1"/>
        <v>45166</v>
      </c>
      <c r="S173" s="55">
        <f t="shared" ca="1" si="54"/>
        <v>45166</v>
      </c>
      <c r="T173" s="55">
        <f t="shared" ca="1" si="47"/>
        <v>93.026103165321572</v>
      </c>
      <c r="U173" s="55">
        <f t="shared" ca="1" si="48"/>
        <v>18.995210456603573</v>
      </c>
      <c r="V173" s="55">
        <f t="shared" ca="1" si="49"/>
        <v>0</v>
      </c>
      <c r="W173" s="55">
        <f t="shared" ca="1" si="55"/>
        <v>-28.546036396422135</v>
      </c>
      <c r="X173" s="55">
        <f t="shared" ca="1" si="56"/>
        <v>23.232250556395002</v>
      </c>
      <c r="Y173" s="55">
        <f t="shared" ca="1" si="57"/>
        <v>17.198964491974085</v>
      </c>
      <c r="Z173" s="55">
        <f t="shared" ca="1" si="50"/>
        <v>2.9181816854567089</v>
      </c>
      <c r="AA173">
        <f t="shared" ca="1" si="51"/>
        <v>119.1870049446849</v>
      </c>
      <c r="AB173">
        <f t="shared" ca="1" si="58"/>
        <v>49.712071884046722</v>
      </c>
      <c r="AC173">
        <f t="shared" ca="1" si="52"/>
        <v>0</v>
      </c>
      <c r="AD173">
        <f t="shared" ca="1" si="53"/>
        <v>0.23741599728040474</v>
      </c>
      <c r="AE173" s="83" t="e">
        <f ca="1"/>
        <v>#N/A</v>
      </c>
      <c r="AF173" s="55" t="e">
        <f t="shared" ca="1" si="62"/>
        <v>#N/A</v>
      </c>
      <c r="AG173" s="55" t="e">
        <f t="shared" ca="1" si="63"/>
        <v>#N/A</v>
      </c>
      <c r="AH173" s="55" t="e">
        <f t="shared" ca="1" si="64"/>
        <v>#N/A</v>
      </c>
      <c r="AI173" s="55" t="e">
        <f t="shared" ca="1" si="65"/>
        <v>#N/A</v>
      </c>
      <c r="AJ173" s="55" t="e">
        <f t="shared" ca="1" si="59"/>
        <v>#N/A</v>
      </c>
      <c r="AK173" s="55" t="e">
        <f t="shared" ca="1" si="60"/>
        <v>#N/A</v>
      </c>
      <c r="AL173" s="55" t="e">
        <f t="shared" ca="1" si="61"/>
        <v>#N/A</v>
      </c>
      <c r="AM173" s="55"/>
    </row>
    <row r="174" spans="18:39">
      <c r="R174" s="83">
        <f ca="1"/>
        <v>45167</v>
      </c>
      <c r="S174" s="55">
        <f t="shared" ca="1" si="54"/>
        <v>45167</v>
      </c>
      <c r="T174" s="55">
        <f t="shared" ca="1" si="47"/>
        <v>92.992909104516983</v>
      </c>
      <c r="U174" s="55">
        <f t="shared" ca="1" si="48"/>
        <v>19.197233210478075</v>
      </c>
      <c r="V174" s="55">
        <f t="shared" ca="1" si="49"/>
        <v>0</v>
      </c>
      <c r="W174" s="55">
        <f t="shared" ca="1" si="55"/>
        <v>-28.546036396422135</v>
      </c>
      <c r="X174" s="55">
        <f t="shared" ca="1" si="56"/>
        <v>23.384384777867563</v>
      </c>
      <c r="Y174" s="55">
        <f t="shared" ca="1" si="57"/>
        <v>17.215658963571432</v>
      </c>
      <c r="Z174" s="55">
        <f t="shared" ca="1" si="50"/>
        <v>2.828318554243026</v>
      </c>
      <c r="AA174">
        <f t="shared" ca="1" si="51"/>
        <v>119.60396542214983</v>
      </c>
      <c r="AB174">
        <f t="shared" ca="1" si="58"/>
        <v>49.712071884046722</v>
      </c>
      <c r="AC174">
        <f t="shared" ca="1" si="52"/>
        <v>0</v>
      </c>
      <c r="AD174">
        <f t="shared" ca="1" si="53"/>
        <v>0.24239006748946354</v>
      </c>
      <c r="AE174" s="83" t="e">
        <f ca="1"/>
        <v>#N/A</v>
      </c>
      <c r="AF174" s="55" t="e">
        <f t="shared" ca="1" si="62"/>
        <v>#N/A</v>
      </c>
      <c r="AG174" s="55" t="e">
        <f t="shared" ca="1" si="63"/>
        <v>#N/A</v>
      </c>
      <c r="AH174" s="55" t="e">
        <f t="shared" ca="1" si="64"/>
        <v>#N/A</v>
      </c>
      <c r="AI174" s="55" t="e">
        <f t="shared" ca="1" si="65"/>
        <v>#N/A</v>
      </c>
      <c r="AJ174" s="55" t="e">
        <f t="shared" ca="1" si="59"/>
        <v>#N/A</v>
      </c>
      <c r="AK174" s="55" t="e">
        <f t="shared" ca="1" si="60"/>
        <v>#N/A</v>
      </c>
      <c r="AL174" s="55" t="e">
        <f t="shared" ca="1" si="61"/>
        <v>#N/A</v>
      </c>
      <c r="AM174" s="55"/>
    </row>
    <row r="175" spans="18:39">
      <c r="R175" s="83">
        <f ca="1"/>
        <v>45168</v>
      </c>
      <c r="S175" s="55">
        <f t="shared" ca="1" si="54"/>
        <v>45168</v>
      </c>
      <c r="T175" s="55">
        <f t="shared" ca="1" si="47"/>
        <v>92.952808759755612</v>
      </c>
      <c r="U175" s="55">
        <f t="shared" ca="1" si="48"/>
        <v>19.4160842635889</v>
      </c>
      <c r="V175" s="55">
        <f t="shared" ca="1" si="49"/>
        <v>0</v>
      </c>
      <c r="W175" s="55">
        <f t="shared" ca="1" si="55"/>
        <v>-28.546036396422135</v>
      </c>
      <c r="X175" s="55">
        <f t="shared" ca="1" si="56"/>
        <v>23.546126384274515</v>
      </c>
      <c r="Y175" s="55">
        <f t="shared" ca="1" si="57"/>
        <v>17.232668065513934</v>
      </c>
      <c r="Z175" s="55">
        <f t="shared" ca="1" si="50"/>
        <v>3.0639147435515497</v>
      </c>
      <c r="AA175">
        <f t="shared" ca="1" si="51"/>
        <v>118.37790386509519</v>
      </c>
      <c r="AB175">
        <f t="shared" ca="1" si="58"/>
        <v>49.712071884046722</v>
      </c>
      <c r="AC175">
        <f t="shared" ca="1" si="52"/>
        <v>0</v>
      </c>
      <c r="AD175">
        <f t="shared" ca="1" si="53"/>
        <v>0.24779974984247205</v>
      </c>
      <c r="AE175" s="83" t="e">
        <f ca="1"/>
        <v>#N/A</v>
      </c>
      <c r="AF175" s="55" t="e">
        <f t="shared" ca="1" si="62"/>
        <v>#N/A</v>
      </c>
      <c r="AG175" s="55" t="e">
        <f t="shared" ca="1" si="63"/>
        <v>#N/A</v>
      </c>
      <c r="AH175" s="55" t="e">
        <f t="shared" ca="1" si="64"/>
        <v>#N/A</v>
      </c>
      <c r="AI175" s="55" t="e">
        <f t="shared" ca="1" si="65"/>
        <v>#N/A</v>
      </c>
      <c r="AJ175" s="55" t="e">
        <f t="shared" ca="1" si="59"/>
        <v>#N/A</v>
      </c>
      <c r="AK175" s="55" t="e">
        <f t="shared" ca="1" si="60"/>
        <v>#N/A</v>
      </c>
      <c r="AL175" s="55" t="e">
        <f t="shared" ca="1" si="61"/>
        <v>#N/A</v>
      </c>
      <c r="AM175" s="55"/>
    </row>
    <row r="176" spans="18:39">
      <c r="R176" s="83">
        <f ca="1"/>
        <v>45169</v>
      </c>
      <c r="S176" s="55">
        <f t="shared" ca="1" si="54"/>
        <v>45169</v>
      </c>
      <c r="T176" s="55">
        <f t="shared" ca="1" si="47"/>
        <v>92.917155559558594</v>
      </c>
      <c r="U176" s="55">
        <f t="shared" ca="1" si="48"/>
        <v>19.614608727709907</v>
      </c>
      <c r="V176" s="55">
        <f t="shared" ca="1" si="49"/>
        <v>0</v>
      </c>
      <c r="W176" s="55">
        <f t="shared" ca="1" si="55"/>
        <v>-28.546036396422135</v>
      </c>
      <c r="X176" s="55">
        <f t="shared" ca="1" si="56"/>
        <v>23.693364455752548</v>
      </c>
      <c r="Y176" s="55">
        <f t="shared" ca="1" si="57"/>
        <v>17.248301257959888</v>
      </c>
      <c r="Z176" s="55">
        <f t="shared" ca="1" si="50"/>
        <v>2.7793424976941026</v>
      </c>
      <c r="AA176">
        <f t="shared" ca="1" si="51"/>
        <v>115.96332424584973</v>
      </c>
      <c r="AB176">
        <f t="shared" ca="1" si="58"/>
        <v>49.712071884046722</v>
      </c>
      <c r="AC176">
        <f t="shared" ca="1" si="52"/>
        <v>0</v>
      </c>
      <c r="AD176">
        <f t="shared" ca="1" si="53"/>
        <v>0.25272464590883537</v>
      </c>
      <c r="AE176" s="83" t="e">
        <f ca="1"/>
        <v>#N/A</v>
      </c>
      <c r="AF176" s="55" t="e">
        <f t="shared" ca="1" si="62"/>
        <v>#N/A</v>
      </c>
      <c r="AG176" s="55" t="e">
        <f t="shared" ca="1" si="63"/>
        <v>#N/A</v>
      </c>
      <c r="AH176" s="55" t="e">
        <f t="shared" ca="1" si="64"/>
        <v>#N/A</v>
      </c>
      <c r="AI176" s="55" t="e">
        <f t="shared" ca="1" si="65"/>
        <v>#N/A</v>
      </c>
      <c r="AJ176" s="55" t="e">
        <f t="shared" ca="1" si="59"/>
        <v>#N/A</v>
      </c>
      <c r="AK176" s="55" t="e">
        <f t="shared" ca="1" si="60"/>
        <v>#N/A</v>
      </c>
      <c r="AL176" s="55" t="e">
        <f t="shared" ca="1" si="61"/>
        <v>#N/A</v>
      </c>
      <c r="AM176" s="55"/>
    </row>
    <row r="177" spans="18:39">
      <c r="R177" s="83">
        <f ca="1"/>
        <v>45170</v>
      </c>
      <c r="S177" s="55">
        <f t="shared" ca="1" si="54"/>
        <v>45170</v>
      </c>
      <c r="T177" s="55">
        <f t="shared" ca="1" si="47"/>
        <v>92.872588780858734</v>
      </c>
      <c r="U177" s="55">
        <f t="shared" ca="1" si="48"/>
        <v>19.832446489325854</v>
      </c>
      <c r="V177" s="55">
        <f t="shared" ca="1" si="49"/>
        <v>0</v>
      </c>
      <c r="W177" s="55">
        <f t="shared" ca="1" si="55"/>
        <v>-28.546036396422135</v>
      </c>
      <c r="X177" s="55">
        <f t="shared" ca="1" si="56"/>
        <v>23.850600554274511</v>
      </c>
      <c r="Y177" s="55">
        <f t="shared" ca="1" si="57"/>
        <v>17.264336142354018</v>
      </c>
      <c r="Z177" s="55">
        <f t="shared" ca="1" si="50"/>
        <v>3.0497286626232523</v>
      </c>
      <c r="AA177">
        <f t="shared" ca="1" si="51"/>
        <v>114.72965661089439</v>
      </c>
      <c r="AB177">
        <f t="shared" ca="1" si="58"/>
        <v>49.712071884046722</v>
      </c>
      <c r="AC177">
        <f t="shared" ca="1" si="52"/>
        <v>0</v>
      </c>
      <c r="AD177">
        <f t="shared" ca="1" si="53"/>
        <v>0.25814633289142397</v>
      </c>
      <c r="AE177" s="83" t="e">
        <f ca="1"/>
        <v>#N/A</v>
      </c>
      <c r="AF177" s="55" t="e">
        <f t="shared" ca="1" si="62"/>
        <v>#N/A</v>
      </c>
      <c r="AG177" s="55" t="e">
        <f t="shared" ca="1" si="63"/>
        <v>#N/A</v>
      </c>
      <c r="AH177" s="55" t="e">
        <f t="shared" ca="1" si="64"/>
        <v>#N/A</v>
      </c>
      <c r="AI177" s="55" t="e">
        <f t="shared" ca="1" si="65"/>
        <v>#N/A</v>
      </c>
      <c r="AJ177" s="55" t="e">
        <f t="shared" ca="1" si="59"/>
        <v>#N/A</v>
      </c>
      <c r="AK177" s="55" t="e">
        <f t="shared" ca="1" si="60"/>
        <v>#N/A</v>
      </c>
      <c r="AL177" s="55" t="e">
        <f t="shared" ca="1" si="61"/>
        <v>#N/A</v>
      </c>
      <c r="AM177" s="55"/>
    </row>
    <row r="178" spans="18:39">
      <c r="R178" s="83">
        <f ca="1"/>
        <v>45171</v>
      </c>
      <c r="S178" s="55">
        <f t="shared" ca="1" si="54"/>
        <v>45171</v>
      </c>
      <c r="T178" s="55">
        <f t="shared" ca="1" si="47"/>
        <v>92.818785333792746</v>
      </c>
      <c r="U178" s="55">
        <f t="shared" ca="1" si="48"/>
        <v>20.064236487587234</v>
      </c>
      <c r="V178" s="55">
        <f t="shared" ca="1" si="49"/>
        <v>0</v>
      </c>
      <c r="W178" s="55">
        <f t="shared" ca="1" si="55"/>
        <v>-28.546036396422135</v>
      </c>
      <c r="X178" s="55">
        <f t="shared" ca="1" si="56"/>
        <v>24.012413833902052</v>
      </c>
      <c r="Y178" s="55">
        <f t="shared" ca="1" si="57"/>
        <v>17.280509413921862</v>
      </c>
      <c r="Z178" s="55">
        <f t="shared" ca="1" si="50"/>
        <v>3.2450599756593235</v>
      </c>
      <c r="AA178">
        <f t="shared" ca="1" si="51"/>
        <v>113.04914726262575</v>
      </c>
      <c r="AB178">
        <f t="shared" ca="1" si="58"/>
        <v>49.712071884046722</v>
      </c>
      <c r="AC178">
        <f t="shared" ca="1" si="52"/>
        <v>0</v>
      </c>
      <c r="AD178">
        <f t="shared" ca="1" si="53"/>
        <v>0.26393366264387347</v>
      </c>
      <c r="AE178" s="83" t="e">
        <f ca="1"/>
        <v>#N/A</v>
      </c>
      <c r="AF178" s="55" t="e">
        <f t="shared" ca="1" si="62"/>
        <v>#N/A</v>
      </c>
      <c r="AG178" s="55" t="e">
        <f t="shared" ca="1" si="63"/>
        <v>#N/A</v>
      </c>
      <c r="AH178" s="55" t="e">
        <f t="shared" ca="1" si="64"/>
        <v>#N/A</v>
      </c>
      <c r="AI178" s="55" t="e">
        <f t="shared" ca="1" si="65"/>
        <v>#N/A</v>
      </c>
      <c r="AJ178" s="55" t="e">
        <f t="shared" ca="1" si="59"/>
        <v>#N/A</v>
      </c>
      <c r="AK178" s="55" t="e">
        <f t="shared" ca="1" si="60"/>
        <v>#N/A</v>
      </c>
      <c r="AL178" s="55" t="e">
        <f t="shared" ca="1" si="61"/>
        <v>#N/A</v>
      </c>
      <c r="AM178" s="55"/>
    </row>
    <row r="179" spans="18:39">
      <c r="R179" s="83">
        <f ca="1"/>
        <v>45172</v>
      </c>
      <c r="S179" s="55">
        <f t="shared" ca="1" si="54"/>
        <v>45172</v>
      </c>
      <c r="T179" s="55">
        <f t="shared" ca="1" si="47"/>
        <v>92.761656381161586</v>
      </c>
      <c r="U179" s="55">
        <f t="shared" ca="1" si="48"/>
        <v>20.291336923221891</v>
      </c>
      <c r="V179" s="55">
        <f t="shared" ca="1" si="49"/>
        <v>0</v>
      </c>
      <c r="W179" s="55">
        <f t="shared" ca="1" si="55"/>
        <v>-28.546036396422135</v>
      </c>
      <c r="X179" s="55">
        <f t="shared" ca="1" si="56"/>
        <v>24.166878911211981</v>
      </c>
      <c r="Y179" s="55">
        <f t="shared" ca="1" si="57"/>
        <v>17.296015819615427</v>
      </c>
      <c r="Z179" s="55">
        <f t="shared" ca="1" si="50"/>
        <v>3.1794060988852024</v>
      </c>
      <c r="AA179">
        <f t="shared" ca="1" si="51"/>
        <v>111.34573088598034</v>
      </c>
      <c r="AB179">
        <f t="shared" ca="1" si="58"/>
        <v>49.712071884046722</v>
      </c>
      <c r="AC179">
        <f t="shared" ca="1" si="52"/>
        <v>0</v>
      </c>
      <c r="AD179">
        <f t="shared" ca="1" si="53"/>
        <v>0.26962030711651463</v>
      </c>
      <c r="AE179" s="83" t="e">
        <f ca="1"/>
        <v>#N/A</v>
      </c>
      <c r="AF179" s="55" t="e">
        <f t="shared" ca="1" si="62"/>
        <v>#N/A</v>
      </c>
      <c r="AG179" s="55" t="e">
        <f t="shared" ca="1" si="63"/>
        <v>#N/A</v>
      </c>
      <c r="AH179" s="55" t="e">
        <f t="shared" ca="1" si="64"/>
        <v>#N/A</v>
      </c>
      <c r="AI179" s="55" t="e">
        <f t="shared" ca="1" si="65"/>
        <v>#N/A</v>
      </c>
      <c r="AJ179" s="55" t="e">
        <f t="shared" ca="1" si="59"/>
        <v>#N/A</v>
      </c>
      <c r="AK179" s="55" t="e">
        <f t="shared" ca="1" si="60"/>
        <v>#N/A</v>
      </c>
      <c r="AL179" s="55" t="e">
        <f t="shared" ca="1" si="61"/>
        <v>#N/A</v>
      </c>
      <c r="AM179" s="55"/>
    </row>
    <row r="180" spans="18:39">
      <c r="R180" s="83">
        <f ca="1"/>
        <v>45173</v>
      </c>
      <c r="S180" s="55">
        <f t="shared" ca="1" si="54"/>
        <v>45173</v>
      </c>
      <c r="T180" s="55">
        <f t="shared" ca="1" si="47"/>
        <v>92.699208775223966</v>
      </c>
      <c r="U180" s="55">
        <f t="shared" ca="1" si="48"/>
        <v>20.52012957325665</v>
      </c>
      <c r="V180" s="55">
        <f t="shared" ca="1" si="49"/>
        <v>0</v>
      </c>
      <c r="W180" s="55">
        <f t="shared" ca="1" si="55"/>
        <v>-28.546036396422135</v>
      </c>
      <c r="X180" s="55">
        <f t="shared" ca="1" si="56"/>
        <v>24.318092830531842</v>
      </c>
      <c r="Y180" s="55">
        <f t="shared" ca="1" si="57"/>
        <v>17.311146944392704</v>
      </c>
      <c r="Z180" s="55">
        <f t="shared" ca="1" si="50"/>
        <v>3.2030971004866231</v>
      </c>
      <c r="AA180">
        <f t="shared" ca="1" si="51"/>
        <v>109.61524731713271</v>
      </c>
      <c r="AB180">
        <f t="shared" ca="1" si="58"/>
        <v>49.712071884046722</v>
      </c>
      <c r="AC180">
        <f t="shared" ca="1" si="52"/>
        <v>0</v>
      </c>
      <c r="AD180">
        <f t="shared" ca="1" si="53"/>
        <v>0.27536374519368578</v>
      </c>
      <c r="AE180" s="83" t="e">
        <f ca="1"/>
        <v>#N/A</v>
      </c>
      <c r="AF180" s="55" t="e">
        <f t="shared" ca="1" si="62"/>
        <v>#N/A</v>
      </c>
      <c r="AG180" s="55" t="e">
        <f t="shared" ca="1" si="63"/>
        <v>#N/A</v>
      </c>
      <c r="AH180" s="55" t="e">
        <f t="shared" ca="1" si="64"/>
        <v>#N/A</v>
      </c>
      <c r="AI180" s="55" t="e">
        <f t="shared" ca="1" si="65"/>
        <v>#N/A</v>
      </c>
      <c r="AJ180" s="55" t="e">
        <f t="shared" ca="1" si="59"/>
        <v>#N/A</v>
      </c>
      <c r="AK180" s="55" t="e">
        <f t="shared" ca="1" si="60"/>
        <v>#N/A</v>
      </c>
      <c r="AL180" s="55" t="e">
        <f t="shared" ca="1" si="61"/>
        <v>#N/A</v>
      </c>
      <c r="AM180" s="55"/>
    </row>
    <row r="181" spans="18:39">
      <c r="R181" s="83">
        <f ca="1"/>
        <v>45174</v>
      </c>
      <c r="S181" s="55">
        <f t="shared" ca="1" si="54"/>
        <v>45174</v>
      </c>
      <c r="T181" s="55">
        <f t="shared" ca="1" si="47"/>
        <v>92.633875757143912</v>
      </c>
      <c r="U181" s="55">
        <f t="shared" ca="1" si="48"/>
        <v>20.745014596244857</v>
      </c>
      <c r="V181" s="55">
        <f t="shared" ca="1" si="49"/>
        <v>0</v>
      </c>
      <c r="W181" s="55">
        <f t="shared" ca="1" si="55"/>
        <v>-28.546036396422135</v>
      </c>
      <c r="X181" s="55">
        <f t="shared" ca="1" si="56"/>
        <v>24.46308974887107</v>
      </c>
      <c r="Y181" s="55">
        <f t="shared" ca="1" si="57"/>
        <v>17.325702030961629</v>
      </c>
      <c r="Z181" s="55">
        <f t="shared" ca="1" si="50"/>
        <v>3.1483903218349027</v>
      </c>
      <c r="AA181">
        <f t="shared" ca="1" si="51"/>
        <v>107.98926900528018</v>
      </c>
      <c r="AB181">
        <f t="shared" ca="1" si="58"/>
        <v>49.712071884046722</v>
      </c>
      <c r="AC181">
        <f t="shared" ca="1" si="52"/>
        <v>0</v>
      </c>
      <c r="AD181">
        <f t="shared" ca="1" si="53"/>
        <v>0.2810212830004109</v>
      </c>
      <c r="AE181" s="83" t="e">
        <f ca="1"/>
        <v>#N/A</v>
      </c>
      <c r="AF181" s="55" t="e">
        <f t="shared" ca="1" si="62"/>
        <v>#N/A</v>
      </c>
      <c r="AG181" s="55" t="e">
        <f t="shared" ca="1" si="63"/>
        <v>#N/A</v>
      </c>
      <c r="AH181" s="55" t="e">
        <f t="shared" ca="1" si="64"/>
        <v>#N/A</v>
      </c>
      <c r="AI181" s="55" t="e">
        <f t="shared" ca="1" si="65"/>
        <v>#N/A</v>
      </c>
      <c r="AJ181" s="55" t="e">
        <f t="shared" ca="1" si="59"/>
        <v>#N/A</v>
      </c>
      <c r="AK181" s="55" t="e">
        <f t="shared" ca="1" si="60"/>
        <v>#N/A</v>
      </c>
      <c r="AL181" s="55" t="e">
        <f t="shared" ca="1" si="61"/>
        <v>#N/A</v>
      </c>
      <c r="AM181" s="55"/>
    </row>
    <row r="182" spans="18:39">
      <c r="R182" s="83">
        <f ca="1"/>
        <v>45175</v>
      </c>
      <c r="S182" s="55">
        <f t="shared" ca="1" si="54"/>
        <v>45175</v>
      </c>
      <c r="T182" s="55">
        <f t="shared" ca="1" si="47"/>
        <v>92.558912147893395</v>
      </c>
      <c r="U182" s="55">
        <f t="shared" ca="1" si="48"/>
        <v>20.983866859134313</v>
      </c>
      <c r="V182" s="55">
        <f t="shared" ca="1" si="49"/>
        <v>0</v>
      </c>
      <c r="W182" s="55">
        <f t="shared" ca="1" si="55"/>
        <v>-28.546036396422135</v>
      </c>
      <c r="X182" s="55">
        <f t="shared" ca="1" si="56"/>
        <v>24.612313490456778</v>
      </c>
      <c r="Y182" s="55">
        <f t="shared" ca="1" si="57"/>
        <v>17.340366943014846</v>
      </c>
      <c r="Z182" s="55">
        <f t="shared" ca="1" si="50"/>
        <v>3.3439316804523784</v>
      </c>
      <c r="AA182">
        <f t="shared" ca="1" si="51"/>
        <v>106.51816896063357</v>
      </c>
      <c r="AB182">
        <f t="shared" ca="1" si="58"/>
        <v>49.712071884046722</v>
      </c>
      <c r="AC182">
        <f t="shared" ca="1" si="52"/>
        <v>0</v>
      </c>
      <c r="AD182">
        <f t="shared" ca="1" si="53"/>
        <v>0.28704135668994951</v>
      </c>
      <c r="AE182" s="83" t="e">
        <f ca="1"/>
        <v>#N/A</v>
      </c>
      <c r="AF182" s="55" t="e">
        <f t="shared" ca="1" si="62"/>
        <v>#N/A</v>
      </c>
      <c r="AG182" s="55" t="e">
        <f t="shared" ca="1" si="63"/>
        <v>#N/A</v>
      </c>
      <c r="AH182" s="55" t="e">
        <f t="shared" ca="1" si="64"/>
        <v>#N/A</v>
      </c>
      <c r="AI182" s="55" t="e">
        <f t="shared" ca="1" si="65"/>
        <v>#N/A</v>
      </c>
      <c r="AJ182" s="55" t="e">
        <f t="shared" ca="1" si="59"/>
        <v>#N/A</v>
      </c>
      <c r="AK182" s="55" t="e">
        <f t="shared" ca="1" si="60"/>
        <v>#N/A</v>
      </c>
      <c r="AL182" s="55" t="e">
        <f t="shared" ca="1" si="61"/>
        <v>#N/A</v>
      </c>
      <c r="AM182" s="55"/>
    </row>
    <row r="183" spans="18:39">
      <c r="R183" s="83">
        <f ca="1"/>
        <v>45176</v>
      </c>
      <c r="S183" s="55">
        <f t="shared" ca="1" si="54"/>
        <v>45176</v>
      </c>
      <c r="T183" s="55">
        <f t="shared" ca="1" si="47"/>
        <v>92.475533089672155</v>
      </c>
      <c r="U183" s="55">
        <f t="shared" ca="1" si="48"/>
        <v>21.22700835289282</v>
      </c>
      <c r="V183" s="55">
        <f t="shared" ca="1" si="49"/>
        <v>0</v>
      </c>
      <c r="W183" s="55">
        <f t="shared" ca="1" si="55"/>
        <v>-28.546036396422135</v>
      </c>
      <c r="X183" s="55">
        <f t="shared" ca="1" si="56"/>
        <v>24.757679415025606</v>
      </c>
      <c r="Y183" s="55">
        <f t="shared" ca="1" si="57"/>
        <v>17.354763453983288</v>
      </c>
      <c r="Z183" s="55">
        <f t="shared" ca="1" si="50"/>
        <v>3.4039809126191045</v>
      </c>
      <c r="AA183">
        <f t="shared" ca="1" si="51"/>
        <v>103.48399402606434</v>
      </c>
      <c r="AB183">
        <f t="shared" ca="1" si="58"/>
        <v>49.712071884046722</v>
      </c>
      <c r="AC183">
        <f t="shared" ca="1" si="52"/>
        <v>0</v>
      </c>
      <c r="AD183">
        <f t="shared" ca="1" si="53"/>
        <v>0.2931791229020585</v>
      </c>
      <c r="AE183" s="83" t="e">
        <f ca="1"/>
        <v>#N/A</v>
      </c>
      <c r="AF183" s="55" t="e">
        <f t="shared" ca="1" si="62"/>
        <v>#N/A</v>
      </c>
      <c r="AG183" s="55" t="e">
        <f t="shared" ca="1" si="63"/>
        <v>#N/A</v>
      </c>
      <c r="AH183" s="55" t="e">
        <f t="shared" ca="1" si="64"/>
        <v>#N/A</v>
      </c>
      <c r="AI183" s="55" t="e">
        <f t="shared" ca="1" si="65"/>
        <v>#N/A</v>
      </c>
      <c r="AJ183" s="55" t="e">
        <f t="shared" ca="1" si="59"/>
        <v>#N/A</v>
      </c>
      <c r="AK183" s="55" t="e">
        <f t="shared" ca="1" si="60"/>
        <v>#N/A</v>
      </c>
      <c r="AL183" s="55" t="e">
        <f t="shared" ca="1" si="61"/>
        <v>#N/A</v>
      </c>
      <c r="AM183" s="55"/>
    </row>
    <row r="184" spans="18:39">
      <c r="R184" s="83">
        <f ca="1"/>
        <v>45177</v>
      </c>
      <c r="S184" s="55">
        <f t="shared" ca="1" si="54"/>
        <v>45177</v>
      </c>
      <c r="T184" s="55">
        <f t="shared" ca="1" si="47"/>
        <v>92.390471480736508</v>
      </c>
      <c r="U184" s="55">
        <f t="shared" ca="1" si="48"/>
        <v>21.462671955416297</v>
      </c>
      <c r="V184" s="55">
        <f t="shared" ca="1" si="49"/>
        <v>0</v>
      </c>
      <c r="W184" s="55">
        <f t="shared" ca="1" si="55"/>
        <v>-28.546036396422135</v>
      </c>
      <c r="X184" s="55">
        <f t="shared" ca="1" si="56"/>
        <v>24.894559606049185</v>
      </c>
      <c r="Y184" s="55">
        <f t="shared" ca="1" si="57"/>
        <v>17.368485256547537</v>
      </c>
      <c r="Z184" s="55">
        <f t="shared" ca="1" si="50"/>
        <v>3.2992904353286789</v>
      </c>
      <c r="AA184">
        <f t="shared" ca="1" si="51"/>
        <v>101.41811681206984</v>
      </c>
      <c r="AB184">
        <f t="shared" ca="1" si="58"/>
        <v>49.712071884046722</v>
      </c>
      <c r="AC184">
        <f t="shared" ca="1" si="52"/>
        <v>0</v>
      </c>
      <c r="AD184">
        <f t="shared" ca="1" si="53"/>
        <v>0.29913521681721644</v>
      </c>
      <c r="AE184" s="83" t="e">
        <f ca="1"/>
        <v>#N/A</v>
      </c>
      <c r="AF184" s="55" t="e">
        <f t="shared" ca="1" si="62"/>
        <v>#N/A</v>
      </c>
      <c r="AG184" s="55" t="e">
        <f t="shared" ca="1" si="63"/>
        <v>#N/A</v>
      </c>
      <c r="AH184" s="55" t="e">
        <f t="shared" ca="1" si="64"/>
        <v>#N/A</v>
      </c>
      <c r="AI184" s="55" t="e">
        <f t="shared" ca="1" si="65"/>
        <v>#N/A</v>
      </c>
      <c r="AJ184" s="55" t="e">
        <f t="shared" ca="1" si="59"/>
        <v>#N/A</v>
      </c>
      <c r="AK184" s="55" t="e">
        <f t="shared" ca="1" si="60"/>
        <v>#N/A</v>
      </c>
      <c r="AL184" s="55" t="e">
        <f t="shared" ca="1" si="61"/>
        <v>#N/A</v>
      </c>
      <c r="AM184" s="55"/>
    </row>
    <row r="185" spans="18:39">
      <c r="R185" s="83">
        <f ca="1"/>
        <v>45178</v>
      </c>
      <c r="S185" s="55">
        <f t="shared" ca="1" si="54"/>
        <v>45178</v>
      </c>
      <c r="T185" s="55">
        <f t="shared" ca="1" si="47"/>
        <v>92.307877539139739</v>
      </c>
      <c r="U185" s="55">
        <f t="shared" ca="1" si="48"/>
        <v>21.684714693990387</v>
      </c>
      <c r="V185" s="55">
        <f t="shared" ca="1" si="49"/>
        <v>0</v>
      </c>
      <c r="W185" s="55">
        <f t="shared" ca="1" si="55"/>
        <v>-28.546036396422135</v>
      </c>
      <c r="X185" s="55">
        <f t="shared" ca="1" si="56"/>
        <v>25.021108906652749</v>
      </c>
      <c r="Y185" s="55">
        <f t="shared" ca="1" si="57"/>
        <v>17.381384752921285</v>
      </c>
      <c r="Z185" s="55">
        <f t="shared" ca="1" si="50"/>
        <v>3.108598340037247</v>
      </c>
      <c r="AA185">
        <f t="shared" ca="1" si="51"/>
        <v>99.759922115052021</v>
      </c>
      <c r="AB185">
        <f t="shared" ca="1" si="58"/>
        <v>49.712071884046722</v>
      </c>
      <c r="AC185">
        <f t="shared" ca="1" si="52"/>
        <v>0</v>
      </c>
      <c r="AD185">
        <f t="shared" ca="1" si="53"/>
        <v>0.30475160766312798</v>
      </c>
      <c r="AE185" s="83" t="e">
        <f ca="1"/>
        <v>#N/A</v>
      </c>
      <c r="AF185" s="55" t="e">
        <f t="shared" ca="1" si="62"/>
        <v>#N/A</v>
      </c>
      <c r="AG185" s="55" t="e">
        <f t="shared" ca="1" si="63"/>
        <v>#N/A</v>
      </c>
      <c r="AH185" s="55" t="e">
        <f t="shared" ca="1" si="64"/>
        <v>#N/A</v>
      </c>
      <c r="AI185" s="55" t="e">
        <f t="shared" ca="1" si="65"/>
        <v>#N/A</v>
      </c>
      <c r="AJ185" s="55" t="e">
        <f t="shared" ca="1" si="59"/>
        <v>#N/A</v>
      </c>
      <c r="AK185" s="55" t="e">
        <f t="shared" ca="1" si="60"/>
        <v>#N/A</v>
      </c>
      <c r="AL185" s="55" t="e">
        <f t="shared" ca="1" si="61"/>
        <v>#N/A</v>
      </c>
      <c r="AM185" s="55"/>
    </row>
    <row r="186" spans="18:39">
      <c r="R186" s="83">
        <f ca="1"/>
        <v>45179</v>
      </c>
      <c r="S186" s="55">
        <f t="shared" ca="1" si="54"/>
        <v>45179</v>
      </c>
      <c r="T186" s="55">
        <f t="shared" ca="1" si="47"/>
        <v>92.206299240944148</v>
      </c>
      <c r="U186" s="55">
        <f t="shared" ca="1" si="48"/>
        <v>21.936808632477891</v>
      </c>
      <c r="V186" s="55">
        <f t="shared" ca="1" si="49"/>
        <v>0</v>
      </c>
      <c r="W186" s="55">
        <f t="shared" ca="1" si="55"/>
        <v>-28.546036396422135</v>
      </c>
      <c r="X186" s="55">
        <f t="shared" ca="1" si="56"/>
        <v>25.158107652761021</v>
      </c>
      <c r="Y186" s="55">
        <f t="shared" ca="1" si="57"/>
        <v>17.39490164710493</v>
      </c>
      <c r="Z186" s="55">
        <f t="shared" ca="1" si="50"/>
        <v>3.5293151388250692</v>
      </c>
      <c r="AA186">
        <f t="shared" ca="1" si="51"/>
        <v>97.595711219480108</v>
      </c>
      <c r="AB186">
        <f t="shared" ca="1" si="58"/>
        <v>49.712071884046722</v>
      </c>
      <c r="AC186">
        <f t="shared" ca="1" si="52"/>
        <v>0</v>
      </c>
      <c r="AD186">
        <f t="shared" ca="1" si="53"/>
        <v>0.31113130834064828</v>
      </c>
      <c r="AE186" s="83" t="e">
        <f ca="1"/>
        <v>#N/A</v>
      </c>
      <c r="AF186" s="55" t="e">
        <f t="shared" ca="1" si="62"/>
        <v>#N/A</v>
      </c>
      <c r="AG186" s="55" t="e">
        <f t="shared" ca="1" si="63"/>
        <v>#N/A</v>
      </c>
      <c r="AH186" s="55" t="e">
        <f t="shared" ca="1" si="64"/>
        <v>#N/A</v>
      </c>
      <c r="AI186" s="55" t="e">
        <f t="shared" ca="1" si="65"/>
        <v>#N/A</v>
      </c>
      <c r="AJ186" s="55" t="e">
        <f t="shared" ca="1" si="59"/>
        <v>#N/A</v>
      </c>
      <c r="AK186" s="55" t="e">
        <f t="shared" ca="1" si="60"/>
        <v>#N/A</v>
      </c>
      <c r="AL186" s="55" t="e">
        <f t="shared" ca="1" si="61"/>
        <v>#N/A</v>
      </c>
      <c r="AM186" s="55"/>
    </row>
    <row r="187" spans="18:39">
      <c r="R187" s="83">
        <f ca="1"/>
        <v>45180</v>
      </c>
      <c r="S187" s="55">
        <f t="shared" ca="1" si="54"/>
        <v>45180</v>
      </c>
      <c r="T187" s="55">
        <f t="shared" ca="1" si="47"/>
        <v>92.091204168901413</v>
      </c>
      <c r="U187" s="55">
        <f t="shared" ca="1" si="48"/>
        <v>22.211649839483961</v>
      </c>
      <c r="V187" s="55">
        <f t="shared" ca="1" si="49"/>
        <v>0</v>
      </c>
      <c r="W187" s="55">
        <f t="shared" ca="1" si="55"/>
        <v>-28.546036396422135</v>
      </c>
      <c r="X187" s="55">
        <f t="shared" ca="1" si="56"/>
        <v>25.303989430599394</v>
      </c>
      <c r="Y187" s="55">
        <f t="shared" ca="1" si="57"/>
        <v>17.408766004229893</v>
      </c>
      <c r="Z187" s="55">
        <f t="shared" ca="1" si="50"/>
        <v>3.8477768980849731</v>
      </c>
      <c r="AA187">
        <f t="shared" ca="1" si="51"/>
        <v>96.893939047557311</v>
      </c>
      <c r="AB187">
        <f t="shared" ca="1" si="58"/>
        <v>49.712071884046722</v>
      </c>
      <c r="AC187">
        <f t="shared" ca="1" si="52"/>
        <v>0</v>
      </c>
      <c r="AD187">
        <f t="shared" ca="1" si="53"/>
        <v>0.3180878294522696</v>
      </c>
      <c r="AE187" s="83" t="e">
        <f ca="1"/>
        <v>#N/A</v>
      </c>
      <c r="AF187" s="55" t="e">
        <f t="shared" ca="1" si="62"/>
        <v>#N/A</v>
      </c>
      <c r="AG187" s="55" t="e">
        <f t="shared" ca="1" si="63"/>
        <v>#N/A</v>
      </c>
      <c r="AH187" s="55" t="e">
        <f t="shared" ca="1" si="64"/>
        <v>#N/A</v>
      </c>
      <c r="AI187" s="55" t="e">
        <f t="shared" ca="1" si="65"/>
        <v>#N/A</v>
      </c>
      <c r="AJ187" s="55" t="e">
        <f t="shared" ca="1" si="59"/>
        <v>#N/A</v>
      </c>
      <c r="AK187" s="55" t="e">
        <f t="shared" ca="1" si="60"/>
        <v>#N/A</v>
      </c>
      <c r="AL187" s="55" t="e">
        <f t="shared" ca="1" si="61"/>
        <v>#N/A</v>
      </c>
      <c r="AM187" s="55"/>
    </row>
    <row r="188" spans="18:39">
      <c r="R188" s="83">
        <f ca="1"/>
        <v>45181</v>
      </c>
      <c r="S188" s="55">
        <f t="shared" ca="1" si="54"/>
        <v>45181</v>
      </c>
      <c r="T188" s="55">
        <f t="shared" ca="1" si="47"/>
        <v>91.971311491341567</v>
      </c>
      <c r="U188" s="55">
        <f t="shared" ca="1" si="48"/>
        <v>22.487213064228257</v>
      </c>
      <c r="V188" s="55">
        <f t="shared" ca="1" si="49"/>
        <v>0</v>
      </c>
      <c r="W188" s="55">
        <f t="shared" ca="1" si="55"/>
        <v>-28.546036396422135</v>
      </c>
      <c r="X188" s="55">
        <f t="shared" ca="1" si="56"/>
        <v>25.446202963276683</v>
      </c>
      <c r="Y188" s="55">
        <f t="shared" ca="1" si="57"/>
        <v>17.422223018737046</v>
      </c>
      <c r="Z188" s="55">
        <f t="shared" ca="1" si="50"/>
        <v>3.8578851464201449</v>
      </c>
      <c r="AA188">
        <f t="shared" ca="1" si="51"/>
        <v>95.373405587555496</v>
      </c>
      <c r="AB188">
        <f t="shared" ca="1" si="58"/>
        <v>49.712071884046722</v>
      </c>
      <c r="AC188">
        <f t="shared" ca="1" si="52"/>
        <v>0</v>
      </c>
      <c r="AD188">
        <f t="shared" ca="1" si="53"/>
        <v>0.32506086968859765</v>
      </c>
      <c r="AE188" s="83" t="e">
        <f ca="1"/>
        <v>#N/A</v>
      </c>
      <c r="AF188" s="55" t="e">
        <f t="shared" ca="1" si="62"/>
        <v>#N/A</v>
      </c>
      <c r="AG188" s="55" t="e">
        <f t="shared" ca="1" si="63"/>
        <v>#N/A</v>
      </c>
      <c r="AH188" s="55" t="e">
        <f t="shared" ca="1" si="64"/>
        <v>#N/A</v>
      </c>
      <c r="AI188" s="55" t="e">
        <f t="shared" ca="1" si="65"/>
        <v>#N/A</v>
      </c>
      <c r="AJ188" s="55" t="e">
        <f t="shared" ca="1" si="59"/>
        <v>#N/A</v>
      </c>
      <c r="AK188" s="55" t="e">
        <f t="shared" ca="1" si="60"/>
        <v>#N/A</v>
      </c>
      <c r="AL188" s="55" t="e">
        <f t="shared" ca="1" si="61"/>
        <v>#N/A</v>
      </c>
      <c r="AM188" s="55"/>
    </row>
    <row r="189" spans="18:39">
      <c r="R189" s="83">
        <f ca="1"/>
        <v>45182</v>
      </c>
      <c r="S189" s="55">
        <f t="shared" ca="1" si="54"/>
        <v>45182</v>
      </c>
      <c r="T189" s="55">
        <f t="shared" ca="1" si="47"/>
        <v>91.84998540745562</v>
      </c>
      <c r="U189" s="55">
        <f t="shared" ca="1" si="48"/>
        <v>22.759069257544418</v>
      </c>
      <c r="V189" s="55">
        <f t="shared" ca="1" si="49"/>
        <v>0</v>
      </c>
      <c r="W189" s="55">
        <f t="shared" ca="1" si="55"/>
        <v>-28.546036396422135</v>
      </c>
      <c r="X189" s="55">
        <f t="shared" ca="1" si="56"/>
        <v>25.583802463688333</v>
      </c>
      <c r="Y189" s="55">
        <f t="shared" ca="1" si="57"/>
        <v>17.435153627755593</v>
      </c>
      <c r="Z189" s="55">
        <f t="shared" ca="1" si="50"/>
        <v>3.8059867064262534</v>
      </c>
      <c r="AA189">
        <f t="shared" ca="1" si="51"/>
        <v>94.550282056753446</v>
      </c>
      <c r="AB189">
        <f t="shared" ca="1" si="58"/>
        <v>49.712071884046722</v>
      </c>
      <c r="AC189">
        <f t="shared" ca="1" si="52"/>
        <v>0</v>
      </c>
      <c r="AD189">
        <f t="shared" ca="1" si="53"/>
        <v>0.33193546784407374</v>
      </c>
      <c r="AE189" s="83" t="e">
        <f ca="1"/>
        <v>#N/A</v>
      </c>
      <c r="AF189" s="55" t="e">
        <f t="shared" ca="1" si="62"/>
        <v>#N/A</v>
      </c>
      <c r="AG189" s="55" t="e">
        <f t="shared" ca="1" si="63"/>
        <v>#N/A</v>
      </c>
      <c r="AH189" s="55" t="e">
        <f t="shared" ca="1" si="64"/>
        <v>#N/A</v>
      </c>
      <c r="AI189" s="55" t="e">
        <f t="shared" ca="1" si="65"/>
        <v>#N/A</v>
      </c>
      <c r="AJ189" s="55" t="e">
        <f t="shared" ca="1" si="59"/>
        <v>#N/A</v>
      </c>
      <c r="AK189" s="55" t="e">
        <f t="shared" ca="1" si="60"/>
        <v>#N/A</v>
      </c>
      <c r="AL189" s="55" t="e">
        <f t="shared" ca="1" si="61"/>
        <v>#N/A</v>
      </c>
      <c r="AM189" s="55"/>
    </row>
    <row r="190" spans="18:39">
      <c r="R190" s="83">
        <f ca="1"/>
        <v>45183</v>
      </c>
      <c r="S190" s="55">
        <f t="shared" ca="1" si="54"/>
        <v>45183</v>
      </c>
      <c r="T190" s="55">
        <f t="shared" ca="1" si="47"/>
        <v>91.714615102102698</v>
      </c>
      <c r="U190" s="55">
        <f t="shared" ca="1" si="48"/>
        <v>23.048245931237187</v>
      </c>
      <c r="V190" s="55">
        <f t="shared" ca="1" si="49"/>
        <v>0</v>
      </c>
      <c r="W190" s="55">
        <f t="shared" ca="1" si="55"/>
        <v>-28.546036396422135</v>
      </c>
      <c r="X190" s="55">
        <f t="shared" ca="1" si="56"/>
        <v>25.724550118191431</v>
      </c>
      <c r="Y190" s="55">
        <f t="shared" ca="1" si="57"/>
        <v>17.448212341592338</v>
      </c>
      <c r="Z190" s="55">
        <f t="shared" ca="1" si="50"/>
        <v>4.0484734316987598</v>
      </c>
      <c r="AA190">
        <f t="shared" ca="1" si="51"/>
        <v>92.239266885165108</v>
      </c>
      <c r="AB190">
        <f t="shared" ca="1" si="58"/>
        <v>49.712071884046722</v>
      </c>
      <c r="AC190">
        <f t="shared" ca="1" si="52"/>
        <v>0</v>
      </c>
      <c r="AD190">
        <f t="shared" ca="1" si="53"/>
        <v>0.33923985768136244</v>
      </c>
      <c r="AE190" s="83" t="e">
        <f ca="1"/>
        <v>#N/A</v>
      </c>
      <c r="AF190" s="55" t="e">
        <f t="shared" ca="1" si="62"/>
        <v>#N/A</v>
      </c>
      <c r="AG190" s="55" t="e">
        <f t="shared" ca="1" si="63"/>
        <v>#N/A</v>
      </c>
      <c r="AH190" s="55" t="e">
        <f t="shared" ca="1" si="64"/>
        <v>#N/A</v>
      </c>
      <c r="AI190" s="55" t="e">
        <f t="shared" ca="1" si="65"/>
        <v>#N/A</v>
      </c>
      <c r="AJ190" s="55" t="e">
        <f t="shared" ca="1" si="59"/>
        <v>#N/A</v>
      </c>
      <c r="AK190" s="55" t="e">
        <f t="shared" ca="1" si="60"/>
        <v>#N/A</v>
      </c>
      <c r="AL190" s="55" t="e">
        <f t="shared" ca="1" si="61"/>
        <v>#N/A</v>
      </c>
      <c r="AM190" s="55"/>
    </row>
    <row r="191" spans="18:39">
      <c r="R191" s="83">
        <f ca="1"/>
        <v>45184</v>
      </c>
      <c r="S191" s="55">
        <f t="shared" ca="1" si="54"/>
        <v>45184</v>
      </c>
      <c r="T191" s="55">
        <f t="shared" ca="1" si="47"/>
        <v>91.558768278029248</v>
      </c>
      <c r="U191" s="55">
        <f t="shared" ca="1" si="48"/>
        <v>23.364561449043926</v>
      </c>
      <c r="V191" s="55">
        <f t="shared" ca="1" si="49"/>
        <v>0</v>
      </c>
      <c r="W191" s="55">
        <f t="shared" ca="1" si="55"/>
        <v>-28.546036396422135</v>
      </c>
      <c r="X191" s="55">
        <f t="shared" ca="1" si="56"/>
        <v>25.871557800297683</v>
      </c>
      <c r="Y191" s="55">
        <f t="shared" ca="1" si="57"/>
        <v>17.461673353219375</v>
      </c>
      <c r="Z191" s="55">
        <f t="shared" ca="1" si="50"/>
        <v>4.4284172492943483</v>
      </c>
      <c r="AA191">
        <f t="shared" ca="1" si="51"/>
        <v>89.186957504905877</v>
      </c>
      <c r="AB191">
        <f t="shared" ca="1" si="58"/>
        <v>49.712071884046722</v>
      </c>
      <c r="AC191">
        <f t="shared" ca="1" si="52"/>
        <v>0</v>
      </c>
      <c r="AD191">
        <f t="shared" ca="1" si="53"/>
        <v>0.34721628725268322</v>
      </c>
      <c r="AE191" s="83" t="e">
        <f ca="1"/>
        <v>#N/A</v>
      </c>
      <c r="AF191" s="55" t="e">
        <f t="shared" ca="1" si="62"/>
        <v>#N/A</v>
      </c>
      <c r="AG191" s="55" t="e">
        <f t="shared" ca="1" si="63"/>
        <v>#N/A</v>
      </c>
      <c r="AH191" s="55" t="e">
        <f t="shared" ca="1" si="64"/>
        <v>#N/A</v>
      </c>
      <c r="AI191" s="55" t="e">
        <f t="shared" ca="1" si="65"/>
        <v>#N/A</v>
      </c>
      <c r="AJ191" s="55" t="e">
        <f t="shared" ca="1" si="59"/>
        <v>#N/A</v>
      </c>
      <c r="AK191" s="55" t="e">
        <f t="shared" ca="1" si="60"/>
        <v>#N/A</v>
      </c>
      <c r="AL191" s="55" t="e">
        <f t="shared" ca="1" si="61"/>
        <v>#N/A</v>
      </c>
      <c r="AM191" s="55"/>
    </row>
    <row r="192" spans="18:39">
      <c r="R192" s="83">
        <f ca="1"/>
        <v>45185</v>
      </c>
      <c r="S192" s="55">
        <f t="shared" ca="1" si="54"/>
        <v>45185</v>
      </c>
      <c r="T192" s="55">
        <f t="shared" ca="1" si="47"/>
        <v>91.394764556200357</v>
      </c>
      <c r="U192" s="55">
        <f t="shared" ca="1" si="48"/>
        <v>23.679899218998489</v>
      </c>
      <c r="V192" s="55">
        <f t="shared" ca="1" si="49"/>
        <v>0</v>
      </c>
      <c r="W192" s="55">
        <f t="shared" ca="1" si="55"/>
        <v>-28.546036396422135</v>
      </c>
      <c r="X192" s="55">
        <f t="shared" ca="1" si="56"/>
        <v>26.009915475126572</v>
      </c>
      <c r="Y192" s="55">
        <f t="shared" ca="1" si="57"/>
        <v>17.474649726516162</v>
      </c>
      <c r="Z192" s="55">
        <f t="shared" ca="1" si="50"/>
        <v>4.414728779363891</v>
      </c>
      <c r="AA192">
        <f t="shared" ca="1" si="51"/>
        <v>85.169890657257781</v>
      </c>
      <c r="AB192">
        <f t="shared" ca="1" si="58"/>
        <v>49.712071884046722</v>
      </c>
      <c r="AC192">
        <f t="shared" ca="1" si="52"/>
        <v>0</v>
      </c>
      <c r="AD192">
        <f t="shared" ca="1" si="53"/>
        <v>0.35515005373123648</v>
      </c>
      <c r="AE192" s="83" t="e">
        <f ca="1"/>
        <v>#N/A</v>
      </c>
      <c r="AF192" s="55" t="e">
        <f t="shared" ca="1" si="62"/>
        <v>#N/A</v>
      </c>
      <c r="AG192" s="55" t="e">
        <f t="shared" ca="1" si="63"/>
        <v>#N/A</v>
      </c>
      <c r="AH192" s="55" t="e">
        <f t="shared" ca="1" si="64"/>
        <v>#N/A</v>
      </c>
      <c r="AI192" s="55" t="e">
        <f t="shared" ca="1" si="65"/>
        <v>#N/A</v>
      </c>
      <c r="AJ192" s="55" t="e">
        <f t="shared" ca="1" si="59"/>
        <v>#N/A</v>
      </c>
      <c r="AK192" s="55" t="e">
        <f t="shared" ca="1" si="60"/>
        <v>#N/A</v>
      </c>
      <c r="AL192" s="55" t="e">
        <f t="shared" ca="1" si="61"/>
        <v>#N/A</v>
      </c>
      <c r="AM192" s="55"/>
    </row>
    <row r="193" spans="18:39">
      <c r="R193" s="83">
        <f ca="1"/>
        <v>45186</v>
      </c>
      <c r="S193" s="55">
        <f t="shared" ca="1" si="54"/>
        <v>45186</v>
      </c>
      <c r="T193" s="55">
        <f t="shared" ca="1" si="47"/>
        <v>91.232094420642881</v>
      </c>
      <c r="U193" s="55">
        <f t="shared" ca="1" si="48"/>
        <v>23.980005451384567</v>
      </c>
      <c r="V193" s="55">
        <f t="shared" ca="1" si="49"/>
        <v>0</v>
      </c>
      <c r="W193" s="55">
        <f t="shared" ca="1" si="55"/>
        <v>-28.546036396422135</v>
      </c>
      <c r="X193" s="55">
        <f t="shared" ca="1" si="56"/>
        <v>26.135226088314926</v>
      </c>
      <c r="Y193" s="55">
        <f t="shared" ca="1" si="57"/>
        <v>17.486775210156427</v>
      </c>
      <c r="Z193" s="55">
        <f t="shared" ca="1" si="50"/>
        <v>4.2014872534050909</v>
      </c>
      <c r="AA193">
        <f t="shared" ca="1" si="51"/>
        <v>81.7840693631031</v>
      </c>
      <c r="AB193">
        <f t="shared" ca="1" si="58"/>
        <v>49.712071884046722</v>
      </c>
      <c r="AC193">
        <f t="shared" ca="1" si="52"/>
        <v>0</v>
      </c>
      <c r="AD193">
        <f t="shared" ca="1" si="53"/>
        <v>0.36268027523784518</v>
      </c>
      <c r="AE193" s="83" t="e">
        <f ca="1"/>
        <v>#N/A</v>
      </c>
      <c r="AF193" s="55" t="e">
        <f t="shared" ca="1" si="62"/>
        <v>#N/A</v>
      </c>
      <c r="AG193" s="55" t="e">
        <f t="shared" ca="1" si="63"/>
        <v>#N/A</v>
      </c>
      <c r="AH193" s="55" t="e">
        <f t="shared" ca="1" si="64"/>
        <v>#N/A</v>
      </c>
      <c r="AI193" s="55" t="e">
        <f t="shared" ca="1" si="65"/>
        <v>#N/A</v>
      </c>
      <c r="AJ193" s="55" t="e">
        <f t="shared" ca="1" si="59"/>
        <v>#N/A</v>
      </c>
      <c r="AK193" s="55" t="e">
        <f t="shared" ca="1" si="60"/>
        <v>#N/A</v>
      </c>
      <c r="AL193" s="55" t="e">
        <f t="shared" ca="1" si="61"/>
        <v>#N/A</v>
      </c>
      <c r="AM193" s="55"/>
    </row>
    <row r="194" spans="18:39">
      <c r="R194" s="83">
        <f ca="1"/>
        <v>45187</v>
      </c>
      <c r="S194" s="55">
        <f t="shared" ca="1" si="54"/>
        <v>45187</v>
      </c>
      <c r="T194" s="55">
        <f t="shared" ca="1" si="47"/>
        <v>91.068049598917497</v>
      </c>
      <c r="U194" s="55">
        <f t="shared" ca="1" si="48"/>
        <v>24.276007060665091</v>
      </c>
      <c r="V194" s="55">
        <f t="shared" ca="1" si="49"/>
        <v>0</v>
      </c>
      <c r="W194" s="55">
        <f t="shared" ca="1" si="55"/>
        <v>-28.546036396422135</v>
      </c>
      <c r="X194" s="55">
        <f t="shared" ca="1" si="56"/>
        <v>26.255540926037575</v>
      </c>
      <c r="Y194" s="55">
        <f t="shared" ca="1" si="57"/>
        <v>17.498417159988914</v>
      </c>
      <c r="Z194" s="55">
        <f t="shared" ca="1" si="50"/>
        <v>4.1440225299273266</v>
      </c>
      <c r="AA194">
        <f t="shared" ca="1" si="51"/>
        <v>80.353853282748844</v>
      </c>
      <c r="AB194">
        <f t="shared" ca="1" si="58"/>
        <v>49.712071884046722</v>
      </c>
      <c r="AC194">
        <f t="shared" ca="1" si="52"/>
        <v>0</v>
      </c>
      <c r="AD194">
        <f t="shared" ca="1" si="53"/>
        <v>0.37008481685746553</v>
      </c>
      <c r="AE194" s="83" t="e">
        <f ca="1"/>
        <v>#N/A</v>
      </c>
      <c r="AF194" s="55" t="e">
        <f t="shared" ca="1" si="62"/>
        <v>#N/A</v>
      </c>
      <c r="AG194" s="55" t="e">
        <f t="shared" ca="1" si="63"/>
        <v>#N/A</v>
      </c>
      <c r="AH194" s="55" t="e">
        <f t="shared" ca="1" si="64"/>
        <v>#N/A</v>
      </c>
      <c r="AI194" s="55" t="e">
        <f t="shared" ca="1" si="65"/>
        <v>#N/A</v>
      </c>
      <c r="AJ194" s="55" t="e">
        <f t="shared" ca="1" si="59"/>
        <v>#N/A</v>
      </c>
      <c r="AK194" s="55" t="e">
        <f t="shared" ca="1" si="60"/>
        <v>#N/A</v>
      </c>
      <c r="AL194" s="55" t="e">
        <f t="shared" ca="1" si="61"/>
        <v>#N/A</v>
      </c>
      <c r="AM194" s="55"/>
    </row>
    <row r="195" spans="18:39">
      <c r="R195" s="83">
        <f ca="1"/>
        <v>45188</v>
      </c>
      <c r="S195" s="55">
        <f t="shared" ca="1" si="54"/>
        <v>45188</v>
      </c>
      <c r="T195" s="55">
        <f t="shared" ca="1" si="47"/>
        <v>90.894066166774167</v>
      </c>
      <c r="U195" s="55">
        <f t="shared" ca="1" si="48"/>
        <v>24.584302225862469</v>
      </c>
      <c r="V195" s="55">
        <f t="shared" ca="1" si="49"/>
        <v>0</v>
      </c>
      <c r="W195" s="55">
        <f t="shared" ca="1" si="55"/>
        <v>-28.546036396422135</v>
      </c>
      <c r="X195" s="55">
        <f t="shared" ca="1" si="56"/>
        <v>26.378256310215537</v>
      </c>
      <c r="Y195" s="55">
        <f t="shared" ca="1" si="57"/>
        <v>17.510013508864997</v>
      </c>
      <c r="Z195" s="55">
        <f t="shared" ca="1" si="50"/>
        <v>4.3161323127633011</v>
      </c>
      <c r="AA195">
        <f t="shared" ca="1" si="51"/>
        <v>79.630086086983511</v>
      </c>
      <c r="AB195">
        <f t="shared" ca="1" si="58"/>
        <v>49.712071884046722</v>
      </c>
      <c r="AC195">
        <f t="shared" ca="1" si="52"/>
        <v>0</v>
      </c>
      <c r="AD195">
        <f t="shared" ca="1" si="53"/>
        <v>0.37776963252324158</v>
      </c>
      <c r="AE195" s="83" t="e">
        <f ca="1"/>
        <v>#N/A</v>
      </c>
      <c r="AF195" s="55" t="e">
        <f t="shared" ca="1" si="62"/>
        <v>#N/A</v>
      </c>
      <c r="AG195" s="55" t="e">
        <f t="shared" ca="1" si="63"/>
        <v>#N/A</v>
      </c>
      <c r="AH195" s="55" t="e">
        <f t="shared" ca="1" si="64"/>
        <v>#N/A</v>
      </c>
      <c r="AI195" s="55" t="e">
        <f t="shared" ca="1" si="65"/>
        <v>#N/A</v>
      </c>
      <c r="AJ195" s="55" t="e">
        <f t="shared" ca="1" si="59"/>
        <v>#N/A</v>
      </c>
      <c r="AK195" s="55" t="e">
        <f t="shared" ca="1" si="60"/>
        <v>#N/A</v>
      </c>
      <c r="AL195" s="55" t="e">
        <f t="shared" ca="1" si="61"/>
        <v>#N/A</v>
      </c>
      <c r="AM195" s="55"/>
    </row>
    <row r="196" spans="18:39">
      <c r="R196" s="83">
        <f ca="1"/>
        <v>45189</v>
      </c>
      <c r="S196" s="55">
        <f t="shared" ca="1" si="54"/>
        <v>45189</v>
      </c>
      <c r="T196" s="55">
        <f t="shared" ca="1" si="47"/>
        <v>90.721660948918512</v>
      </c>
      <c r="U196" s="55">
        <f t="shared" ca="1" si="48"/>
        <v>24.884279225390266</v>
      </c>
      <c r="V196" s="55">
        <f t="shared" ca="1" si="49"/>
        <v>0</v>
      </c>
      <c r="W196" s="55">
        <f t="shared" ca="1" si="55"/>
        <v>-28.546036396422135</v>
      </c>
      <c r="X196" s="55">
        <f t="shared" ca="1" si="56"/>
        <v>26.494792211225253</v>
      </c>
      <c r="Y196" s="55">
        <f t="shared" ca="1" si="57"/>
        <v>17.521049389527427</v>
      </c>
      <c r="Z196" s="55">
        <f t="shared" ca="1" si="50"/>
        <v>4.1996779933891517</v>
      </c>
      <c r="AA196">
        <f t="shared" ca="1" si="51"/>
        <v>78.379356801845603</v>
      </c>
      <c r="AB196">
        <f t="shared" ca="1" si="58"/>
        <v>49.712071884046722</v>
      </c>
      <c r="AC196">
        <f t="shared" ca="1" si="52"/>
        <v>0</v>
      </c>
      <c r="AD196">
        <f t="shared" ca="1" si="53"/>
        <v>0.38521730695865186</v>
      </c>
      <c r="AE196" s="83" t="e">
        <f ca="1"/>
        <v>#N/A</v>
      </c>
      <c r="AF196" s="55" t="e">
        <f t="shared" ca="1" si="62"/>
        <v>#N/A</v>
      </c>
      <c r="AG196" s="55" t="e">
        <f t="shared" ca="1" si="63"/>
        <v>#N/A</v>
      </c>
      <c r="AH196" s="55" t="e">
        <f t="shared" ca="1" si="64"/>
        <v>#N/A</v>
      </c>
      <c r="AI196" s="55" t="e">
        <f t="shared" ca="1" si="65"/>
        <v>#N/A</v>
      </c>
      <c r="AJ196" s="55" t="e">
        <f t="shared" ca="1" si="59"/>
        <v>#N/A</v>
      </c>
      <c r="AK196" s="55" t="e">
        <f t="shared" ca="1" si="60"/>
        <v>#N/A</v>
      </c>
      <c r="AL196" s="55" t="e">
        <f t="shared" ca="1" si="61"/>
        <v>#N/A</v>
      </c>
      <c r="AM196" s="55"/>
    </row>
    <row r="197" spans="18:39">
      <c r="R197" s="83">
        <f ca="1"/>
        <v>45190</v>
      </c>
      <c r="S197" s="55">
        <f t="shared" ca="1" si="54"/>
        <v>45190</v>
      </c>
      <c r="T197" s="55">
        <f t="shared" ca="1" si="47"/>
        <v>90.534134089052998</v>
      </c>
      <c r="U197" s="55">
        <f t="shared" ca="1" si="48"/>
        <v>25.202869816227462</v>
      </c>
      <c r="V197" s="55">
        <f t="shared" ca="1" si="49"/>
        <v>0</v>
      </c>
      <c r="W197" s="55">
        <f t="shared" ca="1" si="55"/>
        <v>-28.546036396422135</v>
      </c>
      <c r="X197" s="55">
        <f t="shared" ca="1" si="56"/>
        <v>26.614716214208183</v>
      </c>
      <c r="Y197" s="55">
        <f t="shared" ca="1" si="57"/>
        <v>17.532189117516175</v>
      </c>
      <c r="Z197" s="55">
        <f t="shared" ca="1" si="50"/>
        <v>4.46026827172075</v>
      </c>
      <c r="AA197">
        <f t="shared" ca="1" si="51"/>
        <v>76.759996726054112</v>
      </c>
      <c r="AB197">
        <f t="shared" ca="1" si="58"/>
        <v>49.712071884046722</v>
      </c>
      <c r="AC197">
        <f t="shared" ca="1" si="52"/>
        <v>0</v>
      </c>
      <c r="AD197">
        <f t="shared" ca="1" si="53"/>
        <v>0.39309163319977813</v>
      </c>
      <c r="AE197" s="83" t="e">
        <f ca="1"/>
        <v>#N/A</v>
      </c>
      <c r="AF197" s="55" t="e">
        <f t="shared" ca="1" si="62"/>
        <v>#N/A</v>
      </c>
      <c r="AG197" s="55" t="e">
        <f t="shared" ca="1" si="63"/>
        <v>#N/A</v>
      </c>
      <c r="AH197" s="55" t="e">
        <f t="shared" ca="1" si="64"/>
        <v>#N/A</v>
      </c>
      <c r="AI197" s="55" t="e">
        <f t="shared" ca="1" si="65"/>
        <v>#N/A</v>
      </c>
      <c r="AJ197" s="55" t="e">
        <f t="shared" ca="1" si="59"/>
        <v>#N/A</v>
      </c>
      <c r="AK197" s="55" t="e">
        <f t="shared" ca="1" si="60"/>
        <v>#N/A</v>
      </c>
      <c r="AL197" s="55" t="e">
        <f t="shared" ca="1" si="61"/>
        <v>#N/A</v>
      </c>
      <c r="AM197" s="55"/>
    </row>
    <row r="198" spans="18:39">
      <c r="R198" s="83">
        <f ca="1"/>
        <v>45191</v>
      </c>
      <c r="S198" s="55">
        <f t="shared" ca="1" si="54"/>
        <v>45191</v>
      </c>
      <c r="T198" s="55">
        <f t="shared" ca="1" si="47"/>
        <v>90.347415009791348</v>
      </c>
      <c r="U198" s="55">
        <f t="shared" ca="1" si="48"/>
        <v>25.514303823284543</v>
      </c>
      <c r="V198" s="55">
        <f t="shared" ca="1" si="49"/>
        <v>0</v>
      </c>
      <c r="W198" s="55">
        <f t="shared" ca="1" si="55"/>
        <v>-28.546036396422135</v>
      </c>
      <c r="X198" s="55">
        <f t="shared" ca="1" si="56"/>
        <v>26.728801019619496</v>
      </c>
      <c r="Y198" s="55">
        <f t="shared" ca="1" si="57"/>
        <v>17.54281923990029</v>
      </c>
      <c r="Z198" s="55">
        <f t="shared" ca="1" si="50"/>
        <v>4.3600760987991265</v>
      </c>
      <c r="AA198">
        <f t="shared" ca="1" si="51"/>
        <v>75.298636387476165</v>
      </c>
      <c r="AB198">
        <f t="shared" ca="1" si="58"/>
        <v>49.712071884046722</v>
      </c>
      <c r="AC198">
        <f t="shared" ca="1" si="52"/>
        <v>0</v>
      </c>
      <c r="AD198">
        <f t="shared" ca="1" si="53"/>
        <v>0.40075060349140834</v>
      </c>
      <c r="AE198" s="83" t="e">
        <f ca="1"/>
        <v>#N/A</v>
      </c>
      <c r="AF198" s="55" t="e">
        <f t="shared" ca="1" si="62"/>
        <v>#N/A</v>
      </c>
      <c r="AG198" s="55" t="e">
        <f t="shared" ca="1" si="63"/>
        <v>#N/A</v>
      </c>
      <c r="AH198" s="55" t="e">
        <f t="shared" ca="1" si="64"/>
        <v>#N/A</v>
      </c>
      <c r="AI198" s="55" t="e">
        <f t="shared" ca="1" si="65"/>
        <v>#N/A</v>
      </c>
      <c r="AJ198" s="55" t="e">
        <f t="shared" ca="1" si="59"/>
        <v>#N/A</v>
      </c>
      <c r="AK198" s="55" t="e">
        <f t="shared" ca="1" si="60"/>
        <v>#N/A</v>
      </c>
      <c r="AL198" s="55" t="e">
        <f t="shared" ca="1" si="61"/>
        <v>#N/A</v>
      </c>
      <c r="AM198" s="55"/>
    </row>
    <row r="199" spans="18:39">
      <c r="R199" s="83">
        <f ca="1"/>
        <v>45192</v>
      </c>
      <c r="S199" s="55">
        <f t="shared" ca="1" si="54"/>
        <v>45192</v>
      </c>
      <c r="T199" s="55">
        <f t="shared" ca="1" si="47"/>
        <v>90.158047067356421</v>
      </c>
      <c r="U199" s="55">
        <f t="shared" ca="1" si="48"/>
        <v>25.822838985875773</v>
      </c>
      <c r="V199" s="55">
        <f t="shared" ca="1" si="49"/>
        <v>0</v>
      </c>
      <c r="W199" s="55">
        <f t="shared" ca="1" si="55"/>
        <v>-28.546036396422135</v>
      </c>
      <c r="X199" s="55">
        <f t="shared" ca="1" si="56"/>
        <v>26.837720462358</v>
      </c>
      <c r="Y199" s="55">
        <f t="shared" ca="1" si="57"/>
        <v>17.553067017318099</v>
      </c>
      <c r="Z199" s="55">
        <f t="shared" ca="1" si="50"/>
        <v>4.3194922762772237</v>
      </c>
      <c r="AA199">
        <f t="shared" ca="1" si="51"/>
        <v>72.930262460413658</v>
      </c>
      <c r="AB199">
        <f t="shared" ca="1" si="58"/>
        <v>49.712071884046722</v>
      </c>
      <c r="AC199">
        <f t="shared" ca="1" si="52"/>
        <v>0</v>
      </c>
      <c r="AD199">
        <f t="shared" ca="1" si="53"/>
        <v>0.40829781778684965</v>
      </c>
      <c r="AE199" s="83" t="e">
        <f ca="1"/>
        <v>#N/A</v>
      </c>
      <c r="AF199" s="55" t="e">
        <f t="shared" ca="1" si="62"/>
        <v>#N/A</v>
      </c>
      <c r="AG199" s="55" t="e">
        <f t="shared" ca="1" si="63"/>
        <v>#N/A</v>
      </c>
      <c r="AH199" s="55" t="e">
        <f t="shared" ca="1" si="64"/>
        <v>#N/A</v>
      </c>
      <c r="AI199" s="55" t="e">
        <f t="shared" ca="1" si="65"/>
        <v>#N/A</v>
      </c>
      <c r="AJ199" s="55" t="e">
        <f t="shared" ca="1" si="59"/>
        <v>#N/A</v>
      </c>
      <c r="AK199" s="55" t="e">
        <f t="shared" ca="1" si="60"/>
        <v>#N/A</v>
      </c>
      <c r="AL199" s="55" t="e">
        <f t="shared" ca="1" si="61"/>
        <v>#N/A</v>
      </c>
      <c r="AM199" s="55"/>
    </row>
    <row r="200" spans="18:39">
      <c r="R200" s="83">
        <f ca="1"/>
        <v>45193</v>
      </c>
      <c r="S200" s="55">
        <f t="shared" ca="1" si="54"/>
        <v>45193</v>
      </c>
      <c r="T200" s="55">
        <f t="shared" ca="1" si="47"/>
        <v>89.954397063799675</v>
      </c>
      <c r="U200" s="55">
        <f t="shared" ca="1" si="48"/>
        <v>26.151258905758752</v>
      </c>
      <c r="V200" s="55">
        <f t="shared" ca="1" si="49"/>
        <v>0</v>
      </c>
      <c r="W200" s="55">
        <f t="shared" ca="1" si="55"/>
        <v>-28.546036396422135</v>
      </c>
      <c r="X200" s="55">
        <f t="shared" ca="1" si="56"/>
        <v>26.952128988645661</v>
      </c>
      <c r="Y200" s="55">
        <f t="shared" ca="1" si="57"/>
        <v>17.563428407356671</v>
      </c>
      <c r="Z200" s="55">
        <f t="shared" ca="1" si="50"/>
        <v>4.5978788783617048</v>
      </c>
      <c r="AA200">
        <f t="shared" ca="1" si="51"/>
        <v>72.968407109443575</v>
      </c>
      <c r="AB200">
        <f t="shared" ca="1" si="58"/>
        <v>49.712071884046722</v>
      </c>
      <c r="AC200">
        <f t="shared" ca="1" si="52"/>
        <v>0</v>
      </c>
      <c r="AD200">
        <f t="shared" ca="1" si="53"/>
        <v>0.4162840756637734</v>
      </c>
      <c r="AE200" s="83" t="e">
        <f ca="1"/>
        <v>#N/A</v>
      </c>
      <c r="AF200" s="55" t="e">
        <f t="shared" ca="1" si="62"/>
        <v>#N/A</v>
      </c>
      <c r="AG200" s="55" t="e">
        <f t="shared" ca="1" si="63"/>
        <v>#N/A</v>
      </c>
      <c r="AH200" s="55" t="e">
        <f t="shared" ca="1" si="64"/>
        <v>#N/A</v>
      </c>
      <c r="AI200" s="55" t="e">
        <f t="shared" ca="1" si="65"/>
        <v>#N/A</v>
      </c>
      <c r="AJ200" s="55" t="e">
        <f t="shared" ca="1" si="59"/>
        <v>#N/A</v>
      </c>
      <c r="AK200" s="55" t="e">
        <f t="shared" ca="1" si="60"/>
        <v>#N/A</v>
      </c>
      <c r="AL200" s="55" t="e">
        <f t="shared" ca="1" si="61"/>
        <v>#N/A</v>
      </c>
      <c r="AM200" s="55"/>
    </row>
    <row r="201" spans="18:39">
      <c r="R201" s="83">
        <f ca="1"/>
        <v>45194</v>
      </c>
      <c r="S201" s="55">
        <f t="shared" ca="1" si="54"/>
        <v>45194</v>
      </c>
      <c r="T201" s="55">
        <f t="shared" ca="1" si="47"/>
        <v>89.757969138057419</v>
      </c>
      <c r="U201" s="55">
        <f t="shared" ca="1" si="48"/>
        <v>26.467494785950844</v>
      </c>
      <c r="V201" s="55">
        <f t="shared" ca="1" si="49"/>
        <v>0</v>
      </c>
      <c r="W201" s="55">
        <f t="shared" ca="1" si="55"/>
        <v>-28.546036396422135</v>
      </c>
      <c r="X201" s="55">
        <f t="shared" ca="1" si="56"/>
        <v>27.062141409722877</v>
      </c>
      <c r="Y201" s="55">
        <f t="shared" ca="1" si="57"/>
        <v>17.573223940729292</v>
      </c>
      <c r="Z201" s="55">
        <f t="shared" ca="1" si="50"/>
        <v>4.4273023226892931</v>
      </c>
      <c r="AA201">
        <f t="shared" ca="1" si="51"/>
        <v>73.737998567164738</v>
      </c>
      <c r="AB201">
        <f t="shared" ca="1" si="58"/>
        <v>49.712071884046722</v>
      </c>
      <c r="AC201">
        <f t="shared" ca="1" si="52"/>
        <v>0</v>
      </c>
      <c r="AD201">
        <f t="shared" ca="1" si="53"/>
        <v>0.42392499664799471</v>
      </c>
      <c r="AE201" s="83" t="e">
        <f ca="1"/>
        <v>#N/A</v>
      </c>
      <c r="AF201" s="55" t="e">
        <f t="shared" ca="1" si="62"/>
        <v>#N/A</v>
      </c>
      <c r="AG201" s="55" t="e">
        <f t="shared" ca="1" si="63"/>
        <v>#N/A</v>
      </c>
      <c r="AH201" s="55" t="e">
        <f t="shared" ca="1" si="64"/>
        <v>#N/A</v>
      </c>
      <c r="AI201" s="55" t="e">
        <f t="shared" ca="1" si="65"/>
        <v>#N/A</v>
      </c>
      <c r="AJ201" s="55" t="e">
        <f t="shared" ca="1" si="59"/>
        <v>#N/A</v>
      </c>
      <c r="AK201" s="55" t="e">
        <f t="shared" ca="1" si="60"/>
        <v>#N/A</v>
      </c>
      <c r="AL201" s="55" t="e">
        <f t="shared" ca="1" si="61"/>
        <v>#N/A</v>
      </c>
      <c r="AM201" s="55"/>
    </row>
    <row r="202" spans="18:39">
      <c r="R202" s="83">
        <f ca="1"/>
        <v>45195</v>
      </c>
      <c r="S202" s="55">
        <f t="shared" ca="1" si="54"/>
        <v>45195</v>
      </c>
      <c r="T202" s="55">
        <f t="shared" ca="1" si="47"/>
        <v>89.538011302173814</v>
      </c>
      <c r="U202" s="55">
        <f t="shared" ca="1" si="48"/>
        <v>26.814662857936437</v>
      </c>
      <c r="V202" s="55">
        <f t="shared" ca="1" si="49"/>
        <v>0</v>
      </c>
      <c r="W202" s="55">
        <f t="shared" ca="1" si="55"/>
        <v>-28.546036396422135</v>
      </c>
      <c r="X202" s="55">
        <f t="shared" ca="1" si="56"/>
        <v>27.179233850540648</v>
      </c>
      <c r="Y202" s="55">
        <f t="shared" ca="1" si="57"/>
        <v>17.583341736013516</v>
      </c>
      <c r="Z202" s="55">
        <f t="shared" ca="1" si="50"/>
        <v>4.8603530077982953</v>
      </c>
      <c r="AA202">
        <f t="shared" ca="1" si="51"/>
        <v>72.232147975250967</v>
      </c>
      <c r="AB202">
        <f t="shared" ca="1" si="58"/>
        <v>49.712071884046722</v>
      </c>
      <c r="AC202">
        <f t="shared" ca="1" si="52"/>
        <v>0</v>
      </c>
      <c r="AD202">
        <f t="shared" ca="1" si="53"/>
        <v>0.4322546663048028</v>
      </c>
      <c r="AE202" s="83" t="e">
        <f ca="1"/>
        <v>#N/A</v>
      </c>
      <c r="AF202" s="55" t="e">
        <f t="shared" ca="1" si="62"/>
        <v>#N/A</v>
      </c>
      <c r="AG202" s="55" t="e">
        <f t="shared" ca="1" si="63"/>
        <v>#N/A</v>
      </c>
      <c r="AH202" s="55" t="e">
        <f t="shared" ca="1" si="64"/>
        <v>#N/A</v>
      </c>
      <c r="AI202" s="55" t="e">
        <f t="shared" ca="1" si="65"/>
        <v>#N/A</v>
      </c>
      <c r="AJ202" s="55" t="e">
        <f t="shared" ca="1" si="59"/>
        <v>#N/A</v>
      </c>
      <c r="AK202" s="55" t="e">
        <f t="shared" ca="1" si="60"/>
        <v>#N/A</v>
      </c>
      <c r="AL202" s="55" t="e">
        <f t="shared" ca="1" si="61"/>
        <v>#N/A</v>
      </c>
      <c r="AM202" s="55"/>
    </row>
    <row r="203" spans="18:39">
      <c r="R203" s="83">
        <f ca="1"/>
        <v>45196</v>
      </c>
      <c r="S203" s="55">
        <f t="shared" ca="1" si="54"/>
        <v>45196</v>
      </c>
      <c r="T203" s="55">
        <f t="shared" ca="1" si="47"/>
        <v>89.304277557077654</v>
      </c>
      <c r="U203" s="55">
        <f t="shared" ca="1" si="48"/>
        <v>27.173433482603631</v>
      </c>
      <c r="V203" s="55">
        <f t="shared" ca="1" si="49"/>
        <v>0</v>
      </c>
      <c r="W203" s="55">
        <f t="shared" ca="1" si="55"/>
        <v>-28.546036396422135</v>
      </c>
      <c r="X203" s="55">
        <f t="shared" ca="1" si="56"/>
        <v>27.294246339760374</v>
      </c>
      <c r="Y203" s="55">
        <f t="shared" ca="1" si="57"/>
        <v>17.593366126364831</v>
      </c>
      <c r="Z203" s="55">
        <f t="shared" ca="1" si="50"/>
        <v>5.0227887453407192</v>
      </c>
      <c r="AA203">
        <f t="shared" ca="1" si="51"/>
        <v>68.782938912332256</v>
      </c>
      <c r="AB203">
        <f t="shared" ca="1" si="58"/>
        <v>49.712071884046722</v>
      </c>
      <c r="AC203">
        <f t="shared" ca="1" si="52"/>
        <v>0</v>
      </c>
      <c r="AD203">
        <f t="shared" ca="1" si="53"/>
        <v>0.4407948022477402</v>
      </c>
      <c r="AE203" s="83" t="e">
        <f ca="1"/>
        <v>#N/A</v>
      </c>
      <c r="AF203" s="55" t="e">
        <f t="shared" ca="1" si="62"/>
        <v>#N/A</v>
      </c>
      <c r="AG203" s="55" t="e">
        <f t="shared" ca="1" si="63"/>
        <v>#N/A</v>
      </c>
      <c r="AH203" s="55" t="e">
        <f t="shared" ca="1" si="64"/>
        <v>#N/A</v>
      </c>
      <c r="AI203" s="55" t="e">
        <f t="shared" ca="1" si="65"/>
        <v>#N/A</v>
      </c>
      <c r="AJ203" s="55" t="e">
        <f t="shared" ca="1" si="59"/>
        <v>#N/A</v>
      </c>
      <c r="AK203" s="55" t="e">
        <f t="shared" ca="1" si="60"/>
        <v>#N/A</v>
      </c>
      <c r="AL203" s="55" t="e">
        <f t="shared" ca="1" si="61"/>
        <v>#N/A</v>
      </c>
      <c r="AM203" s="55"/>
    </row>
    <row r="204" spans="18:39">
      <c r="R204" s="83">
        <f ca="1"/>
        <v>45197</v>
      </c>
      <c r="S204" s="55">
        <f t="shared" ca="1" si="54"/>
        <v>45197</v>
      </c>
      <c r="T204" s="55">
        <f t="shared" ca="1" si="47"/>
        <v>89.072430418758557</v>
      </c>
      <c r="U204" s="55">
        <f t="shared" ca="1" si="48"/>
        <v>27.528037782492383</v>
      </c>
      <c r="V204" s="55">
        <f t="shared" ca="1" si="49"/>
        <v>0</v>
      </c>
      <c r="W204" s="55">
        <f t="shared" ca="1" si="55"/>
        <v>-28.546036396422135</v>
      </c>
      <c r="X204" s="55">
        <f t="shared" ca="1" si="56"/>
        <v>27.407382364477627</v>
      </c>
      <c r="Y204" s="55">
        <f t="shared" ca="1" si="57"/>
        <v>17.60298726321723</v>
      </c>
      <c r="Z204" s="55">
        <f t="shared" ca="1" si="50"/>
        <v>4.9644601984425307</v>
      </c>
      <c r="AA204">
        <f t="shared" ca="1" si="51"/>
        <v>69.489888740951884</v>
      </c>
      <c r="AB204">
        <f t="shared" ca="1" si="58"/>
        <v>49.712071884046722</v>
      </c>
      <c r="AC204">
        <f t="shared" ca="1" si="52"/>
        <v>0</v>
      </c>
      <c r="AD204">
        <f t="shared" ca="1" si="53"/>
        <v>0.44916459459667013</v>
      </c>
      <c r="AE204" s="83" t="e">
        <f ca="1"/>
        <v>#N/A</v>
      </c>
      <c r="AF204" s="55" t="e">
        <f t="shared" ca="1" si="62"/>
        <v>#N/A</v>
      </c>
      <c r="AG204" s="55" t="e">
        <f t="shared" ca="1" si="63"/>
        <v>#N/A</v>
      </c>
      <c r="AH204" s="55" t="e">
        <f t="shared" ca="1" si="64"/>
        <v>#N/A</v>
      </c>
      <c r="AI204" s="55" t="e">
        <f t="shared" ca="1" si="65"/>
        <v>#N/A</v>
      </c>
      <c r="AJ204" s="55" t="e">
        <f t="shared" ca="1" si="59"/>
        <v>#N/A</v>
      </c>
      <c r="AK204" s="55" t="e">
        <f t="shared" ca="1" si="60"/>
        <v>#N/A</v>
      </c>
      <c r="AL204" s="55" t="e">
        <f t="shared" ca="1" si="61"/>
        <v>#N/A</v>
      </c>
      <c r="AM204" s="55"/>
    </row>
    <row r="205" spans="18:39">
      <c r="R205" s="83">
        <f ca="1"/>
        <v>45198</v>
      </c>
      <c r="S205" s="55">
        <f t="shared" ca="1" si="54"/>
        <v>45198</v>
      </c>
      <c r="T205" s="55">
        <f t="shared" ca="1" si="47"/>
        <v>88.838816921633367</v>
      </c>
      <c r="U205" s="55">
        <f t="shared" ca="1" si="48"/>
        <v>27.882450908163456</v>
      </c>
      <c r="V205" s="55">
        <f t="shared" ca="1" si="49"/>
        <v>0</v>
      </c>
      <c r="W205" s="55">
        <f t="shared" ca="1" si="55"/>
        <v>-28.546036396422135</v>
      </c>
      <c r="X205" s="55">
        <f t="shared" ca="1" si="56"/>
        <v>27.518867215050221</v>
      </c>
      <c r="Y205" s="55">
        <f t="shared" ca="1" si="57"/>
        <v>17.612302041190524</v>
      </c>
      <c r="Z205" s="55">
        <f t="shared" ca="1" si="50"/>
        <v>4.9617837593950185</v>
      </c>
      <c r="AA205">
        <f t="shared" ca="1" si="51"/>
        <v>69.31142355927291</v>
      </c>
      <c r="AB205">
        <f t="shared" ca="1" si="58"/>
        <v>49.712071884046722</v>
      </c>
      <c r="AC205">
        <f t="shared" ca="1" si="52"/>
        <v>0</v>
      </c>
      <c r="AD205">
        <f t="shared" ca="1" si="53"/>
        <v>0.45745606921192389</v>
      </c>
      <c r="AE205" s="83" t="e">
        <f ca="1"/>
        <v>#N/A</v>
      </c>
      <c r="AF205" s="55" t="e">
        <f t="shared" ca="1" si="62"/>
        <v>#N/A</v>
      </c>
      <c r="AG205" s="55" t="e">
        <f t="shared" ca="1" si="63"/>
        <v>#N/A</v>
      </c>
      <c r="AH205" s="55" t="e">
        <f t="shared" ca="1" si="64"/>
        <v>#N/A</v>
      </c>
      <c r="AI205" s="55" t="e">
        <f t="shared" ca="1" si="65"/>
        <v>#N/A</v>
      </c>
      <c r="AJ205" s="55" t="e">
        <f t="shared" ca="1" si="59"/>
        <v>#N/A</v>
      </c>
      <c r="AK205" s="55" t="e">
        <f t="shared" ca="1" si="60"/>
        <v>#N/A</v>
      </c>
      <c r="AL205" s="55" t="e">
        <f t="shared" ca="1" si="61"/>
        <v>#N/A</v>
      </c>
      <c r="AM205" s="55"/>
    </row>
    <row r="206" spans="18:39">
      <c r="R206" s="83">
        <f ca="1"/>
        <v>45199</v>
      </c>
      <c r="S206" s="55">
        <f t="shared" ca="1" si="54"/>
        <v>45199</v>
      </c>
      <c r="T206" s="55">
        <f t="shared" ca="1" si="47"/>
        <v>88.56704254798548</v>
      </c>
      <c r="U206" s="55">
        <f t="shared" ca="1" si="48"/>
        <v>28.283538540941485</v>
      </c>
      <c r="V206" s="55">
        <f t="shared" ca="1" si="49"/>
        <v>0</v>
      </c>
      <c r="W206" s="55">
        <f t="shared" ca="1" si="55"/>
        <v>-28.546036396422135</v>
      </c>
      <c r="X206" s="55">
        <f t="shared" ca="1" si="56"/>
        <v>27.638313064108544</v>
      </c>
      <c r="Y206" s="55">
        <f t="shared" ca="1" si="57"/>
        <v>17.622169451262351</v>
      </c>
      <c r="Z206" s="55">
        <f t="shared" ca="1" si="50"/>
        <v>5.615226858892413</v>
      </c>
      <c r="AA206">
        <f t="shared" ca="1" si="51"/>
        <v>65.308115729497089</v>
      </c>
      <c r="AB206">
        <f t="shared" ca="1" si="58"/>
        <v>49.712071884046722</v>
      </c>
      <c r="AC206">
        <f t="shared" ca="1" si="52"/>
        <v>0</v>
      </c>
      <c r="AD206">
        <f t="shared" ca="1" si="53"/>
        <v>0.46674687936456072</v>
      </c>
      <c r="AE206" s="83" t="e">
        <f ca="1"/>
        <v>#N/A</v>
      </c>
      <c r="AF206" s="55" t="e">
        <f t="shared" ca="1" si="62"/>
        <v>#N/A</v>
      </c>
      <c r="AG206" s="55" t="e">
        <f t="shared" ca="1" si="63"/>
        <v>#N/A</v>
      </c>
      <c r="AH206" s="55" t="e">
        <f t="shared" ca="1" si="64"/>
        <v>#N/A</v>
      </c>
      <c r="AI206" s="55" t="e">
        <f t="shared" ca="1" si="65"/>
        <v>#N/A</v>
      </c>
      <c r="AJ206" s="55" t="e">
        <f t="shared" ca="1" si="59"/>
        <v>#N/A</v>
      </c>
      <c r="AK206" s="55" t="e">
        <f t="shared" ca="1" si="60"/>
        <v>#N/A</v>
      </c>
      <c r="AL206" s="55" t="e">
        <f t="shared" ca="1" si="61"/>
        <v>#N/A</v>
      </c>
      <c r="AM206" s="55"/>
    </row>
    <row r="207" spans="18:39">
      <c r="R207" s="83">
        <f ca="1"/>
        <v>45200</v>
      </c>
      <c r="S207" s="55">
        <f t="shared" ca="1" si="54"/>
        <v>45200</v>
      </c>
      <c r="T207" s="55">
        <f t="shared" ca="1" si="47"/>
        <v>88.283435032669587</v>
      </c>
      <c r="U207" s="55">
        <f t="shared" ca="1" si="48"/>
        <v>28.691575224087067</v>
      </c>
      <c r="V207" s="55">
        <f t="shared" ca="1" si="49"/>
        <v>0</v>
      </c>
      <c r="W207" s="55">
        <f t="shared" ca="1" si="55"/>
        <v>-28.546036396422135</v>
      </c>
      <c r="X207" s="55">
        <f t="shared" ca="1" si="56"/>
        <v>27.753092713710345</v>
      </c>
      <c r="Y207" s="55">
        <f t="shared" ca="1" si="57"/>
        <v>17.63181896949024</v>
      </c>
      <c r="Z207" s="55">
        <f t="shared" ca="1" si="50"/>
        <v>5.7125135640381473</v>
      </c>
      <c r="AA207">
        <f t="shared" ca="1" si="51"/>
        <v>61.35363447008217</v>
      </c>
      <c r="AB207">
        <f t="shared" ca="1" si="58"/>
        <v>49.712071884046722</v>
      </c>
      <c r="AC207">
        <f t="shared" ca="1" si="52"/>
        <v>0</v>
      </c>
      <c r="AD207">
        <f t="shared" ca="1" si="53"/>
        <v>0.47609396178794056</v>
      </c>
      <c r="AE207" s="83" t="e">
        <f ca="1"/>
        <v>#N/A</v>
      </c>
      <c r="AF207" s="55" t="e">
        <f t="shared" ca="1" si="62"/>
        <v>#N/A</v>
      </c>
      <c r="AG207" s="55" t="e">
        <f t="shared" ca="1" si="63"/>
        <v>#N/A</v>
      </c>
      <c r="AH207" s="55" t="e">
        <f t="shared" ca="1" si="64"/>
        <v>#N/A</v>
      </c>
      <c r="AI207" s="55" t="e">
        <f t="shared" ca="1" si="65"/>
        <v>#N/A</v>
      </c>
      <c r="AJ207" s="55" t="e">
        <f t="shared" ca="1" si="59"/>
        <v>#N/A</v>
      </c>
      <c r="AK207" s="55" t="e">
        <f t="shared" ca="1" si="60"/>
        <v>#N/A</v>
      </c>
      <c r="AL207" s="55" t="e">
        <f t="shared" ca="1" si="61"/>
        <v>#N/A</v>
      </c>
      <c r="AM207" s="55"/>
    </row>
    <row r="208" spans="18:39">
      <c r="R208" s="83">
        <f ca="1"/>
        <v>45201</v>
      </c>
      <c r="S208" s="55">
        <f t="shared" ca="1" si="54"/>
        <v>45201</v>
      </c>
      <c r="T208" s="55">
        <f t="shared" ca="1" si="47"/>
        <v>87.982386682504568</v>
      </c>
      <c r="U208" s="55">
        <f t="shared" ca="1" si="48"/>
        <v>29.116280835388974</v>
      </c>
      <c r="V208" s="55">
        <f t="shared" ca="1" si="49"/>
        <v>0</v>
      </c>
      <c r="W208" s="55">
        <f t="shared" ca="1" si="55"/>
        <v>-28.546036396422135</v>
      </c>
      <c r="X208" s="55">
        <f t="shared" ca="1" si="56"/>
        <v>27.867394783452585</v>
      </c>
      <c r="Y208" s="55">
        <f t="shared" ca="1" si="57"/>
        <v>17.641174160884891</v>
      </c>
      <c r="Z208" s="55">
        <f t="shared" ca="1" si="50"/>
        <v>5.9458785582266884</v>
      </c>
      <c r="AA208">
        <f t="shared" ca="1" si="51"/>
        <v>58.413809523290503</v>
      </c>
      <c r="AB208">
        <f t="shared" ca="1" si="58"/>
        <v>49.712071884046722</v>
      </c>
      <c r="AC208">
        <f t="shared" ca="1" si="52"/>
        <v>0</v>
      </c>
      <c r="AD208">
        <f t="shared" ca="1" si="53"/>
        <v>0.48570680826399132</v>
      </c>
      <c r="AE208" s="83" t="e">
        <f ca="1"/>
        <v>#N/A</v>
      </c>
      <c r="AF208" s="55" t="e">
        <f t="shared" ca="1" si="62"/>
        <v>#N/A</v>
      </c>
      <c r="AG208" s="55" t="e">
        <f t="shared" ca="1" si="63"/>
        <v>#N/A</v>
      </c>
      <c r="AH208" s="55" t="e">
        <f t="shared" ca="1" si="64"/>
        <v>#N/A</v>
      </c>
      <c r="AI208" s="55" t="e">
        <f t="shared" ca="1" si="65"/>
        <v>#N/A</v>
      </c>
      <c r="AJ208" s="55" t="e">
        <f t="shared" ca="1" si="59"/>
        <v>#N/A</v>
      </c>
      <c r="AK208" s="55" t="e">
        <f t="shared" ca="1" si="60"/>
        <v>#N/A</v>
      </c>
      <c r="AL208" s="55" t="e">
        <f t="shared" ca="1" si="61"/>
        <v>#N/A</v>
      </c>
      <c r="AM208" s="55"/>
    </row>
    <row r="209" spans="18:39">
      <c r="R209" s="83">
        <f ca="1"/>
        <v>45202</v>
      </c>
      <c r="S209" s="55">
        <f t="shared" ca="1" si="54"/>
        <v>45202</v>
      </c>
      <c r="T209" s="55">
        <f t="shared" ca="1" si="47"/>
        <v>87.695811988152315</v>
      </c>
      <c r="U209" s="55">
        <f t="shared" ca="1" si="48"/>
        <v>29.519284605272478</v>
      </c>
      <c r="V209" s="55">
        <f t="shared" ca="1" si="49"/>
        <v>0</v>
      </c>
      <c r="W209" s="55">
        <f t="shared" ca="1" si="55"/>
        <v>-28.546036396422135</v>
      </c>
      <c r="X209" s="55">
        <f t="shared" ca="1" si="56"/>
        <v>27.975021194390063</v>
      </c>
      <c r="Y209" s="55">
        <f t="shared" ca="1" si="57"/>
        <v>17.64997682547866</v>
      </c>
      <c r="Z209" s="55">
        <f t="shared" ca="1" si="50"/>
        <v>5.642052778369063</v>
      </c>
      <c r="AA209">
        <f t="shared" ca="1" si="51"/>
        <v>59.28437199634616</v>
      </c>
      <c r="AB209">
        <f t="shared" ca="1" si="58"/>
        <v>49.712071884046722</v>
      </c>
      <c r="AC209">
        <f t="shared" ca="1" si="52"/>
        <v>0</v>
      </c>
      <c r="AD209">
        <f t="shared" ca="1" si="53"/>
        <v>0.49471562393045021</v>
      </c>
      <c r="AE209" s="83" t="e">
        <f ca="1"/>
        <v>#N/A</v>
      </c>
      <c r="AF209" s="55" t="e">
        <f t="shared" ca="1" si="62"/>
        <v>#N/A</v>
      </c>
      <c r="AG209" s="55" t="e">
        <f t="shared" ca="1" si="63"/>
        <v>#N/A</v>
      </c>
      <c r="AH209" s="55" t="e">
        <f t="shared" ca="1" si="64"/>
        <v>#N/A</v>
      </c>
      <c r="AI209" s="55" t="e">
        <f t="shared" ca="1" si="65"/>
        <v>#N/A</v>
      </c>
      <c r="AJ209" s="55" t="e">
        <f t="shared" ca="1" si="59"/>
        <v>#N/A</v>
      </c>
      <c r="AK209" s="55" t="e">
        <f t="shared" ca="1" si="60"/>
        <v>#N/A</v>
      </c>
      <c r="AL209" s="55" t="e">
        <f t="shared" ca="1" si="61"/>
        <v>#N/A</v>
      </c>
      <c r="AM209" s="55"/>
    </row>
    <row r="210" spans="18:39">
      <c r="R210" s="83">
        <f ca="1"/>
        <v>45203</v>
      </c>
      <c r="S210" s="55">
        <f t="shared" ca="1" si="54"/>
        <v>45203</v>
      </c>
      <c r="T210" s="55">
        <f t="shared" ref="T210:T273" ca="1" si="66">VLOOKUP(S210,ModelOutputs,2,FALSE)</f>
        <v>87.412798297092152</v>
      </c>
      <c r="U210" s="55">
        <f t="shared" ref="U210:U273" ca="1" si="67">VLOOKUP(S210,ModelOutputs,7,FALSE)</f>
        <v>29.917362110004934</v>
      </c>
      <c r="V210" s="55">
        <f t="shared" ref="V210:V273" ca="1" si="68">VLOOKUP(S210,ModelOutputs,6,FALSE)</f>
        <v>0</v>
      </c>
      <c r="W210" s="55">
        <f t="shared" ca="1" si="55"/>
        <v>-28.546036396422135</v>
      </c>
      <c r="X210" s="55">
        <f t="shared" ca="1" si="56"/>
        <v>28.081546667037962</v>
      </c>
      <c r="Y210" s="55">
        <f t="shared" ca="1" si="57"/>
        <v>17.658515166503051</v>
      </c>
      <c r="Z210" s="55">
        <f t="shared" ref="Z210:Z273" ca="1" si="69">VLOOKUP(S210,ModelOutputs,3,FALSE)*14</f>
        <v>5.5730850662543787</v>
      </c>
      <c r="AA210">
        <f t="shared" ref="AA210:AA273" ca="1" si="70">VLOOKUP(S210,ModelOutputs,10,FALSE)*AWC</f>
        <v>60.707945402872141</v>
      </c>
      <c r="AB210">
        <f t="shared" ca="1" si="58"/>
        <v>49.712071884046722</v>
      </c>
      <c r="AC210">
        <f t="shared" ref="AC210:AC273" ca="1" si="71">VLOOKUP(S210,ModelOutputs,12,FALSE)</f>
        <v>0</v>
      </c>
      <c r="AD210">
        <f t="shared" ref="AD210:AD273" ca="1" si="72">VLOOKUP(S210,ModelOutputs,13,FALSE)</f>
        <v>0.50350360946037076</v>
      </c>
      <c r="AE210" s="83" t="e">
        <f ca="1"/>
        <v>#N/A</v>
      </c>
      <c r="AF210" s="55" t="e">
        <f t="shared" ca="1" si="62"/>
        <v>#N/A</v>
      </c>
      <c r="AG210" s="55" t="e">
        <f t="shared" ca="1" si="63"/>
        <v>#N/A</v>
      </c>
      <c r="AH210" s="55" t="e">
        <f t="shared" ca="1" si="64"/>
        <v>#N/A</v>
      </c>
      <c r="AI210" s="55" t="e">
        <f t="shared" ca="1" si="65"/>
        <v>#N/A</v>
      </c>
      <c r="AJ210" s="55" t="e">
        <f t="shared" ca="1" si="59"/>
        <v>#N/A</v>
      </c>
      <c r="AK210" s="55" t="e">
        <f t="shared" ca="1" si="60"/>
        <v>#N/A</v>
      </c>
      <c r="AL210" s="55" t="e">
        <f t="shared" ca="1" si="61"/>
        <v>#N/A</v>
      </c>
      <c r="AM210" s="55"/>
    </row>
    <row r="211" spans="18:39">
      <c r="R211" s="83">
        <f ca="1"/>
        <v>45204</v>
      </c>
      <c r="S211" s="55">
        <f t="shared" ref="S211:S274" ca="1" si="73">IF(R211&gt;1,R211,"")</f>
        <v>45204</v>
      </c>
      <c r="T211" s="55">
        <f t="shared" ca="1" si="66"/>
        <v>87.124434776251405</v>
      </c>
      <c r="U211" s="55">
        <f t="shared" ca="1" si="67"/>
        <v>30.31746777788797</v>
      </c>
      <c r="V211" s="55">
        <f t="shared" ca="1" si="68"/>
        <v>0</v>
      </c>
      <c r="W211" s="55">
        <f t="shared" ref="W211:W274" ca="1" si="74">-VLOOKUP(S211,ModelOutputs,9,FALSE)+W210</f>
        <v>-28.546036396422135</v>
      </c>
      <c r="X211" s="55">
        <f t="shared" ref="X211:X274" ca="1" si="75">VLOOKUP(S211,ModelOutputs,5,FALSE)+X210</f>
        <v>28.185149363492169</v>
      </c>
      <c r="Y211" s="55">
        <f t="shared" ref="Y211:Y274" ca="1" si="76">VLOOKUP(S211,ModelOutputs,4,FALSE)+Y210</f>
        <v>17.666654617091144</v>
      </c>
      <c r="Z211" s="55">
        <f t="shared" ca="1" si="69"/>
        <v>5.6014793503625029</v>
      </c>
      <c r="AA211">
        <f t="shared" ca="1" si="70"/>
        <v>58.872496010623045</v>
      </c>
      <c r="AB211">
        <f t="shared" ref="AB211:AB274" ca="1" si="77">VLOOKUP(S211,ModelOutputs,11,FALSE)+AB210</f>
        <v>49.712071884046722</v>
      </c>
      <c r="AC211">
        <f t="shared" ca="1" si="71"/>
        <v>0</v>
      </c>
      <c r="AD211">
        <f t="shared" ca="1" si="72"/>
        <v>0.5122230189945447</v>
      </c>
      <c r="AE211" s="83" t="e">
        <f ca="1"/>
        <v>#N/A</v>
      </c>
      <c r="AF211" s="55" t="e">
        <f t="shared" ca="1" si="62"/>
        <v>#N/A</v>
      </c>
      <c r="AG211" s="55" t="e">
        <f t="shared" ca="1" si="63"/>
        <v>#N/A</v>
      </c>
      <c r="AH211" s="55" t="e">
        <f t="shared" ca="1" si="64"/>
        <v>#N/A</v>
      </c>
      <c r="AI211" s="55" t="e">
        <f t="shared" ca="1" si="65"/>
        <v>#N/A</v>
      </c>
      <c r="AJ211" s="55" t="e">
        <f t="shared" ref="AJ211:AJ274" ca="1" si="78">-VLOOKUP(AF211,ModelOutputs,9,FALSE)+AJ210</f>
        <v>#N/A</v>
      </c>
      <c r="AK211" s="55" t="e">
        <f t="shared" ref="AK211:AK274" ca="1" si="79">VLOOKUP(AF211,ModelOutputs,5,FALSE)+AK210</f>
        <v>#N/A</v>
      </c>
      <c r="AL211" s="55" t="e">
        <f t="shared" ref="AL211:AL274" ca="1" si="80">VLOOKUP(AF211,ModelOutputs,4,FALSE)+AL210</f>
        <v>#N/A</v>
      </c>
      <c r="AM211" s="55"/>
    </row>
    <row r="212" spans="18:39">
      <c r="R212" s="83">
        <f ca="1"/>
        <v>45205</v>
      </c>
      <c r="S212" s="55">
        <f t="shared" ca="1" si="73"/>
        <v>45205</v>
      </c>
      <c r="T212" s="55">
        <f t="shared" ca="1" si="66"/>
        <v>86.810661735801148</v>
      </c>
      <c r="U212" s="55">
        <f t="shared" ca="1" si="67"/>
        <v>30.745179741910107</v>
      </c>
      <c r="V212" s="55">
        <f t="shared" ca="1" si="68"/>
        <v>0</v>
      </c>
      <c r="W212" s="55">
        <f t="shared" ca="1" si="74"/>
        <v>-28.546036396422135</v>
      </c>
      <c r="X212" s="55">
        <f t="shared" ca="1" si="75"/>
        <v>28.291218779026011</v>
      </c>
      <c r="Y212" s="55">
        <f t="shared" ca="1" si="76"/>
        <v>17.674524125129189</v>
      </c>
      <c r="Z212" s="55">
        <f t="shared" ca="1" si="69"/>
        <v>5.9879674963099205</v>
      </c>
      <c r="AA212">
        <f t="shared" ca="1" si="70"/>
        <v>55.940332540867296</v>
      </c>
      <c r="AB212">
        <f t="shared" ca="1" si="77"/>
        <v>49.712071884046722</v>
      </c>
      <c r="AC212">
        <f t="shared" ca="1" si="71"/>
        <v>0</v>
      </c>
      <c r="AD212">
        <f t="shared" ca="1" si="72"/>
        <v>0.52141590688402106</v>
      </c>
      <c r="AE212" s="83" t="e">
        <f ca="1"/>
        <v>#N/A</v>
      </c>
      <c r="AF212" s="55" t="e">
        <f t="shared" ca="1" si="62"/>
        <v>#N/A</v>
      </c>
      <c r="AG212" s="55" t="e">
        <f t="shared" ca="1" si="63"/>
        <v>#N/A</v>
      </c>
      <c r="AH212" s="55" t="e">
        <f t="shared" ca="1" si="64"/>
        <v>#N/A</v>
      </c>
      <c r="AI212" s="55" t="e">
        <f t="shared" ca="1" si="65"/>
        <v>#N/A</v>
      </c>
      <c r="AJ212" s="55" t="e">
        <f t="shared" ca="1" si="78"/>
        <v>#N/A</v>
      </c>
      <c r="AK212" s="55" t="e">
        <f t="shared" ca="1" si="79"/>
        <v>#N/A</v>
      </c>
      <c r="AL212" s="55" t="e">
        <f t="shared" ca="1" si="80"/>
        <v>#N/A</v>
      </c>
      <c r="AM212" s="55"/>
    </row>
    <row r="213" spans="18:39">
      <c r="R213" s="83">
        <f ca="1"/>
        <v>45206</v>
      </c>
      <c r="S213" s="55">
        <f t="shared" ca="1" si="73"/>
        <v>45206</v>
      </c>
      <c r="T213" s="55">
        <f t="shared" ca="1" si="66"/>
        <v>86.485484521576467</v>
      </c>
      <c r="U213" s="55">
        <f t="shared" ca="1" si="67"/>
        <v>31.181761139900807</v>
      </c>
      <c r="V213" s="55">
        <f t="shared" ca="1" si="68"/>
        <v>0</v>
      </c>
      <c r="W213" s="55">
        <f t="shared" ca="1" si="74"/>
        <v>-28.546036396422135</v>
      </c>
      <c r="X213" s="55">
        <f t="shared" ca="1" si="75"/>
        <v>28.395231234182567</v>
      </c>
      <c r="Y213" s="55">
        <f t="shared" ca="1" si="76"/>
        <v>17.681915853738644</v>
      </c>
      <c r="Z213" s="55">
        <f t="shared" ca="1" si="69"/>
        <v>6.1121395718698039</v>
      </c>
      <c r="AA213">
        <f t="shared" ca="1" si="70"/>
        <v>53.426227804311715</v>
      </c>
      <c r="AB213">
        <f t="shared" ca="1" si="77"/>
        <v>49.712071884046722</v>
      </c>
      <c r="AC213">
        <f t="shared" ca="1" si="71"/>
        <v>0</v>
      </c>
      <c r="AD213">
        <f t="shared" ca="1" si="72"/>
        <v>0.53066051466743036</v>
      </c>
      <c r="AE213" s="83" t="e">
        <f ca="1"/>
        <v>#N/A</v>
      </c>
      <c r="AF213" s="55" t="e">
        <f t="shared" ref="AF213:AF276" ca="1" si="81">IF(AE213&gt;1,AE213,"")</f>
        <v>#N/A</v>
      </c>
      <c r="AG213" s="55" t="e">
        <f t="shared" ref="AG213:AG276" ca="1" si="82">VLOOKUP(AF213,ModelOutputs,2,FALSE)</f>
        <v>#N/A</v>
      </c>
      <c r="AH213" s="55" t="e">
        <f t="shared" ref="AH213:AH276" ca="1" si="83">VLOOKUP(AF213,ModelOutputs,7,FALSE)</f>
        <v>#N/A</v>
      </c>
      <c r="AI213" s="55" t="e">
        <f t="shared" ref="AI213:AI276" ca="1" si="84">VLOOKUP(AF213,ModelOutputs,6,FALSE)</f>
        <v>#N/A</v>
      </c>
      <c r="AJ213" s="55" t="e">
        <f t="shared" ca="1" si="78"/>
        <v>#N/A</v>
      </c>
      <c r="AK213" s="55" t="e">
        <f t="shared" ca="1" si="79"/>
        <v>#N/A</v>
      </c>
      <c r="AL213" s="55" t="e">
        <f t="shared" ca="1" si="80"/>
        <v>#N/A</v>
      </c>
      <c r="AM213" s="55"/>
    </row>
    <row r="214" spans="18:39">
      <c r="R214" s="83">
        <f ca="1"/>
        <v>45207</v>
      </c>
      <c r="S214" s="55">
        <f t="shared" ca="1" si="73"/>
        <v>45207</v>
      </c>
      <c r="T214" s="55">
        <f t="shared" ca="1" si="66"/>
        <v>86.179232350478031</v>
      </c>
      <c r="U214" s="55">
        <f t="shared" ca="1" si="67"/>
        <v>31.595489613453747</v>
      </c>
      <c r="V214" s="55">
        <f t="shared" ca="1" si="68"/>
        <v>0</v>
      </c>
      <c r="W214" s="55">
        <f t="shared" ca="1" si="74"/>
        <v>-28.546036396422135</v>
      </c>
      <c r="X214" s="55">
        <f t="shared" ca="1" si="75"/>
        <v>28.495449337045212</v>
      </c>
      <c r="Y214" s="55">
        <f t="shared" ca="1" si="76"/>
        <v>17.6891740533305</v>
      </c>
      <c r="Z214" s="55">
        <f t="shared" ca="1" si="69"/>
        <v>5.7921986297411578</v>
      </c>
      <c r="AA214">
        <f t="shared" ca="1" si="70"/>
        <v>56.356092012427709</v>
      </c>
      <c r="AB214">
        <f t="shared" ca="1" si="77"/>
        <v>49.712071884046722</v>
      </c>
      <c r="AC214">
        <f t="shared" ca="1" si="71"/>
        <v>0</v>
      </c>
      <c r="AD214">
        <f t="shared" ca="1" si="72"/>
        <v>0.53928981204756354</v>
      </c>
      <c r="AE214" s="83" t="e">
        <f ca="1"/>
        <v>#N/A</v>
      </c>
      <c r="AF214" s="55" t="e">
        <f t="shared" ca="1" si="81"/>
        <v>#N/A</v>
      </c>
      <c r="AG214" s="55" t="e">
        <f t="shared" ca="1" si="82"/>
        <v>#N/A</v>
      </c>
      <c r="AH214" s="55" t="e">
        <f t="shared" ca="1" si="83"/>
        <v>#N/A</v>
      </c>
      <c r="AI214" s="55" t="e">
        <f t="shared" ca="1" si="84"/>
        <v>#N/A</v>
      </c>
      <c r="AJ214" s="55" t="e">
        <f t="shared" ca="1" si="78"/>
        <v>#N/A</v>
      </c>
      <c r="AK214" s="55" t="e">
        <f t="shared" ca="1" si="79"/>
        <v>#N/A</v>
      </c>
      <c r="AL214" s="55" t="e">
        <f t="shared" ca="1" si="80"/>
        <v>#N/A</v>
      </c>
      <c r="AM214" s="55"/>
    </row>
    <row r="215" spans="18:39">
      <c r="R215" s="83">
        <f ca="1"/>
        <v>45208</v>
      </c>
      <c r="S215" s="55">
        <f t="shared" ca="1" si="73"/>
        <v>45208</v>
      </c>
      <c r="T215" s="55">
        <f t="shared" ca="1" si="66"/>
        <v>85.878551000274285</v>
      </c>
      <c r="U215" s="55">
        <f t="shared" ca="1" si="67"/>
        <v>32.001898157306364</v>
      </c>
      <c r="V215" s="55">
        <f t="shared" ca="1" si="68"/>
        <v>0</v>
      </c>
      <c r="W215" s="55">
        <f t="shared" ca="1" si="74"/>
        <v>-28.546036396422135</v>
      </c>
      <c r="X215" s="55">
        <f t="shared" ca="1" si="75"/>
        <v>28.594065600414453</v>
      </c>
      <c r="Y215" s="55">
        <f t="shared" ca="1" si="76"/>
        <v>17.696284983610134</v>
      </c>
      <c r="Z215" s="55">
        <f t="shared" ca="1" si="69"/>
        <v>5.6897196139366386</v>
      </c>
      <c r="AA215">
        <f t="shared" ca="1" si="70"/>
        <v>57.648887554142121</v>
      </c>
      <c r="AB215">
        <f t="shared" ca="1" si="77"/>
        <v>49.712071884046722</v>
      </c>
      <c r="AC215">
        <f t="shared" ca="1" si="71"/>
        <v>0</v>
      </c>
      <c r="AD215">
        <f t="shared" ca="1" si="72"/>
        <v>0.54764047229467228</v>
      </c>
      <c r="AE215" s="83" t="e">
        <f ca="1"/>
        <v>#N/A</v>
      </c>
      <c r="AF215" s="55" t="e">
        <f t="shared" ca="1" si="81"/>
        <v>#N/A</v>
      </c>
      <c r="AG215" s="55" t="e">
        <f t="shared" ca="1" si="82"/>
        <v>#N/A</v>
      </c>
      <c r="AH215" s="55" t="e">
        <f t="shared" ca="1" si="83"/>
        <v>#N/A</v>
      </c>
      <c r="AI215" s="55" t="e">
        <f t="shared" ca="1" si="84"/>
        <v>#N/A</v>
      </c>
      <c r="AJ215" s="55" t="e">
        <f t="shared" ca="1" si="78"/>
        <v>#N/A</v>
      </c>
      <c r="AK215" s="55" t="e">
        <f t="shared" ca="1" si="79"/>
        <v>#N/A</v>
      </c>
      <c r="AL215" s="55" t="e">
        <f t="shared" ca="1" si="80"/>
        <v>#N/A</v>
      </c>
      <c r="AM215" s="55"/>
    </row>
    <row r="216" spans="18:39">
      <c r="R216" s="83">
        <f ca="1"/>
        <v>45209</v>
      </c>
      <c r="S216" s="55">
        <f t="shared" ca="1" si="73"/>
        <v>45209</v>
      </c>
      <c r="T216" s="55">
        <f t="shared" ca="1" si="66"/>
        <v>85.575558173774994</v>
      </c>
      <c r="U216" s="55">
        <f t="shared" ca="1" si="67"/>
        <v>32.410390326211207</v>
      </c>
      <c r="V216" s="55">
        <f t="shared" ca="1" si="68"/>
        <v>0</v>
      </c>
      <c r="W216" s="55">
        <f t="shared" ca="1" si="74"/>
        <v>-28.546036396422135</v>
      </c>
      <c r="X216" s="55">
        <f t="shared" ca="1" si="75"/>
        <v>28.69257641425305</v>
      </c>
      <c r="Y216" s="55">
        <f t="shared" ca="1" si="76"/>
        <v>17.703273512177077</v>
      </c>
      <c r="Z216" s="55">
        <f t="shared" ca="1" si="69"/>
        <v>5.7188903646678</v>
      </c>
      <c r="AA216">
        <f t="shared" ca="1" si="70"/>
        <v>58.179878722494273</v>
      </c>
      <c r="AB216">
        <f t="shared" ca="1" si="77"/>
        <v>49.712071884046722</v>
      </c>
      <c r="AC216">
        <f t="shared" ca="1" si="71"/>
        <v>0</v>
      </c>
      <c r="AD216">
        <f t="shared" ca="1" si="72"/>
        <v>0.55590698026044427</v>
      </c>
      <c r="AE216" s="83" t="e">
        <f ca="1"/>
        <v>#N/A</v>
      </c>
      <c r="AF216" s="55" t="e">
        <f t="shared" ca="1" si="81"/>
        <v>#N/A</v>
      </c>
      <c r="AG216" s="55" t="e">
        <f t="shared" ca="1" si="82"/>
        <v>#N/A</v>
      </c>
      <c r="AH216" s="55" t="e">
        <f t="shared" ca="1" si="83"/>
        <v>#N/A</v>
      </c>
      <c r="AI216" s="55" t="e">
        <f t="shared" ca="1" si="84"/>
        <v>#N/A</v>
      </c>
      <c r="AJ216" s="55" t="e">
        <f t="shared" ca="1" si="78"/>
        <v>#N/A</v>
      </c>
      <c r="AK216" s="55" t="e">
        <f t="shared" ca="1" si="79"/>
        <v>#N/A</v>
      </c>
      <c r="AL216" s="55" t="e">
        <f t="shared" ca="1" si="80"/>
        <v>#N/A</v>
      </c>
      <c r="AM216" s="55"/>
    </row>
    <row r="217" spans="18:39">
      <c r="R217" s="83">
        <f ca="1"/>
        <v>45210</v>
      </c>
      <c r="S217" s="55">
        <f t="shared" ca="1" si="73"/>
        <v>45210</v>
      </c>
      <c r="T217" s="55">
        <f t="shared" ca="1" si="66"/>
        <v>85.244405234931577</v>
      </c>
      <c r="U217" s="55">
        <f t="shared" ca="1" si="67"/>
        <v>32.852346956870733</v>
      </c>
      <c r="V217" s="55">
        <f t="shared" ca="1" si="68"/>
        <v>0</v>
      </c>
      <c r="W217" s="55">
        <f t="shared" ca="1" si="74"/>
        <v>-28.546036396422135</v>
      </c>
      <c r="X217" s="55">
        <f t="shared" ca="1" si="75"/>
        <v>28.796373458169906</v>
      </c>
      <c r="Y217" s="55">
        <f t="shared" ca="1" si="76"/>
        <v>17.710280160076337</v>
      </c>
      <c r="Z217" s="55">
        <f t="shared" ca="1" si="69"/>
        <v>6.1873928292333602</v>
      </c>
      <c r="AA217">
        <f t="shared" ca="1" si="70"/>
        <v>56.838996120248964</v>
      </c>
      <c r="AB217">
        <f t="shared" ca="1" si="77"/>
        <v>49.712071884046722</v>
      </c>
      <c r="AC217">
        <f t="shared" ca="1" si="71"/>
        <v>0</v>
      </c>
      <c r="AD217">
        <f t="shared" ca="1" si="72"/>
        <v>0.56470628402523326</v>
      </c>
      <c r="AE217" s="83" t="e">
        <f ca="1"/>
        <v>#N/A</v>
      </c>
      <c r="AF217" s="55" t="e">
        <f t="shared" ca="1" si="81"/>
        <v>#N/A</v>
      </c>
      <c r="AG217" s="55" t="e">
        <f t="shared" ca="1" si="82"/>
        <v>#N/A</v>
      </c>
      <c r="AH217" s="55" t="e">
        <f t="shared" ca="1" si="83"/>
        <v>#N/A</v>
      </c>
      <c r="AI217" s="55" t="e">
        <f t="shared" ca="1" si="84"/>
        <v>#N/A</v>
      </c>
      <c r="AJ217" s="55" t="e">
        <f t="shared" ca="1" si="78"/>
        <v>#N/A</v>
      </c>
      <c r="AK217" s="55" t="e">
        <f t="shared" ca="1" si="79"/>
        <v>#N/A</v>
      </c>
      <c r="AL217" s="55" t="e">
        <f t="shared" ca="1" si="80"/>
        <v>#N/A</v>
      </c>
      <c r="AM217" s="55"/>
    </row>
    <row r="218" spans="18:39">
      <c r="R218" s="83">
        <f ca="1"/>
        <v>45211</v>
      </c>
      <c r="S218" s="55">
        <f t="shared" ca="1" si="73"/>
        <v>45211</v>
      </c>
      <c r="T218" s="55">
        <f t="shared" ca="1" si="66"/>
        <v>84.865152990068594</v>
      </c>
      <c r="U218" s="55">
        <f t="shared" ca="1" si="67"/>
        <v>33.352836699607622</v>
      </c>
      <c r="V218" s="55">
        <f t="shared" ca="1" si="68"/>
        <v>0</v>
      </c>
      <c r="W218" s="55">
        <f t="shared" ca="1" si="74"/>
        <v>-28.546036396422135</v>
      </c>
      <c r="X218" s="55">
        <f t="shared" ca="1" si="75"/>
        <v>28.910425037914671</v>
      </c>
      <c r="Y218" s="55">
        <f t="shared" ca="1" si="76"/>
        <v>17.717466078205483</v>
      </c>
      <c r="Z218" s="55">
        <f t="shared" ca="1" si="69"/>
        <v>7.0068563983164438</v>
      </c>
      <c r="AA218">
        <f t="shared" ca="1" si="70"/>
        <v>54.642025625360112</v>
      </c>
      <c r="AB218">
        <f t="shared" ca="1" si="77"/>
        <v>49.712071884046722</v>
      </c>
      <c r="AC218">
        <f t="shared" ca="1" si="71"/>
        <v>0</v>
      </c>
      <c r="AD218">
        <f t="shared" ca="1" si="72"/>
        <v>0.57448871601632145</v>
      </c>
      <c r="AE218" s="83" t="e">
        <f ca="1"/>
        <v>#N/A</v>
      </c>
      <c r="AF218" s="55" t="e">
        <f t="shared" ca="1" si="81"/>
        <v>#N/A</v>
      </c>
      <c r="AG218" s="55" t="e">
        <f t="shared" ca="1" si="82"/>
        <v>#N/A</v>
      </c>
      <c r="AH218" s="55" t="e">
        <f t="shared" ca="1" si="83"/>
        <v>#N/A</v>
      </c>
      <c r="AI218" s="55" t="e">
        <f t="shared" ca="1" si="84"/>
        <v>#N/A</v>
      </c>
      <c r="AJ218" s="55" t="e">
        <f t="shared" ca="1" si="78"/>
        <v>#N/A</v>
      </c>
      <c r="AK218" s="55" t="e">
        <f t="shared" ca="1" si="79"/>
        <v>#N/A</v>
      </c>
      <c r="AL218" s="55" t="e">
        <f t="shared" ca="1" si="80"/>
        <v>#N/A</v>
      </c>
      <c r="AM218" s="55"/>
    </row>
    <row r="219" spans="18:39">
      <c r="R219" s="83">
        <f ca="1"/>
        <v>45212</v>
      </c>
      <c r="S219" s="55">
        <f t="shared" ca="1" si="73"/>
        <v>45212</v>
      </c>
      <c r="T219" s="55">
        <f t="shared" ca="1" si="66"/>
        <v>84.497065185761471</v>
      </c>
      <c r="U219" s="55">
        <f t="shared" ca="1" si="67"/>
        <v>33.836683827748715</v>
      </c>
      <c r="V219" s="55">
        <f t="shared" ca="1" si="68"/>
        <v>0</v>
      </c>
      <c r="W219" s="55">
        <f t="shared" ca="1" si="74"/>
        <v>-28.546036396422135</v>
      </c>
      <c r="X219" s="55">
        <f t="shared" ca="1" si="75"/>
        <v>29.019360090764739</v>
      </c>
      <c r="Y219" s="55">
        <f t="shared" ca="1" si="76"/>
        <v>17.724290349189388</v>
      </c>
      <c r="Z219" s="55">
        <f t="shared" ca="1" si="69"/>
        <v>6.7738597939753049</v>
      </c>
      <c r="AA219">
        <f t="shared" ca="1" si="70"/>
        <v>55.189287573178859</v>
      </c>
      <c r="AB219">
        <f t="shared" ca="1" si="77"/>
        <v>49.712071884046722</v>
      </c>
      <c r="AC219">
        <f t="shared" ca="1" si="71"/>
        <v>0</v>
      </c>
      <c r="AD219">
        <f t="shared" ca="1" si="72"/>
        <v>0.58376113582569622</v>
      </c>
      <c r="AE219" s="83" t="e">
        <f ca="1"/>
        <v>#N/A</v>
      </c>
      <c r="AF219" s="55" t="e">
        <f t="shared" ca="1" si="81"/>
        <v>#N/A</v>
      </c>
      <c r="AG219" s="55" t="e">
        <f t="shared" ca="1" si="82"/>
        <v>#N/A</v>
      </c>
      <c r="AH219" s="55" t="e">
        <f t="shared" ca="1" si="83"/>
        <v>#N/A</v>
      </c>
      <c r="AI219" s="55" t="e">
        <f t="shared" ca="1" si="84"/>
        <v>#N/A</v>
      </c>
      <c r="AJ219" s="55" t="e">
        <f t="shared" ca="1" si="78"/>
        <v>#N/A</v>
      </c>
      <c r="AK219" s="55" t="e">
        <f t="shared" ca="1" si="79"/>
        <v>#N/A</v>
      </c>
      <c r="AL219" s="55" t="e">
        <f t="shared" ca="1" si="80"/>
        <v>#N/A</v>
      </c>
      <c r="AM219" s="55"/>
    </row>
    <row r="220" spans="18:39">
      <c r="R220" s="83">
        <f ca="1"/>
        <v>45213</v>
      </c>
      <c r="S220" s="55">
        <f t="shared" ca="1" si="73"/>
        <v>45213</v>
      </c>
      <c r="T220" s="55">
        <f t="shared" ca="1" si="66"/>
        <v>84.13182497906169</v>
      </c>
      <c r="U220" s="55">
        <f t="shared" ca="1" si="67"/>
        <v>34.31162245002723</v>
      </c>
      <c r="V220" s="55">
        <f t="shared" ca="1" si="68"/>
        <v>0</v>
      </c>
      <c r="W220" s="55">
        <f t="shared" ca="1" si="74"/>
        <v>-28.546036396422135</v>
      </c>
      <c r="X220" s="55">
        <f t="shared" ca="1" si="75"/>
        <v>29.122747351291025</v>
      </c>
      <c r="Y220" s="55">
        <f t="shared" ca="1" si="76"/>
        <v>17.730601504241832</v>
      </c>
      <c r="Z220" s="55">
        <f t="shared" ca="1" si="69"/>
        <v>6.6491407118992072</v>
      </c>
      <c r="AA220">
        <f t="shared" ca="1" si="70"/>
        <v>53.480678409790976</v>
      </c>
      <c r="AB220">
        <f t="shared" ca="1" si="77"/>
        <v>49.712071884046722</v>
      </c>
      <c r="AC220">
        <f t="shared" ca="1" si="71"/>
        <v>0</v>
      </c>
      <c r="AD220">
        <f t="shared" ca="1" si="72"/>
        <v>0.59268593078443188</v>
      </c>
      <c r="AE220" s="83" t="e">
        <f ca="1"/>
        <v>#N/A</v>
      </c>
      <c r="AF220" s="55" t="e">
        <f t="shared" ca="1" si="81"/>
        <v>#N/A</v>
      </c>
      <c r="AG220" s="55" t="e">
        <f t="shared" ca="1" si="82"/>
        <v>#N/A</v>
      </c>
      <c r="AH220" s="55" t="e">
        <f t="shared" ca="1" si="83"/>
        <v>#N/A</v>
      </c>
      <c r="AI220" s="55" t="e">
        <f t="shared" ca="1" si="84"/>
        <v>#N/A</v>
      </c>
      <c r="AJ220" s="55" t="e">
        <f t="shared" ca="1" si="78"/>
        <v>#N/A</v>
      </c>
      <c r="AK220" s="55" t="e">
        <f t="shared" ca="1" si="79"/>
        <v>#N/A</v>
      </c>
      <c r="AL220" s="55" t="e">
        <f t="shared" ca="1" si="80"/>
        <v>#N/A</v>
      </c>
      <c r="AM220" s="55"/>
    </row>
    <row r="221" spans="18:39">
      <c r="R221" s="83">
        <f ca="1"/>
        <v>45214</v>
      </c>
      <c r="S221" s="55">
        <f t="shared" ca="1" si="73"/>
        <v>45214</v>
      </c>
      <c r="T221" s="55">
        <f t="shared" ca="1" si="66"/>
        <v>83.766040252827366</v>
      </c>
      <c r="U221" s="55">
        <f t="shared" ca="1" si="67"/>
        <v>34.781045829265778</v>
      </c>
      <c r="V221" s="55">
        <f t="shared" ca="1" si="68"/>
        <v>0</v>
      </c>
      <c r="W221" s="55">
        <f t="shared" ca="1" si="74"/>
        <v>-28.546036396422135</v>
      </c>
      <c r="X221" s="55">
        <f t="shared" ca="1" si="75"/>
        <v>29.220625430235856</v>
      </c>
      <c r="Y221" s="55">
        <f t="shared" ca="1" si="76"/>
        <v>17.73636207830123</v>
      </c>
      <c r="Z221" s="55">
        <f t="shared" ca="1" si="69"/>
        <v>6.5719273093396851</v>
      </c>
      <c r="AA221">
        <f t="shared" ca="1" si="70"/>
        <v>50.760119609410523</v>
      </c>
      <c r="AB221">
        <f t="shared" ca="1" si="77"/>
        <v>49.712071884046722</v>
      </c>
      <c r="AC221">
        <f t="shared" ca="1" si="71"/>
        <v>0</v>
      </c>
      <c r="AD221">
        <f t="shared" ca="1" si="72"/>
        <v>0.60133493650852343</v>
      </c>
      <c r="AE221" s="83" t="e">
        <f ca="1"/>
        <v>#N/A</v>
      </c>
      <c r="AF221" s="55" t="e">
        <f t="shared" ca="1" si="81"/>
        <v>#N/A</v>
      </c>
      <c r="AG221" s="55" t="e">
        <f t="shared" ca="1" si="82"/>
        <v>#N/A</v>
      </c>
      <c r="AH221" s="55" t="e">
        <f t="shared" ca="1" si="83"/>
        <v>#N/A</v>
      </c>
      <c r="AI221" s="55" t="e">
        <f t="shared" ca="1" si="84"/>
        <v>#N/A</v>
      </c>
      <c r="AJ221" s="55" t="e">
        <f t="shared" ca="1" si="78"/>
        <v>#N/A</v>
      </c>
      <c r="AK221" s="55" t="e">
        <f t="shared" ca="1" si="79"/>
        <v>#N/A</v>
      </c>
      <c r="AL221" s="55" t="e">
        <f t="shared" ca="1" si="80"/>
        <v>#N/A</v>
      </c>
      <c r="AM221" s="55"/>
    </row>
    <row r="222" spans="18:39">
      <c r="R222" s="83">
        <f ca="1"/>
        <v>45215</v>
      </c>
      <c r="S222" s="55">
        <f t="shared" ca="1" si="73"/>
        <v>45215</v>
      </c>
      <c r="T222" s="55">
        <f t="shared" ca="1" si="66"/>
        <v>83.371030268810401</v>
      </c>
      <c r="U222" s="55">
        <f t="shared" ca="1" si="67"/>
        <v>35.281283509115696</v>
      </c>
      <c r="V222" s="55">
        <f t="shared" ca="1" si="68"/>
        <v>0</v>
      </c>
      <c r="W222" s="55">
        <f t="shared" ca="1" si="74"/>
        <v>-28.546036396422135</v>
      </c>
      <c r="X222" s="55">
        <f t="shared" ca="1" si="75"/>
        <v>29.320354384688585</v>
      </c>
      <c r="Y222" s="55">
        <f t="shared" ca="1" si="76"/>
        <v>17.741860819681456</v>
      </c>
      <c r="Z222" s="55">
        <f t="shared" ca="1" si="69"/>
        <v>7.003327517898839</v>
      </c>
      <c r="AA222">
        <f t="shared" ca="1" si="70"/>
        <v>47.516795088730873</v>
      </c>
      <c r="AB222">
        <f t="shared" ca="1" si="77"/>
        <v>49.712071884046722</v>
      </c>
      <c r="AC222">
        <f t="shared" ca="1" si="71"/>
        <v>0</v>
      </c>
      <c r="AD222">
        <f t="shared" ca="1" si="72"/>
        <v>0.61036375033891066</v>
      </c>
      <c r="AE222" s="83" t="e">
        <f ca="1"/>
        <v>#N/A</v>
      </c>
      <c r="AF222" s="55" t="e">
        <f t="shared" ca="1" si="81"/>
        <v>#N/A</v>
      </c>
      <c r="AG222" s="55" t="e">
        <f t="shared" ca="1" si="82"/>
        <v>#N/A</v>
      </c>
      <c r="AH222" s="55" t="e">
        <f t="shared" ca="1" si="83"/>
        <v>#N/A</v>
      </c>
      <c r="AI222" s="55" t="e">
        <f t="shared" ca="1" si="84"/>
        <v>#N/A</v>
      </c>
      <c r="AJ222" s="55" t="e">
        <f t="shared" ca="1" si="78"/>
        <v>#N/A</v>
      </c>
      <c r="AK222" s="55" t="e">
        <f t="shared" ca="1" si="79"/>
        <v>#N/A</v>
      </c>
      <c r="AL222" s="55" t="e">
        <f t="shared" ca="1" si="80"/>
        <v>#N/A</v>
      </c>
      <c r="AM222" s="55"/>
    </row>
    <row r="223" spans="18:39">
      <c r="R223" s="83">
        <f ca="1"/>
        <v>45216</v>
      </c>
      <c r="S223" s="55">
        <f t="shared" ca="1" si="73"/>
        <v>45216</v>
      </c>
      <c r="T223" s="55">
        <f t="shared" ca="1" si="66"/>
        <v>82.938447828671016</v>
      </c>
      <c r="U223" s="55">
        <f t="shared" ca="1" si="67"/>
        <v>35.823730171658241</v>
      </c>
      <c r="V223" s="55">
        <f t="shared" ca="1" si="68"/>
        <v>0</v>
      </c>
      <c r="W223" s="55">
        <f t="shared" ca="1" si="74"/>
        <v>-28.546036396422135</v>
      </c>
      <c r="X223" s="55">
        <f t="shared" ca="1" si="75"/>
        <v>29.424825632126034</v>
      </c>
      <c r="Y223" s="55">
        <f t="shared" ca="1" si="76"/>
        <v>17.747253794647172</v>
      </c>
      <c r="Z223" s="55">
        <f t="shared" ca="1" si="69"/>
        <v>7.5942532755956336</v>
      </c>
      <c r="AA223">
        <f t="shared" ca="1" si="70"/>
        <v>44.96478785815021</v>
      </c>
      <c r="AB223">
        <f t="shared" ca="1" si="77"/>
        <v>49.712071884046722</v>
      </c>
      <c r="AC223">
        <f t="shared" ca="1" si="71"/>
        <v>0</v>
      </c>
      <c r="AD223">
        <f t="shared" ca="1" si="72"/>
        <v>0.61993617990401961</v>
      </c>
      <c r="AE223" s="83" t="e">
        <f ca="1"/>
        <v>#N/A</v>
      </c>
      <c r="AF223" s="55" t="e">
        <f t="shared" ca="1" si="81"/>
        <v>#N/A</v>
      </c>
      <c r="AG223" s="55" t="e">
        <f t="shared" ca="1" si="82"/>
        <v>#N/A</v>
      </c>
      <c r="AH223" s="55" t="e">
        <f t="shared" ca="1" si="83"/>
        <v>#N/A</v>
      </c>
      <c r="AI223" s="55" t="e">
        <f t="shared" ca="1" si="84"/>
        <v>#N/A</v>
      </c>
      <c r="AJ223" s="55" t="e">
        <f t="shared" ca="1" si="78"/>
        <v>#N/A</v>
      </c>
      <c r="AK223" s="55" t="e">
        <f t="shared" ca="1" si="79"/>
        <v>#N/A</v>
      </c>
      <c r="AL223" s="55" t="e">
        <f t="shared" ca="1" si="80"/>
        <v>#N/A</v>
      </c>
      <c r="AM223" s="55"/>
    </row>
    <row r="224" spans="18:39">
      <c r="R224" s="83">
        <f ca="1"/>
        <v>45217</v>
      </c>
      <c r="S224" s="55">
        <f t="shared" ca="1" si="73"/>
        <v>45217</v>
      </c>
      <c r="T224" s="55">
        <f t="shared" ca="1" si="66"/>
        <v>82.515459757047793</v>
      </c>
      <c r="U224" s="55">
        <f t="shared" ca="1" si="67"/>
        <v>36.346235237253254</v>
      </c>
      <c r="V224" s="55">
        <f t="shared" ca="1" si="68"/>
        <v>0</v>
      </c>
      <c r="W224" s="55">
        <f t="shared" ca="1" si="74"/>
        <v>-28.546036396422135</v>
      </c>
      <c r="X224" s="55">
        <f t="shared" ca="1" si="75"/>
        <v>29.519708495233154</v>
      </c>
      <c r="Y224" s="55">
        <f t="shared" ca="1" si="76"/>
        <v>17.751887925511852</v>
      </c>
      <c r="Z224" s="55">
        <f t="shared" ca="1" si="69"/>
        <v>7.3150709183301785</v>
      </c>
      <c r="AA224">
        <f t="shared" ca="1" si="70"/>
        <v>41.027621368984512</v>
      </c>
      <c r="AB224">
        <f t="shared" ca="1" si="77"/>
        <v>49.712071884046722</v>
      </c>
      <c r="AC224">
        <f t="shared" ca="1" si="71"/>
        <v>0</v>
      </c>
      <c r="AD224">
        <f t="shared" ca="1" si="72"/>
        <v>0.62894335021022829</v>
      </c>
      <c r="AE224" s="83" t="e">
        <f ca="1"/>
        <v>#N/A</v>
      </c>
      <c r="AF224" s="55" t="e">
        <f t="shared" ca="1" si="81"/>
        <v>#N/A</v>
      </c>
      <c r="AG224" s="55" t="e">
        <f t="shared" ca="1" si="82"/>
        <v>#N/A</v>
      </c>
      <c r="AH224" s="55" t="e">
        <f t="shared" ca="1" si="83"/>
        <v>#N/A</v>
      </c>
      <c r="AI224" s="55" t="e">
        <f t="shared" ca="1" si="84"/>
        <v>#N/A</v>
      </c>
      <c r="AJ224" s="55" t="e">
        <f t="shared" ca="1" si="78"/>
        <v>#N/A</v>
      </c>
      <c r="AK224" s="55" t="e">
        <f t="shared" ca="1" si="79"/>
        <v>#N/A</v>
      </c>
      <c r="AL224" s="55" t="e">
        <f t="shared" ca="1" si="80"/>
        <v>#N/A</v>
      </c>
      <c r="AM224" s="55"/>
    </row>
    <row r="225" spans="18:39">
      <c r="R225" s="83">
        <f ca="1"/>
        <v>45218</v>
      </c>
      <c r="S225" s="55">
        <f t="shared" ca="1" si="73"/>
        <v>45218</v>
      </c>
      <c r="T225" s="55">
        <f t="shared" ca="1" si="66"/>
        <v>82.085055789081395</v>
      </c>
      <c r="U225" s="55">
        <f t="shared" ca="1" si="67"/>
        <v>36.874502423562866</v>
      </c>
      <c r="V225" s="55">
        <f t="shared" ca="1" si="68"/>
        <v>0</v>
      </c>
      <c r="W225" s="55">
        <f t="shared" ca="1" si="74"/>
        <v>-28.546036396422135</v>
      </c>
      <c r="X225" s="55">
        <f t="shared" ca="1" si="75"/>
        <v>29.613159402844083</v>
      </c>
      <c r="Y225" s="55">
        <f t="shared" ca="1" si="76"/>
        <v>17.756300236244151</v>
      </c>
      <c r="Z225" s="55">
        <f t="shared" ca="1" si="69"/>
        <v>7.3957406083345774</v>
      </c>
      <c r="AA225">
        <f t="shared" ca="1" si="70"/>
        <v>39.785557193689158</v>
      </c>
      <c r="AB225">
        <f t="shared" ca="1" si="77"/>
        <v>49.712071884046722</v>
      </c>
      <c r="AC225">
        <f t="shared" ca="1" si="71"/>
        <v>0</v>
      </c>
      <c r="AD225">
        <f t="shared" ca="1" si="72"/>
        <v>0.63783872803431596</v>
      </c>
      <c r="AE225" s="83" t="e">
        <f ca="1"/>
        <v>#N/A</v>
      </c>
      <c r="AF225" s="55" t="e">
        <f t="shared" ca="1" si="81"/>
        <v>#N/A</v>
      </c>
      <c r="AG225" s="55" t="e">
        <f t="shared" ca="1" si="82"/>
        <v>#N/A</v>
      </c>
      <c r="AH225" s="55" t="e">
        <f t="shared" ca="1" si="83"/>
        <v>#N/A</v>
      </c>
      <c r="AI225" s="55" t="e">
        <f t="shared" ca="1" si="84"/>
        <v>#N/A</v>
      </c>
      <c r="AJ225" s="55" t="e">
        <f t="shared" ca="1" si="78"/>
        <v>#N/A</v>
      </c>
      <c r="AK225" s="55" t="e">
        <f t="shared" ca="1" si="79"/>
        <v>#N/A</v>
      </c>
      <c r="AL225" s="55" t="e">
        <f t="shared" ca="1" si="80"/>
        <v>#N/A</v>
      </c>
      <c r="AM225" s="55"/>
    </row>
    <row r="226" spans="18:39">
      <c r="R226" s="83">
        <f ca="1"/>
        <v>45219</v>
      </c>
      <c r="S226" s="55">
        <f t="shared" ca="1" si="73"/>
        <v>45219</v>
      </c>
      <c r="T226" s="55">
        <f t="shared" ca="1" si="66"/>
        <v>81.641457029286244</v>
      </c>
      <c r="U226" s="55">
        <f t="shared" ca="1" si="67"/>
        <v>37.412767077783016</v>
      </c>
      <c r="V226" s="55">
        <f t="shared" ca="1" si="68"/>
        <v>0</v>
      </c>
      <c r="W226" s="55">
        <f t="shared" ca="1" si="74"/>
        <v>-28.546036396422135</v>
      </c>
      <c r="X226" s="55">
        <f t="shared" ca="1" si="75"/>
        <v>29.703858811692182</v>
      </c>
      <c r="Y226" s="55">
        <f t="shared" ca="1" si="76"/>
        <v>17.76026672182104</v>
      </c>
      <c r="Z226" s="55">
        <f t="shared" ca="1" si="69"/>
        <v>7.5357051590820987</v>
      </c>
      <c r="AA226">
        <f t="shared" ca="1" si="70"/>
        <v>36.163594330738491</v>
      </c>
      <c r="AB226">
        <f t="shared" ca="1" si="77"/>
        <v>49.712071884046722</v>
      </c>
      <c r="AC226">
        <f t="shared" ca="1" si="71"/>
        <v>0</v>
      </c>
      <c r="AD226">
        <f t="shared" ca="1" si="72"/>
        <v>0.6466862168618247</v>
      </c>
      <c r="AE226" s="83" t="e">
        <f ca="1"/>
        <v>#N/A</v>
      </c>
      <c r="AF226" s="55" t="e">
        <f t="shared" ca="1" si="81"/>
        <v>#N/A</v>
      </c>
      <c r="AG226" s="55" t="e">
        <f t="shared" ca="1" si="82"/>
        <v>#N/A</v>
      </c>
      <c r="AH226" s="55" t="e">
        <f t="shared" ca="1" si="83"/>
        <v>#N/A</v>
      </c>
      <c r="AI226" s="55" t="e">
        <f t="shared" ca="1" si="84"/>
        <v>#N/A</v>
      </c>
      <c r="AJ226" s="55" t="e">
        <f t="shared" ca="1" si="78"/>
        <v>#N/A</v>
      </c>
      <c r="AK226" s="55" t="e">
        <f t="shared" ca="1" si="79"/>
        <v>#N/A</v>
      </c>
      <c r="AL226" s="55" t="e">
        <f t="shared" ca="1" si="80"/>
        <v>#N/A</v>
      </c>
      <c r="AM226" s="55"/>
    </row>
    <row r="227" spans="18:39">
      <c r="R227" s="83">
        <f ca="1"/>
        <v>45220</v>
      </c>
      <c r="S227" s="55">
        <f t="shared" ca="1" si="73"/>
        <v>45220</v>
      </c>
      <c r="T227" s="55">
        <f t="shared" ca="1" si="66"/>
        <v>81.145992898112752</v>
      </c>
      <c r="U227" s="55">
        <f t="shared" ca="1" si="67"/>
        <v>38.009604042362362</v>
      </c>
      <c r="V227" s="55">
        <f t="shared" ca="1" si="68"/>
        <v>0</v>
      </c>
      <c r="W227" s="55">
        <f t="shared" ca="1" si="74"/>
        <v>-28.546036396422135</v>
      </c>
      <c r="X227" s="55">
        <f t="shared" ca="1" si="75"/>
        <v>29.801342318409418</v>
      </c>
      <c r="Y227" s="55">
        <f t="shared" ca="1" si="76"/>
        <v>17.764156048509644</v>
      </c>
      <c r="Z227" s="55">
        <f t="shared" ca="1" si="69"/>
        <v>8.3557175041108422</v>
      </c>
      <c r="AA227">
        <f t="shared" ca="1" si="70"/>
        <v>33.381530103304968</v>
      </c>
      <c r="AB227">
        <f t="shared" ca="1" si="77"/>
        <v>49.712071884046722</v>
      </c>
      <c r="AC227">
        <f t="shared" ca="1" si="71"/>
        <v>0</v>
      </c>
      <c r="AD227">
        <f t="shared" ca="1" si="72"/>
        <v>0.6562442762179963</v>
      </c>
      <c r="AE227" s="83" t="e">
        <f ca="1"/>
        <v>#N/A</v>
      </c>
      <c r="AF227" s="55" t="e">
        <f t="shared" ca="1" si="81"/>
        <v>#N/A</v>
      </c>
      <c r="AG227" s="55" t="e">
        <f t="shared" ca="1" si="82"/>
        <v>#N/A</v>
      </c>
      <c r="AH227" s="55" t="e">
        <f t="shared" ca="1" si="83"/>
        <v>#N/A</v>
      </c>
      <c r="AI227" s="55" t="e">
        <f t="shared" ca="1" si="84"/>
        <v>#N/A</v>
      </c>
      <c r="AJ227" s="55" t="e">
        <f t="shared" ca="1" si="78"/>
        <v>#N/A</v>
      </c>
      <c r="AK227" s="55" t="e">
        <f t="shared" ca="1" si="79"/>
        <v>#N/A</v>
      </c>
      <c r="AL227" s="55" t="e">
        <f t="shared" ca="1" si="80"/>
        <v>#N/A</v>
      </c>
      <c r="AM227" s="55"/>
    </row>
    <row r="228" spans="18:39">
      <c r="R228" s="83">
        <f ca="1"/>
        <v>45221</v>
      </c>
      <c r="S228" s="55">
        <f t="shared" ca="1" si="73"/>
        <v>45221</v>
      </c>
      <c r="T228" s="55">
        <f t="shared" ca="1" si="66"/>
        <v>80.681822183605618</v>
      </c>
      <c r="U228" s="55">
        <f t="shared" ca="1" si="67"/>
        <v>38.563837116008628</v>
      </c>
      <c r="V228" s="55">
        <f t="shared" ca="1" si="68"/>
        <v>0</v>
      </c>
      <c r="W228" s="55">
        <f t="shared" ca="1" si="74"/>
        <v>-28.546036396422135</v>
      </c>
      <c r="X228" s="55">
        <f t="shared" ca="1" si="75"/>
        <v>29.888064763831565</v>
      </c>
      <c r="Y228" s="55">
        <f t="shared" ca="1" si="76"/>
        <v>17.767495962226636</v>
      </c>
      <c r="Z228" s="55">
        <f t="shared" ca="1" si="69"/>
        <v>7.7592630310477233</v>
      </c>
      <c r="AA228">
        <f t="shared" ca="1" si="70"/>
        <v>31.29097166800365</v>
      </c>
      <c r="AB228">
        <f t="shared" ca="1" si="77"/>
        <v>49.712071884046722</v>
      </c>
      <c r="AC228">
        <f t="shared" ca="1" si="71"/>
        <v>0</v>
      </c>
      <c r="AD228">
        <f t="shared" ca="1" si="72"/>
        <v>0.66488576900603302</v>
      </c>
      <c r="AE228" s="83" t="e">
        <f ca="1"/>
        <v>#N/A</v>
      </c>
      <c r="AF228" s="55" t="e">
        <f t="shared" ca="1" si="81"/>
        <v>#N/A</v>
      </c>
      <c r="AG228" s="55" t="e">
        <f t="shared" ca="1" si="82"/>
        <v>#N/A</v>
      </c>
      <c r="AH228" s="55" t="e">
        <f t="shared" ca="1" si="83"/>
        <v>#N/A</v>
      </c>
      <c r="AI228" s="55" t="e">
        <f t="shared" ca="1" si="84"/>
        <v>#N/A</v>
      </c>
      <c r="AJ228" s="55" t="e">
        <f t="shared" ca="1" si="78"/>
        <v>#N/A</v>
      </c>
      <c r="AK228" s="55" t="e">
        <f t="shared" ca="1" si="79"/>
        <v>#N/A</v>
      </c>
      <c r="AL228" s="55" t="e">
        <f t="shared" ca="1" si="80"/>
        <v>#N/A</v>
      </c>
      <c r="AM228" s="55"/>
    </row>
    <row r="229" spans="18:39">
      <c r="R229" s="83">
        <f ca="1"/>
        <v>45222</v>
      </c>
      <c r="S229" s="55">
        <f t="shared" ca="1" si="73"/>
        <v>45222</v>
      </c>
      <c r="T229" s="55">
        <f t="shared" ca="1" si="66"/>
        <v>80.212071006044084</v>
      </c>
      <c r="U229" s="55">
        <f t="shared" ca="1" si="67"/>
        <v>39.122202423202296</v>
      </c>
      <c r="V229" s="55">
        <f t="shared" ca="1" si="68"/>
        <v>0</v>
      </c>
      <c r="W229" s="55">
        <f t="shared" ca="1" si="74"/>
        <v>-28.546036396422135</v>
      </c>
      <c r="X229" s="55">
        <f t="shared" ca="1" si="75"/>
        <v>29.973493973733127</v>
      </c>
      <c r="Y229" s="55">
        <f t="shared" ca="1" si="76"/>
        <v>17.770680881957212</v>
      </c>
      <c r="Z229" s="55">
        <f t="shared" ca="1" si="69"/>
        <v>7.8171143007113528</v>
      </c>
      <c r="AA229">
        <f t="shared" ca="1" si="70"/>
        <v>30.354229691211231</v>
      </c>
      <c r="AB229">
        <f t="shared" ca="1" si="77"/>
        <v>49.712071884046722</v>
      </c>
      <c r="AC229">
        <f t="shared" ca="1" si="71"/>
        <v>0</v>
      </c>
      <c r="AD229">
        <f t="shared" ca="1" si="72"/>
        <v>0.67336698226266034</v>
      </c>
      <c r="AE229" s="83" t="e">
        <f ca="1"/>
        <v>#N/A</v>
      </c>
      <c r="AF229" s="55" t="e">
        <f t="shared" ca="1" si="81"/>
        <v>#N/A</v>
      </c>
      <c r="AG229" s="55" t="e">
        <f t="shared" ca="1" si="82"/>
        <v>#N/A</v>
      </c>
      <c r="AH229" s="55" t="e">
        <f t="shared" ca="1" si="83"/>
        <v>#N/A</v>
      </c>
      <c r="AI229" s="55" t="e">
        <f t="shared" ca="1" si="84"/>
        <v>#N/A</v>
      </c>
      <c r="AJ229" s="55" t="e">
        <f t="shared" ca="1" si="78"/>
        <v>#N/A</v>
      </c>
      <c r="AK229" s="55" t="e">
        <f t="shared" ca="1" si="79"/>
        <v>#N/A</v>
      </c>
      <c r="AL229" s="55" t="e">
        <f t="shared" ca="1" si="80"/>
        <v>#N/A</v>
      </c>
      <c r="AM229" s="55"/>
    </row>
    <row r="230" spans="18:39">
      <c r="R230" s="83">
        <f ca="1"/>
        <v>45223</v>
      </c>
      <c r="S230" s="55">
        <f t="shared" ca="1" si="73"/>
        <v>45223</v>
      </c>
      <c r="T230" s="55">
        <f t="shared" ca="1" si="66"/>
        <v>79.729765463910553</v>
      </c>
      <c r="U230" s="55">
        <f t="shared" ca="1" si="67"/>
        <v>39.692060473566876</v>
      </c>
      <c r="V230" s="55">
        <f t="shared" ca="1" si="68"/>
        <v>0</v>
      </c>
      <c r="W230" s="55">
        <f t="shared" ca="1" si="74"/>
        <v>-28.546036396422135</v>
      </c>
      <c r="X230" s="55">
        <f t="shared" ca="1" si="75"/>
        <v>30.058083527473084</v>
      </c>
      <c r="Y230" s="55">
        <f t="shared" ca="1" si="76"/>
        <v>17.773643836448294</v>
      </c>
      <c r="Z230" s="55">
        <f t="shared" ca="1" si="69"/>
        <v>7.9780127051041205</v>
      </c>
      <c r="AA230">
        <f t="shared" ca="1" si="70"/>
        <v>28.412444296935828</v>
      </c>
      <c r="AB230">
        <f t="shared" ca="1" si="77"/>
        <v>49.712071884046722</v>
      </c>
      <c r="AC230">
        <f t="shared" ca="1" si="71"/>
        <v>0</v>
      </c>
      <c r="AD230">
        <f t="shared" ca="1" si="72"/>
        <v>0.68179396479917886</v>
      </c>
      <c r="AE230" s="83" t="e">
        <f ca="1"/>
        <v>#N/A</v>
      </c>
      <c r="AF230" s="55" t="e">
        <f t="shared" ca="1" si="81"/>
        <v>#N/A</v>
      </c>
      <c r="AG230" s="55" t="e">
        <f t="shared" ca="1" si="82"/>
        <v>#N/A</v>
      </c>
      <c r="AH230" s="55" t="e">
        <f t="shared" ca="1" si="83"/>
        <v>#N/A</v>
      </c>
      <c r="AI230" s="55" t="e">
        <f t="shared" ca="1" si="84"/>
        <v>#N/A</v>
      </c>
      <c r="AJ230" s="55" t="e">
        <f t="shared" ca="1" si="78"/>
        <v>#N/A</v>
      </c>
      <c r="AK230" s="55" t="e">
        <f t="shared" ca="1" si="79"/>
        <v>#N/A</v>
      </c>
      <c r="AL230" s="55" t="e">
        <f t="shared" ca="1" si="80"/>
        <v>#N/A</v>
      </c>
      <c r="AM230" s="55"/>
    </row>
    <row r="231" spans="18:39">
      <c r="R231" s="83">
        <f ca="1"/>
        <v>45224</v>
      </c>
      <c r="S231" s="55">
        <f t="shared" ca="1" si="73"/>
        <v>45224</v>
      </c>
      <c r="T231" s="55">
        <f t="shared" ca="1" si="66"/>
        <v>79.228268773506642</v>
      </c>
      <c r="U231" s="55">
        <f t="shared" ca="1" si="67"/>
        <v>40.280170108561222</v>
      </c>
      <c r="V231" s="55">
        <f t="shared" ca="1" si="68"/>
        <v>0</v>
      </c>
      <c r="W231" s="55">
        <f t="shared" ca="1" si="74"/>
        <v>-28.546036396422135</v>
      </c>
      <c r="X231" s="55">
        <f t="shared" ca="1" si="75"/>
        <v>30.14204872713232</v>
      </c>
      <c r="Y231" s="55">
        <f t="shared" ca="1" si="76"/>
        <v>17.776291581379503</v>
      </c>
      <c r="Z231" s="55">
        <f t="shared" ca="1" si="69"/>
        <v>8.2335348899208469</v>
      </c>
      <c r="AA231">
        <f t="shared" ca="1" si="70"/>
        <v>25.293480050231011</v>
      </c>
      <c r="AB231">
        <f t="shared" ca="1" si="77"/>
        <v>49.712071884046722</v>
      </c>
      <c r="AC231">
        <f t="shared" ca="1" si="71"/>
        <v>0</v>
      </c>
      <c r="AD231">
        <f t="shared" ca="1" si="72"/>
        <v>0.69025279231435088</v>
      </c>
      <c r="AE231" s="83" t="e">
        <f ca="1"/>
        <v>#N/A</v>
      </c>
      <c r="AF231" s="55" t="e">
        <f t="shared" ca="1" si="81"/>
        <v>#N/A</v>
      </c>
      <c r="AG231" s="55" t="e">
        <f t="shared" ca="1" si="82"/>
        <v>#N/A</v>
      </c>
      <c r="AH231" s="55" t="e">
        <f t="shared" ca="1" si="83"/>
        <v>#N/A</v>
      </c>
      <c r="AI231" s="55" t="e">
        <f t="shared" ca="1" si="84"/>
        <v>#N/A</v>
      </c>
      <c r="AJ231" s="55" t="e">
        <f t="shared" ca="1" si="78"/>
        <v>#N/A</v>
      </c>
      <c r="AK231" s="55" t="e">
        <f t="shared" ca="1" si="79"/>
        <v>#N/A</v>
      </c>
      <c r="AL231" s="55" t="e">
        <f t="shared" ca="1" si="80"/>
        <v>#N/A</v>
      </c>
      <c r="AM231" s="55"/>
    </row>
    <row r="232" spans="18:39">
      <c r="R232" s="83">
        <f ca="1"/>
        <v>45225</v>
      </c>
      <c r="S232" s="55">
        <f t="shared" ca="1" si="73"/>
        <v>45225</v>
      </c>
      <c r="T232" s="55">
        <f t="shared" ca="1" si="66"/>
        <v>78.672813649514566</v>
      </c>
      <c r="U232" s="55">
        <f t="shared" ca="1" si="67"/>
        <v>40.929746398043335</v>
      </c>
      <c r="V232" s="55">
        <f t="shared" ca="1" si="68"/>
        <v>0</v>
      </c>
      <c r="W232" s="55">
        <f t="shared" ca="1" si="74"/>
        <v>-28.546036396422135</v>
      </c>
      <c r="X232" s="55">
        <f t="shared" ca="1" si="75"/>
        <v>30.233483852833064</v>
      </c>
      <c r="Y232" s="55">
        <f t="shared" ca="1" si="76"/>
        <v>17.778977621168799</v>
      </c>
      <c r="Z232" s="55">
        <f t="shared" ca="1" si="69"/>
        <v>9.0940680527495772</v>
      </c>
      <c r="AA232">
        <f t="shared" ca="1" si="70"/>
        <v>24.105491386654904</v>
      </c>
      <c r="AB232">
        <f t="shared" ca="1" si="77"/>
        <v>49.712071884046722</v>
      </c>
      <c r="AC232">
        <f t="shared" ca="1" si="71"/>
        <v>0</v>
      </c>
      <c r="AD232">
        <f t="shared" ca="1" si="72"/>
        <v>0.69932025498234263</v>
      </c>
      <c r="AE232" s="83" t="e">
        <f ca="1"/>
        <v>#N/A</v>
      </c>
      <c r="AF232" s="55" t="e">
        <f t="shared" ca="1" si="81"/>
        <v>#N/A</v>
      </c>
      <c r="AG232" s="55" t="e">
        <f t="shared" ca="1" si="82"/>
        <v>#N/A</v>
      </c>
      <c r="AH232" s="55" t="e">
        <f t="shared" ca="1" si="83"/>
        <v>#N/A</v>
      </c>
      <c r="AI232" s="55" t="e">
        <f t="shared" ca="1" si="84"/>
        <v>#N/A</v>
      </c>
      <c r="AJ232" s="55" t="e">
        <f t="shared" ca="1" si="78"/>
        <v>#N/A</v>
      </c>
      <c r="AK232" s="55" t="e">
        <f t="shared" ca="1" si="79"/>
        <v>#N/A</v>
      </c>
      <c r="AL232" s="55" t="e">
        <f t="shared" ca="1" si="80"/>
        <v>#N/A</v>
      </c>
      <c r="AM232" s="55"/>
    </row>
    <row r="233" spans="18:39">
      <c r="R233" s="83">
        <f ca="1"/>
        <v>45226</v>
      </c>
      <c r="S233" s="55">
        <f t="shared" ca="1" si="73"/>
        <v>45226</v>
      </c>
      <c r="T233" s="55">
        <f t="shared" ca="1" si="66"/>
        <v>78.128480470509658</v>
      </c>
      <c r="U233" s="55">
        <f t="shared" ca="1" si="67"/>
        <v>41.564290294228279</v>
      </c>
      <c r="V233" s="55">
        <f t="shared" ca="1" si="68"/>
        <v>0</v>
      </c>
      <c r="W233" s="55">
        <f t="shared" ca="1" si="74"/>
        <v>-28.546036396422135</v>
      </c>
      <c r="X233" s="55">
        <f t="shared" ca="1" si="75"/>
        <v>30.321115575665374</v>
      </c>
      <c r="Y233" s="55">
        <f t="shared" ca="1" si="76"/>
        <v>17.781556615516521</v>
      </c>
      <c r="Z233" s="55">
        <f t="shared" ca="1" si="69"/>
        <v>8.8836145465892145</v>
      </c>
      <c r="AA233">
        <f t="shared" ca="1" si="70"/>
        <v>24.174739624241692</v>
      </c>
      <c r="AB233">
        <f t="shared" ca="1" si="77"/>
        <v>49.712071884046722</v>
      </c>
      <c r="AC233">
        <f t="shared" ca="1" si="71"/>
        <v>0</v>
      </c>
      <c r="AD233">
        <f t="shared" ca="1" si="72"/>
        <v>0.70790481340040623</v>
      </c>
      <c r="AE233" s="83" t="e">
        <f ca="1"/>
        <v>#N/A</v>
      </c>
      <c r="AF233" s="55" t="e">
        <f t="shared" ca="1" si="81"/>
        <v>#N/A</v>
      </c>
      <c r="AG233" s="55" t="e">
        <f t="shared" ca="1" si="82"/>
        <v>#N/A</v>
      </c>
      <c r="AH233" s="55" t="e">
        <f t="shared" ca="1" si="83"/>
        <v>#N/A</v>
      </c>
      <c r="AI233" s="55" t="e">
        <f t="shared" ca="1" si="84"/>
        <v>#N/A</v>
      </c>
      <c r="AJ233" s="55" t="e">
        <f t="shared" ca="1" si="78"/>
        <v>#N/A</v>
      </c>
      <c r="AK233" s="55" t="e">
        <f t="shared" ca="1" si="79"/>
        <v>#N/A</v>
      </c>
      <c r="AL233" s="55" t="e">
        <f t="shared" ca="1" si="80"/>
        <v>#N/A</v>
      </c>
      <c r="AM233" s="55"/>
    </row>
    <row r="234" spans="18:39">
      <c r="R234" s="83">
        <f ca="1"/>
        <v>45227</v>
      </c>
      <c r="S234" s="55">
        <f t="shared" ca="1" si="73"/>
        <v>45227</v>
      </c>
      <c r="T234" s="55">
        <f t="shared" ca="1" si="66"/>
        <v>77.547299719659364</v>
      </c>
      <c r="U234" s="55">
        <f t="shared" ca="1" si="67"/>
        <v>42.240938821149904</v>
      </c>
      <c r="V234" s="55">
        <f t="shared" ca="1" si="68"/>
        <v>0</v>
      </c>
      <c r="W234" s="55">
        <f t="shared" ca="1" si="74"/>
        <v>-28.546036396422135</v>
      </c>
      <c r="X234" s="55">
        <f t="shared" ca="1" si="75"/>
        <v>30.413905874666071</v>
      </c>
      <c r="Y234" s="55">
        <f t="shared" ca="1" si="76"/>
        <v>17.784234092587148</v>
      </c>
      <c r="Z234" s="55">
        <f t="shared" ca="1" si="69"/>
        <v>9.4730793769027457</v>
      </c>
      <c r="AA234">
        <f t="shared" ca="1" si="70"/>
        <v>24.275128683371825</v>
      </c>
      <c r="AB234">
        <f t="shared" ca="1" si="77"/>
        <v>49.712071884046722</v>
      </c>
      <c r="AC234">
        <f t="shared" ca="1" si="71"/>
        <v>0</v>
      </c>
      <c r="AD234">
        <f t="shared" ca="1" si="72"/>
        <v>0.71676883432253968</v>
      </c>
      <c r="AE234" s="83" t="e">
        <f ca="1"/>
        <v>#N/A</v>
      </c>
      <c r="AF234" s="55" t="e">
        <f t="shared" ca="1" si="81"/>
        <v>#N/A</v>
      </c>
      <c r="AG234" s="55" t="e">
        <f t="shared" ca="1" si="82"/>
        <v>#N/A</v>
      </c>
      <c r="AH234" s="55" t="e">
        <f t="shared" ca="1" si="83"/>
        <v>#N/A</v>
      </c>
      <c r="AI234" s="55" t="e">
        <f t="shared" ca="1" si="84"/>
        <v>#N/A</v>
      </c>
      <c r="AJ234" s="55" t="e">
        <f t="shared" ca="1" si="78"/>
        <v>#N/A</v>
      </c>
      <c r="AK234" s="55" t="e">
        <f t="shared" ca="1" si="79"/>
        <v>#N/A</v>
      </c>
      <c r="AL234" s="55" t="e">
        <f t="shared" ca="1" si="80"/>
        <v>#N/A</v>
      </c>
      <c r="AM234" s="55"/>
    </row>
    <row r="235" spans="18:39">
      <c r="R235" s="83">
        <f ca="1"/>
        <v>45228</v>
      </c>
      <c r="S235" s="55">
        <f t="shared" ca="1" si="73"/>
        <v>45228</v>
      </c>
      <c r="T235" s="55">
        <f t="shared" ca="1" si="66"/>
        <v>76.946453162982181</v>
      </c>
      <c r="U235" s="55">
        <f t="shared" ca="1" si="67"/>
        <v>42.937895267772156</v>
      </c>
      <c r="V235" s="55">
        <f t="shared" ca="1" si="68"/>
        <v>0</v>
      </c>
      <c r="W235" s="55">
        <f t="shared" ca="1" si="74"/>
        <v>-28.546036396422135</v>
      </c>
      <c r="X235" s="55">
        <f t="shared" ca="1" si="75"/>
        <v>30.507448215220215</v>
      </c>
      <c r="Y235" s="55">
        <f t="shared" ca="1" si="76"/>
        <v>17.786801641978073</v>
      </c>
      <c r="Z235" s="55">
        <f t="shared" ca="1" si="69"/>
        <v>9.7573902527115308</v>
      </c>
      <c r="AA235">
        <f t="shared" ca="1" si="70"/>
        <v>23.21410277127314</v>
      </c>
      <c r="AB235">
        <f t="shared" ca="1" si="77"/>
        <v>49.712071884046722</v>
      </c>
      <c r="AC235">
        <f t="shared" ca="1" si="71"/>
        <v>0</v>
      </c>
      <c r="AD235">
        <f t="shared" ca="1" si="72"/>
        <v>0.72559389425844267</v>
      </c>
      <c r="AE235" s="83" t="e">
        <f ca="1"/>
        <v>#N/A</v>
      </c>
      <c r="AF235" s="55" t="e">
        <f t="shared" ca="1" si="81"/>
        <v>#N/A</v>
      </c>
      <c r="AG235" s="55" t="e">
        <f t="shared" ca="1" si="82"/>
        <v>#N/A</v>
      </c>
      <c r="AH235" s="55" t="e">
        <f t="shared" ca="1" si="83"/>
        <v>#N/A</v>
      </c>
      <c r="AI235" s="55" t="e">
        <f t="shared" ca="1" si="84"/>
        <v>#N/A</v>
      </c>
      <c r="AJ235" s="55" t="e">
        <f t="shared" ca="1" si="78"/>
        <v>#N/A</v>
      </c>
      <c r="AK235" s="55" t="e">
        <f t="shared" ca="1" si="79"/>
        <v>#N/A</v>
      </c>
      <c r="AL235" s="55" t="e">
        <f t="shared" ca="1" si="80"/>
        <v>#N/A</v>
      </c>
      <c r="AM235" s="55"/>
    </row>
    <row r="236" spans="18:39">
      <c r="R236" s="83">
        <f ca="1"/>
        <v>45229</v>
      </c>
      <c r="S236" s="55">
        <f t="shared" ca="1" si="73"/>
        <v>45229</v>
      </c>
      <c r="T236" s="55">
        <f t="shared" ca="1" si="66"/>
        <v>76.350305707598224</v>
      </c>
      <c r="U236" s="55">
        <f t="shared" ca="1" si="67"/>
        <v>43.627146811277832</v>
      </c>
      <c r="V236" s="55">
        <f t="shared" ca="1" si="68"/>
        <v>0</v>
      </c>
      <c r="W236" s="55">
        <f t="shared" ca="1" si="74"/>
        <v>-28.546036396422135</v>
      </c>
      <c r="X236" s="55">
        <f t="shared" ca="1" si="75"/>
        <v>30.59808861776753</v>
      </c>
      <c r="Y236" s="55">
        <f t="shared" ca="1" si="76"/>
        <v>17.789265327552478</v>
      </c>
      <c r="Z236" s="55">
        <f t="shared" ca="1" si="69"/>
        <v>9.6495216090794713</v>
      </c>
      <c r="AA236">
        <f t="shared" ca="1" si="70"/>
        <v>23.036811297840366</v>
      </c>
      <c r="AB236">
        <f t="shared" ca="1" si="77"/>
        <v>49.712071884046722</v>
      </c>
      <c r="AC236">
        <f t="shared" ca="1" si="71"/>
        <v>0</v>
      </c>
      <c r="AD236">
        <f t="shared" ca="1" si="72"/>
        <v>0.7340254390398947</v>
      </c>
      <c r="AE236" s="83" t="e">
        <f ca="1"/>
        <v>#N/A</v>
      </c>
      <c r="AF236" s="55" t="e">
        <f t="shared" ca="1" si="81"/>
        <v>#N/A</v>
      </c>
      <c r="AG236" s="55" t="e">
        <f t="shared" ca="1" si="82"/>
        <v>#N/A</v>
      </c>
      <c r="AH236" s="55" t="e">
        <f t="shared" ca="1" si="83"/>
        <v>#N/A</v>
      </c>
      <c r="AI236" s="55" t="e">
        <f t="shared" ca="1" si="84"/>
        <v>#N/A</v>
      </c>
      <c r="AJ236" s="55" t="e">
        <f t="shared" ca="1" si="78"/>
        <v>#N/A</v>
      </c>
      <c r="AK236" s="55" t="e">
        <f t="shared" ca="1" si="79"/>
        <v>#N/A</v>
      </c>
      <c r="AL236" s="55" t="e">
        <f t="shared" ca="1" si="80"/>
        <v>#N/A</v>
      </c>
      <c r="AM236" s="55"/>
    </row>
    <row r="237" spans="18:39">
      <c r="R237" s="83">
        <f ca="1"/>
        <v>45230</v>
      </c>
      <c r="S237" s="55">
        <f t="shared" ca="1" si="73"/>
        <v>45230</v>
      </c>
      <c r="T237" s="55">
        <f t="shared" ca="1" si="66"/>
        <v>75.745532641120406</v>
      </c>
      <c r="U237" s="55">
        <f t="shared" ca="1" si="67"/>
        <v>44.322791058419043</v>
      </c>
      <c r="V237" s="55">
        <f t="shared" ca="1" si="68"/>
        <v>0</v>
      </c>
      <c r="W237" s="55">
        <f t="shared" ca="1" si="74"/>
        <v>-28.546036396422135</v>
      </c>
      <c r="X237" s="55">
        <f t="shared" ca="1" si="75"/>
        <v>30.686742343555501</v>
      </c>
      <c r="Y237" s="55">
        <f t="shared" ca="1" si="76"/>
        <v>17.791482782427899</v>
      </c>
      <c r="Z237" s="55">
        <f t="shared" ca="1" si="69"/>
        <v>9.7390194599769444</v>
      </c>
      <c r="AA237">
        <f t="shared" ca="1" si="70"/>
        <v>21.032745955526696</v>
      </c>
      <c r="AB237">
        <f t="shared" ca="1" si="77"/>
        <v>49.712071884046722</v>
      </c>
      <c r="AC237">
        <f t="shared" ca="1" si="71"/>
        <v>0</v>
      </c>
      <c r="AD237">
        <f t="shared" ca="1" si="72"/>
        <v>0.7422454324914427</v>
      </c>
      <c r="AE237" s="83" t="e">
        <f ca="1"/>
        <v>#N/A</v>
      </c>
      <c r="AF237" s="55" t="e">
        <f t="shared" ca="1" si="81"/>
        <v>#N/A</v>
      </c>
      <c r="AG237" s="55" t="e">
        <f t="shared" ca="1" si="82"/>
        <v>#N/A</v>
      </c>
      <c r="AH237" s="55" t="e">
        <f t="shared" ca="1" si="83"/>
        <v>#N/A</v>
      </c>
      <c r="AI237" s="55" t="e">
        <f t="shared" ca="1" si="84"/>
        <v>#N/A</v>
      </c>
      <c r="AJ237" s="55" t="e">
        <f t="shared" ca="1" si="78"/>
        <v>#N/A</v>
      </c>
      <c r="AK237" s="55" t="e">
        <f t="shared" ca="1" si="79"/>
        <v>#N/A</v>
      </c>
      <c r="AL237" s="55" t="e">
        <f t="shared" ca="1" si="80"/>
        <v>#N/A</v>
      </c>
      <c r="AM237" s="55"/>
    </row>
    <row r="238" spans="18:39">
      <c r="R238" s="83">
        <f ca="1"/>
        <v>45231</v>
      </c>
      <c r="S238" s="55">
        <f t="shared" ca="1" si="73"/>
        <v>45231</v>
      </c>
      <c r="T238" s="55">
        <f t="shared" ca="1" si="66"/>
        <v>75.099334187589946</v>
      </c>
      <c r="U238" s="55">
        <f t="shared" ca="1" si="67"/>
        <v>45.064236981939132</v>
      </c>
      <c r="V238" s="55">
        <f t="shared" ca="1" si="68"/>
        <v>0</v>
      </c>
      <c r="W238" s="55">
        <f t="shared" ca="1" si="74"/>
        <v>-28.546036396422135</v>
      </c>
      <c r="X238" s="55">
        <f t="shared" ca="1" si="75"/>
        <v>30.779804640676108</v>
      </c>
      <c r="Y238" s="55">
        <f t="shared" ca="1" si="76"/>
        <v>17.793667955296925</v>
      </c>
      <c r="Z238" s="55">
        <f t="shared" ca="1" si="69"/>
        <v>10.380242929281252</v>
      </c>
      <c r="AA238">
        <f t="shared" ca="1" si="70"/>
        <v>20.005228517093563</v>
      </c>
      <c r="AB238">
        <f t="shared" ca="1" si="77"/>
        <v>49.712071884046722</v>
      </c>
      <c r="AC238">
        <f t="shared" ca="1" si="71"/>
        <v>0</v>
      </c>
      <c r="AD238">
        <f t="shared" ca="1" si="72"/>
        <v>0.75069598687749739</v>
      </c>
      <c r="AE238" s="83" t="e">
        <f ca="1"/>
        <v>#N/A</v>
      </c>
      <c r="AF238" s="55" t="e">
        <f t="shared" ca="1" si="81"/>
        <v>#N/A</v>
      </c>
      <c r="AG238" s="55" t="e">
        <f t="shared" ca="1" si="82"/>
        <v>#N/A</v>
      </c>
      <c r="AH238" s="55" t="e">
        <f t="shared" ca="1" si="83"/>
        <v>#N/A</v>
      </c>
      <c r="AI238" s="55" t="e">
        <f t="shared" ca="1" si="84"/>
        <v>#N/A</v>
      </c>
      <c r="AJ238" s="55" t="e">
        <f t="shared" ca="1" si="78"/>
        <v>#N/A</v>
      </c>
      <c r="AK238" s="55" t="e">
        <f t="shared" ca="1" si="79"/>
        <v>#N/A</v>
      </c>
      <c r="AL238" s="55" t="e">
        <f t="shared" ca="1" si="80"/>
        <v>#N/A</v>
      </c>
      <c r="AM238" s="55"/>
    </row>
    <row r="239" spans="18:39">
      <c r="R239" s="83">
        <f ca="1"/>
        <v>45232</v>
      </c>
      <c r="S239" s="55">
        <f t="shared" ca="1" si="73"/>
        <v>45232</v>
      </c>
      <c r="T239" s="55">
        <f t="shared" ca="1" si="66"/>
        <v>74.474861610704949</v>
      </c>
      <c r="U239" s="55">
        <f t="shared" ca="1" si="67"/>
        <v>45.778742951444592</v>
      </c>
      <c r="V239" s="55">
        <f t="shared" ca="1" si="68"/>
        <v>0</v>
      </c>
      <c r="W239" s="55">
        <f t="shared" ca="1" si="74"/>
        <v>-28.546036396422135</v>
      </c>
      <c r="X239" s="55">
        <f t="shared" ca="1" si="75"/>
        <v>30.86772819225132</v>
      </c>
      <c r="Y239" s="55">
        <f t="shared" ca="1" si="76"/>
        <v>17.795777796342183</v>
      </c>
      <c r="Z239" s="55">
        <f t="shared" ca="1" si="69"/>
        <v>10.003083573076438</v>
      </c>
      <c r="AA239">
        <f t="shared" ca="1" si="70"/>
        <v>20.426418421241348</v>
      </c>
      <c r="AB239">
        <f t="shared" ca="1" si="77"/>
        <v>49.712071884046722</v>
      </c>
      <c r="AC239">
        <f t="shared" ca="1" si="71"/>
        <v>0</v>
      </c>
      <c r="AD239">
        <f t="shared" ca="1" si="72"/>
        <v>0.75854589053449084</v>
      </c>
      <c r="AE239" s="83" t="e">
        <f ca="1"/>
        <v>#N/A</v>
      </c>
      <c r="AF239" s="55" t="e">
        <f t="shared" ca="1" si="81"/>
        <v>#N/A</v>
      </c>
      <c r="AG239" s="55" t="e">
        <f t="shared" ca="1" si="82"/>
        <v>#N/A</v>
      </c>
      <c r="AH239" s="55" t="e">
        <f t="shared" ca="1" si="83"/>
        <v>#N/A</v>
      </c>
      <c r="AI239" s="55" t="e">
        <f t="shared" ca="1" si="84"/>
        <v>#N/A</v>
      </c>
      <c r="AJ239" s="55" t="e">
        <f t="shared" ca="1" si="78"/>
        <v>#N/A</v>
      </c>
      <c r="AK239" s="55" t="e">
        <f t="shared" ca="1" si="79"/>
        <v>#N/A</v>
      </c>
      <c r="AL239" s="55" t="e">
        <f t="shared" ca="1" si="80"/>
        <v>#N/A</v>
      </c>
      <c r="AM239" s="55"/>
    </row>
    <row r="240" spans="18:39">
      <c r="R240" s="83">
        <f ca="1"/>
        <v>45233</v>
      </c>
      <c r="S240" s="55">
        <f t="shared" ca="1" si="73"/>
        <v>45233</v>
      </c>
      <c r="T240" s="55">
        <f t="shared" ca="1" si="66"/>
        <v>73.829435678662293</v>
      </c>
      <c r="U240" s="55">
        <f t="shared" ca="1" si="67"/>
        <v>46.515119207531086</v>
      </c>
      <c r="V240" s="55">
        <f t="shared" ca="1" si="68"/>
        <v>0</v>
      </c>
      <c r="W240" s="55">
        <f t="shared" ca="1" si="74"/>
        <v>-28.546036396422135</v>
      </c>
      <c r="X240" s="55">
        <f t="shared" ca="1" si="75"/>
        <v>30.956646434861643</v>
      </c>
      <c r="Y240" s="55">
        <f t="shared" ca="1" si="76"/>
        <v>17.797809877775705</v>
      </c>
      <c r="Z240" s="55">
        <f t="shared" ca="1" si="69"/>
        <v>10.309267585210918</v>
      </c>
      <c r="AA240">
        <f t="shared" ca="1" si="70"/>
        <v>19.568953372098914</v>
      </c>
      <c r="AB240">
        <f t="shared" ca="1" si="77"/>
        <v>49.712071884046722</v>
      </c>
      <c r="AC240">
        <f t="shared" ca="1" si="71"/>
        <v>0</v>
      </c>
      <c r="AD240">
        <f t="shared" ca="1" si="72"/>
        <v>0.76634460390706438</v>
      </c>
      <c r="AE240" s="83" t="e">
        <f ca="1"/>
        <v>#N/A</v>
      </c>
      <c r="AF240" s="55" t="e">
        <f t="shared" ca="1" si="81"/>
        <v>#N/A</v>
      </c>
      <c r="AG240" s="55" t="e">
        <f t="shared" ca="1" si="82"/>
        <v>#N/A</v>
      </c>
      <c r="AH240" s="55" t="e">
        <f t="shared" ca="1" si="83"/>
        <v>#N/A</v>
      </c>
      <c r="AI240" s="55" t="e">
        <f t="shared" ca="1" si="84"/>
        <v>#N/A</v>
      </c>
      <c r="AJ240" s="55" t="e">
        <f t="shared" ca="1" si="78"/>
        <v>#N/A</v>
      </c>
      <c r="AK240" s="55" t="e">
        <f t="shared" ca="1" si="79"/>
        <v>#N/A</v>
      </c>
      <c r="AL240" s="55" t="e">
        <f t="shared" ca="1" si="80"/>
        <v>#N/A</v>
      </c>
      <c r="AM240" s="55"/>
    </row>
    <row r="241" spans="18:39">
      <c r="R241" s="83">
        <f ca="1"/>
        <v>45234</v>
      </c>
      <c r="S241" s="55">
        <f t="shared" ca="1" si="73"/>
        <v>45234</v>
      </c>
      <c r="T241" s="55">
        <f t="shared" ca="1" si="66"/>
        <v>73.169666095865438</v>
      </c>
      <c r="U241" s="55">
        <f t="shared" ca="1" si="67"/>
        <v>47.265863105559504</v>
      </c>
      <c r="V241" s="55">
        <f t="shared" ca="1" si="68"/>
        <v>0</v>
      </c>
      <c r="W241" s="55">
        <f t="shared" ca="1" si="74"/>
        <v>-28.546036396422135</v>
      </c>
      <c r="X241" s="55">
        <f t="shared" ca="1" si="75"/>
        <v>31.045655977350538</v>
      </c>
      <c r="Y241" s="55">
        <f t="shared" ca="1" si="76"/>
        <v>17.799774650518376</v>
      </c>
      <c r="Z241" s="55">
        <f t="shared" ca="1" si="69"/>
        <v>10.510414572397849</v>
      </c>
      <c r="AA241">
        <f t="shared" ca="1" si="70"/>
        <v>18.99904983090201</v>
      </c>
      <c r="AB241">
        <f t="shared" ca="1" si="77"/>
        <v>49.712071884046722</v>
      </c>
      <c r="AC241">
        <f t="shared" ca="1" si="71"/>
        <v>0</v>
      </c>
      <c r="AD241">
        <f t="shared" ca="1" si="72"/>
        <v>0.77400135972727724</v>
      </c>
      <c r="AE241" s="83" t="e">
        <f ca="1"/>
        <v>#N/A</v>
      </c>
      <c r="AF241" s="55" t="e">
        <f t="shared" ca="1" si="81"/>
        <v>#N/A</v>
      </c>
      <c r="AG241" s="55" t="e">
        <f t="shared" ca="1" si="82"/>
        <v>#N/A</v>
      </c>
      <c r="AH241" s="55" t="e">
        <f t="shared" ca="1" si="83"/>
        <v>#N/A</v>
      </c>
      <c r="AI241" s="55" t="e">
        <f t="shared" ca="1" si="84"/>
        <v>#N/A</v>
      </c>
      <c r="AJ241" s="55" t="e">
        <f t="shared" ca="1" si="78"/>
        <v>#N/A</v>
      </c>
      <c r="AK241" s="55" t="e">
        <f t="shared" ca="1" si="79"/>
        <v>#N/A</v>
      </c>
      <c r="AL241" s="55" t="e">
        <f t="shared" ca="1" si="80"/>
        <v>#N/A</v>
      </c>
      <c r="AM241" s="55"/>
    </row>
    <row r="242" spans="18:39">
      <c r="R242" s="83">
        <f ca="1"/>
        <v>45235</v>
      </c>
      <c r="S242" s="55">
        <f t="shared" ca="1" si="73"/>
        <v>45235</v>
      </c>
      <c r="T242" s="55">
        <f t="shared" ca="1" si="66"/>
        <v>72.508544679264531</v>
      </c>
      <c r="U242" s="55">
        <f t="shared" ca="1" si="67"/>
        <v>48.017113154639581</v>
      </c>
      <c r="V242" s="55">
        <f t="shared" ca="1" si="68"/>
        <v>0</v>
      </c>
      <c r="W242" s="55">
        <f t="shared" ca="1" si="74"/>
        <v>-28.546036396422135</v>
      </c>
      <c r="X242" s="55">
        <f t="shared" ca="1" si="75"/>
        <v>31.133779900885166</v>
      </c>
      <c r="Y242" s="55">
        <f t="shared" ca="1" si="76"/>
        <v>17.801779359462934</v>
      </c>
      <c r="Z242" s="55">
        <f t="shared" ca="1" si="69"/>
        <v>10.517500687121085</v>
      </c>
      <c r="AA242">
        <f t="shared" ca="1" si="70"/>
        <v>19.791934938465261</v>
      </c>
      <c r="AB242">
        <f t="shared" ca="1" si="77"/>
        <v>49.712071884046722</v>
      </c>
      <c r="AC242">
        <f t="shared" ca="1" si="71"/>
        <v>0</v>
      </c>
      <c r="AD242">
        <f t="shared" ca="1" si="72"/>
        <v>0.78137660497860872</v>
      </c>
      <c r="AE242" s="83" t="e">
        <f ca="1"/>
        <v>#N/A</v>
      </c>
      <c r="AF242" s="55" t="e">
        <f t="shared" ca="1" si="81"/>
        <v>#N/A</v>
      </c>
      <c r="AG242" s="55" t="e">
        <f t="shared" ca="1" si="82"/>
        <v>#N/A</v>
      </c>
      <c r="AH242" s="55" t="e">
        <f t="shared" ca="1" si="83"/>
        <v>#N/A</v>
      </c>
      <c r="AI242" s="55" t="e">
        <f t="shared" ca="1" si="84"/>
        <v>#N/A</v>
      </c>
      <c r="AJ242" s="55" t="e">
        <f t="shared" ca="1" si="78"/>
        <v>#N/A</v>
      </c>
      <c r="AK242" s="55" t="e">
        <f t="shared" ca="1" si="79"/>
        <v>#N/A</v>
      </c>
      <c r="AL242" s="55" t="e">
        <f t="shared" ca="1" si="80"/>
        <v>#N/A</v>
      </c>
      <c r="AM242" s="55"/>
    </row>
    <row r="243" spans="18:39">
      <c r="R243" s="83">
        <f ca="1"/>
        <v>45236</v>
      </c>
      <c r="S243" s="55">
        <f t="shared" ca="1" si="73"/>
        <v>45236</v>
      </c>
      <c r="T243" s="55">
        <f t="shared" ca="1" si="66"/>
        <v>71.86334920477718</v>
      </c>
      <c r="U243" s="55">
        <f t="shared" ca="1" si="67"/>
        <v>48.748218324711779</v>
      </c>
      <c r="V243" s="55">
        <f t="shared" ca="1" si="68"/>
        <v>0</v>
      </c>
      <c r="W243" s="55">
        <f t="shared" ca="1" si="74"/>
        <v>-28.546036396422135</v>
      </c>
      <c r="X243" s="55">
        <f t="shared" ca="1" si="75"/>
        <v>31.217786064459602</v>
      </c>
      <c r="Y243" s="55">
        <f t="shared" ca="1" si="76"/>
        <v>17.803682891473358</v>
      </c>
      <c r="Z243" s="55">
        <f t="shared" ca="1" si="69"/>
        <v>10.235472381010766</v>
      </c>
      <c r="AA243">
        <f t="shared" ca="1" si="70"/>
        <v>19.643429228390325</v>
      </c>
      <c r="AB243">
        <f t="shared" ca="1" si="77"/>
        <v>49.712071884046722</v>
      </c>
      <c r="AC243">
        <f t="shared" ca="1" si="71"/>
        <v>0</v>
      </c>
      <c r="AD243">
        <f t="shared" ca="1" si="72"/>
        <v>0.78828871151991331</v>
      </c>
      <c r="AE243" s="83" t="e">
        <f ca="1"/>
        <v>#N/A</v>
      </c>
      <c r="AF243" s="55" t="e">
        <f t="shared" ca="1" si="81"/>
        <v>#N/A</v>
      </c>
      <c r="AG243" s="55" t="e">
        <f t="shared" ca="1" si="82"/>
        <v>#N/A</v>
      </c>
      <c r="AH243" s="55" t="e">
        <f t="shared" ca="1" si="83"/>
        <v>#N/A</v>
      </c>
      <c r="AI243" s="55" t="e">
        <f t="shared" ca="1" si="84"/>
        <v>#N/A</v>
      </c>
      <c r="AJ243" s="55" t="e">
        <f t="shared" ca="1" si="78"/>
        <v>#N/A</v>
      </c>
      <c r="AK243" s="55" t="e">
        <f t="shared" ca="1" si="79"/>
        <v>#N/A</v>
      </c>
      <c r="AL243" s="55" t="e">
        <f t="shared" ca="1" si="80"/>
        <v>#N/A</v>
      </c>
      <c r="AM243" s="55"/>
    </row>
    <row r="244" spans="18:39">
      <c r="R244" s="83">
        <f ca="1"/>
        <v>45237</v>
      </c>
      <c r="S244" s="55">
        <f t="shared" ca="1" si="73"/>
        <v>45237</v>
      </c>
      <c r="T244" s="55">
        <f t="shared" ca="1" si="66"/>
        <v>71.194560169319288</v>
      </c>
      <c r="U244" s="55">
        <f t="shared" ca="1" si="67"/>
        <v>49.506471126567938</v>
      </c>
      <c r="V244" s="55">
        <f t="shared" ca="1" si="68"/>
        <v>0</v>
      </c>
      <c r="W244" s="55">
        <f t="shared" ca="1" si="74"/>
        <v>-28.546036396422135</v>
      </c>
      <c r="X244" s="55">
        <f t="shared" ca="1" si="75"/>
        <v>31.305148852792044</v>
      </c>
      <c r="Y244" s="55">
        <f t="shared" ca="1" si="76"/>
        <v>17.805783869539187</v>
      </c>
      <c r="Z244" s="55">
        <f t="shared" ca="1" si="69"/>
        <v>10.615539225986225</v>
      </c>
      <c r="AA244">
        <f t="shared" ca="1" si="70"/>
        <v>21.445176630601324</v>
      </c>
      <c r="AB244">
        <f t="shared" ca="1" si="77"/>
        <v>49.712071884046722</v>
      </c>
      <c r="AC244">
        <f t="shared" ca="1" si="71"/>
        <v>0</v>
      </c>
      <c r="AD244">
        <f t="shared" ca="1" si="72"/>
        <v>0.79519116129586842</v>
      </c>
      <c r="AE244" s="83" t="e">
        <f ca="1"/>
        <v>#N/A</v>
      </c>
      <c r="AF244" s="55" t="e">
        <f t="shared" ca="1" si="81"/>
        <v>#N/A</v>
      </c>
      <c r="AG244" s="55" t="e">
        <f t="shared" ca="1" si="82"/>
        <v>#N/A</v>
      </c>
      <c r="AH244" s="55" t="e">
        <f t="shared" ca="1" si="83"/>
        <v>#N/A</v>
      </c>
      <c r="AI244" s="55" t="e">
        <f t="shared" ca="1" si="84"/>
        <v>#N/A</v>
      </c>
      <c r="AJ244" s="55" t="e">
        <f t="shared" ca="1" si="78"/>
        <v>#N/A</v>
      </c>
      <c r="AK244" s="55" t="e">
        <f t="shared" ca="1" si="79"/>
        <v>#N/A</v>
      </c>
      <c r="AL244" s="55" t="e">
        <f t="shared" ca="1" si="80"/>
        <v>#N/A</v>
      </c>
      <c r="AM244" s="55"/>
    </row>
    <row r="245" spans="18:39">
      <c r="R245" s="83">
        <f ca="1"/>
        <v>45238</v>
      </c>
      <c r="S245" s="55">
        <f t="shared" ca="1" si="73"/>
        <v>45238</v>
      </c>
      <c r="T245" s="55">
        <f t="shared" ca="1" si="66"/>
        <v>70.517053261578155</v>
      </c>
      <c r="U245" s="55">
        <f t="shared" ca="1" si="67"/>
        <v>50.272420418607282</v>
      </c>
      <c r="V245" s="55">
        <f t="shared" ca="1" si="68"/>
        <v>0</v>
      </c>
      <c r="W245" s="55">
        <f t="shared" ca="1" si="74"/>
        <v>-28.546036396422135</v>
      </c>
      <c r="X245" s="55">
        <f t="shared" ca="1" si="75"/>
        <v>31.391591364052672</v>
      </c>
      <c r="Y245" s="55">
        <f t="shared" ca="1" si="76"/>
        <v>17.807783742576774</v>
      </c>
      <c r="Z245" s="55">
        <f t="shared" ca="1" si="69"/>
        <v>10.723290088550826</v>
      </c>
      <c r="AA245">
        <f t="shared" ca="1" si="70"/>
        <v>20.663766962229985</v>
      </c>
      <c r="AB245">
        <f t="shared" ca="1" si="77"/>
        <v>49.712071884046722</v>
      </c>
      <c r="AC245">
        <f t="shared" ca="1" si="71"/>
        <v>0</v>
      </c>
      <c r="AD245">
        <f t="shared" ca="1" si="72"/>
        <v>0.80189872674240248</v>
      </c>
      <c r="AE245" s="83" t="e">
        <f ca="1"/>
        <v>#N/A</v>
      </c>
      <c r="AF245" s="55" t="e">
        <f t="shared" ca="1" si="81"/>
        <v>#N/A</v>
      </c>
      <c r="AG245" s="55" t="e">
        <f t="shared" ca="1" si="82"/>
        <v>#N/A</v>
      </c>
      <c r="AH245" s="55" t="e">
        <f t="shared" ca="1" si="83"/>
        <v>#N/A</v>
      </c>
      <c r="AI245" s="55" t="e">
        <f t="shared" ca="1" si="84"/>
        <v>#N/A</v>
      </c>
      <c r="AJ245" s="55" t="e">
        <f t="shared" ca="1" si="78"/>
        <v>#N/A</v>
      </c>
      <c r="AK245" s="55" t="e">
        <f t="shared" ca="1" si="79"/>
        <v>#N/A</v>
      </c>
      <c r="AL245" s="55" t="e">
        <f t="shared" ca="1" si="80"/>
        <v>#N/A</v>
      </c>
      <c r="AM245" s="55"/>
    </row>
    <row r="246" spans="18:39">
      <c r="R246" s="83">
        <f ca="1"/>
        <v>45239</v>
      </c>
      <c r="S246" s="55">
        <f t="shared" ca="1" si="73"/>
        <v>45239</v>
      </c>
      <c r="T246" s="55">
        <f t="shared" ca="1" si="66"/>
        <v>69.813624079789989</v>
      </c>
      <c r="U246" s="55">
        <f t="shared" ca="1" si="67"/>
        <v>51.066004155326311</v>
      </c>
      <c r="V246" s="55">
        <f t="shared" ca="1" si="68"/>
        <v>0</v>
      </c>
      <c r="W246" s="55">
        <f t="shared" ca="1" si="74"/>
        <v>-28.546036396422135</v>
      </c>
      <c r="X246" s="55">
        <f t="shared" ca="1" si="75"/>
        <v>31.479778733635229</v>
      </c>
      <c r="Y246" s="55">
        <f t="shared" ca="1" si="76"/>
        <v>17.809750927925077</v>
      </c>
      <c r="Z246" s="55">
        <f t="shared" ca="1" si="69"/>
        <v>11.110172314066403</v>
      </c>
      <c r="AA246">
        <f t="shared" ca="1" si="70"/>
        <v>20.119642374761096</v>
      </c>
      <c r="AB246">
        <f t="shared" ca="1" si="77"/>
        <v>49.712071884046722</v>
      </c>
      <c r="AC246">
        <f t="shared" ca="1" si="71"/>
        <v>0</v>
      </c>
      <c r="AD246">
        <f t="shared" ca="1" si="72"/>
        <v>0.80857842711841132</v>
      </c>
      <c r="AE246" s="83" t="e">
        <f ca="1"/>
        <v>#N/A</v>
      </c>
      <c r="AF246" s="55" t="e">
        <f t="shared" ca="1" si="81"/>
        <v>#N/A</v>
      </c>
      <c r="AG246" s="55" t="e">
        <f t="shared" ca="1" si="82"/>
        <v>#N/A</v>
      </c>
      <c r="AH246" s="55" t="e">
        <f t="shared" ca="1" si="83"/>
        <v>#N/A</v>
      </c>
      <c r="AI246" s="55" t="e">
        <f t="shared" ca="1" si="84"/>
        <v>#N/A</v>
      </c>
      <c r="AJ246" s="55" t="e">
        <f t="shared" ca="1" si="78"/>
        <v>#N/A</v>
      </c>
      <c r="AK246" s="55" t="e">
        <f t="shared" ca="1" si="79"/>
        <v>#N/A</v>
      </c>
      <c r="AL246" s="55" t="e">
        <f t="shared" ca="1" si="80"/>
        <v>#N/A</v>
      </c>
      <c r="AM246" s="55"/>
    </row>
    <row r="247" spans="18:39">
      <c r="R247" s="83">
        <f ca="1"/>
        <v>45240</v>
      </c>
      <c r="S247" s="55">
        <f t="shared" ca="1" si="73"/>
        <v>45240</v>
      </c>
      <c r="T247" s="55">
        <f t="shared" ca="1" si="66"/>
        <v>69.014588600767055</v>
      </c>
      <c r="U247" s="55">
        <f t="shared" ca="1" si="67"/>
        <v>51.966560789025692</v>
      </c>
      <c r="V247" s="55">
        <f t="shared" ca="1" si="68"/>
        <v>0</v>
      </c>
      <c r="W247" s="55">
        <f t="shared" ca="1" si="74"/>
        <v>-28.546036396422135</v>
      </c>
      <c r="X247" s="55">
        <f t="shared" ca="1" si="75"/>
        <v>31.579283571951837</v>
      </c>
      <c r="Y247" s="55">
        <f t="shared" ca="1" si="76"/>
        <v>17.811767244284919</v>
      </c>
      <c r="Z247" s="55">
        <f t="shared" ca="1" si="69"/>
        <v>12.607792871791332</v>
      </c>
      <c r="AA247">
        <f t="shared" ca="1" si="70"/>
        <v>18.733327712986249</v>
      </c>
      <c r="AB247">
        <f t="shared" ca="1" si="77"/>
        <v>49.712071884046722</v>
      </c>
      <c r="AC247">
        <f t="shared" ca="1" si="71"/>
        <v>0</v>
      </c>
      <c r="AD247">
        <f t="shared" ca="1" si="72"/>
        <v>0.81583982529000354</v>
      </c>
      <c r="AE247" s="83" t="e">
        <f ca="1"/>
        <v>#N/A</v>
      </c>
      <c r="AF247" s="55" t="e">
        <f t="shared" ca="1" si="81"/>
        <v>#N/A</v>
      </c>
      <c r="AG247" s="55" t="e">
        <f t="shared" ca="1" si="82"/>
        <v>#N/A</v>
      </c>
      <c r="AH247" s="55" t="e">
        <f t="shared" ca="1" si="83"/>
        <v>#N/A</v>
      </c>
      <c r="AI247" s="55" t="e">
        <f t="shared" ca="1" si="84"/>
        <v>#N/A</v>
      </c>
      <c r="AJ247" s="55" t="e">
        <f t="shared" ca="1" si="78"/>
        <v>#N/A</v>
      </c>
      <c r="AK247" s="55" t="e">
        <f t="shared" ca="1" si="79"/>
        <v>#N/A</v>
      </c>
      <c r="AL247" s="55" t="e">
        <f t="shared" ca="1" si="80"/>
        <v>#N/A</v>
      </c>
      <c r="AM247" s="55"/>
    </row>
    <row r="248" spans="18:39">
      <c r="R248" s="83">
        <f ca="1"/>
        <v>45241</v>
      </c>
      <c r="S248" s="55">
        <f t="shared" ca="1" si="73"/>
        <v>45241</v>
      </c>
      <c r="T248" s="55">
        <f t="shared" ca="1" si="66"/>
        <v>68.238155661914647</v>
      </c>
      <c r="U248" s="55">
        <f t="shared" ca="1" si="67"/>
        <v>52.838437798509382</v>
      </c>
      <c r="V248" s="55">
        <f t="shared" ca="1" si="68"/>
        <v>0</v>
      </c>
      <c r="W248" s="55">
        <f t="shared" ca="1" si="74"/>
        <v>-28.546036396422135</v>
      </c>
      <c r="X248" s="55">
        <f t="shared" ca="1" si="75"/>
        <v>31.672872582855362</v>
      </c>
      <c r="Y248" s="55">
        <f t="shared" ca="1" si="76"/>
        <v>17.813622304012675</v>
      </c>
      <c r="Z248" s="55">
        <f t="shared" ca="1" si="69"/>
        <v>12.206278132771658</v>
      </c>
      <c r="AA248">
        <f t="shared" ca="1" si="70"/>
        <v>18.207032142208551</v>
      </c>
      <c r="AB248">
        <f t="shared" ca="1" si="77"/>
        <v>49.712071884046722</v>
      </c>
      <c r="AC248">
        <f t="shared" ca="1" si="71"/>
        <v>0</v>
      </c>
      <c r="AD248">
        <f t="shared" ca="1" si="72"/>
        <v>0.82256142566328949</v>
      </c>
      <c r="AE248" s="83" t="e">
        <f ca="1"/>
        <v>#N/A</v>
      </c>
      <c r="AF248" s="55" t="e">
        <f t="shared" ca="1" si="81"/>
        <v>#N/A</v>
      </c>
      <c r="AG248" s="55" t="e">
        <f t="shared" ca="1" si="82"/>
        <v>#N/A</v>
      </c>
      <c r="AH248" s="55" t="e">
        <f t="shared" ca="1" si="83"/>
        <v>#N/A</v>
      </c>
      <c r="AI248" s="55" t="e">
        <f t="shared" ca="1" si="84"/>
        <v>#N/A</v>
      </c>
      <c r="AJ248" s="55" t="e">
        <f t="shared" ca="1" si="78"/>
        <v>#N/A</v>
      </c>
      <c r="AK248" s="55" t="e">
        <f t="shared" ca="1" si="79"/>
        <v>#N/A</v>
      </c>
      <c r="AL248" s="55" t="e">
        <f t="shared" ca="1" si="80"/>
        <v>#N/A</v>
      </c>
      <c r="AM248" s="55"/>
    </row>
    <row r="249" spans="18:39">
      <c r="R249" s="83">
        <f ca="1"/>
        <v>45242</v>
      </c>
      <c r="S249" s="55">
        <f t="shared" ca="1" si="73"/>
        <v>45242</v>
      </c>
      <c r="T249" s="55">
        <f t="shared" ca="1" si="66"/>
        <v>67.470501610785931</v>
      </c>
      <c r="U249" s="55">
        <f t="shared" ca="1" si="67"/>
        <v>53.700078589968768</v>
      </c>
      <c r="V249" s="55">
        <f t="shared" ca="1" si="68"/>
        <v>0</v>
      </c>
      <c r="W249" s="55">
        <f t="shared" ca="1" si="74"/>
        <v>-28.546036396422135</v>
      </c>
      <c r="X249" s="55">
        <f t="shared" ca="1" si="75"/>
        <v>31.764877367517492</v>
      </c>
      <c r="Y249" s="55">
        <f t="shared" ca="1" si="76"/>
        <v>17.815604259681216</v>
      </c>
      <c r="Z249" s="55">
        <f t="shared" ca="1" si="69"/>
        <v>12.06297108043141</v>
      </c>
      <c r="AA249">
        <f t="shared" ca="1" si="70"/>
        <v>20.112265882455201</v>
      </c>
      <c r="AB249">
        <f t="shared" ca="1" si="77"/>
        <v>49.712071884046722</v>
      </c>
      <c r="AC249">
        <f t="shared" ca="1" si="71"/>
        <v>0</v>
      </c>
      <c r="AD249">
        <f t="shared" ca="1" si="72"/>
        <v>0.8289195319352749</v>
      </c>
      <c r="AE249" s="83" t="e">
        <f ca="1"/>
        <v>#N/A</v>
      </c>
      <c r="AF249" s="55" t="e">
        <f t="shared" ca="1" si="81"/>
        <v>#N/A</v>
      </c>
      <c r="AG249" s="55" t="e">
        <f t="shared" ca="1" si="82"/>
        <v>#N/A</v>
      </c>
      <c r="AH249" s="55" t="e">
        <f t="shared" ca="1" si="83"/>
        <v>#N/A</v>
      </c>
      <c r="AI249" s="55" t="e">
        <f t="shared" ca="1" si="84"/>
        <v>#N/A</v>
      </c>
      <c r="AJ249" s="55" t="e">
        <f t="shared" ca="1" si="78"/>
        <v>#N/A</v>
      </c>
      <c r="AK249" s="55" t="e">
        <f t="shared" ca="1" si="79"/>
        <v>#N/A</v>
      </c>
      <c r="AL249" s="55" t="e">
        <f t="shared" ca="1" si="80"/>
        <v>#N/A</v>
      </c>
      <c r="AM249" s="55"/>
    </row>
    <row r="250" spans="18:39">
      <c r="R250" s="83">
        <f ca="1"/>
        <v>45243</v>
      </c>
      <c r="S250" s="55">
        <f t="shared" ca="1" si="73"/>
        <v>45243</v>
      </c>
      <c r="T250" s="55">
        <f t="shared" ca="1" si="66"/>
        <v>66.741189638242162</v>
      </c>
      <c r="U250" s="55">
        <f t="shared" ca="1" si="67"/>
        <v>54.516187839325404</v>
      </c>
      <c r="V250" s="55">
        <f t="shared" ca="1" si="68"/>
        <v>0</v>
      </c>
      <c r="W250" s="55">
        <f t="shared" ca="1" si="74"/>
        <v>-28.546036396422135</v>
      </c>
      <c r="X250" s="55">
        <f t="shared" ca="1" si="75"/>
        <v>31.849841089014305</v>
      </c>
      <c r="Y250" s="55">
        <f t="shared" ca="1" si="76"/>
        <v>17.817437814997277</v>
      </c>
      <c r="Z250" s="55">
        <f t="shared" ca="1" si="69"/>
        <v>11.425529490992901</v>
      </c>
      <c r="AA250">
        <f t="shared" ca="1" si="70"/>
        <v>19.943611949641955</v>
      </c>
      <c r="AB250">
        <f t="shared" ca="1" si="77"/>
        <v>49.712071884046722</v>
      </c>
      <c r="AC250">
        <f t="shared" ca="1" si="71"/>
        <v>0</v>
      </c>
      <c r="AD250">
        <f t="shared" ca="1" si="72"/>
        <v>0.83469243978181717</v>
      </c>
      <c r="AE250" s="83" t="e">
        <f ca="1"/>
        <v>#N/A</v>
      </c>
      <c r="AF250" s="55" t="e">
        <f t="shared" ca="1" si="81"/>
        <v>#N/A</v>
      </c>
      <c r="AG250" s="55" t="e">
        <f t="shared" ca="1" si="82"/>
        <v>#N/A</v>
      </c>
      <c r="AH250" s="55" t="e">
        <f t="shared" ca="1" si="83"/>
        <v>#N/A</v>
      </c>
      <c r="AI250" s="55" t="e">
        <f t="shared" ca="1" si="84"/>
        <v>#N/A</v>
      </c>
      <c r="AJ250" s="55" t="e">
        <f t="shared" ca="1" si="78"/>
        <v>#N/A</v>
      </c>
      <c r="AK250" s="55" t="e">
        <f t="shared" ca="1" si="79"/>
        <v>#N/A</v>
      </c>
      <c r="AL250" s="55" t="e">
        <f t="shared" ca="1" si="80"/>
        <v>#N/A</v>
      </c>
      <c r="AM250" s="55"/>
    </row>
    <row r="251" spans="18:39">
      <c r="R251" s="83">
        <f ca="1"/>
        <v>45244</v>
      </c>
      <c r="S251" s="55">
        <f t="shared" ca="1" si="73"/>
        <v>45244</v>
      </c>
      <c r="T251" s="55">
        <f t="shared" ca="1" si="66"/>
        <v>65.965086872827428</v>
      </c>
      <c r="U251" s="55">
        <f t="shared" ca="1" si="67"/>
        <v>55.382414159284046</v>
      </c>
      <c r="V251" s="55">
        <f t="shared" ca="1" si="68"/>
        <v>0</v>
      </c>
      <c r="W251" s="55">
        <f t="shared" ca="1" si="74"/>
        <v>-28.546036396422135</v>
      </c>
      <c r="X251" s="55">
        <f t="shared" ca="1" si="75"/>
        <v>31.938227762994341</v>
      </c>
      <c r="Y251" s="55">
        <f t="shared" ca="1" si="76"/>
        <v>17.819174695561141</v>
      </c>
      <c r="Z251" s="55">
        <f t="shared" ca="1" si="69"/>
        <v>12.127168479420988</v>
      </c>
      <c r="AA251">
        <f t="shared" ca="1" si="70"/>
        <v>18.291950550513477</v>
      </c>
      <c r="AB251">
        <f t="shared" ca="1" si="77"/>
        <v>49.712071884046722</v>
      </c>
      <c r="AC251">
        <f t="shared" ca="1" si="71"/>
        <v>0</v>
      </c>
      <c r="AD251">
        <f t="shared" ca="1" si="72"/>
        <v>0.84056650479208994</v>
      </c>
      <c r="AE251" s="83" t="e">
        <f ca="1"/>
        <v>#N/A</v>
      </c>
      <c r="AF251" s="55" t="e">
        <f t="shared" ca="1" si="81"/>
        <v>#N/A</v>
      </c>
      <c r="AG251" s="55" t="e">
        <f t="shared" ca="1" si="82"/>
        <v>#N/A</v>
      </c>
      <c r="AH251" s="55" t="e">
        <f t="shared" ca="1" si="83"/>
        <v>#N/A</v>
      </c>
      <c r="AI251" s="55" t="e">
        <f t="shared" ca="1" si="84"/>
        <v>#N/A</v>
      </c>
      <c r="AJ251" s="55" t="e">
        <f t="shared" ca="1" si="78"/>
        <v>#N/A</v>
      </c>
      <c r="AK251" s="55" t="e">
        <f t="shared" ca="1" si="79"/>
        <v>#N/A</v>
      </c>
      <c r="AL251" s="55" t="e">
        <f t="shared" ca="1" si="80"/>
        <v>#N/A</v>
      </c>
      <c r="AM251" s="55"/>
    </row>
    <row r="252" spans="18:39">
      <c r="R252" s="83">
        <f ca="1"/>
        <v>45245</v>
      </c>
      <c r="S252" s="55">
        <f t="shared" ca="1" si="73"/>
        <v>45245</v>
      </c>
      <c r="T252" s="55">
        <f t="shared" ca="1" si="66"/>
        <v>65.149813909056959</v>
      </c>
      <c r="U252" s="55">
        <f t="shared" ca="1" si="67"/>
        <v>56.290328990794627</v>
      </c>
      <c r="V252" s="55">
        <f t="shared" ca="1" si="68"/>
        <v>0</v>
      </c>
      <c r="W252" s="55">
        <f t="shared" ca="1" si="74"/>
        <v>-28.546036396422135</v>
      </c>
      <c r="X252" s="55">
        <f t="shared" ca="1" si="75"/>
        <v>32.029211901724352</v>
      </c>
      <c r="Y252" s="55">
        <f t="shared" ca="1" si="76"/>
        <v>17.820832424571243</v>
      </c>
      <c r="Z252" s="55">
        <f t="shared" ca="1" si="69"/>
        <v>12.710807641148136</v>
      </c>
      <c r="AA252">
        <f t="shared" ca="1" si="70"/>
        <v>17.074588516737094</v>
      </c>
      <c r="AB252">
        <f t="shared" ca="1" si="77"/>
        <v>49.712071884046722</v>
      </c>
      <c r="AC252">
        <f t="shared" ca="1" si="71"/>
        <v>0</v>
      </c>
      <c r="AD252">
        <f t="shared" ca="1" si="72"/>
        <v>0.8464560617853264</v>
      </c>
      <c r="AE252" s="83" t="e">
        <f ca="1"/>
        <v>#N/A</v>
      </c>
      <c r="AF252" s="55" t="e">
        <f t="shared" ca="1" si="81"/>
        <v>#N/A</v>
      </c>
      <c r="AG252" s="55" t="e">
        <f t="shared" ca="1" si="82"/>
        <v>#N/A</v>
      </c>
      <c r="AH252" s="55" t="e">
        <f t="shared" ca="1" si="83"/>
        <v>#N/A</v>
      </c>
      <c r="AI252" s="55" t="e">
        <f t="shared" ca="1" si="84"/>
        <v>#N/A</v>
      </c>
      <c r="AJ252" s="55" t="e">
        <f t="shared" ca="1" si="78"/>
        <v>#N/A</v>
      </c>
      <c r="AK252" s="55" t="e">
        <f t="shared" ca="1" si="79"/>
        <v>#N/A</v>
      </c>
      <c r="AL252" s="55" t="e">
        <f t="shared" ca="1" si="80"/>
        <v>#N/A</v>
      </c>
      <c r="AM252" s="55"/>
    </row>
    <row r="253" spans="18:39">
      <c r="R253" s="83">
        <f ca="1"/>
        <v>45246</v>
      </c>
      <c r="S253" s="55">
        <f t="shared" ca="1" si="73"/>
        <v>45246</v>
      </c>
      <c r="T253" s="55">
        <f t="shared" ca="1" si="66"/>
        <v>64.301374615858236</v>
      </c>
      <c r="U253" s="55">
        <f t="shared" ca="1" si="67"/>
        <v>57.235138761456113</v>
      </c>
      <c r="V253" s="55">
        <f t="shared" ca="1" si="68"/>
        <v>0</v>
      </c>
      <c r="W253" s="55">
        <f t="shared" ca="1" si="74"/>
        <v>-28.546036396422135</v>
      </c>
      <c r="X253" s="55">
        <f t="shared" ca="1" si="75"/>
        <v>32.123775265017464</v>
      </c>
      <c r="Y253" s="55">
        <f t="shared" ca="1" si="76"/>
        <v>17.822639538740901</v>
      </c>
      <c r="Z253" s="55">
        <f t="shared" ca="1" si="69"/>
        <v>13.227336789260804</v>
      </c>
      <c r="AA253">
        <f t="shared" ca="1" si="70"/>
        <v>18.321771477825813</v>
      </c>
      <c r="AB253">
        <f t="shared" ca="1" si="77"/>
        <v>49.712071884046722</v>
      </c>
      <c r="AC253">
        <f t="shared" ca="1" si="71"/>
        <v>0</v>
      </c>
      <c r="AD253">
        <f t="shared" ca="1" si="72"/>
        <v>0.85230857826881168</v>
      </c>
      <c r="AE253" s="83" t="e">
        <f ca="1"/>
        <v>#N/A</v>
      </c>
      <c r="AF253" s="55" t="e">
        <f t="shared" ca="1" si="81"/>
        <v>#N/A</v>
      </c>
      <c r="AG253" s="55" t="e">
        <f t="shared" ca="1" si="82"/>
        <v>#N/A</v>
      </c>
      <c r="AH253" s="55" t="e">
        <f t="shared" ca="1" si="83"/>
        <v>#N/A</v>
      </c>
      <c r="AI253" s="55" t="e">
        <f t="shared" ca="1" si="84"/>
        <v>#N/A</v>
      </c>
      <c r="AJ253" s="55" t="e">
        <f t="shared" ca="1" si="78"/>
        <v>#N/A</v>
      </c>
      <c r="AK253" s="55" t="e">
        <f t="shared" ca="1" si="79"/>
        <v>#N/A</v>
      </c>
      <c r="AL253" s="55" t="e">
        <f t="shared" ca="1" si="80"/>
        <v>#N/A</v>
      </c>
      <c r="AM253" s="55"/>
    </row>
    <row r="254" spans="18:39">
      <c r="R254" s="83">
        <f ca="1"/>
        <v>45247</v>
      </c>
      <c r="S254" s="55">
        <f t="shared" ca="1" si="73"/>
        <v>45247</v>
      </c>
      <c r="T254" s="55">
        <f t="shared" ca="1" si="66"/>
        <v>63.493687537827824</v>
      </c>
      <c r="U254" s="55">
        <f t="shared" ca="1" si="67"/>
        <v>58.132471746373824</v>
      </c>
      <c r="V254" s="55">
        <f t="shared" ca="1" si="68"/>
        <v>0</v>
      </c>
      <c r="W254" s="55">
        <f t="shared" ca="1" si="74"/>
        <v>-28.546036396422135</v>
      </c>
      <c r="X254" s="55">
        <f t="shared" ca="1" si="75"/>
        <v>32.211683505796444</v>
      </c>
      <c r="Y254" s="55">
        <f t="shared" ca="1" si="76"/>
        <v>17.824377204849227</v>
      </c>
      <c r="Z254" s="55">
        <f t="shared" ca="1" si="69"/>
        <v>12.562661788847947</v>
      </c>
      <c r="AA254">
        <f t="shared" ca="1" si="70"/>
        <v>18.876363095670278</v>
      </c>
      <c r="AB254">
        <f t="shared" ca="1" si="77"/>
        <v>49.712071884046722</v>
      </c>
      <c r="AC254">
        <f t="shared" ca="1" si="71"/>
        <v>0</v>
      </c>
      <c r="AD254">
        <f t="shared" ca="1" si="72"/>
        <v>0.85761879041264288</v>
      </c>
      <c r="AE254" s="83" t="e">
        <f ca="1"/>
        <v>#N/A</v>
      </c>
      <c r="AF254" s="55" t="e">
        <f t="shared" ca="1" si="81"/>
        <v>#N/A</v>
      </c>
      <c r="AG254" s="55" t="e">
        <f t="shared" ca="1" si="82"/>
        <v>#N/A</v>
      </c>
      <c r="AH254" s="55" t="e">
        <f t="shared" ca="1" si="83"/>
        <v>#N/A</v>
      </c>
      <c r="AI254" s="55" t="e">
        <f t="shared" ca="1" si="84"/>
        <v>#N/A</v>
      </c>
      <c r="AJ254" s="55" t="e">
        <f t="shared" ca="1" si="78"/>
        <v>#N/A</v>
      </c>
      <c r="AK254" s="55" t="e">
        <f t="shared" ca="1" si="79"/>
        <v>#N/A</v>
      </c>
      <c r="AL254" s="55" t="e">
        <f t="shared" ca="1" si="80"/>
        <v>#N/A</v>
      </c>
      <c r="AM254" s="55"/>
    </row>
    <row r="255" spans="18:39">
      <c r="R255" s="83">
        <f ca="1"/>
        <v>45248</v>
      </c>
      <c r="S255" s="55">
        <f t="shared" ca="1" si="73"/>
        <v>45248</v>
      </c>
      <c r="T255" s="55">
        <f t="shared" ca="1" si="66"/>
        <v>62.708740633998659</v>
      </c>
      <c r="U255" s="55">
        <f t="shared" ca="1" si="67"/>
        <v>59.004751823386258</v>
      </c>
      <c r="V255" s="55">
        <f t="shared" ca="1" si="68"/>
        <v>0</v>
      </c>
      <c r="W255" s="55">
        <f t="shared" ca="1" si="74"/>
        <v>-28.546036396422135</v>
      </c>
      <c r="X255" s="55">
        <f t="shared" ca="1" si="75"/>
        <v>32.297134776179924</v>
      </c>
      <c r="Y255" s="55">
        <f t="shared" ca="1" si="76"/>
        <v>17.826259107649015</v>
      </c>
      <c r="Z255" s="55">
        <f t="shared" ca="1" si="69"/>
        <v>12.211921078174072</v>
      </c>
      <c r="AA255">
        <f t="shared" ca="1" si="70"/>
        <v>21.383570779742801</v>
      </c>
      <c r="AB255">
        <f t="shared" ca="1" si="77"/>
        <v>49.712071884046722</v>
      </c>
      <c r="AC255">
        <f t="shared" ca="1" si="71"/>
        <v>0</v>
      </c>
      <c r="AD255">
        <f t="shared" ca="1" si="72"/>
        <v>0.86256018652298494</v>
      </c>
      <c r="AE255" s="83" t="e">
        <f ca="1"/>
        <v>#N/A</v>
      </c>
      <c r="AF255" s="55" t="e">
        <f t="shared" ca="1" si="81"/>
        <v>#N/A</v>
      </c>
      <c r="AG255" s="55" t="e">
        <f t="shared" ca="1" si="82"/>
        <v>#N/A</v>
      </c>
      <c r="AH255" s="55" t="e">
        <f t="shared" ca="1" si="83"/>
        <v>#N/A</v>
      </c>
      <c r="AI255" s="55" t="e">
        <f t="shared" ca="1" si="84"/>
        <v>#N/A</v>
      </c>
      <c r="AJ255" s="55" t="e">
        <f t="shared" ca="1" si="78"/>
        <v>#N/A</v>
      </c>
      <c r="AK255" s="55" t="e">
        <f t="shared" ca="1" si="79"/>
        <v>#N/A</v>
      </c>
      <c r="AL255" s="55" t="e">
        <f t="shared" ca="1" si="80"/>
        <v>#N/A</v>
      </c>
      <c r="AM255" s="55"/>
    </row>
    <row r="256" spans="18:39">
      <c r="R256" s="83">
        <f ca="1"/>
        <v>45249</v>
      </c>
      <c r="S256" s="55">
        <f t="shared" ca="1" si="73"/>
        <v>45249</v>
      </c>
      <c r="T256" s="55">
        <f t="shared" ca="1" si="66"/>
        <v>61.926837471864388</v>
      </c>
      <c r="U256" s="55">
        <f t="shared" ca="1" si="67"/>
        <v>59.87434578466204</v>
      </c>
      <c r="V256" s="55">
        <f t="shared" ca="1" si="68"/>
        <v>0</v>
      </c>
      <c r="W256" s="55">
        <f t="shared" ca="1" si="74"/>
        <v>-28.546036396422135</v>
      </c>
      <c r="X256" s="55">
        <f t="shared" ca="1" si="75"/>
        <v>32.382768893323089</v>
      </c>
      <c r="Y256" s="55">
        <f t="shared" ca="1" si="76"/>
        <v>17.828315789647363</v>
      </c>
      <c r="Z256" s="55">
        <f t="shared" ca="1" si="69"/>
        <v>12.174315457860956</v>
      </c>
      <c r="AA256">
        <f t="shared" ca="1" si="70"/>
        <v>23.91053745848517</v>
      </c>
      <c r="AB256">
        <f t="shared" ca="1" si="77"/>
        <v>49.712071884046722</v>
      </c>
      <c r="AC256">
        <f t="shared" ca="1" si="71"/>
        <v>0</v>
      </c>
      <c r="AD256">
        <f t="shared" ca="1" si="72"/>
        <v>0.86728014268582199</v>
      </c>
      <c r="AE256" s="83" t="e">
        <f ca="1"/>
        <v>#N/A</v>
      </c>
      <c r="AF256" s="55" t="e">
        <f t="shared" ca="1" si="81"/>
        <v>#N/A</v>
      </c>
      <c r="AG256" s="55" t="e">
        <f t="shared" ca="1" si="82"/>
        <v>#N/A</v>
      </c>
      <c r="AH256" s="55" t="e">
        <f t="shared" ca="1" si="83"/>
        <v>#N/A</v>
      </c>
      <c r="AI256" s="55" t="e">
        <f t="shared" ca="1" si="84"/>
        <v>#N/A</v>
      </c>
      <c r="AJ256" s="55" t="e">
        <f t="shared" ca="1" si="78"/>
        <v>#N/A</v>
      </c>
      <c r="AK256" s="55" t="e">
        <f t="shared" ca="1" si="79"/>
        <v>#N/A</v>
      </c>
      <c r="AL256" s="55" t="e">
        <f t="shared" ca="1" si="80"/>
        <v>#N/A</v>
      </c>
      <c r="AM256" s="55"/>
    </row>
    <row r="257" spans="18:39">
      <c r="R257" s="83">
        <f ca="1"/>
        <v>45250</v>
      </c>
      <c r="S257" s="55">
        <f t="shared" ca="1" si="73"/>
        <v>45250</v>
      </c>
      <c r="T257" s="55">
        <f t="shared" ca="1" si="66"/>
        <v>61.075797605387834</v>
      </c>
      <c r="U257" s="55">
        <f t="shared" ca="1" si="67"/>
        <v>60.82032237685074</v>
      </c>
      <c r="V257" s="55">
        <f t="shared" ca="1" si="68"/>
        <v>0</v>
      </c>
      <c r="W257" s="55">
        <f t="shared" ca="1" si="74"/>
        <v>-28.546036396422135</v>
      </c>
      <c r="X257" s="55">
        <f t="shared" ca="1" si="75"/>
        <v>32.475537948014335</v>
      </c>
      <c r="Y257" s="55">
        <f t="shared" ca="1" si="76"/>
        <v>17.830483460668265</v>
      </c>
      <c r="Z257" s="55">
        <f t="shared" ca="1" si="69"/>
        <v>13.243672290641797</v>
      </c>
      <c r="AA257">
        <f t="shared" ca="1" si="70"/>
        <v>23.925334754771281</v>
      </c>
      <c r="AB257">
        <f t="shared" ca="1" si="77"/>
        <v>49.712071884046722</v>
      </c>
      <c r="AC257">
        <f t="shared" ca="1" si="71"/>
        <v>0</v>
      </c>
      <c r="AD257">
        <f t="shared" ca="1" si="72"/>
        <v>0.87219208598949893</v>
      </c>
      <c r="AE257" s="83" t="e">
        <f ca="1"/>
        <v>#N/A</v>
      </c>
      <c r="AF257" s="55" t="e">
        <f t="shared" ca="1" si="81"/>
        <v>#N/A</v>
      </c>
      <c r="AG257" s="55" t="e">
        <f t="shared" ca="1" si="82"/>
        <v>#N/A</v>
      </c>
      <c r="AH257" s="55" t="e">
        <f t="shared" ca="1" si="83"/>
        <v>#N/A</v>
      </c>
      <c r="AI257" s="55" t="e">
        <f t="shared" ca="1" si="84"/>
        <v>#N/A</v>
      </c>
      <c r="AJ257" s="55" t="e">
        <f t="shared" ca="1" si="78"/>
        <v>#N/A</v>
      </c>
      <c r="AK257" s="55" t="e">
        <f t="shared" ca="1" si="79"/>
        <v>#N/A</v>
      </c>
      <c r="AL257" s="55" t="e">
        <f t="shared" ca="1" si="80"/>
        <v>#N/A</v>
      </c>
      <c r="AM257" s="55"/>
    </row>
    <row r="258" spans="18:39">
      <c r="R258" s="83">
        <f ca="1"/>
        <v>45251</v>
      </c>
      <c r="S258" s="55">
        <f t="shared" ca="1" si="73"/>
        <v>45251</v>
      </c>
      <c r="T258" s="55">
        <f t="shared" ca="1" si="66"/>
        <v>60.219428914492575</v>
      </c>
      <c r="U258" s="55">
        <f t="shared" ca="1" si="67"/>
        <v>61.772956259463484</v>
      </c>
      <c r="V258" s="55">
        <f t="shared" ca="1" si="68"/>
        <v>0</v>
      </c>
      <c r="W258" s="55">
        <f t="shared" ca="1" si="74"/>
        <v>-28.546036396422135</v>
      </c>
      <c r="X258" s="55">
        <f t="shared" ca="1" si="75"/>
        <v>32.56945592509247</v>
      </c>
      <c r="Y258" s="55">
        <f t="shared" ca="1" si="76"/>
        <v>17.832830675307619</v>
      </c>
      <c r="Z258" s="55">
        <f t="shared" ca="1" si="69"/>
        <v>13.33687435657842</v>
      </c>
      <c r="AA258">
        <f t="shared" ca="1" si="70"/>
        <v>26.344428217372439</v>
      </c>
      <c r="AB258">
        <f t="shared" ca="1" si="77"/>
        <v>49.712071884046722</v>
      </c>
      <c r="AC258">
        <f t="shared" ca="1" si="71"/>
        <v>0</v>
      </c>
      <c r="AD258">
        <f t="shared" ca="1" si="72"/>
        <v>0.87691575953344025</v>
      </c>
      <c r="AE258" s="83" t="e">
        <f ca="1"/>
        <v>#N/A</v>
      </c>
      <c r="AF258" s="55" t="e">
        <f t="shared" ca="1" si="81"/>
        <v>#N/A</v>
      </c>
      <c r="AG258" s="55" t="e">
        <f t="shared" ca="1" si="82"/>
        <v>#N/A</v>
      </c>
      <c r="AH258" s="55" t="e">
        <f t="shared" ca="1" si="83"/>
        <v>#N/A</v>
      </c>
      <c r="AI258" s="55" t="e">
        <f t="shared" ca="1" si="84"/>
        <v>#N/A</v>
      </c>
      <c r="AJ258" s="55" t="e">
        <f t="shared" ca="1" si="78"/>
        <v>#N/A</v>
      </c>
      <c r="AK258" s="55" t="e">
        <f t="shared" ca="1" si="79"/>
        <v>#N/A</v>
      </c>
      <c r="AL258" s="55" t="e">
        <f t="shared" ca="1" si="80"/>
        <v>#N/A</v>
      </c>
      <c r="AM258" s="55"/>
    </row>
    <row r="259" spans="18:39">
      <c r="R259" s="83">
        <f ca="1"/>
        <v>45252</v>
      </c>
      <c r="S259" s="55">
        <f t="shared" ca="1" si="73"/>
        <v>45252</v>
      </c>
      <c r="T259" s="55">
        <f t="shared" ca="1" si="66"/>
        <v>59.395505492511859</v>
      </c>
      <c r="U259" s="55">
        <f t="shared" ca="1" si="67"/>
        <v>62.687097265411566</v>
      </c>
      <c r="V259" s="55">
        <f t="shared" ca="1" si="68"/>
        <v>0</v>
      </c>
      <c r="W259" s="55">
        <f t="shared" ca="1" si="74"/>
        <v>-28.546036396422135</v>
      </c>
      <c r="X259" s="55">
        <f t="shared" ca="1" si="75"/>
        <v>32.657487203064591</v>
      </c>
      <c r="Y259" s="55">
        <f t="shared" ca="1" si="76"/>
        <v>17.835016981302864</v>
      </c>
      <c r="Z259" s="55">
        <f t="shared" ca="1" si="69"/>
        <v>12.797974083273147</v>
      </c>
      <c r="AA259">
        <f t="shared" ca="1" si="70"/>
        <v>26.015745877122221</v>
      </c>
      <c r="AB259">
        <f t="shared" ca="1" si="77"/>
        <v>49.712071884046722</v>
      </c>
      <c r="AC259">
        <f t="shared" ca="1" si="71"/>
        <v>0</v>
      </c>
      <c r="AD259">
        <f t="shared" ca="1" si="72"/>
        <v>0.88124886426527771</v>
      </c>
      <c r="AE259" s="83" t="e">
        <f ca="1"/>
        <v>#N/A</v>
      </c>
      <c r="AF259" s="55" t="e">
        <f t="shared" ca="1" si="81"/>
        <v>#N/A</v>
      </c>
      <c r="AG259" s="55" t="e">
        <f t="shared" ca="1" si="82"/>
        <v>#N/A</v>
      </c>
      <c r="AH259" s="55" t="e">
        <f t="shared" ca="1" si="83"/>
        <v>#N/A</v>
      </c>
      <c r="AI259" s="55" t="e">
        <f t="shared" ca="1" si="84"/>
        <v>#N/A</v>
      </c>
      <c r="AJ259" s="55" t="e">
        <f t="shared" ca="1" si="78"/>
        <v>#N/A</v>
      </c>
      <c r="AK259" s="55" t="e">
        <f t="shared" ca="1" si="79"/>
        <v>#N/A</v>
      </c>
      <c r="AL259" s="55" t="e">
        <f t="shared" ca="1" si="80"/>
        <v>#N/A</v>
      </c>
      <c r="AM259" s="55"/>
    </row>
    <row r="260" spans="18:39">
      <c r="R260" s="83">
        <f ca="1"/>
        <v>45253</v>
      </c>
      <c r="S260" s="55">
        <f t="shared" ca="1" si="73"/>
        <v>45253</v>
      </c>
      <c r="T260" s="55">
        <f t="shared" ca="1" si="66"/>
        <v>58.467876005119301</v>
      </c>
      <c r="U260" s="55">
        <f t="shared" ca="1" si="67"/>
        <v>63.715120947666598</v>
      </c>
      <c r="V260" s="55">
        <f t="shared" ca="1" si="68"/>
        <v>0</v>
      </c>
      <c r="W260" s="55">
        <f t="shared" ca="1" si="74"/>
        <v>-28.546036396422135</v>
      </c>
      <c r="X260" s="55">
        <f t="shared" ca="1" si="75"/>
        <v>32.755619392234699</v>
      </c>
      <c r="Y260" s="55">
        <f t="shared" ca="1" si="76"/>
        <v>17.837278986995226</v>
      </c>
      <c r="Z260" s="55">
        <f t="shared" ca="1" si="69"/>
        <v>14.39233155157045</v>
      </c>
      <c r="AA260">
        <f t="shared" ca="1" si="70"/>
        <v>24.788562321302965</v>
      </c>
      <c r="AB260">
        <f t="shared" ca="1" si="77"/>
        <v>49.712071884046722</v>
      </c>
      <c r="AC260">
        <f t="shared" ca="1" si="71"/>
        <v>0</v>
      </c>
      <c r="AD260">
        <f t="shared" ca="1" si="72"/>
        <v>0.88590016492539214</v>
      </c>
      <c r="AE260" s="83" t="e">
        <f ca="1"/>
        <v>#N/A</v>
      </c>
      <c r="AF260" s="55" t="e">
        <f t="shared" ca="1" si="81"/>
        <v>#N/A</v>
      </c>
      <c r="AG260" s="55" t="e">
        <f t="shared" ca="1" si="82"/>
        <v>#N/A</v>
      </c>
      <c r="AH260" s="55" t="e">
        <f t="shared" ca="1" si="83"/>
        <v>#N/A</v>
      </c>
      <c r="AI260" s="55" t="e">
        <f t="shared" ca="1" si="84"/>
        <v>#N/A</v>
      </c>
      <c r="AJ260" s="55" t="e">
        <f t="shared" ca="1" si="78"/>
        <v>#N/A</v>
      </c>
      <c r="AK260" s="55" t="e">
        <f t="shared" ca="1" si="79"/>
        <v>#N/A</v>
      </c>
      <c r="AL260" s="55" t="e">
        <f t="shared" ca="1" si="80"/>
        <v>#N/A</v>
      </c>
      <c r="AM260" s="55"/>
    </row>
    <row r="261" spans="18:39">
      <c r="R261" s="83">
        <f ca="1"/>
        <v>45254</v>
      </c>
      <c r="S261" s="55">
        <f t="shared" ca="1" si="73"/>
        <v>45254</v>
      </c>
      <c r="T261" s="55">
        <f t="shared" ca="1" si="66"/>
        <v>57.504743907097911</v>
      </c>
      <c r="U261" s="55">
        <f t="shared" ca="1" si="67"/>
        <v>64.780456981339583</v>
      </c>
      <c r="V261" s="55">
        <f t="shared" ca="1" si="68"/>
        <v>0</v>
      </c>
      <c r="W261" s="55">
        <f t="shared" ca="1" si="74"/>
        <v>-28.546036396422135</v>
      </c>
      <c r="X261" s="55">
        <f t="shared" ca="1" si="75"/>
        <v>32.855609780517526</v>
      </c>
      <c r="Y261" s="55">
        <f t="shared" ca="1" si="76"/>
        <v>17.839492534363998</v>
      </c>
      <c r="Z261" s="55">
        <f t="shared" ca="1" si="69"/>
        <v>14.914704471421786</v>
      </c>
      <c r="AA261">
        <f t="shared" ca="1" si="70"/>
        <v>24.029966805098116</v>
      </c>
      <c r="AB261">
        <f t="shared" ca="1" si="77"/>
        <v>49.712071884046722</v>
      </c>
      <c r="AC261">
        <f t="shared" ca="1" si="71"/>
        <v>0</v>
      </c>
      <c r="AD261">
        <f t="shared" ca="1" si="72"/>
        <v>0.89048594243334567</v>
      </c>
      <c r="AE261" s="83" t="e">
        <f ca="1"/>
        <v>#N/A</v>
      </c>
      <c r="AF261" s="55" t="e">
        <f t="shared" ca="1" si="81"/>
        <v>#N/A</v>
      </c>
      <c r="AG261" s="55" t="e">
        <f t="shared" ca="1" si="82"/>
        <v>#N/A</v>
      </c>
      <c r="AH261" s="55" t="e">
        <f t="shared" ca="1" si="83"/>
        <v>#N/A</v>
      </c>
      <c r="AI261" s="55" t="e">
        <f t="shared" ca="1" si="84"/>
        <v>#N/A</v>
      </c>
      <c r="AJ261" s="55" t="e">
        <f t="shared" ca="1" si="78"/>
        <v>#N/A</v>
      </c>
      <c r="AK261" s="55" t="e">
        <f t="shared" ca="1" si="79"/>
        <v>#N/A</v>
      </c>
      <c r="AL261" s="55" t="e">
        <f t="shared" ca="1" si="80"/>
        <v>#N/A</v>
      </c>
      <c r="AM261" s="55"/>
    </row>
    <row r="262" spans="18:39">
      <c r="R262" s="83">
        <f ca="1"/>
        <v>45255</v>
      </c>
      <c r="S262" s="55">
        <f t="shared" ca="1" si="73"/>
        <v>45255</v>
      </c>
      <c r="T262" s="55">
        <f t="shared" ca="1" si="66"/>
        <v>56.505455067131244</v>
      </c>
      <c r="U262" s="55">
        <f t="shared" ca="1" si="67"/>
        <v>65.887382881198988</v>
      </c>
      <c r="V262" s="55">
        <f t="shared" ca="1" si="68"/>
        <v>0</v>
      </c>
      <c r="W262" s="55">
        <f t="shared" ca="1" si="74"/>
        <v>-28.546036396422135</v>
      </c>
      <c r="X262" s="55">
        <f t="shared" ca="1" si="75"/>
        <v>32.960762328917383</v>
      </c>
      <c r="Y262" s="55">
        <f t="shared" ca="1" si="76"/>
        <v>17.841977045856879</v>
      </c>
      <c r="Z262" s="55">
        <f t="shared" ca="1" si="69"/>
        <v>15.496962598031672</v>
      </c>
      <c r="AA262">
        <f t="shared" ca="1" si="70"/>
        <v>26.661339554405551</v>
      </c>
      <c r="AB262">
        <f t="shared" ca="1" si="77"/>
        <v>49.712071884046722</v>
      </c>
      <c r="AC262">
        <f t="shared" ca="1" si="71"/>
        <v>0</v>
      </c>
      <c r="AD262">
        <f t="shared" ca="1" si="72"/>
        <v>0.89501234999749357</v>
      </c>
      <c r="AE262" s="83" t="e">
        <f ca="1"/>
        <v>#N/A</v>
      </c>
      <c r="AF262" s="55" t="e">
        <f t="shared" ca="1" si="81"/>
        <v>#N/A</v>
      </c>
      <c r="AG262" s="55" t="e">
        <f t="shared" ca="1" si="82"/>
        <v>#N/A</v>
      </c>
      <c r="AH262" s="55" t="e">
        <f t="shared" ca="1" si="83"/>
        <v>#N/A</v>
      </c>
      <c r="AI262" s="55" t="e">
        <f t="shared" ca="1" si="84"/>
        <v>#N/A</v>
      </c>
      <c r="AJ262" s="55" t="e">
        <f t="shared" ca="1" si="78"/>
        <v>#N/A</v>
      </c>
      <c r="AK262" s="55" t="e">
        <f t="shared" ca="1" si="79"/>
        <v>#N/A</v>
      </c>
      <c r="AL262" s="55" t="e">
        <f t="shared" ca="1" si="80"/>
        <v>#N/A</v>
      </c>
      <c r="AM262" s="55"/>
    </row>
    <row r="263" spans="18:39">
      <c r="R263" s="83">
        <f ca="1"/>
        <v>45256</v>
      </c>
      <c r="S263" s="55">
        <f t="shared" ca="1" si="73"/>
        <v>45256</v>
      </c>
      <c r="T263" s="55">
        <f t="shared" ca="1" si="66"/>
        <v>55.510312042127126</v>
      </c>
      <c r="U263" s="55">
        <f t="shared" ca="1" si="67"/>
        <v>66.987905054654036</v>
      </c>
      <c r="V263" s="55">
        <f t="shared" ca="1" si="68"/>
        <v>0</v>
      </c>
      <c r="W263" s="55">
        <f t="shared" ca="1" si="74"/>
        <v>-28.546036396422135</v>
      </c>
      <c r="X263" s="55">
        <f t="shared" ca="1" si="75"/>
        <v>33.063698988190453</v>
      </c>
      <c r="Y263" s="55">
        <f t="shared" ca="1" si="76"/>
        <v>17.844419535034735</v>
      </c>
      <c r="Z263" s="55">
        <f t="shared" ca="1" si="69"/>
        <v>15.407310428370664</v>
      </c>
      <c r="AA263">
        <f t="shared" ca="1" si="70"/>
        <v>27.0644758513947</v>
      </c>
      <c r="AB263">
        <f t="shared" ca="1" si="77"/>
        <v>49.712071884046722</v>
      </c>
      <c r="AC263">
        <f t="shared" ca="1" si="71"/>
        <v>0</v>
      </c>
      <c r="AD263">
        <f t="shared" ca="1" si="72"/>
        <v>0.89928557809255483</v>
      </c>
      <c r="AE263" s="83" t="e">
        <f ca="1"/>
        <v>#N/A</v>
      </c>
      <c r="AF263" s="55" t="e">
        <f t="shared" ca="1" si="81"/>
        <v>#N/A</v>
      </c>
      <c r="AG263" s="55" t="e">
        <f t="shared" ca="1" si="82"/>
        <v>#N/A</v>
      </c>
      <c r="AH263" s="55" t="e">
        <f t="shared" ca="1" si="83"/>
        <v>#N/A</v>
      </c>
      <c r="AI263" s="55" t="e">
        <f t="shared" ca="1" si="84"/>
        <v>#N/A</v>
      </c>
      <c r="AJ263" s="55" t="e">
        <f t="shared" ca="1" si="78"/>
        <v>#N/A</v>
      </c>
      <c r="AK263" s="55" t="e">
        <f t="shared" ca="1" si="79"/>
        <v>#N/A</v>
      </c>
      <c r="AL263" s="55" t="e">
        <f t="shared" ca="1" si="80"/>
        <v>#N/A</v>
      </c>
      <c r="AM263" s="55"/>
    </row>
    <row r="264" spans="18:39">
      <c r="R264" s="83">
        <f ca="1"/>
        <v>45257</v>
      </c>
      <c r="S264" s="55">
        <f t="shared" ca="1" si="73"/>
        <v>45257</v>
      </c>
      <c r="T264" s="55">
        <f t="shared" ca="1" si="66"/>
        <v>54.520693419663687</v>
      </c>
      <c r="U264" s="55">
        <f t="shared" ca="1" si="67"/>
        <v>68.07876386528784</v>
      </c>
      <c r="V264" s="55">
        <f t="shared" ca="1" si="68"/>
        <v>0</v>
      </c>
      <c r="W264" s="55">
        <f t="shared" ca="1" si="74"/>
        <v>-28.546036396422135</v>
      </c>
      <c r="X264" s="55">
        <f t="shared" ca="1" si="75"/>
        <v>33.162694205629421</v>
      </c>
      <c r="Y264" s="55">
        <f t="shared" ca="1" si="76"/>
        <v>17.846664505766128</v>
      </c>
      <c r="Z264" s="55">
        <f t="shared" ca="1" si="69"/>
        <v>15.272023348873262</v>
      </c>
      <c r="AA264">
        <f t="shared" ca="1" si="70"/>
        <v>25.727605706605218</v>
      </c>
      <c r="AB264">
        <f t="shared" ca="1" si="77"/>
        <v>49.712071884046722</v>
      </c>
      <c r="AC264">
        <f t="shared" ca="1" si="71"/>
        <v>0</v>
      </c>
      <c r="AD264">
        <f t="shared" ca="1" si="72"/>
        <v>0.90331082532215612</v>
      </c>
      <c r="AE264" s="83" t="e">
        <f ca="1"/>
        <v>#N/A</v>
      </c>
      <c r="AF264" s="55" t="e">
        <f t="shared" ca="1" si="81"/>
        <v>#N/A</v>
      </c>
      <c r="AG264" s="55" t="e">
        <f t="shared" ca="1" si="82"/>
        <v>#N/A</v>
      </c>
      <c r="AH264" s="55" t="e">
        <f t="shared" ca="1" si="83"/>
        <v>#N/A</v>
      </c>
      <c r="AI264" s="55" t="e">
        <f t="shared" ca="1" si="84"/>
        <v>#N/A</v>
      </c>
      <c r="AJ264" s="55" t="e">
        <f t="shared" ca="1" si="78"/>
        <v>#N/A</v>
      </c>
      <c r="AK264" s="55" t="e">
        <f t="shared" ca="1" si="79"/>
        <v>#N/A</v>
      </c>
      <c r="AL264" s="55" t="e">
        <f t="shared" ca="1" si="80"/>
        <v>#N/A</v>
      </c>
      <c r="AM264" s="55"/>
    </row>
    <row r="265" spans="18:39">
      <c r="R265" s="83">
        <f ca="1"/>
        <v>45258</v>
      </c>
      <c r="S265" s="55">
        <f t="shared" ca="1" si="73"/>
        <v>45258</v>
      </c>
      <c r="T265" s="55">
        <f t="shared" ca="1" si="66"/>
        <v>53.532814238182809</v>
      </c>
      <c r="U265" s="55">
        <f t="shared" ca="1" si="67"/>
        <v>69.168015443513355</v>
      </c>
      <c r="V265" s="55">
        <f t="shared" ca="1" si="68"/>
        <v>0</v>
      </c>
      <c r="W265" s="55">
        <f t="shared" ca="1" si="74"/>
        <v>-28.546036396422135</v>
      </c>
      <c r="X265" s="55">
        <f t="shared" ca="1" si="75"/>
        <v>33.261697646780284</v>
      </c>
      <c r="Y265" s="55">
        <f t="shared" ca="1" si="76"/>
        <v>17.849033461359902</v>
      </c>
      <c r="Z265" s="55">
        <f t="shared" ca="1" si="69"/>
        <v>15.249522095157204</v>
      </c>
      <c r="AA265">
        <f t="shared" ca="1" si="70"/>
        <v>27.86270350559413</v>
      </c>
      <c r="AB265">
        <f t="shared" ca="1" si="77"/>
        <v>49.712071884046722</v>
      </c>
      <c r="AC265">
        <f t="shared" ca="1" si="71"/>
        <v>0</v>
      </c>
      <c r="AD265">
        <f t="shared" ca="1" si="72"/>
        <v>0.90713303551511026</v>
      </c>
      <c r="AE265" s="83" t="e">
        <f ca="1"/>
        <v>#N/A</v>
      </c>
      <c r="AF265" s="55" t="e">
        <f t="shared" ca="1" si="81"/>
        <v>#N/A</v>
      </c>
      <c r="AG265" s="55" t="e">
        <f t="shared" ca="1" si="82"/>
        <v>#N/A</v>
      </c>
      <c r="AH265" s="55" t="e">
        <f t="shared" ca="1" si="83"/>
        <v>#N/A</v>
      </c>
      <c r="AI265" s="55" t="e">
        <f t="shared" ca="1" si="84"/>
        <v>#N/A</v>
      </c>
      <c r="AJ265" s="55" t="e">
        <f t="shared" ca="1" si="78"/>
        <v>#N/A</v>
      </c>
      <c r="AK265" s="55" t="e">
        <f t="shared" ca="1" si="79"/>
        <v>#N/A</v>
      </c>
      <c r="AL265" s="55" t="e">
        <f t="shared" ca="1" si="80"/>
        <v>#N/A</v>
      </c>
      <c r="AM265" s="55"/>
    </row>
    <row r="266" spans="18:39">
      <c r="R266" s="83">
        <f ca="1"/>
        <v>45259</v>
      </c>
      <c r="S266" s="55">
        <f t="shared" ca="1" si="73"/>
        <v>45259</v>
      </c>
      <c r="T266" s="55">
        <f t="shared" ca="1" si="66"/>
        <v>52.550280357927164</v>
      </c>
      <c r="U266" s="55">
        <f t="shared" ca="1" si="67"/>
        <v>70.248458014614712</v>
      </c>
      <c r="V266" s="55">
        <f t="shared" ca="1" si="68"/>
        <v>0</v>
      </c>
      <c r="W266" s="55">
        <f t="shared" ca="1" si="74"/>
        <v>-28.546036396422135</v>
      </c>
      <c r="X266" s="55">
        <f t="shared" ca="1" si="75"/>
        <v>33.357391987979661</v>
      </c>
      <c r="Y266" s="55">
        <f t="shared" ca="1" si="76"/>
        <v>17.851247811006239</v>
      </c>
      <c r="Z266" s="55">
        <f t="shared" ca="1" si="69"/>
        <v>15.12619599541901</v>
      </c>
      <c r="AA266">
        <f t="shared" ca="1" si="70"/>
        <v>26.878733797043001</v>
      </c>
      <c r="AB266">
        <f t="shared" ca="1" si="77"/>
        <v>49.712071884046722</v>
      </c>
      <c r="AC266">
        <f t="shared" ca="1" si="71"/>
        <v>0</v>
      </c>
      <c r="AD266">
        <f t="shared" ca="1" si="72"/>
        <v>0.91074076952841365</v>
      </c>
      <c r="AE266" s="83" t="e">
        <f ca="1"/>
        <v>#N/A</v>
      </c>
      <c r="AF266" s="55" t="e">
        <f t="shared" ca="1" si="81"/>
        <v>#N/A</v>
      </c>
      <c r="AG266" s="55" t="e">
        <f t="shared" ca="1" si="82"/>
        <v>#N/A</v>
      </c>
      <c r="AH266" s="55" t="e">
        <f t="shared" ca="1" si="83"/>
        <v>#N/A</v>
      </c>
      <c r="AI266" s="55" t="e">
        <f t="shared" ca="1" si="84"/>
        <v>#N/A</v>
      </c>
      <c r="AJ266" s="55" t="e">
        <f t="shared" ca="1" si="78"/>
        <v>#N/A</v>
      </c>
      <c r="AK266" s="55" t="e">
        <f t="shared" ca="1" si="79"/>
        <v>#N/A</v>
      </c>
      <c r="AL266" s="55" t="e">
        <f t="shared" ca="1" si="80"/>
        <v>#N/A</v>
      </c>
      <c r="AM266" s="55"/>
    </row>
    <row r="267" spans="18:39">
      <c r="R267" s="83">
        <f ca="1"/>
        <v>45260</v>
      </c>
      <c r="S267" s="55">
        <f t="shared" ca="1" si="73"/>
        <v>45260</v>
      </c>
      <c r="T267" s="55">
        <f t="shared" ca="1" si="66"/>
        <v>51.522150956262003</v>
      </c>
      <c r="U267" s="55">
        <f t="shared" ca="1" si="67"/>
        <v>71.378083492739805</v>
      </c>
      <c r="V267" s="55">
        <f t="shared" ca="1" si="68"/>
        <v>0</v>
      </c>
      <c r="W267" s="55">
        <f t="shared" ca="1" si="74"/>
        <v>-28.546036396422135</v>
      </c>
      <c r="X267" s="55">
        <f t="shared" ca="1" si="75"/>
        <v>33.456631007130071</v>
      </c>
      <c r="Y267" s="55">
        <f t="shared" ca="1" si="76"/>
        <v>17.85350486831576</v>
      </c>
      <c r="Z267" s="55">
        <f t="shared" ca="1" si="69"/>
        <v>15.814756693751292</v>
      </c>
      <c r="AA267">
        <f t="shared" ca="1" si="70"/>
        <v>26.930975234061652</v>
      </c>
      <c r="AB267">
        <f t="shared" ca="1" si="77"/>
        <v>49.712071884046722</v>
      </c>
      <c r="AC267">
        <f t="shared" ca="1" si="71"/>
        <v>0</v>
      </c>
      <c r="AD267">
        <f t="shared" ca="1" si="72"/>
        <v>0.91432837063830696</v>
      </c>
      <c r="AE267" s="83" t="e">
        <f ca="1"/>
        <v>#N/A</v>
      </c>
      <c r="AF267" s="55" t="e">
        <f t="shared" ca="1" si="81"/>
        <v>#N/A</v>
      </c>
      <c r="AG267" s="55" t="e">
        <f t="shared" ca="1" si="82"/>
        <v>#N/A</v>
      </c>
      <c r="AH267" s="55" t="e">
        <f t="shared" ca="1" si="83"/>
        <v>#N/A</v>
      </c>
      <c r="AI267" s="55" t="e">
        <f t="shared" ca="1" si="84"/>
        <v>#N/A</v>
      </c>
      <c r="AJ267" s="55" t="e">
        <f t="shared" ca="1" si="78"/>
        <v>#N/A</v>
      </c>
      <c r="AK267" s="55" t="e">
        <f t="shared" ca="1" si="79"/>
        <v>#N/A</v>
      </c>
      <c r="AL267" s="55" t="e">
        <f t="shared" ca="1" si="80"/>
        <v>#N/A</v>
      </c>
      <c r="AM267" s="55"/>
    </row>
    <row r="268" spans="18:39">
      <c r="R268" s="83">
        <f ca="1"/>
        <v>45261</v>
      </c>
      <c r="S268" s="55">
        <f t="shared" ca="1" si="73"/>
        <v>45261</v>
      </c>
      <c r="T268" s="55">
        <f t="shared" ca="1" si="66"/>
        <v>50.401833883026185</v>
      </c>
      <c r="U268" s="55">
        <f t="shared" ca="1" si="67"/>
        <v>72.607945591093937</v>
      </c>
      <c r="V268" s="55">
        <f t="shared" ca="1" si="68"/>
        <v>0</v>
      </c>
      <c r="W268" s="55">
        <f t="shared" ca="1" si="74"/>
        <v>-28.546036396422135</v>
      </c>
      <c r="X268" s="55">
        <f t="shared" ca="1" si="75"/>
        <v>33.563861967266604</v>
      </c>
      <c r="Y268" s="55">
        <f t="shared" ca="1" si="76"/>
        <v>17.855818933297538</v>
      </c>
      <c r="Z268" s="55">
        <f t="shared" ca="1" si="69"/>
        <v>17.218069376957857</v>
      </c>
      <c r="AA268">
        <f t="shared" ca="1" si="70"/>
        <v>26.081116016091197</v>
      </c>
      <c r="AB268">
        <f t="shared" ca="1" si="77"/>
        <v>49.712071884046722</v>
      </c>
      <c r="AC268">
        <f t="shared" ca="1" si="71"/>
        <v>0</v>
      </c>
      <c r="AD268">
        <f t="shared" ca="1" si="72"/>
        <v>0.91803265281928126</v>
      </c>
      <c r="AE268" s="83" t="e">
        <f ca="1"/>
        <v>#N/A</v>
      </c>
      <c r="AF268" s="55" t="e">
        <f t="shared" ca="1" si="81"/>
        <v>#N/A</v>
      </c>
      <c r="AG268" s="55" t="e">
        <f t="shared" ca="1" si="82"/>
        <v>#N/A</v>
      </c>
      <c r="AH268" s="55" t="e">
        <f t="shared" ca="1" si="83"/>
        <v>#N/A</v>
      </c>
      <c r="AI268" s="55" t="e">
        <f t="shared" ca="1" si="84"/>
        <v>#N/A</v>
      </c>
      <c r="AJ268" s="55" t="e">
        <f t="shared" ca="1" si="78"/>
        <v>#N/A</v>
      </c>
      <c r="AK268" s="55" t="e">
        <f t="shared" ca="1" si="79"/>
        <v>#N/A</v>
      </c>
      <c r="AL268" s="55" t="e">
        <f t="shared" ca="1" si="80"/>
        <v>#N/A</v>
      </c>
      <c r="AM268" s="55"/>
    </row>
    <row r="269" spans="18:39">
      <c r="R269" s="83">
        <f ca="1"/>
        <v>45262</v>
      </c>
      <c r="S269" s="55">
        <f t="shared" ca="1" si="73"/>
        <v>45262</v>
      </c>
      <c r="T269" s="55">
        <f t="shared" ca="1" si="66"/>
        <v>49.240660070623541</v>
      </c>
      <c r="U269" s="55">
        <f t="shared" ca="1" si="67"/>
        <v>73.879570285575767</v>
      </c>
      <c r="V269" s="55">
        <f t="shared" ca="1" si="68"/>
        <v>0</v>
      </c>
      <c r="W269" s="55">
        <f t="shared" ca="1" si="74"/>
        <v>-28.546036396422135</v>
      </c>
      <c r="X269" s="55">
        <f t="shared" ca="1" si="75"/>
        <v>33.672121252348973</v>
      </c>
      <c r="Y269" s="55">
        <f t="shared" ca="1" si="76"/>
        <v>17.858010530294351</v>
      </c>
      <c r="Z269" s="55">
        <f t="shared" ca="1" si="69"/>
        <v>17.802745722745613</v>
      </c>
      <c r="AA269">
        <f t="shared" ca="1" si="70"/>
        <v>24.524426231134697</v>
      </c>
      <c r="AB269">
        <f t="shared" ca="1" si="77"/>
        <v>49.712071884046722</v>
      </c>
      <c r="AC269">
        <f t="shared" ca="1" si="71"/>
        <v>0</v>
      </c>
      <c r="AD269">
        <f t="shared" ca="1" si="72"/>
        <v>0.92165530509861782</v>
      </c>
      <c r="AE269" s="83" t="e">
        <f ca="1"/>
        <v>#N/A</v>
      </c>
      <c r="AF269" s="55" t="e">
        <f t="shared" ca="1" si="81"/>
        <v>#N/A</v>
      </c>
      <c r="AG269" s="55" t="e">
        <f t="shared" ca="1" si="82"/>
        <v>#N/A</v>
      </c>
      <c r="AH269" s="55" t="e">
        <f t="shared" ca="1" si="83"/>
        <v>#N/A</v>
      </c>
      <c r="AI269" s="55" t="e">
        <f t="shared" ca="1" si="84"/>
        <v>#N/A</v>
      </c>
      <c r="AJ269" s="55" t="e">
        <f t="shared" ca="1" si="78"/>
        <v>#N/A</v>
      </c>
      <c r="AK269" s="55" t="e">
        <f t="shared" ca="1" si="79"/>
        <v>#N/A</v>
      </c>
      <c r="AL269" s="55" t="e">
        <f t="shared" ca="1" si="80"/>
        <v>#N/A</v>
      </c>
      <c r="AM269" s="55"/>
    </row>
    <row r="270" spans="18:39">
      <c r="R270" s="83">
        <f ca="1"/>
        <v>45263</v>
      </c>
      <c r="S270" s="55">
        <f t="shared" ca="1" si="73"/>
        <v>45263</v>
      </c>
      <c r="T270" s="55">
        <f t="shared" ca="1" si="66"/>
        <v>48.008910352057626</v>
      </c>
      <c r="U270" s="55">
        <f t="shared" ca="1" si="67"/>
        <v>75.226745464532058</v>
      </c>
      <c r="V270" s="55">
        <f t="shared" ca="1" si="68"/>
        <v>0</v>
      </c>
      <c r="W270" s="55">
        <f t="shared" ca="1" si="74"/>
        <v>-28.546036396422135</v>
      </c>
      <c r="X270" s="55">
        <f t="shared" ca="1" si="75"/>
        <v>33.785368919710507</v>
      </c>
      <c r="Y270" s="55">
        <f t="shared" ca="1" si="76"/>
        <v>17.860188323323193</v>
      </c>
      <c r="Z270" s="55">
        <f t="shared" ca="1" si="69"/>
        <v>18.860452505388082</v>
      </c>
      <c r="AA270">
        <f t="shared" ca="1" si="70"/>
        <v>23.577428001284837</v>
      </c>
      <c r="AB270">
        <f t="shared" ca="1" si="77"/>
        <v>49.712071884046722</v>
      </c>
      <c r="AC270">
        <f t="shared" ca="1" si="71"/>
        <v>0</v>
      </c>
      <c r="AD270">
        <f t="shared" ca="1" si="72"/>
        <v>0.92527806008688063</v>
      </c>
      <c r="AE270" s="83" t="e">
        <f ca="1"/>
        <v>#N/A</v>
      </c>
      <c r="AF270" s="55" t="e">
        <f t="shared" ca="1" si="81"/>
        <v>#N/A</v>
      </c>
      <c r="AG270" s="55" t="e">
        <f t="shared" ca="1" si="82"/>
        <v>#N/A</v>
      </c>
      <c r="AH270" s="55" t="e">
        <f t="shared" ca="1" si="83"/>
        <v>#N/A</v>
      </c>
      <c r="AI270" s="55" t="e">
        <f t="shared" ca="1" si="84"/>
        <v>#N/A</v>
      </c>
      <c r="AJ270" s="55" t="e">
        <f t="shared" ca="1" si="78"/>
        <v>#N/A</v>
      </c>
      <c r="AK270" s="55" t="e">
        <f t="shared" ca="1" si="79"/>
        <v>#N/A</v>
      </c>
      <c r="AL270" s="55" t="e">
        <f t="shared" ca="1" si="80"/>
        <v>#N/A</v>
      </c>
      <c r="AM270" s="55"/>
    </row>
    <row r="271" spans="18:39">
      <c r="R271" s="83">
        <f ca="1"/>
        <v>45264</v>
      </c>
      <c r="S271" s="55">
        <f t="shared" ca="1" si="73"/>
        <v>45264</v>
      </c>
      <c r="T271" s="55">
        <f t="shared" ca="1" si="66"/>
        <v>46.789648776451727</v>
      </c>
      <c r="U271" s="55">
        <f t="shared" ca="1" si="67"/>
        <v>76.556665893470708</v>
      </c>
      <c r="V271" s="55">
        <f t="shared" ca="1" si="68"/>
        <v>0</v>
      </c>
      <c r="W271" s="55">
        <f t="shared" ca="1" si="74"/>
        <v>-28.546036396422135</v>
      </c>
      <c r="X271" s="55">
        <f t="shared" ca="1" si="75"/>
        <v>33.894004632230114</v>
      </c>
      <c r="Y271" s="55">
        <f t="shared" ca="1" si="76"/>
        <v>17.862211464136337</v>
      </c>
      <c r="Z271" s="55">
        <f t="shared" ca="1" si="69"/>
        <v>18.618886005141093</v>
      </c>
      <c r="AA271">
        <f t="shared" ca="1" si="70"/>
        <v>22.814405225114545</v>
      </c>
      <c r="AB271">
        <f t="shared" ca="1" si="77"/>
        <v>49.712071884046722</v>
      </c>
      <c r="AC271">
        <f t="shared" ca="1" si="71"/>
        <v>0</v>
      </c>
      <c r="AD271">
        <f t="shared" ca="1" si="72"/>
        <v>0.9286516402446704</v>
      </c>
      <c r="AE271" s="83" t="e">
        <f ca="1"/>
        <v>#N/A</v>
      </c>
      <c r="AF271" s="55" t="e">
        <f t="shared" ca="1" si="81"/>
        <v>#N/A</v>
      </c>
      <c r="AG271" s="55" t="e">
        <f t="shared" ca="1" si="82"/>
        <v>#N/A</v>
      </c>
      <c r="AH271" s="55" t="e">
        <f t="shared" ca="1" si="83"/>
        <v>#N/A</v>
      </c>
      <c r="AI271" s="55" t="e">
        <f t="shared" ca="1" si="84"/>
        <v>#N/A</v>
      </c>
      <c r="AJ271" s="55" t="e">
        <f t="shared" ca="1" si="78"/>
        <v>#N/A</v>
      </c>
      <c r="AK271" s="55" t="e">
        <f t="shared" ca="1" si="79"/>
        <v>#N/A</v>
      </c>
      <c r="AL271" s="55" t="e">
        <f t="shared" ca="1" si="80"/>
        <v>#N/A</v>
      </c>
      <c r="AM271" s="55"/>
    </row>
    <row r="272" spans="18:39">
      <c r="R272" s="83">
        <f ca="1"/>
        <v>45265</v>
      </c>
      <c r="S272" s="55">
        <f t="shared" ca="1" si="73"/>
        <v>45265</v>
      </c>
      <c r="T272" s="55">
        <f t="shared" ca="1" si="66"/>
        <v>45.558674286240382</v>
      </c>
      <c r="U272" s="55">
        <f t="shared" ca="1" si="67"/>
        <v>77.89771283358111</v>
      </c>
      <c r="V272" s="55">
        <f t="shared" ca="1" si="68"/>
        <v>0</v>
      </c>
      <c r="W272" s="55">
        <f t="shared" ca="1" si="74"/>
        <v>-28.546036396422135</v>
      </c>
      <c r="X272" s="55">
        <f t="shared" ca="1" si="75"/>
        <v>34.002057679801943</v>
      </c>
      <c r="Y272" s="55">
        <f t="shared" ca="1" si="76"/>
        <v>17.864230866463565</v>
      </c>
      <c r="Z272" s="55">
        <f t="shared" ca="1" si="69"/>
        <v>18.774657161545633</v>
      </c>
      <c r="AA272">
        <f t="shared" ca="1" si="70"/>
        <v>23.175805413328838</v>
      </c>
      <c r="AB272">
        <f t="shared" ca="1" si="77"/>
        <v>49.712071884046722</v>
      </c>
      <c r="AC272">
        <f t="shared" ca="1" si="71"/>
        <v>0</v>
      </c>
      <c r="AD272">
        <f t="shared" ca="1" si="72"/>
        <v>0.93186302765735052</v>
      </c>
      <c r="AE272" s="83" t="e">
        <f ca="1"/>
        <v>#N/A</v>
      </c>
      <c r="AF272" s="55" t="e">
        <f t="shared" ca="1" si="81"/>
        <v>#N/A</v>
      </c>
      <c r="AG272" s="55" t="e">
        <f t="shared" ca="1" si="82"/>
        <v>#N/A</v>
      </c>
      <c r="AH272" s="55" t="e">
        <f t="shared" ca="1" si="83"/>
        <v>#N/A</v>
      </c>
      <c r="AI272" s="55" t="e">
        <f t="shared" ca="1" si="84"/>
        <v>#N/A</v>
      </c>
      <c r="AJ272" s="55" t="e">
        <f t="shared" ca="1" si="78"/>
        <v>#N/A</v>
      </c>
      <c r="AK272" s="55" t="e">
        <f t="shared" ca="1" si="79"/>
        <v>#N/A</v>
      </c>
      <c r="AL272" s="55" t="e">
        <f t="shared" ca="1" si="80"/>
        <v>#N/A</v>
      </c>
      <c r="AM272" s="55"/>
    </row>
    <row r="273" spans="18:39">
      <c r="R273" s="83">
        <f ca="1"/>
        <v>45266</v>
      </c>
      <c r="S273" s="55">
        <f t="shared" ca="1" si="73"/>
        <v>45266</v>
      </c>
      <c r="T273" s="55">
        <f t="shared" ca="1" si="66"/>
        <v>44.358126635050581</v>
      </c>
      <c r="U273" s="55">
        <f t="shared" ca="1" si="67"/>
        <v>79.203668601737874</v>
      </c>
      <c r="V273" s="55">
        <f t="shared" ca="1" si="68"/>
        <v>0</v>
      </c>
      <c r="W273" s="55">
        <f t="shared" ca="1" si="74"/>
        <v>-28.546036396422135</v>
      </c>
      <c r="X273" s="55">
        <f t="shared" ca="1" si="75"/>
        <v>34.10548228592252</v>
      </c>
      <c r="Y273" s="55">
        <f t="shared" ca="1" si="76"/>
        <v>17.866214377309952</v>
      </c>
      <c r="Z273" s="55">
        <f t="shared" ca="1" si="69"/>
        <v>18.283380754194695</v>
      </c>
      <c r="AA273">
        <f t="shared" ca="1" si="70"/>
        <v>23.983883671311084</v>
      </c>
      <c r="AB273">
        <f t="shared" ca="1" si="77"/>
        <v>49.712071884046722</v>
      </c>
      <c r="AC273">
        <f t="shared" ca="1" si="71"/>
        <v>0</v>
      </c>
      <c r="AD273">
        <f t="shared" ca="1" si="72"/>
        <v>0.93481862985153008</v>
      </c>
      <c r="AE273" s="83" t="e">
        <f ca="1"/>
        <v>#N/A</v>
      </c>
      <c r="AF273" s="55" t="e">
        <f t="shared" ca="1" si="81"/>
        <v>#N/A</v>
      </c>
      <c r="AG273" s="55" t="e">
        <f t="shared" ca="1" si="82"/>
        <v>#N/A</v>
      </c>
      <c r="AH273" s="55" t="e">
        <f t="shared" ca="1" si="83"/>
        <v>#N/A</v>
      </c>
      <c r="AI273" s="55" t="e">
        <f t="shared" ca="1" si="84"/>
        <v>#N/A</v>
      </c>
      <c r="AJ273" s="55" t="e">
        <f t="shared" ca="1" si="78"/>
        <v>#N/A</v>
      </c>
      <c r="AK273" s="55" t="e">
        <f t="shared" ca="1" si="79"/>
        <v>#N/A</v>
      </c>
      <c r="AL273" s="55" t="e">
        <f t="shared" ca="1" si="80"/>
        <v>#N/A</v>
      </c>
      <c r="AM273" s="55"/>
    </row>
    <row r="274" spans="18:39">
      <c r="R274" s="83">
        <f ca="1"/>
        <v>45267</v>
      </c>
      <c r="S274" s="55">
        <f t="shared" ca="1" si="73"/>
        <v>45267</v>
      </c>
      <c r="T274" s="55">
        <f t="shared" ref="T274:T337" ca="1" si="85">VLOOKUP(S274,ModelOutputs,2,FALSE)</f>
        <v>43.093664596555243</v>
      </c>
      <c r="U274" s="55">
        <f t="shared" ref="U274:U337" ca="1" si="86">VLOOKUP(S274,ModelOutputs,7,FALSE)</f>
        <v>80.577766862812965</v>
      </c>
      <c r="V274" s="55">
        <f t="shared" ref="V274:V337" ca="1" si="87">VLOOKUP(S274,ModelOutputs,6,FALSE)</f>
        <v>0</v>
      </c>
      <c r="W274" s="55">
        <f t="shared" ca="1" si="74"/>
        <v>-28.546036396422135</v>
      </c>
      <c r="X274" s="55">
        <f t="shared" ca="1" si="75"/>
        <v>34.213129566422545</v>
      </c>
      <c r="Y274" s="55">
        <f t="shared" ca="1" si="76"/>
        <v>17.868203319389675</v>
      </c>
      <c r="Z274" s="55">
        <f t="shared" ref="Z274:Z337" ca="1" si="88">VLOOKUP(S274,ModelOutputs,3,FALSE)*14</f>
        <v>19.237375655051267</v>
      </c>
      <c r="AA274">
        <f t="shared" ref="AA274:AA337" ca="1" si="89">VLOOKUP(S274,ModelOutputs,10,FALSE)*AWC</f>
        <v>23.429689556771901</v>
      </c>
      <c r="AB274">
        <f t="shared" ca="1" si="77"/>
        <v>49.712071884046722</v>
      </c>
      <c r="AC274">
        <f t="shared" ref="AC274:AC337" ca="1" si="90">VLOOKUP(S274,ModelOutputs,12,FALSE)</f>
        <v>0</v>
      </c>
      <c r="AD274">
        <f t="shared" ref="AD274:AD337" ca="1" si="91">VLOOKUP(S274,ModelOutputs,13,FALSE)</f>
        <v>0.93775746762982959</v>
      </c>
      <c r="AE274" s="83" t="e">
        <f ca="1"/>
        <v>#N/A</v>
      </c>
      <c r="AF274" s="55" t="e">
        <f t="shared" ca="1" si="81"/>
        <v>#N/A</v>
      </c>
      <c r="AG274" s="55" t="e">
        <f t="shared" ca="1" si="82"/>
        <v>#N/A</v>
      </c>
      <c r="AH274" s="55" t="e">
        <f t="shared" ca="1" si="83"/>
        <v>#N/A</v>
      </c>
      <c r="AI274" s="55" t="e">
        <f t="shared" ca="1" si="84"/>
        <v>#N/A</v>
      </c>
      <c r="AJ274" s="55" t="e">
        <f t="shared" ca="1" si="78"/>
        <v>#N/A</v>
      </c>
      <c r="AK274" s="55" t="e">
        <f t="shared" ca="1" si="79"/>
        <v>#N/A</v>
      </c>
      <c r="AL274" s="55" t="e">
        <f t="shared" ca="1" si="80"/>
        <v>#N/A</v>
      </c>
      <c r="AM274" s="55"/>
    </row>
    <row r="275" spans="18:39">
      <c r="R275" s="83">
        <f ca="1"/>
        <v>45268</v>
      </c>
      <c r="S275" s="55">
        <f t="shared" ref="S275:S338" ca="1" si="92">IF(R275&gt;1,R275,"")</f>
        <v>45268</v>
      </c>
      <c r="T275" s="55">
        <f t="shared" ca="1" si="85"/>
        <v>41.807072608852643</v>
      </c>
      <c r="U275" s="55">
        <f t="shared" ca="1" si="86"/>
        <v>81.976875670747319</v>
      </c>
      <c r="V275" s="55">
        <f t="shared" ca="1" si="87"/>
        <v>0</v>
      </c>
      <c r="W275" s="55">
        <f t="shared" ref="W275:W338" ca="1" si="93">-VLOOKUP(S275,ModelOutputs,9,FALSE)+W274</f>
        <v>-28.546036396422135</v>
      </c>
      <c r="X275" s="55">
        <f t="shared" ref="X275:X338" ca="1" si="94">VLOOKUP(S275,ModelOutputs,5,FALSE)+X274</f>
        <v>34.323465256991774</v>
      </c>
      <c r="Y275" s="55">
        <f t="shared" ref="Y275:Y338" ca="1" si="95">VLOOKUP(S275,ModelOutputs,4,FALSE)+Y274</f>
        <v>17.870384449052199</v>
      </c>
      <c r="Z275" s="55">
        <f t="shared" ca="1" si="88"/>
        <v>19.587523311080957</v>
      </c>
      <c r="AA275">
        <f t="shared" ca="1" si="89"/>
        <v>25.894424501237744</v>
      </c>
      <c r="AB275">
        <f t="shared" ref="AB275:AB338" ca="1" si="96">VLOOKUP(S275,ModelOutputs,11,FALSE)+AB274</f>
        <v>49.712071884046722</v>
      </c>
      <c r="AC275">
        <f t="shared" ca="1" si="90"/>
        <v>0</v>
      </c>
      <c r="AD275">
        <f t="shared" ca="1" si="91"/>
        <v>0.94058151053781114</v>
      </c>
      <c r="AE275" s="83" t="e">
        <f ca="1"/>
        <v>#N/A</v>
      </c>
      <c r="AF275" s="55" t="e">
        <f t="shared" ca="1" si="81"/>
        <v>#N/A</v>
      </c>
      <c r="AG275" s="55" t="e">
        <f t="shared" ca="1" si="82"/>
        <v>#N/A</v>
      </c>
      <c r="AH275" s="55" t="e">
        <f t="shared" ca="1" si="83"/>
        <v>#N/A</v>
      </c>
      <c r="AI275" s="55" t="e">
        <f t="shared" ca="1" si="84"/>
        <v>#N/A</v>
      </c>
      <c r="AJ275" s="55" t="e">
        <f t="shared" ref="AJ275:AJ338" ca="1" si="97">-VLOOKUP(AF275,ModelOutputs,9,FALSE)+AJ274</f>
        <v>#N/A</v>
      </c>
      <c r="AK275" s="55" t="e">
        <f t="shared" ref="AK275:AK338" ca="1" si="98">VLOOKUP(AF275,ModelOutputs,5,FALSE)+AK274</f>
        <v>#N/A</v>
      </c>
      <c r="AL275" s="55" t="e">
        <f t="shared" ref="AL275:AL338" ca="1" si="99">VLOOKUP(AF275,ModelOutputs,4,FALSE)+AL274</f>
        <v>#N/A</v>
      </c>
      <c r="AM275" s="55"/>
    </row>
    <row r="276" spans="18:39">
      <c r="R276" s="83">
        <f ca="1"/>
        <v>45269</v>
      </c>
      <c r="S276" s="55">
        <f t="shared" ca="1" si="92"/>
        <v>45269</v>
      </c>
      <c r="T276" s="55">
        <f t="shared" ca="1" si="85"/>
        <v>40.555482323754809</v>
      </c>
      <c r="U276" s="55">
        <f t="shared" ca="1" si="86"/>
        <v>83.333164043899686</v>
      </c>
      <c r="V276" s="55">
        <f t="shared" ca="1" si="87"/>
        <v>0</v>
      </c>
      <c r="W276" s="55">
        <f t="shared" ca="1" si="93"/>
        <v>-28.546036396422135</v>
      </c>
      <c r="X276" s="55">
        <f t="shared" ca="1" si="94"/>
        <v>34.426249251487043</v>
      </c>
      <c r="Y276" s="55">
        <f t="shared" ca="1" si="95"/>
        <v>17.872298542611468</v>
      </c>
      <c r="Z276" s="55">
        <f t="shared" ca="1" si="88"/>
        <v>18.988037224133137</v>
      </c>
      <c r="AA276">
        <f t="shared" ca="1" si="89"/>
        <v>24.054354539618235</v>
      </c>
      <c r="AB276">
        <f t="shared" ca="1" si="96"/>
        <v>49.712071884046722</v>
      </c>
      <c r="AC276">
        <f t="shared" ca="1" si="90"/>
        <v>0</v>
      </c>
      <c r="AD276">
        <f t="shared" ca="1" si="91"/>
        <v>0.94316774060870312</v>
      </c>
      <c r="AE276" s="83" t="e">
        <f ca="1"/>
        <v>#N/A</v>
      </c>
      <c r="AF276" s="55" t="e">
        <f t="shared" ca="1" si="81"/>
        <v>#N/A</v>
      </c>
      <c r="AG276" s="55" t="e">
        <f t="shared" ca="1" si="82"/>
        <v>#N/A</v>
      </c>
      <c r="AH276" s="55" t="e">
        <f t="shared" ca="1" si="83"/>
        <v>#N/A</v>
      </c>
      <c r="AI276" s="55" t="e">
        <f t="shared" ca="1" si="84"/>
        <v>#N/A</v>
      </c>
      <c r="AJ276" s="55" t="e">
        <f t="shared" ca="1" si="97"/>
        <v>#N/A</v>
      </c>
      <c r="AK276" s="55" t="e">
        <f t="shared" ca="1" si="98"/>
        <v>#N/A</v>
      </c>
      <c r="AL276" s="55" t="e">
        <f t="shared" ca="1" si="99"/>
        <v>#N/A</v>
      </c>
      <c r="AM276" s="55"/>
    </row>
    <row r="277" spans="18:39">
      <c r="R277" s="83">
        <f ca="1"/>
        <v>45270</v>
      </c>
      <c r="S277" s="55">
        <f t="shared" ca="1" si="92"/>
        <v>45270</v>
      </c>
      <c r="T277" s="55">
        <f t="shared" ca="1" si="85"/>
        <v>39.222672375266249</v>
      </c>
      <c r="U277" s="55">
        <f t="shared" ca="1" si="86"/>
        <v>84.775623289850927</v>
      </c>
      <c r="V277" s="55">
        <f t="shared" ca="1" si="87"/>
        <v>0</v>
      </c>
      <c r="W277" s="55">
        <f t="shared" ca="1" si="93"/>
        <v>-28.546036396422135</v>
      </c>
      <c r="X277" s="55">
        <f t="shared" ca="1" si="94"/>
        <v>34.534019342943225</v>
      </c>
      <c r="Y277" s="55">
        <f t="shared" ca="1" si="95"/>
        <v>17.874177748617967</v>
      </c>
      <c r="Z277" s="55">
        <f t="shared" ca="1" si="88"/>
        <v>20.194429443317375</v>
      </c>
      <c r="AA277">
        <f t="shared" ca="1" si="89"/>
        <v>22.748526690045239</v>
      </c>
      <c r="AB277">
        <f t="shared" ca="1" si="96"/>
        <v>49.712071884046722</v>
      </c>
      <c r="AC277">
        <f t="shared" ca="1" si="90"/>
        <v>0</v>
      </c>
      <c r="AD277">
        <f t="shared" ca="1" si="91"/>
        <v>0.94576562183439594</v>
      </c>
      <c r="AE277" s="83" t="e">
        <f ca="1"/>
        <v>#N/A</v>
      </c>
      <c r="AF277" s="55" t="e">
        <f t="shared" ref="AF277:AF340" ca="1" si="100">IF(AE277&gt;1,AE277,"")</f>
        <v>#N/A</v>
      </c>
      <c r="AG277" s="55" t="e">
        <f t="shared" ref="AG277:AG340" ca="1" si="101">VLOOKUP(AF277,ModelOutputs,2,FALSE)</f>
        <v>#N/A</v>
      </c>
      <c r="AH277" s="55" t="e">
        <f t="shared" ref="AH277:AH340" ca="1" si="102">VLOOKUP(AF277,ModelOutputs,7,FALSE)</f>
        <v>#N/A</v>
      </c>
      <c r="AI277" s="55" t="e">
        <f t="shared" ref="AI277:AI340" ca="1" si="103">VLOOKUP(AF277,ModelOutputs,6,FALSE)</f>
        <v>#N/A</v>
      </c>
      <c r="AJ277" s="55" t="e">
        <f t="shared" ca="1" si="97"/>
        <v>#N/A</v>
      </c>
      <c r="AK277" s="55" t="e">
        <f t="shared" ca="1" si="98"/>
        <v>#N/A</v>
      </c>
      <c r="AL277" s="55" t="e">
        <f t="shared" ca="1" si="99"/>
        <v>#N/A</v>
      </c>
      <c r="AM277" s="55"/>
    </row>
    <row r="278" spans="18:39">
      <c r="R278" s="83">
        <f ca="1"/>
        <v>45271</v>
      </c>
      <c r="S278" s="55">
        <f t="shared" ca="1" si="92"/>
        <v>45271</v>
      </c>
      <c r="T278" s="55">
        <f t="shared" ca="1" si="85"/>
        <v>37.774560181747383</v>
      </c>
      <c r="U278" s="55">
        <f t="shared" ca="1" si="86"/>
        <v>86.340972044537168</v>
      </c>
      <c r="V278" s="55">
        <f t="shared" ca="1" si="87"/>
        <v>0</v>
      </c>
      <c r="W278" s="55">
        <f t="shared" ca="1" si="93"/>
        <v>-28.546036396422135</v>
      </c>
      <c r="X278" s="55">
        <f t="shared" ca="1" si="94"/>
        <v>34.649432230827301</v>
      </c>
      <c r="Y278" s="55">
        <f t="shared" ca="1" si="95"/>
        <v>17.876001421901265</v>
      </c>
      <c r="Z278" s="55">
        <f t="shared" ca="1" si="88"/>
        <v>21.914882565607371</v>
      </c>
      <c r="AA278">
        <f t="shared" ca="1" si="89"/>
        <v>20.76666269446401</v>
      </c>
      <c r="AB278">
        <f t="shared" ca="1" si="96"/>
        <v>49.712071884046722</v>
      </c>
      <c r="AC278">
        <f t="shared" ca="1" si="90"/>
        <v>0</v>
      </c>
      <c r="AD278">
        <f t="shared" ca="1" si="91"/>
        <v>0.94841894174493457</v>
      </c>
      <c r="AE278" s="83" t="e">
        <f ca="1"/>
        <v>#N/A</v>
      </c>
      <c r="AF278" s="55" t="e">
        <f t="shared" ca="1" si="100"/>
        <v>#N/A</v>
      </c>
      <c r="AG278" s="55" t="e">
        <f t="shared" ca="1" si="101"/>
        <v>#N/A</v>
      </c>
      <c r="AH278" s="55" t="e">
        <f t="shared" ca="1" si="102"/>
        <v>#N/A</v>
      </c>
      <c r="AI278" s="55" t="e">
        <f t="shared" ca="1" si="103"/>
        <v>#N/A</v>
      </c>
      <c r="AJ278" s="55" t="e">
        <f t="shared" ca="1" si="97"/>
        <v>#N/A</v>
      </c>
      <c r="AK278" s="55" t="e">
        <f t="shared" ca="1" si="98"/>
        <v>#N/A</v>
      </c>
      <c r="AL278" s="55" t="e">
        <f t="shared" ca="1" si="99"/>
        <v>#N/A</v>
      </c>
      <c r="AM278" s="55"/>
    </row>
    <row r="279" spans="18:39">
      <c r="R279" s="83">
        <f ca="1"/>
        <v>45272</v>
      </c>
      <c r="S279" s="55">
        <f t="shared" ca="1" si="92"/>
        <v>45272</v>
      </c>
      <c r="T279" s="55">
        <f t="shared" ca="1" si="85"/>
        <v>36.239412486168902</v>
      </c>
      <c r="U279" s="55">
        <f t="shared" ca="1" si="86"/>
        <v>87.999899406668433</v>
      </c>
      <c r="V279" s="55">
        <f t="shared" ca="1" si="87"/>
        <v>0</v>
      </c>
      <c r="W279" s="55">
        <f t="shared" ca="1" si="93"/>
        <v>-28.546036396422135</v>
      </c>
      <c r="X279" s="55">
        <f t="shared" ca="1" si="94"/>
        <v>34.77132152826497</v>
      </c>
      <c r="Y279" s="55">
        <f t="shared" ca="1" si="95"/>
        <v>17.877891791016378</v>
      </c>
      <c r="Z279" s="55">
        <f t="shared" ca="1" si="88"/>
        <v>23.22498306983772</v>
      </c>
      <c r="AA279">
        <f t="shared" ca="1" si="89"/>
        <v>20.734400522231777</v>
      </c>
      <c r="AB279">
        <f t="shared" ca="1" si="96"/>
        <v>49.712071884046722</v>
      </c>
      <c r="AC279">
        <f t="shared" ca="1" si="90"/>
        <v>0</v>
      </c>
      <c r="AD279">
        <f t="shared" ca="1" si="91"/>
        <v>0.95105601180551858</v>
      </c>
      <c r="AE279" s="83" t="e">
        <f ca="1"/>
        <v>#N/A</v>
      </c>
      <c r="AF279" s="55" t="e">
        <f t="shared" ca="1" si="100"/>
        <v>#N/A</v>
      </c>
      <c r="AG279" s="55" t="e">
        <f t="shared" ca="1" si="101"/>
        <v>#N/A</v>
      </c>
      <c r="AH279" s="55" t="e">
        <f t="shared" ca="1" si="102"/>
        <v>#N/A</v>
      </c>
      <c r="AI279" s="55" t="e">
        <f t="shared" ca="1" si="103"/>
        <v>#N/A</v>
      </c>
      <c r="AJ279" s="55" t="e">
        <f t="shared" ca="1" si="97"/>
        <v>#N/A</v>
      </c>
      <c r="AK279" s="55" t="e">
        <f t="shared" ca="1" si="98"/>
        <v>#N/A</v>
      </c>
      <c r="AL279" s="55" t="e">
        <f t="shared" ca="1" si="99"/>
        <v>#N/A</v>
      </c>
      <c r="AM279" s="55"/>
    </row>
    <row r="280" spans="18:39">
      <c r="R280" s="83">
        <f ca="1"/>
        <v>45273</v>
      </c>
      <c r="S280" s="55">
        <f t="shared" ca="1" si="92"/>
        <v>45273</v>
      </c>
      <c r="T280" s="55">
        <f t="shared" ca="1" si="85"/>
        <v>34.773547333404871</v>
      </c>
      <c r="U280" s="55">
        <f t="shared" ca="1" si="86"/>
        <v>89.582287840971802</v>
      </c>
      <c r="V280" s="55">
        <f t="shared" ca="1" si="87"/>
        <v>0</v>
      </c>
      <c r="W280" s="55">
        <f t="shared" ca="1" si="93"/>
        <v>-28.546036396422135</v>
      </c>
      <c r="X280" s="55">
        <f t="shared" ca="1" si="94"/>
        <v>34.885901174871449</v>
      </c>
      <c r="Y280" s="55">
        <f t="shared" ca="1" si="95"/>
        <v>17.879835425949235</v>
      </c>
      <c r="Z280" s="55">
        <f t="shared" ca="1" si="88"/>
        <v>22.153438080247156</v>
      </c>
      <c r="AA280">
        <f t="shared" ca="1" si="89"/>
        <v>23.112287591548363</v>
      </c>
      <c r="AB280">
        <f t="shared" ca="1" si="96"/>
        <v>49.712071884046722</v>
      </c>
      <c r="AC280">
        <f t="shared" ca="1" si="90"/>
        <v>0</v>
      </c>
      <c r="AD280">
        <f t="shared" ca="1" si="91"/>
        <v>0.95341604501982891</v>
      </c>
      <c r="AE280" s="83" t="e">
        <f ca="1"/>
        <v>#N/A</v>
      </c>
      <c r="AF280" s="55" t="e">
        <f t="shared" ca="1" si="100"/>
        <v>#N/A</v>
      </c>
      <c r="AG280" s="55" t="e">
        <f t="shared" ca="1" si="101"/>
        <v>#N/A</v>
      </c>
      <c r="AH280" s="55" t="e">
        <f t="shared" ca="1" si="102"/>
        <v>#N/A</v>
      </c>
      <c r="AI280" s="55" t="e">
        <f t="shared" ca="1" si="103"/>
        <v>#N/A</v>
      </c>
      <c r="AJ280" s="55" t="e">
        <f t="shared" ca="1" si="97"/>
        <v>#N/A</v>
      </c>
      <c r="AK280" s="55" t="e">
        <f t="shared" ca="1" si="98"/>
        <v>#N/A</v>
      </c>
      <c r="AL280" s="55" t="e">
        <f t="shared" ca="1" si="99"/>
        <v>#N/A</v>
      </c>
      <c r="AM280" s="55"/>
    </row>
    <row r="281" spans="18:39">
      <c r="R281" s="83">
        <f ca="1"/>
        <v>45274</v>
      </c>
      <c r="S281" s="55">
        <f t="shared" ca="1" si="92"/>
        <v>45274</v>
      </c>
      <c r="T281" s="55">
        <f t="shared" ca="1" si="85"/>
        <v>33.352306132419841</v>
      </c>
      <c r="U281" s="55">
        <f t="shared" ca="1" si="86"/>
        <v>91.112733409256137</v>
      </c>
      <c r="V281" s="55">
        <f t="shared" ca="1" si="87"/>
        <v>0</v>
      </c>
      <c r="W281" s="55">
        <f t="shared" ca="1" si="93"/>
        <v>-28.546036396422135</v>
      </c>
      <c r="X281" s="55">
        <f t="shared" ca="1" si="94"/>
        <v>34.993321611381837</v>
      </c>
      <c r="Y281" s="55">
        <f t="shared" ca="1" si="95"/>
        <v>17.881619356738156</v>
      </c>
      <c r="Z281" s="55">
        <f t="shared" ca="1" si="88"/>
        <v>21.426237955980696</v>
      </c>
      <c r="AA281">
        <f t="shared" ca="1" si="89"/>
        <v>22.551088163392706</v>
      </c>
      <c r="AB281">
        <f t="shared" ca="1" si="96"/>
        <v>49.712071884046722</v>
      </c>
      <c r="AC281">
        <f t="shared" ca="1" si="90"/>
        <v>0</v>
      </c>
      <c r="AD281">
        <f t="shared" ca="1" si="91"/>
        <v>0.95556470982726083</v>
      </c>
      <c r="AE281" s="83" t="e">
        <f ca="1"/>
        <v>#N/A</v>
      </c>
      <c r="AF281" s="55" t="e">
        <f t="shared" ca="1" si="100"/>
        <v>#N/A</v>
      </c>
      <c r="AG281" s="55" t="e">
        <f t="shared" ca="1" si="101"/>
        <v>#N/A</v>
      </c>
      <c r="AH281" s="55" t="e">
        <f t="shared" ca="1" si="102"/>
        <v>#N/A</v>
      </c>
      <c r="AI281" s="55" t="e">
        <f t="shared" ca="1" si="103"/>
        <v>#N/A</v>
      </c>
      <c r="AJ281" s="55" t="e">
        <f t="shared" ca="1" si="97"/>
        <v>#N/A</v>
      </c>
      <c r="AK281" s="55" t="e">
        <f t="shared" ca="1" si="98"/>
        <v>#N/A</v>
      </c>
      <c r="AL281" s="55" t="e">
        <f t="shared" ca="1" si="99"/>
        <v>#N/A</v>
      </c>
      <c r="AM281" s="55"/>
    </row>
    <row r="282" spans="18:39">
      <c r="R282" s="83">
        <f ca="1"/>
        <v>45275</v>
      </c>
      <c r="S282" s="55">
        <f t="shared" ca="1" si="92"/>
        <v>45275</v>
      </c>
      <c r="T282" s="55">
        <f t="shared" ca="1" si="85"/>
        <v>31.80263307122857</v>
      </c>
      <c r="U282" s="55">
        <f t="shared" ca="1" si="86"/>
        <v>92.781395050705001</v>
      </c>
      <c r="V282" s="55">
        <f t="shared" ca="1" si="87"/>
        <v>0</v>
      </c>
      <c r="W282" s="55">
        <f t="shared" ca="1" si="93"/>
        <v>-28.546036396422135</v>
      </c>
      <c r="X282" s="55">
        <f t="shared" ca="1" si="94"/>
        <v>35.110447654108867</v>
      </c>
      <c r="Y282" s="55">
        <f t="shared" ca="1" si="95"/>
        <v>17.883481894268723</v>
      </c>
      <c r="Z282" s="55">
        <f t="shared" ca="1" si="88"/>
        <v>23.361262980284096</v>
      </c>
      <c r="AA282">
        <f t="shared" ca="1" si="89"/>
        <v>22.02945115732107</v>
      </c>
      <c r="AB282">
        <f t="shared" ca="1" si="96"/>
        <v>49.712071884046722</v>
      </c>
      <c r="AC282">
        <f t="shared" ca="1" si="90"/>
        <v>0</v>
      </c>
      <c r="AD282">
        <f t="shared" ca="1" si="91"/>
        <v>0.95776810239698662</v>
      </c>
      <c r="AE282" s="83" t="e">
        <f ca="1"/>
        <v>#N/A</v>
      </c>
      <c r="AF282" s="55" t="e">
        <f t="shared" ca="1" si="100"/>
        <v>#N/A</v>
      </c>
      <c r="AG282" s="55" t="e">
        <f t="shared" ca="1" si="101"/>
        <v>#N/A</v>
      </c>
      <c r="AH282" s="55" t="e">
        <f t="shared" ca="1" si="102"/>
        <v>#N/A</v>
      </c>
      <c r="AI282" s="55" t="e">
        <f t="shared" ca="1" si="103"/>
        <v>#N/A</v>
      </c>
      <c r="AJ282" s="55" t="e">
        <f t="shared" ca="1" si="97"/>
        <v>#N/A</v>
      </c>
      <c r="AK282" s="55" t="e">
        <f t="shared" ca="1" si="98"/>
        <v>#N/A</v>
      </c>
      <c r="AL282" s="55" t="e">
        <f t="shared" ca="1" si="99"/>
        <v>#N/A</v>
      </c>
      <c r="AM282" s="55"/>
    </row>
    <row r="283" spans="18:39">
      <c r="R283" s="83">
        <f ca="1"/>
        <v>45276</v>
      </c>
      <c r="S283" s="55">
        <f t="shared" ca="1" si="92"/>
        <v>45276</v>
      </c>
      <c r="T283" s="55">
        <f t="shared" ca="1" si="85"/>
        <v>30.271622171751119</v>
      </c>
      <c r="U283" s="55">
        <f t="shared" ca="1" si="86"/>
        <v>94.428315110562963</v>
      </c>
      <c r="V283" s="55">
        <f t="shared" ca="1" si="87"/>
        <v>0</v>
      </c>
      <c r="W283" s="55">
        <f t="shared" ca="1" si="93"/>
        <v>-28.546036396422135</v>
      </c>
      <c r="X283" s="55">
        <f t="shared" ca="1" si="94"/>
        <v>35.224480756898132</v>
      </c>
      <c r="Y283" s="55">
        <f t="shared" ca="1" si="95"/>
        <v>17.885357951859966</v>
      </c>
      <c r="Z283" s="55">
        <f t="shared" ca="1" si="88"/>
        <v>23.056880838011466</v>
      </c>
      <c r="AA283">
        <f t="shared" ca="1" si="89"/>
        <v>23.124132539892383</v>
      </c>
      <c r="AB283">
        <f t="shared" ca="1" si="96"/>
        <v>49.712071884046722</v>
      </c>
      <c r="AC283">
        <f t="shared" ca="1" si="90"/>
        <v>0</v>
      </c>
      <c r="AD283">
        <f t="shared" ca="1" si="91"/>
        <v>0.95981046975908257</v>
      </c>
      <c r="AE283" s="83" t="e">
        <f ca="1"/>
        <v>#N/A</v>
      </c>
      <c r="AF283" s="55" t="e">
        <f t="shared" ca="1" si="100"/>
        <v>#N/A</v>
      </c>
      <c r="AG283" s="55" t="e">
        <f t="shared" ca="1" si="101"/>
        <v>#N/A</v>
      </c>
      <c r="AH283" s="55" t="e">
        <f t="shared" ca="1" si="102"/>
        <v>#N/A</v>
      </c>
      <c r="AI283" s="55" t="e">
        <f t="shared" ca="1" si="103"/>
        <v>#N/A</v>
      </c>
      <c r="AJ283" s="55" t="e">
        <f t="shared" ca="1" si="97"/>
        <v>#N/A</v>
      </c>
      <c r="AK283" s="55" t="e">
        <f t="shared" ca="1" si="98"/>
        <v>#N/A</v>
      </c>
      <c r="AL283" s="55" t="e">
        <f t="shared" ca="1" si="99"/>
        <v>#N/A</v>
      </c>
      <c r="AM283" s="55"/>
    </row>
    <row r="284" spans="18:39">
      <c r="R284" s="83">
        <f ca="1"/>
        <v>45277</v>
      </c>
      <c r="S284" s="55">
        <f t="shared" ca="1" si="92"/>
        <v>45277</v>
      </c>
      <c r="T284" s="55">
        <f t="shared" ca="1" si="85"/>
        <v>28.749060223334773</v>
      </c>
      <c r="U284" s="55">
        <f t="shared" ca="1" si="86"/>
        <v>96.065690385067285</v>
      </c>
      <c r="V284" s="55">
        <f t="shared" ca="1" si="87"/>
        <v>0</v>
      </c>
      <c r="W284" s="55">
        <f t="shared" ca="1" si="93"/>
        <v>-28.546036396422135</v>
      </c>
      <c r="X284" s="55">
        <f t="shared" ca="1" si="94"/>
        <v>35.337335504386843</v>
      </c>
      <c r="Y284" s="55">
        <f t="shared" ca="1" si="95"/>
        <v>17.887316530459231</v>
      </c>
      <c r="Z284" s="55">
        <f t="shared" ca="1" si="88"/>
        <v>22.923253843060508</v>
      </c>
      <c r="AA284">
        <f t="shared" ca="1" si="89"/>
        <v>24.941830115009342</v>
      </c>
      <c r="AB284">
        <f t="shared" ca="1" si="96"/>
        <v>49.712071884046722</v>
      </c>
      <c r="AC284">
        <f t="shared" ca="1" si="90"/>
        <v>0</v>
      </c>
      <c r="AD284">
        <f t="shared" ca="1" si="91"/>
        <v>0.96172010937169294</v>
      </c>
      <c r="AE284" s="83" t="e">
        <f ca="1"/>
        <v>#N/A</v>
      </c>
      <c r="AF284" s="55" t="e">
        <f t="shared" ca="1" si="100"/>
        <v>#N/A</v>
      </c>
      <c r="AG284" s="55" t="e">
        <f t="shared" ca="1" si="101"/>
        <v>#N/A</v>
      </c>
      <c r="AH284" s="55" t="e">
        <f t="shared" ca="1" si="102"/>
        <v>#N/A</v>
      </c>
      <c r="AI284" s="55" t="e">
        <f t="shared" ca="1" si="103"/>
        <v>#N/A</v>
      </c>
      <c r="AJ284" s="55" t="e">
        <f t="shared" ca="1" si="97"/>
        <v>#N/A</v>
      </c>
      <c r="AK284" s="55" t="e">
        <f t="shared" ca="1" si="98"/>
        <v>#N/A</v>
      </c>
      <c r="AL284" s="55" t="e">
        <f t="shared" ca="1" si="99"/>
        <v>#N/A</v>
      </c>
      <c r="AM284" s="55"/>
    </row>
    <row r="285" spans="18:39">
      <c r="R285" s="83">
        <f ca="1"/>
        <v>45278</v>
      </c>
      <c r="S285" s="55">
        <f t="shared" ca="1" si="92"/>
        <v>45278</v>
      </c>
      <c r="T285" s="55">
        <f t="shared" ca="1" si="85"/>
        <v>27.179095105363995</v>
      </c>
      <c r="U285" s="55">
        <f t="shared" ca="1" si="86"/>
        <v>97.753668536217504</v>
      </c>
      <c r="V285" s="55">
        <f t="shared" ca="1" si="87"/>
        <v>0</v>
      </c>
      <c r="W285" s="55">
        <f t="shared" ca="1" si="93"/>
        <v>-28.546036396422135</v>
      </c>
      <c r="X285" s="55">
        <f t="shared" ca="1" si="94"/>
        <v>35.45331465347035</v>
      </c>
      <c r="Y285" s="55">
        <f t="shared" ca="1" si="95"/>
        <v>17.889350414555167</v>
      </c>
      <c r="Z285" s="55">
        <f t="shared" ca="1" si="88"/>
        <v>23.631694116103063</v>
      </c>
      <c r="AA285">
        <f t="shared" ca="1" si="89"/>
        <v>25.75532522883821</v>
      </c>
      <c r="AB285">
        <f t="shared" ca="1" si="96"/>
        <v>49.712071884046722</v>
      </c>
      <c r="AC285">
        <f t="shared" ca="1" si="90"/>
        <v>0</v>
      </c>
      <c r="AD285">
        <f t="shared" ca="1" si="91"/>
        <v>0.96357162548664976</v>
      </c>
      <c r="AE285" s="83" t="e">
        <f ca="1"/>
        <v>#N/A</v>
      </c>
      <c r="AF285" s="55" t="e">
        <f t="shared" ca="1" si="100"/>
        <v>#N/A</v>
      </c>
      <c r="AG285" s="55" t="e">
        <f t="shared" ca="1" si="101"/>
        <v>#N/A</v>
      </c>
      <c r="AH285" s="55" t="e">
        <f t="shared" ca="1" si="102"/>
        <v>#N/A</v>
      </c>
      <c r="AI285" s="55" t="e">
        <f t="shared" ca="1" si="103"/>
        <v>#N/A</v>
      </c>
      <c r="AJ285" s="55" t="e">
        <f t="shared" ca="1" si="97"/>
        <v>#N/A</v>
      </c>
      <c r="AK285" s="55" t="e">
        <f t="shared" ca="1" si="98"/>
        <v>#N/A</v>
      </c>
      <c r="AL285" s="55" t="e">
        <f t="shared" ca="1" si="99"/>
        <v>#N/A</v>
      </c>
      <c r="AM285" s="55"/>
    </row>
    <row r="286" spans="18:39">
      <c r="R286" s="83">
        <f ca="1"/>
        <v>45279</v>
      </c>
      <c r="S286" s="55">
        <f t="shared" ca="1" si="92"/>
        <v>45279</v>
      </c>
      <c r="T286" s="55">
        <f t="shared" ca="1" si="85"/>
        <v>25.583450934790079</v>
      </c>
      <c r="U286" s="55">
        <f t="shared" ca="1" si="86"/>
        <v>99.467979469781326</v>
      </c>
      <c r="V286" s="55">
        <f t="shared" ca="1" si="87"/>
        <v>0</v>
      </c>
      <c r="W286" s="55">
        <f t="shared" ca="1" si="93"/>
        <v>-28.546036396422135</v>
      </c>
      <c r="X286" s="55">
        <f t="shared" ca="1" si="94"/>
        <v>35.569933543699918</v>
      </c>
      <c r="Y286" s="55">
        <f t="shared" ca="1" si="95"/>
        <v>17.891398287315511</v>
      </c>
      <c r="Z286" s="55">
        <f t="shared" ca="1" si="88"/>
        <v>24.000353069893521</v>
      </c>
      <c r="AA286">
        <f t="shared" ca="1" si="89"/>
        <v>26.210885538298545</v>
      </c>
      <c r="AB286">
        <f t="shared" ca="1" si="96"/>
        <v>49.712071884046722</v>
      </c>
      <c r="AC286">
        <f t="shared" ca="1" si="90"/>
        <v>0</v>
      </c>
      <c r="AD286">
        <f t="shared" ca="1" si="91"/>
        <v>0.96533903903897633</v>
      </c>
      <c r="AE286" s="83" t="e">
        <f ca="1"/>
        <v>#N/A</v>
      </c>
      <c r="AF286" s="55" t="e">
        <f t="shared" ca="1" si="100"/>
        <v>#N/A</v>
      </c>
      <c r="AG286" s="55" t="e">
        <f t="shared" ca="1" si="101"/>
        <v>#N/A</v>
      </c>
      <c r="AH286" s="55" t="e">
        <f t="shared" ca="1" si="102"/>
        <v>#N/A</v>
      </c>
      <c r="AI286" s="55" t="e">
        <f t="shared" ca="1" si="103"/>
        <v>#N/A</v>
      </c>
      <c r="AJ286" s="55" t="e">
        <f t="shared" ca="1" si="97"/>
        <v>#N/A</v>
      </c>
      <c r="AK286" s="55" t="e">
        <f t="shared" ca="1" si="98"/>
        <v>#N/A</v>
      </c>
      <c r="AL286" s="55" t="e">
        <f t="shared" ca="1" si="99"/>
        <v>#N/A</v>
      </c>
      <c r="AM286" s="55"/>
    </row>
    <row r="287" spans="18:39">
      <c r="R287" s="83">
        <f ca="1"/>
        <v>45280</v>
      </c>
      <c r="S287" s="55">
        <f t="shared" ca="1" si="92"/>
        <v>45280</v>
      </c>
      <c r="T287" s="55">
        <f t="shared" ca="1" si="85"/>
        <v>24.002533367360229</v>
      </c>
      <c r="U287" s="55">
        <f t="shared" ca="1" si="86"/>
        <v>101.16938797103522</v>
      </c>
      <c r="V287" s="55">
        <f t="shared" ca="1" si="87"/>
        <v>0</v>
      </c>
      <c r="W287" s="55">
        <f t="shared" ca="1" si="93"/>
        <v>-28.546036396422135</v>
      </c>
      <c r="X287" s="55">
        <f t="shared" ca="1" si="94"/>
        <v>35.688104484490744</v>
      </c>
      <c r="Y287" s="55">
        <f t="shared" ca="1" si="95"/>
        <v>17.893718280348732</v>
      </c>
      <c r="Z287" s="55">
        <f t="shared" ca="1" si="88"/>
        <v>23.819719017554519</v>
      </c>
      <c r="AA287">
        <f t="shared" ca="1" si="89"/>
        <v>30.779521942315856</v>
      </c>
      <c r="AB287">
        <f t="shared" ca="1" si="96"/>
        <v>49.712071884046722</v>
      </c>
      <c r="AC287">
        <f t="shared" ca="1" si="90"/>
        <v>0</v>
      </c>
      <c r="AD287">
        <f t="shared" ca="1" si="91"/>
        <v>0.96698865412702528</v>
      </c>
      <c r="AE287" s="83" t="e">
        <f ca="1"/>
        <v>#N/A</v>
      </c>
      <c r="AF287" s="55" t="e">
        <f t="shared" ca="1" si="100"/>
        <v>#N/A</v>
      </c>
      <c r="AG287" s="55" t="e">
        <f t="shared" ca="1" si="101"/>
        <v>#N/A</v>
      </c>
      <c r="AH287" s="55" t="e">
        <f t="shared" ca="1" si="102"/>
        <v>#N/A</v>
      </c>
      <c r="AI287" s="55" t="e">
        <f t="shared" ca="1" si="103"/>
        <v>#N/A</v>
      </c>
      <c r="AJ287" s="55" t="e">
        <f t="shared" ca="1" si="97"/>
        <v>#N/A</v>
      </c>
      <c r="AK287" s="55" t="e">
        <f t="shared" ca="1" si="98"/>
        <v>#N/A</v>
      </c>
      <c r="AL287" s="55" t="e">
        <f t="shared" ca="1" si="99"/>
        <v>#N/A</v>
      </c>
      <c r="AM287" s="55"/>
    </row>
    <row r="288" spans="18:39">
      <c r="R288" s="83">
        <f ca="1"/>
        <v>45281</v>
      </c>
      <c r="S288" s="55">
        <f t="shared" ca="1" si="92"/>
        <v>45281</v>
      </c>
      <c r="T288" s="55">
        <f t="shared" ca="1" si="85"/>
        <v>247.35586609564314</v>
      </c>
      <c r="U288" s="55">
        <f t="shared" ca="1" si="86"/>
        <v>102.8713647815452</v>
      </c>
      <c r="V288" s="55">
        <f t="shared" ca="1" si="87"/>
        <v>224.93525223924183</v>
      </c>
      <c r="W288" s="55">
        <f t="shared" ca="1" si="93"/>
        <v>-28.546036396422135</v>
      </c>
      <c r="X288" s="55">
        <f t="shared" ca="1" si="94"/>
        <v>35.805805396936854</v>
      </c>
      <c r="Y288" s="55">
        <f t="shared" ca="1" si="95"/>
        <v>17.896074667453657</v>
      </c>
      <c r="Z288" s="55">
        <f t="shared" ca="1" si="88"/>
        <v>23.82767534713966</v>
      </c>
      <c r="AA288">
        <f t="shared" ca="1" si="89"/>
        <v>32.148935294077553</v>
      </c>
      <c r="AB288">
        <f t="shared" ca="1" si="96"/>
        <v>49.712071884046722</v>
      </c>
      <c r="AC288">
        <f t="shared" ca="1" si="90"/>
        <v>0</v>
      </c>
      <c r="AD288">
        <f t="shared" ca="1" si="91"/>
        <v>0.96854207564587302</v>
      </c>
      <c r="AE288" s="83" t="e">
        <f ca="1"/>
        <v>#N/A</v>
      </c>
      <c r="AF288" s="55" t="e">
        <f t="shared" ca="1" si="100"/>
        <v>#N/A</v>
      </c>
      <c r="AG288" s="55" t="e">
        <f t="shared" ca="1" si="101"/>
        <v>#N/A</v>
      </c>
      <c r="AH288" s="55" t="e">
        <f t="shared" ca="1" si="102"/>
        <v>#N/A</v>
      </c>
      <c r="AI288" s="55" t="e">
        <f t="shared" ca="1" si="103"/>
        <v>#N/A</v>
      </c>
      <c r="AJ288" s="55" t="e">
        <f t="shared" ca="1" si="97"/>
        <v>#N/A</v>
      </c>
      <c r="AK288" s="55" t="e">
        <f t="shared" ca="1" si="98"/>
        <v>#N/A</v>
      </c>
      <c r="AL288" s="55" t="e">
        <f t="shared" ca="1" si="99"/>
        <v>#N/A</v>
      </c>
      <c r="AM288" s="55"/>
    </row>
    <row r="289" spans="18:39">
      <c r="R289" s="83">
        <f ca="1"/>
        <v>45282</v>
      </c>
      <c r="S289" s="55">
        <f t="shared" ca="1" si="92"/>
        <v>45282</v>
      </c>
      <c r="T289" s="55">
        <f t="shared" ca="1" si="85"/>
        <v>245.71653528719705</v>
      </c>
      <c r="U289" s="55">
        <f t="shared" ca="1" si="86"/>
        <v>104.63451611163322</v>
      </c>
      <c r="V289" s="55">
        <f t="shared" ca="1" si="87"/>
        <v>0</v>
      </c>
      <c r="W289" s="55">
        <f t="shared" ca="1" si="93"/>
        <v>-28.546036396422135</v>
      </c>
      <c r="X289" s="55">
        <f t="shared" ca="1" si="94"/>
        <v>35.927219034687582</v>
      </c>
      <c r="Y289" s="55">
        <f t="shared" ca="1" si="95"/>
        <v>17.898481551344879</v>
      </c>
      <c r="Z289" s="55">
        <f t="shared" ca="1" si="88"/>
        <v>24.684118621232301</v>
      </c>
      <c r="AA289">
        <f t="shared" ca="1" si="89"/>
        <v>32.564725882733207</v>
      </c>
      <c r="AB289">
        <f t="shared" ca="1" si="96"/>
        <v>49.712071884046722</v>
      </c>
      <c r="AC289">
        <f t="shared" ca="1" si="90"/>
        <v>0</v>
      </c>
      <c r="AD289">
        <f t="shared" ca="1" si="91"/>
        <v>0.97005652843406998</v>
      </c>
      <c r="AE289" s="83" t="e">
        <f ca="1"/>
        <v>#N/A</v>
      </c>
      <c r="AF289" s="55" t="e">
        <f t="shared" ca="1" si="100"/>
        <v>#N/A</v>
      </c>
      <c r="AG289" s="55" t="e">
        <f t="shared" ca="1" si="101"/>
        <v>#N/A</v>
      </c>
      <c r="AH289" s="55" t="e">
        <f t="shared" ca="1" si="102"/>
        <v>#N/A</v>
      </c>
      <c r="AI289" s="55" t="e">
        <f t="shared" ca="1" si="103"/>
        <v>#N/A</v>
      </c>
      <c r="AJ289" s="55" t="e">
        <f t="shared" ca="1" si="97"/>
        <v>#N/A</v>
      </c>
      <c r="AK289" s="55" t="e">
        <f t="shared" ca="1" si="98"/>
        <v>#N/A</v>
      </c>
      <c r="AL289" s="55" t="e">
        <f t="shared" ca="1" si="99"/>
        <v>#N/A</v>
      </c>
      <c r="AM289" s="55"/>
    </row>
    <row r="290" spans="18:39">
      <c r="R290" s="83">
        <f ca="1"/>
        <v>45283</v>
      </c>
      <c r="S290" s="55">
        <f t="shared" ca="1" si="92"/>
        <v>45283</v>
      </c>
      <c r="T290" s="55">
        <f t="shared" ca="1" si="85"/>
        <v>244.07639511325777</v>
      </c>
      <c r="U290" s="55">
        <f t="shared" ca="1" si="86"/>
        <v>106.39591993587784</v>
      </c>
      <c r="V290" s="55">
        <f t="shared" ca="1" si="87"/>
        <v>0</v>
      </c>
      <c r="W290" s="55">
        <f t="shared" ca="1" si="93"/>
        <v>-28.546036396422135</v>
      </c>
      <c r="X290" s="55">
        <f t="shared" ca="1" si="94"/>
        <v>36.046165273378698</v>
      </c>
      <c r="Y290" s="55">
        <f t="shared" ca="1" si="95"/>
        <v>17.900798962959136</v>
      </c>
      <c r="Z290" s="55">
        <f t="shared" ca="1" si="88"/>
        <v>24.659653539424738</v>
      </c>
      <c r="AA290">
        <f t="shared" ca="1" si="89"/>
        <v>32.302899167750297</v>
      </c>
      <c r="AB290">
        <f t="shared" ca="1" si="96"/>
        <v>49.712071884046722</v>
      </c>
      <c r="AC290">
        <f t="shared" ca="1" si="90"/>
        <v>0</v>
      </c>
      <c r="AD290">
        <f t="shared" ca="1" si="91"/>
        <v>0.97147997184682766</v>
      </c>
      <c r="AE290" s="83" t="e">
        <f ca="1"/>
        <v>#N/A</v>
      </c>
      <c r="AF290" s="55" t="e">
        <f t="shared" ca="1" si="100"/>
        <v>#N/A</v>
      </c>
      <c r="AG290" s="55" t="e">
        <f t="shared" ca="1" si="101"/>
        <v>#N/A</v>
      </c>
      <c r="AH290" s="55" t="e">
        <f t="shared" ca="1" si="102"/>
        <v>#N/A</v>
      </c>
      <c r="AI290" s="55" t="e">
        <f t="shared" ca="1" si="103"/>
        <v>#N/A</v>
      </c>
      <c r="AJ290" s="55" t="e">
        <f t="shared" ca="1" si="97"/>
        <v>#N/A</v>
      </c>
      <c r="AK290" s="55" t="e">
        <f t="shared" ca="1" si="98"/>
        <v>#N/A</v>
      </c>
      <c r="AL290" s="55" t="e">
        <f t="shared" ca="1" si="99"/>
        <v>#N/A</v>
      </c>
      <c r="AM290" s="55"/>
    </row>
    <row r="291" spans="18:39">
      <c r="R291" s="83">
        <f ca="1"/>
        <v>45284</v>
      </c>
      <c r="S291" s="55">
        <f t="shared" ca="1" si="92"/>
        <v>45284</v>
      </c>
      <c r="T291" s="55">
        <f t="shared" ca="1" si="85"/>
        <v>242.33891164218261</v>
      </c>
      <c r="U291" s="55">
        <f t="shared" ca="1" si="86"/>
        <v>108.25820363522072</v>
      </c>
      <c r="V291" s="55">
        <f t="shared" ca="1" si="87"/>
        <v>0</v>
      </c>
      <c r="W291" s="55">
        <f t="shared" ca="1" si="93"/>
        <v>-28.546036396422135</v>
      </c>
      <c r="X291" s="55">
        <f t="shared" ca="1" si="94"/>
        <v>36.168761225066739</v>
      </c>
      <c r="Y291" s="55">
        <f t="shared" ca="1" si="95"/>
        <v>17.903003239538769</v>
      </c>
      <c r="Z291" s="55">
        <f t="shared" ca="1" si="88"/>
        <v>26.071971790800347</v>
      </c>
      <c r="AA291">
        <f t="shared" ca="1" si="89"/>
        <v>29.788978318936515</v>
      </c>
      <c r="AB291">
        <f t="shared" ca="1" si="96"/>
        <v>49.712071884046722</v>
      </c>
      <c r="AC291">
        <f t="shared" ca="1" si="90"/>
        <v>0</v>
      </c>
      <c r="AD291">
        <f t="shared" ca="1" si="91"/>
        <v>0.97289465316958779</v>
      </c>
      <c r="AE291" s="83" t="e">
        <f ca="1"/>
        <v>#N/A</v>
      </c>
      <c r="AF291" s="55" t="e">
        <f t="shared" ca="1" si="100"/>
        <v>#N/A</v>
      </c>
      <c r="AG291" s="55" t="e">
        <f t="shared" ca="1" si="101"/>
        <v>#N/A</v>
      </c>
      <c r="AH291" s="55" t="e">
        <f t="shared" ca="1" si="102"/>
        <v>#N/A</v>
      </c>
      <c r="AI291" s="55" t="e">
        <f t="shared" ca="1" si="103"/>
        <v>#N/A</v>
      </c>
      <c r="AJ291" s="55" t="e">
        <f t="shared" ca="1" si="97"/>
        <v>#N/A</v>
      </c>
      <c r="AK291" s="55" t="e">
        <f t="shared" ca="1" si="98"/>
        <v>#N/A</v>
      </c>
      <c r="AL291" s="55" t="e">
        <f t="shared" ca="1" si="99"/>
        <v>#N/A</v>
      </c>
      <c r="AM291" s="55"/>
    </row>
    <row r="292" spans="18:39">
      <c r="R292" s="83">
        <f ca="1"/>
        <v>45285</v>
      </c>
      <c r="S292" s="55">
        <f t="shared" ca="1" si="92"/>
        <v>45285</v>
      </c>
      <c r="T292" s="55">
        <f t="shared" ca="1" si="85"/>
        <v>240.56839294985264</v>
      </c>
      <c r="U292" s="55">
        <f t="shared" ca="1" si="86"/>
        <v>110.15222783688661</v>
      </c>
      <c r="V292" s="55">
        <f t="shared" ca="1" si="87"/>
        <v>0</v>
      </c>
      <c r="W292" s="55">
        <f t="shared" ca="1" si="93"/>
        <v>-28.546036396422135</v>
      </c>
      <c r="X292" s="55">
        <f t="shared" ca="1" si="94"/>
        <v>36.290196234650175</v>
      </c>
      <c r="Y292" s="55">
        <f t="shared" ca="1" si="95"/>
        <v>17.90507373929125</v>
      </c>
      <c r="Z292" s="55">
        <f t="shared" ca="1" si="88"/>
        <v>26.5163388233224</v>
      </c>
      <c r="AA292">
        <f t="shared" ca="1" si="89"/>
        <v>28.262080779675436</v>
      </c>
      <c r="AB292">
        <f t="shared" ca="1" si="96"/>
        <v>49.712071884046722</v>
      </c>
      <c r="AC292">
        <f t="shared" ca="1" si="90"/>
        <v>0</v>
      </c>
      <c r="AD292">
        <f t="shared" ca="1" si="91"/>
        <v>0.97424519133740528</v>
      </c>
      <c r="AE292" s="83" t="e">
        <f ca="1"/>
        <v>#N/A</v>
      </c>
      <c r="AF292" s="55" t="e">
        <f t="shared" ca="1" si="100"/>
        <v>#N/A</v>
      </c>
      <c r="AG292" s="55" t="e">
        <f t="shared" ca="1" si="101"/>
        <v>#N/A</v>
      </c>
      <c r="AH292" s="55" t="e">
        <f t="shared" ca="1" si="102"/>
        <v>#N/A</v>
      </c>
      <c r="AI292" s="55" t="e">
        <f t="shared" ca="1" si="103"/>
        <v>#N/A</v>
      </c>
      <c r="AJ292" s="55" t="e">
        <f t="shared" ca="1" si="97"/>
        <v>#N/A</v>
      </c>
      <c r="AK292" s="55" t="e">
        <f t="shared" ca="1" si="98"/>
        <v>#N/A</v>
      </c>
      <c r="AL292" s="55" t="e">
        <f t="shared" ca="1" si="99"/>
        <v>#N/A</v>
      </c>
      <c r="AM292" s="55"/>
    </row>
    <row r="293" spans="18:39">
      <c r="R293" s="83">
        <f ca="1"/>
        <v>45286</v>
      </c>
      <c r="S293" s="55">
        <f t="shared" ca="1" si="92"/>
        <v>45286</v>
      </c>
      <c r="T293" s="55">
        <f t="shared" ca="1" si="85"/>
        <v>238.84433404734011</v>
      </c>
      <c r="U293" s="55">
        <f t="shared" ca="1" si="86"/>
        <v>111.99151180712586</v>
      </c>
      <c r="V293" s="55">
        <f t="shared" ca="1" si="87"/>
        <v>0</v>
      </c>
      <c r="W293" s="55">
        <f t="shared" ca="1" si="93"/>
        <v>-28.546036396422135</v>
      </c>
      <c r="X293" s="55">
        <f t="shared" ca="1" si="94"/>
        <v>36.403584824922085</v>
      </c>
      <c r="Y293" s="55">
        <f t="shared" ca="1" si="95"/>
        <v>17.906910216746056</v>
      </c>
      <c r="Z293" s="55">
        <f t="shared" ca="1" si="88"/>
        <v>25.74997558334951</v>
      </c>
      <c r="AA293">
        <f t="shared" ca="1" si="89"/>
        <v>26.569063890315608</v>
      </c>
      <c r="AB293">
        <f t="shared" ca="1" si="96"/>
        <v>49.712071884046722</v>
      </c>
      <c r="AC293">
        <f t="shared" ca="1" si="90"/>
        <v>0</v>
      </c>
      <c r="AD293">
        <f t="shared" ca="1" si="91"/>
        <v>0.97547772900816587</v>
      </c>
      <c r="AE293" s="83" t="e">
        <f ca="1"/>
        <v>#N/A</v>
      </c>
      <c r="AF293" s="55" t="e">
        <f t="shared" ca="1" si="100"/>
        <v>#N/A</v>
      </c>
      <c r="AG293" s="55" t="e">
        <f t="shared" ca="1" si="101"/>
        <v>#N/A</v>
      </c>
      <c r="AH293" s="55" t="e">
        <f t="shared" ca="1" si="102"/>
        <v>#N/A</v>
      </c>
      <c r="AI293" s="55" t="e">
        <f t="shared" ca="1" si="103"/>
        <v>#N/A</v>
      </c>
      <c r="AJ293" s="55" t="e">
        <f t="shared" ca="1" si="97"/>
        <v>#N/A</v>
      </c>
      <c r="AK293" s="55" t="e">
        <f t="shared" ca="1" si="98"/>
        <v>#N/A</v>
      </c>
      <c r="AL293" s="55" t="e">
        <f t="shared" ca="1" si="99"/>
        <v>#N/A</v>
      </c>
      <c r="AM293" s="55"/>
    </row>
    <row r="294" spans="18:39">
      <c r="R294" s="83">
        <f ca="1"/>
        <v>45287</v>
      </c>
      <c r="S294" s="55">
        <f t="shared" ca="1" si="92"/>
        <v>45287</v>
      </c>
      <c r="T294" s="55">
        <f t="shared" ca="1" si="85"/>
        <v>236.89466325150062</v>
      </c>
      <c r="U294" s="55">
        <f t="shared" ca="1" si="86"/>
        <v>114.07290443244241</v>
      </c>
      <c r="V294" s="55">
        <f t="shared" ca="1" si="87"/>
        <v>0</v>
      </c>
      <c r="W294" s="55">
        <f t="shared" ca="1" si="93"/>
        <v>-28.546036396422135</v>
      </c>
      <c r="X294" s="55">
        <f t="shared" ca="1" si="94"/>
        <v>36.533315870093176</v>
      </c>
      <c r="Y294" s="55">
        <f t="shared" ca="1" si="95"/>
        <v>17.90890100105203</v>
      </c>
      <c r="Z294" s="55">
        <f t="shared" ca="1" si="88"/>
        <v>29.139496754431747</v>
      </c>
      <c r="AA294">
        <f t="shared" ca="1" si="89"/>
        <v>25.808853160740888</v>
      </c>
      <c r="AB294">
        <f t="shared" ca="1" si="96"/>
        <v>49.712071884046722</v>
      </c>
      <c r="AC294">
        <f t="shared" ca="1" si="90"/>
        <v>0</v>
      </c>
      <c r="AD294">
        <f t="shared" ca="1" si="91"/>
        <v>0.97678566578499249</v>
      </c>
      <c r="AE294" s="83" t="e">
        <f ca="1"/>
        <v>#N/A</v>
      </c>
      <c r="AF294" s="55" t="e">
        <f t="shared" ca="1" si="100"/>
        <v>#N/A</v>
      </c>
      <c r="AG294" s="55" t="e">
        <f t="shared" ca="1" si="101"/>
        <v>#N/A</v>
      </c>
      <c r="AH294" s="55" t="e">
        <f t="shared" ca="1" si="102"/>
        <v>#N/A</v>
      </c>
      <c r="AI294" s="55" t="e">
        <f t="shared" ca="1" si="103"/>
        <v>#N/A</v>
      </c>
      <c r="AJ294" s="55" t="e">
        <f t="shared" ca="1" si="97"/>
        <v>#N/A</v>
      </c>
      <c r="AK294" s="55" t="e">
        <f t="shared" ca="1" si="98"/>
        <v>#N/A</v>
      </c>
      <c r="AL294" s="55" t="e">
        <f t="shared" ca="1" si="99"/>
        <v>#N/A</v>
      </c>
      <c r="AM294" s="55"/>
    </row>
    <row r="295" spans="18:39">
      <c r="R295" s="83">
        <f ca="1"/>
        <v>45288</v>
      </c>
      <c r="S295" s="55">
        <f t="shared" ca="1" si="92"/>
        <v>45288</v>
      </c>
      <c r="T295" s="55">
        <f t="shared" ca="1" si="85"/>
        <v>234.89039858492526</v>
      </c>
      <c r="U295" s="55">
        <f t="shared" ca="1" si="86"/>
        <v>116.21446143896925</v>
      </c>
      <c r="V295" s="55">
        <f t="shared" ca="1" si="87"/>
        <v>0</v>
      </c>
      <c r="W295" s="55">
        <f t="shared" ca="1" si="93"/>
        <v>-28.546036396422135</v>
      </c>
      <c r="X295" s="55">
        <f t="shared" ca="1" si="94"/>
        <v>36.668415012125571</v>
      </c>
      <c r="Y295" s="55">
        <f t="shared" ca="1" si="95"/>
        <v>17.911094198971089</v>
      </c>
      <c r="Z295" s="55">
        <f t="shared" ca="1" si="88"/>
        <v>29.981798091375737</v>
      </c>
      <c r="AA295">
        <f t="shared" ca="1" si="89"/>
        <v>28.345714117233975</v>
      </c>
      <c r="AB295">
        <f t="shared" ca="1" si="96"/>
        <v>49.712071884046722</v>
      </c>
      <c r="AC295">
        <f t="shared" ca="1" si="90"/>
        <v>0</v>
      </c>
      <c r="AD295">
        <f t="shared" ca="1" si="91"/>
        <v>0.9780425444462405</v>
      </c>
      <c r="AE295" s="83" t="e">
        <f ca="1"/>
        <v>#N/A</v>
      </c>
      <c r="AF295" s="55" t="e">
        <f t="shared" ca="1" si="100"/>
        <v>#N/A</v>
      </c>
      <c r="AG295" s="55" t="e">
        <f t="shared" ca="1" si="101"/>
        <v>#N/A</v>
      </c>
      <c r="AH295" s="55" t="e">
        <f t="shared" ca="1" si="102"/>
        <v>#N/A</v>
      </c>
      <c r="AI295" s="55" t="e">
        <f t="shared" ca="1" si="103"/>
        <v>#N/A</v>
      </c>
      <c r="AJ295" s="55" t="e">
        <f t="shared" ca="1" si="97"/>
        <v>#N/A</v>
      </c>
      <c r="AK295" s="55" t="e">
        <f t="shared" ca="1" si="98"/>
        <v>#N/A</v>
      </c>
      <c r="AL295" s="55" t="e">
        <f t="shared" ca="1" si="99"/>
        <v>#N/A</v>
      </c>
      <c r="AM295" s="55"/>
    </row>
    <row r="296" spans="18:39">
      <c r="R296" s="83">
        <f ca="1"/>
        <v>45289</v>
      </c>
      <c r="S296" s="55">
        <f t="shared" ca="1" si="92"/>
        <v>45289</v>
      </c>
      <c r="T296" s="55">
        <f t="shared" ca="1" si="85"/>
        <v>233.01110634439766</v>
      </c>
      <c r="U296" s="55">
        <f t="shared" ca="1" si="86"/>
        <v>118.21599034511257</v>
      </c>
      <c r="V296" s="55">
        <f t="shared" ca="1" si="87"/>
        <v>0</v>
      </c>
      <c r="W296" s="55">
        <f t="shared" ca="1" si="93"/>
        <v>-28.546036396422135</v>
      </c>
      <c r="X296" s="55">
        <f t="shared" ca="1" si="94"/>
        <v>36.788757485231152</v>
      </c>
      <c r="Y296" s="55">
        <f t="shared" ca="1" si="95"/>
        <v>17.9129883914812</v>
      </c>
      <c r="Z296" s="55">
        <f t="shared" ca="1" si="88"/>
        <v>28.021404686006491</v>
      </c>
      <c r="AA296">
        <f t="shared" ca="1" si="89"/>
        <v>27.22584974111173</v>
      </c>
      <c r="AB296">
        <f t="shared" ca="1" si="96"/>
        <v>49.712071884046722</v>
      </c>
      <c r="AC296">
        <f t="shared" ca="1" si="90"/>
        <v>0</v>
      </c>
      <c r="AD296">
        <f t="shared" ca="1" si="91"/>
        <v>0.97914208525560309</v>
      </c>
      <c r="AE296" s="83" t="e">
        <f ca="1"/>
        <v>#N/A</v>
      </c>
      <c r="AF296" s="55" t="e">
        <f t="shared" ca="1" si="100"/>
        <v>#N/A</v>
      </c>
      <c r="AG296" s="55" t="e">
        <f t="shared" ca="1" si="101"/>
        <v>#N/A</v>
      </c>
      <c r="AH296" s="55" t="e">
        <f t="shared" ca="1" si="102"/>
        <v>#N/A</v>
      </c>
      <c r="AI296" s="55" t="e">
        <f t="shared" ca="1" si="103"/>
        <v>#N/A</v>
      </c>
      <c r="AJ296" s="55" t="e">
        <f t="shared" ca="1" si="97"/>
        <v>#N/A</v>
      </c>
      <c r="AK296" s="55" t="e">
        <f t="shared" ca="1" si="98"/>
        <v>#N/A</v>
      </c>
      <c r="AL296" s="55" t="e">
        <f t="shared" ca="1" si="99"/>
        <v>#N/A</v>
      </c>
      <c r="AM296" s="55"/>
    </row>
    <row r="297" spans="18:39">
      <c r="R297" s="83">
        <f ca="1"/>
        <v>45290</v>
      </c>
      <c r="S297" s="55">
        <f t="shared" ca="1" si="92"/>
        <v>45290</v>
      </c>
      <c r="T297" s="55">
        <f t="shared" ca="1" si="85"/>
        <v>231.04305587735186</v>
      </c>
      <c r="U297" s="55">
        <f t="shared" ca="1" si="86"/>
        <v>120.31365791247532</v>
      </c>
      <c r="V297" s="55">
        <f t="shared" ca="1" si="87"/>
        <v>0</v>
      </c>
      <c r="W297" s="55">
        <f t="shared" ca="1" si="93"/>
        <v>-28.546036396422135</v>
      </c>
      <c r="X297" s="55">
        <f t="shared" ca="1" si="94"/>
        <v>36.916311852248313</v>
      </c>
      <c r="Y297" s="55">
        <f t="shared" ca="1" si="95"/>
        <v>17.915051124780994</v>
      </c>
      <c r="Z297" s="55">
        <f t="shared" ca="1" si="88"/>
        <v>29.367345943078476</v>
      </c>
      <c r="AA297">
        <f t="shared" ca="1" si="89"/>
        <v>28.935293900703464</v>
      </c>
      <c r="AB297">
        <f t="shared" ca="1" si="96"/>
        <v>49.712071884046722</v>
      </c>
      <c r="AC297">
        <f t="shared" ca="1" si="90"/>
        <v>0</v>
      </c>
      <c r="AD297">
        <f t="shared" ca="1" si="91"/>
        <v>0.98022249378080051</v>
      </c>
      <c r="AE297" s="83" t="e">
        <f ca="1"/>
        <v>#N/A</v>
      </c>
      <c r="AF297" s="55" t="e">
        <f t="shared" ca="1" si="100"/>
        <v>#N/A</v>
      </c>
      <c r="AG297" s="55" t="e">
        <f t="shared" ca="1" si="101"/>
        <v>#N/A</v>
      </c>
      <c r="AH297" s="55" t="e">
        <f t="shared" ca="1" si="102"/>
        <v>#N/A</v>
      </c>
      <c r="AI297" s="55" t="e">
        <f t="shared" ca="1" si="103"/>
        <v>#N/A</v>
      </c>
      <c r="AJ297" s="55" t="e">
        <f t="shared" ca="1" si="97"/>
        <v>#N/A</v>
      </c>
      <c r="AK297" s="55" t="e">
        <f t="shared" ca="1" si="98"/>
        <v>#N/A</v>
      </c>
      <c r="AL297" s="55" t="e">
        <f t="shared" ca="1" si="99"/>
        <v>#N/A</v>
      </c>
      <c r="AM297" s="55"/>
    </row>
    <row r="298" spans="18:39">
      <c r="R298" s="83">
        <f ca="1"/>
        <v>45291</v>
      </c>
      <c r="S298" s="55">
        <f t="shared" ca="1" si="92"/>
        <v>45291</v>
      </c>
      <c r="T298" s="55">
        <f t="shared" ca="1" si="85"/>
        <v>229.10697431436637</v>
      </c>
      <c r="U298" s="55">
        <f t="shared" ca="1" si="86"/>
        <v>122.37281553254975</v>
      </c>
      <c r="V298" s="55">
        <f t="shared" ca="1" si="87"/>
        <v>0</v>
      </c>
      <c r="W298" s="55">
        <f t="shared" ca="1" si="93"/>
        <v>-28.546036396422135</v>
      </c>
      <c r="X298" s="55">
        <f t="shared" ca="1" si="94"/>
        <v>37.037502984644377</v>
      </c>
      <c r="Y298" s="55">
        <f t="shared" ca="1" si="95"/>
        <v>17.916936049473875</v>
      </c>
      <c r="Z298" s="55">
        <f t="shared" ca="1" si="88"/>
        <v>28.828206681042019</v>
      </c>
      <c r="AA298">
        <f t="shared" ca="1" si="89"/>
        <v>27.755909217268929</v>
      </c>
      <c r="AB298">
        <f t="shared" ca="1" si="96"/>
        <v>49.712071884046722</v>
      </c>
      <c r="AC298">
        <f t="shared" ca="1" si="90"/>
        <v>0</v>
      </c>
      <c r="AD298">
        <f t="shared" ca="1" si="91"/>
        <v>0.98121680537386491</v>
      </c>
      <c r="AE298" s="83" t="e">
        <f ca="1"/>
        <v>#N/A</v>
      </c>
      <c r="AF298" s="55" t="e">
        <f t="shared" ca="1" si="100"/>
        <v>#N/A</v>
      </c>
      <c r="AG298" s="55" t="e">
        <f t="shared" ca="1" si="101"/>
        <v>#N/A</v>
      </c>
      <c r="AH298" s="55" t="e">
        <f t="shared" ca="1" si="102"/>
        <v>#N/A</v>
      </c>
      <c r="AI298" s="55" t="e">
        <f t="shared" ca="1" si="103"/>
        <v>#N/A</v>
      </c>
      <c r="AJ298" s="55" t="e">
        <f t="shared" ca="1" si="97"/>
        <v>#N/A</v>
      </c>
      <c r="AK298" s="55" t="e">
        <f t="shared" ca="1" si="98"/>
        <v>#N/A</v>
      </c>
      <c r="AL298" s="55" t="e">
        <f t="shared" ca="1" si="99"/>
        <v>#N/A</v>
      </c>
      <c r="AM298" s="55"/>
    </row>
    <row r="299" spans="18:39">
      <c r="R299" s="83">
        <f ca="1"/>
        <v>45292</v>
      </c>
      <c r="S299" s="55">
        <f t="shared" ca="1" si="92"/>
        <v>45292</v>
      </c>
      <c r="T299" s="55">
        <f t="shared" ca="1" si="85"/>
        <v>227.0995195399081</v>
      </c>
      <c r="U299" s="55">
        <f t="shared" ca="1" si="86"/>
        <v>124.50498339536958</v>
      </c>
      <c r="V299" s="55">
        <f t="shared" ca="1" si="87"/>
        <v>0</v>
      </c>
      <c r="W299" s="55">
        <f t="shared" ca="1" si="93"/>
        <v>-28.546036396422135</v>
      </c>
      <c r="X299" s="55">
        <f t="shared" ca="1" si="94"/>
        <v>37.160419747356606</v>
      </c>
      <c r="Y299" s="55">
        <f t="shared" ca="1" si="95"/>
        <v>17.918732375123184</v>
      </c>
      <c r="Z299" s="55">
        <f t="shared" ca="1" si="88"/>
        <v>29.850350079477579</v>
      </c>
      <c r="AA299">
        <f t="shared" ca="1" si="89"/>
        <v>26.139679705930405</v>
      </c>
      <c r="AB299">
        <f t="shared" ca="1" si="96"/>
        <v>49.712071884046722</v>
      </c>
      <c r="AC299">
        <f t="shared" ca="1" si="90"/>
        <v>0</v>
      </c>
      <c r="AD299">
        <f t="shared" ca="1" si="91"/>
        <v>0.98218240017888359</v>
      </c>
      <c r="AE299" s="83" t="e">
        <f ca="1"/>
        <v>#N/A</v>
      </c>
      <c r="AF299" s="55" t="e">
        <f t="shared" ca="1" si="100"/>
        <v>#N/A</v>
      </c>
      <c r="AG299" s="55" t="e">
        <f t="shared" ca="1" si="101"/>
        <v>#N/A</v>
      </c>
      <c r="AH299" s="55" t="e">
        <f t="shared" ca="1" si="102"/>
        <v>#N/A</v>
      </c>
      <c r="AI299" s="55" t="e">
        <f t="shared" ca="1" si="103"/>
        <v>#N/A</v>
      </c>
      <c r="AJ299" s="55" t="e">
        <f t="shared" ca="1" si="97"/>
        <v>#N/A</v>
      </c>
      <c r="AK299" s="55" t="e">
        <f t="shared" ca="1" si="98"/>
        <v>#N/A</v>
      </c>
      <c r="AL299" s="55" t="e">
        <f t="shared" ca="1" si="99"/>
        <v>#N/A</v>
      </c>
      <c r="AM299" s="55"/>
    </row>
    <row r="300" spans="18:39">
      <c r="R300" s="83">
        <f ca="1"/>
        <v>45293</v>
      </c>
      <c r="S300" s="55">
        <f t="shared" ca="1" si="92"/>
        <v>45293</v>
      </c>
      <c r="T300" s="55">
        <f t="shared" ca="1" si="85"/>
        <v>224.94253998085406</v>
      </c>
      <c r="U300" s="55">
        <f t="shared" ca="1" si="86"/>
        <v>126.7967080359506</v>
      </c>
      <c r="V300" s="55">
        <f t="shared" ca="1" si="87"/>
        <v>0</v>
      </c>
      <c r="W300" s="55">
        <f t="shared" ca="1" si="93"/>
        <v>-28.546036396422135</v>
      </c>
      <c r="X300" s="55">
        <f t="shared" ca="1" si="94"/>
        <v>37.293260383816708</v>
      </c>
      <c r="Y300" s="55">
        <f t="shared" ca="1" si="95"/>
        <v>17.920636820190062</v>
      </c>
      <c r="Z300" s="55">
        <f t="shared" ca="1" si="88"/>
        <v>32.084144968134325</v>
      </c>
      <c r="AA300">
        <f t="shared" ca="1" si="89"/>
        <v>26.221236086956406</v>
      </c>
      <c r="AB300">
        <f t="shared" ca="1" si="96"/>
        <v>49.712071884046722</v>
      </c>
      <c r="AC300">
        <f t="shared" ca="1" si="90"/>
        <v>0</v>
      </c>
      <c r="AD300">
        <f t="shared" ca="1" si="91"/>
        <v>0.98315322742555045</v>
      </c>
      <c r="AE300" s="83" t="e">
        <f ca="1"/>
        <v>#N/A</v>
      </c>
      <c r="AF300" s="55" t="e">
        <f t="shared" ca="1" si="100"/>
        <v>#N/A</v>
      </c>
      <c r="AG300" s="55" t="e">
        <f t="shared" ca="1" si="101"/>
        <v>#N/A</v>
      </c>
      <c r="AH300" s="55" t="e">
        <f t="shared" ca="1" si="102"/>
        <v>#N/A</v>
      </c>
      <c r="AI300" s="55" t="e">
        <f t="shared" ca="1" si="103"/>
        <v>#N/A</v>
      </c>
      <c r="AJ300" s="55" t="e">
        <f t="shared" ca="1" si="97"/>
        <v>#N/A</v>
      </c>
      <c r="AK300" s="55" t="e">
        <f t="shared" ca="1" si="98"/>
        <v>#N/A</v>
      </c>
      <c r="AL300" s="55" t="e">
        <f t="shared" ca="1" si="99"/>
        <v>#N/A</v>
      </c>
      <c r="AM300" s="55"/>
    </row>
    <row r="301" spans="18:39">
      <c r="R301" s="83">
        <f ca="1"/>
        <v>45294</v>
      </c>
      <c r="S301" s="55">
        <f t="shared" ca="1" si="92"/>
        <v>45294</v>
      </c>
      <c r="T301" s="55">
        <f t="shared" ca="1" si="85"/>
        <v>222.79997200840381</v>
      </c>
      <c r="U301" s="55">
        <f t="shared" ca="1" si="86"/>
        <v>129.07209090489201</v>
      </c>
      <c r="V301" s="55">
        <f t="shared" ca="1" si="87"/>
        <v>0</v>
      </c>
      <c r="W301" s="55">
        <f t="shared" ca="1" si="93"/>
        <v>-28.546036396422135</v>
      </c>
      <c r="X301" s="55">
        <f t="shared" ca="1" si="94"/>
        <v>37.424140698927943</v>
      </c>
      <c r="Y301" s="55">
        <f t="shared" ca="1" si="95"/>
        <v>17.922571401569996</v>
      </c>
      <c r="Z301" s="55">
        <f t="shared" ca="1" si="88"/>
        <v>31.85536016517969</v>
      </c>
      <c r="AA301">
        <f t="shared" ca="1" si="89"/>
        <v>27.652679224455042</v>
      </c>
      <c r="AB301">
        <f t="shared" ca="1" si="96"/>
        <v>49.712071884046722</v>
      </c>
      <c r="AC301">
        <f t="shared" ca="1" si="90"/>
        <v>0</v>
      </c>
      <c r="AD301">
        <f t="shared" ca="1" si="91"/>
        <v>0.98405377709043229</v>
      </c>
      <c r="AE301" s="83" t="e">
        <f ca="1"/>
        <v>#N/A</v>
      </c>
      <c r="AF301" s="55" t="e">
        <f t="shared" ca="1" si="100"/>
        <v>#N/A</v>
      </c>
      <c r="AG301" s="55" t="e">
        <f t="shared" ca="1" si="101"/>
        <v>#N/A</v>
      </c>
      <c r="AH301" s="55" t="e">
        <f t="shared" ca="1" si="102"/>
        <v>#N/A</v>
      </c>
      <c r="AI301" s="55" t="e">
        <f t="shared" ca="1" si="103"/>
        <v>#N/A</v>
      </c>
      <c r="AJ301" s="55" t="e">
        <f t="shared" ca="1" si="97"/>
        <v>#N/A</v>
      </c>
      <c r="AK301" s="55" t="e">
        <f t="shared" ca="1" si="98"/>
        <v>#N/A</v>
      </c>
      <c r="AL301" s="55" t="e">
        <f t="shared" ca="1" si="99"/>
        <v>#N/A</v>
      </c>
      <c r="AM301" s="55"/>
    </row>
    <row r="302" spans="18:39">
      <c r="R302" s="83">
        <f ca="1"/>
        <v>45295</v>
      </c>
      <c r="S302" s="55">
        <f t="shared" ca="1" si="92"/>
        <v>45295</v>
      </c>
      <c r="T302" s="55">
        <f t="shared" ca="1" si="85"/>
        <v>220.76094370026408</v>
      </c>
      <c r="U302" s="55">
        <f t="shared" ca="1" si="86"/>
        <v>131.23408036565547</v>
      </c>
      <c r="V302" s="55">
        <f t="shared" ca="1" si="87"/>
        <v>0</v>
      </c>
      <c r="W302" s="55">
        <f t="shared" ca="1" si="93"/>
        <v>-28.546036396422135</v>
      </c>
      <c r="X302" s="55">
        <f t="shared" ca="1" si="94"/>
        <v>37.545285702989204</v>
      </c>
      <c r="Y302" s="55">
        <f t="shared" ca="1" si="95"/>
        <v>17.924387550132472</v>
      </c>
      <c r="Z302" s="55">
        <f t="shared" ca="1" si="88"/>
        <v>30.267852450688508</v>
      </c>
      <c r="AA302">
        <f t="shared" ca="1" si="89"/>
        <v>28.26576008974585</v>
      </c>
      <c r="AB302">
        <f t="shared" ca="1" si="96"/>
        <v>49.712071884046722</v>
      </c>
      <c r="AC302">
        <f t="shared" ca="1" si="90"/>
        <v>0</v>
      </c>
      <c r="AD302">
        <f t="shared" ca="1" si="91"/>
        <v>0.98485547364725201</v>
      </c>
      <c r="AE302" s="83" t="e">
        <f ca="1"/>
        <v>#N/A</v>
      </c>
      <c r="AF302" s="55" t="e">
        <f t="shared" ca="1" si="100"/>
        <v>#N/A</v>
      </c>
      <c r="AG302" s="55" t="e">
        <f t="shared" ca="1" si="101"/>
        <v>#N/A</v>
      </c>
      <c r="AH302" s="55" t="e">
        <f t="shared" ca="1" si="102"/>
        <v>#N/A</v>
      </c>
      <c r="AI302" s="55" t="e">
        <f t="shared" ca="1" si="103"/>
        <v>#N/A</v>
      </c>
      <c r="AJ302" s="55" t="e">
        <f t="shared" ca="1" si="97"/>
        <v>#N/A</v>
      </c>
      <c r="AK302" s="55" t="e">
        <f t="shared" ca="1" si="98"/>
        <v>#N/A</v>
      </c>
      <c r="AL302" s="55" t="e">
        <f t="shared" ca="1" si="99"/>
        <v>#N/A</v>
      </c>
      <c r="AM302" s="55"/>
    </row>
    <row r="303" spans="18:39">
      <c r="R303" s="83">
        <f ca="1"/>
        <v>45296</v>
      </c>
      <c r="S303" s="55">
        <f t="shared" ca="1" si="92"/>
        <v>45296</v>
      </c>
      <c r="T303" s="55">
        <f t="shared" ca="1" si="85"/>
        <v>218.65890556478311</v>
      </c>
      <c r="U303" s="55">
        <f t="shared" ca="1" si="86"/>
        <v>133.46168613159347</v>
      </c>
      <c r="V303" s="55">
        <f t="shared" ca="1" si="87"/>
        <v>0</v>
      </c>
      <c r="W303" s="55">
        <f t="shared" ca="1" si="93"/>
        <v>-28.546036396422135</v>
      </c>
      <c r="X303" s="55">
        <f t="shared" ca="1" si="94"/>
        <v>37.669034332322362</v>
      </c>
      <c r="Y303" s="55">
        <f t="shared" ca="1" si="95"/>
        <v>17.926206551256328</v>
      </c>
      <c r="Z303" s="55">
        <f t="shared" ca="1" si="88"/>
        <v>31.186480723131922</v>
      </c>
      <c r="AA303">
        <f t="shared" ca="1" si="89"/>
        <v>28.121912644181897</v>
      </c>
      <c r="AB303">
        <f t="shared" ca="1" si="96"/>
        <v>49.712071884046722</v>
      </c>
      <c r="AC303">
        <f t="shared" ca="1" si="90"/>
        <v>0</v>
      </c>
      <c r="AD303">
        <f t="shared" ca="1" si="91"/>
        <v>0.98563063601363454</v>
      </c>
      <c r="AE303" s="83" t="e">
        <f ca="1"/>
        <v>#N/A</v>
      </c>
      <c r="AF303" s="55" t="e">
        <f t="shared" ca="1" si="100"/>
        <v>#N/A</v>
      </c>
      <c r="AG303" s="55" t="e">
        <f t="shared" ca="1" si="101"/>
        <v>#N/A</v>
      </c>
      <c r="AH303" s="55" t="e">
        <f t="shared" ca="1" si="102"/>
        <v>#N/A</v>
      </c>
      <c r="AI303" s="55" t="e">
        <f t="shared" ca="1" si="103"/>
        <v>#N/A</v>
      </c>
      <c r="AJ303" s="55" t="e">
        <f t="shared" ca="1" si="97"/>
        <v>#N/A</v>
      </c>
      <c r="AK303" s="55" t="e">
        <f t="shared" ca="1" si="98"/>
        <v>#N/A</v>
      </c>
      <c r="AL303" s="55" t="e">
        <f t="shared" ca="1" si="99"/>
        <v>#N/A</v>
      </c>
      <c r="AM303" s="55"/>
    </row>
    <row r="304" spans="18:39">
      <c r="R304" s="83">
        <f ca="1"/>
        <v>45297</v>
      </c>
      <c r="S304" s="55">
        <f t="shared" ca="1" si="92"/>
        <v>45297</v>
      </c>
      <c r="T304" s="55">
        <f t="shared" ca="1" si="85"/>
        <v>216.50732085113108</v>
      </c>
      <c r="U304" s="55">
        <f t="shared" ca="1" si="86"/>
        <v>135.73796753297884</v>
      </c>
      <c r="V304" s="55">
        <f t="shared" ca="1" si="87"/>
        <v>0</v>
      </c>
      <c r="W304" s="55">
        <f t="shared" ca="1" si="93"/>
        <v>-28.546036396422135</v>
      </c>
      <c r="X304" s="55">
        <f t="shared" ca="1" si="94"/>
        <v>37.792049599831095</v>
      </c>
      <c r="Y304" s="55">
        <f t="shared" ca="1" si="95"/>
        <v>17.927887971480935</v>
      </c>
      <c r="Z304" s="55">
        <f t="shared" ca="1" si="88"/>
        <v>31.867939619395258</v>
      </c>
      <c r="AA304">
        <f t="shared" ca="1" si="89"/>
        <v>26.046448175155124</v>
      </c>
      <c r="AB304">
        <f t="shared" ca="1" si="96"/>
        <v>49.712071884046722</v>
      </c>
      <c r="AC304">
        <f t="shared" ca="1" si="90"/>
        <v>0</v>
      </c>
      <c r="AD304">
        <f t="shared" ca="1" si="91"/>
        <v>0.98637337188045504</v>
      </c>
      <c r="AE304" s="83" t="e">
        <f ca="1"/>
        <v>#N/A</v>
      </c>
      <c r="AF304" s="55" t="e">
        <f t="shared" ca="1" si="100"/>
        <v>#N/A</v>
      </c>
      <c r="AG304" s="55" t="e">
        <f t="shared" ca="1" si="101"/>
        <v>#N/A</v>
      </c>
      <c r="AH304" s="55" t="e">
        <f t="shared" ca="1" si="102"/>
        <v>#N/A</v>
      </c>
      <c r="AI304" s="55" t="e">
        <f t="shared" ca="1" si="103"/>
        <v>#N/A</v>
      </c>
      <c r="AJ304" s="55" t="e">
        <f t="shared" ca="1" si="97"/>
        <v>#N/A</v>
      </c>
      <c r="AK304" s="55" t="e">
        <f t="shared" ca="1" si="98"/>
        <v>#N/A</v>
      </c>
      <c r="AL304" s="55" t="e">
        <f t="shared" ca="1" si="99"/>
        <v>#N/A</v>
      </c>
      <c r="AM304" s="55"/>
    </row>
    <row r="305" spans="18:39">
      <c r="R305" s="83">
        <f ca="1"/>
        <v>45298</v>
      </c>
      <c r="S305" s="55">
        <f t="shared" ca="1" si="92"/>
        <v>45298</v>
      </c>
      <c r="T305" s="55">
        <f t="shared" ca="1" si="85"/>
        <v>214.16696801091064</v>
      </c>
      <c r="U305" s="55">
        <f t="shared" ca="1" si="86"/>
        <v>138.21402168583086</v>
      </c>
      <c r="V305" s="55">
        <f t="shared" ca="1" si="87"/>
        <v>0</v>
      </c>
      <c r="W305" s="55">
        <f t="shared" ca="1" si="93"/>
        <v>-28.546036396422135</v>
      </c>
      <c r="X305" s="55">
        <f t="shared" ca="1" si="94"/>
        <v>37.926016056575016</v>
      </c>
      <c r="Y305" s="55">
        <f t="shared" ca="1" si="95"/>
        <v>17.929622827368608</v>
      </c>
      <c r="Z305" s="55">
        <f t="shared" ca="1" si="88"/>
        <v>34.66475813992821</v>
      </c>
      <c r="AA305">
        <f t="shared" ca="1" si="89"/>
        <v>25.032715208288266</v>
      </c>
      <c r="AB305">
        <f t="shared" ca="1" si="96"/>
        <v>49.712071884046722</v>
      </c>
      <c r="AC305">
        <f t="shared" ca="1" si="90"/>
        <v>0</v>
      </c>
      <c r="AD305">
        <f t="shared" ca="1" si="91"/>
        <v>0.98712897599614691</v>
      </c>
      <c r="AE305" s="83" t="e">
        <f ca="1"/>
        <v>#N/A</v>
      </c>
      <c r="AF305" s="55" t="e">
        <f t="shared" ca="1" si="100"/>
        <v>#N/A</v>
      </c>
      <c r="AG305" s="55" t="e">
        <f t="shared" ca="1" si="101"/>
        <v>#N/A</v>
      </c>
      <c r="AH305" s="55" t="e">
        <f t="shared" ca="1" si="102"/>
        <v>#N/A</v>
      </c>
      <c r="AI305" s="55" t="e">
        <f t="shared" ca="1" si="103"/>
        <v>#N/A</v>
      </c>
      <c r="AJ305" s="55" t="e">
        <f t="shared" ca="1" si="97"/>
        <v>#N/A</v>
      </c>
      <c r="AK305" s="55" t="e">
        <f t="shared" ca="1" si="98"/>
        <v>#N/A</v>
      </c>
      <c r="AL305" s="55" t="e">
        <f t="shared" ca="1" si="99"/>
        <v>#N/A</v>
      </c>
      <c r="AM305" s="55"/>
    </row>
    <row r="306" spans="18:39">
      <c r="R306" s="83">
        <f ca="1"/>
        <v>45299</v>
      </c>
      <c r="S306" s="55">
        <f t="shared" ca="1" si="92"/>
        <v>45299</v>
      </c>
      <c r="T306" s="55">
        <f t="shared" ca="1" si="85"/>
        <v>211.83655676870143</v>
      </c>
      <c r="U306" s="55">
        <f t="shared" ca="1" si="86"/>
        <v>140.67879741174991</v>
      </c>
      <c r="V306" s="55">
        <f t="shared" ca="1" si="87"/>
        <v>0</v>
      </c>
      <c r="W306" s="55">
        <f t="shared" ca="1" si="93"/>
        <v>-28.546036396422135</v>
      </c>
      <c r="X306" s="55">
        <f t="shared" ca="1" si="94"/>
        <v>38.058601763937403</v>
      </c>
      <c r="Y306" s="55">
        <f t="shared" ca="1" si="95"/>
        <v>17.931401603716068</v>
      </c>
      <c r="Z306" s="55">
        <f t="shared" ca="1" si="88"/>
        <v>34.506860162866758</v>
      </c>
      <c r="AA306">
        <f t="shared" ca="1" si="89"/>
        <v>26.53959200642274</v>
      </c>
      <c r="AB306">
        <f t="shared" ca="1" si="96"/>
        <v>49.712071884046722</v>
      </c>
      <c r="AC306">
        <f t="shared" ca="1" si="90"/>
        <v>0</v>
      </c>
      <c r="AD306">
        <f t="shared" ca="1" si="91"/>
        <v>0.9878312217163866</v>
      </c>
      <c r="AE306" s="83" t="e">
        <f ca="1"/>
        <v>#N/A</v>
      </c>
      <c r="AF306" s="55" t="e">
        <f t="shared" ca="1" si="100"/>
        <v>#N/A</v>
      </c>
      <c r="AG306" s="55" t="e">
        <f t="shared" ca="1" si="101"/>
        <v>#N/A</v>
      </c>
      <c r="AH306" s="55" t="e">
        <f t="shared" ca="1" si="102"/>
        <v>#N/A</v>
      </c>
      <c r="AI306" s="55" t="e">
        <f t="shared" ca="1" si="103"/>
        <v>#N/A</v>
      </c>
      <c r="AJ306" s="55" t="e">
        <f t="shared" ca="1" si="97"/>
        <v>#N/A</v>
      </c>
      <c r="AK306" s="55" t="e">
        <f t="shared" ca="1" si="98"/>
        <v>#N/A</v>
      </c>
      <c r="AL306" s="55" t="e">
        <f t="shared" ca="1" si="99"/>
        <v>#N/A</v>
      </c>
      <c r="AM306" s="55"/>
    </row>
    <row r="307" spans="18:39">
      <c r="R307" s="83">
        <f ca="1"/>
        <v>45300</v>
      </c>
      <c r="S307" s="55">
        <f t="shared" ca="1" si="92"/>
        <v>45300</v>
      </c>
      <c r="T307" s="55">
        <f t="shared" ca="1" si="85"/>
        <v>209.59542978785998</v>
      </c>
      <c r="U307" s="55">
        <f t="shared" ca="1" si="86"/>
        <v>143.0439968102024</v>
      </c>
      <c r="V307" s="55">
        <f t="shared" ca="1" si="87"/>
        <v>0</v>
      </c>
      <c r="W307" s="55">
        <f t="shared" ca="1" si="93"/>
        <v>-28.546036396422135</v>
      </c>
      <c r="X307" s="55">
        <f t="shared" ca="1" si="94"/>
        <v>38.181090253048879</v>
      </c>
      <c r="Y307" s="55">
        <f t="shared" ca="1" si="95"/>
        <v>17.932985532215625</v>
      </c>
      <c r="Z307" s="55">
        <f t="shared" ca="1" si="88"/>
        <v>33.11279157833485</v>
      </c>
      <c r="AA307">
        <f t="shared" ca="1" si="89"/>
        <v>25.445386258756987</v>
      </c>
      <c r="AB307">
        <f t="shared" ca="1" si="96"/>
        <v>49.712071884046722</v>
      </c>
      <c r="AC307">
        <f t="shared" ca="1" si="90"/>
        <v>0</v>
      </c>
      <c r="AD307">
        <f t="shared" ca="1" si="91"/>
        <v>0.98846192237365149</v>
      </c>
      <c r="AE307" s="83" t="e">
        <f ca="1"/>
        <v>#N/A</v>
      </c>
      <c r="AF307" s="55" t="e">
        <f t="shared" ca="1" si="100"/>
        <v>#N/A</v>
      </c>
      <c r="AG307" s="55" t="e">
        <f t="shared" ca="1" si="101"/>
        <v>#N/A</v>
      </c>
      <c r="AH307" s="55" t="e">
        <f t="shared" ca="1" si="102"/>
        <v>#N/A</v>
      </c>
      <c r="AI307" s="55" t="e">
        <f t="shared" ca="1" si="103"/>
        <v>#N/A</v>
      </c>
      <c r="AJ307" s="55" t="e">
        <f t="shared" ca="1" si="97"/>
        <v>#N/A</v>
      </c>
      <c r="AK307" s="55" t="e">
        <f t="shared" ca="1" si="98"/>
        <v>#N/A</v>
      </c>
      <c r="AL307" s="55" t="e">
        <f t="shared" ca="1" si="99"/>
        <v>#N/A</v>
      </c>
      <c r="AM307" s="55"/>
    </row>
    <row r="308" spans="18:39">
      <c r="R308" s="83">
        <f ca="1"/>
        <v>45301</v>
      </c>
      <c r="S308" s="55">
        <f t="shared" ca="1" si="92"/>
        <v>45301</v>
      </c>
      <c r="T308" s="55">
        <f t="shared" ca="1" si="85"/>
        <v>207.37310496931678</v>
      </c>
      <c r="U308" s="55">
        <f t="shared" ca="1" si="86"/>
        <v>145.38956996586705</v>
      </c>
      <c r="V308" s="55">
        <f t="shared" ca="1" si="87"/>
        <v>0</v>
      </c>
      <c r="W308" s="55">
        <f t="shared" ca="1" si="93"/>
        <v>-28.546036396422135</v>
      </c>
      <c r="X308" s="55">
        <f t="shared" ca="1" si="94"/>
        <v>38.302679467120143</v>
      </c>
      <c r="Y308" s="55">
        <f t="shared" ca="1" si="95"/>
        <v>17.934644655265821</v>
      </c>
      <c r="Z308" s="55">
        <f t="shared" ca="1" si="88"/>
        <v>32.838024179305137</v>
      </c>
      <c r="AA308">
        <f t="shared" ca="1" si="89"/>
        <v>27.577357222775067</v>
      </c>
      <c r="AB308">
        <f t="shared" ca="1" si="96"/>
        <v>49.712071884046722</v>
      </c>
      <c r="AC308">
        <f t="shared" ca="1" si="90"/>
        <v>0</v>
      </c>
      <c r="AD308">
        <f t="shared" ca="1" si="91"/>
        <v>0.9890487860627788</v>
      </c>
      <c r="AE308" s="83" t="e">
        <f ca="1"/>
        <v>#N/A</v>
      </c>
      <c r="AF308" s="55" t="e">
        <f t="shared" ca="1" si="100"/>
        <v>#N/A</v>
      </c>
      <c r="AG308" s="55" t="e">
        <f t="shared" ca="1" si="101"/>
        <v>#N/A</v>
      </c>
      <c r="AH308" s="55" t="e">
        <f t="shared" ca="1" si="102"/>
        <v>#N/A</v>
      </c>
      <c r="AI308" s="55" t="e">
        <f t="shared" ca="1" si="103"/>
        <v>#N/A</v>
      </c>
      <c r="AJ308" s="55" t="e">
        <f t="shared" ca="1" si="97"/>
        <v>#N/A</v>
      </c>
      <c r="AK308" s="55" t="e">
        <f t="shared" ca="1" si="98"/>
        <v>#N/A</v>
      </c>
      <c r="AL308" s="55" t="e">
        <f t="shared" ca="1" si="99"/>
        <v>#N/A</v>
      </c>
      <c r="AM308" s="55"/>
    </row>
    <row r="309" spans="18:39">
      <c r="R309" s="83">
        <f ca="1"/>
        <v>45302</v>
      </c>
      <c r="S309" s="55">
        <f t="shared" ca="1" si="92"/>
        <v>45302</v>
      </c>
      <c r="T309" s="55">
        <f t="shared" ca="1" si="85"/>
        <v>205.07509759913938</v>
      </c>
      <c r="U309" s="55">
        <f t="shared" ca="1" si="86"/>
        <v>147.81592829888649</v>
      </c>
      <c r="V309" s="55">
        <f t="shared" ca="1" si="87"/>
        <v>0</v>
      </c>
      <c r="W309" s="55">
        <f t="shared" ca="1" si="93"/>
        <v>-28.546036396422135</v>
      </c>
      <c r="X309" s="55">
        <f t="shared" ca="1" si="94"/>
        <v>38.429270998318309</v>
      </c>
      <c r="Y309" s="55">
        <f t="shared" ca="1" si="95"/>
        <v>17.936404086909704</v>
      </c>
      <c r="Z309" s="55">
        <f t="shared" ca="1" si="88"/>
        <v>33.969016662272111</v>
      </c>
      <c r="AA309">
        <f t="shared" ca="1" si="89"/>
        <v>28.887284106156599</v>
      </c>
      <c r="AB309">
        <f t="shared" ca="1" si="96"/>
        <v>49.712071884046722</v>
      </c>
      <c r="AC309">
        <f t="shared" ca="1" si="90"/>
        <v>0</v>
      </c>
      <c r="AD309">
        <f t="shared" ca="1" si="91"/>
        <v>0.98961840988096739</v>
      </c>
      <c r="AE309" s="83" t="e">
        <f ca="1"/>
        <v>#N/A</v>
      </c>
      <c r="AF309" s="55" t="e">
        <f t="shared" ca="1" si="100"/>
        <v>#N/A</v>
      </c>
      <c r="AG309" s="55" t="e">
        <f t="shared" ca="1" si="101"/>
        <v>#N/A</v>
      </c>
      <c r="AH309" s="55" t="e">
        <f t="shared" ca="1" si="102"/>
        <v>#N/A</v>
      </c>
      <c r="AI309" s="55" t="e">
        <f t="shared" ca="1" si="103"/>
        <v>#N/A</v>
      </c>
      <c r="AJ309" s="55" t="e">
        <f t="shared" ca="1" si="97"/>
        <v>#N/A</v>
      </c>
      <c r="AK309" s="55" t="e">
        <f t="shared" ca="1" si="98"/>
        <v>#N/A</v>
      </c>
      <c r="AL309" s="55" t="e">
        <f t="shared" ca="1" si="99"/>
        <v>#N/A</v>
      </c>
      <c r="AM309" s="55"/>
    </row>
    <row r="310" spans="18:39">
      <c r="R310" s="83">
        <f ca="1"/>
        <v>45303</v>
      </c>
      <c r="S310" s="55">
        <f t="shared" ca="1" si="92"/>
        <v>45303</v>
      </c>
      <c r="T310" s="55">
        <f t="shared" ca="1" si="85"/>
        <v>202.69346714661091</v>
      </c>
      <c r="U310" s="55">
        <f t="shared" ca="1" si="86"/>
        <v>150.33243884322124</v>
      </c>
      <c r="V310" s="55">
        <f t="shared" ca="1" si="87"/>
        <v>0</v>
      </c>
      <c r="W310" s="55">
        <f t="shared" ca="1" si="93"/>
        <v>-28.546036396422135</v>
      </c>
      <c r="X310" s="55">
        <f t="shared" ca="1" si="94"/>
        <v>38.562249726741264</v>
      </c>
      <c r="Y310" s="55">
        <f t="shared" ca="1" si="95"/>
        <v>17.938305450293036</v>
      </c>
      <c r="Z310" s="55">
        <f t="shared" ca="1" si="88"/>
        <v>35.2311476206865</v>
      </c>
      <c r="AA310">
        <f t="shared" ca="1" si="89"/>
        <v>30.7611264423753</v>
      </c>
      <c r="AB310">
        <f t="shared" ca="1" si="96"/>
        <v>49.712071884046722</v>
      </c>
      <c r="AC310">
        <f t="shared" ca="1" si="90"/>
        <v>0</v>
      </c>
      <c r="AD310">
        <f t="shared" ca="1" si="91"/>
        <v>0.99017196533209639</v>
      </c>
      <c r="AE310" s="83" t="e">
        <f ca="1"/>
        <v>#N/A</v>
      </c>
      <c r="AF310" s="55" t="e">
        <f t="shared" ca="1" si="100"/>
        <v>#N/A</v>
      </c>
      <c r="AG310" s="55" t="e">
        <f t="shared" ca="1" si="101"/>
        <v>#N/A</v>
      </c>
      <c r="AH310" s="55" t="e">
        <f t="shared" ca="1" si="102"/>
        <v>#N/A</v>
      </c>
      <c r="AI310" s="55" t="e">
        <f t="shared" ca="1" si="103"/>
        <v>#N/A</v>
      </c>
      <c r="AJ310" s="55" t="e">
        <f t="shared" ca="1" si="97"/>
        <v>#N/A</v>
      </c>
      <c r="AK310" s="55" t="e">
        <f t="shared" ca="1" si="98"/>
        <v>#N/A</v>
      </c>
      <c r="AL310" s="55" t="e">
        <f t="shared" ca="1" si="99"/>
        <v>#N/A</v>
      </c>
      <c r="AM310" s="55"/>
    </row>
    <row r="311" spans="18:39">
      <c r="R311" s="83">
        <f ca="1"/>
        <v>45304</v>
      </c>
      <c r="S311" s="55">
        <f t="shared" ca="1" si="92"/>
        <v>45304</v>
      </c>
      <c r="T311" s="55">
        <f t="shared" ca="1" si="85"/>
        <v>200.25721276588195</v>
      </c>
      <c r="U311" s="55">
        <f t="shared" ca="1" si="86"/>
        <v>152.90426334883878</v>
      </c>
      <c r="V311" s="55">
        <f t="shared" ca="1" si="87"/>
        <v>0</v>
      </c>
      <c r="W311" s="55">
        <f t="shared" ca="1" si="93"/>
        <v>-28.546036396422135</v>
      </c>
      <c r="X311" s="55">
        <f t="shared" ca="1" si="94"/>
        <v>38.695975642207351</v>
      </c>
      <c r="Y311" s="55">
        <f t="shared" ca="1" si="95"/>
        <v>17.940149659715509</v>
      </c>
      <c r="Z311" s="55">
        <f t="shared" ca="1" si="88"/>
        <v>36.005543078645587</v>
      </c>
      <c r="AA311">
        <f t="shared" ca="1" si="89"/>
        <v>29.907101784946519</v>
      </c>
      <c r="AB311">
        <f t="shared" ca="1" si="96"/>
        <v>49.712071884046722</v>
      </c>
      <c r="AC311">
        <f t="shared" ca="1" si="90"/>
        <v>0</v>
      </c>
      <c r="AD311">
        <f t="shared" ca="1" si="91"/>
        <v>0.99070148698650506</v>
      </c>
      <c r="AE311" s="83" t="e">
        <f ca="1"/>
        <v>#N/A</v>
      </c>
      <c r="AF311" s="55" t="e">
        <f t="shared" ca="1" si="100"/>
        <v>#N/A</v>
      </c>
      <c r="AG311" s="55" t="e">
        <f t="shared" ca="1" si="101"/>
        <v>#N/A</v>
      </c>
      <c r="AH311" s="55" t="e">
        <f t="shared" ca="1" si="102"/>
        <v>#N/A</v>
      </c>
      <c r="AI311" s="55" t="e">
        <f t="shared" ca="1" si="103"/>
        <v>#N/A</v>
      </c>
      <c r="AJ311" s="55" t="e">
        <f t="shared" ca="1" si="97"/>
        <v>#N/A</v>
      </c>
      <c r="AK311" s="55" t="e">
        <f t="shared" ca="1" si="98"/>
        <v>#N/A</v>
      </c>
      <c r="AL311" s="55" t="e">
        <f t="shared" ca="1" si="99"/>
        <v>#N/A</v>
      </c>
      <c r="AM311" s="55"/>
    </row>
    <row r="312" spans="18:39">
      <c r="R312" s="83">
        <f ca="1"/>
        <v>45305</v>
      </c>
      <c r="S312" s="55">
        <f t="shared" ca="1" si="92"/>
        <v>45305</v>
      </c>
      <c r="T312" s="55">
        <f t="shared" ca="1" si="85"/>
        <v>197.78811310523619</v>
      </c>
      <c r="U312" s="55">
        <f t="shared" ca="1" si="86"/>
        <v>155.50730045618184</v>
      </c>
      <c r="V312" s="55">
        <f t="shared" ca="1" si="87"/>
        <v>0</v>
      </c>
      <c r="W312" s="55">
        <f t="shared" ca="1" si="93"/>
        <v>-28.546036396422135</v>
      </c>
      <c r="X312" s="55">
        <f t="shared" ca="1" si="94"/>
        <v>38.828176434606164</v>
      </c>
      <c r="Y312" s="55">
        <f t="shared" ca="1" si="95"/>
        <v>17.941886314014003</v>
      </c>
      <c r="Z312" s="55">
        <f t="shared" ca="1" si="88"/>
        <v>36.442519502802782</v>
      </c>
      <c r="AA312">
        <f t="shared" ca="1" si="89"/>
        <v>28.530622526406646</v>
      </c>
      <c r="AB312">
        <f t="shared" ca="1" si="96"/>
        <v>49.712071884046722</v>
      </c>
      <c r="AC312">
        <f t="shared" ca="1" si="90"/>
        <v>0</v>
      </c>
      <c r="AD312">
        <f t="shared" ca="1" si="91"/>
        <v>0.99120302190398979</v>
      </c>
      <c r="AE312" s="83" t="e">
        <f ca="1"/>
        <v>#N/A</v>
      </c>
      <c r="AF312" s="55" t="e">
        <f t="shared" ca="1" si="100"/>
        <v>#N/A</v>
      </c>
      <c r="AG312" s="55" t="e">
        <f t="shared" ca="1" si="101"/>
        <v>#N/A</v>
      </c>
      <c r="AH312" s="55" t="e">
        <f t="shared" ca="1" si="102"/>
        <v>#N/A</v>
      </c>
      <c r="AI312" s="55" t="e">
        <f t="shared" ca="1" si="103"/>
        <v>#N/A</v>
      </c>
      <c r="AJ312" s="55" t="e">
        <f t="shared" ca="1" si="97"/>
        <v>#N/A</v>
      </c>
      <c r="AK312" s="55" t="e">
        <f t="shared" ca="1" si="98"/>
        <v>#N/A</v>
      </c>
      <c r="AL312" s="55" t="e">
        <f t="shared" ca="1" si="99"/>
        <v>#N/A</v>
      </c>
      <c r="AM312" s="55"/>
    </row>
    <row r="313" spans="18:39">
      <c r="R313" s="83">
        <f ca="1"/>
        <v>45306</v>
      </c>
      <c r="S313" s="55">
        <f t="shared" ca="1" si="92"/>
        <v>45306</v>
      </c>
      <c r="T313" s="55">
        <f t="shared" ca="1" si="85"/>
        <v>195.21487846968691</v>
      </c>
      <c r="U313" s="55">
        <f t="shared" ca="1" si="86"/>
        <v>158.21849924143487</v>
      </c>
      <c r="V313" s="55">
        <f t="shared" ca="1" si="87"/>
        <v>0</v>
      </c>
      <c r="W313" s="55">
        <f t="shared" ca="1" si="93"/>
        <v>-28.546036396422135</v>
      </c>
      <c r="X313" s="55">
        <f t="shared" ca="1" si="94"/>
        <v>38.964427222753223</v>
      </c>
      <c r="Y313" s="55">
        <f t="shared" ca="1" si="95"/>
        <v>17.943599675570674</v>
      </c>
      <c r="Z313" s="55">
        <f t="shared" ca="1" si="88"/>
        <v>37.956782993542447</v>
      </c>
      <c r="AA313">
        <f t="shared" ca="1" si="89"/>
        <v>27.553149202840029</v>
      </c>
      <c r="AB313">
        <f t="shared" ca="1" si="96"/>
        <v>49.712071884046722</v>
      </c>
      <c r="AC313">
        <f t="shared" ca="1" si="90"/>
        <v>0</v>
      </c>
      <c r="AD313">
        <f t="shared" ca="1" si="91"/>
        <v>0.99169143218840805</v>
      </c>
      <c r="AE313" s="83" t="e">
        <f ca="1"/>
        <v>#N/A</v>
      </c>
      <c r="AF313" s="55" t="e">
        <f t="shared" ca="1" si="100"/>
        <v>#N/A</v>
      </c>
      <c r="AG313" s="55" t="e">
        <f t="shared" ca="1" si="101"/>
        <v>#N/A</v>
      </c>
      <c r="AH313" s="55" t="e">
        <f t="shared" ca="1" si="102"/>
        <v>#N/A</v>
      </c>
      <c r="AI313" s="55" t="e">
        <f t="shared" ca="1" si="103"/>
        <v>#N/A</v>
      </c>
      <c r="AJ313" s="55" t="e">
        <f t="shared" ca="1" si="97"/>
        <v>#N/A</v>
      </c>
      <c r="AK313" s="55" t="e">
        <f t="shared" ca="1" si="98"/>
        <v>#N/A</v>
      </c>
      <c r="AL313" s="55" t="e">
        <f t="shared" ca="1" si="99"/>
        <v>#N/A</v>
      </c>
      <c r="AM313" s="55"/>
    </row>
    <row r="314" spans="18:39">
      <c r="R314" s="83">
        <f ca="1"/>
        <v>45307</v>
      </c>
      <c r="S314" s="55">
        <f t="shared" ca="1" si="92"/>
        <v>45307</v>
      </c>
      <c r="T314" s="55">
        <f t="shared" ca="1" si="85"/>
        <v>192.68456525078903</v>
      </c>
      <c r="U314" s="55">
        <f t="shared" ca="1" si="86"/>
        <v>160.87974563290331</v>
      </c>
      <c r="V314" s="55">
        <f t="shared" ca="1" si="87"/>
        <v>0</v>
      </c>
      <c r="W314" s="55">
        <f t="shared" ca="1" si="93"/>
        <v>-28.546036396422135</v>
      </c>
      <c r="X314" s="55">
        <f t="shared" ca="1" si="94"/>
        <v>39.093811362802519</v>
      </c>
      <c r="Y314" s="55">
        <f t="shared" ca="1" si="95"/>
        <v>17.945148708091935</v>
      </c>
      <c r="Z314" s="55">
        <f t="shared" ca="1" si="88"/>
        <v>37.257449480558137</v>
      </c>
      <c r="AA314">
        <f t="shared" ca="1" si="89"/>
        <v>26.136590593849039</v>
      </c>
      <c r="AB314">
        <f t="shared" ca="1" si="96"/>
        <v>49.712071884046722</v>
      </c>
      <c r="AC314">
        <f t="shared" ca="1" si="90"/>
        <v>0</v>
      </c>
      <c r="AD314">
        <f t="shared" ca="1" si="91"/>
        <v>0.99213973683816048</v>
      </c>
      <c r="AE314" s="83" t="e">
        <f ca="1"/>
        <v>#N/A</v>
      </c>
      <c r="AF314" s="55" t="e">
        <f t="shared" ca="1" si="100"/>
        <v>#N/A</v>
      </c>
      <c r="AG314" s="55" t="e">
        <f t="shared" ca="1" si="101"/>
        <v>#N/A</v>
      </c>
      <c r="AH314" s="55" t="e">
        <f t="shared" ca="1" si="102"/>
        <v>#N/A</v>
      </c>
      <c r="AI314" s="55" t="e">
        <f t="shared" ca="1" si="103"/>
        <v>#N/A</v>
      </c>
      <c r="AJ314" s="55" t="e">
        <f t="shared" ca="1" si="97"/>
        <v>#N/A</v>
      </c>
      <c r="AK314" s="55" t="e">
        <f t="shared" ca="1" si="98"/>
        <v>#N/A</v>
      </c>
      <c r="AL314" s="55" t="e">
        <f t="shared" ca="1" si="99"/>
        <v>#N/A</v>
      </c>
      <c r="AM314" s="55"/>
    </row>
    <row r="315" spans="18:39">
      <c r="R315" s="83">
        <f ca="1"/>
        <v>45308</v>
      </c>
      <c r="S315" s="55">
        <f t="shared" ca="1" si="92"/>
        <v>45308</v>
      </c>
      <c r="T315" s="55">
        <f t="shared" ca="1" si="85"/>
        <v>190.13978394226712</v>
      </c>
      <c r="U315" s="55">
        <f t="shared" ca="1" si="86"/>
        <v>163.5524724874999</v>
      </c>
      <c r="V315" s="55">
        <f t="shared" ca="1" si="87"/>
        <v>0</v>
      </c>
      <c r="W315" s="55">
        <f t="shared" ca="1" si="93"/>
        <v>-28.546036396422135</v>
      </c>
      <c r="X315" s="55">
        <f t="shared" ca="1" si="94"/>
        <v>39.220332673451964</v>
      </c>
      <c r="Y315" s="55">
        <f t="shared" ca="1" si="95"/>
        <v>17.946572943517168</v>
      </c>
      <c r="Z315" s="55">
        <f t="shared" ca="1" si="88"/>
        <v>37.418175964352258</v>
      </c>
      <c r="AA315">
        <f t="shared" ca="1" si="89"/>
        <v>24.499217539532847</v>
      </c>
      <c r="AB315">
        <f t="shared" ca="1" si="96"/>
        <v>49.712071884046722</v>
      </c>
      <c r="AC315">
        <f t="shared" ca="1" si="90"/>
        <v>0</v>
      </c>
      <c r="AD315">
        <f t="shared" ca="1" si="91"/>
        <v>0.99256133572387162</v>
      </c>
      <c r="AE315" s="83" t="e">
        <f ca="1"/>
        <v>#N/A</v>
      </c>
      <c r="AF315" s="55" t="e">
        <f t="shared" ca="1" si="100"/>
        <v>#N/A</v>
      </c>
      <c r="AG315" s="55" t="e">
        <f t="shared" ca="1" si="101"/>
        <v>#N/A</v>
      </c>
      <c r="AH315" s="55" t="e">
        <f t="shared" ca="1" si="102"/>
        <v>#N/A</v>
      </c>
      <c r="AI315" s="55" t="e">
        <f t="shared" ca="1" si="103"/>
        <v>#N/A</v>
      </c>
      <c r="AJ315" s="55" t="e">
        <f t="shared" ca="1" si="97"/>
        <v>#N/A</v>
      </c>
      <c r="AK315" s="55" t="e">
        <f t="shared" ca="1" si="98"/>
        <v>#N/A</v>
      </c>
      <c r="AL315" s="55" t="e">
        <f t="shared" ca="1" si="99"/>
        <v>#N/A</v>
      </c>
      <c r="AM315" s="55"/>
    </row>
    <row r="316" spans="18:39">
      <c r="R316" s="83">
        <f ca="1"/>
        <v>45309</v>
      </c>
      <c r="S316" s="55">
        <f t="shared" ca="1" si="92"/>
        <v>45309</v>
      </c>
      <c r="T316" s="55">
        <f t="shared" ca="1" si="85"/>
        <v>187.48243027280256</v>
      </c>
      <c r="U316" s="55">
        <f t="shared" ca="1" si="86"/>
        <v>166.34799632891472</v>
      </c>
      <c r="V316" s="55">
        <f t="shared" ca="1" si="87"/>
        <v>0</v>
      </c>
      <c r="W316" s="55">
        <f t="shared" ca="1" si="93"/>
        <v>-28.546036396422135</v>
      </c>
      <c r="X316" s="55">
        <f t="shared" ca="1" si="94"/>
        <v>39.356822688665652</v>
      </c>
      <c r="Y316" s="55">
        <f t="shared" ca="1" si="95"/>
        <v>17.948253100253751</v>
      </c>
      <c r="Z316" s="55">
        <f t="shared" ca="1" si="88"/>
        <v>39.137333779807477</v>
      </c>
      <c r="AA316">
        <f t="shared" ca="1" si="89"/>
        <v>28.106337704553471</v>
      </c>
      <c r="AB316">
        <f t="shared" ca="1" si="96"/>
        <v>49.712071884046722</v>
      </c>
      <c r="AC316">
        <f t="shared" ca="1" si="90"/>
        <v>0</v>
      </c>
      <c r="AD316">
        <f t="shared" ca="1" si="91"/>
        <v>0.99297393943551759</v>
      </c>
      <c r="AE316" s="83" t="e">
        <f ca="1"/>
        <v>#N/A</v>
      </c>
      <c r="AF316" s="55" t="e">
        <f t="shared" ca="1" si="100"/>
        <v>#N/A</v>
      </c>
      <c r="AG316" s="55" t="e">
        <f t="shared" ca="1" si="101"/>
        <v>#N/A</v>
      </c>
      <c r="AH316" s="55" t="e">
        <f t="shared" ca="1" si="102"/>
        <v>#N/A</v>
      </c>
      <c r="AI316" s="55" t="e">
        <f t="shared" ca="1" si="103"/>
        <v>#N/A</v>
      </c>
      <c r="AJ316" s="55" t="e">
        <f t="shared" ca="1" si="97"/>
        <v>#N/A</v>
      </c>
      <c r="AK316" s="55" t="e">
        <f t="shared" ca="1" si="98"/>
        <v>#N/A</v>
      </c>
      <c r="AL316" s="55" t="e">
        <f t="shared" ca="1" si="99"/>
        <v>#N/A</v>
      </c>
      <c r="AM316" s="55"/>
    </row>
    <row r="317" spans="18:39">
      <c r="R317" s="83">
        <f ca="1"/>
        <v>45310</v>
      </c>
      <c r="S317" s="55">
        <f t="shared" ca="1" si="92"/>
        <v>45310</v>
      </c>
      <c r="T317" s="55">
        <f t="shared" ca="1" si="85"/>
        <v>184.83176618399213</v>
      </c>
      <c r="U317" s="55">
        <f t="shared" ca="1" si="86"/>
        <v>169.1328265393181</v>
      </c>
      <c r="V317" s="55">
        <f t="shared" ca="1" si="87"/>
        <v>0</v>
      </c>
      <c r="W317" s="55">
        <f t="shared" ca="1" si="93"/>
        <v>-28.546036396422135</v>
      </c>
      <c r="X317" s="55">
        <f t="shared" ca="1" si="94"/>
        <v>39.489422807167074</v>
      </c>
      <c r="Y317" s="55">
        <f t="shared" ca="1" si="95"/>
        <v>17.949819103345284</v>
      </c>
      <c r="Z317" s="55">
        <f t="shared" ca="1" si="88"/>
        <v>38.987622945647388</v>
      </c>
      <c r="AA317">
        <f t="shared" ca="1" si="89"/>
        <v>27.002915038435233</v>
      </c>
      <c r="AB317">
        <f t="shared" ca="1" si="96"/>
        <v>49.712071884046722</v>
      </c>
      <c r="AC317">
        <f t="shared" ca="1" si="90"/>
        <v>0</v>
      </c>
      <c r="AD317">
        <f t="shared" ca="1" si="91"/>
        <v>0.99335833209599367</v>
      </c>
      <c r="AE317" s="83" t="e">
        <f ca="1"/>
        <v>#N/A</v>
      </c>
      <c r="AF317" s="55" t="e">
        <f t="shared" ca="1" si="100"/>
        <v>#N/A</v>
      </c>
      <c r="AG317" s="55" t="e">
        <f t="shared" ca="1" si="101"/>
        <v>#N/A</v>
      </c>
      <c r="AH317" s="55" t="e">
        <f t="shared" ca="1" si="102"/>
        <v>#N/A</v>
      </c>
      <c r="AI317" s="55" t="e">
        <f t="shared" ca="1" si="103"/>
        <v>#N/A</v>
      </c>
      <c r="AJ317" s="55" t="e">
        <f t="shared" ca="1" si="97"/>
        <v>#N/A</v>
      </c>
      <c r="AK317" s="55" t="e">
        <f t="shared" ca="1" si="98"/>
        <v>#N/A</v>
      </c>
      <c r="AL317" s="55" t="e">
        <f t="shared" ca="1" si="99"/>
        <v>#N/A</v>
      </c>
      <c r="AM317" s="55"/>
    </row>
    <row r="318" spans="18:39">
      <c r="R318" s="83">
        <f ca="1"/>
        <v>45311</v>
      </c>
      <c r="S318" s="55">
        <f t="shared" ca="1" si="92"/>
        <v>45311</v>
      </c>
      <c r="T318" s="55">
        <f t="shared" ca="1" si="85"/>
        <v>182.32226616843386</v>
      </c>
      <c r="U318" s="55">
        <f t="shared" ca="1" si="86"/>
        <v>171.76280534550168</v>
      </c>
      <c r="V318" s="55">
        <f t="shared" ca="1" si="87"/>
        <v>0</v>
      </c>
      <c r="W318" s="55">
        <f t="shared" ca="1" si="93"/>
        <v>-28.546036396422135</v>
      </c>
      <c r="X318" s="55">
        <f t="shared" ca="1" si="94"/>
        <v>39.608588339605078</v>
      </c>
      <c r="Y318" s="55">
        <f t="shared" ca="1" si="95"/>
        <v>17.951132361532565</v>
      </c>
      <c r="Z318" s="55">
        <f t="shared" ca="1" si="88"/>
        <v>36.819703286570018</v>
      </c>
      <c r="AA318">
        <f t="shared" ca="1" si="89"/>
        <v>24.741604549739396</v>
      </c>
      <c r="AB318">
        <f t="shared" ca="1" si="96"/>
        <v>49.712071884046722</v>
      </c>
      <c r="AC318">
        <f t="shared" ca="1" si="90"/>
        <v>0</v>
      </c>
      <c r="AD318">
        <f t="shared" ca="1" si="91"/>
        <v>0.99369877684760377</v>
      </c>
      <c r="AE318" s="83" t="e">
        <f ca="1"/>
        <v>#N/A</v>
      </c>
      <c r="AF318" s="55" t="e">
        <f t="shared" ca="1" si="100"/>
        <v>#N/A</v>
      </c>
      <c r="AG318" s="55" t="e">
        <f t="shared" ca="1" si="101"/>
        <v>#N/A</v>
      </c>
      <c r="AH318" s="55" t="e">
        <f t="shared" ca="1" si="102"/>
        <v>#N/A</v>
      </c>
      <c r="AI318" s="55" t="e">
        <f t="shared" ca="1" si="103"/>
        <v>#N/A</v>
      </c>
      <c r="AJ318" s="55" t="e">
        <f t="shared" ca="1" si="97"/>
        <v>#N/A</v>
      </c>
      <c r="AK318" s="55" t="e">
        <f t="shared" ca="1" si="98"/>
        <v>#N/A</v>
      </c>
      <c r="AL318" s="55" t="e">
        <f t="shared" ca="1" si="99"/>
        <v>#N/A</v>
      </c>
      <c r="AM318" s="55"/>
    </row>
    <row r="319" spans="18:39">
      <c r="R319" s="83">
        <f ca="1"/>
        <v>45312</v>
      </c>
      <c r="S319" s="55">
        <f t="shared" ca="1" si="92"/>
        <v>45312</v>
      </c>
      <c r="T319" s="55">
        <f t="shared" ca="1" si="85"/>
        <v>179.54284994953173</v>
      </c>
      <c r="U319" s="55">
        <f t="shared" ca="1" si="86"/>
        <v>174.67598600811093</v>
      </c>
      <c r="V319" s="55">
        <f t="shared" ca="1" si="87"/>
        <v>0</v>
      </c>
      <c r="W319" s="55">
        <f t="shared" ca="1" si="93"/>
        <v>-28.546036396422135</v>
      </c>
      <c r="X319" s="55">
        <f t="shared" ca="1" si="94"/>
        <v>39.74101590582476</v>
      </c>
      <c r="Y319" s="55">
        <f t="shared" ca="1" si="95"/>
        <v>17.952469239019997</v>
      </c>
      <c r="Z319" s="55">
        <f t="shared" ca="1" si="88"/>
        <v>40.784529276529497</v>
      </c>
      <c r="AA319">
        <f t="shared" ca="1" si="89"/>
        <v>22.88203566603605</v>
      </c>
      <c r="AB319">
        <f t="shared" ca="1" si="96"/>
        <v>49.712071884046722</v>
      </c>
      <c r="AC319">
        <f t="shared" ca="1" si="90"/>
        <v>0</v>
      </c>
      <c r="AD319">
        <f t="shared" ca="1" si="91"/>
        <v>0.99405220495238644</v>
      </c>
      <c r="AE319" s="83" t="e">
        <f ca="1"/>
        <v>#N/A</v>
      </c>
      <c r="AF319" s="55" t="e">
        <f t="shared" ca="1" si="100"/>
        <v>#N/A</v>
      </c>
      <c r="AG319" s="55" t="e">
        <f t="shared" ca="1" si="101"/>
        <v>#N/A</v>
      </c>
      <c r="AH319" s="55" t="e">
        <f t="shared" ca="1" si="102"/>
        <v>#N/A</v>
      </c>
      <c r="AI319" s="55" t="e">
        <f t="shared" ca="1" si="103"/>
        <v>#N/A</v>
      </c>
      <c r="AJ319" s="55" t="e">
        <f t="shared" ca="1" si="97"/>
        <v>#N/A</v>
      </c>
      <c r="AK319" s="55" t="e">
        <f t="shared" ca="1" si="98"/>
        <v>#N/A</v>
      </c>
      <c r="AL319" s="55" t="e">
        <f t="shared" ca="1" si="99"/>
        <v>#N/A</v>
      </c>
      <c r="AM319" s="55"/>
    </row>
    <row r="320" spans="18:39">
      <c r="R320" s="83">
        <f ca="1"/>
        <v>45313</v>
      </c>
      <c r="S320" s="55">
        <f t="shared" ca="1" si="92"/>
        <v>45313</v>
      </c>
      <c r="T320" s="55">
        <f t="shared" ca="1" si="85"/>
        <v>176.61225770848216</v>
      </c>
      <c r="U320" s="55">
        <f t="shared" ca="1" si="86"/>
        <v>177.74966035912098</v>
      </c>
      <c r="V320" s="55">
        <f t="shared" ca="1" si="87"/>
        <v>0</v>
      </c>
      <c r="W320" s="55">
        <f t="shared" ca="1" si="93"/>
        <v>-28.546036396422135</v>
      </c>
      <c r="X320" s="55">
        <f t="shared" ca="1" si="94"/>
        <v>39.882637362901541</v>
      </c>
      <c r="Y320" s="55">
        <f t="shared" ca="1" si="95"/>
        <v>17.953929891903712</v>
      </c>
      <c r="Z320" s="55">
        <f t="shared" ca="1" si="88"/>
        <v>43.031440914140774</v>
      </c>
      <c r="AA320">
        <f t="shared" ca="1" si="89"/>
        <v>23.974885635791303</v>
      </c>
      <c r="AB320">
        <f t="shared" ca="1" si="96"/>
        <v>49.712071884046722</v>
      </c>
      <c r="AC320">
        <f t="shared" ca="1" si="90"/>
        <v>0</v>
      </c>
      <c r="AD320">
        <f t="shared" ca="1" si="91"/>
        <v>0.99440018601445734</v>
      </c>
      <c r="AE320" s="83" t="e">
        <f ca="1"/>
        <v>#N/A</v>
      </c>
      <c r="AF320" s="55" t="e">
        <f t="shared" ca="1" si="100"/>
        <v>#N/A</v>
      </c>
      <c r="AG320" s="55" t="e">
        <f t="shared" ca="1" si="101"/>
        <v>#N/A</v>
      </c>
      <c r="AH320" s="55" t="e">
        <f t="shared" ca="1" si="102"/>
        <v>#N/A</v>
      </c>
      <c r="AI320" s="55" t="e">
        <f t="shared" ca="1" si="103"/>
        <v>#N/A</v>
      </c>
      <c r="AJ320" s="55" t="e">
        <f t="shared" ca="1" si="97"/>
        <v>#N/A</v>
      </c>
      <c r="AK320" s="55" t="e">
        <f t="shared" ca="1" si="98"/>
        <v>#N/A</v>
      </c>
      <c r="AL320" s="55" t="e">
        <f t="shared" ca="1" si="99"/>
        <v>#N/A</v>
      </c>
      <c r="AM320" s="55"/>
    </row>
    <row r="321" spans="18:39">
      <c r="R321" s="83">
        <f ca="1"/>
        <v>45314</v>
      </c>
      <c r="S321" s="55">
        <f t="shared" ca="1" si="92"/>
        <v>45314</v>
      </c>
      <c r="T321" s="55">
        <f t="shared" ca="1" si="85"/>
        <v>173.81976233757285</v>
      </c>
      <c r="U321" s="55">
        <f t="shared" ca="1" si="86"/>
        <v>180.67281354601698</v>
      </c>
      <c r="V321" s="55">
        <f t="shared" ca="1" si="87"/>
        <v>0</v>
      </c>
      <c r="W321" s="55">
        <f t="shared" ca="1" si="93"/>
        <v>-28.546036396422135</v>
      </c>
      <c r="X321" s="55">
        <f t="shared" ca="1" si="94"/>
        <v>40.01201686821031</v>
      </c>
      <c r="Y321" s="55">
        <f t="shared" ca="1" si="95"/>
        <v>17.955208202581623</v>
      </c>
      <c r="Z321" s="55">
        <f t="shared" ca="1" si="88"/>
        <v>40.924144616544027</v>
      </c>
      <c r="AA321">
        <f t="shared" ca="1" si="89"/>
        <v>22.854775847766064</v>
      </c>
      <c r="AB321">
        <f t="shared" ca="1" si="96"/>
        <v>49.712071884046722</v>
      </c>
      <c r="AC321">
        <f t="shared" ca="1" si="90"/>
        <v>0</v>
      </c>
      <c r="AD321">
        <f t="shared" ca="1" si="91"/>
        <v>0.9947092389568043</v>
      </c>
      <c r="AE321" s="83" t="e">
        <f ca="1"/>
        <v>#N/A</v>
      </c>
      <c r="AF321" s="55" t="e">
        <f t="shared" ca="1" si="100"/>
        <v>#N/A</v>
      </c>
      <c r="AG321" s="55" t="e">
        <f t="shared" ca="1" si="101"/>
        <v>#N/A</v>
      </c>
      <c r="AH321" s="55" t="e">
        <f t="shared" ca="1" si="102"/>
        <v>#N/A</v>
      </c>
      <c r="AI321" s="55" t="e">
        <f t="shared" ca="1" si="103"/>
        <v>#N/A</v>
      </c>
      <c r="AJ321" s="55" t="e">
        <f t="shared" ca="1" si="97"/>
        <v>#N/A</v>
      </c>
      <c r="AK321" s="55" t="e">
        <f t="shared" ca="1" si="98"/>
        <v>#N/A</v>
      </c>
      <c r="AL321" s="55" t="e">
        <f t="shared" ca="1" si="99"/>
        <v>#N/A</v>
      </c>
      <c r="AM321" s="55"/>
    </row>
    <row r="322" spans="18:39">
      <c r="R322" s="83">
        <f ca="1"/>
        <v>45315</v>
      </c>
      <c r="S322" s="55">
        <f t="shared" ca="1" si="92"/>
        <v>45315</v>
      </c>
      <c r="T322" s="55">
        <f t="shared" ca="1" si="85"/>
        <v>171.05426600642096</v>
      </c>
      <c r="U322" s="55">
        <f t="shared" ca="1" si="86"/>
        <v>183.56572341332827</v>
      </c>
      <c r="V322" s="55">
        <f t="shared" ca="1" si="87"/>
        <v>0</v>
      </c>
      <c r="W322" s="55">
        <f t="shared" ca="1" si="93"/>
        <v>-28.546036396422135</v>
      </c>
      <c r="X322" s="55">
        <f t="shared" ca="1" si="94"/>
        <v>40.138186345017054</v>
      </c>
      <c r="Y322" s="55">
        <f t="shared" ca="1" si="95"/>
        <v>17.956452261934267</v>
      </c>
      <c r="Z322" s="55">
        <f t="shared" ca="1" si="88"/>
        <v>40.500738142358045</v>
      </c>
      <c r="AA322">
        <f t="shared" ca="1" si="89"/>
        <v>23.013665032095545</v>
      </c>
      <c r="AB322">
        <f t="shared" ca="1" si="96"/>
        <v>49.712071884046722</v>
      </c>
      <c r="AC322">
        <f t="shared" ca="1" si="90"/>
        <v>0</v>
      </c>
      <c r="AD322">
        <f t="shared" ca="1" si="91"/>
        <v>0.99499569923183795</v>
      </c>
      <c r="AE322" s="83" t="e">
        <f ca="1"/>
        <v>#N/A</v>
      </c>
      <c r="AF322" s="55" t="e">
        <f t="shared" ca="1" si="100"/>
        <v>#N/A</v>
      </c>
      <c r="AG322" s="55" t="e">
        <f t="shared" ca="1" si="101"/>
        <v>#N/A</v>
      </c>
      <c r="AH322" s="55" t="e">
        <f t="shared" ca="1" si="102"/>
        <v>#N/A</v>
      </c>
      <c r="AI322" s="55" t="e">
        <f t="shared" ca="1" si="103"/>
        <v>#N/A</v>
      </c>
      <c r="AJ322" s="55" t="e">
        <f t="shared" ca="1" si="97"/>
        <v>#N/A</v>
      </c>
      <c r="AK322" s="55" t="e">
        <f t="shared" ca="1" si="98"/>
        <v>#N/A</v>
      </c>
      <c r="AL322" s="55" t="e">
        <f t="shared" ca="1" si="99"/>
        <v>#N/A</v>
      </c>
      <c r="AM322" s="55"/>
    </row>
    <row r="323" spans="18:39">
      <c r="R323" s="83">
        <f ca="1"/>
        <v>45316</v>
      </c>
      <c r="S323" s="55">
        <f t="shared" ca="1" si="92"/>
        <v>45316</v>
      </c>
      <c r="T323" s="55">
        <f t="shared" ca="1" si="85"/>
        <v>168.28628704240907</v>
      </c>
      <c r="U323" s="55">
        <f t="shared" ca="1" si="86"/>
        <v>186.45949371933753</v>
      </c>
      <c r="V323" s="55">
        <f t="shared" ca="1" si="87"/>
        <v>0</v>
      </c>
      <c r="W323" s="55">
        <f t="shared" ca="1" si="93"/>
        <v>-28.546036396422135</v>
      </c>
      <c r="X323" s="55">
        <f t="shared" ca="1" si="94"/>
        <v>40.262765331421029</v>
      </c>
      <c r="Y323" s="55">
        <f t="shared" ca="1" si="95"/>
        <v>17.957664617527666</v>
      </c>
      <c r="Z323" s="55">
        <f t="shared" ca="1" si="88"/>
        <v>40.512784284129623</v>
      </c>
      <c r="AA323">
        <f t="shared" ca="1" si="89"/>
        <v>22.896763730251543</v>
      </c>
      <c r="AB323">
        <f t="shared" ca="1" si="96"/>
        <v>49.712071884046722</v>
      </c>
      <c r="AC323">
        <f t="shared" ca="1" si="90"/>
        <v>0</v>
      </c>
      <c r="AD323">
        <f t="shared" ca="1" si="91"/>
        <v>0.99526437492933062</v>
      </c>
      <c r="AE323" s="83" t="e">
        <f ca="1"/>
        <v>#N/A</v>
      </c>
      <c r="AF323" s="55" t="e">
        <f t="shared" ca="1" si="100"/>
        <v>#N/A</v>
      </c>
      <c r="AG323" s="55" t="e">
        <f t="shared" ca="1" si="101"/>
        <v>#N/A</v>
      </c>
      <c r="AH323" s="55" t="e">
        <f t="shared" ca="1" si="102"/>
        <v>#N/A</v>
      </c>
      <c r="AI323" s="55" t="e">
        <f t="shared" ca="1" si="103"/>
        <v>#N/A</v>
      </c>
      <c r="AJ323" s="55" t="e">
        <f t="shared" ca="1" si="97"/>
        <v>#N/A</v>
      </c>
      <c r="AK323" s="55" t="e">
        <f t="shared" ca="1" si="98"/>
        <v>#N/A</v>
      </c>
      <c r="AL323" s="55" t="e">
        <f t="shared" ca="1" si="99"/>
        <v>#N/A</v>
      </c>
      <c r="AM323" s="55"/>
    </row>
    <row r="324" spans="18:39">
      <c r="R324" s="83">
        <f ca="1"/>
        <v>45317</v>
      </c>
      <c r="S324" s="55">
        <f t="shared" ca="1" si="92"/>
        <v>45317</v>
      </c>
      <c r="T324" s="55">
        <f t="shared" ca="1" si="85"/>
        <v>165.53454437173846</v>
      </c>
      <c r="U324" s="55">
        <f t="shared" ca="1" si="86"/>
        <v>189.33373427965077</v>
      </c>
      <c r="V324" s="55">
        <f t="shared" ca="1" si="87"/>
        <v>0</v>
      </c>
      <c r="W324" s="55">
        <f t="shared" ca="1" si="93"/>
        <v>-28.546036396422135</v>
      </c>
      <c r="X324" s="55">
        <f t="shared" ca="1" si="94"/>
        <v>40.384121098290379</v>
      </c>
      <c r="Y324" s="55">
        <f t="shared" ca="1" si="95"/>
        <v>17.95880674030094</v>
      </c>
      <c r="Z324" s="55">
        <f t="shared" ca="1" si="88"/>
        <v>40.239367844385356</v>
      </c>
      <c r="AA324">
        <f t="shared" ca="1" si="89"/>
        <v>22.18265618403667</v>
      </c>
      <c r="AB324">
        <f t="shared" ca="1" si="96"/>
        <v>49.712071884046722</v>
      </c>
      <c r="AC324">
        <f t="shared" ca="1" si="90"/>
        <v>0</v>
      </c>
      <c r="AD324">
        <f t="shared" ca="1" si="91"/>
        <v>0.9955148350951073</v>
      </c>
      <c r="AE324" s="83" t="e">
        <f ca="1"/>
        <v>#N/A</v>
      </c>
      <c r="AF324" s="55" t="e">
        <f t="shared" ca="1" si="100"/>
        <v>#N/A</v>
      </c>
      <c r="AG324" s="55" t="e">
        <f t="shared" ca="1" si="101"/>
        <v>#N/A</v>
      </c>
      <c r="AH324" s="55" t="e">
        <f t="shared" ca="1" si="102"/>
        <v>#N/A</v>
      </c>
      <c r="AI324" s="55" t="e">
        <f t="shared" ca="1" si="103"/>
        <v>#N/A</v>
      </c>
      <c r="AJ324" s="55" t="e">
        <f t="shared" ca="1" si="97"/>
        <v>#N/A</v>
      </c>
      <c r="AK324" s="55" t="e">
        <f t="shared" ca="1" si="98"/>
        <v>#N/A</v>
      </c>
      <c r="AL324" s="55" t="e">
        <f t="shared" ca="1" si="99"/>
        <v>#N/A</v>
      </c>
      <c r="AM324" s="55"/>
    </row>
    <row r="325" spans="18:39">
      <c r="R325" s="83">
        <f ca="1"/>
        <v>45318</v>
      </c>
      <c r="S325" s="55">
        <f t="shared" ca="1" si="92"/>
        <v>45318</v>
      </c>
      <c r="T325" s="55">
        <f t="shared" ca="1" si="85"/>
        <v>162.77645857116866</v>
      </c>
      <c r="U325" s="55">
        <f t="shared" ca="1" si="86"/>
        <v>192.21524708715808</v>
      </c>
      <c r="V325" s="55">
        <f t="shared" ca="1" si="87"/>
        <v>0</v>
      </c>
      <c r="W325" s="55">
        <f t="shared" ca="1" si="93"/>
        <v>-28.546036396422135</v>
      </c>
      <c r="X325" s="55">
        <f t="shared" ca="1" si="94"/>
        <v>40.506331855361708</v>
      </c>
      <c r="Y325" s="55">
        <f t="shared" ca="1" si="95"/>
        <v>17.960022990167118</v>
      </c>
      <c r="Z325" s="55">
        <f t="shared" ca="1" si="88"/>
        <v>40.341179305102287</v>
      </c>
      <c r="AA325">
        <f t="shared" ca="1" si="89"/>
        <v>24.027234580461972</v>
      </c>
      <c r="AB325">
        <f t="shared" ca="1" si="96"/>
        <v>49.712071884046722</v>
      </c>
      <c r="AC325">
        <f t="shared" ca="1" si="90"/>
        <v>0</v>
      </c>
      <c r="AD325">
        <f t="shared" ca="1" si="91"/>
        <v>0.99575069969707775</v>
      </c>
      <c r="AE325" s="83" t="e">
        <f ca="1"/>
        <v>#N/A</v>
      </c>
      <c r="AF325" s="55" t="e">
        <f t="shared" ca="1" si="100"/>
        <v>#N/A</v>
      </c>
      <c r="AG325" s="55" t="e">
        <f t="shared" ca="1" si="101"/>
        <v>#N/A</v>
      </c>
      <c r="AH325" s="55" t="e">
        <f t="shared" ca="1" si="102"/>
        <v>#N/A</v>
      </c>
      <c r="AI325" s="55" t="e">
        <f t="shared" ca="1" si="103"/>
        <v>#N/A</v>
      </c>
      <c r="AJ325" s="55" t="e">
        <f t="shared" ca="1" si="97"/>
        <v>#N/A</v>
      </c>
      <c r="AK325" s="55" t="e">
        <f t="shared" ca="1" si="98"/>
        <v>#N/A</v>
      </c>
      <c r="AL325" s="55" t="e">
        <f t="shared" ca="1" si="99"/>
        <v>#N/A</v>
      </c>
      <c r="AM325" s="55"/>
    </row>
    <row r="326" spans="18:39">
      <c r="R326" s="83">
        <f ca="1"/>
        <v>45319</v>
      </c>
      <c r="S326" s="55">
        <f t="shared" ca="1" si="92"/>
        <v>45319</v>
      </c>
      <c r="T326" s="55">
        <f t="shared" ca="1" si="85"/>
        <v>159.87352776974987</v>
      </c>
      <c r="U326" s="55">
        <f t="shared" ca="1" si="86"/>
        <v>195.24797041138734</v>
      </c>
      <c r="V326" s="55">
        <f t="shared" ca="1" si="87"/>
        <v>0</v>
      </c>
      <c r="W326" s="55">
        <f t="shared" ca="1" si="93"/>
        <v>-28.546036396422135</v>
      </c>
      <c r="X326" s="55">
        <f t="shared" ca="1" si="94"/>
        <v>40.634892687452016</v>
      </c>
      <c r="Y326" s="55">
        <f t="shared" ca="1" si="95"/>
        <v>17.961254680887304</v>
      </c>
      <c r="Z326" s="55">
        <f t="shared" ca="1" si="88"/>
        <v>42.458126539209729</v>
      </c>
      <c r="AA326">
        <f t="shared" ca="1" si="89"/>
        <v>23.408822602286783</v>
      </c>
      <c r="AB326">
        <f t="shared" ca="1" si="96"/>
        <v>49.712071884046722</v>
      </c>
      <c r="AC326">
        <f t="shared" ca="1" si="90"/>
        <v>0</v>
      </c>
      <c r="AD326">
        <f t="shared" ca="1" si="91"/>
        <v>0.99598365856641013</v>
      </c>
      <c r="AE326" s="83" t="e">
        <f ca="1"/>
        <v>#N/A</v>
      </c>
      <c r="AF326" s="55" t="e">
        <f t="shared" ca="1" si="100"/>
        <v>#N/A</v>
      </c>
      <c r="AG326" s="55" t="e">
        <f t="shared" ca="1" si="101"/>
        <v>#N/A</v>
      </c>
      <c r="AH326" s="55" t="e">
        <f t="shared" ca="1" si="102"/>
        <v>#N/A</v>
      </c>
      <c r="AI326" s="55" t="e">
        <f t="shared" ca="1" si="103"/>
        <v>#N/A</v>
      </c>
      <c r="AJ326" s="55" t="e">
        <f t="shared" ca="1" si="97"/>
        <v>#N/A</v>
      </c>
      <c r="AK326" s="55" t="e">
        <f t="shared" ca="1" si="98"/>
        <v>#N/A</v>
      </c>
      <c r="AL326" s="55" t="e">
        <f t="shared" ca="1" si="99"/>
        <v>#N/A</v>
      </c>
      <c r="AM326" s="55"/>
    </row>
    <row r="327" spans="18:39">
      <c r="R327" s="83">
        <f ca="1"/>
        <v>45320</v>
      </c>
      <c r="S327" s="55">
        <f t="shared" ca="1" si="92"/>
        <v>45320</v>
      </c>
      <c r="T327" s="55">
        <f t="shared" ca="1" si="85"/>
        <v>156.86720281449891</v>
      </c>
      <c r="U327" s="55">
        <f t="shared" ca="1" si="86"/>
        <v>198.38606555007453</v>
      </c>
      <c r="V327" s="55">
        <f t="shared" ca="1" si="87"/>
        <v>0</v>
      </c>
      <c r="W327" s="55">
        <f t="shared" ca="1" si="93"/>
        <v>-28.546036396422135</v>
      </c>
      <c r="X327" s="55">
        <f t="shared" ca="1" si="94"/>
        <v>40.765526438295019</v>
      </c>
      <c r="Y327" s="55">
        <f t="shared" ca="1" si="95"/>
        <v>17.962391113480535</v>
      </c>
      <c r="Z327" s="55">
        <f t="shared" ca="1" si="88"/>
        <v>43.933331941620679</v>
      </c>
      <c r="AA327">
        <f t="shared" ca="1" si="89"/>
        <v>21.165601041058206</v>
      </c>
      <c r="AB327">
        <f t="shared" ca="1" si="96"/>
        <v>49.712071884046722</v>
      </c>
      <c r="AC327">
        <f t="shared" ca="1" si="90"/>
        <v>0</v>
      </c>
      <c r="AD327">
        <f t="shared" ca="1" si="91"/>
        <v>0.99620941924306838</v>
      </c>
      <c r="AE327" s="83" t="e">
        <f ca="1"/>
        <v>#N/A</v>
      </c>
      <c r="AF327" s="55" t="e">
        <f t="shared" ca="1" si="100"/>
        <v>#N/A</v>
      </c>
      <c r="AG327" s="55" t="e">
        <f t="shared" ca="1" si="101"/>
        <v>#N/A</v>
      </c>
      <c r="AH327" s="55" t="e">
        <f t="shared" ca="1" si="102"/>
        <v>#N/A</v>
      </c>
      <c r="AI327" s="55" t="e">
        <f t="shared" ca="1" si="103"/>
        <v>#N/A</v>
      </c>
      <c r="AJ327" s="55" t="e">
        <f t="shared" ca="1" si="97"/>
        <v>#N/A</v>
      </c>
      <c r="AK327" s="55" t="e">
        <f t="shared" ca="1" si="98"/>
        <v>#N/A</v>
      </c>
      <c r="AL327" s="55" t="e">
        <f t="shared" ca="1" si="99"/>
        <v>#N/A</v>
      </c>
      <c r="AM327" s="55"/>
    </row>
    <row r="328" spans="18:39">
      <c r="R328" s="83">
        <f ca="1"/>
        <v>45321</v>
      </c>
      <c r="S328" s="55">
        <f t="shared" ca="1" si="92"/>
        <v>45321</v>
      </c>
      <c r="T328" s="55">
        <f t="shared" ca="1" si="85"/>
        <v>153.74180289410739</v>
      </c>
      <c r="U328" s="55">
        <f t="shared" ca="1" si="86"/>
        <v>201.64745705914098</v>
      </c>
      <c r="V328" s="55">
        <f t="shared" ca="1" si="87"/>
        <v>0</v>
      </c>
      <c r="W328" s="55">
        <f t="shared" ca="1" si="93"/>
        <v>-28.546036396422135</v>
      </c>
      <c r="X328" s="55">
        <f t="shared" ca="1" si="94"/>
        <v>40.900409114232176</v>
      </c>
      <c r="Y328" s="55">
        <f t="shared" ca="1" si="95"/>
        <v>17.963500026218313</v>
      </c>
      <c r="Z328" s="55">
        <f t="shared" ca="1" si="88"/>
        <v>45.659481126930189</v>
      </c>
      <c r="AA328">
        <f t="shared" ca="1" si="89"/>
        <v>20.104104586994787</v>
      </c>
      <c r="AB328">
        <f t="shared" ca="1" si="96"/>
        <v>49.712071884046722</v>
      </c>
      <c r="AC328">
        <f t="shared" ca="1" si="90"/>
        <v>0</v>
      </c>
      <c r="AD328">
        <f t="shared" ca="1" si="91"/>
        <v>0.99642880716226223</v>
      </c>
      <c r="AE328" s="83" t="e">
        <f ca="1"/>
        <v>#N/A</v>
      </c>
      <c r="AF328" s="55" t="e">
        <f t="shared" ca="1" si="100"/>
        <v>#N/A</v>
      </c>
      <c r="AG328" s="55" t="e">
        <f t="shared" ca="1" si="101"/>
        <v>#N/A</v>
      </c>
      <c r="AH328" s="55" t="e">
        <f t="shared" ca="1" si="102"/>
        <v>#N/A</v>
      </c>
      <c r="AI328" s="55" t="e">
        <f t="shared" ca="1" si="103"/>
        <v>#N/A</v>
      </c>
      <c r="AJ328" s="55" t="e">
        <f t="shared" ca="1" si="97"/>
        <v>#N/A</v>
      </c>
      <c r="AK328" s="55" t="e">
        <f t="shared" ca="1" si="98"/>
        <v>#N/A</v>
      </c>
      <c r="AL328" s="55" t="e">
        <f t="shared" ca="1" si="99"/>
        <v>#N/A</v>
      </c>
      <c r="AM328" s="55"/>
    </row>
    <row r="329" spans="18:39">
      <c r="R329" s="83">
        <f ca="1"/>
        <v>45322</v>
      </c>
      <c r="S329" s="55">
        <f t="shared" ca="1" si="92"/>
        <v>45322</v>
      </c>
      <c r="T329" s="55">
        <f t="shared" ca="1" si="85"/>
        <v>150.56732156378229</v>
      </c>
      <c r="U329" s="55">
        <f t="shared" ca="1" si="86"/>
        <v>204.95886622885823</v>
      </c>
      <c r="V329" s="55">
        <f t="shared" ca="1" si="87"/>
        <v>0</v>
      </c>
      <c r="W329" s="55">
        <f t="shared" ca="1" si="93"/>
        <v>-28.546036396422135</v>
      </c>
      <c r="X329" s="55">
        <f t="shared" ca="1" si="94"/>
        <v>41.036243836950632</v>
      </c>
      <c r="Y329" s="55">
        <f t="shared" ca="1" si="95"/>
        <v>17.964593142891992</v>
      </c>
      <c r="Z329" s="55">
        <f t="shared" ca="1" si="88"/>
        <v>46.359728376041517</v>
      </c>
      <c r="AA329">
        <f t="shared" ca="1" si="89"/>
        <v>19.844699073283707</v>
      </c>
      <c r="AB329">
        <f t="shared" ca="1" si="96"/>
        <v>49.712071884046722</v>
      </c>
      <c r="AC329">
        <f t="shared" ca="1" si="90"/>
        <v>0</v>
      </c>
      <c r="AD329">
        <f t="shared" ca="1" si="91"/>
        <v>0.99663687708895632</v>
      </c>
      <c r="AE329" s="83" t="e">
        <f ca="1"/>
        <v>#N/A</v>
      </c>
      <c r="AF329" s="55" t="e">
        <f t="shared" ca="1" si="100"/>
        <v>#N/A</v>
      </c>
      <c r="AG329" s="55" t="e">
        <f t="shared" ca="1" si="101"/>
        <v>#N/A</v>
      </c>
      <c r="AH329" s="55" t="e">
        <f t="shared" ca="1" si="102"/>
        <v>#N/A</v>
      </c>
      <c r="AI329" s="55" t="e">
        <f t="shared" ca="1" si="103"/>
        <v>#N/A</v>
      </c>
      <c r="AJ329" s="55" t="e">
        <f t="shared" ca="1" si="97"/>
        <v>#N/A</v>
      </c>
      <c r="AK329" s="55" t="e">
        <f t="shared" ca="1" si="98"/>
        <v>#N/A</v>
      </c>
      <c r="AL329" s="55" t="e">
        <f t="shared" ca="1" si="99"/>
        <v>#N/A</v>
      </c>
      <c r="AM329" s="55"/>
    </row>
    <row r="330" spans="18:39">
      <c r="R330" s="83">
        <f ca="1"/>
        <v>45323</v>
      </c>
      <c r="S330" s="55">
        <f t="shared" ca="1" si="92"/>
        <v>45323</v>
      </c>
      <c r="T330" s="55">
        <f t="shared" ca="1" si="85"/>
        <v>147.46312270268706</v>
      </c>
      <c r="U330" s="55">
        <f t="shared" ca="1" si="86"/>
        <v>208.19265434474414</v>
      </c>
      <c r="V330" s="55">
        <f t="shared" ca="1" si="87"/>
        <v>0</v>
      </c>
      <c r="W330" s="55">
        <f t="shared" ca="1" si="93"/>
        <v>-28.546036396422135</v>
      </c>
      <c r="X330" s="55">
        <f t="shared" ca="1" si="94"/>
        <v>41.164871585256641</v>
      </c>
      <c r="Y330" s="55">
        <f t="shared" ca="1" si="95"/>
        <v>17.965554649376674</v>
      </c>
      <c r="Z330" s="55">
        <f t="shared" ca="1" si="88"/>
        <v>45.273033622402806</v>
      </c>
      <c r="AA330">
        <f t="shared" ca="1" si="89"/>
        <v>18.324711180891413</v>
      </c>
      <c r="AB330">
        <f t="shared" ca="1" si="96"/>
        <v>49.712071884046722</v>
      </c>
      <c r="AC330">
        <f t="shared" ca="1" si="90"/>
        <v>0</v>
      </c>
      <c r="AD330">
        <f t="shared" ca="1" si="91"/>
        <v>0.99682687789003299</v>
      </c>
      <c r="AE330" s="83" t="e">
        <f ca="1"/>
        <v>#N/A</v>
      </c>
      <c r="AF330" s="55" t="e">
        <f t="shared" ca="1" si="100"/>
        <v>#N/A</v>
      </c>
      <c r="AG330" s="55" t="e">
        <f t="shared" ca="1" si="101"/>
        <v>#N/A</v>
      </c>
      <c r="AH330" s="55" t="e">
        <f t="shared" ca="1" si="102"/>
        <v>#N/A</v>
      </c>
      <c r="AI330" s="55" t="e">
        <f t="shared" ca="1" si="103"/>
        <v>#N/A</v>
      </c>
      <c r="AJ330" s="55" t="e">
        <f t="shared" ca="1" si="97"/>
        <v>#N/A</v>
      </c>
      <c r="AK330" s="55" t="e">
        <f t="shared" ca="1" si="98"/>
        <v>#N/A</v>
      </c>
      <c r="AL330" s="55" t="e">
        <f t="shared" ca="1" si="99"/>
        <v>#N/A</v>
      </c>
      <c r="AM330" s="55"/>
    </row>
    <row r="331" spans="18:39">
      <c r="R331" s="83">
        <f ca="1"/>
        <v>45324</v>
      </c>
      <c r="S331" s="55">
        <f t="shared" ca="1" si="92"/>
        <v>45324</v>
      </c>
      <c r="T331" s="55">
        <f t="shared" ca="1" si="85"/>
        <v>144.51561805380737</v>
      </c>
      <c r="U331" s="55">
        <f t="shared" ca="1" si="86"/>
        <v>211.26006009134275</v>
      </c>
      <c r="V331" s="55">
        <f t="shared" ca="1" si="87"/>
        <v>0</v>
      </c>
      <c r="W331" s="55">
        <f t="shared" ca="1" si="93"/>
        <v>-28.546036396422135</v>
      </c>
      <c r="X331" s="55">
        <f t="shared" ca="1" si="94"/>
        <v>41.283871000675525</v>
      </c>
      <c r="Y331" s="55">
        <f t="shared" ca="1" si="95"/>
        <v>17.966456331676696</v>
      </c>
      <c r="Z331" s="55">
        <f t="shared" ca="1" si="88"/>
        <v>42.943680452380534</v>
      </c>
      <c r="AA331">
        <f t="shared" ca="1" si="89"/>
        <v>18.610077933434294</v>
      </c>
      <c r="AB331">
        <f t="shared" ca="1" si="96"/>
        <v>49.712071884046722</v>
      </c>
      <c r="AC331">
        <f t="shared" ca="1" si="90"/>
        <v>0</v>
      </c>
      <c r="AD331">
        <f t="shared" ca="1" si="91"/>
        <v>0.99699594440200334</v>
      </c>
      <c r="AE331" s="83" t="e">
        <f ca="1"/>
        <v>#N/A</v>
      </c>
      <c r="AF331" s="55" t="e">
        <f t="shared" ca="1" si="100"/>
        <v>#N/A</v>
      </c>
      <c r="AG331" s="55" t="e">
        <f t="shared" ca="1" si="101"/>
        <v>#N/A</v>
      </c>
      <c r="AH331" s="55" t="e">
        <f t="shared" ca="1" si="102"/>
        <v>#N/A</v>
      </c>
      <c r="AI331" s="55" t="e">
        <f t="shared" ca="1" si="103"/>
        <v>#N/A</v>
      </c>
      <c r="AJ331" s="55" t="e">
        <f t="shared" ca="1" si="97"/>
        <v>#N/A</v>
      </c>
      <c r="AK331" s="55" t="e">
        <f t="shared" ca="1" si="98"/>
        <v>#N/A</v>
      </c>
      <c r="AL331" s="55" t="e">
        <f t="shared" ca="1" si="99"/>
        <v>#N/A</v>
      </c>
      <c r="AM331" s="55"/>
    </row>
    <row r="332" spans="18:39">
      <c r="R332" s="83">
        <f ca="1"/>
        <v>45325</v>
      </c>
      <c r="S332" s="55">
        <f t="shared" ca="1" si="92"/>
        <v>45325</v>
      </c>
      <c r="T332" s="55">
        <f t="shared" ca="1" si="85"/>
        <v>141.57930870701469</v>
      </c>
      <c r="U332" s="55">
        <f t="shared" ca="1" si="86"/>
        <v>214.31391955694446</v>
      </c>
      <c r="V332" s="55">
        <f t="shared" ca="1" si="87"/>
        <v>0</v>
      </c>
      <c r="W332" s="55">
        <f t="shared" ca="1" si="93"/>
        <v>-28.546036396422135</v>
      </c>
      <c r="X332" s="55">
        <f t="shared" ca="1" si="94"/>
        <v>41.40056725806437</v>
      </c>
      <c r="Y332" s="55">
        <f t="shared" ca="1" si="95"/>
        <v>17.967310193096868</v>
      </c>
      <c r="Z332" s="55">
        <f t="shared" ca="1" si="88"/>
        <v>42.754032518423855</v>
      </c>
      <c r="AA332">
        <f t="shared" ca="1" si="89"/>
        <v>17.997713396025251</v>
      </c>
      <c r="AB332">
        <f t="shared" ca="1" si="96"/>
        <v>49.712071884046722</v>
      </c>
      <c r="AC332">
        <f t="shared" ca="1" si="90"/>
        <v>0</v>
      </c>
      <c r="AD332">
        <f t="shared" ca="1" si="91"/>
        <v>0.99715423778310519</v>
      </c>
      <c r="AE332" s="83" t="e">
        <f ca="1"/>
        <v>#N/A</v>
      </c>
      <c r="AF332" s="55" t="e">
        <f t="shared" ca="1" si="100"/>
        <v>#N/A</v>
      </c>
      <c r="AG332" s="55" t="e">
        <f t="shared" ca="1" si="101"/>
        <v>#N/A</v>
      </c>
      <c r="AH332" s="55" t="e">
        <f t="shared" ca="1" si="102"/>
        <v>#N/A</v>
      </c>
      <c r="AI332" s="55" t="e">
        <f t="shared" ca="1" si="103"/>
        <v>#N/A</v>
      </c>
      <c r="AJ332" s="55" t="e">
        <f t="shared" ca="1" si="97"/>
        <v>#N/A</v>
      </c>
      <c r="AK332" s="55" t="e">
        <f t="shared" ca="1" si="98"/>
        <v>#N/A</v>
      </c>
      <c r="AL332" s="55" t="e">
        <f t="shared" ca="1" si="99"/>
        <v>#N/A</v>
      </c>
      <c r="AM332" s="55"/>
    </row>
    <row r="333" spans="18:39">
      <c r="R333" s="83">
        <f ca="1"/>
        <v>45326</v>
      </c>
      <c r="S333" s="55">
        <f t="shared" ca="1" si="92"/>
        <v>45326</v>
      </c>
      <c r="T333" s="55">
        <f t="shared" ca="1" si="85"/>
        <v>138.34003254884519</v>
      </c>
      <c r="U333" s="55">
        <f t="shared" ca="1" si="86"/>
        <v>217.68729840629112</v>
      </c>
      <c r="V333" s="55">
        <f t="shared" ca="1" si="87"/>
        <v>0</v>
      </c>
      <c r="W333" s="55">
        <f t="shared" ca="1" si="93"/>
        <v>-28.546036396422135</v>
      </c>
      <c r="X333" s="55">
        <f t="shared" ca="1" si="94"/>
        <v>41.533660143709753</v>
      </c>
      <c r="Y333" s="55">
        <f t="shared" ca="1" si="95"/>
        <v>17.968319998628626</v>
      </c>
      <c r="Z333" s="55">
        <f t="shared" ca="1" si="88"/>
        <v>47.227303890853307</v>
      </c>
      <c r="AA333">
        <f t="shared" ca="1" si="89"/>
        <v>19.237727022255676</v>
      </c>
      <c r="AB333">
        <f t="shared" ca="1" si="96"/>
        <v>49.712071884046722</v>
      </c>
      <c r="AC333">
        <f t="shared" ca="1" si="90"/>
        <v>0</v>
      </c>
      <c r="AD333">
        <f t="shared" ca="1" si="91"/>
        <v>0.99731828983023285</v>
      </c>
      <c r="AE333" s="83" t="e">
        <f ca="1"/>
        <v>#N/A</v>
      </c>
      <c r="AF333" s="55" t="e">
        <f t="shared" ca="1" si="100"/>
        <v>#N/A</v>
      </c>
      <c r="AG333" s="55" t="e">
        <f t="shared" ca="1" si="101"/>
        <v>#N/A</v>
      </c>
      <c r="AH333" s="55" t="e">
        <f t="shared" ca="1" si="102"/>
        <v>#N/A</v>
      </c>
      <c r="AI333" s="55" t="e">
        <f t="shared" ca="1" si="103"/>
        <v>#N/A</v>
      </c>
      <c r="AJ333" s="55" t="e">
        <f t="shared" ca="1" si="97"/>
        <v>#N/A</v>
      </c>
      <c r="AK333" s="55" t="e">
        <f t="shared" ca="1" si="98"/>
        <v>#N/A</v>
      </c>
      <c r="AL333" s="55" t="e">
        <f t="shared" ca="1" si="99"/>
        <v>#N/A</v>
      </c>
      <c r="AM333" s="55"/>
    </row>
    <row r="334" spans="18:39">
      <c r="R334" s="83">
        <f ca="1"/>
        <v>45327</v>
      </c>
      <c r="S334" s="55">
        <f t="shared" ca="1" si="92"/>
        <v>45327</v>
      </c>
      <c r="T334" s="55">
        <f t="shared" ca="1" si="85"/>
        <v>135.41003220136346</v>
      </c>
      <c r="U334" s="55">
        <f t="shared" ca="1" si="86"/>
        <v>220.73533636970038</v>
      </c>
      <c r="V334" s="55">
        <f t="shared" ca="1" si="87"/>
        <v>0</v>
      </c>
      <c r="W334" s="55">
        <f t="shared" ca="1" si="93"/>
        <v>-28.546036396422135</v>
      </c>
      <c r="X334" s="55">
        <f t="shared" ca="1" si="94"/>
        <v>41.650729040698621</v>
      </c>
      <c r="Y334" s="55">
        <f t="shared" ca="1" si="95"/>
        <v>17.969288717567316</v>
      </c>
      <c r="Z334" s="55">
        <f t="shared" ca="1" si="88"/>
        <v>42.6725314877296</v>
      </c>
      <c r="AA334">
        <f t="shared" ca="1" si="89"/>
        <v>21.15440565460111</v>
      </c>
      <c r="AB334">
        <f t="shared" ca="1" si="96"/>
        <v>49.712071884046722</v>
      </c>
      <c r="AC334">
        <f t="shared" ca="1" si="90"/>
        <v>0</v>
      </c>
      <c r="AD334">
        <f t="shared" ca="1" si="91"/>
        <v>0.99745745115804407</v>
      </c>
      <c r="AE334" s="83" t="e">
        <f ca="1"/>
        <v>#N/A</v>
      </c>
      <c r="AF334" s="55" t="e">
        <f t="shared" ca="1" si="100"/>
        <v>#N/A</v>
      </c>
      <c r="AG334" s="55" t="e">
        <f t="shared" ca="1" si="101"/>
        <v>#N/A</v>
      </c>
      <c r="AH334" s="55" t="e">
        <f t="shared" ca="1" si="102"/>
        <v>#N/A</v>
      </c>
      <c r="AI334" s="55" t="e">
        <f t="shared" ca="1" si="103"/>
        <v>#N/A</v>
      </c>
      <c r="AJ334" s="55" t="e">
        <f t="shared" ca="1" si="97"/>
        <v>#N/A</v>
      </c>
      <c r="AK334" s="55" t="e">
        <f t="shared" ca="1" si="98"/>
        <v>#N/A</v>
      </c>
      <c r="AL334" s="55" t="e">
        <f t="shared" ca="1" si="99"/>
        <v>#N/A</v>
      </c>
      <c r="AM334" s="55"/>
    </row>
    <row r="335" spans="18:39">
      <c r="R335" s="83">
        <f ca="1"/>
        <v>45328</v>
      </c>
      <c r="S335" s="55">
        <f t="shared" ca="1" si="92"/>
        <v>45328</v>
      </c>
      <c r="T335" s="55">
        <f t="shared" ca="1" si="85"/>
        <v>132.37577123203238</v>
      </c>
      <c r="U335" s="55">
        <f t="shared" ca="1" si="86"/>
        <v>223.8907726276347</v>
      </c>
      <c r="V335" s="55">
        <f t="shared" ca="1" si="87"/>
        <v>0</v>
      </c>
      <c r="W335" s="55">
        <f t="shared" ca="1" si="93"/>
        <v>-28.546036396422135</v>
      </c>
      <c r="X335" s="55">
        <f t="shared" ca="1" si="94"/>
        <v>41.770972244821486</v>
      </c>
      <c r="Y335" s="55">
        <f t="shared" ca="1" si="95"/>
        <v>17.970220802047702</v>
      </c>
      <c r="Z335" s="55">
        <f t="shared" ca="1" si="88"/>
        <v>44.176107611080567</v>
      </c>
      <c r="AA335">
        <f t="shared" ca="1" si="89"/>
        <v>19.887478886040814</v>
      </c>
      <c r="AB335">
        <f t="shared" ca="1" si="96"/>
        <v>49.712071884046722</v>
      </c>
      <c r="AC335">
        <f t="shared" ca="1" si="90"/>
        <v>0</v>
      </c>
      <c r="AD335">
        <f t="shared" ca="1" si="91"/>
        <v>0.99759308112361011</v>
      </c>
      <c r="AE335" s="83" t="e">
        <f ca="1"/>
        <v>#N/A</v>
      </c>
      <c r="AF335" s="55" t="e">
        <f t="shared" ca="1" si="100"/>
        <v>#N/A</v>
      </c>
      <c r="AG335" s="55" t="e">
        <f t="shared" ca="1" si="101"/>
        <v>#N/A</v>
      </c>
      <c r="AH335" s="55" t="e">
        <f t="shared" ca="1" si="102"/>
        <v>#N/A</v>
      </c>
      <c r="AI335" s="55" t="e">
        <f t="shared" ca="1" si="103"/>
        <v>#N/A</v>
      </c>
      <c r="AJ335" s="55" t="e">
        <f t="shared" ca="1" si="97"/>
        <v>#N/A</v>
      </c>
      <c r="AK335" s="55" t="e">
        <f t="shared" ca="1" si="98"/>
        <v>#N/A</v>
      </c>
      <c r="AL335" s="55" t="e">
        <f t="shared" ca="1" si="99"/>
        <v>#N/A</v>
      </c>
      <c r="AM335" s="55"/>
    </row>
    <row r="336" spans="18:39">
      <c r="R336" s="83">
        <f ca="1"/>
        <v>45329</v>
      </c>
      <c r="S336" s="55">
        <f t="shared" ca="1" si="92"/>
        <v>45329</v>
      </c>
      <c r="T336" s="55">
        <f t="shared" ca="1" si="85"/>
        <v>129.32483125281252</v>
      </c>
      <c r="U336" s="55">
        <f t="shared" ca="1" si="86"/>
        <v>227.0642082668696</v>
      </c>
      <c r="V336" s="55">
        <f t="shared" ca="1" si="87"/>
        <v>0</v>
      </c>
      <c r="W336" s="55">
        <f t="shared" ca="1" si="93"/>
        <v>-28.546036396422135</v>
      </c>
      <c r="X336" s="55">
        <f t="shared" ca="1" si="94"/>
        <v>41.89247726941899</v>
      </c>
      <c r="Y336" s="55">
        <f t="shared" ca="1" si="95"/>
        <v>17.971211437465243</v>
      </c>
      <c r="Z336" s="55">
        <f t="shared" ca="1" si="88"/>
        <v>44.42809894928854</v>
      </c>
      <c r="AA336">
        <f t="shared" ca="1" si="89"/>
        <v>21.339129133376989</v>
      </c>
      <c r="AB336">
        <f t="shared" ca="1" si="96"/>
        <v>49.712071884046722</v>
      </c>
      <c r="AC336">
        <f t="shared" ca="1" si="90"/>
        <v>0</v>
      </c>
      <c r="AD336">
        <f t="shared" ca="1" si="91"/>
        <v>0.99772141702451667</v>
      </c>
      <c r="AE336" s="83" t="e">
        <f ca="1"/>
        <v>#N/A</v>
      </c>
      <c r="AF336" s="55" t="e">
        <f t="shared" ca="1" si="100"/>
        <v>#N/A</v>
      </c>
      <c r="AG336" s="55" t="e">
        <f t="shared" ca="1" si="101"/>
        <v>#N/A</v>
      </c>
      <c r="AH336" s="55" t="e">
        <f t="shared" ca="1" si="102"/>
        <v>#N/A</v>
      </c>
      <c r="AI336" s="55" t="e">
        <f t="shared" ca="1" si="103"/>
        <v>#N/A</v>
      </c>
      <c r="AJ336" s="55" t="e">
        <f t="shared" ca="1" si="97"/>
        <v>#N/A</v>
      </c>
      <c r="AK336" s="55" t="e">
        <f t="shared" ca="1" si="98"/>
        <v>#N/A</v>
      </c>
      <c r="AL336" s="55" t="e">
        <f t="shared" ca="1" si="99"/>
        <v>#N/A</v>
      </c>
      <c r="AM336" s="55"/>
    </row>
    <row r="337" spans="18:39">
      <c r="R337" s="83">
        <f ca="1"/>
        <v>45330</v>
      </c>
      <c r="S337" s="55">
        <f t="shared" ca="1" si="92"/>
        <v>45330</v>
      </c>
      <c r="T337" s="55">
        <f t="shared" ca="1" si="85"/>
        <v>126.19306803712129</v>
      </c>
      <c r="U337" s="55">
        <f t="shared" ca="1" si="86"/>
        <v>230.32089270252658</v>
      </c>
      <c r="V337" s="55">
        <f t="shared" ca="1" si="87"/>
        <v>0</v>
      </c>
      <c r="W337" s="55">
        <f t="shared" ca="1" si="93"/>
        <v>-28.546036396422135</v>
      </c>
      <c r="X337" s="55">
        <f t="shared" ca="1" si="94"/>
        <v>42.016430006036074</v>
      </c>
      <c r="Y337" s="55">
        <f t="shared" ca="1" si="95"/>
        <v>17.9721799208139</v>
      </c>
      <c r="Z337" s="55">
        <f t="shared" ca="1" si="88"/>
        <v>45.593582099197704</v>
      </c>
      <c r="AA337">
        <f t="shared" ca="1" si="89"/>
        <v>20.575784068621594</v>
      </c>
      <c r="AB337">
        <f t="shared" ca="1" si="96"/>
        <v>49.712071884046722</v>
      </c>
      <c r="AC337">
        <f t="shared" ca="1" si="90"/>
        <v>0</v>
      </c>
      <c r="AD337">
        <f t="shared" ca="1" si="91"/>
        <v>0.99784528364795078</v>
      </c>
      <c r="AE337" s="83" t="e">
        <f ca="1"/>
        <v>#N/A</v>
      </c>
      <c r="AF337" s="55" t="e">
        <f t="shared" ca="1" si="100"/>
        <v>#N/A</v>
      </c>
      <c r="AG337" s="55" t="e">
        <f t="shared" ca="1" si="101"/>
        <v>#N/A</v>
      </c>
      <c r="AH337" s="55" t="e">
        <f t="shared" ca="1" si="102"/>
        <v>#N/A</v>
      </c>
      <c r="AI337" s="55" t="e">
        <f t="shared" ca="1" si="103"/>
        <v>#N/A</v>
      </c>
      <c r="AJ337" s="55" t="e">
        <f t="shared" ca="1" si="97"/>
        <v>#N/A</v>
      </c>
      <c r="AK337" s="55" t="e">
        <f t="shared" ca="1" si="98"/>
        <v>#N/A</v>
      </c>
      <c r="AL337" s="55" t="e">
        <f t="shared" ca="1" si="99"/>
        <v>#N/A</v>
      </c>
      <c r="AM337" s="55"/>
    </row>
    <row r="338" spans="18:39">
      <c r="R338" s="83">
        <f ca="1"/>
        <v>45331</v>
      </c>
      <c r="S338" s="55">
        <f t="shared" ca="1" si="92"/>
        <v>45331</v>
      </c>
      <c r="T338" s="55">
        <f t="shared" ref="T338:T395" ca="1" si="104">VLOOKUP(S338,ModelOutputs,2,FALSE)</f>
        <v>123.02324686498491</v>
      </c>
      <c r="U338" s="55">
        <f t="shared" ref="U338:U395" ca="1" si="105">VLOOKUP(S338,ModelOutputs,7,FALSE)</f>
        <v>233.61652399565583</v>
      </c>
      <c r="V338" s="55">
        <f t="shared" ref="V338:V395" ca="1" si="106">VLOOKUP(S338,ModelOutputs,6,FALSE)</f>
        <v>0</v>
      </c>
      <c r="W338" s="55">
        <f t="shared" ca="1" si="93"/>
        <v>-28.546036396422135</v>
      </c>
      <c r="X338" s="55">
        <f t="shared" ca="1" si="94"/>
        <v>42.141277290863115</v>
      </c>
      <c r="Y338" s="55">
        <f t="shared" ca="1" si="95"/>
        <v>17.973142756979719</v>
      </c>
      <c r="Z338" s="55">
        <f t="shared" ref="Z338:Z401" ca="1" si="107">VLOOKUP(S338,ModelOutputs,3,FALSE)*14</f>
        <v>46.138838103809462</v>
      </c>
      <c r="AA338">
        <f t="shared" ref="AA338:AA401" ca="1" si="108">VLOOKUP(S338,ModelOutputs,10,FALSE)*AWC</f>
        <v>20.49801423730597</v>
      </c>
      <c r="AB338">
        <f t="shared" ca="1" si="96"/>
        <v>49.712071884046722</v>
      </c>
      <c r="AC338">
        <f t="shared" ref="AC338:AC395" ca="1" si="109">VLOOKUP(S338,ModelOutputs,12,FALSE)</f>
        <v>0</v>
      </c>
      <c r="AD338">
        <f t="shared" ref="AD338:AD395" ca="1" si="110">VLOOKUP(S338,ModelOutputs,13,FALSE)</f>
        <v>0.99796310598681404</v>
      </c>
      <c r="AE338" s="83" t="e">
        <f ca="1"/>
        <v>#N/A</v>
      </c>
      <c r="AF338" s="55" t="e">
        <f t="shared" ca="1" si="100"/>
        <v>#N/A</v>
      </c>
      <c r="AG338" s="55" t="e">
        <f t="shared" ca="1" si="101"/>
        <v>#N/A</v>
      </c>
      <c r="AH338" s="55" t="e">
        <f t="shared" ca="1" si="102"/>
        <v>#N/A</v>
      </c>
      <c r="AI338" s="55" t="e">
        <f t="shared" ca="1" si="103"/>
        <v>#N/A</v>
      </c>
      <c r="AJ338" s="55" t="e">
        <f t="shared" ca="1" si="97"/>
        <v>#N/A</v>
      </c>
      <c r="AK338" s="55" t="e">
        <f t="shared" ca="1" si="98"/>
        <v>#N/A</v>
      </c>
      <c r="AL338" s="55" t="e">
        <f t="shared" ca="1" si="99"/>
        <v>#N/A</v>
      </c>
      <c r="AM338" s="55"/>
    </row>
    <row r="339" spans="18:39">
      <c r="R339" s="83">
        <f ca="1"/>
        <v>45332</v>
      </c>
      <c r="S339" s="55">
        <f t="shared" ref="S339:S395" ca="1" si="111">IF(R339&gt;1,R339,"")</f>
        <v>45332</v>
      </c>
      <c r="T339" s="55">
        <f t="shared" ca="1" si="104"/>
        <v>119.85046250625767</v>
      </c>
      <c r="U339" s="55">
        <f t="shared" ca="1" si="105"/>
        <v>236.91354030379421</v>
      </c>
      <c r="V339" s="55">
        <f t="shared" ca="1" si="106"/>
        <v>0</v>
      </c>
      <c r="W339" s="55">
        <f t="shared" ref="W339:W402" ca="1" si="112">-VLOOKUP(S339,ModelOutputs,9,FALSE)+W338</f>
        <v>-28.546036396422135</v>
      </c>
      <c r="X339" s="55">
        <f t="shared" ref="X339:X402" ca="1" si="113">VLOOKUP(S339,ModelOutputs,5,FALSE)+X338</f>
        <v>42.264592976684661</v>
      </c>
      <c r="Y339" s="55">
        <f t="shared" ref="Y339:Y402" ca="1" si="114">VLOOKUP(S339,ModelOutputs,4,FALSE)+Y338</f>
        <v>17.974059020569307</v>
      </c>
      <c r="Z339" s="55">
        <f t="shared" ca="1" si="107"/>
        <v>46.158228313937343</v>
      </c>
      <c r="AA339">
        <f t="shared" ca="1" si="108"/>
        <v>19.802211218010484</v>
      </c>
      <c r="AB339">
        <f t="shared" ref="AB339:AB395" ca="1" si="115">VLOOKUP(S339,ModelOutputs,11,FALSE)+AB338</f>
        <v>49.712071884046722</v>
      </c>
      <c r="AC339">
        <f t="shared" ca="1" si="109"/>
        <v>0</v>
      </c>
      <c r="AD339">
        <f t="shared" ca="1" si="110"/>
        <v>0.99807392333342093</v>
      </c>
      <c r="AE339" s="83" t="e">
        <f ca="1"/>
        <v>#N/A</v>
      </c>
      <c r="AF339" s="55" t="e">
        <f t="shared" ca="1" si="100"/>
        <v>#N/A</v>
      </c>
      <c r="AG339" s="55" t="e">
        <f t="shared" ca="1" si="101"/>
        <v>#N/A</v>
      </c>
      <c r="AH339" s="55" t="e">
        <f t="shared" ca="1" si="102"/>
        <v>#N/A</v>
      </c>
      <c r="AI339" s="55" t="e">
        <f t="shared" ca="1" si="103"/>
        <v>#N/A</v>
      </c>
      <c r="AJ339" s="55" t="e">
        <f t="shared" ref="AJ339:AJ402" ca="1" si="116">-VLOOKUP(AF339,ModelOutputs,9,FALSE)+AJ338</f>
        <v>#N/A</v>
      </c>
      <c r="AK339" s="55" t="e">
        <f t="shared" ref="AK339:AK402" ca="1" si="117">VLOOKUP(AF339,ModelOutputs,5,FALSE)+AK338</f>
        <v>#N/A</v>
      </c>
      <c r="AL339" s="55" t="e">
        <f t="shared" ref="AL339:AL402" ca="1" si="118">VLOOKUP(AF339,ModelOutputs,4,FALSE)+AL338</f>
        <v>#N/A</v>
      </c>
      <c r="AM339" s="55"/>
    </row>
    <row r="340" spans="18:39">
      <c r="R340" s="83">
        <f ca="1"/>
        <v>45333</v>
      </c>
      <c r="S340" s="55">
        <f t="shared" ca="1" si="111"/>
        <v>45333</v>
      </c>
      <c r="T340" s="55">
        <f t="shared" ca="1" si="104"/>
        <v>116.54327528558626</v>
      </c>
      <c r="U340" s="55">
        <f t="shared" ca="1" si="105"/>
        <v>240.35088036079696</v>
      </c>
      <c r="V340" s="55">
        <f t="shared" ca="1" si="106"/>
        <v>0</v>
      </c>
      <c r="W340" s="55">
        <f t="shared" ca="1" si="112"/>
        <v>-28.546036396422135</v>
      </c>
      <c r="X340" s="55">
        <f t="shared" ca="1" si="113"/>
        <v>42.39380514843392</v>
      </c>
      <c r="Y340" s="55">
        <f t="shared" ca="1" si="114"/>
        <v>17.974999685151388</v>
      </c>
      <c r="Z340" s="55">
        <f t="shared" ca="1" si="107"/>
        <v>48.122760798038598</v>
      </c>
      <c r="AA340">
        <f t="shared" ca="1" si="108"/>
        <v>19.645745446618285</v>
      </c>
      <c r="AB340">
        <f t="shared" ca="1" si="115"/>
        <v>49.712071884046722</v>
      </c>
      <c r="AC340">
        <f t="shared" ca="1" si="109"/>
        <v>0</v>
      </c>
      <c r="AD340">
        <f t="shared" ca="1" si="110"/>
        <v>0.99818246382167253</v>
      </c>
      <c r="AE340" s="83" t="e">
        <f ca="1"/>
        <v>#N/A</v>
      </c>
      <c r="AF340" s="55" t="e">
        <f t="shared" ca="1" si="100"/>
        <v>#N/A</v>
      </c>
      <c r="AG340" s="55" t="e">
        <f t="shared" ca="1" si="101"/>
        <v>#N/A</v>
      </c>
      <c r="AH340" s="55" t="e">
        <f t="shared" ca="1" si="102"/>
        <v>#N/A</v>
      </c>
      <c r="AI340" s="55" t="e">
        <f t="shared" ca="1" si="103"/>
        <v>#N/A</v>
      </c>
      <c r="AJ340" s="55" t="e">
        <f t="shared" ca="1" si="116"/>
        <v>#N/A</v>
      </c>
      <c r="AK340" s="55" t="e">
        <f t="shared" ca="1" si="117"/>
        <v>#N/A</v>
      </c>
      <c r="AL340" s="55" t="e">
        <f t="shared" ca="1" si="118"/>
        <v>#N/A</v>
      </c>
      <c r="AM340" s="55"/>
    </row>
    <row r="341" spans="18:39">
      <c r="R341" s="83">
        <f ca="1"/>
        <v>45334</v>
      </c>
      <c r="S341" s="55">
        <f t="shared" ca="1" si="111"/>
        <v>45334</v>
      </c>
      <c r="T341" s="55">
        <f t="shared" ca="1" si="104"/>
        <v>113.12715584018365</v>
      </c>
      <c r="U341" s="55">
        <f t="shared" ca="1" si="105"/>
        <v>243.90404679545969</v>
      </c>
      <c r="V341" s="55">
        <f t="shared" ca="1" si="106"/>
        <v>0</v>
      </c>
      <c r="W341" s="55">
        <f t="shared" ca="1" si="112"/>
        <v>-28.546036396422135</v>
      </c>
      <c r="X341" s="55">
        <f t="shared" ca="1" si="113"/>
        <v>42.52979946779945</v>
      </c>
      <c r="Y341" s="55">
        <f t="shared" ca="1" si="114"/>
        <v>17.976052355045965</v>
      </c>
      <c r="Z341" s="55">
        <f t="shared" ca="1" si="107"/>
        <v>49.744330085278193</v>
      </c>
      <c r="AA341">
        <f t="shared" ca="1" si="108"/>
        <v>21.45295830423408</v>
      </c>
      <c r="AB341">
        <f t="shared" ca="1" si="115"/>
        <v>49.712071884046722</v>
      </c>
      <c r="AC341">
        <f t="shared" ca="1" si="109"/>
        <v>0</v>
      </c>
      <c r="AD341">
        <f t="shared" ca="1" si="110"/>
        <v>0.99828768347382368</v>
      </c>
      <c r="AE341" s="83" t="e">
        <f ca="1"/>
        <v>#N/A</v>
      </c>
      <c r="AF341" s="55" t="e">
        <f t="shared" ref="AF341:AF395" ca="1" si="119">IF(AE341&gt;1,AE341,"")</f>
        <v>#N/A</v>
      </c>
      <c r="AG341" s="55" t="e">
        <f t="shared" ref="AG341:AG395" ca="1" si="120">VLOOKUP(AF341,ModelOutputs,2,FALSE)</f>
        <v>#N/A</v>
      </c>
      <c r="AH341" s="55" t="e">
        <f t="shared" ref="AH341:AH395" ca="1" si="121">VLOOKUP(AF341,ModelOutputs,7,FALSE)</f>
        <v>#N/A</v>
      </c>
      <c r="AI341" s="55" t="e">
        <f t="shared" ref="AI341:AI395" ca="1" si="122">VLOOKUP(AF341,ModelOutputs,6,FALSE)</f>
        <v>#N/A</v>
      </c>
      <c r="AJ341" s="55" t="e">
        <f t="shared" ca="1" si="116"/>
        <v>#N/A</v>
      </c>
      <c r="AK341" s="55" t="e">
        <f t="shared" ca="1" si="117"/>
        <v>#N/A</v>
      </c>
      <c r="AL341" s="55" t="e">
        <f t="shared" ca="1" si="118"/>
        <v>#N/A</v>
      </c>
      <c r="AM341" s="55"/>
    </row>
    <row r="342" spans="18:39">
      <c r="R342" s="83">
        <f ca="1"/>
        <v>45335</v>
      </c>
      <c r="S342" s="55">
        <f t="shared" ca="1" si="111"/>
        <v>45335</v>
      </c>
      <c r="T342" s="55">
        <f t="shared" ca="1" si="104"/>
        <v>109.9919353126889</v>
      </c>
      <c r="U342" s="55">
        <f t="shared" ca="1" si="105"/>
        <v>247.16152249401659</v>
      </c>
      <c r="V342" s="55">
        <f t="shared" ca="1" si="106"/>
        <v>0</v>
      </c>
      <c r="W342" s="55">
        <f t="shared" ca="1" si="112"/>
        <v>-28.546036396422135</v>
      </c>
      <c r="X342" s="55">
        <f t="shared" ca="1" si="113"/>
        <v>42.651078968279386</v>
      </c>
      <c r="Y342" s="55">
        <f t="shared" ca="1" si="114"/>
        <v>17.977028025628186</v>
      </c>
      <c r="Z342" s="55">
        <f t="shared" ca="1" si="107"/>
        <v>45.604659779796634</v>
      </c>
      <c r="AA342">
        <f t="shared" ca="1" si="108"/>
        <v>22.401307960092005</v>
      </c>
      <c r="AB342">
        <f t="shared" ca="1" si="115"/>
        <v>49.712071884046722</v>
      </c>
      <c r="AC342">
        <f t="shared" ca="1" si="109"/>
        <v>0</v>
      </c>
      <c r="AD342">
        <f t="shared" ca="1" si="110"/>
        <v>0.99837834448309881</v>
      </c>
      <c r="AE342" s="83" t="e">
        <f ca="1"/>
        <v>#N/A</v>
      </c>
      <c r="AF342" s="55" t="e">
        <f t="shared" ca="1" si="119"/>
        <v>#N/A</v>
      </c>
      <c r="AG342" s="55" t="e">
        <f t="shared" ca="1" si="120"/>
        <v>#N/A</v>
      </c>
      <c r="AH342" s="55" t="e">
        <f t="shared" ca="1" si="121"/>
        <v>#N/A</v>
      </c>
      <c r="AI342" s="55" t="e">
        <f t="shared" ca="1" si="122"/>
        <v>#N/A</v>
      </c>
      <c r="AJ342" s="55" t="e">
        <f t="shared" ca="1" si="116"/>
        <v>#N/A</v>
      </c>
      <c r="AK342" s="55" t="e">
        <f t="shared" ca="1" si="117"/>
        <v>#N/A</v>
      </c>
      <c r="AL342" s="55" t="e">
        <f t="shared" ca="1" si="118"/>
        <v>#N/A</v>
      </c>
      <c r="AM342" s="55"/>
    </row>
    <row r="343" spans="18:39">
      <c r="R343" s="83">
        <f ca="1"/>
        <v>45336</v>
      </c>
      <c r="S343" s="55">
        <f t="shared" ca="1" si="111"/>
        <v>45336</v>
      </c>
      <c r="T343" s="55">
        <f t="shared" ca="1" si="104"/>
        <v>106.94093324887213</v>
      </c>
      <c r="U343" s="55">
        <f t="shared" ca="1" si="105"/>
        <v>250.33210813525471</v>
      </c>
      <c r="V343" s="55">
        <f t="shared" ca="1" si="106"/>
        <v>0</v>
      </c>
      <c r="W343" s="55">
        <f t="shared" ca="1" si="112"/>
        <v>-28.546036396422135</v>
      </c>
      <c r="X343" s="55">
        <f t="shared" ca="1" si="113"/>
        <v>42.769637765309966</v>
      </c>
      <c r="Y343" s="55">
        <f t="shared" ca="1" si="114"/>
        <v>17.978052806018965</v>
      </c>
      <c r="Z343" s="55">
        <f t="shared" ca="1" si="107"/>
        <v>44.388198977333673</v>
      </c>
      <c r="AA343">
        <f t="shared" ca="1" si="108"/>
        <v>24.611518103524769</v>
      </c>
      <c r="AB343">
        <f t="shared" ca="1" si="115"/>
        <v>49.712071884046722</v>
      </c>
      <c r="AC343">
        <f t="shared" ca="1" si="109"/>
        <v>0</v>
      </c>
      <c r="AD343">
        <f t="shared" ca="1" si="110"/>
        <v>0.99846161208259865</v>
      </c>
      <c r="AE343" s="83" t="e">
        <f ca="1"/>
        <v>#N/A</v>
      </c>
      <c r="AF343" s="55" t="e">
        <f t="shared" ca="1" si="119"/>
        <v>#N/A</v>
      </c>
      <c r="AG343" s="55" t="e">
        <f t="shared" ca="1" si="120"/>
        <v>#N/A</v>
      </c>
      <c r="AH343" s="55" t="e">
        <f t="shared" ca="1" si="121"/>
        <v>#N/A</v>
      </c>
      <c r="AI343" s="55" t="e">
        <f t="shared" ca="1" si="122"/>
        <v>#N/A</v>
      </c>
      <c r="AJ343" s="55" t="e">
        <f t="shared" ca="1" si="116"/>
        <v>#N/A</v>
      </c>
      <c r="AK343" s="55" t="e">
        <f t="shared" ca="1" si="117"/>
        <v>#N/A</v>
      </c>
      <c r="AL343" s="55" t="e">
        <f t="shared" ca="1" si="118"/>
        <v>#N/A</v>
      </c>
      <c r="AM343" s="55"/>
    </row>
    <row r="344" spans="18:39">
      <c r="R344" s="83">
        <f ca="1"/>
        <v>45337</v>
      </c>
      <c r="S344" s="55">
        <f t="shared" ca="1" si="111"/>
        <v>45337</v>
      </c>
      <c r="T344" s="55">
        <f t="shared" ca="1" si="104"/>
        <v>103.95817764667838</v>
      </c>
      <c r="U344" s="55">
        <f t="shared" ca="1" si="105"/>
        <v>253.43192162428329</v>
      </c>
      <c r="V344" s="55">
        <f t="shared" ca="1" si="106"/>
        <v>0</v>
      </c>
      <c r="W344" s="55">
        <f t="shared" ca="1" si="112"/>
        <v>-28.546036396422135</v>
      </c>
      <c r="X344" s="55">
        <f t="shared" ca="1" si="113"/>
        <v>42.885651471161552</v>
      </c>
      <c r="Y344" s="55">
        <f t="shared" ca="1" si="114"/>
        <v>17.979096987002205</v>
      </c>
      <c r="Z344" s="55">
        <f t="shared" ca="1" si="107"/>
        <v>43.397388846400077</v>
      </c>
      <c r="AA344">
        <f t="shared" ca="1" si="108"/>
        <v>26.07871076861964</v>
      </c>
      <c r="AB344">
        <f t="shared" ca="1" si="115"/>
        <v>49.712071884046722</v>
      </c>
      <c r="AC344">
        <f t="shared" ca="1" si="109"/>
        <v>0</v>
      </c>
      <c r="AD344">
        <f t="shared" ca="1" si="110"/>
        <v>0.99853857536602042</v>
      </c>
      <c r="AE344" s="83" t="e">
        <f ca="1"/>
        <v>#N/A</v>
      </c>
      <c r="AF344" s="55" t="e">
        <f t="shared" ca="1" si="119"/>
        <v>#N/A</v>
      </c>
      <c r="AG344" s="55" t="e">
        <f t="shared" ca="1" si="120"/>
        <v>#N/A</v>
      </c>
      <c r="AH344" s="55" t="e">
        <f t="shared" ca="1" si="121"/>
        <v>#N/A</v>
      </c>
      <c r="AI344" s="55" t="e">
        <f t="shared" ca="1" si="122"/>
        <v>#N/A</v>
      </c>
      <c r="AJ344" s="55" t="e">
        <f t="shared" ca="1" si="116"/>
        <v>#N/A</v>
      </c>
      <c r="AK344" s="55" t="e">
        <f t="shared" ca="1" si="117"/>
        <v>#N/A</v>
      </c>
      <c r="AL344" s="55" t="e">
        <f t="shared" ca="1" si="118"/>
        <v>#N/A</v>
      </c>
      <c r="AM344" s="55"/>
    </row>
    <row r="345" spans="18:39">
      <c r="R345" s="83">
        <f ca="1"/>
        <v>45338</v>
      </c>
      <c r="S345" s="55">
        <f t="shared" ca="1" si="111"/>
        <v>45338</v>
      </c>
      <c r="T345" s="55">
        <f t="shared" ca="1" si="104"/>
        <v>100.8534773181148</v>
      </c>
      <c r="U345" s="55">
        <f t="shared" ca="1" si="105"/>
        <v>256.65890180897304</v>
      </c>
      <c r="V345" s="55">
        <f t="shared" ca="1" si="106"/>
        <v>0</v>
      </c>
      <c r="W345" s="55">
        <f t="shared" ca="1" si="112"/>
        <v>-28.546036396422135</v>
      </c>
      <c r="X345" s="55">
        <f t="shared" ca="1" si="113"/>
        <v>43.00686701561807</v>
      </c>
      <c r="Y345" s="55">
        <f t="shared" ca="1" si="114"/>
        <v>17.980161298671856</v>
      </c>
      <c r="Z345" s="55">
        <f t="shared" ca="1" si="107"/>
        <v>45.177722585656511</v>
      </c>
      <c r="AA345">
        <f t="shared" ca="1" si="108"/>
        <v>25.816455671043347</v>
      </c>
      <c r="AB345">
        <f t="shared" ca="1" si="115"/>
        <v>49.712071884046722</v>
      </c>
      <c r="AC345">
        <f t="shared" ca="1" si="109"/>
        <v>0</v>
      </c>
      <c r="AD345">
        <f t="shared" ca="1" si="110"/>
        <v>0.99861431679251234</v>
      </c>
      <c r="AE345" s="83" t="e">
        <f ca="1"/>
        <v>#N/A</v>
      </c>
      <c r="AF345" s="55" t="e">
        <f t="shared" ca="1" si="119"/>
        <v>#N/A</v>
      </c>
      <c r="AG345" s="55" t="e">
        <f t="shared" ca="1" si="120"/>
        <v>#N/A</v>
      </c>
      <c r="AH345" s="55" t="e">
        <f t="shared" ca="1" si="121"/>
        <v>#N/A</v>
      </c>
      <c r="AI345" s="55" t="e">
        <f t="shared" ca="1" si="122"/>
        <v>#N/A</v>
      </c>
      <c r="AJ345" s="55" t="e">
        <f t="shared" ca="1" si="116"/>
        <v>#N/A</v>
      </c>
      <c r="AK345" s="55" t="e">
        <f t="shared" ca="1" si="117"/>
        <v>#N/A</v>
      </c>
      <c r="AL345" s="55" t="e">
        <f t="shared" ca="1" si="118"/>
        <v>#N/A</v>
      </c>
      <c r="AM345" s="55"/>
    </row>
    <row r="346" spans="18:39">
      <c r="R346" s="83">
        <f ca="1"/>
        <v>45339</v>
      </c>
      <c r="S346" s="55">
        <f t="shared" ca="1" si="111"/>
        <v>45339</v>
      </c>
      <c r="T346" s="55">
        <f t="shared" ca="1" si="104"/>
        <v>97.520615143164818</v>
      </c>
      <c r="U346" s="55">
        <f t="shared" ca="1" si="105"/>
        <v>260.12507223113113</v>
      </c>
      <c r="V346" s="55">
        <f t="shared" ca="1" si="106"/>
        <v>0</v>
      </c>
      <c r="W346" s="55">
        <f t="shared" ca="1" si="112"/>
        <v>-28.546036396422135</v>
      </c>
      <c r="X346" s="55">
        <f t="shared" ca="1" si="113"/>
        <v>43.139045503091062</v>
      </c>
      <c r="Y346" s="55">
        <f t="shared" ca="1" si="114"/>
        <v>17.98129105840696</v>
      </c>
      <c r="Z346" s="55">
        <f t="shared" ca="1" si="107"/>
        <v>48.526385910213207</v>
      </c>
      <c r="AA346">
        <f t="shared" ca="1" si="108"/>
        <v>25.632620876874967</v>
      </c>
      <c r="AB346">
        <f t="shared" ca="1" si="115"/>
        <v>49.712071884046722</v>
      </c>
      <c r="AC346">
        <f t="shared" ca="1" si="109"/>
        <v>0</v>
      </c>
      <c r="AD346">
        <f t="shared" ca="1" si="110"/>
        <v>0.99869101172012498</v>
      </c>
      <c r="AE346" s="83" t="e">
        <f ca="1"/>
        <v>#N/A</v>
      </c>
      <c r="AF346" s="55" t="e">
        <f t="shared" ca="1" si="119"/>
        <v>#N/A</v>
      </c>
      <c r="AG346" s="55" t="e">
        <f t="shared" ca="1" si="120"/>
        <v>#N/A</v>
      </c>
      <c r="AH346" s="55" t="e">
        <f t="shared" ca="1" si="121"/>
        <v>#N/A</v>
      </c>
      <c r="AI346" s="55" t="e">
        <f t="shared" ca="1" si="122"/>
        <v>#N/A</v>
      </c>
      <c r="AJ346" s="55" t="e">
        <f t="shared" ca="1" si="116"/>
        <v>#N/A</v>
      </c>
      <c r="AK346" s="55" t="e">
        <f t="shared" ca="1" si="117"/>
        <v>#N/A</v>
      </c>
      <c r="AL346" s="55" t="e">
        <f t="shared" ca="1" si="118"/>
        <v>#N/A</v>
      </c>
      <c r="AM346" s="55"/>
    </row>
    <row r="347" spans="18:39">
      <c r="R347" s="83">
        <f ca="1"/>
        <v>45340</v>
      </c>
      <c r="S347" s="55">
        <f t="shared" ca="1" si="111"/>
        <v>45340</v>
      </c>
      <c r="T347" s="55">
        <f t="shared" ca="1" si="104"/>
        <v>94.096593628534265</v>
      </c>
      <c r="U347" s="55">
        <f t="shared" ca="1" si="105"/>
        <v>263.68807416246636</v>
      </c>
      <c r="V347" s="55">
        <f t="shared" ca="1" si="106"/>
        <v>0</v>
      </c>
      <c r="W347" s="55">
        <f t="shared" ca="1" si="112"/>
        <v>-28.546036396422135</v>
      </c>
      <c r="X347" s="55">
        <f t="shared" ca="1" si="113"/>
        <v>43.276824370013998</v>
      </c>
      <c r="Y347" s="55">
        <f t="shared" ca="1" si="114"/>
        <v>17.982492608188693</v>
      </c>
      <c r="Z347" s="55">
        <f t="shared" ca="1" si="107"/>
        <v>49.882027038693309</v>
      </c>
      <c r="AA347">
        <f t="shared" ca="1" si="108"/>
        <v>26.806241438661136</v>
      </c>
      <c r="AB347">
        <f t="shared" ca="1" si="115"/>
        <v>49.712071884046722</v>
      </c>
      <c r="AC347">
        <f t="shared" ca="1" si="109"/>
        <v>0</v>
      </c>
      <c r="AD347">
        <f t="shared" ca="1" si="110"/>
        <v>0.99876514823998996</v>
      </c>
      <c r="AE347" s="83" t="e">
        <f ca="1"/>
        <v>#N/A</v>
      </c>
      <c r="AF347" s="55" t="e">
        <f t="shared" ca="1" si="119"/>
        <v>#N/A</v>
      </c>
      <c r="AG347" s="55" t="e">
        <f t="shared" ca="1" si="120"/>
        <v>#N/A</v>
      </c>
      <c r="AH347" s="55" t="e">
        <f t="shared" ca="1" si="121"/>
        <v>#N/A</v>
      </c>
      <c r="AI347" s="55" t="e">
        <f t="shared" ca="1" si="122"/>
        <v>#N/A</v>
      </c>
      <c r="AJ347" s="55" t="e">
        <f t="shared" ca="1" si="116"/>
        <v>#N/A</v>
      </c>
      <c r="AK347" s="55" t="e">
        <f t="shared" ca="1" si="117"/>
        <v>#N/A</v>
      </c>
      <c r="AL347" s="55" t="e">
        <f t="shared" ca="1" si="118"/>
        <v>#N/A</v>
      </c>
      <c r="AM347" s="55"/>
    </row>
    <row r="348" spans="18:39">
      <c r="R348" s="83">
        <f ca="1"/>
        <v>45341</v>
      </c>
      <c r="S348" s="55">
        <f t="shared" ca="1" si="111"/>
        <v>45341</v>
      </c>
      <c r="T348" s="55">
        <f t="shared" ca="1" si="104"/>
        <v>90.769643531153818</v>
      </c>
      <c r="U348" s="55">
        <f t="shared" ca="1" si="105"/>
        <v>267.14611244288562</v>
      </c>
      <c r="V348" s="55">
        <f t="shared" ca="1" si="106"/>
        <v>0</v>
      </c>
      <c r="W348" s="55">
        <f t="shared" ca="1" si="112"/>
        <v>-28.546036396422135</v>
      </c>
      <c r="X348" s="55">
        <f t="shared" ca="1" si="113"/>
        <v>43.406838246611528</v>
      </c>
      <c r="Y348" s="55">
        <f t="shared" ca="1" si="114"/>
        <v>17.983566914629975</v>
      </c>
      <c r="Z348" s="55">
        <f t="shared" ca="1" si="107"/>
        <v>48.412535925869634</v>
      </c>
      <c r="AA348">
        <f t="shared" ca="1" si="108"/>
        <v>25.236679262956589</v>
      </c>
      <c r="AB348">
        <f t="shared" ca="1" si="115"/>
        <v>49.712071884046722</v>
      </c>
      <c r="AC348">
        <f t="shared" ca="1" si="109"/>
        <v>0</v>
      </c>
      <c r="AD348">
        <f t="shared" ca="1" si="110"/>
        <v>0.99883284638618286</v>
      </c>
      <c r="AE348" s="83" t="e">
        <f ca="1"/>
        <v>#N/A</v>
      </c>
      <c r="AF348" s="55" t="e">
        <f t="shared" ca="1" si="119"/>
        <v>#N/A</v>
      </c>
      <c r="AG348" s="55" t="e">
        <f t="shared" ca="1" si="120"/>
        <v>#N/A</v>
      </c>
      <c r="AH348" s="55" t="e">
        <f t="shared" ca="1" si="121"/>
        <v>#N/A</v>
      </c>
      <c r="AI348" s="55" t="e">
        <f t="shared" ca="1" si="122"/>
        <v>#N/A</v>
      </c>
      <c r="AJ348" s="55" t="e">
        <f t="shared" ca="1" si="116"/>
        <v>#N/A</v>
      </c>
      <c r="AK348" s="55" t="e">
        <f t="shared" ca="1" si="117"/>
        <v>#N/A</v>
      </c>
      <c r="AL348" s="55" t="e">
        <f t="shared" ca="1" si="118"/>
        <v>#N/A</v>
      </c>
      <c r="AM348" s="55"/>
    </row>
    <row r="349" spans="18:39">
      <c r="R349" s="83">
        <f ca="1"/>
        <v>45342</v>
      </c>
      <c r="S349" s="55">
        <f t="shared" ca="1" si="111"/>
        <v>45342</v>
      </c>
      <c r="T349" s="55">
        <f t="shared" ca="1" si="104"/>
        <v>87.497429421953399</v>
      </c>
      <c r="U349" s="55">
        <f t="shared" ca="1" si="105"/>
        <v>270.54826722482176</v>
      </c>
      <c r="V349" s="55">
        <f t="shared" ca="1" si="106"/>
        <v>0</v>
      </c>
      <c r="W349" s="55">
        <f t="shared" ca="1" si="112"/>
        <v>-28.546036396422135</v>
      </c>
      <c r="X349" s="55">
        <f t="shared" ca="1" si="113"/>
        <v>43.535660480315002</v>
      </c>
      <c r="Y349" s="55">
        <f t="shared" ca="1" si="114"/>
        <v>17.984685353662218</v>
      </c>
      <c r="Z349" s="55">
        <f t="shared" ca="1" si="107"/>
        <v>47.630166947105863</v>
      </c>
      <c r="AA349">
        <f t="shared" ca="1" si="108"/>
        <v>27.180694273775945</v>
      </c>
      <c r="AB349">
        <f t="shared" ca="1" si="115"/>
        <v>49.712071884046722</v>
      </c>
      <c r="AC349">
        <f t="shared" ca="1" si="109"/>
        <v>0</v>
      </c>
      <c r="AD349">
        <f t="shared" ca="1" si="110"/>
        <v>0.99889562833015966</v>
      </c>
      <c r="AE349" s="83" t="e">
        <f ca="1"/>
        <v>#N/A</v>
      </c>
      <c r="AF349" s="55" t="e">
        <f t="shared" ca="1" si="119"/>
        <v>#N/A</v>
      </c>
      <c r="AG349" s="55" t="e">
        <f t="shared" ca="1" si="120"/>
        <v>#N/A</v>
      </c>
      <c r="AH349" s="55" t="e">
        <f t="shared" ca="1" si="121"/>
        <v>#N/A</v>
      </c>
      <c r="AI349" s="55" t="e">
        <f t="shared" ca="1" si="122"/>
        <v>#N/A</v>
      </c>
      <c r="AJ349" s="55" t="e">
        <f t="shared" ca="1" si="116"/>
        <v>#N/A</v>
      </c>
      <c r="AK349" s="55" t="e">
        <f t="shared" ca="1" si="117"/>
        <v>#N/A</v>
      </c>
      <c r="AL349" s="55" t="e">
        <f t="shared" ca="1" si="118"/>
        <v>#N/A</v>
      </c>
      <c r="AM349" s="55"/>
    </row>
    <row r="350" spans="18:39">
      <c r="R350" s="83">
        <f ca="1"/>
        <v>45343</v>
      </c>
      <c r="S350" s="55">
        <f t="shared" ca="1" si="111"/>
        <v>45343</v>
      </c>
      <c r="T350" s="55">
        <f t="shared" ca="1" si="104"/>
        <v>84.205426997912397</v>
      </c>
      <c r="U350" s="55">
        <f t="shared" ca="1" si="105"/>
        <v>273.96901144259397</v>
      </c>
      <c r="V350" s="55">
        <f t="shared" ca="1" si="106"/>
        <v>0</v>
      </c>
      <c r="W350" s="55">
        <f t="shared" ca="1" si="112"/>
        <v>-28.546036396422135</v>
      </c>
      <c r="X350" s="55">
        <f t="shared" ca="1" si="113"/>
        <v>43.663350114790177</v>
      </c>
      <c r="Y350" s="55">
        <f t="shared" ca="1" si="114"/>
        <v>17.985737512918256</v>
      </c>
      <c r="Z350" s="55">
        <f t="shared" ca="1" si="107"/>
        <v>47.890419048810941</v>
      </c>
      <c r="AA350">
        <f t="shared" ca="1" si="108"/>
        <v>25.782524211859581</v>
      </c>
      <c r="AB350">
        <f t="shared" ca="1" si="115"/>
        <v>49.712071884046722</v>
      </c>
      <c r="AC350">
        <f t="shared" ca="1" si="109"/>
        <v>0</v>
      </c>
      <c r="AD350">
        <f t="shared" ca="1" si="110"/>
        <v>0.99895517545090318</v>
      </c>
      <c r="AE350" s="83" t="e">
        <f ca="1"/>
        <v>#N/A</v>
      </c>
      <c r="AF350" s="55" t="e">
        <f t="shared" ca="1" si="119"/>
        <v>#N/A</v>
      </c>
      <c r="AG350" s="55" t="e">
        <f t="shared" ca="1" si="120"/>
        <v>#N/A</v>
      </c>
      <c r="AH350" s="55" t="e">
        <f t="shared" ca="1" si="121"/>
        <v>#N/A</v>
      </c>
      <c r="AI350" s="55" t="e">
        <f t="shared" ca="1" si="122"/>
        <v>#N/A</v>
      </c>
      <c r="AJ350" s="55" t="e">
        <f t="shared" ca="1" si="116"/>
        <v>#N/A</v>
      </c>
      <c r="AK350" s="55" t="e">
        <f t="shared" ca="1" si="117"/>
        <v>#N/A</v>
      </c>
      <c r="AL350" s="55" t="e">
        <f t="shared" ca="1" si="118"/>
        <v>#N/A</v>
      </c>
      <c r="AM350" s="55"/>
    </row>
    <row r="351" spans="18:39">
      <c r="R351" s="83">
        <f ca="1"/>
        <v>45344</v>
      </c>
      <c r="S351" s="55">
        <f t="shared" ca="1" si="111"/>
        <v>45344</v>
      </c>
      <c r="T351" s="55">
        <f t="shared" ca="1" si="104"/>
        <v>80.96452239030252</v>
      </c>
      <c r="U351" s="55">
        <f t="shared" ca="1" si="105"/>
        <v>277.3356308477089</v>
      </c>
      <c r="V351" s="55">
        <f t="shared" ca="1" si="106"/>
        <v>0</v>
      </c>
      <c r="W351" s="55">
        <f t="shared" ca="1" si="112"/>
        <v>-28.546036396422135</v>
      </c>
      <c r="X351" s="55">
        <f t="shared" ca="1" si="113"/>
        <v>43.78804282563069</v>
      </c>
      <c r="Y351" s="55">
        <f t="shared" ca="1" si="114"/>
        <v>17.98675959958279</v>
      </c>
      <c r="Z351" s="55">
        <f t="shared" ca="1" si="107"/>
        <v>47.132671671609046</v>
      </c>
      <c r="AA351">
        <f t="shared" ca="1" si="108"/>
        <v>25.86351081423717</v>
      </c>
      <c r="AB351">
        <f t="shared" ca="1" si="115"/>
        <v>49.712071884046722</v>
      </c>
      <c r="AC351">
        <f t="shared" ca="1" si="109"/>
        <v>0</v>
      </c>
      <c r="AD351">
        <f t="shared" ca="1" si="110"/>
        <v>0.99901049734281333</v>
      </c>
      <c r="AE351" s="83" t="e">
        <f ca="1"/>
        <v>#N/A</v>
      </c>
      <c r="AF351" s="55" t="e">
        <f t="shared" ca="1" si="119"/>
        <v>#N/A</v>
      </c>
      <c r="AG351" s="55" t="e">
        <f t="shared" ca="1" si="120"/>
        <v>#N/A</v>
      </c>
      <c r="AH351" s="55" t="e">
        <f t="shared" ca="1" si="121"/>
        <v>#N/A</v>
      </c>
      <c r="AI351" s="55" t="e">
        <f t="shared" ca="1" si="122"/>
        <v>#N/A</v>
      </c>
      <c r="AJ351" s="55" t="e">
        <f t="shared" ca="1" si="116"/>
        <v>#N/A</v>
      </c>
      <c r="AK351" s="55" t="e">
        <f t="shared" ca="1" si="117"/>
        <v>#N/A</v>
      </c>
      <c r="AL351" s="55" t="e">
        <f t="shared" ca="1" si="118"/>
        <v>#N/A</v>
      </c>
      <c r="AM351" s="55"/>
    </row>
    <row r="352" spans="18:39">
      <c r="R352" s="83">
        <f ca="1"/>
        <v>45345</v>
      </c>
      <c r="S352" s="55">
        <f t="shared" ca="1" si="111"/>
        <v>45345</v>
      </c>
      <c r="T352" s="55">
        <f t="shared" ca="1" si="104"/>
        <v>77.774541639467557</v>
      </c>
      <c r="U352" s="55">
        <f t="shared" ca="1" si="105"/>
        <v>280.64891839995141</v>
      </c>
      <c r="V352" s="55">
        <f t="shared" ca="1" si="106"/>
        <v>0</v>
      </c>
      <c r="W352" s="55">
        <f t="shared" ca="1" si="112"/>
        <v>-28.546036396422135</v>
      </c>
      <c r="X352" s="55">
        <f t="shared" ca="1" si="113"/>
        <v>43.910338926822213</v>
      </c>
      <c r="Y352" s="55">
        <f t="shared" ca="1" si="114"/>
        <v>17.987770299798814</v>
      </c>
      <c r="Z352" s="55">
        <f t="shared" ca="1" si="107"/>
        <v>46.386025731395193</v>
      </c>
      <c r="AA352">
        <f t="shared" ca="1" si="108"/>
        <v>26.388828419314873</v>
      </c>
      <c r="AB352">
        <f t="shared" ca="1" si="115"/>
        <v>49.712071884046722</v>
      </c>
      <c r="AC352">
        <f t="shared" ca="1" si="109"/>
        <v>0</v>
      </c>
      <c r="AD352">
        <f t="shared" ca="1" si="110"/>
        <v>0.99906195909660778</v>
      </c>
      <c r="AE352" s="83" t="e">
        <f ca="1"/>
        <v>#N/A</v>
      </c>
      <c r="AF352" s="55" t="e">
        <f t="shared" ca="1" si="119"/>
        <v>#N/A</v>
      </c>
      <c r="AG352" s="55" t="e">
        <f t="shared" ca="1" si="120"/>
        <v>#N/A</v>
      </c>
      <c r="AH352" s="55" t="e">
        <f t="shared" ca="1" si="121"/>
        <v>#N/A</v>
      </c>
      <c r="AI352" s="55" t="e">
        <f t="shared" ca="1" si="122"/>
        <v>#N/A</v>
      </c>
      <c r="AJ352" s="55" t="e">
        <f t="shared" ca="1" si="116"/>
        <v>#N/A</v>
      </c>
      <c r="AK352" s="55" t="e">
        <f t="shared" ca="1" si="117"/>
        <v>#N/A</v>
      </c>
      <c r="AL352" s="55" t="e">
        <f t="shared" ca="1" si="118"/>
        <v>#N/A</v>
      </c>
      <c r="AM352" s="55"/>
    </row>
    <row r="353" spans="18:39">
      <c r="R353" s="83">
        <f ca="1"/>
        <v>45346</v>
      </c>
      <c r="S353" s="55">
        <f t="shared" ca="1" si="111"/>
        <v>45346</v>
      </c>
      <c r="T353" s="55">
        <f t="shared" ca="1" si="104"/>
        <v>74.441740117303198</v>
      </c>
      <c r="U353" s="55">
        <f t="shared" ca="1" si="105"/>
        <v>284.11224859233255</v>
      </c>
      <c r="V353" s="55">
        <f t="shared" ca="1" si="106"/>
        <v>0</v>
      </c>
      <c r="W353" s="55">
        <f t="shared" ca="1" si="112"/>
        <v>-28.546036396422135</v>
      </c>
      <c r="X353" s="55">
        <f t="shared" ca="1" si="113"/>
        <v>44.039807592756908</v>
      </c>
      <c r="Y353" s="55">
        <f t="shared" ca="1" si="114"/>
        <v>17.988830304080896</v>
      </c>
      <c r="Z353" s="55">
        <f t="shared" ca="1" si="107"/>
        <v>48.486622693335903</v>
      </c>
      <c r="AA353">
        <f t="shared" ca="1" si="108"/>
        <v>26.670045821607086</v>
      </c>
      <c r="AB353">
        <f t="shared" ca="1" si="115"/>
        <v>49.712071884046722</v>
      </c>
      <c r="AC353">
        <f t="shared" ca="1" si="109"/>
        <v>0</v>
      </c>
      <c r="AD353">
        <f t="shared" ca="1" si="110"/>
        <v>0.99911278137148352</v>
      </c>
      <c r="AE353" s="83" t="e">
        <f ca="1"/>
        <v>#N/A</v>
      </c>
      <c r="AF353" s="55" t="e">
        <f t="shared" ca="1" si="119"/>
        <v>#N/A</v>
      </c>
      <c r="AG353" s="55" t="e">
        <f t="shared" ca="1" si="120"/>
        <v>#N/A</v>
      </c>
      <c r="AH353" s="55" t="e">
        <f t="shared" ca="1" si="121"/>
        <v>#N/A</v>
      </c>
      <c r="AI353" s="55" t="e">
        <f t="shared" ca="1" si="122"/>
        <v>#N/A</v>
      </c>
      <c r="AJ353" s="55" t="e">
        <f t="shared" ca="1" si="116"/>
        <v>#N/A</v>
      </c>
      <c r="AK353" s="55" t="e">
        <f t="shared" ca="1" si="117"/>
        <v>#N/A</v>
      </c>
      <c r="AL353" s="55" t="e">
        <f t="shared" ca="1" si="118"/>
        <v>#N/A</v>
      </c>
      <c r="AM353" s="55"/>
    </row>
    <row r="354" spans="18:39">
      <c r="R354" s="83">
        <f ca="1"/>
        <v>45347</v>
      </c>
      <c r="S354" s="55">
        <f t="shared" ca="1" si="111"/>
        <v>45347</v>
      </c>
      <c r="T354" s="55">
        <f t="shared" ca="1" si="104"/>
        <v>71.216065492914254</v>
      </c>
      <c r="U354" s="55">
        <f t="shared" ca="1" si="105"/>
        <v>287.46073323043504</v>
      </c>
      <c r="V354" s="55">
        <f t="shared" ca="1" si="106"/>
        <v>0</v>
      </c>
      <c r="W354" s="55">
        <f t="shared" ca="1" si="112"/>
        <v>-28.546036396422135</v>
      </c>
      <c r="X354" s="55">
        <f t="shared" ca="1" si="113"/>
        <v>44.161672744389968</v>
      </c>
      <c r="Y354" s="55">
        <f t="shared" ca="1" si="114"/>
        <v>17.98977516616138</v>
      </c>
      <c r="Z354" s="55">
        <f t="shared" ca="1" si="107"/>
        <v>46.878784933434872</v>
      </c>
      <c r="AA354">
        <f t="shared" ca="1" si="108"/>
        <v>25.027672262064907</v>
      </c>
      <c r="AB354">
        <f t="shared" ca="1" si="115"/>
        <v>49.712071884046722</v>
      </c>
      <c r="AC354">
        <f t="shared" ca="1" si="109"/>
        <v>0</v>
      </c>
      <c r="AD354">
        <f t="shared" ca="1" si="110"/>
        <v>0.99915920721916396</v>
      </c>
      <c r="AE354" s="83" t="e">
        <f ca="1"/>
        <v>#N/A</v>
      </c>
      <c r="AF354" s="55" t="e">
        <f t="shared" ca="1" si="119"/>
        <v>#N/A</v>
      </c>
      <c r="AG354" s="55" t="e">
        <f t="shared" ca="1" si="120"/>
        <v>#N/A</v>
      </c>
      <c r="AH354" s="55" t="e">
        <f t="shared" ca="1" si="121"/>
        <v>#N/A</v>
      </c>
      <c r="AI354" s="55" t="e">
        <f t="shared" ca="1" si="122"/>
        <v>#N/A</v>
      </c>
      <c r="AJ354" s="55" t="e">
        <f t="shared" ca="1" si="116"/>
        <v>#N/A</v>
      </c>
      <c r="AK354" s="55" t="e">
        <f t="shared" ca="1" si="117"/>
        <v>#N/A</v>
      </c>
      <c r="AL354" s="55" t="e">
        <f t="shared" ca="1" si="118"/>
        <v>#N/A</v>
      </c>
      <c r="AM354" s="55"/>
    </row>
    <row r="355" spans="18:39">
      <c r="R355" s="83">
        <f ca="1"/>
        <v>45348</v>
      </c>
      <c r="S355" s="55">
        <f t="shared" ca="1" si="111"/>
        <v>45348</v>
      </c>
      <c r="T355" s="55">
        <f t="shared" ca="1" si="104"/>
        <v>67.985253262911002</v>
      </c>
      <c r="U355" s="55">
        <f t="shared" ca="1" si="105"/>
        <v>290.81525640597658</v>
      </c>
      <c r="V355" s="55">
        <f t="shared" ca="1" si="106"/>
        <v>0</v>
      </c>
      <c r="W355" s="55">
        <f t="shared" ca="1" si="112"/>
        <v>-28.546036396422135</v>
      </c>
      <c r="X355" s="55">
        <f t="shared" ca="1" si="113"/>
        <v>44.284416487958161</v>
      </c>
      <c r="Y355" s="55">
        <f t="shared" ca="1" si="114"/>
        <v>17.990742368131475</v>
      </c>
      <c r="Z355" s="55">
        <f t="shared" ca="1" si="107"/>
        <v>46.963324457581621</v>
      </c>
      <c r="AA355">
        <f t="shared" ca="1" si="108"/>
        <v>25.880158007244589</v>
      </c>
      <c r="AB355">
        <f t="shared" ca="1" si="115"/>
        <v>49.712071884046722</v>
      </c>
      <c r="AC355">
        <f t="shared" ca="1" si="109"/>
        <v>0</v>
      </c>
      <c r="AD355">
        <f t="shared" ca="1" si="110"/>
        <v>0.99920320566015974</v>
      </c>
      <c r="AE355" s="83" t="e">
        <f ca="1"/>
        <v>#N/A</v>
      </c>
      <c r="AF355" s="55" t="e">
        <f t="shared" ca="1" si="119"/>
        <v>#N/A</v>
      </c>
      <c r="AG355" s="55" t="e">
        <f t="shared" ca="1" si="120"/>
        <v>#N/A</v>
      </c>
      <c r="AH355" s="55" t="e">
        <f t="shared" ca="1" si="121"/>
        <v>#N/A</v>
      </c>
      <c r="AI355" s="55" t="e">
        <f t="shared" ca="1" si="122"/>
        <v>#N/A</v>
      </c>
      <c r="AJ355" s="55" t="e">
        <f t="shared" ca="1" si="116"/>
        <v>#N/A</v>
      </c>
      <c r="AK355" s="55" t="e">
        <f t="shared" ca="1" si="117"/>
        <v>#N/A</v>
      </c>
      <c r="AL355" s="55" t="e">
        <f t="shared" ca="1" si="118"/>
        <v>#N/A</v>
      </c>
      <c r="AM355" s="55"/>
    </row>
    <row r="356" spans="18:39">
      <c r="R356" s="83">
        <f ca="1"/>
        <v>45349</v>
      </c>
      <c r="S356" s="55">
        <f t="shared" ca="1" si="111"/>
        <v>45349</v>
      </c>
      <c r="T356" s="55">
        <f t="shared" ca="1" si="104"/>
        <v>64.744603710396575</v>
      </c>
      <c r="U356" s="55">
        <f t="shared" ca="1" si="105"/>
        <v>294.17920937912538</v>
      </c>
      <c r="V356" s="55">
        <f t="shared" ca="1" si="106"/>
        <v>0</v>
      </c>
      <c r="W356" s="55">
        <f t="shared" ca="1" si="112"/>
        <v>-28.546036396422135</v>
      </c>
      <c r="X356" s="55">
        <f t="shared" ca="1" si="113"/>
        <v>44.406781699162458</v>
      </c>
      <c r="Y356" s="55">
        <f t="shared" ca="1" si="114"/>
        <v>17.991680577561556</v>
      </c>
      <c r="Z356" s="55">
        <f t="shared" ca="1" si="107"/>
        <v>47.095341624083176</v>
      </c>
      <c r="AA356">
        <f t="shared" ca="1" si="108"/>
        <v>25.325763699889883</v>
      </c>
      <c r="AB356">
        <f t="shared" ca="1" si="115"/>
        <v>49.712071884046722</v>
      </c>
      <c r="AC356">
        <f t="shared" ca="1" si="109"/>
        <v>0</v>
      </c>
      <c r="AD356">
        <f t="shared" ca="1" si="110"/>
        <v>0.99924495355350007</v>
      </c>
      <c r="AE356" s="83" t="e">
        <f ca="1"/>
        <v>#N/A</v>
      </c>
      <c r="AF356" s="55" t="e">
        <f t="shared" ca="1" si="119"/>
        <v>#N/A</v>
      </c>
      <c r="AG356" s="55" t="e">
        <f t="shared" ca="1" si="120"/>
        <v>#N/A</v>
      </c>
      <c r="AH356" s="55" t="e">
        <f t="shared" ca="1" si="121"/>
        <v>#N/A</v>
      </c>
      <c r="AI356" s="55" t="e">
        <f t="shared" ca="1" si="122"/>
        <v>#N/A</v>
      </c>
      <c r="AJ356" s="55" t="e">
        <f t="shared" ca="1" si="116"/>
        <v>#N/A</v>
      </c>
      <c r="AK356" s="55" t="e">
        <f t="shared" ca="1" si="117"/>
        <v>#N/A</v>
      </c>
      <c r="AL356" s="55" t="e">
        <f t="shared" ca="1" si="118"/>
        <v>#N/A</v>
      </c>
      <c r="AM356" s="55"/>
    </row>
    <row r="357" spans="18:39">
      <c r="R357" s="83">
        <f ca="1"/>
        <v>45350</v>
      </c>
      <c r="S357" s="55">
        <f t="shared" ca="1" si="111"/>
        <v>45350</v>
      </c>
      <c r="T357" s="55">
        <f t="shared" ca="1" si="104"/>
        <v>61.524969749412392</v>
      </c>
      <c r="U357" s="55">
        <f t="shared" ca="1" si="105"/>
        <v>297.52065172663231</v>
      </c>
      <c r="V357" s="55">
        <f t="shared" ca="1" si="106"/>
        <v>0</v>
      </c>
      <c r="W357" s="55">
        <f t="shared" ca="1" si="112"/>
        <v>-28.546036396422135</v>
      </c>
      <c r="X357" s="55">
        <f t="shared" ca="1" si="113"/>
        <v>44.527676886769257</v>
      </c>
      <c r="Y357" s="55">
        <f t="shared" ca="1" si="114"/>
        <v>17.992593776477491</v>
      </c>
      <c r="Z357" s="55">
        <f t="shared" ca="1" si="107"/>
        <v>46.780192865096978</v>
      </c>
      <c r="AA357">
        <f t="shared" ca="1" si="108"/>
        <v>25.122539686364263</v>
      </c>
      <c r="AB357">
        <f t="shared" ca="1" si="115"/>
        <v>49.712071884046722</v>
      </c>
      <c r="AC357">
        <f t="shared" ca="1" si="109"/>
        <v>0</v>
      </c>
      <c r="AD357">
        <f t="shared" ca="1" si="110"/>
        <v>0.99928420675083884</v>
      </c>
      <c r="AE357" s="83" t="e">
        <f ca="1"/>
        <v>#N/A</v>
      </c>
      <c r="AF357" s="55" t="e">
        <f t="shared" ca="1" si="119"/>
        <v>#N/A</v>
      </c>
      <c r="AG357" s="55" t="e">
        <f t="shared" ca="1" si="120"/>
        <v>#N/A</v>
      </c>
      <c r="AH357" s="55" t="e">
        <f t="shared" ca="1" si="121"/>
        <v>#N/A</v>
      </c>
      <c r="AI357" s="55" t="e">
        <f t="shared" ca="1" si="122"/>
        <v>#N/A</v>
      </c>
      <c r="AJ357" s="55" t="e">
        <f t="shared" ca="1" si="116"/>
        <v>#N/A</v>
      </c>
      <c r="AK357" s="55" t="e">
        <f t="shared" ca="1" si="117"/>
        <v>#N/A</v>
      </c>
      <c r="AL357" s="55" t="e">
        <f t="shared" ca="1" si="118"/>
        <v>#N/A</v>
      </c>
      <c r="AM357" s="55"/>
    </row>
    <row r="358" spans="18:39">
      <c r="R358" s="83">
        <f ca="1"/>
        <v>45351</v>
      </c>
      <c r="S358" s="55">
        <f t="shared" ca="1" si="111"/>
        <v>45351</v>
      </c>
      <c r="T358" s="55">
        <f t="shared" ca="1" si="104"/>
        <v>58.264180213390844</v>
      </c>
      <c r="U358" s="55">
        <f t="shared" ca="1" si="105"/>
        <v>300.90324948937013</v>
      </c>
      <c r="V358" s="55">
        <f t="shared" ca="1" si="106"/>
        <v>0</v>
      </c>
      <c r="W358" s="55">
        <f t="shared" ca="1" si="112"/>
        <v>-28.546036396422135</v>
      </c>
      <c r="X358" s="55">
        <f t="shared" ca="1" si="113"/>
        <v>44.648630450861219</v>
      </c>
      <c r="Y358" s="55">
        <f t="shared" ca="1" si="114"/>
        <v>17.993448439101797</v>
      </c>
      <c r="Z358" s="55">
        <f t="shared" ca="1" si="107"/>
        <v>47.356368678329432</v>
      </c>
      <c r="AA358">
        <f t="shared" ca="1" si="108"/>
        <v>23.443962126700853</v>
      </c>
      <c r="AB358">
        <f t="shared" ca="1" si="115"/>
        <v>49.712071884046722</v>
      </c>
      <c r="AC358">
        <f t="shared" ca="1" si="109"/>
        <v>0</v>
      </c>
      <c r="AD358">
        <f t="shared" ca="1" si="110"/>
        <v>0.99932182608534093</v>
      </c>
      <c r="AE358" s="83" t="e">
        <f ca="1"/>
        <v>#N/A</v>
      </c>
      <c r="AF358" s="55" t="e">
        <f t="shared" ca="1" si="119"/>
        <v>#N/A</v>
      </c>
      <c r="AG358" s="55" t="e">
        <f t="shared" ca="1" si="120"/>
        <v>#N/A</v>
      </c>
      <c r="AH358" s="55" t="e">
        <f t="shared" ca="1" si="121"/>
        <v>#N/A</v>
      </c>
      <c r="AI358" s="55" t="e">
        <f t="shared" ca="1" si="122"/>
        <v>#N/A</v>
      </c>
      <c r="AJ358" s="55" t="e">
        <f t="shared" ca="1" si="116"/>
        <v>#N/A</v>
      </c>
      <c r="AK358" s="55" t="e">
        <f t="shared" ca="1" si="117"/>
        <v>#N/A</v>
      </c>
      <c r="AL358" s="55" t="e">
        <f t="shared" ca="1" si="118"/>
        <v>#N/A</v>
      </c>
      <c r="AM358" s="55"/>
    </row>
    <row r="359" spans="18:39">
      <c r="R359" s="83">
        <f ca="1"/>
        <v>45352</v>
      </c>
      <c r="S359" s="55">
        <f t="shared" ca="1" si="111"/>
        <v>45352</v>
      </c>
      <c r="T359" s="55">
        <f t="shared" ca="1" si="104"/>
        <v>55.05853556944583</v>
      </c>
      <c r="U359" s="55">
        <f t="shared" ca="1" si="105"/>
        <v>304.22843335130869</v>
      </c>
      <c r="V359" s="55">
        <f t="shared" ca="1" si="106"/>
        <v>0</v>
      </c>
      <c r="W359" s="55">
        <f t="shared" ca="1" si="112"/>
        <v>-28.546036396422135</v>
      </c>
      <c r="X359" s="55">
        <f t="shared" ca="1" si="113"/>
        <v>44.767321199642893</v>
      </c>
      <c r="Y359" s="55">
        <f t="shared" ca="1" si="114"/>
        <v>17.994296908313679</v>
      </c>
      <c r="Z359" s="55">
        <f t="shared" ca="1" si="107"/>
        <v>46.552574067139972</v>
      </c>
      <c r="AA359">
        <f t="shared" ca="1" si="108"/>
        <v>23.968184934095188</v>
      </c>
      <c r="AB359">
        <f t="shared" ca="1" si="115"/>
        <v>49.712071884046722</v>
      </c>
      <c r="AC359">
        <f t="shared" ca="1" si="109"/>
        <v>0</v>
      </c>
      <c r="AD359">
        <f t="shared" ca="1" si="110"/>
        <v>0.99935685055374601</v>
      </c>
      <c r="AE359" s="83" t="e">
        <f ca="1"/>
        <v>#N/A</v>
      </c>
      <c r="AF359" s="55" t="e">
        <f t="shared" ca="1" si="119"/>
        <v>#N/A</v>
      </c>
      <c r="AG359" s="55" t="e">
        <f t="shared" ca="1" si="120"/>
        <v>#N/A</v>
      </c>
      <c r="AH359" s="55" t="e">
        <f t="shared" ca="1" si="121"/>
        <v>#N/A</v>
      </c>
      <c r="AI359" s="55" t="e">
        <f t="shared" ca="1" si="122"/>
        <v>#N/A</v>
      </c>
      <c r="AJ359" s="55" t="e">
        <f t="shared" ca="1" si="116"/>
        <v>#N/A</v>
      </c>
      <c r="AK359" s="55" t="e">
        <f t="shared" ca="1" si="117"/>
        <v>#N/A</v>
      </c>
      <c r="AL359" s="55" t="e">
        <f t="shared" ca="1" si="118"/>
        <v>#N/A</v>
      </c>
      <c r="AM359" s="55"/>
    </row>
    <row r="360" spans="18:39">
      <c r="R360" s="83">
        <f ca="1"/>
        <v>45353</v>
      </c>
      <c r="S360" s="55">
        <f t="shared" ca="1" si="111"/>
        <v>45353</v>
      </c>
      <c r="T360" s="55">
        <f t="shared" ca="1" si="104"/>
        <v>52.003703077641021</v>
      </c>
      <c r="U360" s="55">
        <f t="shared" ca="1" si="105"/>
        <v>307.39945756340694</v>
      </c>
      <c r="V360" s="55">
        <f t="shared" ca="1" si="106"/>
        <v>0</v>
      </c>
      <c r="W360" s="55">
        <f t="shared" ca="1" si="112"/>
        <v>-28.546036396422135</v>
      </c>
      <c r="X360" s="55">
        <f t="shared" ca="1" si="113"/>
        <v>44.882590704719128</v>
      </c>
      <c r="Y360" s="55">
        <f t="shared" ca="1" si="114"/>
        <v>17.99521912353088</v>
      </c>
      <c r="Z360" s="55">
        <f t="shared" ca="1" si="107"/>
        <v>44.39433896937544</v>
      </c>
      <c r="AA360">
        <f t="shared" ca="1" si="108"/>
        <v>27.709687640689189</v>
      </c>
      <c r="AB360">
        <f t="shared" ca="1" si="115"/>
        <v>49.712071884046722</v>
      </c>
      <c r="AC360">
        <f t="shared" ca="1" si="109"/>
        <v>0</v>
      </c>
      <c r="AD360">
        <f t="shared" ca="1" si="110"/>
        <v>0.99938854639817432</v>
      </c>
      <c r="AE360" s="83" t="e">
        <f ca="1"/>
        <v>#N/A</v>
      </c>
      <c r="AF360" s="55" t="e">
        <f t="shared" ca="1" si="119"/>
        <v>#N/A</v>
      </c>
      <c r="AG360" s="55" t="e">
        <f t="shared" ca="1" si="120"/>
        <v>#N/A</v>
      </c>
      <c r="AH360" s="55" t="e">
        <f t="shared" ca="1" si="121"/>
        <v>#N/A</v>
      </c>
      <c r="AI360" s="55" t="e">
        <f t="shared" ca="1" si="122"/>
        <v>#N/A</v>
      </c>
      <c r="AJ360" s="55" t="e">
        <f t="shared" ca="1" si="116"/>
        <v>#N/A</v>
      </c>
      <c r="AK360" s="55" t="e">
        <f t="shared" ca="1" si="117"/>
        <v>#N/A</v>
      </c>
      <c r="AL360" s="55" t="e">
        <f t="shared" ca="1" si="118"/>
        <v>#N/A</v>
      </c>
      <c r="AM360" s="55"/>
    </row>
    <row r="361" spans="18:39">
      <c r="R361" s="83">
        <f ca="1"/>
        <v>45354</v>
      </c>
      <c r="S361" s="55">
        <f t="shared" ca="1" si="111"/>
        <v>45354</v>
      </c>
      <c r="T361" s="55">
        <f t="shared" ca="1" si="104"/>
        <v>49.069902667343086</v>
      </c>
      <c r="U361" s="55">
        <f t="shared" ca="1" si="105"/>
        <v>310.44461709681531</v>
      </c>
      <c r="V361" s="55">
        <f t="shared" ca="1" si="106"/>
        <v>0</v>
      </c>
      <c r="W361" s="55">
        <f t="shared" ca="1" si="112"/>
        <v>-28.546036396422135</v>
      </c>
      <c r="X361" s="55">
        <f t="shared" ca="1" si="113"/>
        <v>44.993045777397576</v>
      </c>
      <c r="Y361" s="55">
        <f t="shared" ca="1" si="114"/>
        <v>17.996123173962861</v>
      </c>
      <c r="Z361" s="55">
        <f t="shared" ca="1" si="107"/>
        <v>42.632233467717128</v>
      </c>
      <c r="AA361">
        <f t="shared" ca="1" si="108"/>
        <v>28.624765430017934</v>
      </c>
      <c r="AB361">
        <f t="shared" ca="1" si="115"/>
        <v>49.712071884046722</v>
      </c>
      <c r="AC361">
        <f t="shared" ca="1" si="109"/>
        <v>0</v>
      </c>
      <c r="AD361">
        <f t="shared" ca="1" si="110"/>
        <v>0.99941750239729621</v>
      </c>
      <c r="AE361" s="83" t="e">
        <f ca="1"/>
        <v>#N/A</v>
      </c>
      <c r="AF361" s="55" t="e">
        <f t="shared" ca="1" si="119"/>
        <v>#N/A</v>
      </c>
      <c r="AG361" s="55" t="e">
        <f t="shared" ca="1" si="120"/>
        <v>#N/A</v>
      </c>
      <c r="AH361" s="55" t="e">
        <f t="shared" ca="1" si="121"/>
        <v>#N/A</v>
      </c>
      <c r="AI361" s="55" t="e">
        <f t="shared" ca="1" si="122"/>
        <v>#N/A</v>
      </c>
      <c r="AJ361" s="55" t="e">
        <f t="shared" ca="1" si="116"/>
        <v>#N/A</v>
      </c>
      <c r="AK361" s="55" t="e">
        <f t="shared" ca="1" si="117"/>
        <v>#N/A</v>
      </c>
      <c r="AL361" s="55" t="e">
        <f t="shared" ca="1" si="118"/>
        <v>#N/A</v>
      </c>
      <c r="AM361" s="55"/>
    </row>
    <row r="362" spans="18:39">
      <c r="R362" s="83">
        <f ca="1"/>
        <v>45355</v>
      </c>
      <c r="S362" s="55">
        <f t="shared" ca="1" si="111"/>
        <v>45355</v>
      </c>
      <c r="T362" s="55">
        <f t="shared" ca="1" si="104"/>
        <v>45.906573280061387</v>
      </c>
      <c r="U362" s="55">
        <f t="shared" ca="1" si="105"/>
        <v>313.73223356678761</v>
      </c>
      <c r="V362" s="55">
        <f t="shared" ca="1" si="106"/>
        <v>0</v>
      </c>
      <c r="W362" s="55">
        <f t="shared" ca="1" si="112"/>
        <v>-28.546036396422135</v>
      </c>
      <c r="X362" s="55">
        <f t="shared" ca="1" si="113"/>
        <v>45.116309790550787</v>
      </c>
      <c r="Y362" s="55">
        <f t="shared" ca="1" si="114"/>
        <v>17.997146243500254</v>
      </c>
      <c r="Z362" s="55">
        <f t="shared" ca="1" si="107"/>
        <v>46.026630579612288</v>
      </c>
      <c r="AA362">
        <f t="shared" ca="1" si="108"/>
        <v>30.21352029016488</v>
      </c>
      <c r="AB362">
        <f t="shared" ca="1" si="115"/>
        <v>49.712071884046722</v>
      </c>
      <c r="AC362">
        <f t="shared" ca="1" si="109"/>
        <v>0</v>
      </c>
      <c r="AD362">
        <f t="shared" ca="1" si="110"/>
        <v>0.9994472213630764</v>
      </c>
      <c r="AE362" s="83" t="e">
        <f ca="1"/>
        <v>#N/A</v>
      </c>
      <c r="AF362" s="55" t="e">
        <f t="shared" ca="1" si="119"/>
        <v>#N/A</v>
      </c>
      <c r="AG362" s="55" t="e">
        <f t="shared" ca="1" si="120"/>
        <v>#N/A</v>
      </c>
      <c r="AH362" s="55" t="e">
        <f t="shared" ca="1" si="121"/>
        <v>#N/A</v>
      </c>
      <c r="AI362" s="55" t="e">
        <f t="shared" ca="1" si="122"/>
        <v>#N/A</v>
      </c>
      <c r="AJ362" s="55" t="e">
        <f t="shared" ca="1" si="116"/>
        <v>#N/A</v>
      </c>
      <c r="AK362" s="55" t="e">
        <f t="shared" ca="1" si="117"/>
        <v>#N/A</v>
      </c>
      <c r="AL362" s="55" t="e">
        <f t="shared" ca="1" si="118"/>
        <v>#N/A</v>
      </c>
      <c r="AM362" s="55"/>
    </row>
    <row r="363" spans="18:39">
      <c r="R363" s="83" t="e">
        <f ca="1"/>
        <v>#N/A</v>
      </c>
      <c r="S363" s="55" t="e">
        <f t="shared" ca="1" si="111"/>
        <v>#N/A</v>
      </c>
      <c r="T363" s="55" t="e">
        <f t="shared" ca="1" si="104"/>
        <v>#N/A</v>
      </c>
      <c r="U363" s="55" t="e">
        <f t="shared" ca="1" si="105"/>
        <v>#N/A</v>
      </c>
      <c r="V363" s="55" t="e">
        <f t="shared" ca="1" si="106"/>
        <v>#N/A</v>
      </c>
      <c r="W363" s="55" t="e">
        <f t="shared" ca="1" si="112"/>
        <v>#N/A</v>
      </c>
      <c r="X363" s="55" t="e">
        <f t="shared" ca="1" si="113"/>
        <v>#N/A</v>
      </c>
      <c r="Y363" s="55" t="e">
        <f t="shared" ca="1" si="114"/>
        <v>#N/A</v>
      </c>
      <c r="Z363" s="55" t="e">
        <f t="shared" ca="1" si="107"/>
        <v>#N/A</v>
      </c>
      <c r="AA363" t="e">
        <f t="shared" ca="1" si="108"/>
        <v>#N/A</v>
      </c>
      <c r="AB363" t="e">
        <f t="shared" ca="1" si="115"/>
        <v>#N/A</v>
      </c>
      <c r="AC363" t="e">
        <f t="shared" ca="1" si="109"/>
        <v>#N/A</v>
      </c>
      <c r="AD363" t="e">
        <f t="shared" ca="1" si="110"/>
        <v>#N/A</v>
      </c>
      <c r="AE363" s="83" t="e">
        <f ca="1"/>
        <v>#N/A</v>
      </c>
      <c r="AF363" s="55" t="e">
        <f t="shared" ca="1" si="119"/>
        <v>#N/A</v>
      </c>
      <c r="AG363" s="55" t="e">
        <f t="shared" ca="1" si="120"/>
        <v>#N/A</v>
      </c>
      <c r="AH363" s="55" t="e">
        <f t="shared" ca="1" si="121"/>
        <v>#N/A</v>
      </c>
      <c r="AI363" s="55" t="e">
        <f t="shared" ca="1" si="122"/>
        <v>#N/A</v>
      </c>
      <c r="AJ363" s="55" t="e">
        <f t="shared" ca="1" si="116"/>
        <v>#N/A</v>
      </c>
      <c r="AK363" s="55" t="e">
        <f t="shared" ca="1" si="117"/>
        <v>#N/A</v>
      </c>
      <c r="AL363" s="55" t="e">
        <f t="shared" ca="1" si="118"/>
        <v>#N/A</v>
      </c>
      <c r="AM363" s="55"/>
    </row>
    <row r="364" spans="18:39">
      <c r="R364" s="83" t="e">
        <f ca="1"/>
        <v>#N/A</v>
      </c>
      <c r="S364" s="55" t="e">
        <f t="shared" ca="1" si="111"/>
        <v>#N/A</v>
      </c>
      <c r="T364" s="55" t="e">
        <f t="shared" ca="1" si="104"/>
        <v>#N/A</v>
      </c>
      <c r="U364" s="55" t="e">
        <f t="shared" ca="1" si="105"/>
        <v>#N/A</v>
      </c>
      <c r="V364" s="55" t="e">
        <f t="shared" ca="1" si="106"/>
        <v>#N/A</v>
      </c>
      <c r="W364" s="55" t="e">
        <f t="shared" ca="1" si="112"/>
        <v>#N/A</v>
      </c>
      <c r="X364" s="55" t="e">
        <f t="shared" ca="1" si="113"/>
        <v>#N/A</v>
      </c>
      <c r="Y364" s="55" t="e">
        <f t="shared" ca="1" si="114"/>
        <v>#N/A</v>
      </c>
      <c r="Z364" s="55" t="e">
        <f t="shared" ca="1" si="107"/>
        <v>#N/A</v>
      </c>
      <c r="AA364" t="e">
        <f t="shared" ca="1" si="108"/>
        <v>#N/A</v>
      </c>
      <c r="AB364" t="e">
        <f t="shared" ca="1" si="115"/>
        <v>#N/A</v>
      </c>
      <c r="AC364" t="e">
        <f t="shared" ca="1" si="109"/>
        <v>#N/A</v>
      </c>
      <c r="AD364" t="e">
        <f t="shared" ca="1" si="110"/>
        <v>#N/A</v>
      </c>
      <c r="AE364" s="83" t="e">
        <f ca="1"/>
        <v>#N/A</v>
      </c>
      <c r="AF364" s="55" t="e">
        <f t="shared" ca="1" si="119"/>
        <v>#N/A</v>
      </c>
      <c r="AG364" s="55" t="e">
        <f t="shared" ca="1" si="120"/>
        <v>#N/A</v>
      </c>
      <c r="AH364" s="55" t="e">
        <f t="shared" ca="1" si="121"/>
        <v>#N/A</v>
      </c>
      <c r="AI364" s="55" t="e">
        <f t="shared" ca="1" si="122"/>
        <v>#N/A</v>
      </c>
      <c r="AJ364" s="55" t="e">
        <f t="shared" ca="1" si="116"/>
        <v>#N/A</v>
      </c>
      <c r="AK364" s="55" t="e">
        <f t="shared" ca="1" si="117"/>
        <v>#N/A</v>
      </c>
      <c r="AL364" s="55" t="e">
        <f t="shared" ca="1" si="118"/>
        <v>#N/A</v>
      </c>
      <c r="AM364" s="55"/>
    </row>
    <row r="365" spans="18:39">
      <c r="R365" s="83" t="e">
        <f ca="1"/>
        <v>#N/A</v>
      </c>
      <c r="S365" s="55" t="e">
        <f t="shared" ca="1" si="111"/>
        <v>#N/A</v>
      </c>
      <c r="T365" s="55" t="e">
        <f t="shared" ca="1" si="104"/>
        <v>#N/A</v>
      </c>
      <c r="U365" s="55" t="e">
        <f t="shared" ca="1" si="105"/>
        <v>#N/A</v>
      </c>
      <c r="V365" s="55" t="e">
        <f t="shared" ca="1" si="106"/>
        <v>#N/A</v>
      </c>
      <c r="W365" s="55" t="e">
        <f t="shared" ca="1" si="112"/>
        <v>#N/A</v>
      </c>
      <c r="X365" s="55" t="e">
        <f t="shared" ca="1" si="113"/>
        <v>#N/A</v>
      </c>
      <c r="Y365" s="55" t="e">
        <f t="shared" ca="1" si="114"/>
        <v>#N/A</v>
      </c>
      <c r="Z365" s="55" t="e">
        <f t="shared" ca="1" si="107"/>
        <v>#N/A</v>
      </c>
      <c r="AA365" t="e">
        <f t="shared" ca="1" si="108"/>
        <v>#N/A</v>
      </c>
      <c r="AB365" t="e">
        <f t="shared" ca="1" si="115"/>
        <v>#N/A</v>
      </c>
      <c r="AC365" t="e">
        <f t="shared" ca="1" si="109"/>
        <v>#N/A</v>
      </c>
      <c r="AD365" t="e">
        <f t="shared" ca="1" si="110"/>
        <v>#N/A</v>
      </c>
      <c r="AE365" s="83" t="e">
        <f ca="1"/>
        <v>#N/A</v>
      </c>
      <c r="AF365" s="55" t="e">
        <f t="shared" ca="1" si="119"/>
        <v>#N/A</v>
      </c>
      <c r="AG365" s="55" t="e">
        <f t="shared" ca="1" si="120"/>
        <v>#N/A</v>
      </c>
      <c r="AH365" s="55" t="e">
        <f t="shared" ca="1" si="121"/>
        <v>#N/A</v>
      </c>
      <c r="AI365" s="55" t="e">
        <f t="shared" ca="1" si="122"/>
        <v>#N/A</v>
      </c>
      <c r="AJ365" s="55" t="e">
        <f t="shared" ca="1" si="116"/>
        <v>#N/A</v>
      </c>
      <c r="AK365" s="55" t="e">
        <f t="shared" ca="1" si="117"/>
        <v>#N/A</v>
      </c>
      <c r="AL365" s="55" t="e">
        <f t="shared" ca="1" si="118"/>
        <v>#N/A</v>
      </c>
      <c r="AM365" s="55"/>
    </row>
    <row r="366" spans="18:39">
      <c r="R366" s="83" t="e">
        <f ca="1"/>
        <v>#N/A</v>
      </c>
      <c r="S366" s="55" t="e">
        <f t="shared" ca="1" si="111"/>
        <v>#N/A</v>
      </c>
      <c r="T366" s="55" t="e">
        <f t="shared" ca="1" si="104"/>
        <v>#N/A</v>
      </c>
      <c r="U366" s="55" t="e">
        <f t="shared" ca="1" si="105"/>
        <v>#N/A</v>
      </c>
      <c r="V366" s="55" t="e">
        <f t="shared" ca="1" si="106"/>
        <v>#N/A</v>
      </c>
      <c r="W366" s="55" t="e">
        <f t="shared" ca="1" si="112"/>
        <v>#N/A</v>
      </c>
      <c r="X366" s="55" t="e">
        <f t="shared" ca="1" si="113"/>
        <v>#N/A</v>
      </c>
      <c r="Y366" s="55" t="e">
        <f t="shared" ca="1" si="114"/>
        <v>#N/A</v>
      </c>
      <c r="Z366" s="55" t="e">
        <f t="shared" ca="1" si="107"/>
        <v>#N/A</v>
      </c>
      <c r="AA366" t="e">
        <f t="shared" ca="1" si="108"/>
        <v>#N/A</v>
      </c>
      <c r="AB366" t="e">
        <f t="shared" ca="1" si="115"/>
        <v>#N/A</v>
      </c>
      <c r="AC366" t="e">
        <f t="shared" ca="1" si="109"/>
        <v>#N/A</v>
      </c>
      <c r="AD366" t="e">
        <f t="shared" ca="1" si="110"/>
        <v>#N/A</v>
      </c>
      <c r="AE366" s="83" t="e">
        <f ca="1"/>
        <v>#N/A</v>
      </c>
      <c r="AF366" s="55" t="e">
        <f t="shared" ca="1" si="119"/>
        <v>#N/A</v>
      </c>
      <c r="AG366" s="55" t="e">
        <f t="shared" ca="1" si="120"/>
        <v>#N/A</v>
      </c>
      <c r="AH366" s="55" t="e">
        <f t="shared" ca="1" si="121"/>
        <v>#N/A</v>
      </c>
      <c r="AI366" s="55" t="e">
        <f t="shared" ca="1" si="122"/>
        <v>#N/A</v>
      </c>
      <c r="AJ366" s="55" t="e">
        <f t="shared" ca="1" si="116"/>
        <v>#N/A</v>
      </c>
      <c r="AK366" s="55" t="e">
        <f t="shared" ca="1" si="117"/>
        <v>#N/A</v>
      </c>
      <c r="AL366" s="55" t="e">
        <f t="shared" ca="1" si="118"/>
        <v>#N/A</v>
      </c>
      <c r="AM366" s="55"/>
    </row>
    <row r="367" spans="18:39">
      <c r="R367" s="83" t="e">
        <f ca="1"/>
        <v>#N/A</v>
      </c>
      <c r="S367" s="55" t="e">
        <f t="shared" ca="1" si="111"/>
        <v>#N/A</v>
      </c>
      <c r="T367" s="55" t="e">
        <f t="shared" ca="1" si="104"/>
        <v>#N/A</v>
      </c>
      <c r="U367" s="55" t="e">
        <f t="shared" ca="1" si="105"/>
        <v>#N/A</v>
      </c>
      <c r="V367" s="55" t="e">
        <f t="shared" ca="1" si="106"/>
        <v>#N/A</v>
      </c>
      <c r="W367" s="55" t="e">
        <f t="shared" ca="1" si="112"/>
        <v>#N/A</v>
      </c>
      <c r="X367" s="55" t="e">
        <f t="shared" ca="1" si="113"/>
        <v>#N/A</v>
      </c>
      <c r="Y367" s="55" t="e">
        <f t="shared" ca="1" si="114"/>
        <v>#N/A</v>
      </c>
      <c r="Z367" s="55" t="e">
        <f t="shared" ca="1" si="107"/>
        <v>#N/A</v>
      </c>
      <c r="AA367" t="e">
        <f t="shared" ca="1" si="108"/>
        <v>#N/A</v>
      </c>
      <c r="AB367" t="e">
        <f t="shared" ca="1" si="115"/>
        <v>#N/A</v>
      </c>
      <c r="AC367" t="e">
        <f t="shared" ca="1" si="109"/>
        <v>#N/A</v>
      </c>
      <c r="AD367" t="e">
        <f t="shared" ca="1" si="110"/>
        <v>#N/A</v>
      </c>
      <c r="AE367" s="83" t="e">
        <f ca="1"/>
        <v>#N/A</v>
      </c>
      <c r="AF367" s="55" t="e">
        <f t="shared" ca="1" si="119"/>
        <v>#N/A</v>
      </c>
      <c r="AG367" s="55" t="e">
        <f t="shared" ca="1" si="120"/>
        <v>#N/A</v>
      </c>
      <c r="AH367" s="55" t="e">
        <f t="shared" ca="1" si="121"/>
        <v>#N/A</v>
      </c>
      <c r="AI367" s="55" t="e">
        <f t="shared" ca="1" si="122"/>
        <v>#N/A</v>
      </c>
      <c r="AJ367" s="55" t="e">
        <f t="shared" ca="1" si="116"/>
        <v>#N/A</v>
      </c>
      <c r="AK367" s="55" t="e">
        <f t="shared" ca="1" si="117"/>
        <v>#N/A</v>
      </c>
      <c r="AL367" s="55" t="e">
        <f t="shared" ca="1" si="118"/>
        <v>#N/A</v>
      </c>
      <c r="AM367" s="55"/>
    </row>
    <row r="368" spans="18:39">
      <c r="R368" s="83" t="e">
        <f ca="1"/>
        <v>#N/A</v>
      </c>
      <c r="S368" s="55" t="e">
        <f t="shared" ca="1" si="111"/>
        <v>#N/A</v>
      </c>
      <c r="T368" s="55" t="e">
        <f t="shared" ca="1" si="104"/>
        <v>#N/A</v>
      </c>
      <c r="U368" s="55" t="e">
        <f t="shared" ca="1" si="105"/>
        <v>#N/A</v>
      </c>
      <c r="V368" s="55" t="e">
        <f t="shared" ca="1" si="106"/>
        <v>#N/A</v>
      </c>
      <c r="W368" s="55" t="e">
        <f t="shared" ca="1" si="112"/>
        <v>#N/A</v>
      </c>
      <c r="X368" s="55" t="e">
        <f t="shared" ca="1" si="113"/>
        <v>#N/A</v>
      </c>
      <c r="Y368" s="55" t="e">
        <f t="shared" ca="1" si="114"/>
        <v>#N/A</v>
      </c>
      <c r="Z368" s="55" t="e">
        <f t="shared" ca="1" si="107"/>
        <v>#N/A</v>
      </c>
      <c r="AA368" t="e">
        <f t="shared" ca="1" si="108"/>
        <v>#N/A</v>
      </c>
      <c r="AB368" t="e">
        <f t="shared" ca="1" si="115"/>
        <v>#N/A</v>
      </c>
      <c r="AC368" t="e">
        <f t="shared" ca="1" si="109"/>
        <v>#N/A</v>
      </c>
      <c r="AD368" t="e">
        <f t="shared" ca="1" si="110"/>
        <v>#N/A</v>
      </c>
      <c r="AE368" s="83" t="e">
        <f ca="1"/>
        <v>#N/A</v>
      </c>
      <c r="AF368" s="55" t="e">
        <f t="shared" ca="1" si="119"/>
        <v>#N/A</v>
      </c>
      <c r="AG368" s="55" t="e">
        <f t="shared" ca="1" si="120"/>
        <v>#N/A</v>
      </c>
      <c r="AH368" s="55" t="e">
        <f t="shared" ca="1" si="121"/>
        <v>#N/A</v>
      </c>
      <c r="AI368" s="55" t="e">
        <f t="shared" ca="1" si="122"/>
        <v>#N/A</v>
      </c>
      <c r="AJ368" s="55" t="e">
        <f t="shared" ca="1" si="116"/>
        <v>#N/A</v>
      </c>
      <c r="AK368" s="55" t="e">
        <f t="shared" ca="1" si="117"/>
        <v>#N/A</v>
      </c>
      <c r="AL368" s="55" t="e">
        <f t="shared" ca="1" si="118"/>
        <v>#N/A</v>
      </c>
      <c r="AM368" s="55"/>
    </row>
    <row r="369" spans="18:39">
      <c r="R369" s="83" t="e">
        <f ca="1"/>
        <v>#N/A</v>
      </c>
      <c r="S369" s="55" t="e">
        <f t="shared" ca="1" si="111"/>
        <v>#N/A</v>
      </c>
      <c r="T369" s="55" t="e">
        <f t="shared" ca="1" si="104"/>
        <v>#N/A</v>
      </c>
      <c r="U369" s="55" t="e">
        <f t="shared" ca="1" si="105"/>
        <v>#N/A</v>
      </c>
      <c r="V369" s="55" t="e">
        <f t="shared" ca="1" si="106"/>
        <v>#N/A</v>
      </c>
      <c r="W369" s="55" t="e">
        <f t="shared" ca="1" si="112"/>
        <v>#N/A</v>
      </c>
      <c r="X369" s="55" t="e">
        <f t="shared" ca="1" si="113"/>
        <v>#N/A</v>
      </c>
      <c r="Y369" s="55" t="e">
        <f t="shared" ca="1" si="114"/>
        <v>#N/A</v>
      </c>
      <c r="Z369" s="55" t="e">
        <f t="shared" ca="1" si="107"/>
        <v>#N/A</v>
      </c>
      <c r="AA369" t="e">
        <f t="shared" ca="1" si="108"/>
        <v>#N/A</v>
      </c>
      <c r="AB369" t="e">
        <f t="shared" ca="1" si="115"/>
        <v>#N/A</v>
      </c>
      <c r="AC369" t="e">
        <f t="shared" ca="1" si="109"/>
        <v>#N/A</v>
      </c>
      <c r="AD369" t="e">
        <f t="shared" ca="1" si="110"/>
        <v>#N/A</v>
      </c>
      <c r="AE369" s="83" t="e">
        <f ca="1"/>
        <v>#N/A</v>
      </c>
      <c r="AF369" s="55" t="e">
        <f t="shared" ca="1" si="119"/>
        <v>#N/A</v>
      </c>
      <c r="AG369" s="55" t="e">
        <f t="shared" ca="1" si="120"/>
        <v>#N/A</v>
      </c>
      <c r="AH369" s="55" t="e">
        <f t="shared" ca="1" si="121"/>
        <v>#N/A</v>
      </c>
      <c r="AI369" s="55" t="e">
        <f t="shared" ca="1" si="122"/>
        <v>#N/A</v>
      </c>
      <c r="AJ369" s="55" t="e">
        <f t="shared" ca="1" si="116"/>
        <v>#N/A</v>
      </c>
      <c r="AK369" s="55" t="e">
        <f t="shared" ca="1" si="117"/>
        <v>#N/A</v>
      </c>
      <c r="AL369" s="55" t="e">
        <f t="shared" ca="1" si="118"/>
        <v>#N/A</v>
      </c>
      <c r="AM369" s="55"/>
    </row>
    <row r="370" spans="18:39">
      <c r="R370" s="83" t="e">
        <f ca="1"/>
        <v>#N/A</v>
      </c>
      <c r="S370" s="55" t="e">
        <f t="shared" ca="1" si="111"/>
        <v>#N/A</v>
      </c>
      <c r="T370" s="55" t="e">
        <f t="shared" ca="1" si="104"/>
        <v>#N/A</v>
      </c>
      <c r="U370" s="55" t="e">
        <f t="shared" ca="1" si="105"/>
        <v>#N/A</v>
      </c>
      <c r="V370" s="55" t="e">
        <f t="shared" ca="1" si="106"/>
        <v>#N/A</v>
      </c>
      <c r="W370" s="55" t="e">
        <f t="shared" ca="1" si="112"/>
        <v>#N/A</v>
      </c>
      <c r="X370" s="55" t="e">
        <f t="shared" ca="1" si="113"/>
        <v>#N/A</v>
      </c>
      <c r="Y370" s="55" t="e">
        <f t="shared" ca="1" si="114"/>
        <v>#N/A</v>
      </c>
      <c r="Z370" s="55" t="e">
        <f t="shared" ca="1" si="107"/>
        <v>#N/A</v>
      </c>
      <c r="AA370" t="e">
        <f t="shared" ca="1" si="108"/>
        <v>#N/A</v>
      </c>
      <c r="AB370" t="e">
        <f t="shared" ca="1" si="115"/>
        <v>#N/A</v>
      </c>
      <c r="AC370" t="e">
        <f t="shared" ca="1" si="109"/>
        <v>#N/A</v>
      </c>
      <c r="AD370" t="e">
        <f t="shared" ca="1" si="110"/>
        <v>#N/A</v>
      </c>
      <c r="AE370" s="83" t="e">
        <f ca="1"/>
        <v>#N/A</v>
      </c>
      <c r="AF370" s="55" t="e">
        <f t="shared" ca="1" si="119"/>
        <v>#N/A</v>
      </c>
      <c r="AG370" s="55" t="e">
        <f t="shared" ca="1" si="120"/>
        <v>#N/A</v>
      </c>
      <c r="AH370" s="55" t="e">
        <f t="shared" ca="1" si="121"/>
        <v>#N/A</v>
      </c>
      <c r="AI370" s="55" t="e">
        <f t="shared" ca="1" si="122"/>
        <v>#N/A</v>
      </c>
      <c r="AJ370" s="55" t="e">
        <f t="shared" ca="1" si="116"/>
        <v>#N/A</v>
      </c>
      <c r="AK370" s="55" t="e">
        <f t="shared" ca="1" si="117"/>
        <v>#N/A</v>
      </c>
      <c r="AL370" s="55" t="e">
        <f t="shared" ca="1" si="118"/>
        <v>#N/A</v>
      </c>
      <c r="AM370" s="55"/>
    </row>
    <row r="371" spans="18:39">
      <c r="R371" s="83" t="e">
        <f ca="1"/>
        <v>#N/A</v>
      </c>
      <c r="S371" s="55" t="e">
        <f t="shared" ca="1" si="111"/>
        <v>#N/A</v>
      </c>
      <c r="T371" s="55" t="e">
        <f t="shared" ca="1" si="104"/>
        <v>#N/A</v>
      </c>
      <c r="U371" s="55" t="e">
        <f t="shared" ca="1" si="105"/>
        <v>#N/A</v>
      </c>
      <c r="V371" s="55" t="e">
        <f t="shared" ca="1" si="106"/>
        <v>#N/A</v>
      </c>
      <c r="W371" s="55" t="e">
        <f t="shared" ca="1" si="112"/>
        <v>#N/A</v>
      </c>
      <c r="X371" s="55" t="e">
        <f t="shared" ca="1" si="113"/>
        <v>#N/A</v>
      </c>
      <c r="Y371" s="55" t="e">
        <f t="shared" ca="1" si="114"/>
        <v>#N/A</v>
      </c>
      <c r="Z371" s="55" t="e">
        <f t="shared" ca="1" si="107"/>
        <v>#N/A</v>
      </c>
      <c r="AA371" t="e">
        <f t="shared" ca="1" si="108"/>
        <v>#N/A</v>
      </c>
      <c r="AB371" t="e">
        <f t="shared" ca="1" si="115"/>
        <v>#N/A</v>
      </c>
      <c r="AC371" t="e">
        <f t="shared" ca="1" si="109"/>
        <v>#N/A</v>
      </c>
      <c r="AD371" t="e">
        <f t="shared" ca="1" si="110"/>
        <v>#N/A</v>
      </c>
      <c r="AE371" s="83" t="e">
        <f ca="1"/>
        <v>#N/A</v>
      </c>
      <c r="AF371" s="55" t="e">
        <f t="shared" ca="1" si="119"/>
        <v>#N/A</v>
      </c>
      <c r="AG371" s="55" t="e">
        <f t="shared" ca="1" si="120"/>
        <v>#N/A</v>
      </c>
      <c r="AH371" s="55" t="e">
        <f t="shared" ca="1" si="121"/>
        <v>#N/A</v>
      </c>
      <c r="AI371" s="55" t="e">
        <f t="shared" ca="1" si="122"/>
        <v>#N/A</v>
      </c>
      <c r="AJ371" s="55" t="e">
        <f t="shared" ca="1" si="116"/>
        <v>#N/A</v>
      </c>
      <c r="AK371" s="55" t="e">
        <f t="shared" ca="1" si="117"/>
        <v>#N/A</v>
      </c>
      <c r="AL371" s="55" t="e">
        <f t="shared" ca="1" si="118"/>
        <v>#N/A</v>
      </c>
      <c r="AM371" s="55"/>
    </row>
    <row r="372" spans="18:39">
      <c r="R372" s="83" t="e">
        <f ca="1"/>
        <v>#N/A</v>
      </c>
      <c r="S372" s="55" t="e">
        <f t="shared" ca="1" si="111"/>
        <v>#N/A</v>
      </c>
      <c r="T372" s="55" t="e">
        <f t="shared" ca="1" si="104"/>
        <v>#N/A</v>
      </c>
      <c r="U372" s="55" t="e">
        <f t="shared" ca="1" si="105"/>
        <v>#N/A</v>
      </c>
      <c r="V372" s="55" t="e">
        <f t="shared" ca="1" si="106"/>
        <v>#N/A</v>
      </c>
      <c r="W372" s="55" t="e">
        <f t="shared" ca="1" si="112"/>
        <v>#N/A</v>
      </c>
      <c r="X372" s="55" t="e">
        <f t="shared" ca="1" si="113"/>
        <v>#N/A</v>
      </c>
      <c r="Y372" s="55" t="e">
        <f t="shared" ca="1" si="114"/>
        <v>#N/A</v>
      </c>
      <c r="Z372" s="55" t="e">
        <f t="shared" ca="1" si="107"/>
        <v>#N/A</v>
      </c>
      <c r="AA372" t="e">
        <f t="shared" ca="1" si="108"/>
        <v>#N/A</v>
      </c>
      <c r="AB372" t="e">
        <f t="shared" ca="1" si="115"/>
        <v>#N/A</v>
      </c>
      <c r="AC372" t="e">
        <f t="shared" ca="1" si="109"/>
        <v>#N/A</v>
      </c>
      <c r="AD372" t="e">
        <f t="shared" ca="1" si="110"/>
        <v>#N/A</v>
      </c>
      <c r="AE372" s="83" t="e">
        <f ca="1"/>
        <v>#N/A</v>
      </c>
      <c r="AF372" s="55" t="e">
        <f t="shared" ca="1" si="119"/>
        <v>#N/A</v>
      </c>
      <c r="AG372" s="55" t="e">
        <f t="shared" ca="1" si="120"/>
        <v>#N/A</v>
      </c>
      <c r="AH372" s="55" t="e">
        <f t="shared" ca="1" si="121"/>
        <v>#N/A</v>
      </c>
      <c r="AI372" s="55" t="e">
        <f t="shared" ca="1" si="122"/>
        <v>#N/A</v>
      </c>
      <c r="AJ372" s="55" t="e">
        <f t="shared" ca="1" si="116"/>
        <v>#N/A</v>
      </c>
      <c r="AK372" s="55" t="e">
        <f t="shared" ca="1" si="117"/>
        <v>#N/A</v>
      </c>
      <c r="AL372" s="55" t="e">
        <f t="shared" ca="1" si="118"/>
        <v>#N/A</v>
      </c>
      <c r="AM372" s="55"/>
    </row>
    <row r="373" spans="18:39">
      <c r="R373" s="83" t="e">
        <f ca="1"/>
        <v>#N/A</v>
      </c>
      <c r="S373" s="55" t="e">
        <f t="shared" ca="1" si="111"/>
        <v>#N/A</v>
      </c>
      <c r="T373" s="55" t="e">
        <f t="shared" ca="1" si="104"/>
        <v>#N/A</v>
      </c>
      <c r="U373" s="55" t="e">
        <f t="shared" ca="1" si="105"/>
        <v>#N/A</v>
      </c>
      <c r="V373" s="55" t="e">
        <f t="shared" ca="1" si="106"/>
        <v>#N/A</v>
      </c>
      <c r="W373" s="55" t="e">
        <f t="shared" ca="1" si="112"/>
        <v>#N/A</v>
      </c>
      <c r="X373" s="55" t="e">
        <f t="shared" ca="1" si="113"/>
        <v>#N/A</v>
      </c>
      <c r="Y373" s="55" t="e">
        <f t="shared" ca="1" si="114"/>
        <v>#N/A</v>
      </c>
      <c r="Z373" s="55" t="e">
        <f t="shared" ca="1" si="107"/>
        <v>#N/A</v>
      </c>
      <c r="AA373" t="e">
        <f t="shared" ca="1" si="108"/>
        <v>#N/A</v>
      </c>
      <c r="AB373" t="e">
        <f t="shared" ca="1" si="115"/>
        <v>#N/A</v>
      </c>
      <c r="AC373" t="e">
        <f t="shared" ca="1" si="109"/>
        <v>#N/A</v>
      </c>
      <c r="AD373" t="e">
        <f t="shared" ca="1" si="110"/>
        <v>#N/A</v>
      </c>
      <c r="AE373" s="83" t="e">
        <f ca="1"/>
        <v>#N/A</v>
      </c>
      <c r="AF373" s="55" t="e">
        <f t="shared" ca="1" si="119"/>
        <v>#N/A</v>
      </c>
      <c r="AG373" s="55" t="e">
        <f t="shared" ca="1" si="120"/>
        <v>#N/A</v>
      </c>
      <c r="AH373" s="55" t="e">
        <f t="shared" ca="1" si="121"/>
        <v>#N/A</v>
      </c>
      <c r="AI373" s="55" t="e">
        <f t="shared" ca="1" si="122"/>
        <v>#N/A</v>
      </c>
      <c r="AJ373" s="55" t="e">
        <f t="shared" ca="1" si="116"/>
        <v>#N/A</v>
      </c>
      <c r="AK373" s="55" t="e">
        <f t="shared" ca="1" si="117"/>
        <v>#N/A</v>
      </c>
      <c r="AL373" s="55" t="e">
        <f t="shared" ca="1" si="118"/>
        <v>#N/A</v>
      </c>
      <c r="AM373" s="55"/>
    </row>
    <row r="374" spans="18:39">
      <c r="R374" s="83" t="e">
        <f ca="1"/>
        <v>#N/A</v>
      </c>
      <c r="S374" s="55" t="e">
        <f t="shared" ca="1" si="111"/>
        <v>#N/A</v>
      </c>
      <c r="T374" s="55" t="e">
        <f t="shared" ca="1" si="104"/>
        <v>#N/A</v>
      </c>
      <c r="U374" s="55" t="e">
        <f t="shared" ca="1" si="105"/>
        <v>#N/A</v>
      </c>
      <c r="V374" s="55" t="e">
        <f t="shared" ca="1" si="106"/>
        <v>#N/A</v>
      </c>
      <c r="W374" s="55" t="e">
        <f t="shared" ca="1" si="112"/>
        <v>#N/A</v>
      </c>
      <c r="X374" s="55" t="e">
        <f t="shared" ca="1" si="113"/>
        <v>#N/A</v>
      </c>
      <c r="Y374" s="55" t="e">
        <f t="shared" ca="1" si="114"/>
        <v>#N/A</v>
      </c>
      <c r="Z374" s="55" t="e">
        <f t="shared" ca="1" si="107"/>
        <v>#N/A</v>
      </c>
      <c r="AA374" t="e">
        <f t="shared" ca="1" si="108"/>
        <v>#N/A</v>
      </c>
      <c r="AB374" t="e">
        <f t="shared" ca="1" si="115"/>
        <v>#N/A</v>
      </c>
      <c r="AC374" t="e">
        <f t="shared" ca="1" si="109"/>
        <v>#N/A</v>
      </c>
      <c r="AD374" t="e">
        <f t="shared" ca="1" si="110"/>
        <v>#N/A</v>
      </c>
      <c r="AE374" s="83" t="e">
        <f ca="1"/>
        <v>#N/A</v>
      </c>
      <c r="AF374" s="55" t="e">
        <f t="shared" ca="1" si="119"/>
        <v>#N/A</v>
      </c>
      <c r="AG374" s="55" t="e">
        <f t="shared" ca="1" si="120"/>
        <v>#N/A</v>
      </c>
      <c r="AH374" s="55" t="e">
        <f t="shared" ca="1" si="121"/>
        <v>#N/A</v>
      </c>
      <c r="AI374" s="55" t="e">
        <f t="shared" ca="1" si="122"/>
        <v>#N/A</v>
      </c>
      <c r="AJ374" s="55" t="e">
        <f t="shared" ca="1" si="116"/>
        <v>#N/A</v>
      </c>
      <c r="AK374" s="55" t="e">
        <f t="shared" ca="1" si="117"/>
        <v>#N/A</v>
      </c>
      <c r="AL374" s="55" t="e">
        <f t="shared" ca="1" si="118"/>
        <v>#N/A</v>
      </c>
      <c r="AM374" s="55"/>
    </row>
    <row r="375" spans="18:39">
      <c r="R375" s="83" t="e">
        <f ca="1"/>
        <v>#N/A</v>
      </c>
      <c r="S375" s="55" t="e">
        <f t="shared" ca="1" si="111"/>
        <v>#N/A</v>
      </c>
      <c r="T375" s="55" t="e">
        <f t="shared" ca="1" si="104"/>
        <v>#N/A</v>
      </c>
      <c r="U375" s="55" t="e">
        <f t="shared" ca="1" si="105"/>
        <v>#N/A</v>
      </c>
      <c r="V375" s="55" t="e">
        <f t="shared" ca="1" si="106"/>
        <v>#N/A</v>
      </c>
      <c r="W375" s="55" t="e">
        <f t="shared" ca="1" si="112"/>
        <v>#N/A</v>
      </c>
      <c r="X375" s="55" t="e">
        <f t="shared" ca="1" si="113"/>
        <v>#N/A</v>
      </c>
      <c r="Y375" s="55" t="e">
        <f t="shared" ca="1" si="114"/>
        <v>#N/A</v>
      </c>
      <c r="Z375" s="55" t="e">
        <f t="shared" ca="1" si="107"/>
        <v>#N/A</v>
      </c>
      <c r="AA375" t="e">
        <f t="shared" ca="1" si="108"/>
        <v>#N/A</v>
      </c>
      <c r="AB375" t="e">
        <f t="shared" ca="1" si="115"/>
        <v>#N/A</v>
      </c>
      <c r="AC375" t="e">
        <f t="shared" ca="1" si="109"/>
        <v>#N/A</v>
      </c>
      <c r="AD375" t="e">
        <f t="shared" ca="1" si="110"/>
        <v>#N/A</v>
      </c>
      <c r="AE375" s="83" t="e">
        <f ca="1"/>
        <v>#N/A</v>
      </c>
      <c r="AF375" s="55" t="e">
        <f t="shared" ca="1" si="119"/>
        <v>#N/A</v>
      </c>
      <c r="AG375" s="55" t="e">
        <f t="shared" ca="1" si="120"/>
        <v>#N/A</v>
      </c>
      <c r="AH375" s="55" t="e">
        <f t="shared" ca="1" si="121"/>
        <v>#N/A</v>
      </c>
      <c r="AI375" s="55" t="e">
        <f t="shared" ca="1" si="122"/>
        <v>#N/A</v>
      </c>
      <c r="AJ375" s="55" t="e">
        <f t="shared" ca="1" si="116"/>
        <v>#N/A</v>
      </c>
      <c r="AK375" s="55" t="e">
        <f t="shared" ca="1" si="117"/>
        <v>#N/A</v>
      </c>
      <c r="AL375" s="55" t="e">
        <f t="shared" ca="1" si="118"/>
        <v>#N/A</v>
      </c>
      <c r="AM375" s="55"/>
    </row>
    <row r="376" spans="18:39">
      <c r="R376" s="83" t="e">
        <f ca="1"/>
        <v>#N/A</v>
      </c>
      <c r="S376" s="55" t="e">
        <f t="shared" ca="1" si="111"/>
        <v>#N/A</v>
      </c>
      <c r="T376" s="55" t="e">
        <f t="shared" ca="1" si="104"/>
        <v>#N/A</v>
      </c>
      <c r="U376" s="55" t="e">
        <f t="shared" ca="1" si="105"/>
        <v>#N/A</v>
      </c>
      <c r="V376" s="55" t="e">
        <f t="shared" ca="1" si="106"/>
        <v>#N/A</v>
      </c>
      <c r="W376" s="55" t="e">
        <f t="shared" ca="1" si="112"/>
        <v>#N/A</v>
      </c>
      <c r="X376" s="55" t="e">
        <f t="shared" ca="1" si="113"/>
        <v>#N/A</v>
      </c>
      <c r="Y376" s="55" t="e">
        <f t="shared" ca="1" si="114"/>
        <v>#N/A</v>
      </c>
      <c r="Z376" s="55" t="e">
        <f t="shared" ca="1" si="107"/>
        <v>#N/A</v>
      </c>
      <c r="AA376" t="e">
        <f t="shared" ca="1" si="108"/>
        <v>#N/A</v>
      </c>
      <c r="AB376" t="e">
        <f t="shared" ca="1" si="115"/>
        <v>#N/A</v>
      </c>
      <c r="AC376" t="e">
        <f t="shared" ca="1" si="109"/>
        <v>#N/A</v>
      </c>
      <c r="AD376" t="e">
        <f t="shared" ca="1" si="110"/>
        <v>#N/A</v>
      </c>
      <c r="AE376" s="83" t="e">
        <f ca="1"/>
        <v>#N/A</v>
      </c>
      <c r="AF376" s="55" t="e">
        <f t="shared" ca="1" si="119"/>
        <v>#N/A</v>
      </c>
      <c r="AG376" s="55" t="e">
        <f t="shared" ca="1" si="120"/>
        <v>#N/A</v>
      </c>
      <c r="AH376" s="55" t="e">
        <f t="shared" ca="1" si="121"/>
        <v>#N/A</v>
      </c>
      <c r="AI376" s="55" t="e">
        <f t="shared" ca="1" si="122"/>
        <v>#N/A</v>
      </c>
      <c r="AJ376" s="55" t="e">
        <f t="shared" ca="1" si="116"/>
        <v>#N/A</v>
      </c>
      <c r="AK376" s="55" t="e">
        <f t="shared" ca="1" si="117"/>
        <v>#N/A</v>
      </c>
      <c r="AL376" s="55" t="e">
        <f t="shared" ca="1" si="118"/>
        <v>#N/A</v>
      </c>
      <c r="AM376" s="55"/>
    </row>
    <row r="377" spans="18:39">
      <c r="R377" s="83" t="e">
        <f ca="1"/>
        <v>#N/A</v>
      </c>
      <c r="S377" s="55" t="e">
        <f t="shared" ca="1" si="111"/>
        <v>#N/A</v>
      </c>
      <c r="T377" s="55" t="e">
        <f t="shared" ca="1" si="104"/>
        <v>#N/A</v>
      </c>
      <c r="U377" s="55" t="e">
        <f t="shared" ca="1" si="105"/>
        <v>#N/A</v>
      </c>
      <c r="V377" s="55" t="e">
        <f t="shared" ca="1" si="106"/>
        <v>#N/A</v>
      </c>
      <c r="W377" s="55" t="e">
        <f t="shared" ca="1" si="112"/>
        <v>#N/A</v>
      </c>
      <c r="X377" s="55" t="e">
        <f t="shared" ca="1" si="113"/>
        <v>#N/A</v>
      </c>
      <c r="Y377" s="55" t="e">
        <f t="shared" ca="1" si="114"/>
        <v>#N/A</v>
      </c>
      <c r="Z377" s="55" t="e">
        <f t="shared" ca="1" si="107"/>
        <v>#N/A</v>
      </c>
      <c r="AA377" t="e">
        <f t="shared" ca="1" si="108"/>
        <v>#N/A</v>
      </c>
      <c r="AB377" t="e">
        <f t="shared" ca="1" si="115"/>
        <v>#N/A</v>
      </c>
      <c r="AC377" t="e">
        <f t="shared" ca="1" si="109"/>
        <v>#N/A</v>
      </c>
      <c r="AD377" t="e">
        <f t="shared" ca="1" si="110"/>
        <v>#N/A</v>
      </c>
      <c r="AE377" s="83" t="e">
        <f ca="1"/>
        <v>#N/A</v>
      </c>
      <c r="AF377" s="55" t="e">
        <f t="shared" ca="1" si="119"/>
        <v>#N/A</v>
      </c>
      <c r="AG377" s="55" t="e">
        <f t="shared" ca="1" si="120"/>
        <v>#N/A</v>
      </c>
      <c r="AH377" s="55" t="e">
        <f t="shared" ca="1" si="121"/>
        <v>#N/A</v>
      </c>
      <c r="AI377" s="55" t="e">
        <f t="shared" ca="1" si="122"/>
        <v>#N/A</v>
      </c>
      <c r="AJ377" s="55" t="e">
        <f t="shared" ca="1" si="116"/>
        <v>#N/A</v>
      </c>
      <c r="AK377" s="55" t="e">
        <f t="shared" ca="1" si="117"/>
        <v>#N/A</v>
      </c>
      <c r="AL377" s="55" t="e">
        <f t="shared" ca="1" si="118"/>
        <v>#N/A</v>
      </c>
      <c r="AM377" s="55"/>
    </row>
    <row r="378" spans="18:39">
      <c r="R378" s="83" t="e">
        <f ca="1"/>
        <v>#N/A</v>
      </c>
      <c r="S378" s="55" t="e">
        <f t="shared" ca="1" si="111"/>
        <v>#N/A</v>
      </c>
      <c r="T378" s="55" t="e">
        <f t="shared" ca="1" si="104"/>
        <v>#N/A</v>
      </c>
      <c r="U378" s="55" t="e">
        <f t="shared" ca="1" si="105"/>
        <v>#N/A</v>
      </c>
      <c r="V378" s="55" t="e">
        <f t="shared" ca="1" si="106"/>
        <v>#N/A</v>
      </c>
      <c r="W378" s="55" t="e">
        <f t="shared" ca="1" si="112"/>
        <v>#N/A</v>
      </c>
      <c r="X378" s="55" t="e">
        <f t="shared" ca="1" si="113"/>
        <v>#N/A</v>
      </c>
      <c r="Y378" s="55" t="e">
        <f t="shared" ca="1" si="114"/>
        <v>#N/A</v>
      </c>
      <c r="Z378" s="55" t="e">
        <f t="shared" ca="1" si="107"/>
        <v>#N/A</v>
      </c>
      <c r="AA378" t="e">
        <f t="shared" ca="1" si="108"/>
        <v>#N/A</v>
      </c>
      <c r="AB378" t="e">
        <f t="shared" ca="1" si="115"/>
        <v>#N/A</v>
      </c>
      <c r="AC378" t="e">
        <f t="shared" ca="1" si="109"/>
        <v>#N/A</v>
      </c>
      <c r="AD378" t="e">
        <f t="shared" ca="1" si="110"/>
        <v>#N/A</v>
      </c>
      <c r="AE378" s="83" t="e">
        <f ca="1"/>
        <v>#N/A</v>
      </c>
      <c r="AF378" s="55" t="e">
        <f t="shared" ca="1" si="119"/>
        <v>#N/A</v>
      </c>
      <c r="AG378" s="55" t="e">
        <f t="shared" ca="1" si="120"/>
        <v>#N/A</v>
      </c>
      <c r="AH378" s="55" t="e">
        <f t="shared" ca="1" si="121"/>
        <v>#N/A</v>
      </c>
      <c r="AI378" s="55" t="e">
        <f t="shared" ca="1" si="122"/>
        <v>#N/A</v>
      </c>
      <c r="AJ378" s="55" t="e">
        <f t="shared" ca="1" si="116"/>
        <v>#N/A</v>
      </c>
      <c r="AK378" s="55" t="e">
        <f t="shared" ca="1" si="117"/>
        <v>#N/A</v>
      </c>
      <c r="AL378" s="55" t="e">
        <f t="shared" ca="1" si="118"/>
        <v>#N/A</v>
      </c>
      <c r="AM378" s="55"/>
    </row>
    <row r="379" spans="18:39">
      <c r="R379" s="83" t="e">
        <f ca="1"/>
        <v>#N/A</v>
      </c>
      <c r="S379" s="55" t="e">
        <f t="shared" ca="1" si="111"/>
        <v>#N/A</v>
      </c>
      <c r="T379" s="55" t="e">
        <f t="shared" ca="1" si="104"/>
        <v>#N/A</v>
      </c>
      <c r="U379" s="55" t="e">
        <f t="shared" ca="1" si="105"/>
        <v>#N/A</v>
      </c>
      <c r="V379" s="55" t="e">
        <f t="shared" ca="1" si="106"/>
        <v>#N/A</v>
      </c>
      <c r="W379" s="55" t="e">
        <f t="shared" ca="1" si="112"/>
        <v>#N/A</v>
      </c>
      <c r="X379" s="55" t="e">
        <f t="shared" ca="1" si="113"/>
        <v>#N/A</v>
      </c>
      <c r="Y379" s="55" t="e">
        <f t="shared" ca="1" si="114"/>
        <v>#N/A</v>
      </c>
      <c r="Z379" s="55" t="e">
        <f t="shared" ca="1" si="107"/>
        <v>#N/A</v>
      </c>
      <c r="AA379" t="e">
        <f t="shared" ca="1" si="108"/>
        <v>#N/A</v>
      </c>
      <c r="AB379" t="e">
        <f t="shared" ca="1" si="115"/>
        <v>#N/A</v>
      </c>
      <c r="AC379" t="e">
        <f t="shared" ca="1" si="109"/>
        <v>#N/A</v>
      </c>
      <c r="AD379" t="e">
        <f t="shared" ca="1" si="110"/>
        <v>#N/A</v>
      </c>
      <c r="AE379" s="83" t="e">
        <f ca="1"/>
        <v>#N/A</v>
      </c>
      <c r="AF379" s="55" t="e">
        <f t="shared" ca="1" si="119"/>
        <v>#N/A</v>
      </c>
      <c r="AG379" s="55" t="e">
        <f t="shared" ca="1" si="120"/>
        <v>#N/A</v>
      </c>
      <c r="AH379" s="55" t="e">
        <f t="shared" ca="1" si="121"/>
        <v>#N/A</v>
      </c>
      <c r="AI379" s="55" t="e">
        <f t="shared" ca="1" si="122"/>
        <v>#N/A</v>
      </c>
      <c r="AJ379" s="55" t="e">
        <f t="shared" ca="1" si="116"/>
        <v>#N/A</v>
      </c>
      <c r="AK379" s="55" t="e">
        <f t="shared" ca="1" si="117"/>
        <v>#N/A</v>
      </c>
      <c r="AL379" s="55" t="e">
        <f t="shared" ca="1" si="118"/>
        <v>#N/A</v>
      </c>
      <c r="AM379" s="55"/>
    </row>
    <row r="380" spans="18:39">
      <c r="R380" s="83" t="e">
        <f ca="1"/>
        <v>#N/A</v>
      </c>
      <c r="S380" s="55" t="e">
        <f t="shared" ca="1" si="111"/>
        <v>#N/A</v>
      </c>
      <c r="T380" s="55" t="e">
        <f t="shared" ca="1" si="104"/>
        <v>#N/A</v>
      </c>
      <c r="U380" s="55" t="e">
        <f t="shared" ca="1" si="105"/>
        <v>#N/A</v>
      </c>
      <c r="V380" s="55" t="e">
        <f t="shared" ca="1" si="106"/>
        <v>#N/A</v>
      </c>
      <c r="W380" s="55" t="e">
        <f t="shared" ca="1" si="112"/>
        <v>#N/A</v>
      </c>
      <c r="X380" s="55" t="e">
        <f t="shared" ca="1" si="113"/>
        <v>#N/A</v>
      </c>
      <c r="Y380" s="55" t="e">
        <f t="shared" ca="1" si="114"/>
        <v>#N/A</v>
      </c>
      <c r="Z380" s="55" t="e">
        <f t="shared" ca="1" si="107"/>
        <v>#N/A</v>
      </c>
      <c r="AA380" t="e">
        <f t="shared" ca="1" si="108"/>
        <v>#N/A</v>
      </c>
      <c r="AB380" t="e">
        <f t="shared" ca="1" si="115"/>
        <v>#N/A</v>
      </c>
      <c r="AC380" t="e">
        <f t="shared" ca="1" si="109"/>
        <v>#N/A</v>
      </c>
      <c r="AD380" t="e">
        <f t="shared" ca="1" si="110"/>
        <v>#N/A</v>
      </c>
      <c r="AE380" s="83" t="e">
        <f ca="1"/>
        <v>#N/A</v>
      </c>
      <c r="AF380" s="55" t="e">
        <f t="shared" ca="1" si="119"/>
        <v>#N/A</v>
      </c>
      <c r="AG380" s="55" t="e">
        <f t="shared" ca="1" si="120"/>
        <v>#N/A</v>
      </c>
      <c r="AH380" s="55" t="e">
        <f t="shared" ca="1" si="121"/>
        <v>#N/A</v>
      </c>
      <c r="AI380" s="55" t="e">
        <f t="shared" ca="1" si="122"/>
        <v>#N/A</v>
      </c>
      <c r="AJ380" s="55" t="e">
        <f t="shared" ca="1" si="116"/>
        <v>#N/A</v>
      </c>
      <c r="AK380" s="55" t="e">
        <f t="shared" ca="1" si="117"/>
        <v>#N/A</v>
      </c>
      <c r="AL380" s="55" t="e">
        <f t="shared" ca="1" si="118"/>
        <v>#N/A</v>
      </c>
      <c r="AM380" s="55"/>
    </row>
    <row r="381" spans="18:39">
      <c r="R381" s="83" t="e">
        <f ca="1"/>
        <v>#N/A</v>
      </c>
      <c r="S381" s="55" t="e">
        <f t="shared" ca="1" si="111"/>
        <v>#N/A</v>
      </c>
      <c r="T381" s="55" t="e">
        <f t="shared" ca="1" si="104"/>
        <v>#N/A</v>
      </c>
      <c r="U381" s="55" t="e">
        <f t="shared" ca="1" si="105"/>
        <v>#N/A</v>
      </c>
      <c r="V381" s="55" t="e">
        <f t="shared" ca="1" si="106"/>
        <v>#N/A</v>
      </c>
      <c r="W381" s="55" t="e">
        <f t="shared" ca="1" si="112"/>
        <v>#N/A</v>
      </c>
      <c r="X381" s="55" t="e">
        <f t="shared" ca="1" si="113"/>
        <v>#N/A</v>
      </c>
      <c r="Y381" s="55" t="e">
        <f t="shared" ca="1" si="114"/>
        <v>#N/A</v>
      </c>
      <c r="Z381" s="55" t="e">
        <f t="shared" ca="1" si="107"/>
        <v>#N/A</v>
      </c>
      <c r="AA381" t="e">
        <f t="shared" ca="1" si="108"/>
        <v>#N/A</v>
      </c>
      <c r="AB381" t="e">
        <f t="shared" ca="1" si="115"/>
        <v>#N/A</v>
      </c>
      <c r="AC381" t="e">
        <f t="shared" ca="1" si="109"/>
        <v>#N/A</v>
      </c>
      <c r="AD381" t="e">
        <f t="shared" ca="1" si="110"/>
        <v>#N/A</v>
      </c>
      <c r="AE381" s="83" t="e">
        <f ca="1"/>
        <v>#N/A</v>
      </c>
      <c r="AF381" s="55" t="e">
        <f t="shared" ca="1" si="119"/>
        <v>#N/A</v>
      </c>
      <c r="AG381" s="55" t="e">
        <f t="shared" ca="1" si="120"/>
        <v>#N/A</v>
      </c>
      <c r="AH381" s="55" t="e">
        <f t="shared" ca="1" si="121"/>
        <v>#N/A</v>
      </c>
      <c r="AI381" s="55" t="e">
        <f t="shared" ca="1" si="122"/>
        <v>#N/A</v>
      </c>
      <c r="AJ381" s="55" t="e">
        <f t="shared" ca="1" si="116"/>
        <v>#N/A</v>
      </c>
      <c r="AK381" s="55" t="e">
        <f t="shared" ca="1" si="117"/>
        <v>#N/A</v>
      </c>
      <c r="AL381" s="55" t="e">
        <f t="shared" ca="1" si="118"/>
        <v>#N/A</v>
      </c>
      <c r="AM381" s="55"/>
    </row>
    <row r="382" spans="18:39">
      <c r="R382" s="83" t="e">
        <f ca="1"/>
        <v>#N/A</v>
      </c>
      <c r="S382" s="55" t="e">
        <f t="shared" ca="1" si="111"/>
        <v>#N/A</v>
      </c>
      <c r="T382" s="55" t="e">
        <f t="shared" ca="1" si="104"/>
        <v>#N/A</v>
      </c>
      <c r="U382" s="55" t="e">
        <f t="shared" ca="1" si="105"/>
        <v>#N/A</v>
      </c>
      <c r="V382" s="55" t="e">
        <f t="shared" ca="1" si="106"/>
        <v>#N/A</v>
      </c>
      <c r="W382" s="55" t="e">
        <f t="shared" ca="1" si="112"/>
        <v>#N/A</v>
      </c>
      <c r="X382" s="55" t="e">
        <f t="shared" ca="1" si="113"/>
        <v>#N/A</v>
      </c>
      <c r="Y382" s="55" t="e">
        <f t="shared" ca="1" si="114"/>
        <v>#N/A</v>
      </c>
      <c r="Z382" s="55" t="e">
        <f t="shared" ca="1" si="107"/>
        <v>#N/A</v>
      </c>
      <c r="AA382" t="e">
        <f t="shared" ca="1" si="108"/>
        <v>#N/A</v>
      </c>
      <c r="AB382" t="e">
        <f t="shared" ca="1" si="115"/>
        <v>#N/A</v>
      </c>
      <c r="AC382" t="e">
        <f t="shared" ca="1" si="109"/>
        <v>#N/A</v>
      </c>
      <c r="AD382" t="e">
        <f t="shared" ca="1" si="110"/>
        <v>#N/A</v>
      </c>
      <c r="AE382" s="83" t="e">
        <f ca="1"/>
        <v>#N/A</v>
      </c>
      <c r="AF382" s="55" t="e">
        <f t="shared" ca="1" si="119"/>
        <v>#N/A</v>
      </c>
      <c r="AG382" s="55" t="e">
        <f t="shared" ca="1" si="120"/>
        <v>#N/A</v>
      </c>
      <c r="AH382" s="55" t="e">
        <f t="shared" ca="1" si="121"/>
        <v>#N/A</v>
      </c>
      <c r="AI382" s="55" t="e">
        <f t="shared" ca="1" si="122"/>
        <v>#N/A</v>
      </c>
      <c r="AJ382" s="55" t="e">
        <f t="shared" ca="1" si="116"/>
        <v>#N/A</v>
      </c>
      <c r="AK382" s="55" t="e">
        <f t="shared" ca="1" si="117"/>
        <v>#N/A</v>
      </c>
      <c r="AL382" s="55" t="e">
        <f t="shared" ca="1" si="118"/>
        <v>#N/A</v>
      </c>
      <c r="AM382" s="55"/>
    </row>
    <row r="383" spans="18:39">
      <c r="R383" s="83" t="e">
        <f ca="1"/>
        <v>#N/A</v>
      </c>
      <c r="S383" s="55" t="e">
        <f t="shared" ca="1" si="111"/>
        <v>#N/A</v>
      </c>
      <c r="T383" s="55" t="e">
        <f t="shared" ca="1" si="104"/>
        <v>#N/A</v>
      </c>
      <c r="U383" s="55" t="e">
        <f t="shared" ca="1" si="105"/>
        <v>#N/A</v>
      </c>
      <c r="V383" s="55" t="e">
        <f t="shared" ca="1" si="106"/>
        <v>#N/A</v>
      </c>
      <c r="W383" s="55" t="e">
        <f t="shared" ca="1" si="112"/>
        <v>#N/A</v>
      </c>
      <c r="X383" s="55" t="e">
        <f t="shared" ca="1" si="113"/>
        <v>#N/A</v>
      </c>
      <c r="Y383" s="55" t="e">
        <f t="shared" ca="1" si="114"/>
        <v>#N/A</v>
      </c>
      <c r="Z383" s="55" t="e">
        <f t="shared" ca="1" si="107"/>
        <v>#N/A</v>
      </c>
      <c r="AA383" t="e">
        <f t="shared" ca="1" si="108"/>
        <v>#N/A</v>
      </c>
      <c r="AB383" t="e">
        <f t="shared" ca="1" si="115"/>
        <v>#N/A</v>
      </c>
      <c r="AC383" t="e">
        <f t="shared" ca="1" si="109"/>
        <v>#N/A</v>
      </c>
      <c r="AD383" t="e">
        <f t="shared" ca="1" si="110"/>
        <v>#N/A</v>
      </c>
      <c r="AE383" s="83" t="e">
        <f ca="1"/>
        <v>#N/A</v>
      </c>
      <c r="AF383" s="55" t="e">
        <f t="shared" ca="1" si="119"/>
        <v>#N/A</v>
      </c>
      <c r="AG383" s="55" t="e">
        <f t="shared" ca="1" si="120"/>
        <v>#N/A</v>
      </c>
      <c r="AH383" s="55" t="e">
        <f t="shared" ca="1" si="121"/>
        <v>#N/A</v>
      </c>
      <c r="AI383" s="55" t="e">
        <f t="shared" ca="1" si="122"/>
        <v>#N/A</v>
      </c>
      <c r="AJ383" s="55" t="e">
        <f t="shared" ca="1" si="116"/>
        <v>#N/A</v>
      </c>
      <c r="AK383" s="55" t="e">
        <f t="shared" ca="1" si="117"/>
        <v>#N/A</v>
      </c>
      <c r="AL383" s="55" t="e">
        <f t="shared" ca="1" si="118"/>
        <v>#N/A</v>
      </c>
      <c r="AM383" s="55"/>
    </row>
    <row r="384" spans="18:39">
      <c r="R384" s="83" t="e">
        <f ca="1"/>
        <v>#N/A</v>
      </c>
      <c r="S384" s="55" t="e">
        <f t="shared" ca="1" si="111"/>
        <v>#N/A</v>
      </c>
      <c r="T384" s="55" t="e">
        <f t="shared" ca="1" si="104"/>
        <v>#N/A</v>
      </c>
      <c r="U384" s="55" t="e">
        <f t="shared" ca="1" si="105"/>
        <v>#N/A</v>
      </c>
      <c r="V384" s="55" t="e">
        <f t="shared" ca="1" si="106"/>
        <v>#N/A</v>
      </c>
      <c r="W384" s="55" t="e">
        <f t="shared" ca="1" si="112"/>
        <v>#N/A</v>
      </c>
      <c r="X384" s="55" t="e">
        <f t="shared" ca="1" si="113"/>
        <v>#N/A</v>
      </c>
      <c r="Y384" s="55" t="e">
        <f t="shared" ca="1" si="114"/>
        <v>#N/A</v>
      </c>
      <c r="Z384" s="55" t="e">
        <f t="shared" ca="1" si="107"/>
        <v>#N/A</v>
      </c>
      <c r="AA384" t="e">
        <f t="shared" ca="1" si="108"/>
        <v>#N/A</v>
      </c>
      <c r="AB384" t="e">
        <f t="shared" ca="1" si="115"/>
        <v>#N/A</v>
      </c>
      <c r="AC384" t="e">
        <f t="shared" ca="1" si="109"/>
        <v>#N/A</v>
      </c>
      <c r="AD384" t="e">
        <f t="shared" ca="1" si="110"/>
        <v>#N/A</v>
      </c>
      <c r="AE384" s="83" t="e">
        <f ca="1"/>
        <v>#N/A</v>
      </c>
      <c r="AF384" s="55" t="e">
        <f t="shared" ca="1" si="119"/>
        <v>#N/A</v>
      </c>
      <c r="AG384" s="55" t="e">
        <f t="shared" ca="1" si="120"/>
        <v>#N/A</v>
      </c>
      <c r="AH384" s="55" t="e">
        <f t="shared" ca="1" si="121"/>
        <v>#N/A</v>
      </c>
      <c r="AI384" s="55" t="e">
        <f t="shared" ca="1" si="122"/>
        <v>#N/A</v>
      </c>
      <c r="AJ384" s="55" t="e">
        <f t="shared" ca="1" si="116"/>
        <v>#N/A</v>
      </c>
      <c r="AK384" s="55" t="e">
        <f t="shared" ca="1" si="117"/>
        <v>#N/A</v>
      </c>
      <c r="AL384" s="55" t="e">
        <f t="shared" ca="1" si="118"/>
        <v>#N/A</v>
      </c>
      <c r="AM384" s="55"/>
    </row>
    <row r="385" spans="18:39">
      <c r="R385" s="83" t="e">
        <f ca="1"/>
        <v>#N/A</v>
      </c>
      <c r="S385" s="55" t="e">
        <f t="shared" ca="1" si="111"/>
        <v>#N/A</v>
      </c>
      <c r="T385" s="55" t="e">
        <f t="shared" ca="1" si="104"/>
        <v>#N/A</v>
      </c>
      <c r="U385" s="55" t="e">
        <f t="shared" ca="1" si="105"/>
        <v>#N/A</v>
      </c>
      <c r="V385" s="55" t="e">
        <f t="shared" ca="1" si="106"/>
        <v>#N/A</v>
      </c>
      <c r="W385" s="55" t="e">
        <f t="shared" ca="1" si="112"/>
        <v>#N/A</v>
      </c>
      <c r="X385" s="55" t="e">
        <f t="shared" ca="1" si="113"/>
        <v>#N/A</v>
      </c>
      <c r="Y385" s="55" t="e">
        <f t="shared" ca="1" si="114"/>
        <v>#N/A</v>
      </c>
      <c r="Z385" s="55" t="e">
        <f t="shared" ca="1" si="107"/>
        <v>#N/A</v>
      </c>
      <c r="AA385" t="e">
        <f t="shared" ca="1" si="108"/>
        <v>#N/A</v>
      </c>
      <c r="AB385" t="e">
        <f t="shared" ca="1" si="115"/>
        <v>#N/A</v>
      </c>
      <c r="AC385" t="e">
        <f t="shared" ca="1" si="109"/>
        <v>#N/A</v>
      </c>
      <c r="AD385" t="e">
        <f t="shared" ca="1" si="110"/>
        <v>#N/A</v>
      </c>
      <c r="AE385" s="83" t="e">
        <f ca="1"/>
        <v>#N/A</v>
      </c>
      <c r="AF385" s="55" t="e">
        <f t="shared" ca="1" si="119"/>
        <v>#N/A</v>
      </c>
      <c r="AG385" s="55" t="e">
        <f t="shared" ca="1" si="120"/>
        <v>#N/A</v>
      </c>
      <c r="AH385" s="55" t="e">
        <f t="shared" ca="1" si="121"/>
        <v>#N/A</v>
      </c>
      <c r="AI385" s="55" t="e">
        <f t="shared" ca="1" si="122"/>
        <v>#N/A</v>
      </c>
      <c r="AJ385" s="55" t="e">
        <f t="shared" ca="1" si="116"/>
        <v>#N/A</v>
      </c>
      <c r="AK385" s="55" t="e">
        <f t="shared" ca="1" si="117"/>
        <v>#N/A</v>
      </c>
      <c r="AL385" s="55" t="e">
        <f t="shared" ca="1" si="118"/>
        <v>#N/A</v>
      </c>
      <c r="AM385" s="55"/>
    </row>
    <row r="386" spans="18:39">
      <c r="R386" s="83" t="e">
        <f ca="1"/>
        <v>#N/A</v>
      </c>
      <c r="S386" s="55" t="e">
        <f t="shared" ca="1" si="111"/>
        <v>#N/A</v>
      </c>
      <c r="T386" s="55" t="e">
        <f t="shared" ca="1" si="104"/>
        <v>#N/A</v>
      </c>
      <c r="U386" s="55" t="e">
        <f t="shared" ca="1" si="105"/>
        <v>#N/A</v>
      </c>
      <c r="V386" s="55" t="e">
        <f t="shared" ca="1" si="106"/>
        <v>#N/A</v>
      </c>
      <c r="W386" s="55" t="e">
        <f t="shared" ca="1" si="112"/>
        <v>#N/A</v>
      </c>
      <c r="X386" s="55" t="e">
        <f t="shared" ca="1" si="113"/>
        <v>#N/A</v>
      </c>
      <c r="Y386" s="55" t="e">
        <f t="shared" ca="1" si="114"/>
        <v>#N/A</v>
      </c>
      <c r="Z386" s="55" t="e">
        <f t="shared" ca="1" si="107"/>
        <v>#N/A</v>
      </c>
      <c r="AA386" t="e">
        <f t="shared" ca="1" si="108"/>
        <v>#N/A</v>
      </c>
      <c r="AB386" t="e">
        <f t="shared" ca="1" si="115"/>
        <v>#N/A</v>
      </c>
      <c r="AC386" t="e">
        <f t="shared" ca="1" si="109"/>
        <v>#N/A</v>
      </c>
      <c r="AD386" t="e">
        <f t="shared" ca="1" si="110"/>
        <v>#N/A</v>
      </c>
      <c r="AE386" s="83" t="e">
        <f ca="1"/>
        <v>#N/A</v>
      </c>
      <c r="AF386" s="55" t="e">
        <f t="shared" ca="1" si="119"/>
        <v>#N/A</v>
      </c>
      <c r="AG386" s="55" t="e">
        <f t="shared" ca="1" si="120"/>
        <v>#N/A</v>
      </c>
      <c r="AH386" s="55" t="e">
        <f t="shared" ca="1" si="121"/>
        <v>#N/A</v>
      </c>
      <c r="AI386" s="55" t="e">
        <f t="shared" ca="1" si="122"/>
        <v>#N/A</v>
      </c>
      <c r="AJ386" s="55" t="e">
        <f t="shared" ca="1" si="116"/>
        <v>#N/A</v>
      </c>
      <c r="AK386" s="55" t="e">
        <f t="shared" ca="1" si="117"/>
        <v>#N/A</v>
      </c>
      <c r="AL386" s="55" t="e">
        <f t="shared" ca="1" si="118"/>
        <v>#N/A</v>
      </c>
      <c r="AM386" s="55"/>
    </row>
    <row r="387" spans="18:39">
      <c r="R387" s="83" t="e">
        <f ca="1"/>
        <v>#N/A</v>
      </c>
      <c r="S387" s="55" t="e">
        <f t="shared" ca="1" si="111"/>
        <v>#N/A</v>
      </c>
      <c r="T387" s="55" t="e">
        <f t="shared" ca="1" si="104"/>
        <v>#N/A</v>
      </c>
      <c r="U387" s="55" t="e">
        <f t="shared" ca="1" si="105"/>
        <v>#N/A</v>
      </c>
      <c r="V387" s="55" t="e">
        <f t="shared" ca="1" si="106"/>
        <v>#N/A</v>
      </c>
      <c r="W387" s="55" t="e">
        <f t="shared" ca="1" si="112"/>
        <v>#N/A</v>
      </c>
      <c r="X387" s="55" t="e">
        <f t="shared" ca="1" si="113"/>
        <v>#N/A</v>
      </c>
      <c r="Y387" s="55" t="e">
        <f t="shared" ca="1" si="114"/>
        <v>#N/A</v>
      </c>
      <c r="Z387" s="55" t="e">
        <f t="shared" ca="1" si="107"/>
        <v>#N/A</v>
      </c>
      <c r="AA387" t="e">
        <f t="shared" ca="1" si="108"/>
        <v>#N/A</v>
      </c>
      <c r="AB387" t="e">
        <f t="shared" ca="1" si="115"/>
        <v>#N/A</v>
      </c>
      <c r="AC387" t="e">
        <f t="shared" ca="1" si="109"/>
        <v>#N/A</v>
      </c>
      <c r="AD387" t="e">
        <f t="shared" ca="1" si="110"/>
        <v>#N/A</v>
      </c>
      <c r="AE387" s="83" t="e">
        <f ca="1"/>
        <v>#N/A</v>
      </c>
      <c r="AF387" s="55" t="e">
        <f t="shared" ca="1" si="119"/>
        <v>#N/A</v>
      </c>
      <c r="AG387" s="55" t="e">
        <f t="shared" ca="1" si="120"/>
        <v>#N/A</v>
      </c>
      <c r="AH387" s="55" t="e">
        <f t="shared" ca="1" si="121"/>
        <v>#N/A</v>
      </c>
      <c r="AI387" s="55" t="e">
        <f t="shared" ca="1" si="122"/>
        <v>#N/A</v>
      </c>
      <c r="AJ387" s="55" t="e">
        <f t="shared" ca="1" si="116"/>
        <v>#N/A</v>
      </c>
      <c r="AK387" s="55" t="e">
        <f t="shared" ca="1" si="117"/>
        <v>#N/A</v>
      </c>
      <c r="AL387" s="55" t="e">
        <f t="shared" ca="1" si="118"/>
        <v>#N/A</v>
      </c>
      <c r="AM387" s="55"/>
    </row>
    <row r="388" spans="18:39">
      <c r="R388" s="83" t="e">
        <f ca="1"/>
        <v>#N/A</v>
      </c>
      <c r="S388" s="55" t="e">
        <f t="shared" ca="1" si="111"/>
        <v>#N/A</v>
      </c>
      <c r="T388" s="55" t="e">
        <f t="shared" ca="1" si="104"/>
        <v>#N/A</v>
      </c>
      <c r="U388" s="55" t="e">
        <f t="shared" ca="1" si="105"/>
        <v>#N/A</v>
      </c>
      <c r="V388" s="55" t="e">
        <f t="shared" ca="1" si="106"/>
        <v>#N/A</v>
      </c>
      <c r="W388" s="55" t="e">
        <f t="shared" ca="1" si="112"/>
        <v>#N/A</v>
      </c>
      <c r="X388" s="55" t="e">
        <f t="shared" ca="1" si="113"/>
        <v>#N/A</v>
      </c>
      <c r="Y388" s="55" t="e">
        <f t="shared" ca="1" si="114"/>
        <v>#N/A</v>
      </c>
      <c r="Z388" s="55" t="e">
        <f t="shared" ca="1" si="107"/>
        <v>#N/A</v>
      </c>
      <c r="AA388" t="e">
        <f t="shared" ca="1" si="108"/>
        <v>#N/A</v>
      </c>
      <c r="AB388" t="e">
        <f t="shared" ca="1" si="115"/>
        <v>#N/A</v>
      </c>
      <c r="AC388" t="e">
        <f t="shared" ca="1" si="109"/>
        <v>#N/A</v>
      </c>
      <c r="AD388" t="e">
        <f t="shared" ca="1" si="110"/>
        <v>#N/A</v>
      </c>
      <c r="AE388" s="83" t="e">
        <f ca="1"/>
        <v>#N/A</v>
      </c>
      <c r="AF388" s="55" t="e">
        <f t="shared" ca="1" si="119"/>
        <v>#N/A</v>
      </c>
      <c r="AG388" s="55" t="e">
        <f t="shared" ca="1" si="120"/>
        <v>#N/A</v>
      </c>
      <c r="AH388" s="55" t="e">
        <f t="shared" ca="1" si="121"/>
        <v>#N/A</v>
      </c>
      <c r="AI388" s="55" t="e">
        <f t="shared" ca="1" si="122"/>
        <v>#N/A</v>
      </c>
      <c r="AJ388" s="55" t="e">
        <f t="shared" ca="1" si="116"/>
        <v>#N/A</v>
      </c>
      <c r="AK388" s="55" t="e">
        <f t="shared" ca="1" si="117"/>
        <v>#N/A</v>
      </c>
      <c r="AL388" s="55" t="e">
        <f t="shared" ca="1" si="118"/>
        <v>#N/A</v>
      </c>
      <c r="AM388" s="55"/>
    </row>
    <row r="389" spans="18:39">
      <c r="R389" s="83" t="e">
        <f ca="1"/>
        <v>#N/A</v>
      </c>
      <c r="S389" s="55" t="e">
        <f t="shared" ca="1" si="111"/>
        <v>#N/A</v>
      </c>
      <c r="T389" s="55" t="e">
        <f t="shared" ca="1" si="104"/>
        <v>#N/A</v>
      </c>
      <c r="U389" s="55" t="e">
        <f t="shared" ca="1" si="105"/>
        <v>#N/A</v>
      </c>
      <c r="V389" s="55" t="e">
        <f t="shared" ca="1" si="106"/>
        <v>#N/A</v>
      </c>
      <c r="W389" s="55" t="e">
        <f t="shared" ca="1" si="112"/>
        <v>#N/A</v>
      </c>
      <c r="X389" s="55" t="e">
        <f t="shared" ca="1" si="113"/>
        <v>#N/A</v>
      </c>
      <c r="Y389" s="55" t="e">
        <f t="shared" ca="1" si="114"/>
        <v>#N/A</v>
      </c>
      <c r="Z389" s="55" t="e">
        <f t="shared" ca="1" si="107"/>
        <v>#N/A</v>
      </c>
      <c r="AA389" t="e">
        <f t="shared" ca="1" si="108"/>
        <v>#N/A</v>
      </c>
      <c r="AB389" t="e">
        <f t="shared" ca="1" si="115"/>
        <v>#N/A</v>
      </c>
      <c r="AC389" t="e">
        <f t="shared" ca="1" si="109"/>
        <v>#N/A</v>
      </c>
      <c r="AD389" t="e">
        <f t="shared" ca="1" si="110"/>
        <v>#N/A</v>
      </c>
      <c r="AE389" s="83" t="e">
        <f ca="1"/>
        <v>#N/A</v>
      </c>
      <c r="AF389" s="55" t="e">
        <f t="shared" ca="1" si="119"/>
        <v>#N/A</v>
      </c>
      <c r="AG389" s="55" t="e">
        <f t="shared" ca="1" si="120"/>
        <v>#N/A</v>
      </c>
      <c r="AH389" s="55" t="e">
        <f t="shared" ca="1" si="121"/>
        <v>#N/A</v>
      </c>
      <c r="AI389" s="55" t="e">
        <f t="shared" ca="1" si="122"/>
        <v>#N/A</v>
      </c>
      <c r="AJ389" s="55" t="e">
        <f t="shared" ca="1" si="116"/>
        <v>#N/A</v>
      </c>
      <c r="AK389" s="55" t="e">
        <f t="shared" ca="1" si="117"/>
        <v>#N/A</v>
      </c>
      <c r="AL389" s="55" t="e">
        <f t="shared" ca="1" si="118"/>
        <v>#N/A</v>
      </c>
      <c r="AM389" s="55"/>
    </row>
    <row r="390" spans="18:39">
      <c r="R390" s="83" t="e">
        <f ca="1"/>
        <v>#N/A</v>
      </c>
      <c r="S390" s="55" t="e">
        <f t="shared" ca="1" si="111"/>
        <v>#N/A</v>
      </c>
      <c r="T390" s="55" t="e">
        <f t="shared" ca="1" si="104"/>
        <v>#N/A</v>
      </c>
      <c r="U390" s="55" t="e">
        <f t="shared" ca="1" si="105"/>
        <v>#N/A</v>
      </c>
      <c r="V390" s="55" t="e">
        <f t="shared" ca="1" si="106"/>
        <v>#N/A</v>
      </c>
      <c r="W390" s="55" t="e">
        <f t="shared" ca="1" si="112"/>
        <v>#N/A</v>
      </c>
      <c r="X390" s="55" t="e">
        <f t="shared" ca="1" si="113"/>
        <v>#N/A</v>
      </c>
      <c r="Y390" s="55" t="e">
        <f t="shared" ca="1" si="114"/>
        <v>#N/A</v>
      </c>
      <c r="Z390" s="55" t="e">
        <f t="shared" ca="1" si="107"/>
        <v>#N/A</v>
      </c>
      <c r="AA390" t="e">
        <f t="shared" ca="1" si="108"/>
        <v>#N/A</v>
      </c>
      <c r="AB390" t="e">
        <f t="shared" ca="1" si="115"/>
        <v>#N/A</v>
      </c>
      <c r="AC390" t="e">
        <f t="shared" ca="1" si="109"/>
        <v>#N/A</v>
      </c>
      <c r="AD390" t="e">
        <f t="shared" ca="1" si="110"/>
        <v>#N/A</v>
      </c>
      <c r="AE390" s="83" t="e">
        <f ca="1"/>
        <v>#N/A</v>
      </c>
      <c r="AF390" s="55" t="e">
        <f t="shared" ca="1" si="119"/>
        <v>#N/A</v>
      </c>
      <c r="AG390" s="55" t="e">
        <f t="shared" ca="1" si="120"/>
        <v>#N/A</v>
      </c>
      <c r="AH390" s="55" t="e">
        <f t="shared" ca="1" si="121"/>
        <v>#N/A</v>
      </c>
      <c r="AI390" s="55" t="e">
        <f t="shared" ca="1" si="122"/>
        <v>#N/A</v>
      </c>
      <c r="AJ390" s="55" t="e">
        <f t="shared" ca="1" si="116"/>
        <v>#N/A</v>
      </c>
      <c r="AK390" s="55" t="e">
        <f t="shared" ca="1" si="117"/>
        <v>#N/A</v>
      </c>
      <c r="AL390" s="55" t="e">
        <f t="shared" ca="1" si="118"/>
        <v>#N/A</v>
      </c>
      <c r="AM390" s="55"/>
    </row>
    <row r="391" spans="18:39">
      <c r="R391" s="83" t="e">
        <f ca="1"/>
        <v>#N/A</v>
      </c>
      <c r="S391" s="55" t="e">
        <f t="shared" ca="1" si="111"/>
        <v>#N/A</v>
      </c>
      <c r="T391" s="55" t="e">
        <f t="shared" ca="1" si="104"/>
        <v>#N/A</v>
      </c>
      <c r="U391" s="55" t="e">
        <f t="shared" ca="1" si="105"/>
        <v>#N/A</v>
      </c>
      <c r="V391" s="55" t="e">
        <f t="shared" ca="1" si="106"/>
        <v>#N/A</v>
      </c>
      <c r="W391" s="55" t="e">
        <f t="shared" ca="1" si="112"/>
        <v>#N/A</v>
      </c>
      <c r="X391" s="55" t="e">
        <f t="shared" ca="1" si="113"/>
        <v>#N/A</v>
      </c>
      <c r="Y391" s="55" t="e">
        <f t="shared" ca="1" si="114"/>
        <v>#N/A</v>
      </c>
      <c r="Z391" s="55" t="e">
        <f t="shared" ca="1" si="107"/>
        <v>#N/A</v>
      </c>
      <c r="AA391" t="e">
        <f t="shared" ca="1" si="108"/>
        <v>#N/A</v>
      </c>
      <c r="AB391" t="e">
        <f t="shared" ca="1" si="115"/>
        <v>#N/A</v>
      </c>
      <c r="AC391" t="e">
        <f t="shared" ca="1" si="109"/>
        <v>#N/A</v>
      </c>
      <c r="AD391" t="e">
        <f t="shared" ca="1" si="110"/>
        <v>#N/A</v>
      </c>
      <c r="AE391" s="83" t="e">
        <f ca="1"/>
        <v>#N/A</v>
      </c>
      <c r="AF391" s="55" t="e">
        <f t="shared" ca="1" si="119"/>
        <v>#N/A</v>
      </c>
      <c r="AG391" s="55" t="e">
        <f t="shared" ca="1" si="120"/>
        <v>#N/A</v>
      </c>
      <c r="AH391" s="55" t="e">
        <f t="shared" ca="1" si="121"/>
        <v>#N/A</v>
      </c>
      <c r="AI391" s="55" t="e">
        <f t="shared" ca="1" si="122"/>
        <v>#N/A</v>
      </c>
      <c r="AJ391" s="55" t="e">
        <f t="shared" ca="1" si="116"/>
        <v>#N/A</v>
      </c>
      <c r="AK391" s="55" t="e">
        <f t="shared" ca="1" si="117"/>
        <v>#N/A</v>
      </c>
      <c r="AL391" s="55" t="e">
        <f t="shared" ca="1" si="118"/>
        <v>#N/A</v>
      </c>
      <c r="AM391" s="55"/>
    </row>
    <row r="392" spans="18:39">
      <c r="R392" s="83" t="e">
        <f ca="1"/>
        <v>#N/A</v>
      </c>
      <c r="S392" s="55" t="e">
        <f t="shared" ca="1" si="111"/>
        <v>#N/A</v>
      </c>
      <c r="T392" s="55" t="e">
        <f t="shared" ca="1" si="104"/>
        <v>#N/A</v>
      </c>
      <c r="U392" s="55" t="e">
        <f t="shared" ca="1" si="105"/>
        <v>#N/A</v>
      </c>
      <c r="V392" s="55" t="e">
        <f t="shared" ca="1" si="106"/>
        <v>#N/A</v>
      </c>
      <c r="W392" s="55" t="e">
        <f t="shared" ca="1" si="112"/>
        <v>#N/A</v>
      </c>
      <c r="X392" s="55" t="e">
        <f t="shared" ca="1" si="113"/>
        <v>#N/A</v>
      </c>
      <c r="Y392" s="55" t="e">
        <f t="shared" ca="1" si="114"/>
        <v>#N/A</v>
      </c>
      <c r="Z392" s="55" t="e">
        <f t="shared" ca="1" si="107"/>
        <v>#N/A</v>
      </c>
      <c r="AA392" t="e">
        <f t="shared" ca="1" si="108"/>
        <v>#N/A</v>
      </c>
      <c r="AB392" t="e">
        <f t="shared" ca="1" si="115"/>
        <v>#N/A</v>
      </c>
      <c r="AC392" t="e">
        <f t="shared" ca="1" si="109"/>
        <v>#N/A</v>
      </c>
      <c r="AD392" t="e">
        <f t="shared" ca="1" si="110"/>
        <v>#N/A</v>
      </c>
      <c r="AE392" s="83" t="e">
        <f ca="1"/>
        <v>#N/A</v>
      </c>
      <c r="AF392" s="55" t="e">
        <f t="shared" ca="1" si="119"/>
        <v>#N/A</v>
      </c>
      <c r="AG392" s="55" t="e">
        <f t="shared" ca="1" si="120"/>
        <v>#N/A</v>
      </c>
      <c r="AH392" s="55" t="e">
        <f t="shared" ca="1" si="121"/>
        <v>#N/A</v>
      </c>
      <c r="AI392" s="55" t="e">
        <f t="shared" ca="1" si="122"/>
        <v>#N/A</v>
      </c>
      <c r="AJ392" s="55" t="e">
        <f t="shared" ca="1" si="116"/>
        <v>#N/A</v>
      </c>
      <c r="AK392" s="55" t="e">
        <f t="shared" ca="1" si="117"/>
        <v>#N/A</v>
      </c>
      <c r="AL392" s="55" t="e">
        <f t="shared" ca="1" si="118"/>
        <v>#N/A</v>
      </c>
      <c r="AM392" s="55"/>
    </row>
    <row r="393" spans="18:39">
      <c r="R393" s="83" t="e">
        <f ca="1"/>
        <v>#N/A</v>
      </c>
      <c r="S393" s="55" t="e">
        <f t="shared" ca="1" si="111"/>
        <v>#N/A</v>
      </c>
      <c r="T393" s="55" t="e">
        <f t="shared" ca="1" si="104"/>
        <v>#N/A</v>
      </c>
      <c r="U393" s="55" t="e">
        <f t="shared" ca="1" si="105"/>
        <v>#N/A</v>
      </c>
      <c r="V393" s="55" t="e">
        <f t="shared" ca="1" si="106"/>
        <v>#N/A</v>
      </c>
      <c r="W393" s="55" t="e">
        <f t="shared" ca="1" si="112"/>
        <v>#N/A</v>
      </c>
      <c r="X393" s="55" t="e">
        <f t="shared" ca="1" si="113"/>
        <v>#N/A</v>
      </c>
      <c r="Y393" s="55" t="e">
        <f t="shared" ca="1" si="114"/>
        <v>#N/A</v>
      </c>
      <c r="Z393" s="55" t="e">
        <f t="shared" ca="1" si="107"/>
        <v>#N/A</v>
      </c>
      <c r="AA393" t="e">
        <f t="shared" ca="1" si="108"/>
        <v>#N/A</v>
      </c>
      <c r="AB393" t="e">
        <f t="shared" ca="1" si="115"/>
        <v>#N/A</v>
      </c>
      <c r="AC393" t="e">
        <f t="shared" ca="1" si="109"/>
        <v>#N/A</v>
      </c>
      <c r="AD393" t="e">
        <f t="shared" ca="1" si="110"/>
        <v>#N/A</v>
      </c>
      <c r="AE393" s="83" t="e">
        <f ca="1"/>
        <v>#N/A</v>
      </c>
      <c r="AF393" s="55" t="e">
        <f t="shared" ca="1" si="119"/>
        <v>#N/A</v>
      </c>
      <c r="AG393" s="55" t="e">
        <f t="shared" ca="1" si="120"/>
        <v>#N/A</v>
      </c>
      <c r="AH393" s="55" t="e">
        <f t="shared" ca="1" si="121"/>
        <v>#N/A</v>
      </c>
      <c r="AI393" s="55" t="e">
        <f t="shared" ca="1" si="122"/>
        <v>#N/A</v>
      </c>
      <c r="AJ393" s="55" t="e">
        <f t="shared" ca="1" si="116"/>
        <v>#N/A</v>
      </c>
      <c r="AK393" s="55" t="e">
        <f t="shared" ca="1" si="117"/>
        <v>#N/A</v>
      </c>
      <c r="AL393" s="55" t="e">
        <f t="shared" ca="1" si="118"/>
        <v>#N/A</v>
      </c>
      <c r="AM393" s="55"/>
    </row>
    <row r="394" spans="18:39">
      <c r="R394" s="83" t="e">
        <f ca="1"/>
        <v>#N/A</v>
      </c>
      <c r="S394" s="55" t="e">
        <f t="shared" ca="1" si="111"/>
        <v>#N/A</v>
      </c>
      <c r="T394" s="55" t="e">
        <f t="shared" ca="1" si="104"/>
        <v>#N/A</v>
      </c>
      <c r="U394" s="55" t="e">
        <f t="shared" ca="1" si="105"/>
        <v>#N/A</v>
      </c>
      <c r="V394" s="55" t="e">
        <f t="shared" ca="1" si="106"/>
        <v>#N/A</v>
      </c>
      <c r="W394" s="55" t="e">
        <f t="shared" ca="1" si="112"/>
        <v>#N/A</v>
      </c>
      <c r="X394" s="55" t="e">
        <f t="shared" ca="1" si="113"/>
        <v>#N/A</v>
      </c>
      <c r="Y394" s="55" t="e">
        <f t="shared" ca="1" si="114"/>
        <v>#N/A</v>
      </c>
      <c r="Z394" s="55" t="e">
        <f t="shared" ca="1" si="107"/>
        <v>#N/A</v>
      </c>
      <c r="AA394" t="e">
        <f t="shared" ca="1" si="108"/>
        <v>#N/A</v>
      </c>
      <c r="AB394" t="e">
        <f t="shared" ca="1" si="115"/>
        <v>#N/A</v>
      </c>
      <c r="AC394" t="e">
        <f t="shared" ca="1" si="109"/>
        <v>#N/A</v>
      </c>
      <c r="AD394" t="e">
        <f t="shared" ca="1" si="110"/>
        <v>#N/A</v>
      </c>
      <c r="AE394" s="83" t="e">
        <f ca="1"/>
        <v>#N/A</v>
      </c>
      <c r="AF394" s="55" t="e">
        <f t="shared" ca="1" si="119"/>
        <v>#N/A</v>
      </c>
      <c r="AG394" s="55" t="e">
        <f t="shared" ca="1" si="120"/>
        <v>#N/A</v>
      </c>
      <c r="AH394" s="55" t="e">
        <f t="shared" ca="1" si="121"/>
        <v>#N/A</v>
      </c>
      <c r="AI394" s="55" t="e">
        <f t="shared" ca="1" si="122"/>
        <v>#N/A</v>
      </c>
      <c r="AJ394" s="55" t="e">
        <f t="shared" ca="1" si="116"/>
        <v>#N/A</v>
      </c>
      <c r="AK394" s="55" t="e">
        <f t="shared" ca="1" si="117"/>
        <v>#N/A</v>
      </c>
      <c r="AL394" s="55" t="e">
        <f t="shared" ca="1" si="118"/>
        <v>#N/A</v>
      </c>
      <c r="AM394" s="55"/>
    </row>
    <row r="395" spans="18:39">
      <c r="R395" s="83" t="e">
        <f ca="1"/>
        <v>#N/A</v>
      </c>
      <c r="S395" s="55" t="e">
        <f t="shared" ca="1" si="111"/>
        <v>#N/A</v>
      </c>
      <c r="T395" s="55" t="e">
        <f t="shared" ca="1" si="104"/>
        <v>#N/A</v>
      </c>
      <c r="U395" s="55" t="e">
        <f t="shared" ca="1" si="105"/>
        <v>#N/A</v>
      </c>
      <c r="V395" s="55" t="e">
        <f t="shared" ca="1" si="106"/>
        <v>#N/A</v>
      </c>
      <c r="W395" s="55" t="e">
        <f t="shared" ca="1" si="112"/>
        <v>#N/A</v>
      </c>
      <c r="X395" s="55" t="e">
        <f t="shared" ca="1" si="113"/>
        <v>#N/A</v>
      </c>
      <c r="Y395" s="55" t="e">
        <f t="shared" ca="1" si="114"/>
        <v>#N/A</v>
      </c>
      <c r="Z395" s="55" t="e">
        <f t="shared" ca="1" si="107"/>
        <v>#N/A</v>
      </c>
      <c r="AA395" t="e">
        <f t="shared" ca="1" si="108"/>
        <v>#N/A</v>
      </c>
      <c r="AB395" t="e">
        <f t="shared" ca="1" si="115"/>
        <v>#N/A</v>
      </c>
      <c r="AC395" t="e">
        <f t="shared" ca="1" si="109"/>
        <v>#N/A</v>
      </c>
      <c r="AD395" t="e">
        <f t="shared" ca="1" si="110"/>
        <v>#N/A</v>
      </c>
      <c r="AE395" s="83" t="e">
        <f ca="1"/>
        <v>#N/A</v>
      </c>
      <c r="AF395" s="55" t="e">
        <f t="shared" ca="1" si="119"/>
        <v>#N/A</v>
      </c>
      <c r="AG395" s="55" t="e">
        <f t="shared" ca="1" si="120"/>
        <v>#N/A</v>
      </c>
      <c r="AH395" s="55" t="e">
        <f t="shared" ca="1" si="121"/>
        <v>#N/A</v>
      </c>
      <c r="AI395" s="55" t="e">
        <f t="shared" ca="1" si="122"/>
        <v>#N/A</v>
      </c>
      <c r="AJ395" s="55" t="e">
        <f t="shared" ca="1" si="116"/>
        <v>#N/A</v>
      </c>
      <c r="AK395" s="55" t="e">
        <f t="shared" ca="1" si="117"/>
        <v>#N/A</v>
      </c>
      <c r="AL395" s="55" t="e">
        <f t="shared" ca="1" si="118"/>
        <v>#N/A</v>
      </c>
      <c r="AM395" s="55"/>
    </row>
    <row r="396" spans="18:39">
      <c r="R396" s="55" t="e">
        <f ca="1"/>
        <v>#N/A</v>
      </c>
      <c r="S396" s="55" t="e">
        <f t="shared" ref="S396:S459" ca="1" si="123">IF(R396&gt;1,R396,"")</f>
        <v>#N/A</v>
      </c>
      <c r="T396" s="55" t="e">
        <f t="shared" ref="T396:T459" ca="1" si="124">VLOOKUP(S396,ModelOutputs,2,FALSE)</f>
        <v>#N/A</v>
      </c>
      <c r="U396" s="55" t="e">
        <f t="shared" ref="U396:U459" ca="1" si="125">VLOOKUP(S396,ModelOutputs,7,FALSE)</f>
        <v>#N/A</v>
      </c>
      <c r="V396" s="55" t="e">
        <f t="shared" ref="V396:V459" ca="1" si="126">VLOOKUP(S396,ModelOutputs,6,FALSE)</f>
        <v>#N/A</v>
      </c>
      <c r="W396" s="55" t="e">
        <f t="shared" ca="1" si="112"/>
        <v>#N/A</v>
      </c>
      <c r="X396" s="55" t="e">
        <f t="shared" ca="1" si="113"/>
        <v>#N/A</v>
      </c>
      <c r="Y396" s="55" t="e">
        <f t="shared" ca="1" si="114"/>
        <v>#N/A</v>
      </c>
      <c r="Z396" s="55" t="e">
        <f t="shared" ca="1" si="107"/>
        <v>#N/A</v>
      </c>
      <c r="AA396" t="e">
        <f t="shared" ca="1" si="108"/>
        <v>#N/A</v>
      </c>
      <c r="AB396" t="e">
        <f t="shared" ref="AB396:AB459" ca="1" si="127">VLOOKUP(S396,ModelOutputs,11,FALSE)+AB395</f>
        <v>#N/A</v>
      </c>
      <c r="AC396" t="e">
        <f t="shared" ref="AC396:AC459" ca="1" si="128">VLOOKUP(S396,ModelOutputs,12,FALSE)</f>
        <v>#N/A</v>
      </c>
      <c r="AD396" t="e">
        <f t="shared" ref="AD396:AD459" ca="1" si="129">VLOOKUP(S396,ModelOutputs,13,FALSE)</f>
        <v>#N/A</v>
      </c>
      <c r="AE396" s="83" t="e">
        <f ca="1"/>
        <v>#N/A</v>
      </c>
      <c r="AF396" s="55" t="e">
        <f t="shared" ref="AF396:AF459" ca="1" si="130">IF(AE396&gt;1,AE396,"")</f>
        <v>#N/A</v>
      </c>
      <c r="AG396" s="55" t="e">
        <f t="shared" ref="AG396:AG459" ca="1" si="131">VLOOKUP(AF396,ModelOutputs,2,FALSE)</f>
        <v>#N/A</v>
      </c>
      <c r="AH396" s="55" t="e">
        <f t="shared" ref="AH396:AH459" ca="1" si="132">VLOOKUP(AF396,ModelOutputs,7,FALSE)</f>
        <v>#N/A</v>
      </c>
      <c r="AI396" s="55" t="e">
        <f t="shared" ref="AI396:AI459" ca="1" si="133">VLOOKUP(AF396,ModelOutputs,6,FALSE)</f>
        <v>#N/A</v>
      </c>
      <c r="AJ396" s="55" t="e">
        <f t="shared" ca="1" si="116"/>
        <v>#N/A</v>
      </c>
      <c r="AK396" s="55" t="e">
        <f t="shared" ca="1" si="117"/>
        <v>#N/A</v>
      </c>
      <c r="AL396" s="55" t="e">
        <f t="shared" ca="1" si="118"/>
        <v>#N/A</v>
      </c>
      <c r="AM396" s="55"/>
    </row>
    <row r="397" spans="18:39">
      <c r="R397" s="55" t="e">
        <f ca="1"/>
        <v>#N/A</v>
      </c>
      <c r="S397" s="55" t="e">
        <f t="shared" ca="1" si="123"/>
        <v>#N/A</v>
      </c>
      <c r="T397" s="55" t="e">
        <f t="shared" ca="1" si="124"/>
        <v>#N/A</v>
      </c>
      <c r="U397" s="55" t="e">
        <f t="shared" ca="1" si="125"/>
        <v>#N/A</v>
      </c>
      <c r="V397" s="55" t="e">
        <f t="shared" ca="1" si="126"/>
        <v>#N/A</v>
      </c>
      <c r="W397" s="55" t="e">
        <f t="shared" ca="1" si="112"/>
        <v>#N/A</v>
      </c>
      <c r="X397" s="55" t="e">
        <f t="shared" ca="1" si="113"/>
        <v>#N/A</v>
      </c>
      <c r="Y397" s="55" t="e">
        <f t="shared" ca="1" si="114"/>
        <v>#N/A</v>
      </c>
      <c r="Z397" s="55" t="e">
        <f t="shared" ca="1" si="107"/>
        <v>#N/A</v>
      </c>
      <c r="AA397" t="e">
        <f t="shared" ca="1" si="108"/>
        <v>#N/A</v>
      </c>
      <c r="AB397" t="e">
        <f t="shared" ca="1" si="127"/>
        <v>#N/A</v>
      </c>
      <c r="AC397" t="e">
        <f t="shared" ca="1" si="128"/>
        <v>#N/A</v>
      </c>
      <c r="AD397" t="e">
        <f t="shared" ca="1" si="129"/>
        <v>#N/A</v>
      </c>
      <c r="AE397" s="83" t="e">
        <f ca="1"/>
        <v>#N/A</v>
      </c>
      <c r="AF397" s="55" t="e">
        <f t="shared" ca="1" si="130"/>
        <v>#N/A</v>
      </c>
      <c r="AG397" s="55" t="e">
        <f t="shared" ca="1" si="131"/>
        <v>#N/A</v>
      </c>
      <c r="AH397" s="55" t="e">
        <f t="shared" ca="1" si="132"/>
        <v>#N/A</v>
      </c>
      <c r="AI397" s="55" t="e">
        <f t="shared" ca="1" si="133"/>
        <v>#N/A</v>
      </c>
      <c r="AJ397" s="55" t="e">
        <f t="shared" ca="1" si="116"/>
        <v>#N/A</v>
      </c>
      <c r="AK397" s="55" t="e">
        <f t="shared" ca="1" si="117"/>
        <v>#N/A</v>
      </c>
      <c r="AL397" s="55" t="e">
        <f t="shared" ca="1" si="118"/>
        <v>#N/A</v>
      </c>
      <c r="AM397" s="55"/>
    </row>
    <row r="398" spans="18:39">
      <c r="R398" s="55" t="e">
        <f ca="1"/>
        <v>#N/A</v>
      </c>
      <c r="S398" s="55" t="e">
        <f t="shared" ca="1" si="123"/>
        <v>#N/A</v>
      </c>
      <c r="T398" s="55" t="e">
        <f t="shared" ca="1" si="124"/>
        <v>#N/A</v>
      </c>
      <c r="U398" s="55" t="e">
        <f t="shared" ca="1" si="125"/>
        <v>#N/A</v>
      </c>
      <c r="V398" s="55" t="e">
        <f t="shared" ca="1" si="126"/>
        <v>#N/A</v>
      </c>
      <c r="W398" s="55" t="e">
        <f t="shared" ca="1" si="112"/>
        <v>#N/A</v>
      </c>
      <c r="X398" s="55" t="e">
        <f t="shared" ca="1" si="113"/>
        <v>#N/A</v>
      </c>
      <c r="Y398" s="55" t="e">
        <f t="shared" ca="1" si="114"/>
        <v>#N/A</v>
      </c>
      <c r="Z398" s="55" t="e">
        <f t="shared" ca="1" si="107"/>
        <v>#N/A</v>
      </c>
      <c r="AA398" t="e">
        <f t="shared" ca="1" si="108"/>
        <v>#N/A</v>
      </c>
      <c r="AB398" t="e">
        <f t="shared" ca="1" si="127"/>
        <v>#N/A</v>
      </c>
      <c r="AC398" t="e">
        <f t="shared" ca="1" si="128"/>
        <v>#N/A</v>
      </c>
      <c r="AD398" t="e">
        <f t="shared" ca="1" si="129"/>
        <v>#N/A</v>
      </c>
      <c r="AE398" s="83" t="e">
        <f ca="1"/>
        <v>#N/A</v>
      </c>
      <c r="AF398" s="55" t="e">
        <f t="shared" ca="1" si="130"/>
        <v>#N/A</v>
      </c>
      <c r="AG398" s="55" t="e">
        <f t="shared" ca="1" si="131"/>
        <v>#N/A</v>
      </c>
      <c r="AH398" s="55" t="e">
        <f t="shared" ca="1" si="132"/>
        <v>#N/A</v>
      </c>
      <c r="AI398" s="55" t="e">
        <f t="shared" ca="1" si="133"/>
        <v>#N/A</v>
      </c>
      <c r="AJ398" s="55" t="e">
        <f t="shared" ca="1" si="116"/>
        <v>#N/A</v>
      </c>
      <c r="AK398" s="55" t="e">
        <f t="shared" ca="1" si="117"/>
        <v>#N/A</v>
      </c>
      <c r="AL398" s="55" t="e">
        <f t="shared" ca="1" si="118"/>
        <v>#N/A</v>
      </c>
      <c r="AM398" s="55"/>
    </row>
    <row r="399" spans="18:39">
      <c r="R399" s="55" t="e">
        <f ca="1"/>
        <v>#N/A</v>
      </c>
      <c r="S399" s="55" t="e">
        <f t="shared" ca="1" si="123"/>
        <v>#N/A</v>
      </c>
      <c r="T399" s="55" t="e">
        <f t="shared" ca="1" si="124"/>
        <v>#N/A</v>
      </c>
      <c r="U399" s="55" t="e">
        <f t="shared" ca="1" si="125"/>
        <v>#N/A</v>
      </c>
      <c r="V399" s="55" t="e">
        <f t="shared" ca="1" si="126"/>
        <v>#N/A</v>
      </c>
      <c r="W399" s="55" t="e">
        <f t="shared" ca="1" si="112"/>
        <v>#N/A</v>
      </c>
      <c r="X399" s="55" t="e">
        <f t="shared" ca="1" si="113"/>
        <v>#N/A</v>
      </c>
      <c r="Y399" s="55" t="e">
        <f t="shared" ca="1" si="114"/>
        <v>#N/A</v>
      </c>
      <c r="Z399" s="55" t="e">
        <f t="shared" ca="1" si="107"/>
        <v>#N/A</v>
      </c>
      <c r="AA399" t="e">
        <f t="shared" ca="1" si="108"/>
        <v>#N/A</v>
      </c>
      <c r="AB399" t="e">
        <f t="shared" ca="1" si="127"/>
        <v>#N/A</v>
      </c>
      <c r="AC399" t="e">
        <f t="shared" ca="1" si="128"/>
        <v>#N/A</v>
      </c>
      <c r="AD399" t="e">
        <f t="shared" ca="1" si="129"/>
        <v>#N/A</v>
      </c>
      <c r="AE399" s="83" t="e">
        <f ca="1"/>
        <v>#N/A</v>
      </c>
      <c r="AF399" s="55" t="e">
        <f t="shared" ca="1" si="130"/>
        <v>#N/A</v>
      </c>
      <c r="AG399" s="55" t="e">
        <f t="shared" ca="1" si="131"/>
        <v>#N/A</v>
      </c>
      <c r="AH399" s="55" t="e">
        <f t="shared" ca="1" si="132"/>
        <v>#N/A</v>
      </c>
      <c r="AI399" s="55" t="e">
        <f t="shared" ca="1" si="133"/>
        <v>#N/A</v>
      </c>
      <c r="AJ399" s="55" t="e">
        <f t="shared" ca="1" si="116"/>
        <v>#N/A</v>
      </c>
      <c r="AK399" s="55" t="e">
        <f t="shared" ca="1" si="117"/>
        <v>#N/A</v>
      </c>
      <c r="AL399" s="55" t="e">
        <f t="shared" ca="1" si="118"/>
        <v>#N/A</v>
      </c>
      <c r="AM399" s="55"/>
    </row>
    <row r="400" spans="18:39">
      <c r="R400" s="55" t="e">
        <f ca="1"/>
        <v>#N/A</v>
      </c>
      <c r="S400" s="55" t="e">
        <f t="shared" ca="1" si="123"/>
        <v>#N/A</v>
      </c>
      <c r="T400" s="55" t="e">
        <f t="shared" ca="1" si="124"/>
        <v>#N/A</v>
      </c>
      <c r="U400" s="55" t="e">
        <f t="shared" ca="1" si="125"/>
        <v>#N/A</v>
      </c>
      <c r="V400" s="55" t="e">
        <f t="shared" ca="1" si="126"/>
        <v>#N/A</v>
      </c>
      <c r="W400" s="55" t="e">
        <f t="shared" ca="1" si="112"/>
        <v>#N/A</v>
      </c>
      <c r="X400" s="55" t="e">
        <f t="shared" ca="1" si="113"/>
        <v>#N/A</v>
      </c>
      <c r="Y400" s="55" t="e">
        <f t="shared" ca="1" si="114"/>
        <v>#N/A</v>
      </c>
      <c r="Z400" s="55" t="e">
        <f t="shared" ca="1" si="107"/>
        <v>#N/A</v>
      </c>
      <c r="AA400" t="e">
        <f t="shared" ca="1" si="108"/>
        <v>#N/A</v>
      </c>
      <c r="AB400" t="e">
        <f t="shared" ca="1" si="127"/>
        <v>#N/A</v>
      </c>
      <c r="AC400" t="e">
        <f t="shared" ca="1" si="128"/>
        <v>#N/A</v>
      </c>
      <c r="AD400" t="e">
        <f t="shared" ca="1" si="129"/>
        <v>#N/A</v>
      </c>
      <c r="AE400" s="83" t="e">
        <f ca="1"/>
        <v>#N/A</v>
      </c>
      <c r="AF400" s="55" t="e">
        <f t="shared" ca="1" si="130"/>
        <v>#N/A</v>
      </c>
      <c r="AG400" s="55" t="e">
        <f t="shared" ca="1" si="131"/>
        <v>#N/A</v>
      </c>
      <c r="AH400" s="55" t="e">
        <f t="shared" ca="1" si="132"/>
        <v>#N/A</v>
      </c>
      <c r="AI400" s="55" t="e">
        <f t="shared" ca="1" si="133"/>
        <v>#N/A</v>
      </c>
      <c r="AJ400" s="55" t="e">
        <f t="shared" ca="1" si="116"/>
        <v>#N/A</v>
      </c>
      <c r="AK400" s="55" t="e">
        <f t="shared" ca="1" si="117"/>
        <v>#N/A</v>
      </c>
      <c r="AL400" s="55" t="e">
        <f t="shared" ca="1" si="118"/>
        <v>#N/A</v>
      </c>
      <c r="AM400" s="55"/>
    </row>
    <row r="401" spans="18:39">
      <c r="R401" s="55" t="e">
        <f ca="1"/>
        <v>#N/A</v>
      </c>
      <c r="S401" s="55" t="e">
        <f t="shared" ca="1" si="123"/>
        <v>#N/A</v>
      </c>
      <c r="T401" s="55" t="e">
        <f t="shared" ca="1" si="124"/>
        <v>#N/A</v>
      </c>
      <c r="U401" s="55" t="e">
        <f t="shared" ca="1" si="125"/>
        <v>#N/A</v>
      </c>
      <c r="V401" s="55" t="e">
        <f t="shared" ca="1" si="126"/>
        <v>#N/A</v>
      </c>
      <c r="W401" s="55" t="e">
        <f t="shared" ca="1" si="112"/>
        <v>#N/A</v>
      </c>
      <c r="X401" s="55" t="e">
        <f t="shared" ca="1" si="113"/>
        <v>#N/A</v>
      </c>
      <c r="Y401" s="55" t="e">
        <f t="shared" ca="1" si="114"/>
        <v>#N/A</v>
      </c>
      <c r="Z401" s="55" t="e">
        <f t="shared" ca="1" si="107"/>
        <v>#N/A</v>
      </c>
      <c r="AA401" t="e">
        <f t="shared" ca="1" si="108"/>
        <v>#N/A</v>
      </c>
      <c r="AB401" t="e">
        <f t="shared" ca="1" si="127"/>
        <v>#N/A</v>
      </c>
      <c r="AC401" t="e">
        <f t="shared" ca="1" si="128"/>
        <v>#N/A</v>
      </c>
      <c r="AD401" t="e">
        <f t="shared" ca="1" si="129"/>
        <v>#N/A</v>
      </c>
      <c r="AE401" s="83" t="e">
        <f ca="1"/>
        <v>#N/A</v>
      </c>
      <c r="AF401" s="55" t="e">
        <f t="shared" ca="1" si="130"/>
        <v>#N/A</v>
      </c>
      <c r="AG401" s="55" t="e">
        <f t="shared" ca="1" si="131"/>
        <v>#N/A</v>
      </c>
      <c r="AH401" s="55" t="e">
        <f t="shared" ca="1" si="132"/>
        <v>#N/A</v>
      </c>
      <c r="AI401" s="55" t="e">
        <f t="shared" ca="1" si="133"/>
        <v>#N/A</v>
      </c>
      <c r="AJ401" s="55" t="e">
        <f t="shared" ca="1" si="116"/>
        <v>#N/A</v>
      </c>
      <c r="AK401" s="55" t="e">
        <f t="shared" ca="1" si="117"/>
        <v>#N/A</v>
      </c>
      <c r="AL401" s="55" t="e">
        <f t="shared" ca="1" si="118"/>
        <v>#N/A</v>
      </c>
      <c r="AM401" s="55"/>
    </row>
    <row r="402" spans="18:39">
      <c r="R402" s="55" t="e">
        <f ca="1"/>
        <v>#N/A</v>
      </c>
      <c r="S402" s="55" t="e">
        <f t="shared" ca="1" si="123"/>
        <v>#N/A</v>
      </c>
      <c r="T402" s="55" t="e">
        <f t="shared" ca="1" si="124"/>
        <v>#N/A</v>
      </c>
      <c r="U402" s="55" t="e">
        <f t="shared" ca="1" si="125"/>
        <v>#N/A</v>
      </c>
      <c r="V402" s="55" t="e">
        <f t="shared" ca="1" si="126"/>
        <v>#N/A</v>
      </c>
      <c r="W402" s="55" t="e">
        <f t="shared" ca="1" si="112"/>
        <v>#N/A</v>
      </c>
      <c r="X402" s="55" t="e">
        <f t="shared" ca="1" si="113"/>
        <v>#N/A</v>
      </c>
      <c r="Y402" s="55" t="e">
        <f t="shared" ca="1" si="114"/>
        <v>#N/A</v>
      </c>
      <c r="Z402" s="55" t="e">
        <f t="shared" ref="Z402:Z465" ca="1" si="134">VLOOKUP(S402,ModelOutputs,3,FALSE)*14</f>
        <v>#N/A</v>
      </c>
      <c r="AA402" t="e">
        <f t="shared" ref="AA402:AA465" ca="1" si="135">VLOOKUP(S402,ModelOutputs,10,FALSE)*AWC</f>
        <v>#N/A</v>
      </c>
      <c r="AB402" t="e">
        <f t="shared" ca="1" si="127"/>
        <v>#N/A</v>
      </c>
      <c r="AC402" t="e">
        <f t="shared" ca="1" si="128"/>
        <v>#N/A</v>
      </c>
      <c r="AD402" t="e">
        <f t="shared" ca="1" si="129"/>
        <v>#N/A</v>
      </c>
      <c r="AE402" s="83" t="e">
        <f ca="1"/>
        <v>#N/A</v>
      </c>
      <c r="AF402" s="55" t="e">
        <f t="shared" ca="1" si="130"/>
        <v>#N/A</v>
      </c>
      <c r="AG402" s="55" t="e">
        <f t="shared" ca="1" si="131"/>
        <v>#N/A</v>
      </c>
      <c r="AH402" s="55" t="e">
        <f t="shared" ca="1" si="132"/>
        <v>#N/A</v>
      </c>
      <c r="AI402" s="55" t="e">
        <f t="shared" ca="1" si="133"/>
        <v>#N/A</v>
      </c>
      <c r="AJ402" s="55" t="e">
        <f t="shared" ca="1" si="116"/>
        <v>#N/A</v>
      </c>
      <c r="AK402" s="55" t="e">
        <f t="shared" ca="1" si="117"/>
        <v>#N/A</v>
      </c>
      <c r="AL402" s="55" t="e">
        <f t="shared" ca="1" si="118"/>
        <v>#N/A</v>
      </c>
      <c r="AM402" s="55"/>
    </row>
    <row r="403" spans="18:39">
      <c r="R403" s="55" t="e">
        <f ca="1"/>
        <v>#N/A</v>
      </c>
      <c r="S403" s="55" t="e">
        <f t="shared" ca="1" si="123"/>
        <v>#N/A</v>
      </c>
      <c r="T403" s="55" t="e">
        <f t="shared" ca="1" si="124"/>
        <v>#N/A</v>
      </c>
      <c r="U403" s="55" t="e">
        <f t="shared" ca="1" si="125"/>
        <v>#N/A</v>
      </c>
      <c r="V403" s="55" t="e">
        <f t="shared" ca="1" si="126"/>
        <v>#N/A</v>
      </c>
      <c r="W403" s="55" t="e">
        <f t="shared" ref="W403:W466" ca="1" si="136">-VLOOKUP(S403,ModelOutputs,9,FALSE)+W402</f>
        <v>#N/A</v>
      </c>
      <c r="X403" s="55" t="e">
        <f t="shared" ref="X403:X466" ca="1" si="137">VLOOKUP(S403,ModelOutputs,5,FALSE)+X402</f>
        <v>#N/A</v>
      </c>
      <c r="Y403" s="55" t="e">
        <f t="shared" ref="Y403:Y466" ca="1" si="138">VLOOKUP(S403,ModelOutputs,4,FALSE)+Y402</f>
        <v>#N/A</v>
      </c>
      <c r="Z403" s="55" t="e">
        <f t="shared" ca="1" si="134"/>
        <v>#N/A</v>
      </c>
      <c r="AA403" t="e">
        <f t="shared" ca="1" si="135"/>
        <v>#N/A</v>
      </c>
      <c r="AB403" t="e">
        <f t="shared" ca="1" si="127"/>
        <v>#N/A</v>
      </c>
      <c r="AC403" t="e">
        <f t="shared" ca="1" si="128"/>
        <v>#N/A</v>
      </c>
      <c r="AD403" t="e">
        <f t="shared" ca="1" si="129"/>
        <v>#N/A</v>
      </c>
      <c r="AE403" s="83" t="e">
        <f ca="1"/>
        <v>#N/A</v>
      </c>
      <c r="AF403" s="55" t="e">
        <f t="shared" ca="1" si="130"/>
        <v>#N/A</v>
      </c>
      <c r="AG403" s="55" t="e">
        <f t="shared" ca="1" si="131"/>
        <v>#N/A</v>
      </c>
      <c r="AH403" s="55" t="e">
        <f t="shared" ca="1" si="132"/>
        <v>#N/A</v>
      </c>
      <c r="AI403" s="55" t="e">
        <f t="shared" ca="1" si="133"/>
        <v>#N/A</v>
      </c>
      <c r="AJ403" s="55" t="e">
        <f t="shared" ref="AJ403:AJ466" ca="1" si="139">-VLOOKUP(AF403,ModelOutputs,9,FALSE)+AJ402</f>
        <v>#N/A</v>
      </c>
      <c r="AK403" s="55" t="e">
        <f t="shared" ref="AK403:AK466" ca="1" si="140">VLOOKUP(AF403,ModelOutputs,5,FALSE)+AK402</f>
        <v>#N/A</v>
      </c>
      <c r="AL403" s="55" t="e">
        <f t="shared" ref="AL403:AL466" ca="1" si="141">VLOOKUP(AF403,ModelOutputs,4,FALSE)+AL402</f>
        <v>#N/A</v>
      </c>
      <c r="AM403" s="55"/>
    </row>
    <row r="404" spans="18:39">
      <c r="R404" s="55" t="e">
        <f ca="1"/>
        <v>#N/A</v>
      </c>
      <c r="S404" s="55" t="e">
        <f t="shared" ca="1" si="123"/>
        <v>#N/A</v>
      </c>
      <c r="T404" s="55" t="e">
        <f t="shared" ca="1" si="124"/>
        <v>#N/A</v>
      </c>
      <c r="U404" s="55" t="e">
        <f t="shared" ca="1" si="125"/>
        <v>#N/A</v>
      </c>
      <c r="V404" s="55" t="e">
        <f t="shared" ca="1" si="126"/>
        <v>#N/A</v>
      </c>
      <c r="W404" s="55" t="e">
        <f t="shared" ca="1" si="136"/>
        <v>#N/A</v>
      </c>
      <c r="X404" s="55" t="e">
        <f t="shared" ca="1" si="137"/>
        <v>#N/A</v>
      </c>
      <c r="Y404" s="55" t="e">
        <f t="shared" ca="1" si="138"/>
        <v>#N/A</v>
      </c>
      <c r="Z404" s="55" t="e">
        <f t="shared" ca="1" si="134"/>
        <v>#N/A</v>
      </c>
      <c r="AA404" t="e">
        <f t="shared" ca="1" si="135"/>
        <v>#N/A</v>
      </c>
      <c r="AB404" t="e">
        <f t="shared" ca="1" si="127"/>
        <v>#N/A</v>
      </c>
      <c r="AC404" t="e">
        <f t="shared" ca="1" si="128"/>
        <v>#N/A</v>
      </c>
      <c r="AD404" t="e">
        <f t="shared" ca="1" si="129"/>
        <v>#N/A</v>
      </c>
      <c r="AE404" s="83" t="e">
        <f ca="1"/>
        <v>#N/A</v>
      </c>
      <c r="AF404" s="55" t="e">
        <f t="shared" ca="1" si="130"/>
        <v>#N/A</v>
      </c>
      <c r="AG404" s="55" t="e">
        <f t="shared" ca="1" si="131"/>
        <v>#N/A</v>
      </c>
      <c r="AH404" s="55" t="e">
        <f t="shared" ca="1" si="132"/>
        <v>#N/A</v>
      </c>
      <c r="AI404" s="55" t="e">
        <f t="shared" ca="1" si="133"/>
        <v>#N/A</v>
      </c>
      <c r="AJ404" s="55" t="e">
        <f t="shared" ca="1" si="139"/>
        <v>#N/A</v>
      </c>
      <c r="AK404" s="55" t="e">
        <f t="shared" ca="1" si="140"/>
        <v>#N/A</v>
      </c>
      <c r="AL404" s="55" t="e">
        <f t="shared" ca="1" si="141"/>
        <v>#N/A</v>
      </c>
      <c r="AM404" s="55"/>
    </row>
    <row r="405" spans="18:39">
      <c r="R405" s="55" t="e">
        <f ca="1"/>
        <v>#N/A</v>
      </c>
      <c r="S405" s="55" t="e">
        <f t="shared" ca="1" si="123"/>
        <v>#N/A</v>
      </c>
      <c r="T405" s="55" t="e">
        <f t="shared" ca="1" si="124"/>
        <v>#N/A</v>
      </c>
      <c r="U405" s="55" t="e">
        <f t="shared" ca="1" si="125"/>
        <v>#N/A</v>
      </c>
      <c r="V405" s="55" t="e">
        <f t="shared" ca="1" si="126"/>
        <v>#N/A</v>
      </c>
      <c r="W405" s="55" t="e">
        <f t="shared" ca="1" si="136"/>
        <v>#N/A</v>
      </c>
      <c r="X405" s="55" t="e">
        <f t="shared" ca="1" si="137"/>
        <v>#N/A</v>
      </c>
      <c r="Y405" s="55" t="e">
        <f t="shared" ca="1" si="138"/>
        <v>#N/A</v>
      </c>
      <c r="Z405" s="55" t="e">
        <f t="shared" ca="1" si="134"/>
        <v>#N/A</v>
      </c>
      <c r="AA405" t="e">
        <f t="shared" ca="1" si="135"/>
        <v>#N/A</v>
      </c>
      <c r="AB405" t="e">
        <f t="shared" ca="1" si="127"/>
        <v>#N/A</v>
      </c>
      <c r="AC405" t="e">
        <f t="shared" ca="1" si="128"/>
        <v>#N/A</v>
      </c>
      <c r="AD405" t="e">
        <f t="shared" ca="1" si="129"/>
        <v>#N/A</v>
      </c>
      <c r="AE405" s="83" t="e">
        <f ca="1"/>
        <v>#N/A</v>
      </c>
      <c r="AF405" s="55" t="e">
        <f t="shared" ca="1" si="130"/>
        <v>#N/A</v>
      </c>
      <c r="AG405" s="55" t="e">
        <f t="shared" ca="1" si="131"/>
        <v>#N/A</v>
      </c>
      <c r="AH405" s="55" t="e">
        <f t="shared" ca="1" si="132"/>
        <v>#N/A</v>
      </c>
      <c r="AI405" s="55" t="e">
        <f t="shared" ca="1" si="133"/>
        <v>#N/A</v>
      </c>
      <c r="AJ405" s="55" t="e">
        <f t="shared" ca="1" si="139"/>
        <v>#N/A</v>
      </c>
      <c r="AK405" s="55" t="e">
        <f t="shared" ca="1" si="140"/>
        <v>#N/A</v>
      </c>
      <c r="AL405" s="55" t="e">
        <f t="shared" ca="1" si="141"/>
        <v>#N/A</v>
      </c>
      <c r="AM405" s="55"/>
    </row>
    <row r="406" spans="18:39">
      <c r="R406" s="55" t="e">
        <f ca="1"/>
        <v>#N/A</v>
      </c>
      <c r="S406" s="55" t="e">
        <f t="shared" ca="1" si="123"/>
        <v>#N/A</v>
      </c>
      <c r="T406" s="55" t="e">
        <f t="shared" ca="1" si="124"/>
        <v>#N/A</v>
      </c>
      <c r="U406" s="55" t="e">
        <f t="shared" ca="1" si="125"/>
        <v>#N/A</v>
      </c>
      <c r="V406" s="55" t="e">
        <f t="shared" ca="1" si="126"/>
        <v>#N/A</v>
      </c>
      <c r="W406" s="55" t="e">
        <f t="shared" ca="1" si="136"/>
        <v>#N/A</v>
      </c>
      <c r="X406" s="55" t="e">
        <f t="shared" ca="1" si="137"/>
        <v>#N/A</v>
      </c>
      <c r="Y406" s="55" t="e">
        <f t="shared" ca="1" si="138"/>
        <v>#N/A</v>
      </c>
      <c r="Z406" s="55" t="e">
        <f t="shared" ca="1" si="134"/>
        <v>#N/A</v>
      </c>
      <c r="AA406" t="e">
        <f t="shared" ca="1" si="135"/>
        <v>#N/A</v>
      </c>
      <c r="AB406" t="e">
        <f t="shared" ca="1" si="127"/>
        <v>#N/A</v>
      </c>
      <c r="AC406" t="e">
        <f t="shared" ca="1" si="128"/>
        <v>#N/A</v>
      </c>
      <c r="AD406" t="e">
        <f t="shared" ca="1" si="129"/>
        <v>#N/A</v>
      </c>
      <c r="AE406" s="83" t="e">
        <f ca="1"/>
        <v>#N/A</v>
      </c>
      <c r="AF406" s="55" t="e">
        <f t="shared" ca="1" si="130"/>
        <v>#N/A</v>
      </c>
      <c r="AG406" s="55" t="e">
        <f t="shared" ca="1" si="131"/>
        <v>#N/A</v>
      </c>
      <c r="AH406" s="55" t="e">
        <f t="shared" ca="1" si="132"/>
        <v>#N/A</v>
      </c>
      <c r="AI406" s="55" t="e">
        <f t="shared" ca="1" si="133"/>
        <v>#N/A</v>
      </c>
      <c r="AJ406" s="55" t="e">
        <f t="shared" ca="1" si="139"/>
        <v>#N/A</v>
      </c>
      <c r="AK406" s="55" t="e">
        <f t="shared" ca="1" si="140"/>
        <v>#N/A</v>
      </c>
      <c r="AL406" s="55" t="e">
        <f t="shared" ca="1" si="141"/>
        <v>#N/A</v>
      </c>
      <c r="AM406" s="55"/>
    </row>
    <row r="407" spans="18:39">
      <c r="R407" s="55" t="e">
        <f ca="1"/>
        <v>#N/A</v>
      </c>
      <c r="S407" s="55" t="e">
        <f t="shared" ca="1" si="123"/>
        <v>#N/A</v>
      </c>
      <c r="T407" s="55" t="e">
        <f t="shared" ca="1" si="124"/>
        <v>#N/A</v>
      </c>
      <c r="U407" s="55" t="e">
        <f t="shared" ca="1" si="125"/>
        <v>#N/A</v>
      </c>
      <c r="V407" s="55" t="e">
        <f t="shared" ca="1" si="126"/>
        <v>#N/A</v>
      </c>
      <c r="W407" s="55" t="e">
        <f t="shared" ca="1" si="136"/>
        <v>#N/A</v>
      </c>
      <c r="X407" s="55" t="e">
        <f t="shared" ca="1" si="137"/>
        <v>#N/A</v>
      </c>
      <c r="Y407" s="55" t="e">
        <f t="shared" ca="1" si="138"/>
        <v>#N/A</v>
      </c>
      <c r="Z407" s="55" t="e">
        <f t="shared" ca="1" si="134"/>
        <v>#N/A</v>
      </c>
      <c r="AA407" t="e">
        <f t="shared" ca="1" si="135"/>
        <v>#N/A</v>
      </c>
      <c r="AB407" t="e">
        <f t="shared" ca="1" si="127"/>
        <v>#N/A</v>
      </c>
      <c r="AC407" t="e">
        <f t="shared" ca="1" si="128"/>
        <v>#N/A</v>
      </c>
      <c r="AD407" t="e">
        <f t="shared" ca="1" si="129"/>
        <v>#N/A</v>
      </c>
      <c r="AE407" s="83" t="e">
        <f ca="1"/>
        <v>#N/A</v>
      </c>
      <c r="AF407" s="55" t="e">
        <f t="shared" ca="1" si="130"/>
        <v>#N/A</v>
      </c>
      <c r="AG407" s="55" t="e">
        <f t="shared" ca="1" si="131"/>
        <v>#N/A</v>
      </c>
      <c r="AH407" s="55" t="e">
        <f t="shared" ca="1" si="132"/>
        <v>#N/A</v>
      </c>
      <c r="AI407" s="55" t="e">
        <f t="shared" ca="1" si="133"/>
        <v>#N/A</v>
      </c>
      <c r="AJ407" s="55" t="e">
        <f t="shared" ca="1" si="139"/>
        <v>#N/A</v>
      </c>
      <c r="AK407" s="55" t="e">
        <f t="shared" ca="1" si="140"/>
        <v>#N/A</v>
      </c>
      <c r="AL407" s="55" t="e">
        <f t="shared" ca="1" si="141"/>
        <v>#N/A</v>
      </c>
      <c r="AM407" s="55"/>
    </row>
    <row r="408" spans="18:39">
      <c r="R408" s="55" t="e">
        <f ca="1"/>
        <v>#N/A</v>
      </c>
      <c r="S408" s="55" t="e">
        <f t="shared" ca="1" si="123"/>
        <v>#N/A</v>
      </c>
      <c r="T408" s="55" t="e">
        <f t="shared" ca="1" si="124"/>
        <v>#N/A</v>
      </c>
      <c r="U408" s="55" t="e">
        <f t="shared" ca="1" si="125"/>
        <v>#N/A</v>
      </c>
      <c r="V408" s="55" t="e">
        <f t="shared" ca="1" si="126"/>
        <v>#N/A</v>
      </c>
      <c r="W408" s="55" t="e">
        <f t="shared" ca="1" si="136"/>
        <v>#N/A</v>
      </c>
      <c r="X408" s="55" t="e">
        <f t="shared" ca="1" si="137"/>
        <v>#N/A</v>
      </c>
      <c r="Y408" s="55" t="e">
        <f t="shared" ca="1" si="138"/>
        <v>#N/A</v>
      </c>
      <c r="Z408" s="55" t="e">
        <f t="shared" ca="1" si="134"/>
        <v>#N/A</v>
      </c>
      <c r="AA408" t="e">
        <f t="shared" ca="1" si="135"/>
        <v>#N/A</v>
      </c>
      <c r="AB408" t="e">
        <f t="shared" ca="1" si="127"/>
        <v>#N/A</v>
      </c>
      <c r="AC408" t="e">
        <f t="shared" ca="1" si="128"/>
        <v>#N/A</v>
      </c>
      <c r="AD408" t="e">
        <f t="shared" ca="1" si="129"/>
        <v>#N/A</v>
      </c>
      <c r="AE408" s="83" t="e">
        <f ca="1"/>
        <v>#N/A</v>
      </c>
      <c r="AF408" s="55" t="e">
        <f t="shared" ca="1" si="130"/>
        <v>#N/A</v>
      </c>
      <c r="AG408" s="55" t="e">
        <f t="shared" ca="1" si="131"/>
        <v>#N/A</v>
      </c>
      <c r="AH408" s="55" t="e">
        <f t="shared" ca="1" si="132"/>
        <v>#N/A</v>
      </c>
      <c r="AI408" s="55" t="e">
        <f t="shared" ca="1" si="133"/>
        <v>#N/A</v>
      </c>
      <c r="AJ408" s="55" t="e">
        <f t="shared" ca="1" si="139"/>
        <v>#N/A</v>
      </c>
      <c r="AK408" s="55" t="e">
        <f t="shared" ca="1" si="140"/>
        <v>#N/A</v>
      </c>
      <c r="AL408" s="55" t="e">
        <f t="shared" ca="1" si="141"/>
        <v>#N/A</v>
      </c>
      <c r="AM408" s="55"/>
    </row>
    <row r="409" spans="18:39">
      <c r="R409" s="55" t="e">
        <f ca="1"/>
        <v>#N/A</v>
      </c>
      <c r="S409" s="55" t="e">
        <f t="shared" ca="1" si="123"/>
        <v>#N/A</v>
      </c>
      <c r="T409" s="55" t="e">
        <f t="shared" ca="1" si="124"/>
        <v>#N/A</v>
      </c>
      <c r="U409" s="55" t="e">
        <f t="shared" ca="1" si="125"/>
        <v>#N/A</v>
      </c>
      <c r="V409" s="55" t="e">
        <f t="shared" ca="1" si="126"/>
        <v>#N/A</v>
      </c>
      <c r="W409" s="55" t="e">
        <f t="shared" ca="1" si="136"/>
        <v>#N/A</v>
      </c>
      <c r="X409" s="55" t="e">
        <f t="shared" ca="1" si="137"/>
        <v>#N/A</v>
      </c>
      <c r="Y409" s="55" t="e">
        <f t="shared" ca="1" si="138"/>
        <v>#N/A</v>
      </c>
      <c r="Z409" s="55" t="e">
        <f t="shared" ca="1" si="134"/>
        <v>#N/A</v>
      </c>
      <c r="AA409" t="e">
        <f t="shared" ca="1" si="135"/>
        <v>#N/A</v>
      </c>
      <c r="AB409" t="e">
        <f t="shared" ca="1" si="127"/>
        <v>#N/A</v>
      </c>
      <c r="AC409" t="e">
        <f t="shared" ca="1" si="128"/>
        <v>#N/A</v>
      </c>
      <c r="AD409" t="e">
        <f t="shared" ca="1" si="129"/>
        <v>#N/A</v>
      </c>
      <c r="AE409" s="83" t="e">
        <f ca="1"/>
        <v>#N/A</v>
      </c>
      <c r="AF409" s="55" t="e">
        <f t="shared" ca="1" si="130"/>
        <v>#N/A</v>
      </c>
      <c r="AG409" s="55" t="e">
        <f t="shared" ca="1" si="131"/>
        <v>#N/A</v>
      </c>
      <c r="AH409" s="55" t="e">
        <f t="shared" ca="1" si="132"/>
        <v>#N/A</v>
      </c>
      <c r="AI409" s="55" t="e">
        <f t="shared" ca="1" si="133"/>
        <v>#N/A</v>
      </c>
      <c r="AJ409" s="55" t="e">
        <f t="shared" ca="1" si="139"/>
        <v>#N/A</v>
      </c>
      <c r="AK409" s="55" t="e">
        <f t="shared" ca="1" si="140"/>
        <v>#N/A</v>
      </c>
      <c r="AL409" s="55" t="e">
        <f t="shared" ca="1" si="141"/>
        <v>#N/A</v>
      </c>
      <c r="AM409" s="55"/>
    </row>
    <row r="410" spans="18:39">
      <c r="R410" s="55" t="e">
        <f ca="1"/>
        <v>#N/A</v>
      </c>
      <c r="S410" s="55" t="e">
        <f t="shared" ca="1" si="123"/>
        <v>#N/A</v>
      </c>
      <c r="T410" s="55" t="e">
        <f t="shared" ca="1" si="124"/>
        <v>#N/A</v>
      </c>
      <c r="U410" s="55" t="e">
        <f t="shared" ca="1" si="125"/>
        <v>#N/A</v>
      </c>
      <c r="V410" s="55" t="e">
        <f t="shared" ca="1" si="126"/>
        <v>#N/A</v>
      </c>
      <c r="W410" s="55" t="e">
        <f t="shared" ca="1" si="136"/>
        <v>#N/A</v>
      </c>
      <c r="X410" s="55" t="e">
        <f t="shared" ca="1" si="137"/>
        <v>#N/A</v>
      </c>
      <c r="Y410" s="55" t="e">
        <f t="shared" ca="1" si="138"/>
        <v>#N/A</v>
      </c>
      <c r="Z410" s="55" t="e">
        <f t="shared" ca="1" si="134"/>
        <v>#N/A</v>
      </c>
      <c r="AA410" t="e">
        <f t="shared" ca="1" si="135"/>
        <v>#N/A</v>
      </c>
      <c r="AB410" t="e">
        <f t="shared" ca="1" si="127"/>
        <v>#N/A</v>
      </c>
      <c r="AC410" t="e">
        <f t="shared" ca="1" si="128"/>
        <v>#N/A</v>
      </c>
      <c r="AD410" t="e">
        <f t="shared" ca="1" si="129"/>
        <v>#N/A</v>
      </c>
      <c r="AE410" s="83" t="e">
        <f ca="1"/>
        <v>#N/A</v>
      </c>
      <c r="AF410" s="55" t="e">
        <f t="shared" ca="1" si="130"/>
        <v>#N/A</v>
      </c>
      <c r="AG410" s="55" t="e">
        <f t="shared" ca="1" si="131"/>
        <v>#N/A</v>
      </c>
      <c r="AH410" s="55" t="e">
        <f t="shared" ca="1" si="132"/>
        <v>#N/A</v>
      </c>
      <c r="AI410" s="55" t="e">
        <f t="shared" ca="1" si="133"/>
        <v>#N/A</v>
      </c>
      <c r="AJ410" s="55" t="e">
        <f t="shared" ca="1" si="139"/>
        <v>#N/A</v>
      </c>
      <c r="AK410" s="55" t="e">
        <f t="shared" ca="1" si="140"/>
        <v>#N/A</v>
      </c>
      <c r="AL410" s="55" t="e">
        <f t="shared" ca="1" si="141"/>
        <v>#N/A</v>
      </c>
      <c r="AM410" s="55"/>
    </row>
    <row r="411" spans="18:39">
      <c r="R411" s="55" t="e">
        <f ca="1"/>
        <v>#N/A</v>
      </c>
      <c r="S411" s="55" t="e">
        <f t="shared" ca="1" si="123"/>
        <v>#N/A</v>
      </c>
      <c r="T411" s="55" t="e">
        <f t="shared" ca="1" si="124"/>
        <v>#N/A</v>
      </c>
      <c r="U411" s="55" t="e">
        <f t="shared" ca="1" si="125"/>
        <v>#N/A</v>
      </c>
      <c r="V411" s="55" t="e">
        <f t="shared" ca="1" si="126"/>
        <v>#N/A</v>
      </c>
      <c r="W411" s="55" t="e">
        <f t="shared" ca="1" si="136"/>
        <v>#N/A</v>
      </c>
      <c r="X411" s="55" t="e">
        <f t="shared" ca="1" si="137"/>
        <v>#N/A</v>
      </c>
      <c r="Y411" s="55" t="e">
        <f t="shared" ca="1" si="138"/>
        <v>#N/A</v>
      </c>
      <c r="Z411" s="55" t="e">
        <f t="shared" ca="1" si="134"/>
        <v>#N/A</v>
      </c>
      <c r="AA411" t="e">
        <f t="shared" ca="1" si="135"/>
        <v>#N/A</v>
      </c>
      <c r="AB411" t="e">
        <f t="shared" ca="1" si="127"/>
        <v>#N/A</v>
      </c>
      <c r="AC411" t="e">
        <f t="shared" ca="1" si="128"/>
        <v>#N/A</v>
      </c>
      <c r="AD411" t="e">
        <f t="shared" ca="1" si="129"/>
        <v>#N/A</v>
      </c>
      <c r="AE411" s="83" t="e">
        <f ca="1"/>
        <v>#N/A</v>
      </c>
      <c r="AF411" s="55" t="e">
        <f t="shared" ca="1" si="130"/>
        <v>#N/A</v>
      </c>
      <c r="AG411" s="55" t="e">
        <f t="shared" ca="1" si="131"/>
        <v>#N/A</v>
      </c>
      <c r="AH411" s="55" t="e">
        <f t="shared" ca="1" si="132"/>
        <v>#N/A</v>
      </c>
      <c r="AI411" s="55" t="e">
        <f t="shared" ca="1" si="133"/>
        <v>#N/A</v>
      </c>
      <c r="AJ411" s="55" t="e">
        <f t="shared" ca="1" si="139"/>
        <v>#N/A</v>
      </c>
      <c r="AK411" s="55" t="e">
        <f t="shared" ca="1" si="140"/>
        <v>#N/A</v>
      </c>
      <c r="AL411" s="55" t="e">
        <f t="shared" ca="1" si="141"/>
        <v>#N/A</v>
      </c>
      <c r="AM411" s="55"/>
    </row>
    <row r="412" spans="18:39">
      <c r="R412" s="55" t="e">
        <f ca="1"/>
        <v>#N/A</v>
      </c>
      <c r="S412" s="55" t="e">
        <f t="shared" ca="1" si="123"/>
        <v>#N/A</v>
      </c>
      <c r="T412" s="55" t="e">
        <f t="shared" ca="1" si="124"/>
        <v>#N/A</v>
      </c>
      <c r="U412" s="55" t="e">
        <f t="shared" ca="1" si="125"/>
        <v>#N/A</v>
      </c>
      <c r="V412" s="55" t="e">
        <f t="shared" ca="1" si="126"/>
        <v>#N/A</v>
      </c>
      <c r="W412" s="55" t="e">
        <f t="shared" ca="1" si="136"/>
        <v>#N/A</v>
      </c>
      <c r="X412" s="55" t="e">
        <f t="shared" ca="1" si="137"/>
        <v>#N/A</v>
      </c>
      <c r="Y412" s="55" t="e">
        <f t="shared" ca="1" si="138"/>
        <v>#N/A</v>
      </c>
      <c r="Z412" s="55" t="e">
        <f t="shared" ca="1" si="134"/>
        <v>#N/A</v>
      </c>
      <c r="AA412" t="e">
        <f t="shared" ca="1" si="135"/>
        <v>#N/A</v>
      </c>
      <c r="AB412" t="e">
        <f t="shared" ca="1" si="127"/>
        <v>#N/A</v>
      </c>
      <c r="AC412" t="e">
        <f t="shared" ca="1" si="128"/>
        <v>#N/A</v>
      </c>
      <c r="AD412" t="e">
        <f t="shared" ca="1" si="129"/>
        <v>#N/A</v>
      </c>
      <c r="AE412" s="83" t="e">
        <f ca="1"/>
        <v>#N/A</v>
      </c>
      <c r="AF412" s="55" t="e">
        <f t="shared" ca="1" si="130"/>
        <v>#N/A</v>
      </c>
      <c r="AG412" s="55" t="e">
        <f t="shared" ca="1" si="131"/>
        <v>#N/A</v>
      </c>
      <c r="AH412" s="55" t="e">
        <f t="shared" ca="1" si="132"/>
        <v>#N/A</v>
      </c>
      <c r="AI412" s="55" t="e">
        <f t="shared" ca="1" si="133"/>
        <v>#N/A</v>
      </c>
      <c r="AJ412" s="55" t="e">
        <f t="shared" ca="1" si="139"/>
        <v>#N/A</v>
      </c>
      <c r="AK412" s="55" t="e">
        <f t="shared" ca="1" si="140"/>
        <v>#N/A</v>
      </c>
      <c r="AL412" s="55" t="e">
        <f t="shared" ca="1" si="141"/>
        <v>#N/A</v>
      </c>
      <c r="AM412" s="55"/>
    </row>
    <row r="413" spans="18:39">
      <c r="R413" s="55" t="e">
        <f ca="1"/>
        <v>#N/A</v>
      </c>
      <c r="S413" s="55" t="e">
        <f t="shared" ca="1" si="123"/>
        <v>#N/A</v>
      </c>
      <c r="T413" s="55" t="e">
        <f t="shared" ca="1" si="124"/>
        <v>#N/A</v>
      </c>
      <c r="U413" s="55" t="e">
        <f t="shared" ca="1" si="125"/>
        <v>#N/A</v>
      </c>
      <c r="V413" s="55" t="e">
        <f t="shared" ca="1" si="126"/>
        <v>#N/A</v>
      </c>
      <c r="W413" s="55" t="e">
        <f t="shared" ca="1" si="136"/>
        <v>#N/A</v>
      </c>
      <c r="X413" s="55" t="e">
        <f t="shared" ca="1" si="137"/>
        <v>#N/A</v>
      </c>
      <c r="Y413" s="55" t="e">
        <f t="shared" ca="1" si="138"/>
        <v>#N/A</v>
      </c>
      <c r="Z413" s="55" t="e">
        <f t="shared" ca="1" si="134"/>
        <v>#N/A</v>
      </c>
      <c r="AA413" t="e">
        <f t="shared" ca="1" si="135"/>
        <v>#N/A</v>
      </c>
      <c r="AB413" t="e">
        <f t="shared" ca="1" si="127"/>
        <v>#N/A</v>
      </c>
      <c r="AC413" t="e">
        <f t="shared" ca="1" si="128"/>
        <v>#N/A</v>
      </c>
      <c r="AD413" t="e">
        <f t="shared" ca="1" si="129"/>
        <v>#N/A</v>
      </c>
      <c r="AE413" s="83" t="e">
        <f ca="1"/>
        <v>#N/A</v>
      </c>
      <c r="AF413" s="55" t="e">
        <f t="shared" ca="1" si="130"/>
        <v>#N/A</v>
      </c>
      <c r="AG413" s="55" t="e">
        <f t="shared" ca="1" si="131"/>
        <v>#N/A</v>
      </c>
      <c r="AH413" s="55" t="e">
        <f t="shared" ca="1" si="132"/>
        <v>#N/A</v>
      </c>
      <c r="AI413" s="55" t="e">
        <f t="shared" ca="1" si="133"/>
        <v>#N/A</v>
      </c>
      <c r="AJ413" s="55" t="e">
        <f t="shared" ca="1" si="139"/>
        <v>#N/A</v>
      </c>
      <c r="AK413" s="55" t="e">
        <f t="shared" ca="1" si="140"/>
        <v>#N/A</v>
      </c>
      <c r="AL413" s="55" t="e">
        <f t="shared" ca="1" si="141"/>
        <v>#N/A</v>
      </c>
      <c r="AM413" s="55"/>
    </row>
    <row r="414" spans="18:39">
      <c r="R414" s="55" t="e">
        <f ca="1"/>
        <v>#N/A</v>
      </c>
      <c r="S414" s="55" t="e">
        <f t="shared" ca="1" si="123"/>
        <v>#N/A</v>
      </c>
      <c r="T414" s="55" t="e">
        <f t="shared" ca="1" si="124"/>
        <v>#N/A</v>
      </c>
      <c r="U414" s="55" t="e">
        <f t="shared" ca="1" si="125"/>
        <v>#N/A</v>
      </c>
      <c r="V414" s="55" t="e">
        <f t="shared" ca="1" si="126"/>
        <v>#N/A</v>
      </c>
      <c r="W414" s="55" t="e">
        <f t="shared" ca="1" si="136"/>
        <v>#N/A</v>
      </c>
      <c r="X414" s="55" t="e">
        <f t="shared" ca="1" si="137"/>
        <v>#N/A</v>
      </c>
      <c r="Y414" s="55" t="e">
        <f t="shared" ca="1" si="138"/>
        <v>#N/A</v>
      </c>
      <c r="Z414" s="55" t="e">
        <f t="shared" ca="1" si="134"/>
        <v>#N/A</v>
      </c>
      <c r="AA414" t="e">
        <f t="shared" ca="1" si="135"/>
        <v>#N/A</v>
      </c>
      <c r="AB414" t="e">
        <f t="shared" ca="1" si="127"/>
        <v>#N/A</v>
      </c>
      <c r="AC414" t="e">
        <f t="shared" ca="1" si="128"/>
        <v>#N/A</v>
      </c>
      <c r="AD414" t="e">
        <f t="shared" ca="1" si="129"/>
        <v>#N/A</v>
      </c>
      <c r="AE414" s="83" t="e">
        <f ca="1"/>
        <v>#N/A</v>
      </c>
      <c r="AF414" s="55" t="e">
        <f t="shared" ca="1" si="130"/>
        <v>#N/A</v>
      </c>
      <c r="AG414" s="55" t="e">
        <f t="shared" ca="1" si="131"/>
        <v>#N/A</v>
      </c>
      <c r="AH414" s="55" t="e">
        <f t="shared" ca="1" si="132"/>
        <v>#N/A</v>
      </c>
      <c r="AI414" s="55" t="e">
        <f t="shared" ca="1" si="133"/>
        <v>#N/A</v>
      </c>
      <c r="AJ414" s="55" t="e">
        <f t="shared" ca="1" si="139"/>
        <v>#N/A</v>
      </c>
      <c r="AK414" s="55" t="e">
        <f t="shared" ca="1" si="140"/>
        <v>#N/A</v>
      </c>
      <c r="AL414" s="55" t="e">
        <f t="shared" ca="1" si="141"/>
        <v>#N/A</v>
      </c>
      <c r="AM414" s="55"/>
    </row>
    <row r="415" spans="18:39">
      <c r="R415" s="55" t="e">
        <f ca="1"/>
        <v>#N/A</v>
      </c>
      <c r="S415" s="55" t="e">
        <f t="shared" ca="1" si="123"/>
        <v>#N/A</v>
      </c>
      <c r="T415" s="55" t="e">
        <f t="shared" ca="1" si="124"/>
        <v>#N/A</v>
      </c>
      <c r="U415" s="55" t="e">
        <f t="shared" ca="1" si="125"/>
        <v>#N/A</v>
      </c>
      <c r="V415" s="55" t="e">
        <f t="shared" ca="1" si="126"/>
        <v>#N/A</v>
      </c>
      <c r="W415" s="55" t="e">
        <f t="shared" ca="1" si="136"/>
        <v>#N/A</v>
      </c>
      <c r="X415" s="55" t="e">
        <f t="shared" ca="1" si="137"/>
        <v>#N/A</v>
      </c>
      <c r="Y415" s="55" t="e">
        <f t="shared" ca="1" si="138"/>
        <v>#N/A</v>
      </c>
      <c r="Z415" s="55" t="e">
        <f t="shared" ca="1" si="134"/>
        <v>#N/A</v>
      </c>
      <c r="AA415" t="e">
        <f t="shared" ca="1" si="135"/>
        <v>#N/A</v>
      </c>
      <c r="AB415" t="e">
        <f t="shared" ca="1" si="127"/>
        <v>#N/A</v>
      </c>
      <c r="AC415" t="e">
        <f t="shared" ca="1" si="128"/>
        <v>#N/A</v>
      </c>
      <c r="AD415" t="e">
        <f t="shared" ca="1" si="129"/>
        <v>#N/A</v>
      </c>
      <c r="AE415" s="83" t="e">
        <f ca="1"/>
        <v>#N/A</v>
      </c>
      <c r="AF415" s="55" t="e">
        <f t="shared" ca="1" si="130"/>
        <v>#N/A</v>
      </c>
      <c r="AG415" s="55" t="e">
        <f t="shared" ca="1" si="131"/>
        <v>#N/A</v>
      </c>
      <c r="AH415" s="55" t="e">
        <f t="shared" ca="1" si="132"/>
        <v>#N/A</v>
      </c>
      <c r="AI415" s="55" t="e">
        <f t="shared" ca="1" si="133"/>
        <v>#N/A</v>
      </c>
      <c r="AJ415" s="55" t="e">
        <f t="shared" ca="1" si="139"/>
        <v>#N/A</v>
      </c>
      <c r="AK415" s="55" t="e">
        <f t="shared" ca="1" si="140"/>
        <v>#N/A</v>
      </c>
      <c r="AL415" s="55" t="e">
        <f t="shared" ca="1" si="141"/>
        <v>#N/A</v>
      </c>
      <c r="AM415" s="55"/>
    </row>
    <row r="416" spans="18:39">
      <c r="R416" s="55" t="e">
        <f ca="1"/>
        <v>#N/A</v>
      </c>
      <c r="S416" s="55" t="e">
        <f t="shared" ca="1" si="123"/>
        <v>#N/A</v>
      </c>
      <c r="T416" s="55" t="e">
        <f t="shared" ca="1" si="124"/>
        <v>#N/A</v>
      </c>
      <c r="U416" s="55" t="e">
        <f t="shared" ca="1" si="125"/>
        <v>#N/A</v>
      </c>
      <c r="V416" s="55" t="e">
        <f t="shared" ca="1" si="126"/>
        <v>#N/A</v>
      </c>
      <c r="W416" s="55" t="e">
        <f t="shared" ca="1" si="136"/>
        <v>#N/A</v>
      </c>
      <c r="X416" s="55" t="e">
        <f t="shared" ca="1" si="137"/>
        <v>#N/A</v>
      </c>
      <c r="Y416" s="55" t="e">
        <f t="shared" ca="1" si="138"/>
        <v>#N/A</v>
      </c>
      <c r="Z416" s="55" t="e">
        <f t="shared" ca="1" si="134"/>
        <v>#N/A</v>
      </c>
      <c r="AA416" t="e">
        <f t="shared" ca="1" si="135"/>
        <v>#N/A</v>
      </c>
      <c r="AB416" t="e">
        <f t="shared" ca="1" si="127"/>
        <v>#N/A</v>
      </c>
      <c r="AC416" t="e">
        <f t="shared" ca="1" si="128"/>
        <v>#N/A</v>
      </c>
      <c r="AD416" t="e">
        <f t="shared" ca="1" si="129"/>
        <v>#N/A</v>
      </c>
      <c r="AE416" s="83" t="e">
        <f ca="1"/>
        <v>#N/A</v>
      </c>
      <c r="AF416" s="55" t="e">
        <f t="shared" ca="1" si="130"/>
        <v>#N/A</v>
      </c>
      <c r="AG416" s="55" t="e">
        <f t="shared" ca="1" si="131"/>
        <v>#N/A</v>
      </c>
      <c r="AH416" s="55" t="e">
        <f t="shared" ca="1" si="132"/>
        <v>#N/A</v>
      </c>
      <c r="AI416" s="55" t="e">
        <f t="shared" ca="1" si="133"/>
        <v>#N/A</v>
      </c>
      <c r="AJ416" s="55" t="e">
        <f t="shared" ca="1" si="139"/>
        <v>#N/A</v>
      </c>
      <c r="AK416" s="55" t="e">
        <f t="shared" ca="1" si="140"/>
        <v>#N/A</v>
      </c>
      <c r="AL416" s="55" t="e">
        <f t="shared" ca="1" si="141"/>
        <v>#N/A</v>
      </c>
      <c r="AM416" s="55"/>
    </row>
    <row r="417" spans="18:39">
      <c r="R417" s="55" t="e">
        <f ca="1"/>
        <v>#N/A</v>
      </c>
      <c r="S417" s="55" t="e">
        <f t="shared" ca="1" si="123"/>
        <v>#N/A</v>
      </c>
      <c r="T417" s="55" t="e">
        <f t="shared" ca="1" si="124"/>
        <v>#N/A</v>
      </c>
      <c r="U417" s="55" t="e">
        <f t="shared" ca="1" si="125"/>
        <v>#N/A</v>
      </c>
      <c r="V417" s="55" t="e">
        <f t="shared" ca="1" si="126"/>
        <v>#N/A</v>
      </c>
      <c r="W417" s="55" t="e">
        <f t="shared" ca="1" si="136"/>
        <v>#N/A</v>
      </c>
      <c r="X417" s="55" t="e">
        <f t="shared" ca="1" si="137"/>
        <v>#N/A</v>
      </c>
      <c r="Y417" s="55" t="e">
        <f t="shared" ca="1" si="138"/>
        <v>#N/A</v>
      </c>
      <c r="Z417" s="55" t="e">
        <f t="shared" ca="1" si="134"/>
        <v>#N/A</v>
      </c>
      <c r="AA417" t="e">
        <f t="shared" ca="1" si="135"/>
        <v>#N/A</v>
      </c>
      <c r="AB417" t="e">
        <f t="shared" ca="1" si="127"/>
        <v>#N/A</v>
      </c>
      <c r="AC417" t="e">
        <f t="shared" ca="1" si="128"/>
        <v>#N/A</v>
      </c>
      <c r="AD417" t="e">
        <f t="shared" ca="1" si="129"/>
        <v>#N/A</v>
      </c>
      <c r="AE417" s="83" t="e">
        <f ca="1"/>
        <v>#N/A</v>
      </c>
      <c r="AF417" s="55" t="e">
        <f t="shared" ca="1" si="130"/>
        <v>#N/A</v>
      </c>
      <c r="AG417" s="55" t="e">
        <f t="shared" ca="1" si="131"/>
        <v>#N/A</v>
      </c>
      <c r="AH417" s="55" t="e">
        <f t="shared" ca="1" si="132"/>
        <v>#N/A</v>
      </c>
      <c r="AI417" s="55" t="e">
        <f t="shared" ca="1" si="133"/>
        <v>#N/A</v>
      </c>
      <c r="AJ417" s="55" t="e">
        <f t="shared" ca="1" si="139"/>
        <v>#N/A</v>
      </c>
      <c r="AK417" s="55" t="e">
        <f t="shared" ca="1" si="140"/>
        <v>#N/A</v>
      </c>
      <c r="AL417" s="55" t="e">
        <f t="shared" ca="1" si="141"/>
        <v>#N/A</v>
      </c>
      <c r="AM417" s="55"/>
    </row>
    <row r="418" spans="18:39">
      <c r="R418" s="55" t="e">
        <f ca="1"/>
        <v>#N/A</v>
      </c>
      <c r="S418" s="55" t="e">
        <f t="shared" ca="1" si="123"/>
        <v>#N/A</v>
      </c>
      <c r="T418" s="55" t="e">
        <f t="shared" ca="1" si="124"/>
        <v>#N/A</v>
      </c>
      <c r="U418" s="55" t="e">
        <f t="shared" ca="1" si="125"/>
        <v>#N/A</v>
      </c>
      <c r="V418" s="55" t="e">
        <f t="shared" ca="1" si="126"/>
        <v>#N/A</v>
      </c>
      <c r="W418" s="55" t="e">
        <f t="shared" ca="1" si="136"/>
        <v>#N/A</v>
      </c>
      <c r="X418" s="55" t="e">
        <f t="shared" ca="1" si="137"/>
        <v>#N/A</v>
      </c>
      <c r="Y418" s="55" t="e">
        <f t="shared" ca="1" si="138"/>
        <v>#N/A</v>
      </c>
      <c r="Z418" s="55" t="e">
        <f t="shared" ca="1" si="134"/>
        <v>#N/A</v>
      </c>
      <c r="AA418" t="e">
        <f t="shared" ca="1" si="135"/>
        <v>#N/A</v>
      </c>
      <c r="AB418" t="e">
        <f t="shared" ca="1" si="127"/>
        <v>#N/A</v>
      </c>
      <c r="AC418" t="e">
        <f t="shared" ca="1" si="128"/>
        <v>#N/A</v>
      </c>
      <c r="AD418" t="e">
        <f t="shared" ca="1" si="129"/>
        <v>#N/A</v>
      </c>
      <c r="AE418" s="83" t="e">
        <f ca="1"/>
        <v>#N/A</v>
      </c>
      <c r="AF418" s="55" t="e">
        <f t="shared" ca="1" si="130"/>
        <v>#N/A</v>
      </c>
      <c r="AG418" s="55" t="e">
        <f t="shared" ca="1" si="131"/>
        <v>#N/A</v>
      </c>
      <c r="AH418" s="55" t="e">
        <f t="shared" ca="1" si="132"/>
        <v>#N/A</v>
      </c>
      <c r="AI418" s="55" t="e">
        <f t="shared" ca="1" si="133"/>
        <v>#N/A</v>
      </c>
      <c r="AJ418" s="55" t="e">
        <f t="shared" ca="1" si="139"/>
        <v>#N/A</v>
      </c>
      <c r="AK418" s="55" t="e">
        <f t="shared" ca="1" si="140"/>
        <v>#N/A</v>
      </c>
      <c r="AL418" s="55" t="e">
        <f t="shared" ca="1" si="141"/>
        <v>#N/A</v>
      </c>
      <c r="AM418" s="55"/>
    </row>
    <row r="419" spans="18:39">
      <c r="R419" s="55" t="e">
        <f ca="1"/>
        <v>#N/A</v>
      </c>
      <c r="S419" s="55" t="e">
        <f t="shared" ca="1" si="123"/>
        <v>#N/A</v>
      </c>
      <c r="T419" s="55" t="e">
        <f t="shared" ca="1" si="124"/>
        <v>#N/A</v>
      </c>
      <c r="U419" s="55" t="e">
        <f t="shared" ca="1" si="125"/>
        <v>#N/A</v>
      </c>
      <c r="V419" s="55" t="e">
        <f t="shared" ca="1" si="126"/>
        <v>#N/A</v>
      </c>
      <c r="W419" s="55" t="e">
        <f t="shared" ca="1" si="136"/>
        <v>#N/A</v>
      </c>
      <c r="X419" s="55" t="e">
        <f t="shared" ca="1" si="137"/>
        <v>#N/A</v>
      </c>
      <c r="Y419" s="55" t="e">
        <f t="shared" ca="1" si="138"/>
        <v>#N/A</v>
      </c>
      <c r="Z419" s="55" t="e">
        <f t="shared" ca="1" si="134"/>
        <v>#N/A</v>
      </c>
      <c r="AA419" t="e">
        <f t="shared" ca="1" si="135"/>
        <v>#N/A</v>
      </c>
      <c r="AB419" t="e">
        <f t="shared" ca="1" si="127"/>
        <v>#N/A</v>
      </c>
      <c r="AC419" t="e">
        <f t="shared" ca="1" si="128"/>
        <v>#N/A</v>
      </c>
      <c r="AD419" t="e">
        <f t="shared" ca="1" si="129"/>
        <v>#N/A</v>
      </c>
      <c r="AE419" s="83" t="e">
        <f ca="1"/>
        <v>#N/A</v>
      </c>
      <c r="AF419" s="55" t="e">
        <f t="shared" ca="1" si="130"/>
        <v>#N/A</v>
      </c>
      <c r="AG419" s="55" t="e">
        <f t="shared" ca="1" si="131"/>
        <v>#N/A</v>
      </c>
      <c r="AH419" s="55" t="e">
        <f t="shared" ca="1" si="132"/>
        <v>#N/A</v>
      </c>
      <c r="AI419" s="55" t="e">
        <f t="shared" ca="1" si="133"/>
        <v>#N/A</v>
      </c>
      <c r="AJ419" s="55" t="e">
        <f t="shared" ca="1" si="139"/>
        <v>#N/A</v>
      </c>
      <c r="AK419" s="55" t="e">
        <f t="shared" ca="1" si="140"/>
        <v>#N/A</v>
      </c>
      <c r="AL419" s="55" t="e">
        <f t="shared" ca="1" si="141"/>
        <v>#N/A</v>
      </c>
      <c r="AM419" s="55"/>
    </row>
    <row r="420" spans="18:39">
      <c r="R420" s="55" t="e">
        <f ca="1"/>
        <v>#N/A</v>
      </c>
      <c r="S420" s="55" t="e">
        <f t="shared" ca="1" si="123"/>
        <v>#N/A</v>
      </c>
      <c r="T420" s="55" t="e">
        <f t="shared" ca="1" si="124"/>
        <v>#N/A</v>
      </c>
      <c r="U420" s="55" t="e">
        <f t="shared" ca="1" si="125"/>
        <v>#N/A</v>
      </c>
      <c r="V420" s="55" t="e">
        <f t="shared" ca="1" si="126"/>
        <v>#N/A</v>
      </c>
      <c r="W420" s="55" t="e">
        <f t="shared" ca="1" si="136"/>
        <v>#N/A</v>
      </c>
      <c r="X420" s="55" t="e">
        <f t="shared" ca="1" si="137"/>
        <v>#N/A</v>
      </c>
      <c r="Y420" s="55" t="e">
        <f t="shared" ca="1" si="138"/>
        <v>#N/A</v>
      </c>
      <c r="Z420" s="55" t="e">
        <f t="shared" ca="1" si="134"/>
        <v>#N/A</v>
      </c>
      <c r="AA420" t="e">
        <f t="shared" ca="1" si="135"/>
        <v>#N/A</v>
      </c>
      <c r="AB420" t="e">
        <f t="shared" ca="1" si="127"/>
        <v>#N/A</v>
      </c>
      <c r="AC420" t="e">
        <f t="shared" ca="1" si="128"/>
        <v>#N/A</v>
      </c>
      <c r="AD420" t="e">
        <f t="shared" ca="1" si="129"/>
        <v>#N/A</v>
      </c>
      <c r="AE420" s="83" t="e">
        <f ca="1"/>
        <v>#N/A</v>
      </c>
      <c r="AF420" s="55" t="e">
        <f t="shared" ca="1" si="130"/>
        <v>#N/A</v>
      </c>
      <c r="AG420" s="55" t="e">
        <f t="shared" ca="1" si="131"/>
        <v>#N/A</v>
      </c>
      <c r="AH420" s="55" t="e">
        <f t="shared" ca="1" si="132"/>
        <v>#N/A</v>
      </c>
      <c r="AI420" s="55" t="e">
        <f t="shared" ca="1" si="133"/>
        <v>#N/A</v>
      </c>
      <c r="AJ420" s="55" t="e">
        <f t="shared" ca="1" si="139"/>
        <v>#N/A</v>
      </c>
      <c r="AK420" s="55" t="e">
        <f t="shared" ca="1" si="140"/>
        <v>#N/A</v>
      </c>
      <c r="AL420" s="55" t="e">
        <f t="shared" ca="1" si="141"/>
        <v>#N/A</v>
      </c>
      <c r="AM420" s="55"/>
    </row>
    <row r="421" spans="18:39">
      <c r="R421" s="55" t="e">
        <f ca="1"/>
        <v>#N/A</v>
      </c>
      <c r="S421" s="55" t="e">
        <f t="shared" ca="1" si="123"/>
        <v>#N/A</v>
      </c>
      <c r="T421" s="55" t="e">
        <f t="shared" ca="1" si="124"/>
        <v>#N/A</v>
      </c>
      <c r="U421" s="55" t="e">
        <f t="shared" ca="1" si="125"/>
        <v>#N/A</v>
      </c>
      <c r="V421" s="55" t="e">
        <f t="shared" ca="1" si="126"/>
        <v>#N/A</v>
      </c>
      <c r="W421" s="55" t="e">
        <f t="shared" ca="1" si="136"/>
        <v>#N/A</v>
      </c>
      <c r="X421" s="55" t="e">
        <f t="shared" ca="1" si="137"/>
        <v>#N/A</v>
      </c>
      <c r="Y421" s="55" t="e">
        <f t="shared" ca="1" si="138"/>
        <v>#N/A</v>
      </c>
      <c r="Z421" s="55" t="e">
        <f t="shared" ca="1" si="134"/>
        <v>#N/A</v>
      </c>
      <c r="AA421" t="e">
        <f t="shared" ca="1" si="135"/>
        <v>#N/A</v>
      </c>
      <c r="AB421" t="e">
        <f t="shared" ca="1" si="127"/>
        <v>#N/A</v>
      </c>
      <c r="AC421" t="e">
        <f t="shared" ca="1" si="128"/>
        <v>#N/A</v>
      </c>
      <c r="AD421" t="e">
        <f t="shared" ca="1" si="129"/>
        <v>#N/A</v>
      </c>
      <c r="AE421" s="83" t="e">
        <f ca="1"/>
        <v>#N/A</v>
      </c>
      <c r="AF421" s="55" t="e">
        <f t="shared" ca="1" si="130"/>
        <v>#N/A</v>
      </c>
      <c r="AG421" s="55" t="e">
        <f t="shared" ca="1" si="131"/>
        <v>#N/A</v>
      </c>
      <c r="AH421" s="55" t="e">
        <f t="shared" ca="1" si="132"/>
        <v>#N/A</v>
      </c>
      <c r="AI421" s="55" t="e">
        <f t="shared" ca="1" si="133"/>
        <v>#N/A</v>
      </c>
      <c r="AJ421" s="55" t="e">
        <f t="shared" ca="1" si="139"/>
        <v>#N/A</v>
      </c>
      <c r="AK421" s="55" t="e">
        <f t="shared" ca="1" si="140"/>
        <v>#N/A</v>
      </c>
      <c r="AL421" s="55" t="e">
        <f t="shared" ca="1" si="141"/>
        <v>#N/A</v>
      </c>
      <c r="AM421" s="55"/>
    </row>
    <row r="422" spans="18:39">
      <c r="R422" s="55" t="e">
        <f ca="1"/>
        <v>#N/A</v>
      </c>
      <c r="S422" s="55" t="e">
        <f t="shared" ca="1" si="123"/>
        <v>#N/A</v>
      </c>
      <c r="T422" s="55" t="e">
        <f t="shared" ca="1" si="124"/>
        <v>#N/A</v>
      </c>
      <c r="U422" s="55" t="e">
        <f t="shared" ca="1" si="125"/>
        <v>#N/A</v>
      </c>
      <c r="V422" s="55" t="e">
        <f t="shared" ca="1" si="126"/>
        <v>#N/A</v>
      </c>
      <c r="W422" s="55" t="e">
        <f t="shared" ca="1" si="136"/>
        <v>#N/A</v>
      </c>
      <c r="X422" s="55" t="e">
        <f t="shared" ca="1" si="137"/>
        <v>#N/A</v>
      </c>
      <c r="Y422" s="55" t="e">
        <f t="shared" ca="1" si="138"/>
        <v>#N/A</v>
      </c>
      <c r="Z422" s="55" t="e">
        <f t="shared" ca="1" si="134"/>
        <v>#N/A</v>
      </c>
      <c r="AA422" t="e">
        <f t="shared" ca="1" si="135"/>
        <v>#N/A</v>
      </c>
      <c r="AB422" t="e">
        <f t="shared" ca="1" si="127"/>
        <v>#N/A</v>
      </c>
      <c r="AC422" t="e">
        <f t="shared" ca="1" si="128"/>
        <v>#N/A</v>
      </c>
      <c r="AD422" t="e">
        <f t="shared" ca="1" si="129"/>
        <v>#N/A</v>
      </c>
      <c r="AE422" s="83" t="e">
        <f ca="1"/>
        <v>#N/A</v>
      </c>
      <c r="AF422" s="55" t="e">
        <f t="shared" ca="1" si="130"/>
        <v>#N/A</v>
      </c>
      <c r="AG422" s="55" t="e">
        <f t="shared" ca="1" si="131"/>
        <v>#N/A</v>
      </c>
      <c r="AH422" s="55" t="e">
        <f t="shared" ca="1" si="132"/>
        <v>#N/A</v>
      </c>
      <c r="AI422" s="55" t="e">
        <f t="shared" ca="1" si="133"/>
        <v>#N/A</v>
      </c>
      <c r="AJ422" s="55" t="e">
        <f t="shared" ca="1" si="139"/>
        <v>#N/A</v>
      </c>
      <c r="AK422" s="55" t="e">
        <f t="shared" ca="1" si="140"/>
        <v>#N/A</v>
      </c>
      <c r="AL422" s="55" t="e">
        <f t="shared" ca="1" si="141"/>
        <v>#N/A</v>
      </c>
      <c r="AM422" s="55"/>
    </row>
    <row r="423" spans="18:39">
      <c r="R423" s="55" t="e">
        <f ca="1"/>
        <v>#N/A</v>
      </c>
      <c r="S423" s="55" t="e">
        <f t="shared" ca="1" si="123"/>
        <v>#N/A</v>
      </c>
      <c r="T423" s="55" t="e">
        <f t="shared" ca="1" si="124"/>
        <v>#N/A</v>
      </c>
      <c r="U423" s="55" t="e">
        <f t="shared" ca="1" si="125"/>
        <v>#N/A</v>
      </c>
      <c r="V423" s="55" t="e">
        <f t="shared" ca="1" si="126"/>
        <v>#N/A</v>
      </c>
      <c r="W423" s="55" t="e">
        <f t="shared" ca="1" si="136"/>
        <v>#N/A</v>
      </c>
      <c r="X423" s="55" t="e">
        <f t="shared" ca="1" si="137"/>
        <v>#N/A</v>
      </c>
      <c r="Y423" s="55" t="e">
        <f t="shared" ca="1" si="138"/>
        <v>#N/A</v>
      </c>
      <c r="Z423" s="55" t="e">
        <f t="shared" ca="1" si="134"/>
        <v>#N/A</v>
      </c>
      <c r="AA423" t="e">
        <f t="shared" ca="1" si="135"/>
        <v>#N/A</v>
      </c>
      <c r="AB423" t="e">
        <f t="shared" ca="1" si="127"/>
        <v>#N/A</v>
      </c>
      <c r="AC423" t="e">
        <f t="shared" ca="1" si="128"/>
        <v>#N/A</v>
      </c>
      <c r="AD423" t="e">
        <f t="shared" ca="1" si="129"/>
        <v>#N/A</v>
      </c>
      <c r="AE423" s="83" t="e">
        <f ca="1"/>
        <v>#N/A</v>
      </c>
      <c r="AF423" s="55" t="e">
        <f t="shared" ca="1" si="130"/>
        <v>#N/A</v>
      </c>
      <c r="AG423" s="55" t="e">
        <f t="shared" ca="1" si="131"/>
        <v>#N/A</v>
      </c>
      <c r="AH423" s="55" t="e">
        <f t="shared" ca="1" si="132"/>
        <v>#N/A</v>
      </c>
      <c r="AI423" s="55" t="e">
        <f t="shared" ca="1" si="133"/>
        <v>#N/A</v>
      </c>
      <c r="AJ423" s="55" t="e">
        <f t="shared" ca="1" si="139"/>
        <v>#N/A</v>
      </c>
      <c r="AK423" s="55" t="e">
        <f t="shared" ca="1" si="140"/>
        <v>#N/A</v>
      </c>
      <c r="AL423" s="55" t="e">
        <f t="shared" ca="1" si="141"/>
        <v>#N/A</v>
      </c>
      <c r="AM423" s="55"/>
    </row>
    <row r="424" spans="18:39">
      <c r="R424" s="55" t="e">
        <f ca="1"/>
        <v>#N/A</v>
      </c>
      <c r="S424" s="55" t="e">
        <f t="shared" ca="1" si="123"/>
        <v>#N/A</v>
      </c>
      <c r="T424" s="55" t="e">
        <f t="shared" ca="1" si="124"/>
        <v>#N/A</v>
      </c>
      <c r="U424" s="55" t="e">
        <f t="shared" ca="1" si="125"/>
        <v>#N/A</v>
      </c>
      <c r="V424" s="55" t="e">
        <f t="shared" ca="1" si="126"/>
        <v>#N/A</v>
      </c>
      <c r="W424" s="55" t="e">
        <f t="shared" ca="1" si="136"/>
        <v>#N/A</v>
      </c>
      <c r="X424" s="55" t="e">
        <f t="shared" ca="1" si="137"/>
        <v>#N/A</v>
      </c>
      <c r="Y424" s="55" t="e">
        <f t="shared" ca="1" si="138"/>
        <v>#N/A</v>
      </c>
      <c r="Z424" s="55" t="e">
        <f t="shared" ca="1" si="134"/>
        <v>#N/A</v>
      </c>
      <c r="AA424" t="e">
        <f t="shared" ca="1" si="135"/>
        <v>#N/A</v>
      </c>
      <c r="AB424" t="e">
        <f t="shared" ca="1" si="127"/>
        <v>#N/A</v>
      </c>
      <c r="AC424" t="e">
        <f t="shared" ca="1" si="128"/>
        <v>#N/A</v>
      </c>
      <c r="AD424" t="e">
        <f t="shared" ca="1" si="129"/>
        <v>#N/A</v>
      </c>
      <c r="AE424" s="83" t="e">
        <f ca="1"/>
        <v>#N/A</v>
      </c>
      <c r="AF424" s="55" t="e">
        <f t="shared" ca="1" si="130"/>
        <v>#N/A</v>
      </c>
      <c r="AG424" s="55" t="e">
        <f t="shared" ca="1" si="131"/>
        <v>#N/A</v>
      </c>
      <c r="AH424" s="55" t="e">
        <f t="shared" ca="1" si="132"/>
        <v>#N/A</v>
      </c>
      <c r="AI424" s="55" t="e">
        <f t="shared" ca="1" si="133"/>
        <v>#N/A</v>
      </c>
      <c r="AJ424" s="55" t="e">
        <f t="shared" ca="1" si="139"/>
        <v>#N/A</v>
      </c>
      <c r="AK424" s="55" t="e">
        <f t="shared" ca="1" si="140"/>
        <v>#N/A</v>
      </c>
      <c r="AL424" s="55" t="e">
        <f t="shared" ca="1" si="141"/>
        <v>#N/A</v>
      </c>
      <c r="AM424" s="55"/>
    </row>
    <row r="425" spans="18:39">
      <c r="R425" s="55" t="e">
        <f ca="1"/>
        <v>#N/A</v>
      </c>
      <c r="S425" s="55" t="e">
        <f t="shared" ca="1" si="123"/>
        <v>#N/A</v>
      </c>
      <c r="T425" s="55" t="e">
        <f t="shared" ca="1" si="124"/>
        <v>#N/A</v>
      </c>
      <c r="U425" s="55" t="e">
        <f t="shared" ca="1" si="125"/>
        <v>#N/A</v>
      </c>
      <c r="V425" s="55" t="e">
        <f t="shared" ca="1" si="126"/>
        <v>#N/A</v>
      </c>
      <c r="W425" s="55" t="e">
        <f t="shared" ca="1" si="136"/>
        <v>#N/A</v>
      </c>
      <c r="X425" s="55" t="e">
        <f t="shared" ca="1" si="137"/>
        <v>#N/A</v>
      </c>
      <c r="Y425" s="55" t="e">
        <f t="shared" ca="1" si="138"/>
        <v>#N/A</v>
      </c>
      <c r="Z425" s="55" t="e">
        <f t="shared" ca="1" si="134"/>
        <v>#N/A</v>
      </c>
      <c r="AA425" t="e">
        <f t="shared" ca="1" si="135"/>
        <v>#N/A</v>
      </c>
      <c r="AB425" t="e">
        <f t="shared" ca="1" si="127"/>
        <v>#N/A</v>
      </c>
      <c r="AC425" t="e">
        <f t="shared" ca="1" si="128"/>
        <v>#N/A</v>
      </c>
      <c r="AD425" t="e">
        <f t="shared" ca="1" si="129"/>
        <v>#N/A</v>
      </c>
      <c r="AE425" s="83" t="e">
        <f ca="1"/>
        <v>#N/A</v>
      </c>
      <c r="AF425" s="55" t="e">
        <f t="shared" ca="1" si="130"/>
        <v>#N/A</v>
      </c>
      <c r="AG425" s="55" t="e">
        <f t="shared" ca="1" si="131"/>
        <v>#N/A</v>
      </c>
      <c r="AH425" s="55" t="e">
        <f t="shared" ca="1" si="132"/>
        <v>#N/A</v>
      </c>
      <c r="AI425" s="55" t="e">
        <f t="shared" ca="1" si="133"/>
        <v>#N/A</v>
      </c>
      <c r="AJ425" s="55" t="e">
        <f t="shared" ca="1" si="139"/>
        <v>#N/A</v>
      </c>
      <c r="AK425" s="55" t="e">
        <f t="shared" ca="1" si="140"/>
        <v>#N/A</v>
      </c>
      <c r="AL425" s="55" t="e">
        <f t="shared" ca="1" si="141"/>
        <v>#N/A</v>
      </c>
      <c r="AM425" s="55"/>
    </row>
    <row r="426" spans="18:39">
      <c r="R426" s="55" t="e">
        <f ca="1"/>
        <v>#N/A</v>
      </c>
      <c r="S426" s="55" t="e">
        <f t="shared" ca="1" si="123"/>
        <v>#N/A</v>
      </c>
      <c r="T426" s="55" t="e">
        <f t="shared" ca="1" si="124"/>
        <v>#N/A</v>
      </c>
      <c r="U426" s="55" t="e">
        <f t="shared" ca="1" si="125"/>
        <v>#N/A</v>
      </c>
      <c r="V426" s="55" t="e">
        <f t="shared" ca="1" si="126"/>
        <v>#N/A</v>
      </c>
      <c r="W426" s="55" t="e">
        <f t="shared" ca="1" si="136"/>
        <v>#N/A</v>
      </c>
      <c r="X426" s="55" t="e">
        <f t="shared" ca="1" si="137"/>
        <v>#N/A</v>
      </c>
      <c r="Y426" s="55" t="e">
        <f t="shared" ca="1" si="138"/>
        <v>#N/A</v>
      </c>
      <c r="Z426" s="55" t="e">
        <f t="shared" ca="1" si="134"/>
        <v>#N/A</v>
      </c>
      <c r="AA426" t="e">
        <f t="shared" ca="1" si="135"/>
        <v>#N/A</v>
      </c>
      <c r="AB426" t="e">
        <f t="shared" ca="1" si="127"/>
        <v>#N/A</v>
      </c>
      <c r="AC426" t="e">
        <f t="shared" ca="1" si="128"/>
        <v>#N/A</v>
      </c>
      <c r="AD426" t="e">
        <f t="shared" ca="1" si="129"/>
        <v>#N/A</v>
      </c>
      <c r="AE426" s="83" t="e">
        <f ca="1"/>
        <v>#N/A</v>
      </c>
      <c r="AF426" s="55" t="e">
        <f t="shared" ca="1" si="130"/>
        <v>#N/A</v>
      </c>
      <c r="AG426" s="55" t="e">
        <f t="shared" ca="1" si="131"/>
        <v>#N/A</v>
      </c>
      <c r="AH426" s="55" t="e">
        <f t="shared" ca="1" si="132"/>
        <v>#N/A</v>
      </c>
      <c r="AI426" s="55" t="e">
        <f t="shared" ca="1" si="133"/>
        <v>#N/A</v>
      </c>
      <c r="AJ426" s="55" t="e">
        <f t="shared" ca="1" si="139"/>
        <v>#N/A</v>
      </c>
      <c r="AK426" s="55" t="e">
        <f t="shared" ca="1" si="140"/>
        <v>#N/A</v>
      </c>
      <c r="AL426" s="55" t="e">
        <f t="shared" ca="1" si="141"/>
        <v>#N/A</v>
      </c>
      <c r="AM426" s="55"/>
    </row>
    <row r="427" spans="18:39">
      <c r="R427" s="55" t="e">
        <f ca="1"/>
        <v>#N/A</v>
      </c>
      <c r="S427" s="55" t="e">
        <f t="shared" ca="1" si="123"/>
        <v>#N/A</v>
      </c>
      <c r="T427" s="55" t="e">
        <f t="shared" ca="1" si="124"/>
        <v>#N/A</v>
      </c>
      <c r="U427" s="55" t="e">
        <f t="shared" ca="1" si="125"/>
        <v>#N/A</v>
      </c>
      <c r="V427" s="55" t="e">
        <f t="shared" ca="1" si="126"/>
        <v>#N/A</v>
      </c>
      <c r="W427" s="55" t="e">
        <f t="shared" ca="1" si="136"/>
        <v>#N/A</v>
      </c>
      <c r="X427" s="55" t="e">
        <f t="shared" ca="1" si="137"/>
        <v>#N/A</v>
      </c>
      <c r="Y427" s="55" t="e">
        <f t="shared" ca="1" si="138"/>
        <v>#N/A</v>
      </c>
      <c r="Z427" s="55" t="e">
        <f t="shared" ca="1" si="134"/>
        <v>#N/A</v>
      </c>
      <c r="AA427" t="e">
        <f t="shared" ca="1" si="135"/>
        <v>#N/A</v>
      </c>
      <c r="AB427" t="e">
        <f t="shared" ca="1" si="127"/>
        <v>#N/A</v>
      </c>
      <c r="AC427" t="e">
        <f t="shared" ca="1" si="128"/>
        <v>#N/A</v>
      </c>
      <c r="AD427" t="e">
        <f t="shared" ca="1" si="129"/>
        <v>#N/A</v>
      </c>
      <c r="AE427" s="83" t="e">
        <f ca="1"/>
        <v>#N/A</v>
      </c>
      <c r="AF427" s="55" t="e">
        <f t="shared" ca="1" si="130"/>
        <v>#N/A</v>
      </c>
      <c r="AG427" s="55" t="e">
        <f t="shared" ca="1" si="131"/>
        <v>#N/A</v>
      </c>
      <c r="AH427" s="55" t="e">
        <f t="shared" ca="1" si="132"/>
        <v>#N/A</v>
      </c>
      <c r="AI427" s="55" t="e">
        <f t="shared" ca="1" si="133"/>
        <v>#N/A</v>
      </c>
      <c r="AJ427" s="55" t="e">
        <f t="shared" ca="1" si="139"/>
        <v>#N/A</v>
      </c>
      <c r="AK427" s="55" t="e">
        <f t="shared" ca="1" si="140"/>
        <v>#N/A</v>
      </c>
      <c r="AL427" s="55" t="e">
        <f t="shared" ca="1" si="141"/>
        <v>#N/A</v>
      </c>
      <c r="AM427" s="55"/>
    </row>
    <row r="428" spans="18:39">
      <c r="R428" s="55" t="e">
        <f ca="1"/>
        <v>#N/A</v>
      </c>
      <c r="S428" s="55" t="e">
        <f t="shared" ca="1" si="123"/>
        <v>#N/A</v>
      </c>
      <c r="T428" s="55" t="e">
        <f t="shared" ca="1" si="124"/>
        <v>#N/A</v>
      </c>
      <c r="U428" s="55" t="e">
        <f t="shared" ca="1" si="125"/>
        <v>#N/A</v>
      </c>
      <c r="V428" s="55" t="e">
        <f t="shared" ca="1" si="126"/>
        <v>#N/A</v>
      </c>
      <c r="W428" s="55" t="e">
        <f t="shared" ca="1" si="136"/>
        <v>#N/A</v>
      </c>
      <c r="X428" s="55" t="e">
        <f t="shared" ca="1" si="137"/>
        <v>#N/A</v>
      </c>
      <c r="Y428" s="55" t="e">
        <f t="shared" ca="1" si="138"/>
        <v>#N/A</v>
      </c>
      <c r="Z428" s="55" t="e">
        <f t="shared" ca="1" si="134"/>
        <v>#N/A</v>
      </c>
      <c r="AA428" t="e">
        <f t="shared" ca="1" si="135"/>
        <v>#N/A</v>
      </c>
      <c r="AB428" t="e">
        <f t="shared" ca="1" si="127"/>
        <v>#N/A</v>
      </c>
      <c r="AC428" t="e">
        <f t="shared" ca="1" si="128"/>
        <v>#N/A</v>
      </c>
      <c r="AD428" t="e">
        <f t="shared" ca="1" si="129"/>
        <v>#N/A</v>
      </c>
      <c r="AE428" s="83" t="e">
        <f ca="1"/>
        <v>#N/A</v>
      </c>
      <c r="AF428" s="55" t="e">
        <f t="shared" ca="1" si="130"/>
        <v>#N/A</v>
      </c>
      <c r="AG428" s="55" t="e">
        <f t="shared" ca="1" si="131"/>
        <v>#N/A</v>
      </c>
      <c r="AH428" s="55" t="e">
        <f t="shared" ca="1" si="132"/>
        <v>#N/A</v>
      </c>
      <c r="AI428" s="55" t="e">
        <f t="shared" ca="1" si="133"/>
        <v>#N/A</v>
      </c>
      <c r="AJ428" s="55" t="e">
        <f t="shared" ca="1" si="139"/>
        <v>#N/A</v>
      </c>
      <c r="AK428" s="55" t="e">
        <f t="shared" ca="1" si="140"/>
        <v>#N/A</v>
      </c>
      <c r="AL428" s="55" t="e">
        <f t="shared" ca="1" si="141"/>
        <v>#N/A</v>
      </c>
      <c r="AM428" s="55"/>
    </row>
    <row r="429" spans="18:39">
      <c r="R429" s="55" t="e">
        <f ca="1"/>
        <v>#N/A</v>
      </c>
      <c r="S429" s="55" t="e">
        <f t="shared" ca="1" si="123"/>
        <v>#N/A</v>
      </c>
      <c r="T429" s="55" t="e">
        <f t="shared" ca="1" si="124"/>
        <v>#N/A</v>
      </c>
      <c r="U429" s="55" t="e">
        <f t="shared" ca="1" si="125"/>
        <v>#N/A</v>
      </c>
      <c r="V429" s="55" t="e">
        <f t="shared" ca="1" si="126"/>
        <v>#N/A</v>
      </c>
      <c r="W429" s="55" t="e">
        <f t="shared" ca="1" si="136"/>
        <v>#N/A</v>
      </c>
      <c r="X429" s="55" t="e">
        <f t="shared" ca="1" si="137"/>
        <v>#N/A</v>
      </c>
      <c r="Y429" s="55" t="e">
        <f t="shared" ca="1" si="138"/>
        <v>#N/A</v>
      </c>
      <c r="Z429" s="55" t="e">
        <f t="shared" ca="1" si="134"/>
        <v>#N/A</v>
      </c>
      <c r="AA429" t="e">
        <f t="shared" ca="1" si="135"/>
        <v>#N/A</v>
      </c>
      <c r="AB429" t="e">
        <f t="shared" ca="1" si="127"/>
        <v>#N/A</v>
      </c>
      <c r="AC429" t="e">
        <f t="shared" ca="1" si="128"/>
        <v>#N/A</v>
      </c>
      <c r="AD429" t="e">
        <f t="shared" ca="1" si="129"/>
        <v>#N/A</v>
      </c>
      <c r="AE429" s="83" t="e">
        <f ca="1"/>
        <v>#N/A</v>
      </c>
      <c r="AF429" s="55" t="e">
        <f t="shared" ca="1" si="130"/>
        <v>#N/A</v>
      </c>
      <c r="AG429" s="55" t="e">
        <f t="shared" ca="1" si="131"/>
        <v>#N/A</v>
      </c>
      <c r="AH429" s="55" t="e">
        <f t="shared" ca="1" si="132"/>
        <v>#N/A</v>
      </c>
      <c r="AI429" s="55" t="e">
        <f t="shared" ca="1" si="133"/>
        <v>#N/A</v>
      </c>
      <c r="AJ429" s="55" t="e">
        <f t="shared" ca="1" si="139"/>
        <v>#N/A</v>
      </c>
      <c r="AK429" s="55" t="e">
        <f t="shared" ca="1" si="140"/>
        <v>#N/A</v>
      </c>
      <c r="AL429" s="55" t="e">
        <f t="shared" ca="1" si="141"/>
        <v>#N/A</v>
      </c>
      <c r="AM429" s="55"/>
    </row>
    <row r="430" spans="18:39">
      <c r="R430" s="55" t="e">
        <f ca="1"/>
        <v>#N/A</v>
      </c>
      <c r="S430" s="55" t="e">
        <f t="shared" ca="1" si="123"/>
        <v>#N/A</v>
      </c>
      <c r="T430" s="55" t="e">
        <f t="shared" ca="1" si="124"/>
        <v>#N/A</v>
      </c>
      <c r="U430" s="55" t="e">
        <f t="shared" ca="1" si="125"/>
        <v>#N/A</v>
      </c>
      <c r="V430" s="55" t="e">
        <f t="shared" ca="1" si="126"/>
        <v>#N/A</v>
      </c>
      <c r="W430" s="55" t="e">
        <f t="shared" ca="1" si="136"/>
        <v>#N/A</v>
      </c>
      <c r="X430" s="55" t="e">
        <f t="shared" ca="1" si="137"/>
        <v>#N/A</v>
      </c>
      <c r="Y430" s="55" t="e">
        <f t="shared" ca="1" si="138"/>
        <v>#N/A</v>
      </c>
      <c r="Z430" s="55" t="e">
        <f t="shared" ca="1" si="134"/>
        <v>#N/A</v>
      </c>
      <c r="AA430" t="e">
        <f t="shared" ca="1" si="135"/>
        <v>#N/A</v>
      </c>
      <c r="AB430" t="e">
        <f t="shared" ca="1" si="127"/>
        <v>#N/A</v>
      </c>
      <c r="AC430" t="e">
        <f t="shared" ca="1" si="128"/>
        <v>#N/A</v>
      </c>
      <c r="AD430" t="e">
        <f t="shared" ca="1" si="129"/>
        <v>#N/A</v>
      </c>
      <c r="AE430" s="83" t="e">
        <f ca="1"/>
        <v>#N/A</v>
      </c>
      <c r="AF430" s="55" t="e">
        <f t="shared" ca="1" si="130"/>
        <v>#N/A</v>
      </c>
      <c r="AG430" s="55" t="e">
        <f t="shared" ca="1" si="131"/>
        <v>#N/A</v>
      </c>
      <c r="AH430" s="55" t="e">
        <f t="shared" ca="1" si="132"/>
        <v>#N/A</v>
      </c>
      <c r="AI430" s="55" t="e">
        <f t="shared" ca="1" si="133"/>
        <v>#N/A</v>
      </c>
      <c r="AJ430" s="55" t="e">
        <f t="shared" ca="1" si="139"/>
        <v>#N/A</v>
      </c>
      <c r="AK430" s="55" t="e">
        <f t="shared" ca="1" si="140"/>
        <v>#N/A</v>
      </c>
      <c r="AL430" s="55" t="e">
        <f t="shared" ca="1" si="141"/>
        <v>#N/A</v>
      </c>
      <c r="AM430" s="55"/>
    </row>
    <row r="431" spans="18:39">
      <c r="R431" s="55" t="e">
        <f ca="1"/>
        <v>#N/A</v>
      </c>
      <c r="S431" s="55" t="e">
        <f t="shared" ca="1" si="123"/>
        <v>#N/A</v>
      </c>
      <c r="T431" s="55" t="e">
        <f t="shared" ca="1" si="124"/>
        <v>#N/A</v>
      </c>
      <c r="U431" s="55" t="e">
        <f t="shared" ca="1" si="125"/>
        <v>#N/A</v>
      </c>
      <c r="V431" s="55" t="e">
        <f t="shared" ca="1" si="126"/>
        <v>#N/A</v>
      </c>
      <c r="W431" s="55" t="e">
        <f t="shared" ca="1" si="136"/>
        <v>#N/A</v>
      </c>
      <c r="X431" s="55" t="e">
        <f t="shared" ca="1" si="137"/>
        <v>#N/A</v>
      </c>
      <c r="Y431" s="55" t="e">
        <f t="shared" ca="1" si="138"/>
        <v>#N/A</v>
      </c>
      <c r="Z431" s="55" t="e">
        <f t="shared" ca="1" si="134"/>
        <v>#N/A</v>
      </c>
      <c r="AA431" t="e">
        <f t="shared" ca="1" si="135"/>
        <v>#N/A</v>
      </c>
      <c r="AB431" t="e">
        <f t="shared" ca="1" si="127"/>
        <v>#N/A</v>
      </c>
      <c r="AC431" t="e">
        <f t="shared" ca="1" si="128"/>
        <v>#N/A</v>
      </c>
      <c r="AD431" t="e">
        <f t="shared" ca="1" si="129"/>
        <v>#N/A</v>
      </c>
      <c r="AE431" s="83" t="e">
        <f ca="1"/>
        <v>#N/A</v>
      </c>
      <c r="AF431" s="55" t="e">
        <f t="shared" ca="1" si="130"/>
        <v>#N/A</v>
      </c>
      <c r="AG431" s="55" t="e">
        <f t="shared" ca="1" si="131"/>
        <v>#N/A</v>
      </c>
      <c r="AH431" s="55" t="e">
        <f t="shared" ca="1" si="132"/>
        <v>#N/A</v>
      </c>
      <c r="AI431" s="55" t="e">
        <f t="shared" ca="1" si="133"/>
        <v>#N/A</v>
      </c>
      <c r="AJ431" s="55" t="e">
        <f t="shared" ca="1" si="139"/>
        <v>#N/A</v>
      </c>
      <c r="AK431" s="55" t="e">
        <f t="shared" ca="1" si="140"/>
        <v>#N/A</v>
      </c>
      <c r="AL431" s="55" t="e">
        <f t="shared" ca="1" si="141"/>
        <v>#N/A</v>
      </c>
      <c r="AM431" s="55"/>
    </row>
    <row r="432" spans="18:39">
      <c r="R432" s="55" t="e">
        <f ca="1"/>
        <v>#N/A</v>
      </c>
      <c r="S432" s="55" t="e">
        <f t="shared" ca="1" si="123"/>
        <v>#N/A</v>
      </c>
      <c r="T432" s="55" t="e">
        <f t="shared" ca="1" si="124"/>
        <v>#N/A</v>
      </c>
      <c r="U432" s="55" t="e">
        <f t="shared" ca="1" si="125"/>
        <v>#N/A</v>
      </c>
      <c r="V432" s="55" t="e">
        <f t="shared" ca="1" si="126"/>
        <v>#N/A</v>
      </c>
      <c r="W432" s="55" t="e">
        <f t="shared" ca="1" si="136"/>
        <v>#N/A</v>
      </c>
      <c r="X432" s="55" t="e">
        <f t="shared" ca="1" si="137"/>
        <v>#N/A</v>
      </c>
      <c r="Y432" s="55" t="e">
        <f t="shared" ca="1" si="138"/>
        <v>#N/A</v>
      </c>
      <c r="Z432" s="55" t="e">
        <f t="shared" ca="1" si="134"/>
        <v>#N/A</v>
      </c>
      <c r="AA432" t="e">
        <f t="shared" ca="1" si="135"/>
        <v>#N/A</v>
      </c>
      <c r="AB432" t="e">
        <f t="shared" ca="1" si="127"/>
        <v>#N/A</v>
      </c>
      <c r="AC432" t="e">
        <f t="shared" ca="1" si="128"/>
        <v>#N/A</v>
      </c>
      <c r="AD432" t="e">
        <f t="shared" ca="1" si="129"/>
        <v>#N/A</v>
      </c>
      <c r="AE432" s="83" t="e">
        <f ca="1"/>
        <v>#N/A</v>
      </c>
      <c r="AF432" s="55" t="e">
        <f t="shared" ca="1" si="130"/>
        <v>#N/A</v>
      </c>
      <c r="AG432" s="55" t="e">
        <f t="shared" ca="1" si="131"/>
        <v>#N/A</v>
      </c>
      <c r="AH432" s="55" t="e">
        <f t="shared" ca="1" si="132"/>
        <v>#N/A</v>
      </c>
      <c r="AI432" s="55" t="e">
        <f t="shared" ca="1" si="133"/>
        <v>#N/A</v>
      </c>
      <c r="AJ432" s="55" t="e">
        <f t="shared" ca="1" si="139"/>
        <v>#N/A</v>
      </c>
      <c r="AK432" s="55" t="e">
        <f t="shared" ca="1" si="140"/>
        <v>#N/A</v>
      </c>
      <c r="AL432" s="55" t="e">
        <f t="shared" ca="1" si="141"/>
        <v>#N/A</v>
      </c>
      <c r="AM432" s="55"/>
    </row>
    <row r="433" spans="18:39">
      <c r="R433" s="55" t="e">
        <f ca="1"/>
        <v>#N/A</v>
      </c>
      <c r="S433" s="55" t="e">
        <f t="shared" ca="1" si="123"/>
        <v>#N/A</v>
      </c>
      <c r="T433" s="55" t="e">
        <f t="shared" ca="1" si="124"/>
        <v>#N/A</v>
      </c>
      <c r="U433" s="55" t="e">
        <f t="shared" ca="1" si="125"/>
        <v>#N/A</v>
      </c>
      <c r="V433" s="55" t="e">
        <f t="shared" ca="1" si="126"/>
        <v>#N/A</v>
      </c>
      <c r="W433" s="55" t="e">
        <f t="shared" ca="1" si="136"/>
        <v>#N/A</v>
      </c>
      <c r="X433" s="55" t="e">
        <f t="shared" ca="1" si="137"/>
        <v>#N/A</v>
      </c>
      <c r="Y433" s="55" t="e">
        <f t="shared" ca="1" si="138"/>
        <v>#N/A</v>
      </c>
      <c r="Z433" s="55" t="e">
        <f t="shared" ca="1" si="134"/>
        <v>#N/A</v>
      </c>
      <c r="AA433" t="e">
        <f t="shared" ca="1" si="135"/>
        <v>#N/A</v>
      </c>
      <c r="AB433" t="e">
        <f t="shared" ca="1" si="127"/>
        <v>#N/A</v>
      </c>
      <c r="AC433" t="e">
        <f t="shared" ca="1" si="128"/>
        <v>#N/A</v>
      </c>
      <c r="AD433" t="e">
        <f t="shared" ca="1" si="129"/>
        <v>#N/A</v>
      </c>
      <c r="AE433" s="83" t="e">
        <f ca="1"/>
        <v>#N/A</v>
      </c>
      <c r="AF433" s="55" t="e">
        <f t="shared" ca="1" si="130"/>
        <v>#N/A</v>
      </c>
      <c r="AG433" s="55" t="e">
        <f t="shared" ca="1" si="131"/>
        <v>#N/A</v>
      </c>
      <c r="AH433" s="55" t="e">
        <f t="shared" ca="1" si="132"/>
        <v>#N/A</v>
      </c>
      <c r="AI433" s="55" t="e">
        <f t="shared" ca="1" si="133"/>
        <v>#N/A</v>
      </c>
      <c r="AJ433" s="55" t="e">
        <f t="shared" ca="1" si="139"/>
        <v>#N/A</v>
      </c>
      <c r="AK433" s="55" t="e">
        <f t="shared" ca="1" si="140"/>
        <v>#N/A</v>
      </c>
      <c r="AL433" s="55" t="e">
        <f t="shared" ca="1" si="141"/>
        <v>#N/A</v>
      </c>
      <c r="AM433" s="55"/>
    </row>
    <row r="434" spans="18:39">
      <c r="R434" s="55" t="e">
        <f ca="1"/>
        <v>#N/A</v>
      </c>
      <c r="S434" s="55" t="e">
        <f t="shared" ca="1" si="123"/>
        <v>#N/A</v>
      </c>
      <c r="T434" s="55" t="e">
        <f t="shared" ca="1" si="124"/>
        <v>#N/A</v>
      </c>
      <c r="U434" s="55" t="e">
        <f t="shared" ca="1" si="125"/>
        <v>#N/A</v>
      </c>
      <c r="V434" s="55" t="e">
        <f t="shared" ca="1" si="126"/>
        <v>#N/A</v>
      </c>
      <c r="W434" s="55" t="e">
        <f t="shared" ca="1" si="136"/>
        <v>#N/A</v>
      </c>
      <c r="X434" s="55" t="e">
        <f t="shared" ca="1" si="137"/>
        <v>#N/A</v>
      </c>
      <c r="Y434" s="55" t="e">
        <f t="shared" ca="1" si="138"/>
        <v>#N/A</v>
      </c>
      <c r="Z434" s="55" t="e">
        <f t="shared" ca="1" si="134"/>
        <v>#N/A</v>
      </c>
      <c r="AA434" t="e">
        <f t="shared" ca="1" si="135"/>
        <v>#N/A</v>
      </c>
      <c r="AB434" t="e">
        <f t="shared" ca="1" si="127"/>
        <v>#N/A</v>
      </c>
      <c r="AC434" t="e">
        <f t="shared" ca="1" si="128"/>
        <v>#N/A</v>
      </c>
      <c r="AD434" t="e">
        <f t="shared" ca="1" si="129"/>
        <v>#N/A</v>
      </c>
      <c r="AE434" s="83" t="e">
        <f ca="1"/>
        <v>#N/A</v>
      </c>
      <c r="AF434" s="55" t="e">
        <f t="shared" ca="1" si="130"/>
        <v>#N/A</v>
      </c>
      <c r="AG434" s="55" t="e">
        <f t="shared" ca="1" si="131"/>
        <v>#N/A</v>
      </c>
      <c r="AH434" s="55" t="e">
        <f t="shared" ca="1" si="132"/>
        <v>#N/A</v>
      </c>
      <c r="AI434" s="55" t="e">
        <f t="shared" ca="1" si="133"/>
        <v>#N/A</v>
      </c>
      <c r="AJ434" s="55" t="e">
        <f t="shared" ca="1" si="139"/>
        <v>#N/A</v>
      </c>
      <c r="AK434" s="55" t="e">
        <f t="shared" ca="1" si="140"/>
        <v>#N/A</v>
      </c>
      <c r="AL434" s="55" t="e">
        <f t="shared" ca="1" si="141"/>
        <v>#N/A</v>
      </c>
      <c r="AM434" s="55"/>
    </row>
    <row r="435" spans="18:39">
      <c r="R435" s="55" t="e">
        <f ca="1"/>
        <v>#N/A</v>
      </c>
      <c r="S435" s="55" t="e">
        <f t="shared" ca="1" si="123"/>
        <v>#N/A</v>
      </c>
      <c r="T435" s="55" t="e">
        <f t="shared" ca="1" si="124"/>
        <v>#N/A</v>
      </c>
      <c r="U435" s="55" t="e">
        <f t="shared" ca="1" si="125"/>
        <v>#N/A</v>
      </c>
      <c r="V435" s="55" t="e">
        <f t="shared" ca="1" si="126"/>
        <v>#N/A</v>
      </c>
      <c r="W435" s="55" t="e">
        <f t="shared" ca="1" si="136"/>
        <v>#N/A</v>
      </c>
      <c r="X435" s="55" t="e">
        <f t="shared" ca="1" si="137"/>
        <v>#N/A</v>
      </c>
      <c r="Y435" s="55" t="e">
        <f t="shared" ca="1" si="138"/>
        <v>#N/A</v>
      </c>
      <c r="Z435" s="55" t="e">
        <f t="shared" ca="1" si="134"/>
        <v>#N/A</v>
      </c>
      <c r="AA435" t="e">
        <f t="shared" ca="1" si="135"/>
        <v>#N/A</v>
      </c>
      <c r="AB435" t="e">
        <f t="shared" ca="1" si="127"/>
        <v>#N/A</v>
      </c>
      <c r="AC435" t="e">
        <f t="shared" ca="1" si="128"/>
        <v>#N/A</v>
      </c>
      <c r="AD435" t="e">
        <f t="shared" ca="1" si="129"/>
        <v>#N/A</v>
      </c>
      <c r="AE435" s="83" t="e">
        <f ca="1"/>
        <v>#N/A</v>
      </c>
      <c r="AF435" s="55" t="e">
        <f t="shared" ca="1" si="130"/>
        <v>#N/A</v>
      </c>
      <c r="AG435" s="55" t="e">
        <f t="shared" ca="1" si="131"/>
        <v>#N/A</v>
      </c>
      <c r="AH435" s="55" t="e">
        <f t="shared" ca="1" si="132"/>
        <v>#N/A</v>
      </c>
      <c r="AI435" s="55" t="e">
        <f t="shared" ca="1" si="133"/>
        <v>#N/A</v>
      </c>
      <c r="AJ435" s="55" t="e">
        <f t="shared" ca="1" si="139"/>
        <v>#N/A</v>
      </c>
      <c r="AK435" s="55" t="e">
        <f t="shared" ca="1" si="140"/>
        <v>#N/A</v>
      </c>
      <c r="AL435" s="55" t="e">
        <f t="shared" ca="1" si="141"/>
        <v>#N/A</v>
      </c>
      <c r="AM435" s="55"/>
    </row>
    <row r="436" spans="18:39">
      <c r="R436" s="55" t="e">
        <f ca="1"/>
        <v>#N/A</v>
      </c>
      <c r="S436" s="55" t="e">
        <f t="shared" ca="1" si="123"/>
        <v>#N/A</v>
      </c>
      <c r="T436" s="55" t="e">
        <f t="shared" ca="1" si="124"/>
        <v>#N/A</v>
      </c>
      <c r="U436" s="55" t="e">
        <f t="shared" ca="1" si="125"/>
        <v>#N/A</v>
      </c>
      <c r="V436" s="55" t="e">
        <f t="shared" ca="1" si="126"/>
        <v>#N/A</v>
      </c>
      <c r="W436" s="55" t="e">
        <f t="shared" ca="1" si="136"/>
        <v>#N/A</v>
      </c>
      <c r="X436" s="55" t="e">
        <f t="shared" ca="1" si="137"/>
        <v>#N/A</v>
      </c>
      <c r="Y436" s="55" t="e">
        <f t="shared" ca="1" si="138"/>
        <v>#N/A</v>
      </c>
      <c r="Z436" s="55" t="e">
        <f t="shared" ca="1" si="134"/>
        <v>#N/A</v>
      </c>
      <c r="AA436" t="e">
        <f t="shared" ca="1" si="135"/>
        <v>#N/A</v>
      </c>
      <c r="AB436" t="e">
        <f t="shared" ca="1" si="127"/>
        <v>#N/A</v>
      </c>
      <c r="AC436" t="e">
        <f t="shared" ca="1" si="128"/>
        <v>#N/A</v>
      </c>
      <c r="AD436" t="e">
        <f t="shared" ca="1" si="129"/>
        <v>#N/A</v>
      </c>
      <c r="AE436" s="83" t="e">
        <f ca="1"/>
        <v>#N/A</v>
      </c>
      <c r="AF436" s="55" t="e">
        <f t="shared" ca="1" si="130"/>
        <v>#N/A</v>
      </c>
      <c r="AG436" s="55" t="e">
        <f t="shared" ca="1" si="131"/>
        <v>#N/A</v>
      </c>
      <c r="AH436" s="55" t="e">
        <f t="shared" ca="1" si="132"/>
        <v>#N/A</v>
      </c>
      <c r="AI436" s="55" t="e">
        <f t="shared" ca="1" si="133"/>
        <v>#N/A</v>
      </c>
      <c r="AJ436" s="55" t="e">
        <f t="shared" ca="1" si="139"/>
        <v>#N/A</v>
      </c>
      <c r="AK436" s="55" t="e">
        <f t="shared" ca="1" si="140"/>
        <v>#N/A</v>
      </c>
      <c r="AL436" s="55" t="e">
        <f t="shared" ca="1" si="141"/>
        <v>#N/A</v>
      </c>
      <c r="AM436" s="55"/>
    </row>
    <row r="437" spans="18:39">
      <c r="R437" s="55" t="e">
        <f ca="1"/>
        <v>#N/A</v>
      </c>
      <c r="S437" s="55" t="e">
        <f t="shared" ca="1" si="123"/>
        <v>#N/A</v>
      </c>
      <c r="T437" s="55" t="e">
        <f t="shared" ca="1" si="124"/>
        <v>#N/A</v>
      </c>
      <c r="U437" s="55" t="e">
        <f t="shared" ca="1" si="125"/>
        <v>#N/A</v>
      </c>
      <c r="V437" s="55" t="e">
        <f t="shared" ca="1" si="126"/>
        <v>#N/A</v>
      </c>
      <c r="W437" s="55" t="e">
        <f t="shared" ca="1" si="136"/>
        <v>#N/A</v>
      </c>
      <c r="X437" s="55" t="e">
        <f t="shared" ca="1" si="137"/>
        <v>#N/A</v>
      </c>
      <c r="Y437" s="55" t="e">
        <f t="shared" ca="1" si="138"/>
        <v>#N/A</v>
      </c>
      <c r="Z437" s="55" t="e">
        <f t="shared" ca="1" si="134"/>
        <v>#N/A</v>
      </c>
      <c r="AA437" t="e">
        <f t="shared" ca="1" si="135"/>
        <v>#N/A</v>
      </c>
      <c r="AB437" t="e">
        <f t="shared" ca="1" si="127"/>
        <v>#N/A</v>
      </c>
      <c r="AC437" t="e">
        <f t="shared" ca="1" si="128"/>
        <v>#N/A</v>
      </c>
      <c r="AD437" t="e">
        <f t="shared" ca="1" si="129"/>
        <v>#N/A</v>
      </c>
      <c r="AE437" s="83" t="e">
        <f ca="1"/>
        <v>#N/A</v>
      </c>
      <c r="AF437" s="55" t="e">
        <f t="shared" ca="1" si="130"/>
        <v>#N/A</v>
      </c>
      <c r="AG437" s="55" t="e">
        <f t="shared" ca="1" si="131"/>
        <v>#N/A</v>
      </c>
      <c r="AH437" s="55" t="e">
        <f t="shared" ca="1" si="132"/>
        <v>#N/A</v>
      </c>
      <c r="AI437" s="55" t="e">
        <f t="shared" ca="1" si="133"/>
        <v>#N/A</v>
      </c>
      <c r="AJ437" s="55" t="e">
        <f t="shared" ca="1" si="139"/>
        <v>#N/A</v>
      </c>
      <c r="AK437" s="55" t="e">
        <f t="shared" ca="1" si="140"/>
        <v>#N/A</v>
      </c>
      <c r="AL437" s="55" t="e">
        <f t="shared" ca="1" si="141"/>
        <v>#N/A</v>
      </c>
      <c r="AM437" s="55"/>
    </row>
    <row r="438" spans="18:39">
      <c r="R438" s="55" t="e">
        <f ca="1"/>
        <v>#N/A</v>
      </c>
      <c r="S438" s="55" t="e">
        <f t="shared" ca="1" si="123"/>
        <v>#N/A</v>
      </c>
      <c r="T438" s="55" t="e">
        <f t="shared" ca="1" si="124"/>
        <v>#N/A</v>
      </c>
      <c r="U438" s="55" t="e">
        <f t="shared" ca="1" si="125"/>
        <v>#N/A</v>
      </c>
      <c r="V438" s="55" t="e">
        <f t="shared" ca="1" si="126"/>
        <v>#N/A</v>
      </c>
      <c r="W438" s="55" t="e">
        <f t="shared" ca="1" si="136"/>
        <v>#N/A</v>
      </c>
      <c r="X438" s="55" t="e">
        <f t="shared" ca="1" si="137"/>
        <v>#N/A</v>
      </c>
      <c r="Y438" s="55" t="e">
        <f t="shared" ca="1" si="138"/>
        <v>#N/A</v>
      </c>
      <c r="Z438" s="55" t="e">
        <f t="shared" ca="1" si="134"/>
        <v>#N/A</v>
      </c>
      <c r="AA438" t="e">
        <f t="shared" ca="1" si="135"/>
        <v>#N/A</v>
      </c>
      <c r="AB438" t="e">
        <f t="shared" ca="1" si="127"/>
        <v>#N/A</v>
      </c>
      <c r="AC438" t="e">
        <f t="shared" ca="1" si="128"/>
        <v>#N/A</v>
      </c>
      <c r="AD438" t="e">
        <f t="shared" ca="1" si="129"/>
        <v>#N/A</v>
      </c>
      <c r="AE438" s="83" t="e">
        <f ca="1"/>
        <v>#N/A</v>
      </c>
      <c r="AF438" s="55" t="e">
        <f t="shared" ca="1" si="130"/>
        <v>#N/A</v>
      </c>
      <c r="AG438" s="55" t="e">
        <f t="shared" ca="1" si="131"/>
        <v>#N/A</v>
      </c>
      <c r="AH438" s="55" t="e">
        <f t="shared" ca="1" si="132"/>
        <v>#N/A</v>
      </c>
      <c r="AI438" s="55" t="e">
        <f t="shared" ca="1" si="133"/>
        <v>#N/A</v>
      </c>
      <c r="AJ438" s="55" t="e">
        <f t="shared" ca="1" si="139"/>
        <v>#N/A</v>
      </c>
      <c r="AK438" s="55" t="e">
        <f t="shared" ca="1" si="140"/>
        <v>#N/A</v>
      </c>
      <c r="AL438" s="55" t="e">
        <f t="shared" ca="1" si="141"/>
        <v>#N/A</v>
      </c>
      <c r="AM438" s="55"/>
    </row>
    <row r="439" spans="18:39">
      <c r="R439" s="55" t="e">
        <f ca="1"/>
        <v>#N/A</v>
      </c>
      <c r="S439" s="55" t="e">
        <f t="shared" ca="1" si="123"/>
        <v>#N/A</v>
      </c>
      <c r="T439" s="55" t="e">
        <f t="shared" ca="1" si="124"/>
        <v>#N/A</v>
      </c>
      <c r="U439" s="55" t="e">
        <f t="shared" ca="1" si="125"/>
        <v>#N/A</v>
      </c>
      <c r="V439" s="55" t="e">
        <f t="shared" ca="1" si="126"/>
        <v>#N/A</v>
      </c>
      <c r="W439" s="55" t="e">
        <f t="shared" ca="1" si="136"/>
        <v>#N/A</v>
      </c>
      <c r="X439" s="55" t="e">
        <f t="shared" ca="1" si="137"/>
        <v>#N/A</v>
      </c>
      <c r="Y439" s="55" t="e">
        <f t="shared" ca="1" si="138"/>
        <v>#N/A</v>
      </c>
      <c r="Z439" s="55" t="e">
        <f t="shared" ca="1" si="134"/>
        <v>#N/A</v>
      </c>
      <c r="AA439" t="e">
        <f t="shared" ca="1" si="135"/>
        <v>#N/A</v>
      </c>
      <c r="AB439" t="e">
        <f t="shared" ca="1" si="127"/>
        <v>#N/A</v>
      </c>
      <c r="AC439" t="e">
        <f t="shared" ca="1" si="128"/>
        <v>#N/A</v>
      </c>
      <c r="AD439" t="e">
        <f t="shared" ca="1" si="129"/>
        <v>#N/A</v>
      </c>
      <c r="AE439" s="83" t="e">
        <f ca="1"/>
        <v>#N/A</v>
      </c>
      <c r="AF439" s="55" t="e">
        <f t="shared" ca="1" si="130"/>
        <v>#N/A</v>
      </c>
      <c r="AG439" s="55" t="e">
        <f t="shared" ca="1" si="131"/>
        <v>#N/A</v>
      </c>
      <c r="AH439" s="55" t="e">
        <f t="shared" ca="1" si="132"/>
        <v>#N/A</v>
      </c>
      <c r="AI439" s="55" t="e">
        <f t="shared" ca="1" si="133"/>
        <v>#N/A</v>
      </c>
      <c r="AJ439" s="55" t="e">
        <f t="shared" ca="1" si="139"/>
        <v>#N/A</v>
      </c>
      <c r="AK439" s="55" t="e">
        <f t="shared" ca="1" si="140"/>
        <v>#N/A</v>
      </c>
      <c r="AL439" s="55" t="e">
        <f t="shared" ca="1" si="141"/>
        <v>#N/A</v>
      </c>
      <c r="AM439" s="55"/>
    </row>
    <row r="440" spans="18:39">
      <c r="R440" s="55" t="e">
        <f ca="1"/>
        <v>#N/A</v>
      </c>
      <c r="S440" s="55" t="e">
        <f t="shared" ca="1" si="123"/>
        <v>#N/A</v>
      </c>
      <c r="T440" s="55" t="e">
        <f t="shared" ca="1" si="124"/>
        <v>#N/A</v>
      </c>
      <c r="U440" s="55" t="e">
        <f t="shared" ca="1" si="125"/>
        <v>#N/A</v>
      </c>
      <c r="V440" s="55" t="e">
        <f t="shared" ca="1" si="126"/>
        <v>#N/A</v>
      </c>
      <c r="W440" s="55" t="e">
        <f t="shared" ca="1" si="136"/>
        <v>#N/A</v>
      </c>
      <c r="X440" s="55" t="e">
        <f t="shared" ca="1" si="137"/>
        <v>#N/A</v>
      </c>
      <c r="Y440" s="55" t="e">
        <f t="shared" ca="1" si="138"/>
        <v>#N/A</v>
      </c>
      <c r="Z440" s="55" t="e">
        <f t="shared" ca="1" si="134"/>
        <v>#N/A</v>
      </c>
      <c r="AA440" t="e">
        <f t="shared" ca="1" si="135"/>
        <v>#N/A</v>
      </c>
      <c r="AB440" t="e">
        <f t="shared" ca="1" si="127"/>
        <v>#N/A</v>
      </c>
      <c r="AC440" t="e">
        <f t="shared" ca="1" si="128"/>
        <v>#N/A</v>
      </c>
      <c r="AD440" t="e">
        <f t="shared" ca="1" si="129"/>
        <v>#N/A</v>
      </c>
      <c r="AE440" s="83" t="e">
        <f ca="1"/>
        <v>#N/A</v>
      </c>
      <c r="AF440" s="55" t="e">
        <f t="shared" ca="1" si="130"/>
        <v>#N/A</v>
      </c>
      <c r="AG440" s="55" t="e">
        <f t="shared" ca="1" si="131"/>
        <v>#N/A</v>
      </c>
      <c r="AH440" s="55" t="e">
        <f t="shared" ca="1" si="132"/>
        <v>#N/A</v>
      </c>
      <c r="AI440" s="55" t="e">
        <f t="shared" ca="1" si="133"/>
        <v>#N/A</v>
      </c>
      <c r="AJ440" s="55" t="e">
        <f t="shared" ca="1" si="139"/>
        <v>#N/A</v>
      </c>
      <c r="AK440" s="55" t="e">
        <f t="shared" ca="1" si="140"/>
        <v>#N/A</v>
      </c>
      <c r="AL440" s="55" t="e">
        <f t="shared" ca="1" si="141"/>
        <v>#N/A</v>
      </c>
      <c r="AM440" s="55"/>
    </row>
    <row r="441" spans="18:39">
      <c r="R441" s="55" t="e">
        <f ca="1"/>
        <v>#N/A</v>
      </c>
      <c r="S441" s="55" t="e">
        <f t="shared" ca="1" si="123"/>
        <v>#N/A</v>
      </c>
      <c r="T441" s="55" t="e">
        <f t="shared" ca="1" si="124"/>
        <v>#N/A</v>
      </c>
      <c r="U441" s="55" t="e">
        <f t="shared" ca="1" si="125"/>
        <v>#N/A</v>
      </c>
      <c r="V441" s="55" t="e">
        <f t="shared" ca="1" si="126"/>
        <v>#N/A</v>
      </c>
      <c r="W441" s="55" t="e">
        <f t="shared" ca="1" si="136"/>
        <v>#N/A</v>
      </c>
      <c r="X441" s="55" t="e">
        <f t="shared" ca="1" si="137"/>
        <v>#N/A</v>
      </c>
      <c r="Y441" s="55" t="e">
        <f t="shared" ca="1" si="138"/>
        <v>#N/A</v>
      </c>
      <c r="Z441" s="55" t="e">
        <f t="shared" ca="1" si="134"/>
        <v>#N/A</v>
      </c>
      <c r="AA441" t="e">
        <f t="shared" ca="1" si="135"/>
        <v>#N/A</v>
      </c>
      <c r="AB441" t="e">
        <f t="shared" ca="1" si="127"/>
        <v>#N/A</v>
      </c>
      <c r="AC441" t="e">
        <f t="shared" ca="1" si="128"/>
        <v>#N/A</v>
      </c>
      <c r="AD441" t="e">
        <f t="shared" ca="1" si="129"/>
        <v>#N/A</v>
      </c>
      <c r="AE441" s="83" t="e">
        <f ca="1"/>
        <v>#N/A</v>
      </c>
      <c r="AF441" s="55" t="e">
        <f t="shared" ca="1" si="130"/>
        <v>#N/A</v>
      </c>
      <c r="AG441" s="55" t="e">
        <f t="shared" ca="1" si="131"/>
        <v>#N/A</v>
      </c>
      <c r="AH441" s="55" t="e">
        <f t="shared" ca="1" si="132"/>
        <v>#N/A</v>
      </c>
      <c r="AI441" s="55" t="e">
        <f t="shared" ca="1" si="133"/>
        <v>#N/A</v>
      </c>
      <c r="AJ441" s="55" t="e">
        <f t="shared" ca="1" si="139"/>
        <v>#N/A</v>
      </c>
      <c r="AK441" s="55" t="e">
        <f t="shared" ca="1" si="140"/>
        <v>#N/A</v>
      </c>
      <c r="AL441" s="55" t="e">
        <f t="shared" ca="1" si="141"/>
        <v>#N/A</v>
      </c>
      <c r="AM441" s="55"/>
    </row>
    <row r="442" spans="18:39">
      <c r="R442" s="55" t="e">
        <f ca="1"/>
        <v>#N/A</v>
      </c>
      <c r="S442" s="55" t="e">
        <f t="shared" ca="1" si="123"/>
        <v>#N/A</v>
      </c>
      <c r="T442" s="55" t="e">
        <f t="shared" ca="1" si="124"/>
        <v>#N/A</v>
      </c>
      <c r="U442" s="55" t="e">
        <f t="shared" ca="1" si="125"/>
        <v>#N/A</v>
      </c>
      <c r="V442" s="55" t="e">
        <f t="shared" ca="1" si="126"/>
        <v>#N/A</v>
      </c>
      <c r="W442" s="55" t="e">
        <f t="shared" ca="1" si="136"/>
        <v>#N/A</v>
      </c>
      <c r="X442" s="55" t="e">
        <f t="shared" ca="1" si="137"/>
        <v>#N/A</v>
      </c>
      <c r="Y442" s="55" t="e">
        <f t="shared" ca="1" si="138"/>
        <v>#N/A</v>
      </c>
      <c r="Z442" s="55" t="e">
        <f t="shared" ca="1" si="134"/>
        <v>#N/A</v>
      </c>
      <c r="AA442" t="e">
        <f t="shared" ca="1" si="135"/>
        <v>#N/A</v>
      </c>
      <c r="AB442" t="e">
        <f t="shared" ca="1" si="127"/>
        <v>#N/A</v>
      </c>
      <c r="AC442" t="e">
        <f t="shared" ca="1" si="128"/>
        <v>#N/A</v>
      </c>
      <c r="AD442" t="e">
        <f t="shared" ca="1" si="129"/>
        <v>#N/A</v>
      </c>
      <c r="AE442" s="83" t="e">
        <f ca="1"/>
        <v>#N/A</v>
      </c>
      <c r="AF442" s="55" t="e">
        <f t="shared" ca="1" si="130"/>
        <v>#N/A</v>
      </c>
      <c r="AG442" s="55" t="e">
        <f t="shared" ca="1" si="131"/>
        <v>#N/A</v>
      </c>
      <c r="AH442" s="55" t="e">
        <f t="shared" ca="1" si="132"/>
        <v>#N/A</v>
      </c>
      <c r="AI442" s="55" t="e">
        <f t="shared" ca="1" si="133"/>
        <v>#N/A</v>
      </c>
      <c r="AJ442" s="55" t="e">
        <f t="shared" ca="1" si="139"/>
        <v>#N/A</v>
      </c>
      <c r="AK442" s="55" t="e">
        <f t="shared" ca="1" si="140"/>
        <v>#N/A</v>
      </c>
      <c r="AL442" s="55" t="e">
        <f t="shared" ca="1" si="141"/>
        <v>#N/A</v>
      </c>
      <c r="AM442" s="55"/>
    </row>
    <row r="443" spans="18:39">
      <c r="R443" s="55" t="e">
        <f ca="1"/>
        <v>#N/A</v>
      </c>
      <c r="S443" s="55" t="e">
        <f t="shared" ca="1" si="123"/>
        <v>#N/A</v>
      </c>
      <c r="T443" s="55" t="e">
        <f t="shared" ca="1" si="124"/>
        <v>#N/A</v>
      </c>
      <c r="U443" s="55" t="e">
        <f t="shared" ca="1" si="125"/>
        <v>#N/A</v>
      </c>
      <c r="V443" s="55" t="e">
        <f t="shared" ca="1" si="126"/>
        <v>#N/A</v>
      </c>
      <c r="W443" s="55" t="e">
        <f t="shared" ca="1" si="136"/>
        <v>#N/A</v>
      </c>
      <c r="X443" s="55" t="e">
        <f t="shared" ca="1" si="137"/>
        <v>#N/A</v>
      </c>
      <c r="Y443" s="55" t="e">
        <f t="shared" ca="1" si="138"/>
        <v>#N/A</v>
      </c>
      <c r="Z443" s="55" t="e">
        <f t="shared" ca="1" si="134"/>
        <v>#N/A</v>
      </c>
      <c r="AA443" t="e">
        <f t="shared" ca="1" si="135"/>
        <v>#N/A</v>
      </c>
      <c r="AB443" t="e">
        <f t="shared" ca="1" si="127"/>
        <v>#N/A</v>
      </c>
      <c r="AC443" t="e">
        <f t="shared" ca="1" si="128"/>
        <v>#N/A</v>
      </c>
      <c r="AD443" t="e">
        <f t="shared" ca="1" si="129"/>
        <v>#N/A</v>
      </c>
      <c r="AE443" s="83" t="e">
        <f ca="1"/>
        <v>#N/A</v>
      </c>
      <c r="AF443" s="55" t="e">
        <f t="shared" ca="1" si="130"/>
        <v>#N/A</v>
      </c>
      <c r="AG443" s="55" t="e">
        <f t="shared" ca="1" si="131"/>
        <v>#N/A</v>
      </c>
      <c r="AH443" s="55" t="e">
        <f t="shared" ca="1" si="132"/>
        <v>#N/A</v>
      </c>
      <c r="AI443" s="55" t="e">
        <f t="shared" ca="1" si="133"/>
        <v>#N/A</v>
      </c>
      <c r="AJ443" s="55" t="e">
        <f t="shared" ca="1" si="139"/>
        <v>#N/A</v>
      </c>
      <c r="AK443" s="55" t="e">
        <f t="shared" ca="1" si="140"/>
        <v>#N/A</v>
      </c>
      <c r="AL443" s="55" t="e">
        <f t="shared" ca="1" si="141"/>
        <v>#N/A</v>
      </c>
      <c r="AM443" s="55"/>
    </row>
    <row r="444" spans="18:39">
      <c r="R444" s="55" t="e">
        <f ca="1"/>
        <v>#N/A</v>
      </c>
      <c r="S444" s="55" t="e">
        <f t="shared" ca="1" si="123"/>
        <v>#N/A</v>
      </c>
      <c r="T444" s="55" t="e">
        <f t="shared" ca="1" si="124"/>
        <v>#N/A</v>
      </c>
      <c r="U444" s="55" t="e">
        <f t="shared" ca="1" si="125"/>
        <v>#N/A</v>
      </c>
      <c r="V444" s="55" t="e">
        <f t="shared" ca="1" si="126"/>
        <v>#N/A</v>
      </c>
      <c r="W444" s="55" t="e">
        <f t="shared" ca="1" si="136"/>
        <v>#N/A</v>
      </c>
      <c r="X444" s="55" t="e">
        <f t="shared" ca="1" si="137"/>
        <v>#N/A</v>
      </c>
      <c r="Y444" s="55" t="e">
        <f t="shared" ca="1" si="138"/>
        <v>#N/A</v>
      </c>
      <c r="Z444" s="55" t="e">
        <f t="shared" ca="1" si="134"/>
        <v>#N/A</v>
      </c>
      <c r="AA444" t="e">
        <f t="shared" ca="1" si="135"/>
        <v>#N/A</v>
      </c>
      <c r="AB444" t="e">
        <f t="shared" ca="1" si="127"/>
        <v>#N/A</v>
      </c>
      <c r="AC444" t="e">
        <f t="shared" ca="1" si="128"/>
        <v>#N/A</v>
      </c>
      <c r="AD444" t="e">
        <f t="shared" ca="1" si="129"/>
        <v>#N/A</v>
      </c>
      <c r="AE444" s="83" t="e">
        <f ca="1"/>
        <v>#N/A</v>
      </c>
      <c r="AF444" s="55" t="e">
        <f t="shared" ca="1" si="130"/>
        <v>#N/A</v>
      </c>
      <c r="AG444" s="55" t="e">
        <f t="shared" ca="1" si="131"/>
        <v>#N/A</v>
      </c>
      <c r="AH444" s="55" t="e">
        <f t="shared" ca="1" si="132"/>
        <v>#N/A</v>
      </c>
      <c r="AI444" s="55" t="e">
        <f t="shared" ca="1" si="133"/>
        <v>#N/A</v>
      </c>
      <c r="AJ444" s="55" t="e">
        <f t="shared" ca="1" si="139"/>
        <v>#N/A</v>
      </c>
      <c r="AK444" s="55" t="e">
        <f t="shared" ca="1" si="140"/>
        <v>#N/A</v>
      </c>
      <c r="AL444" s="55" t="e">
        <f t="shared" ca="1" si="141"/>
        <v>#N/A</v>
      </c>
      <c r="AM444" s="55"/>
    </row>
    <row r="445" spans="18:39">
      <c r="R445" s="55" t="e">
        <f ca="1"/>
        <v>#N/A</v>
      </c>
      <c r="S445" s="55" t="e">
        <f t="shared" ca="1" si="123"/>
        <v>#N/A</v>
      </c>
      <c r="T445" s="55" t="e">
        <f t="shared" ca="1" si="124"/>
        <v>#N/A</v>
      </c>
      <c r="U445" s="55" t="e">
        <f t="shared" ca="1" si="125"/>
        <v>#N/A</v>
      </c>
      <c r="V445" s="55" t="e">
        <f t="shared" ca="1" si="126"/>
        <v>#N/A</v>
      </c>
      <c r="W445" s="55" t="e">
        <f t="shared" ca="1" si="136"/>
        <v>#N/A</v>
      </c>
      <c r="X445" s="55" t="e">
        <f t="shared" ca="1" si="137"/>
        <v>#N/A</v>
      </c>
      <c r="Y445" s="55" t="e">
        <f t="shared" ca="1" si="138"/>
        <v>#N/A</v>
      </c>
      <c r="Z445" s="55" t="e">
        <f t="shared" ca="1" si="134"/>
        <v>#N/A</v>
      </c>
      <c r="AA445" t="e">
        <f t="shared" ca="1" si="135"/>
        <v>#N/A</v>
      </c>
      <c r="AB445" t="e">
        <f t="shared" ca="1" si="127"/>
        <v>#N/A</v>
      </c>
      <c r="AC445" t="e">
        <f t="shared" ca="1" si="128"/>
        <v>#N/A</v>
      </c>
      <c r="AD445" t="e">
        <f t="shared" ca="1" si="129"/>
        <v>#N/A</v>
      </c>
      <c r="AE445" s="83" t="e">
        <f ca="1"/>
        <v>#N/A</v>
      </c>
      <c r="AF445" s="55" t="e">
        <f t="shared" ca="1" si="130"/>
        <v>#N/A</v>
      </c>
      <c r="AG445" s="55" t="e">
        <f t="shared" ca="1" si="131"/>
        <v>#N/A</v>
      </c>
      <c r="AH445" s="55" t="e">
        <f t="shared" ca="1" si="132"/>
        <v>#N/A</v>
      </c>
      <c r="AI445" s="55" t="e">
        <f t="shared" ca="1" si="133"/>
        <v>#N/A</v>
      </c>
      <c r="AJ445" s="55" t="e">
        <f t="shared" ca="1" si="139"/>
        <v>#N/A</v>
      </c>
      <c r="AK445" s="55" t="e">
        <f t="shared" ca="1" si="140"/>
        <v>#N/A</v>
      </c>
      <c r="AL445" s="55" t="e">
        <f t="shared" ca="1" si="141"/>
        <v>#N/A</v>
      </c>
      <c r="AM445" s="55"/>
    </row>
    <row r="446" spans="18:39">
      <c r="R446" s="55" t="e">
        <f ca="1"/>
        <v>#N/A</v>
      </c>
      <c r="S446" s="55" t="e">
        <f t="shared" ca="1" si="123"/>
        <v>#N/A</v>
      </c>
      <c r="T446" s="55" t="e">
        <f t="shared" ca="1" si="124"/>
        <v>#N/A</v>
      </c>
      <c r="U446" s="55" t="e">
        <f t="shared" ca="1" si="125"/>
        <v>#N/A</v>
      </c>
      <c r="V446" s="55" t="e">
        <f t="shared" ca="1" si="126"/>
        <v>#N/A</v>
      </c>
      <c r="W446" s="55" t="e">
        <f t="shared" ca="1" si="136"/>
        <v>#N/A</v>
      </c>
      <c r="X446" s="55" t="e">
        <f t="shared" ca="1" si="137"/>
        <v>#N/A</v>
      </c>
      <c r="Y446" s="55" t="e">
        <f t="shared" ca="1" si="138"/>
        <v>#N/A</v>
      </c>
      <c r="Z446" s="55" t="e">
        <f t="shared" ca="1" si="134"/>
        <v>#N/A</v>
      </c>
      <c r="AA446" t="e">
        <f t="shared" ca="1" si="135"/>
        <v>#N/A</v>
      </c>
      <c r="AB446" t="e">
        <f t="shared" ca="1" si="127"/>
        <v>#N/A</v>
      </c>
      <c r="AC446" t="e">
        <f t="shared" ca="1" si="128"/>
        <v>#N/A</v>
      </c>
      <c r="AD446" t="e">
        <f t="shared" ca="1" si="129"/>
        <v>#N/A</v>
      </c>
      <c r="AE446" s="83" t="e">
        <f ca="1"/>
        <v>#N/A</v>
      </c>
      <c r="AF446" s="55" t="e">
        <f t="shared" ca="1" si="130"/>
        <v>#N/A</v>
      </c>
      <c r="AG446" s="55" t="e">
        <f t="shared" ca="1" si="131"/>
        <v>#N/A</v>
      </c>
      <c r="AH446" s="55" t="e">
        <f t="shared" ca="1" si="132"/>
        <v>#N/A</v>
      </c>
      <c r="AI446" s="55" t="e">
        <f t="shared" ca="1" si="133"/>
        <v>#N/A</v>
      </c>
      <c r="AJ446" s="55" t="e">
        <f t="shared" ca="1" si="139"/>
        <v>#N/A</v>
      </c>
      <c r="AK446" s="55" t="e">
        <f t="shared" ca="1" si="140"/>
        <v>#N/A</v>
      </c>
      <c r="AL446" s="55" t="e">
        <f t="shared" ca="1" si="141"/>
        <v>#N/A</v>
      </c>
      <c r="AM446" s="55"/>
    </row>
    <row r="447" spans="18:39">
      <c r="R447" s="55" t="e">
        <f ca="1"/>
        <v>#N/A</v>
      </c>
      <c r="S447" s="55" t="e">
        <f t="shared" ca="1" si="123"/>
        <v>#N/A</v>
      </c>
      <c r="T447" s="55" t="e">
        <f t="shared" ca="1" si="124"/>
        <v>#N/A</v>
      </c>
      <c r="U447" s="55" t="e">
        <f t="shared" ca="1" si="125"/>
        <v>#N/A</v>
      </c>
      <c r="V447" s="55" t="e">
        <f t="shared" ca="1" si="126"/>
        <v>#N/A</v>
      </c>
      <c r="W447" s="55" t="e">
        <f t="shared" ca="1" si="136"/>
        <v>#N/A</v>
      </c>
      <c r="X447" s="55" t="e">
        <f t="shared" ca="1" si="137"/>
        <v>#N/A</v>
      </c>
      <c r="Y447" s="55" t="e">
        <f t="shared" ca="1" si="138"/>
        <v>#N/A</v>
      </c>
      <c r="Z447" s="55" t="e">
        <f t="shared" ca="1" si="134"/>
        <v>#N/A</v>
      </c>
      <c r="AA447" t="e">
        <f t="shared" ca="1" si="135"/>
        <v>#N/A</v>
      </c>
      <c r="AB447" t="e">
        <f t="shared" ca="1" si="127"/>
        <v>#N/A</v>
      </c>
      <c r="AC447" t="e">
        <f t="shared" ca="1" si="128"/>
        <v>#N/A</v>
      </c>
      <c r="AD447" t="e">
        <f t="shared" ca="1" si="129"/>
        <v>#N/A</v>
      </c>
      <c r="AE447" s="83" t="e">
        <f ca="1"/>
        <v>#N/A</v>
      </c>
      <c r="AF447" s="55" t="e">
        <f t="shared" ca="1" si="130"/>
        <v>#N/A</v>
      </c>
      <c r="AG447" s="55" t="e">
        <f t="shared" ca="1" si="131"/>
        <v>#N/A</v>
      </c>
      <c r="AH447" s="55" t="e">
        <f t="shared" ca="1" si="132"/>
        <v>#N/A</v>
      </c>
      <c r="AI447" s="55" t="e">
        <f t="shared" ca="1" si="133"/>
        <v>#N/A</v>
      </c>
      <c r="AJ447" s="55" t="e">
        <f t="shared" ca="1" si="139"/>
        <v>#N/A</v>
      </c>
      <c r="AK447" s="55" t="e">
        <f t="shared" ca="1" si="140"/>
        <v>#N/A</v>
      </c>
      <c r="AL447" s="55" t="e">
        <f t="shared" ca="1" si="141"/>
        <v>#N/A</v>
      </c>
      <c r="AM447" s="55"/>
    </row>
    <row r="448" spans="18:39">
      <c r="R448" s="55" t="e">
        <f ca="1"/>
        <v>#N/A</v>
      </c>
      <c r="S448" s="55" t="e">
        <f t="shared" ca="1" si="123"/>
        <v>#N/A</v>
      </c>
      <c r="T448" s="55" t="e">
        <f t="shared" ca="1" si="124"/>
        <v>#N/A</v>
      </c>
      <c r="U448" s="55" t="e">
        <f t="shared" ca="1" si="125"/>
        <v>#N/A</v>
      </c>
      <c r="V448" s="55" t="e">
        <f t="shared" ca="1" si="126"/>
        <v>#N/A</v>
      </c>
      <c r="W448" s="55" t="e">
        <f t="shared" ca="1" si="136"/>
        <v>#N/A</v>
      </c>
      <c r="X448" s="55" t="e">
        <f t="shared" ca="1" si="137"/>
        <v>#N/A</v>
      </c>
      <c r="Y448" s="55" t="e">
        <f t="shared" ca="1" si="138"/>
        <v>#N/A</v>
      </c>
      <c r="Z448" s="55" t="e">
        <f t="shared" ca="1" si="134"/>
        <v>#N/A</v>
      </c>
      <c r="AA448" t="e">
        <f t="shared" ca="1" si="135"/>
        <v>#N/A</v>
      </c>
      <c r="AB448" t="e">
        <f t="shared" ca="1" si="127"/>
        <v>#N/A</v>
      </c>
      <c r="AC448" t="e">
        <f t="shared" ca="1" si="128"/>
        <v>#N/A</v>
      </c>
      <c r="AD448" t="e">
        <f t="shared" ca="1" si="129"/>
        <v>#N/A</v>
      </c>
      <c r="AE448" s="83" t="e">
        <f ca="1"/>
        <v>#N/A</v>
      </c>
      <c r="AF448" s="55" t="e">
        <f t="shared" ca="1" si="130"/>
        <v>#N/A</v>
      </c>
      <c r="AG448" s="55" t="e">
        <f t="shared" ca="1" si="131"/>
        <v>#N/A</v>
      </c>
      <c r="AH448" s="55" t="e">
        <f t="shared" ca="1" si="132"/>
        <v>#N/A</v>
      </c>
      <c r="AI448" s="55" t="e">
        <f t="shared" ca="1" si="133"/>
        <v>#N/A</v>
      </c>
      <c r="AJ448" s="55" t="e">
        <f t="shared" ca="1" si="139"/>
        <v>#N/A</v>
      </c>
      <c r="AK448" s="55" t="e">
        <f t="shared" ca="1" si="140"/>
        <v>#N/A</v>
      </c>
      <c r="AL448" s="55" t="e">
        <f t="shared" ca="1" si="141"/>
        <v>#N/A</v>
      </c>
      <c r="AM448" s="55"/>
    </row>
    <row r="449" spans="18:39">
      <c r="R449" s="55" t="e">
        <f ca="1"/>
        <v>#N/A</v>
      </c>
      <c r="S449" s="55" t="e">
        <f t="shared" ca="1" si="123"/>
        <v>#N/A</v>
      </c>
      <c r="T449" s="55" t="e">
        <f t="shared" ca="1" si="124"/>
        <v>#N/A</v>
      </c>
      <c r="U449" s="55" t="e">
        <f t="shared" ca="1" si="125"/>
        <v>#N/A</v>
      </c>
      <c r="V449" s="55" t="e">
        <f t="shared" ca="1" si="126"/>
        <v>#N/A</v>
      </c>
      <c r="W449" s="55" t="e">
        <f t="shared" ca="1" si="136"/>
        <v>#N/A</v>
      </c>
      <c r="X449" s="55" t="e">
        <f t="shared" ca="1" si="137"/>
        <v>#N/A</v>
      </c>
      <c r="Y449" s="55" t="e">
        <f t="shared" ca="1" si="138"/>
        <v>#N/A</v>
      </c>
      <c r="Z449" s="55" t="e">
        <f t="shared" ca="1" si="134"/>
        <v>#N/A</v>
      </c>
      <c r="AA449" t="e">
        <f t="shared" ca="1" si="135"/>
        <v>#N/A</v>
      </c>
      <c r="AB449" t="e">
        <f t="shared" ca="1" si="127"/>
        <v>#N/A</v>
      </c>
      <c r="AC449" t="e">
        <f t="shared" ca="1" si="128"/>
        <v>#N/A</v>
      </c>
      <c r="AD449" t="e">
        <f t="shared" ca="1" si="129"/>
        <v>#N/A</v>
      </c>
      <c r="AE449" s="83" t="e">
        <f ca="1"/>
        <v>#N/A</v>
      </c>
      <c r="AF449" s="55" t="e">
        <f t="shared" ca="1" si="130"/>
        <v>#N/A</v>
      </c>
      <c r="AG449" s="55" t="e">
        <f t="shared" ca="1" si="131"/>
        <v>#N/A</v>
      </c>
      <c r="AH449" s="55" t="e">
        <f t="shared" ca="1" si="132"/>
        <v>#N/A</v>
      </c>
      <c r="AI449" s="55" t="e">
        <f t="shared" ca="1" si="133"/>
        <v>#N/A</v>
      </c>
      <c r="AJ449" s="55" t="e">
        <f t="shared" ca="1" si="139"/>
        <v>#N/A</v>
      </c>
      <c r="AK449" s="55" t="e">
        <f t="shared" ca="1" si="140"/>
        <v>#N/A</v>
      </c>
      <c r="AL449" s="55" t="e">
        <f t="shared" ca="1" si="141"/>
        <v>#N/A</v>
      </c>
      <c r="AM449" s="55"/>
    </row>
    <row r="450" spans="18:39">
      <c r="R450" s="55" t="e">
        <f ca="1"/>
        <v>#N/A</v>
      </c>
      <c r="S450" s="55" t="e">
        <f t="shared" ca="1" si="123"/>
        <v>#N/A</v>
      </c>
      <c r="T450" s="55" t="e">
        <f t="shared" ca="1" si="124"/>
        <v>#N/A</v>
      </c>
      <c r="U450" s="55" t="e">
        <f t="shared" ca="1" si="125"/>
        <v>#N/A</v>
      </c>
      <c r="V450" s="55" t="e">
        <f t="shared" ca="1" si="126"/>
        <v>#N/A</v>
      </c>
      <c r="W450" s="55" t="e">
        <f t="shared" ca="1" si="136"/>
        <v>#N/A</v>
      </c>
      <c r="X450" s="55" t="e">
        <f t="shared" ca="1" si="137"/>
        <v>#N/A</v>
      </c>
      <c r="Y450" s="55" t="e">
        <f t="shared" ca="1" si="138"/>
        <v>#N/A</v>
      </c>
      <c r="Z450" s="55" t="e">
        <f t="shared" ca="1" si="134"/>
        <v>#N/A</v>
      </c>
      <c r="AA450" t="e">
        <f t="shared" ca="1" si="135"/>
        <v>#N/A</v>
      </c>
      <c r="AB450" t="e">
        <f t="shared" ca="1" si="127"/>
        <v>#N/A</v>
      </c>
      <c r="AC450" t="e">
        <f t="shared" ca="1" si="128"/>
        <v>#N/A</v>
      </c>
      <c r="AD450" t="e">
        <f t="shared" ca="1" si="129"/>
        <v>#N/A</v>
      </c>
      <c r="AE450" s="83" t="e">
        <f ca="1"/>
        <v>#N/A</v>
      </c>
      <c r="AF450" s="55" t="e">
        <f t="shared" ca="1" si="130"/>
        <v>#N/A</v>
      </c>
      <c r="AG450" s="55" t="e">
        <f t="shared" ca="1" si="131"/>
        <v>#N/A</v>
      </c>
      <c r="AH450" s="55" t="e">
        <f t="shared" ca="1" si="132"/>
        <v>#N/A</v>
      </c>
      <c r="AI450" s="55" t="e">
        <f t="shared" ca="1" si="133"/>
        <v>#N/A</v>
      </c>
      <c r="AJ450" s="55" t="e">
        <f t="shared" ca="1" si="139"/>
        <v>#N/A</v>
      </c>
      <c r="AK450" s="55" t="e">
        <f t="shared" ca="1" si="140"/>
        <v>#N/A</v>
      </c>
      <c r="AL450" s="55" t="e">
        <f t="shared" ca="1" si="141"/>
        <v>#N/A</v>
      </c>
      <c r="AM450" s="55"/>
    </row>
    <row r="451" spans="18:39">
      <c r="R451" s="55" t="e">
        <f ca="1"/>
        <v>#N/A</v>
      </c>
      <c r="S451" s="55" t="e">
        <f t="shared" ca="1" si="123"/>
        <v>#N/A</v>
      </c>
      <c r="T451" s="55" t="e">
        <f t="shared" ca="1" si="124"/>
        <v>#N/A</v>
      </c>
      <c r="U451" s="55" t="e">
        <f t="shared" ca="1" si="125"/>
        <v>#N/A</v>
      </c>
      <c r="V451" s="55" t="e">
        <f t="shared" ca="1" si="126"/>
        <v>#N/A</v>
      </c>
      <c r="W451" s="55" t="e">
        <f t="shared" ca="1" si="136"/>
        <v>#N/A</v>
      </c>
      <c r="X451" s="55" t="e">
        <f t="shared" ca="1" si="137"/>
        <v>#N/A</v>
      </c>
      <c r="Y451" s="55" t="e">
        <f t="shared" ca="1" si="138"/>
        <v>#N/A</v>
      </c>
      <c r="Z451" s="55" t="e">
        <f t="shared" ca="1" si="134"/>
        <v>#N/A</v>
      </c>
      <c r="AA451" t="e">
        <f t="shared" ca="1" si="135"/>
        <v>#N/A</v>
      </c>
      <c r="AB451" t="e">
        <f t="shared" ca="1" si="127"/>
        <v>#N/A</v>
      </c>
      <c r="AC451" t="e">
        <f t="shared" ca="1" si="128"/>
        <v>#N/A</v>
      </c>
      <c r="AD451" t="e">
        <f t="shared" ca="1" si="129"/>
        <v>#N/A</v>
      </c>
      <c r="AE451" s="83" t="e">
        <f ca="1"/>
        <v>#N/A</v>
      </c>
      <c r="AF451" s="55" t="e">
        <f t="shared" ca="1" si="130"/>
        <v>#N/A</v>
      </c>
      <c r="AG451" s="55" t="e">
        <f t="shared" ca="1" si="131"/>
        <v>#N/A</v>
      </c>
      <c r="AH451" s="55" t="e">
        <f t="shared" ca="1" si="132"/>
        <v>#N/A</v>
      </c>
      <c r="AI451" s="55" t="e">
        <f t="shared" ca="1" si="133"/>
        <v>#N/A</v>
      </c>
      <c r="AJ451" s="55" t="e">
        <f t="shared" ca="1" si="139"/>
        <v>#N/A</v>
      </c>
      <c r="AK451" s="55" t="e">
        <f t="shared" ca="1" si="140"/>
        <v>#N/A</v>
      </c>
      <c r="AL451" s="55" t="e">
        <f t="shared" ca="1" si="141"/>
        <v>#N/A</v>
      </c>
      <c r="AM451" s="55"/>
    </row>
    <row r="452" spans="18:39">
      <c r="R452" s="55" t="e">
        <f ca="1"/>
        <v>#N/A</v>
      </c>
      <c r="S452" s="55" t="e">
        <f t="shared" ca="1" si="123"/>
        <v>#N/A</v>
      </c>
      <c r="T452" s="55" t="e">
        <f t="shared" ca="1" si="124"/>
        <v>#N/A</v>
      </c>
      <c r="U452" s="55" t="e">
        <f t="shared" ca="1" si="125"/>
        <v>#N/A</v>
      </c>
      <c r="V452" s="55" t="e">
        <f t="shared" ca="1" si="126"/>
        <v>#N/A</v>
      </c>
      <c r="W452" s="55" t="e">
        <f t="shared" ca="1" si="136"/>
        <v>#N/A</v>
      </c>
      <c r="X452" s="55" t="e">
        <f t="shared" ca="1" si="137"/>
        <v>#N/A</v>
      </c>
      <c r="Y452" s="55" t="e">
        <f t="shared" ca="1" si="138"/>
        <v>#N/A</v>
      </c>
      <c r="Z452" s="55" t="e">
        <f t="shared" ca="1" si="134"/>
        <v>#N/A</v>
      </c>
      <c r="AA452" t="e">
        <f t="shared" ca="1" si="135"/>
        <v>#N/A</v>
      </c>
      <c r="AB452" t="e">
        <f t="shared" ca="1" si="127"/>
        <v>#N/A</v>
      </c>
      <c r="AC452" t="e">
        <f t="shared" ca="1" si="128"/>
        <v>#N/A</v>
      </c>
      <c r="AD452" t="e">
        <f t="shared" ca="1" si="129"/>
        <v>#N/A</v>
      </c>
      <c r="AE452" s="83" t="e">
        <f ca="1"/>
        <v>#N/A</v>
      </c>
      <c r="AF452" s="55" t="e">
        <f t="shared" ca="1" si="130"/>
        <v>#N/A</v>
      </c>
      <c r="AG452" s="55" t="e">
        <f t="shared" ca="1" si="131"/>
        <v>#N/A</v>
      </c>
      <c r="AH452" s="55" t="e">
        <f t="shared" ca="1" si="132"/>
        <v>#N/A</v>
      </c>
      <c r="AI452" s="55" t="e">
        <f t="shared" ca="1" si="133"/>
        <v>#N/A</v>
      </c>
      <c r="AJ452" s="55" t="e">
        <f t="shared" ca="1" si="139"/>
        <v>#N/A</v>
      </c>
      <c r="AK452" s="55" t="e">
        <f t="shared" ca="1" si="140"/>
        <v>#N/A</v>
      </c>
      <c r="AL452" s="55" t="e">
        <f t="shared" ca="1" si="141"/>
        <v>#N/A</v>
      </c>
      <c r="AM452" s="55"/>
    </row>
    <row r="453" spans="18:39">
      <c r="R453" s="55" t="e">
        <f ca="1"/>
        <v>#N/A</v>
      </c>
      <c r="S453" s="55" t="e">
        <f t="shared" ca="1" si="123"/>
        <v>#N/A</v>
      </c>
      <c r="T453" s="55" t="e">
        <f t="shared" ca="1" si="124"/>
        <v>#N/A</v>
      </c>
      <c r="U453" s="55" t="e">
        <f t="shared" ca="1" si="125"/>
        <v>#N/A</v>
      </c>
      <c r="V453" s="55" t="e">
        <f t="shared" ca="1" si="126"/>
        <v>#N/A</v>
      </c>
      <c r="W453" s="55" t="e">
        <f t="shared" ca="1" si="136"/>
        <v>#N/A</v>
      </c>
      <c r="X453" s="55" t="e">
        <f t="shared" ca="1" si="137"/>
        <v>#N/A</v>
      </c>
      <c r="Y453" s="55" t="e">
        <f t="shared" ca="1" si="138"/>
        <v>#N/A</v>
      </c>
      <c r="Z453" s="55" t="e">
        <f t="shared" ca="1" si="134"/>
        <v>#N/A</v>
      </c>
      <c r="AA453" t="e">
        <f t="shared" ca="1" si="135"/>
        <v>#N/A</v>
      </c>
      <c r="AB453" t="e">
        <f t="shared" ca="1" si="127"/>
        <v>#N/A</v>
      </c>
      <c r="AC453" t="e">
        <f t="shared" ca="1" si="128"/>
        <v>#N/A</v>
      </c>
      <c r="AD453" t="e">
        <f t="shared" ca="1" si="129"/>
        <v>#N/A</v>
      </c>
      <c r="AE453" s="83" t="e">
        <f ca="1"/>
        <v>#N/A</v>
      </c>
      <c r="AF453" s="55" t="e">
        <f t="shared" ca="1" si="130"/>
        <v>#N/A</v>
      </c>
      <c r="AG453" s="55" t="e">
        <f t="shared" ca="1" si="131"/>
        <v>#N/A</v>
      </c>
      <c r="AH453" s="55" t="e">
        <f t="shared" ca="1" si="132"/>
        <v>#N/A</v>
      </c>
      <c r="AI453" s="55" t="e">
        <f t="shared" ca="1" si="133"/>
        <v>#N/A</v>
      </c>
      <c r="AJ453" s="55" t="e">
        <f t="shared" ca="1" si="139"/>
        <v>#N/A</v>
      </c>
      <c r="AK453" s="55" t="e">
        <f t="shared" ca="1" si="140"/>
        <v>#N/A</v>
      </c>
      <c r="AL453" s="55" t="e">
        <f t="shared" ca="1" si="141"/>
        <v>#N/A</v>
      </c>
      <c r="AM453" s="55"/>
    </row>
    <row r="454" spans="18:39">
      <c r="R454" s="55" t="e">
        <f ca="1"/>
        <v>#N/A</v>
      </c>
      <c r="S454" s="55" t="e">
        <f t="shared" ca="1" si="123"/>
        <v>#N/A</v>
      </c>
      <c r="T454" s="55" t="e">
        <f t="shared" ca="1" si="124"/>
        <v>#N/A</v>
      </c>
      <c r="U454" s="55" t="e">
        <f t="shared" ca="1" si="125"/>
        <v>#N/A</v>
      </c>
      <c r="V454" s="55" t="e">
        <f t="shared" ca="1" si="126"/>
        <v>#N/A</v>
      </c>
      <c r="W454" s="55" t="e">
        <f t="shared" ca="1" si="136"/>
        <v>#N/A</v>
      </c>
      <c r="X454" s="55" t="e">
        <f t="shared" ca="1" si="137"/>
        <v>#N/A</v>
      </c>
      <c r="Y454" s="55" t="e">
        <f t="shared" ca="1" si="138"/>
        <v>#N/A</v>
      </c>
      <c r="Z454" s="55" t="e">
        <f t="shared" ca="1" si="134"/>
        <v>#N/A</v>
      </c>
      <c r="AA454" t="e">
        <f t="shared" ca="1" si="135"/>
        <v>#N/A</v>
      </c>
      <c r="AB454" t="e">
        <f t="shared" ca="1" si="127"/>
        <v>#N/A</v>
      </c>
      <c r="AC454" t="e">
        <f t="shared" ca="1" si="128"/>
        <v>#N/A</v>
      </c>
      <c r="AD454" t="e">
        <f t="shared" ca="1" si="129"/>
        <v>#N/A</v>
      </c>
      <c r="AE454" s="83" t="e">
        <f ca="1"/>
        <v>#N/A</v>
      </c>
      <c r="AF454" s="55" t="e">
        <f t="shared" ca="1" si="130"/>
        <v>#N/A</v>
      </c>
      <c r="AG454" s="55" t="e">
        <f t="shared" ca="1" si="131"/>
        <v>#N/A</v>
      </c>
      <c r="AH454" s="55" t="e">
        <f t="shared" ca="1" si="132"/>
        <v>#N/A</v>
      </c>
      <c r="AI454" s="55" t="e">
        <f t="shared" ca="1" si="133"/>
        <v>#N/A</v>
      </c>
      <c r="AJ454" s="55" t="e">
        <f t="shared" ca="1" si="139"/>
        <v>#N/A</v>
      </c>
      <c r="AK454" s="55" t="e">
        <f t="shared" ca="1" si="140"/>
        <v>#N/A</v>
      </c>
      <c r="AL454" s="55" t="e">
        <f t="shared" ca="1" si="141"/>
        <v>#N/A</v>
      </c>
      <c r="AM454" s="55"/>
    </row>
    <row r="455" spans="18:39">
      <c r="R455" s="55" t="e">
        <f ca="1"/>
        <v>#N/A</v>
      </c>
      <c r="S455" s="55" t="e">
        <f t="shared" ca="1" si="123"/>
        <v>#N/A</v>
      </c>
      <c r="T455" s="55" t="e">
        <f t="shared" ca="1" si="124"/>
        <v>#N/A</v>
      </c>
      <c r="U455" s="55" t="e">
        <f t="shared" ca="1" si="125"/>
        <v>#N/A</v>
      </c>
      <c r="V455" s="55" t="e">
        <f t="shared" ca="1" si="126"/>
        <v>#N/A</v>
      </c>
      <c r="W455" s="55" t="e">
        <f t="shared" ca="1" si="136"/>
        <v>#N/A</v>
      </c>
      <c r="X455" s="55" t="e">
        <f t="shared" ca="1" si="137"/>
        <v>#N/A</v>
      </c>
      <c r="Y455" s="55" t="e">
        <f t="shared" ca="1" si="138"/>
        <v>#N/A</v>
      </c>
      <c r="Z455" s="55" t="e">
        <f t="shared" ca="1" si="134"/>
        <v>#N/A</v>
      </c>
      <c r="AA455" t="e">
        <f t="shared" ca="1" si="135"/>
        <v>#N/A</v>
      </c>
      <c r="AB455" t="e">
        <f t="shared" ca="1" si="127"/>
        <v>#N/A</v>
      </c>
      <c r="AC455" t="e">
        <f t="shared" ca="1" si="128"/>
        <v>#N/A</v>
      </c>
      <c r="AD455" t="e">
        <f t="shared" ca="1" si="129"/>
        <v>#N/A</v>
      </c>
      <c r="AE455" s="83" t="e">
        <f ca="1"/>
        <v>#N/A</v>
      </c>
      <c r="AF455" s="55" t="e">
        <f t="shared" ca="1" si="130"/>
        <v>#N/A</v>
      </c>
      <c r="AG455" s="55" t="e">
        <f t="shared" ca="1" si="131"/>
        <v>#N/A</v>
      </c>
      <c r="AH455" s="55" t="e">
        <f t="shared" ca="1" si="132"/>
        <v>#N/A</v>
      </c>
      <c r="AI455" s="55" t="e">
        <f t="shared" ca="1" si="133"/>
        <v>#N/A</v>
      </c>
      <c r="AJ455" s="55" t="e">
        <f t="shared" ca="1" si="139"/>
        <v>#N/A</v>
      </c>
      <c r="AK455" s="55" t="e">
        <f t="shared" ca="1" si="140"/>
        <v>#N/A</v>
      </c>
      <c r="AL455" s="55" t="e">
        <f t="shared" ca="1" si="141"/>
        <v>#N/A</v>
      </c>
      <c r="AM455" s="55"/>
    </row>
    <row r="456" spans="18:39">
      <c r="R456" s="55" t="e">
        <f ca="1"/>
        <v>#N/A</v>
      </c>
      <c r="S456" s="55" t="e">
        <f t="shared" ca="1" si="123"/>
        <v>#N/A</v>
      </c>
      <c r="T456" s="55" t="e">
        <f t="shared" ca="1" si="124"/>
        <v>#N/A</v>
      </c>
      <c r="U456" s="55" t="e">
        <f t="shared" ca="1" si="125"/>
        <v>#N/A</v>
      </c>
      <c r="V456" s="55" t="e">
        <f t="shared" ca="1" si="126"/>
        <v>#N/A</v>
      </c>
      <c r="W456" s="55" t="e">
        <f t="shared" ca="1" si="136"/>
        <v>#N/A</v>
      </c>
      <c r="X456" s="55" t="e">
        <f t="shared" ca="1" si="137"/>
        <v>#N/A</v>
      </c>
      <c r="Y456" s="55" t="e">
        <f t="shared" ca="1" si="138"/>
        <v>#N/A</v>
      </c>
      <c r="Z456" s="55" t="e">
        <f t="shared" ca="1" si="134"/>
        <v>#N/A</v>
      </c>
      <c r="AA456" t="e">
        <f t="shared" ca="1" si="135"/>
        <v>#N/A</v>
      </c>
      <c r="AB456" t="e">
        <f t="shared" ca="1" si="127"/>
        <v>#N/A</v>
      </c>
      <c r="AC456" t="e">
        <f t="shared" ca="1" si="128"/>
        <v>#N/A</v>
      </c>
      <c r="AD456" t="e">
        <f t="shared" ca="1" si="129"/>
        <v>#N/A</v>
      </c>
      <c r="AE456" s="83" t="e">
        <f ca="1"/>
        <v>#N/A</v>
      </c>
      <c r="AF456" s="55" t="e">
        <f t="shared" ca="1" si="130"/>
        <v>#N/A</v>
      </c>
      <c r="AG456" s="55" t="e">
        <f t="shared" ca="1" si="131"/>
        <v>#N/A</v>
      </c>
      <c r="AH456" s="55" t="e">
        <f t="shared" ca="1" si="132"/>
        <v>#N/A</v>
      </c>
      <c r="AI456" s="55" t="e">
        <f t="shared" ca="1" si="133"/>
        <v>#N/A</v>
      </c>
      <c r="AJ456" s="55" t="e">
        <f t="shared" ca="1" si="139"/>
        <v>#N/A</v>
      </c>
      <c r="AK456" s="55" t="e">
        <f t="shared" ca="1" si="140"/>
        <v>#N/A</v>
      </c>
      <c r="AL456" s="55" t="e">
        <f t="shared" ca="1" si="141"/>
        <v>#N/A</v>
      </c>
      <c r="AM456" s="55"/>
    </row>
    <row r="457" spans="18:39">
      <c r="R457" s="55" t="e">
        <f ca="1"/>
        <v>#N/A</v>
      </c>
      <c r="S457" s="55" t="e">
        <f t="shared" ca="1" si="123"/>
        <v>#N/A</v>
      </c>
      <c r="T457" s="55" t="e">
        <f t="shared" ca="1" si="124"/>
        <v>#N/A</v>
      </c>
      <c r="U457" s="55" t="e">
        <f t="shared" ca="1" si="125"/>
        <v>#N/A</v>
      </c>
      <c r="V457" s="55" t="e">
        <f t="shared" ca="1" si="126"/>
        <v>#N/A</v>
      </c>
      <c r="W457" s="55" t="e">
        <f t="shared" ca="1" si="136"/>
        <v>#N/A</v>
      </c>
      <c r="X457" s="55" t="e">
        <f t="shared" ca="1" si="137"/>
        <v>#N/A</v>
      </c>
      <c r="Y457" s="55" t="e">
        <f t="shared" ca="1" si="138"/>
        <v>#N/A</v>
      </c>
      <c r="Z457" s="55" t="e">
        <f t="shared" ca="1" si="134"/>
        <v>#N/A</v>
      </c>
      <c r="AA457" t="e">
        <f t="shared" ca="1" si="135"/>
        <v>#N/A</v>
      </c>
      <c r="AB457" t="e">
        <f t="shared" ca="1" si="127"/>
        <v>#N/A</v>
      </c>
      <c r="AC457" t="e">
        <f t="shared" ca="1" si="128"/>
        <v>#N/A</v>
      </c>
      <c r="AD457" t="e">
        <f t="shared" ca="1" si="129"/>
        <v>#N/A</v>
      </c>
      <c r="AE457" s="83" t="e">
        <f ca="1"/>
        <v>#N/A</v>
      </c>
      <c r="AF457" s="55" t="e">
        <f t="shared" ca="1" si="130"/>
        <v>#N/A</v>
      </c>
      <c r="AG457" s="55" t="e">
        <f t="shared" ca="1" si="131"/>
        <v>#N/A</v>
      </c>
      <c r="AH457" s="55" t="e">
        <f t="shared" ca="1" si="132"/>
        <v>#N/A</v>
      </c>
      <c r="AI457" s="55" t="e">
        <f t="shared" ca="1" si="133"/>
        <v>#N/A</v>
      </c>
      <c r="AJ457" s="55" t="e">
        <f t="shared" ca="1" si="139"/>
        <v>#N/A</v>
      </c>
      <c r="AK457" s="55" t="e">
        <f t="shared" ca="1" si="140"/>
        <v>#N/A</v>
      </c>
      <c r="AL457" s="55" t="e">
        <f t="shared" ca="1" si="141"/>
        <v>#N/A</v>
      </c>
      <c r="AM457" s="55"/>
    </row>
    <row r="458" spans="18:39">
      <c r="R458" s="55" t="e">
        <f ca="1"/>
        <v>#N/A</v>
      </c>
      <c r="S458" s="55" t="e">
        <f t="shared" ca="1" si="123"/>
        <v>#N/A</v>
      </c>
      <c r="T458" s="55" t="e">
        <f t="shared" ca="1" si="124"/>
        <v>#N/A</v>
      </c>
      <c r="U458" s="55" t="e">
        <f t="shared" ca="1" si="125"/>
        <v>#N/A</v>
      </c>
      <c r="V458" s="55" t="e">
        <f t="shared" ca="1" si="126"/>
        <v>#N/A</v>
      </c>
      <c r="W458" s="55" t="e">
        <f t="shared" ca="1" si="136"/>
        <v>#N/A</v>
      </c>
      <c r="X458" s="55" t="e">
        <f t="shared" ca="1" si="137"/>
        <v>#N/A</v>
      </c>
      <c r="Y458" s="55" t="e">
        <f t="shared" ca="1" si="138"/>
        <v>#N/A</v>
      </c>
      <c r="Z458" s="55" t="e">
        <f t="shared" ca="1" si="134"/>
        <v>#N/A</v>
      </c>
      <c r="AA458" t="e">
        <f t="shared" ca="1" si="135"/>
        <v>#N/A</v>
      </c>
      <c r="AB458" t="e">
        <f t="shared" ca="1" si="127"/>
        <v>#N/A</v>
      </c>
      <c r="AC458" t="e">
        <f t="shared" ca="1" si="128"/>
        <v>#N/A</v>
      </c>
      <c r="AD458" t="e">
        <f t="shared" ca="1" si="129"/>
        <v>#N/A</v>
      </c>
      <c r="AE458" s="83" t="e">
        <f ca="1"/>
        <v>#N/A</v>
      </c>
      <c r="AF458" s="55" t="e">
        <f t="shared" ca="1" si="130"/>
        <v>#N/A</v>
      </c>
      <c r="AG458" s="55" t="e">
        <f t="shared" ca="1" si="131"/>
        <v>#N/A</v>
      </c>
      <c r="AH458" s="55" t="e">
        <f t="shared" ca="1" si="132"/>
        <v>#N/A</v>
      </c>
      <c r="AI458" s="55" t="e">
        <f t="shared" ca="1" si="133"/>
        <v>#N/A</v>
      </c>
      <c r="AJ458" s="55" t="e">
        <f t="shared" ca="1" si="139"/>
        <v>#N/A</v>
      </c>
      <c r="AK458" s="55" t="e">
        <f t="shared" ca="1" si="140"/>
        <v>#N/A</v>
      </c>
      <c r="AL458" s="55" t="e">
        <f t="shared" ca="1" si="141"/>
        <v>#N/A</v>
      </c>
      <c r="AM458" s="55"/>
    </row>
    <row r="459" spans="18:39">
      <c r="R459" s="55" t="e">
        <f ca="1"/>
        <v>#N/A</v>
      </c>
      <c r="S459" s="55" t="e">
        <f t="shared" ca="1" si="123"/>
        <v>#N/A</v>
      </c>
      <c r="T459" s="55" t="e">
        <f t="shared" ca="1" si="124"/>
        <v>#N/A</v>
      </c>
      <c r="U459" s="55" t="e">
        <f t="shared" ca="1" si="125"/>
        <v>#N/A</v>
      </c>
      <c r="V459" s="55" t="e">
        <f t="shared" ca="1" si="126"/>
        <v>#N/A</v>
      </c>
      <c r="W459" s="55" t="e">
        <f t="shared" ca="1" si="136"/>
        <v>#N/A</v>
      </c>
      <c r="X459" s="55" t="e">
        <f t="shared" ca="1" si="137"/>
        <v>#N/A</v>
      </c>
      <c r="Y459" s="55" t="e">
        <f t="shared" ca="1" si="138"/>
        <v>#N/A</v>
      </c>
      <c r="Z459" s="55" t="e">
        <f t="shared" ca="1" si="134"/>
        <v>#N/A</v>
      </c>
      <c r="AA459" t="e">
        <f t="shared" ca="1" si="135"/>
        <v>#N/A</v>
      </c>
      <c r="AB459" t="e">
        <f t="shared" ca="1" si="127"/>
        <v>#N/A</v>
      </c>
      <c r="AC459" t="e">
        <f t="shared" ca="1" si="128"/>
        <v>#N/A</v>
      </c>
      <c r="AD459" t="e">
        <f t="shared" ca="1" si="129"/>
        <v>#N/A</v>
      </c>
      <c r="AE459" s="83" t="e">
        <f ca="1"/>
        <v>#N/A</v>
      </c>
      <c r="AF459" s="55" t="e">
        <f t="shared" ca="1" si="130"/>
        <v>#N/A</v>
      </c>
      <c r="AG459" s="55" t="e">
        <f t="shared" ca="1" si="131"/>
        <v>#N/A</v>
      </c>
      <c r="AH459" s="55" t="e">
        <f t="shared" ca="1" si="132"/>
        <v>#N/A</v>
      </c>
      <c r="AI459" s="55" t="e">
        <f t="shared" ca="1" si="133"/>
        <v>#N/A</v>
      </c>
      <c r="AJ459" s="55" t="e">
        <f t="shared" ca="1" si="139"/>
        <v>#N/A</v>
      </c>
      <c r="AK459" s="55" t="e">
        <f t="shared" ca="1" si="140"/>
        <v>#N/A</v>
      </c>
      <c r="AL459" s="55" t="e">
        <f t="shared" ca="1" si="141"/>
        <v>#N/A</v>
      </c>
      <c r="AM459" s="55"/>
    </row>
    <row r="460" spans="18:39">
      <c r="R460" s="55" t="e">
        <f ca="1"/>
        <v>#N/A</v>
      </c>
      <c r="S460" s="55" t="e">
        <f t="shared" ref="S460:S523" ca="1" si="142">IF(R460&gt;1,R460,"")</f>
        <v>#N/A</v>
      </c>
      <c r="T460" s="55" t="e">
        <f t="shared" ref="T460:T523" ca="1" si="143">VLOOKUP(S460,ModelOutputs,2,FALSE)</f>
        <v>#N/A</v>
      </c>
      <c r="U460" s="55" t="e">
        <f t="shared" ref="U460:U523" ca="1" si="144">VLOOKUP(S460,ModelOutputs,7,FALSE)</f>
        <v>#N/A</v>
      </c>
      <c r="V460" s="55" t="e">
        <f t="shared" ref="V460:V523" ca="1" si="145">VLOOKUP(S460,ModelOutputs,6,FALSE)</f>
        <v>#N/A</v>
      </c>
      <c r="W460" s="55" t="e">
        <f t="shared" ca="1" si="136"/>
        <v>#N/A</v>
      </c>
      <c r="X460" s="55" t="e">
        <f t="shared" ca="1" si="137"/>
        <v>#N/A</v>
      </c>
      <c r="Y460" s="55" t="e">
        <f t="shared" ca="1" si="138"/>
        <v>#N/A</v>
      </c>
      <c r="Z460" s="55" t="e">
        <f t="shared" ca="1" si="134"/>
        <v>#N/A</v>
      </c>
      <c r="AA460" t="e">
        <f t="shared" ca="1" si="135"/>
        <v>#N/A</v>
      </c>
      <c r="AB460" t="e">
        <f t="shared" ref="AB460:AB523" ca="1" si="146">VLOOKUP(S460,ModelOutputs,11,FALSE)+AB459</f>
        <v>#N/A</v>
      </c>
      <c r="AC460" t="e">
        <f t="shared" ref="AC460:AC523" ca="1" si="147">VLOOKUP(S460,ModelOutputs,12,FALSE)</f>
        <v>#N/A</v>
      </c>
      <c r="AD460" t="e">
        <f t="shared" ref="AD460:AD523" ca="1" si="148">VLOOKUP(S460,ModelOutputs,13,FALSE)</f>
        <v>#N/A</v>
      </c>
      <c r="AE460" s="83" t="e">
        <f ca="1"/>
        <v>#N/A</v>
      </c>
      <c r="AF460" s="55" t="e">
        <f t="shared" ref="AF460:AF523" ca="1" si="149">IF(AE460&gt;1,AE460,"")</f>
        <v>#N/A</v>
      </c>
      <c r="AG460" s="55" t="e">
        <f t="shared" ref="AG460:AG523" ca="1" si="150">VLOOKUP(AF460,ModelOutputs,2,FALSE)</f>
        <v>#N/A</v>
      </c>
      <c r="AH460" s="55" t="e">
        <f t="shared" ref="AH460:AH523" ca="1" si="151">VLOOKUP(AF460,ModelOutputs,7,FALSE)</f>
        <v>#N/A</v>
      </c>
      <c r="AI460" s="55" t="e">
        <f t="shared" ref="AI460:AI523" ca="1" si="152">VLOOKUP(AF460,ModelOutputs,6,FALSE)</f>
        <v>#N/A</v>
      </c>
      <c r="AJ460" s="55" t="e">
        <f t="shared" ca="1" si="139"/>
        <v>#N/A</v>
      </c>
      <c r="AK460" s="55" t="e">
        <f t="shared" ca="1" si="140"/>
        <v>#N/A</v>
      </c>
      <c r="AL460" s="55" t="e">
        <f t="shared" ca="1" si="141"/>
        <v>#N/A</v>
      </c>
      <c r="AM460" s="55"/>
    </row>
    <row r="461" spans="18:39">
      <c r="R461" s="55" t="e">
        <f ca="1"/>
        <v>#N/A</v>
      </c>
      <c r="S461" s="55" t="e">
        <f t="shared" ca="1" si="142"/>
        <v>#N/A</v>
      </c>
      <c r="T461" s="55" t="e">
        <f t="shared" ca="1" si="143"/>
        <v>#N/A</v>
      </c>
      <c r="U461" s="55" t="e">
        <f t="shared" ca="1" si="144"/>
        <v>#N/A</v>
      </c>
      <c r="V461" s="55" t="e">
        <f t="shared" ca="1" si="145"/>
        <v>#N/A</v>
      </c>
      <c r="W461" s="55" t="e">
        <f t="shared" ca="1" si="136"/>
        <v>#N/A</v>
      </c>
      <c r="X461" s="55" t="e">
        <f t="shared" ca="1" si="137"/>
        <v>#N/A</v>
      </c>
      <c r="Y461" s="55" t="e">
        <f t="shared" ca="1" si="138"/>
        <v>#N/A</v>
      </c>
      <c r="Z461" s="55" t="e">
        <f t="shared" ca="1" si="134"/>
        <v>#N/A</v>
      </c>
      <c r="AA461" t="e">
        <f t="shared" ca="1" si="135"/>
        <v>#N/A</v>
      </c>
      <c r="AB461" t="e">
        <f t="shared" ca="1" si="146"/>
        <v>#N/A</v>
      </c>
      <c r="AC461" t="e">
        <f t="shared" ca="1" si="147"/>
        <v>#N/A</v>
      </c>
      <c r="AD461" t="e">
        <f t="shared" ca="1" si="148"/>
        <v>#N/A</v>
      </c>
      <c r="AE461" s="83" t="e">
        <f ca="1"/>
        <v>#N/A</v>
      </c>
      <c r="AF461" s="55" t="e">
        <f t="shared" ca="1" si="149"/>
        <v>#N/A</v>
      </c>
      <c r="AG461" s="55" t="e">
        <f t="shared" ca="1" si="150"/>
        <v>#N/A</v>
      </c>
      <c r="AH461" s="55" t="e">
        <f t="shared" ca="1" si="151"/>
        <v>#N/A</v>
      </c>
      <c r="AI461" s="55" t="e">
        <f t="shared" ca="1" si="152"/>
        <v>#N/A</v>
      </c>
      <c r="AJ461" s="55" t="e">
        <f t="shared" ca="1" si="139"/>
        <v>#N/A</v>
      </c>
      <c r="AK461" s="55" t="e">
        <f t="shared" ca="1" si="140"/>
        <v>#N/A</v>
      </c>
      <c r="AL461" s="55" t="e">
        <f t="shared" ca="1" si="141"/>
        <v>#N/A</v>
      </c>
      <c r="AM461" s="55"/>
    </row>
    <row r="462" spans="18:39">
      <c r="R462" s="55" t="e">
        <f ca="1"/>
        <v>#N/A</v>
      </c>
      <c r="S462" s="55" t="e">
        <f t="shared" ca="1" si="142"/>
        <v>#N/A</v>
      </c>
      <c r="T462" s="55" t="e">
        <f t="shared" ca="1" si="143"/>
        <v>#N/A</v>
      </c>
      <c r="U462" s="55" t="e">
        <f t="shared" ca="1" si="144"/>
        <v>#N/A</v>
      </c>
      <c r="V462" s="55" t="e">
        <f t="shared" ca="1" si="145"/>
        <v>#N/A</v>
      </c>
      <c r="W462" s="55" t="e">
        <f t="shared" ca="1" si="136"/>
        <v>#N/A</v>
      </c>
      <c r="X462" s="55" t="e">
        <f t="shared" ca="1" si="137"/>
        <v>#N/A</v>
      </c>
      <c r="Y462" s="55" t="e">
        <f t="shared" ca="1" si="138"/>
        <v>#N/A</v>
      </c>
      <c r="Z462" s="55" t="e">
        <f t="shared" ca="1" si="134"/>
        <v>#N/A</v>
      </c>
      <c r="AA462" t="e">
        <f t="shared" ca="1" si="135"/>
        <v>#N/A</v>
      </c>
      <c r="AB462" t="e">
        <f t="shared" ca="1" si="146"/>
        <v>#N/A</v>
      </c>
      <c r="AC462" t="e">
        <f t="shared" ca="1" si="147"/>
        <v>#N/A</v>
      </c>
      <c r="AD462" t="e">
        <f t="shared" ca="1" si="148"/>
        <v>#N/A</v>
      </c>
      <c r="AE462" s="83" t="e">
        <f ca="1"/>
        <v>#N/A</v>
      </c>
      <c r="AF462" s="55" t="e">
        <f t="shared" ca="1" si="149"/>
        <v>#N/A</v>
      </c>
      <c r="AG462" s="55" t="e">
        <f t="shared" ca="1" si="150"/>
        <v>#N/A</v>
      </c>
      <c r="AH462" s="55" t="e">
        <f t="shared" ca="1" si="151"/>
        <v>#N/A</v>
      </c>
      <c r="AI462" s="55" t="e">
        <f t="shared" ca="1" si="152"/>
        <v>#N/A</v>
      </c>
      <c r="AJ462" s="55" t="e">
        <f t="shared" ca="1" si="139"/>
        <v>#N/A</v>
      </c>
      <c r="AK462" s="55" t="e">
        <f t="shared" ca="1" si="140"/>
        <v>#N/A</v>
      </c>
      <c r="AL462" s="55" t="e">
        <f t="shared" ca="1" si="141"/>
        <v>#N/A</v>
      </c>
      <c r="AM462" s="55"/>
    </row>
    <row r="463" spans="18:39">
      <c r="R463" s="55" t="e">
        <f ca="1"/>
        <v>#N/A</v>
      </c>
      <c r="S463" s="55" t="e">
        <f t="shared" ca="1" si="142"/>
        <v>#N/A</v>
      </c>
      <c r="T463" s="55" t="e">
        <f t="shared" ca="1" si="143"/>
        <v>#N/A</v>
      </c>
      <c r="U463" s="55" t="e">
        <f t="shared" ca="1" si="144"/>
        <v>#N/A</v>
      </c>
      <c r="V463" s="55" t="e">
        <f t="shared" ca="1" si="145"/>
        <v>#N/A</v>
      </c>
      <c r="W463" s="55" t="e">
        <f t="shared" ca="1" si="136"/>
        <v>#N/A</v>
      </c>
      <c r="X463" s="55" t="e">
        <f t="shared" ca="1" si="137"/>
        <v>#N/A</v>
      </c>
      <c r="Y463" s="55" t="e">
        <f t="shared" ca="1" si="138"/>
        <v>#N/A</v>
      </c>
      <c r="Z463" s="55" t="e">
        <f t="shared" ca="1" si="134"/>
        <v>#N/A</v>
      </c>
      <c r="AA463" t="e">
        <f t="shared" ca="1" si="135"/>
        <v>#N/A</v>
      </c>
      <c r="AB463" t="e">
        <f t="shared" ca="1" si="146"/>
        <v>#N/A</v>
      </c>
      <c r="AC463" t="e">
        <f t="shared" ca="1" si="147"/>
        <v>#N/A</v>
      </c>
      <c r="AD463" t="e">
        <f t="shared" ca="1" si="148"/>
        <v>#N/A</v>
      </c>
      <c r="AE463" s="83" t="e">
        <f ca="1"/>
        <v>#N/A</v>
      </c>
      <c r="AF463" s="55" t="e">
        <f t="shared" ca="1" si="149"/>
        <v>#N/A</v>
      </c>
      <c r="AG463" s="55" t="e">
        <f t="shared" ca="1" si="150"/>
        <v>#N/A</v>
      </c>
      <c r="AH463" s="55" t="e">
        <f t="shared" ca="1" si="151"/>
        <v>#N/A</v>
      </c>
      <c r="AI463" s="55" t="e">
        <f t="shared" ca="1" si="152"/>
        <v>#N/A</v>
      </c>
      <c r="AJ463" s="55" t="e">
        <f t="shared" ca="1" si="139"/>
        <v>#N/A</v>
      </c>
      <c r="AK463" s="55" t="e">
        <f t="shared" ca="1" si="140"/>
        <v>#N/A</v>
      </c>
      <c r="AL463" s="55" t="e">
        <f t="shared" ca="1" si="141"/>
        <v>#N/A</v>
      </c>
      <c r="AM463" s="55"/>
    </row>
    <row r="464" spans="18:39">
      <c r="R464" s="55" t="e">
        <f ca="1"/>
        <v>#N/A</v>
      </c>
      <c r="S464" s="55" t="e">
        <f t="shared" ca="1" si="142"/>
        <v>#N/A</v>
      </c>
      <c r="T464" s="55" t="e">
        <f t="shared" ca="1" si="143"/>
        <v>#N/A</v>
      </c>
      <c r="U464" s="55" t="e">
        <f t="shared" ca="1" si="144"/>
        <v>#N/A</v>
      </c>
      <c r="V464" s="55" t="e">
        <f t="shared" ca="1" si="145"/>
        <v>#N/A</v>
      </c>
      <c r="W464" s="55" t="e">
        <f t="shared" ca="1" si="136"/>
        <v>#N/A</v>
      </c>
      <c r="X464" s="55" t="e">
        <f t="shared" ca="1" si="137"/>
        <v>#N/A</v>
      </c>
      <c r="Y464" s="55" t="e">
        <f t="shared" ca="1" si="138"/>
        <v>#N/A</v>
      </c>
      <c r="Z464" s="55" t="e">
        <f t="shared" ca="1" si="134"/>
        <v>#N/A</v>
      </c>
      <c r="AA464" t="e">
        <f t="shared" ca="1" si="135"/>
        <v>#N/A</v>
      </c>
      <c r="AB464" t="e">
        <f t="shared" ca="1" si="146"/>
        <v>#N/A</v>
      </c>
      <c r="AC464" t="e">
        <f t="shared" ca="1" si="147"/>
        <v>#N/A</v>
      </c>
      <c r="AD464" t="e">
        <f t="shared" ca="1" si="148"/>
        <v>#N/A</v>
      </c>
      <c r="AE464" s="83" t="e">
        <f ca="1"/>
        <v>#N/A</v>
      </c>
      <c r="AF464" s="55" t="e">
        <f t="shared" ca="1" si="149"/>
        <v>#N/A</v>
      </c>
      <c r="AG464" s="55" t="e">
        <f t="shared" ca="1" si="150"/>
        <v>#N/A</v>
      </c>
      <c r="AH464" s="55" t="e">
        <f t="shared" ca="1" si="151"/>
        <v>#N/A</v>
      </c>
      <c r="AI464" s="55" t="e">
        <f t="shared" ca="1" si="152"/>
        <v>#N/A</v>
      </c>
      <c r="AJ464" s="55" t="e">
        <f t="shared" ca="1" si="139"/>
        <v>#N/A</v>
      </c>
      <c r="AK464" s="55" t="e">
        <f t="shared" ca="1" si="140"/>
        <v>#N/A</v>
      </c>
      <c r="AL464" s="55" t="e">
        <f t="shared" ca="1" si="141"/>
        <v>#N/A</v>
      </c>
      <c r="AM464" s="55"/>
    </row>
    <row r="465" spans="18:39">
      <c r="R465" s="55" t="e">
        <f ca="1"/>
        <v>#N/A</v>
      </c>
      <c r="S465" s="55" t="e">
        <f t="shared" ca="1" si="142"/>
        <v>#N/A</v>
      </c>
      <c r="T465" s="55" t="e">
        <f t="shared" ca="1" si="143"/>
        <v>#N/A</v>
      </c>
      <c r="U465" s="55" t="e">
        <f t="shared" ca="1" si="144"/>
        <v>#N/A</v>
      </c>
      <c r="V465" s="55" t="e">
        <f t="shared" ca="1" si="145"/>
        <v>#N/A</v>
      </c>
      <c r="W465" s="55" t="e">
        <f t="shared" ca="1" si="136"/>
        <v>#N/A</v>
      </c>
      <c r="X465" s="55" t="e">
        <f t="shared" ca="1" si="137"/>
        <v>#N/A</v>
      </c>
      <c r="Y465" s="55" t="e">
        <f t="shared" ca="1" si="138"/>
        <v>#N/A</v>
      </c>
      <c r="Z465" s="55" t="e">
        <f t="shared" ca="1" si="134"/>
        <v>#N/A</v>
      </c>
      <c r="AA465" t="e">
        <f t="shared" ca="1" si="135"/>
        <v>#N/A</v>
      </c>
      <c r="AB465" t="e">
        <f t="shared" ca="1" si="146"/>
        <v>#N/A</v>
      </c>
      <c r="AC465" t="e">
        <f t="shared" ca="1" si="147"/>
        <v>#N/A</v>
      </c>
      <c r="AD465" t="e">
        <f t="shared" ca="1" si="148"/>
        <v>#N/A</v>
      </c>
      <c r="AE465" s="83" t="e">
        <f ca="1"/>
        <v>#N/A</v>
      </c>
      <c r="AF465" s="55" t="e">
        <f t="shared" ca="1" si="149"/>
        <v>#N/A</v>
      </c>
      <c r="AG465" s="55" t="e">
        <f t="shared" ca="1" si="150"/>
        <v>#N/A</v>
      </c>
      <c r="AH465" s="55" t="e">
        <f t="shared" ca="1" si="151"/>
        <v>#N/A</v>
      </c>
      <c r="AI465" s="55" t="e">
        <f t="shared" ca="1" si="152"/>
        <v>#N/A</v>
      </c>
      <c r="AJ465" s="55" t="e">
        <f t="shared" ca="1" si="139"/>
        <v>#N/A</v>
      </c>
      <c r="AK465" s="55" t="e">
        <f t="shared" ca="1" si="140"/>
        <v>#N/A</v>
      </c>
      <c r="AL465" s="55" t="e">
        <f t="shared" ca="1" si="141"/>
        <v>#N/A</v>
      </c>
      <c r="AM465" s="55"/>
    </row>
    <row r="466" spans="18:39">
      <c r="R466" s="55" t="e">
        <f ca="1"/>
        <v>#N/A</v>
      </c>
      <c r="S466" s="55" t="e">
        <f t="shared" ca="1" si="142"/>
        <v>#N/A</v>
      </c>
      <c r="T466" s="55" t="e">
        <f t="shared" ca="1" si="143"/>
        <v>#N/A</v>
      </c>
      <c r="U466" s="55" t="e">
        <f t="shared" ca="1" si="144"/>
        <v>#N/A</v>
      </c>
      <c r="V466" s="55" t="e">
        <f t="shared" ca="1" si="145"/>
        <v>#N/A</v>
      </c>
      <c r="W466" s="55" t="e">
        <f t="shared" ca="1" si="136"/>
        <v>#N/A</v>
      </c>
      <c r="X466" s="55" t="e">
        <f t="shared" ca="1" si="137"/>
        <v>#N/A</v>
      </c>
      <c r="Y466" s="55" t="e">
        <f t="shared" ca="1" si="138"/>
        <v>#N/A</v>
      </c>
      <c r="Z466" s="55" t="e">
        <f t="shared" ref="Z466:Z529" ca="1" si="153">VLOOKUP(S466,ModelOutputs,3,FALSE)*14</f>
        <v>#N/A</v>
      </c>
      <c r="AA466" t="e">
        <f t="shared" ref="AA466:AA529" ca="1" si="154">VLOOKUP(S466,ModelOutputs,10,FALSE)*AWC</f>
        <v>#N/A</v>
      </c>
      <c r="AB466" t="e">
        <f t="shared" ca="1" si="146"/>
        <v>#N/A</v>
      </c>
      <c r="AC466" t="e">
        <f t="shared" ca="1" si="147"/>
        <v>#N/A</v>
      </c>
      <c r="AD466" t="e">
        <f t="shared" ca="1" si="148"/>
        <v>#N/A</v>
      </c>
      <c r="AE466" s="83" t="e">
        <f ca="1"/>
        <v>#N/A</v>
      </c>
      <c r="AF466" s="55" t="e">
        <f t="shared" ca="1" si="149"/>
        <v>#N/A</v>
      </c>
      <c r="AG466" s="55" t="e">
        <f t="shared" ca="1" si="150"/>
        <v>#N/A</v>
      </c>
      <c r="AH466" s="55" t="e">
        <f t="shared" ca="1" si="151"/>
        <v>#N/A</v>
      </c>
      <c r="AI466" s="55" t="e">
        <f t="shared" ca="1" si="152"/>
        <v>#N/A</v>
      </c>
      <c r="AJ466" s="55" t="e">
        <f t="shared" ca="1" si="139"/>
        <v>#N/A</v>
      </c>
      <c r="AK466" s="55" t="e">
        <f t="shared" ca="1" si="140"/>
        <v>#N/A</v>
      </c>
      <c r="AL466" s="55" t="e">
        <f t="shared" ca="1" si="141"/>
        <v>#N/A</v>
      </c>
      <c r="AM466" s="55"/>
    </row>
    <row r="467" spans="18:39">
      <c r="R467" s="55" t="e">
        <f ca="1"/>
        <v>#N/A</v>
      </c>
      <c r="S467" s="55" t="e">
        <f t="shared" ca="1" si="142"/>
        <v>#N/A</v>
      </c>
      <c r="T467" s="55" t="e">
        <f t="shared" ca="1" si="143"/>
        <v>#N/A</v>
      </c>
      <c r="U467" s="55" t="e">
        <f t="shared" ca="1" si="144"/>
        <v>#N/A</v>
      </c>
      <c r="V467" s="55" t="e">
        <f t="shared" ca="1" si="145"/>
        <v>#N/A</v>
      </c>
      <c r="W467" s="55" t="e">
        <f t="shared" ref="W467:W530" ca="1" si="155">-VLOOKUP(S467,ModelOutputs,9,FALSE)+W466</f>
        <v>#N/A</v>
      </c>
      <c r="X467" s="55" t="e">
        <f t="shared" ref="X467:X530" ca="1" si="156">VLOOKUP(S467,ModelOutputs,5,FALSE)+X466</f>
        <v>#N/A</v>
      </c>
      <c r="Y467" s="55" t="e">
        <f t="shared" ref="Y467:Y530" ca="1" si="157">VLOOKUP(S467,ModelOutputs,4,FALSE)+Y466</f>
        <v>#N/A</v>
      </c>
      <c r="Z467" s="55" t="e">
        <f t="shared" ca="1" si="153"/>
        <v>#N/A</v>
      </c>
      <c r="AA467" t="e">
        <f t="shared" ca="1" si="154"/>
        <v>#N/A</v>
      </c>
      <c r="AB467" t="e">
        <f t="shared" ca="1" si="146"/>
        <v>#N/A</v>
      </c>
      <c r="AC467" t="e">
        <f t="shared" ca="1" si="147"/>
        <v>#N/A</v>
      </c>
      <c r="AD467" t="e">
        <f t="shared" ca="1" si="148"/>
        <v>#N/A</v>
      </c>
      <c r="AE467" s="83" t="e">
        <f ca="1"/>
        <v>#N/A</v>
      </c>
      <c r="AF467" s="55" t="e">
        <f t="shared" ca="1" si="149"/>
        <v>#N/A</v>
      </c>
      <c r="AG467" s="55" t="e">
        <f t="shared" ca="1" si="150"/>
        <v>#N/A</v>
      </c>
      <c r="AH467" s="55" t="e">
        <f t="shared" ca="1" si="151"/>
        <v>#N/A</v>
      </c>
      <c r="AI467" s="55" t="e">
        <f t="shared" ca="1" si="152"/>
        <v>#N/A</v>
      </c>
      <c r="AJ467" s="55" t="e">
        <f t="shared" ref="AJ467:AJ530" ca="1" si="158">-VLOOKUP(AF467,ModelOutputs,9,FALSE)+AJ466</f>
        <v>#N/A</v>
      </c>
      <c r="AK467" s="55" t="e">
        <f t="shared" ref="AK467:AK530" ca="1" si="159">VLOOKUP(AF467,ModelOutputs,5,FALSE)+AK466</f>
        <v>#N/A</v>
      </c>
      <c r="AL467" s="55" t="e">
        <f t="shared" ref="AL467:AL530" ca="1" si="160">VLOOKUP(AF467,ModelOutputs,4,FALSE)+AL466</f>
        <v>#N/A</v>
      </c>
      <c r="AM467" s="55"/>
    </row>
    <row r="468" spans="18:39">
      <c r="R468" s="55" t="e">
        <f ca="1"/>
        <v>#N/A</v>
      </c>
      <c r="S468" s="55" t="e">
        <f t="shared" ca="1" si="142"/>
        <v>#N/A</v>
      </c>
      <c r="T468" s="55" t="e">
        <f t="shared" ca="1" si="143"/>
        <v>#N/A</v>
      </c>
      <c r="U468" s="55" t="e">
        <f t="shared" ca="1" si="144"/>
        <v>#N/A</v>
      </c>
      <c r="V468" s="55" t="e">
        <f t="shared" ca="1" si="145"/>
        <v>#N/A</v>
      </c>
      <c r="W468" s="55" t="e">
        <f t="shared" ca="1" si="155"/>
        <v>#N/A</v>
      </c>
      <c r="X468" s="55" t="e">
        <f t="shared" ca="1" si="156"/>
        <v>#N/A</v>
      </c>
      <c r="Y468" s="55" t="e">
        <f t="shared" ca="1" si="157"/>
        <v>#N/A</v>
      </c>
      <c r="Z468" s="55" t="e">
        <f t="shared" ca="1" si="153"/>
        <v>#N/A</v>
      </c>
      <c r="AA468" t="e">
        <f t="shared" ca="1" si="154"/>
        <v>#N/A</v>
      </c>
      <c r="AB468" t="e">
        <f t="shared" ca="1" si="146"/>
        <v>#N/A</v>
      </c>
      <c r="AC468" t="e">
        <f t="shared" ca="1" si="147"/>
        <v>#N/A</v>
      </c>
      <c r="AD468" t="e">
        <f t="shared" ca="1" si="148"/>
        <v>#N/A</v>
      </c>
      <c r="AE468" s="83" t="e">
        <f ca="1"/>
        <v>#N/A</v>
      </c>
      <c r="AF468" s="55" t="e">
        <f t="shared" ca="1" si="149"/>
        <v>#N/A</v>
      </c>
      <c r="AG468" s="55" t="e">
        <f t="shared" ca="1" si="150"/>
        <v>#N/A</v>
      </c>
      <c r="AH468" s="55" t="e">
        <f t="shared" ca="1" si="151"/>
        <v>#N/A</v>
      </c>
      <c r="AI468" s="55" t="e">
        <f t="shared" ca="1" si="152"/>
        <v>#N/A</v>
      </c>
      <c r="AJ468" s="55" t="e">
        <f t="shared" ca="1" si="158"/>
        <v>#N/A</v>
      </c>
      <c r="AK468" s="55" t="e">
        <f t="shared" ca="1" si="159"/>
        <v>#N/A</v>
      </c>
      <c r="AL468" s="55" t="e">
        <f t="shared" ca="1" si="160"/>
        <v>#N/A</v>
      </c>
      <c r="AM468" s="55"/>
    </row>
    <row r="469" spans="18:39">
      <c r="R469" s="55" t="e">
        <f ca="1"/>
        <v>#N/A</v>
      </c>
      <c r="S469" s="55" t="e">
        <f t="shared" ca="1" si="142"/>
        <v>#N/A</v>
      </c>
      <c r="T469" s="55" t="e">
        <f t="shared" ca="1" si="143"/>
        <v>#N/A</v>
      </c>
      <c r="U469" s="55" t="e">
        <f t="shared" ca="1" si="144"/>
        <v>#N/A</v>
      </c>
      <c r="V469" s="55" t="e">
        <f t="shared" ca="1" si="145"/>
        <v>#N/A</v>
      </c>
      <c r="W469" s="55" t="e">
        <f t="shared" ca="1" si="155"/>
        <v>#N/A</v>
      </c>
      <c r="X469" s="55" t="e">
        <f t="shared" ca="1" si="156"/>
        <v>#N/A</v>
      </c>
      <c r="Y469" s="55" t="e">
        <f t="shared" ca="1" si="157"/>
        <v>#N/A</v>
      </c>
      <c r="Z469" s="55" t="e">
        <f t="shared" ca="1" si="153"/>
        <v>#N/A</v>
      </c>
      <c r="AA469" t="e">
        <f t="shared" ca="1" si="154"/>
        <v>#N/A</v>
      </c>
      <c r="AB469" t="e">
        <f t="shared" ca="1" si="146"/>
        <v>#N/A</v>
      </c>
      <c r="AC469" t="e">
        <f t="shared" ca="1" si="147"/>
        <v>#N/A</v>
      </c>
      <c r="AD469" t="e">
        <f t="shared" ca="1" si="148"/>
        <v>#N/A</v>
      </c>
      <c r="AE469" s="83" t="e">
        <f ca="1"/>
        <v>#N/A</v>
      </c>
      <c r="AF469" s="55" t="e">
        <f t="shared" ca="1" si="149"/>
        <v>#N/A</v>
      </c>
      <c r="AG469" s="55" t="e">
        <f t="shared" ca="1" si="150"/>
        <v>#N/A</v>
      </c>
      <c r="AH469" s="55" t="e">
        <f t="shared" ca="1" si="151"/>
        <v>#N/A</v>
      </c>
      <c r="AI469" s="55" t="e">
        <f t="shared" ca="1" si="152"/>
        <v>#N/A</v>
      </c>
      <c r="AJ469" s="55" t="e">
        <f t="shared" ca="1" si="158"/>
        <v>#N/A</v>
      </c>
      <c r="AK469" s="55" t="e">
        <f t="shared" ca="1" si="159"/>
        <v>#N/A</v>
      </c>
      <c r="AL469" s="55" t="e">
        <f t="shared" ca="1" si="160"/>
        <v>#N/A</v>
      </c>
      <c r="AM469" s="55"/>
    </row>
    <row r="470" spans="18:39">
      <c r="R470" s="55" t="e">
        <f ca="1"/>
        <v>#N/A</v>
      </c>
      <c r="S470" s="55" t="e">
        <f t="shared" ca="1" si="142"/>
        <v>#N/A</v>
      </c>
      <c r="T470" s="55" t="e">
        <f t="shared" ca="1" si="143"/>
        <v>#N/A</v>
      </c>
      <c r="U470" s="55" t="e">
        <f t="shared" ca="1" si="144"/>
        <v>#N/A</v>
      </c>
      <c r="V470" s="55" t="e">
        <f t="shared" ca="1" si="145"/>
        <v>#N/A</v>
      </c>
      <c r="W470" s="55" t="e">
        <f t="shared" ca="1" si="155"/>
        <v>#N/A</v>
      </c>
      <c r="X470" s="55" t="e">
        <f t="shared" ca="1" si="156"/>
        <v>#N/A</v>
      </c>
      <c r="Y470" s="55" t="e">
        <f t="shared" ca="1" si="157"/>
        <v>#N/A</v>
      </c>
      <c r="Z470" s="55" t="e">
        <f t="shared" ca="1" si="153"/>
        <v>#N/A</v>
      </c>
      <c r="AA470" t="e">
        <f t="shared" ca="1" si="154"/>
        <v>#N/A</v>
      </c>
      <c r="AB470" t="e">
        <f t="shared" ca="1" si="146"/>
        <v>#N/A</v>
      </c>
      <c r="AC470" t="e">
        <f t="shared" ca="1" si="147"/>
        <v>#N/A</v>
      </c>
      <c r="AD470" t="e">
        <f t="shared" ca="1" si="148"/>
        <v>#N/A</v>
      </c>
      <c r="AE470" s="83" t="e">
        <f ca="1"/>
        <v>#N/A</v>
      </c>
      <c r="AF470" s="55" t="e">
        <f t="shared" ca="1" si="149"/>
        <v>#N/A</v>
      </c>
      <c r="AG470" s="55" t="e">
        <f t="shared" ca="1" si="150"/>
        <v>#N/A</v>
      </c>
      <c r="AH470" s="55" t="e">
        <f t="shared" ca="1" si="151"/>
        <v>#N/A</v>
      </c>
      <c r="AI470" s="55" t="e">
        <f t="shared" ca="1" si="152"/>
        <v>#N/A</v>
      </c>
      <c r="AJ470" s="55" t="e">
        <f t="shared" ca="1" si="158"/>
        <v>#N/A</v>
      </c>
      <c r="AK470" s="55" t="e">
        <f t="shared" ca="1" si="159"/>
        <v>#N/A</v>
      </c>
      <c r="AL470" s="55" t="e">
        <f t="shared" ca="1" si="160"/>
        <v>#N/A</v>
      </c>
      <c r="AM470" s="55"/>
    </row>
    <row r="471" spans="18:39">
      <c r="R471" s="55" t="e">
        <f ca="1"/>
        <v>#N/A</v>
      </c>
      <c r="S471" s="55" t="e">
        <f t="shared" ca="1" si="142"/>
        <v>#N/A</v>
      </c>
      <c r="T471" s="55" t="e">
        <f t="shared" ca="1" si="143"/>
        <v>#N/A</v>
      </c>
      <c r="U471" s="55" t="e">
        <f t="shared" ca="1" si="144"/>
        <v>#N/A</v>
      </c>
      <c r="V471" s="55" t="e">
        <f t="shared" ca="1" si="145"/>
        <v>#N/A</v>
      </c>
      <c r="W471" s="55" t="e">
        <f t="shared" ca="1" si="155"/>
        <v>#N/A</v>
      </c>
      <c r="X471" s="55" t="e">
        <f t="shared" ca="1" si="156"/>
        <v>#N/A</v>
      </c>
      <c r="Y471" s="55" t="e">
        <f t="shared" ca="1" si="157"/>
        <v>#N/A</v>
      </c>
      <c r="Z471" s="55" t="e">
        <f t="shared" ca="1" si="153"/>
        <v>#N/A</v>
      </c>
      <c r="AA471" t="e">
        <f t="shared" ca="1" si="154"/>
        <v>#N/A</v>
      </c>
      <c r="AB471" t="e">
        <f t="shared" ca="1" si="146"/>
        <v>#N/A</v>
      </c>
      <c r="AC471" t="e">
        <f t="shared" ca="1" si="147"/>
        <v>#N/A</v>
      </c>
      <c r="AD471" t="e">
        <f t="shared" ca="1" si="148"/>
        <v>#N/A</v>
      </c>
      <c r="AE471" s="83" t="e">
        <f ca="1"/>
        <v>#N/A</v>
      </c>
      <c r="AF471" s="55" t="e">
        <f t="shared" ca="1" si="149"/>
        <v>#N/A</v>
      </c>
      <c r="AG471" s="55" t="e">
        <f t="shared" ca="1" si="150"/>
        <v>#N/A</v>
      </c>
      <c r="AH471" s="55" t="e">
        <f t="shared" ca="1" si="151"/>
        <v>#N/A</v>
      </c>
      <c r="AI471" s="55" t="e">
        <f t="shared" ca="1" si="152"/>
        <v>#N/A</v>
      </c>
      <c r="AJ471" s="55" t="e">
        <f t="shared" ca="1" si="158"/>
        <v>#N/A</v>
      </c>
      <c r="AK471" s="55" t="e">
        <f t="shared" ca="1" si="159"/>
        <v>#N/A</v>
      </c>
      <c r="AL471" s="55" t="e">
        <f t="shared" ca="1" si="160"/>
        <v>#N/A</v>
      </c>
      <c r="AM471" s="55"/>
    </row>
    <row r="472" spans="18:39">
      <c r="R472" s="55" t="e">
        <f ca="1"/>
        <v>#N/A</v>
      </c>
      <c r="S472" s="55" t="e">
        <f t="shared" ca="1" si="142"/>
        <v>#N/A</v>
      </c>
      <c r="T472" s="55" t="e">
        <f t="shared" ca="1" si="143"/>
        <v>#N/A</v>
      </c>
      <c r="U472" s="55" t="e">
        <f t="shared" ca="1" si="144"/>
        <v>#N/A</v>
      </c>
      <c r="V472" s="55" t="e">
        <f t="shared" ca="1" si="145"/>
        <v>#N/A</v>
      </c>
      <c r="W472" s="55" t="e">
        <f t="shared" ca="1" si="155"/>
        <v>#N/A</v>
      </c>
      <c r="X472" s="55" t="e">
        <f t="shared" ca="1" si="156"/>
        <v>#N/A</v>
      </c>
      <c r="Y472" s="55" t="e">
        <f t="shared" ca="1" si="157"/>
        <v>#N/A</v>
      </c>
      <c r="Z472" s="55" t="e">
        <f t="shared" ca="1" si="153"/>
        <v>#N/A</v>
      </c>
      <c r="AA472" t="e">
        <f t="shared" ca="1" si="154"/>
        <v>#N/A</v>
      </c>
      <c r="AB472" t="e">
        <f t="shared" ca="1" si="146"/>
        <v>#N/A</v>
      </c>
      <c r="AC472" t="e">
        <f t="shared" ca="1" si="147"/>
        <v>#N/A</v>
      </c>
      <c r="AD472" t="e">
        <f t="shared" ca="1" si="148"/>
        <v>#N/A</v>
      </c>
      <c r="AE472" s="83" t="e">
        <f ca="1"/>
        <v>#N/A</v>
      </c>
      <c r="AF472" s="55" t="e">
        <f t="shared" ca="1" si="149"/>
        <v>#N/A</v>
      </c>
      <c r="AG472" s="55" t="e">
        <f t="shared" ca="1" si="150"/>
        <v>#N/A</v>
      </c>
      <c r="AH472" s="55" t="e">
        <f t="shared" ca="1" si="151"/>
        <v>#N/A</v>
      </c>
      <c r="AI472" s="55" t="e">
        <f t="shared" ca="1" si="152"/>
        <v>#N/A</v>
      </c>
      <c r="AJ472" s="55" t="e">
        <f t="shared" ca="1" si="158"/>
        <v>#N/A</v>
      </c>
      <c r="AK472" s="55" t="e">
        <f t="shared" ca="1" si="159"/>
        <v>#N/A</v>
      </c>
      <c r="AL472" s="55" t="e">
        <f t="shared" ca="1" si="160"/>
        <v>#N/A</v>
      </c>
      <c r="AM472" s="55"/>
    </row>
    <row r="473" spans="18:39">
      <c r="R473" s="55" t="e">
        <f ca="1"/>
        <v>#N/A</v>
      </c>
      <c r="S473" s="55" t="e">
        <f t="shared" ca="1" si="142"/>
        <v>#N/A</v>
      </c>
      <c r="T473" s="55" t="e">
        <f t="shared" ca="1" si="143"/>
        <v>#N/A</v>
      </c>
      <c r="U473" s="55" t="e">
        <f t="shared" ca="1" si="144"/>
        <v>#N/A</v>
      </c>
      <c r="V473" s="55" t="e">
        <f t="shared" ca="1" si="145"/>
        <v>#N/A</v>
      </c>
      <c r="W473" s="55" t="e">
        <f t="shared" ca="1" si="155"/>
        <v>#N/A</v>
      </c>
      <c r="X473" s="55" t="e">
        <f t="shared" ca="1" si="156"/>
        <v>#N/A</v>
      </c>
      <c r="Y473" s="55" t="e">
        <f t="shared" ca="1" si="157"/>
        <v>#N/A</v>
      </c>
      <c r="Z473" s="55" t="e">
        <f t="shared" ca="1" si="153"/>
        <v>#N/A</v>
      </c>
      <c r="AA473" t="e">
        <f t="shared" ca="1" si="154"/>
        <v>#N/A</v>
      </c>
      <c r="AB473" t="e">
        <f t="shared" ca="1" si="146"/>
        <v>#N/A</v>
      </c>
      <c r="AC473" t="e">
        <f t="shared" ca="1" si="147"/>
        <v>#N/A</v>
      </c>
      <c r="AD473" t="e">
        <f t="shared" ca="1" si="148"/>
        <v>#N/A</v>
      </c>
      <c r="AE473" s="83" t="e">
        <f ca="1"/>
        <v>#N/A</v>
      </c>
      <c r="AF473" s="55" t="e">
        <f t="shared" ca="1" si="149"/>
        <v>#N/A</v>
      </c>
      <c r="AG473" s="55" t="e">
        <f t="shared" ca="1" si="150"/>
        <v>#N/A</v>
      </c>
      <c r="AH473" s="55" t="e">
        <f t="shared" ca="1" si="151"/>
        <v>#N/A</v>
      </c>
      <c r="AI473" s="55" t="e">
        <f t="shared" ca="1" si="152"/>
        <v>#N/A</v>
      </c>
      <c r="AJ473" s="55" t="e">
        <f t="shared" ca="1" si="158"/>
        <v>#N/A</v>
      </c>
      <c r="AK473" s="55" t="e">
        <f t="shared" ca="1" si="159"/>
        <v>#N/A</v>
      </c>
      <c r="AL473" s="55" t="e">
        <f t="shared" ca="1" si="160"/>
        <v>#N/A</v>
      </c>
      <c r="AM473" s="55"/>
    </row>
    <row r="474" spans="18:39">
      <c r="R474" s="55" t="e">
        <f ca="1"/>
        <v>#N/A</v>
      </c>
      <c r="S474" s="55" t="e">
        <f t="shared" ca="1" si="142"/>
        <v>#N/A</v>
      </c>
      <c r="T474" s="55" t="e">
        <f t="shared" ca="1" si="143"/>
        <v>#N/A</v>
      </c>
      <c r="U474" s="55" t="e">
        <f t="shared" ca="1" si="144"/>
        <v>#N/A</v>
      </c>
      <c r="V474" s="55" t="e">
        <f t="shared" ca="1" si="145"/>
        <v>#N/A</v>
      </c>
      <c r="W474" s="55" t="e">
        <f t="shared" ca="1" si="155"/>
        <v>#N/A</v>
      </c>
      <c r="X474" s="55" t="e">
        <f t="shared" ca="1" si="156"/>
        <v>#N/A</v>
      </c>
      <c r="Y474" s="55" t="e">
        <f t="shared" ca="1" si="157"/>
        <v>#N/A</v>
      </c>
      <c r="Z474" s="55" t="e">
        <f t="shared" ca="1" si="153"/>
        <v>#N/A</v>
      </c>
      <c r="AA474" t="e">
        <f t="shared" ca="1" si="154"/>
        <v>#N/A</v>
      </c>
      <c r="AB474" t="e">
        <f t="shared" ca="1" si="146"/>
        <v>#N/A</v>
      </c>
      <c r="AC474" t="e">
        <f t="shared" ca="1" si="147"/>
        <v>#N/A</v>
      </c>
      <c r="AD474" t="e">
        <f t="shared" ca="1" si="148"/>
        <v>#N/A</v>
      </c>
      <c r="AE474" s="83" t="e">
        <f ca="1"/>
        <v>#N/A</v>
      </c>
      <c r="AF474" s="55" t="e">
        <f t="shared" ca="1" si="149"/>
        <v>#N/A</v>
      </c>
      <c r="AG474" s="55" t="e">
        <f t="shared" ca="1" si="150"/>
        <v>#N/A</v>
      </c>
      <c r="AH474" s="55" t="e">
        <f t="shared" ca="1" si="151"/>
        <v>#N/A</v>
      </c>
      <c r="AI474" s="55" t="e">
        <f t="shared" ca="1" si="152"/>
        <v>#N/A</v>
      </c>
      <c r="AJ474" s="55" t="e">
        <f t="shared" ca="1" si="158"/>
        <v>#N/A</v>
      </c>
      <c r="AK474" s="55" t="e">
        <f t="shared" ca="1" si="159"/>
        <v>#N/A</v>
      </c>
      <c r="AL474" s="55" t="e">
        <f t="shared" ca="1" si="160"/>
        <v>#N/A</v>
      </c>
      <c r="AM474" s="55"/>
    </row>
    <row r="475" spans="18:39">
      <c r="R475" s="55" t="e">
        <f ca="1"/>
        <v>#N/A</v>
      </c>
      <c r="S475" s="55" t="e">
        <f t="shared" ca="1" si="142"/>
        <v>#N/A</v>
      </c>
      <c r="T475" s="55" t="e">
        <f t="shared" ca="1" si="143"/>
        <v>#N/A</v>
      </c>
      <c r="U475" s="55" t="e">
        <f t="shared" ca="1" si="144"/>
        <v>#N/A</v>
      </c>
      <c r="V475" s="55" t="e">
        <f t="shared" ca="1" si="145"/>
        <v>#N/A</v>
      </c>
      <c r="W475" s="55" t="e">
        <f t="shared" ca="1" si="155"/>
        <v>#N/A</v>
      </c>
      <c r="X475" s="55" t="e">
        <f t="shared" ca="1" si="156"/>
        <v>#N/A</v>
      </c>
      <c r="Y475" s="55" t="e">
        <f t="shared" ca="1" si="157"/>
        <v>#N/A</v>
      </c>
      <c r="Z475" s="55" t="e">
        <f t="shared" ca="1" si="153"/>
        <v>#N/A</v>
      </c>
      <c r="AA475" t="e">
        <f t="shared" ca="1" si="154"/>
        <v>#N/A</v>
      </c>
      <c r="AB475" t="e">
        <f t="shared" ca="1" si="146"/>
        <v>#N/A</v>
      </c>
      <c r="AC475" t="e">
        <f t="shared" ca="1" si="147"/>
        <v>#N/A</v>
      </c>
      <c r="AD475" t="e">
        <f t="shared" ca="1" si="148"/>
        <v>#N/A</v>
      </c>
      <c r="AE475" s="83" t="e">
        <f ca="1"/>
        <v>#N/A</v>
      </c>
      <c r="AF475" s="55" t="e">
        <f t="shared" ca="1" si="149"/>
        <v>#N/A</v>
      </c>
      <c r="AG475" s="55" t="e">
        <f t="shared" ca="1" si="150"/>
        <v>#N/A</v>
      </c>
      <c r="AH475" s="55" t="e">
        <f t="shared" ca="1" si="151"/>
        <v>#N/A</v>
      </c>
      <c r="AI475" s="55" t="e">
        <f t="shared" ca="1" si="152"/>
        <v>#N/A</v>
      </c>
      <c r="AJ475" s="55" t="e">
        <f t="shared" ca="1" si="158"/>
        <v>#N/A</v>
      </c>
      <c r="AK475" s="55" t="e">
        <f t="shared" ca="1" si="159"/>
        <v>#N/A</v>
      </c>
      <c r="AL475" s="55" t="e">
        <f t="shared" ca="1" si="160"/>
        <v>#N/A</v>
      </c>
      <c r="AM475" s="55"/>
    </row>
    <row r="476" spans="18:39">
      <c r="R476" s="55" t="e">
        <f ca="1"/>
        <v>#N/A</v>
      </c>
      <c r="S476" s="55" t="e">
        <f t="shared" ca="1" si="142"/>
        <v>#N/A</v>
      </c>
      <c r="T476" s="55" t="e">
        <f t="shared" ca="1" si="143"/>
        <v>#N/A</v>
      </c>
      <c r="U476" s="55" t="e">
        <f t="shared" ca="1" si="144"/>
        <v>#N/A</v>
      </c>
      <c r="V476" s="55" t="e">
        <f t="shared" ca="1" si="145"/>
        <v>#N/A</v>
      </c>
      <c r="W476" s="55" t="e">
        <f t="shared" ca="1" si="155"/>
        <v>#N/A</v>
      </c>
      <c r="X476" s="55" t="e">
        <f t="shared" ca="1" si="156"/>
        <v>#N/A</v>
      </c>
      <c r="Y476" s="55" t="e">
        <f t="shared" ca="1" si="157"/>
        <v>#N/A</v>
      </c>
      <c r="Z476" s="55" t="e">
        <f t="shared" ca="1" si="153"/>
        <v>#N/A</v>
      </c>
      <c r="AA476" t="e">
        <f t="shared" ca="1" si="154"/>
        <v>#N/A</v>
      </c>
      <c r="AB476" t="e">
        <f t="shared" ca="1" si="146"/>
        <v>#N/A</v>
      </c>
      <c r="AC476" t="e">
        <f t="shared" ca="1" si="147"/>
        <v>#N/A</v>
      </c>
      <c r="AD476" t="e">
        <f t="shared" ca="1" si="148"/>
        <v>#N/A</v>
      </c>
      <c r="AE476" s="83" t="e">
        <f ca="1"/>
        <v>#N/A</v>
      </c>
      <c r="AF476" s="55" t="e">
        <f t="shared" ca="1" si="149"/>
        <v>#N/A</v>
      </c>
      <c r="AG476" s="55" t="e">
        <f t="shared" ca="1" si="150"/>
        <v>#N/A</v>
      </c>
      <c r="AH476" s="55" t="e">
        <f t="shared" ca="1" si="151"/>
        <v>#N/A</v>
      </c>
      <c r="AI476" s="55" t="e">
        <f t="shared" ca="1" si="152"/>
        <v>#N/A</v>
      </c>
      <c r="AJ476" s="55" t="e">
        <f t="shared" ca="1" si="158"/>
        <v>#N/A</v>
      </c>
      <c r="AK476" s="55" t="e">
        <f t="shared" ca="1" si="159"/>
        <v>#N/A</v>
      </c>
      <c r="AL476" s="55" t="e">
        <f t="shared" ca="1" si="160"/>
        <v>#N/A</v>
      </c>
      <c r="AM476" s="55"/>
    </row>
    <row r="477" spans="18:39">
      <c r="R477" s="55" t="e">
        <f ca="1"/>
        <v>#N/A</v>
      </c>
      <c r="S477" s="55" t="e">
        <f t="shared" ca="1" si="142"/>
        <v>#N/A</v>
      </c>
      <c r="T477" s="55" t="e">
        <f t="shared" ca="1" si="143"/>
        <v>#N/A</v>
      </c>
      <c r="U477" s="55" t="e">
        <f t="shared" ca="1" si="144"/>
        <v>#N/A</v>
      </c>
      <c r="V477" s="55" t="e">
        <f t="shared" ca="1" si="145"/>
        <v>#N/A</v>
      </c>
      <c r="W477" s="55" t="e">
        <f t="shared" ca="1" si="155"/>
        <v>#N/A</v>
      </c>
      <c r="X477" s="55" t="e">
        <f t="shared" ca="1" si="156"/>
        <v>#N/A</v>
      </c>
      <c r="Y477" s="55" t="e">
        <f t="shared" ca="1" si="157"/>
        <v>#N/A</v>
      </c>
      <c r="Z477" s="55" t="e">
        <f t="shared" ca="1" si="153"/>
        <v>#N/A</v>
      </c>
      <c r="AA477" t="e">
        <f t="shared" ca="1" si="154"/>
        <v>#N/A</v>
      </c>
      <c r="AB477" t="e">
        <f t="shared" ca="1" si="146"/>
        <v>#N/A</v>
      </c>
      <c r="AC477" t="e">
        <f t="shared" ca="1" si="147"/>
        <v>#N/A</v>
      </c>
      <c r="AD477" t="e">
        <f t="shared" ca="1" si="148"/>
        <v>#N/A</v>
      </c>
      <c r="AE477" s="83" t="e">
        <f ca="1"/>
        <v>#N/A</v>
      </c>
      <c r="AF477" s="55" t="e">
        <f t="shared" ca="1" si="149"/>
        <v>#N/A</v>
      </c>
      <c r="AG477" s="55" t="e">
        <f t="shared" ca="1" si="150"/>
        <v>#N/A</v>
      </c>
      <c r="AH477" s="55" t="e">
        <f t="shared" ca="1" si="151"/>
        <v>#N/A</v>
      </c>
      <c r="AI477" s="55" t="e">
        <f t="shared" ca="1" si="152"/>
        <v>#N/A</v>
      </c>
      <c r="AJ477" s="55" t="e">
        <f t="shared" ca="1" si="158"/>
        <v>#N/A</v>
      </c>
      <c r="AK477" s="55" t="e">
        <f t="shared" ca="1" si="159"/>
        <v>#N/A</v>
      </c>
      <c r="AL477" s="55" t="e">
        <f t="shared" ca="1" si="160"/>
        <v>#N/A</v>
      </c>
      <c r="AM477" s="55"/>
    </row>
    <row r="478" spans="18:39">
      <c r="R478" s="55" t="e">
        <f ca="1"/>
        <v>#N/A</v>
      </c>
      <c r="S478" s="55" t="e">
        <f t="shared" ca="1" si="142"/>
        <v>#N/A</v>
      </c>
      <c r="T478" s="55" t="e">
        <f t="shared" ca="1" si="143"/>
        <v>#N/A</v>
      </c>
      <c r="U478" s="55" t="e">
        <f t="shared" ca="1" si="144"/>
        <v>#N/A</v>
      </c>
      <c r="V478" s="55" t="e">
        <f t="shared" ca="1" si="145"/>
        <v>#N/A</v>
      </c>
      <c r="W478" s="55" t="e">
        <f t="shared" ca="1" si="155"/>
        <v>#N/A</v>
      </c>
      <c r="X478" s="55" t="e">
        <f t="shared" ca="1" si="156"/>
        <v>#N/A</v>
      </c>
      <c r="Y478" s="55" t="e">
        <f t="shared" ca="1" si="157"/>
        <v>#N/A</v>
      </c>
      <c r="Z478" s="55" t="e">
        <f t="shared" ca="1" si="153"/>
        <v>#N/A</v>
      </c>
      <c r="AA478" t="e">
        <f t="shared" ca="1" si="154"/>
        <v>#N/A</v>
      </c>
      <c r="AB478" t="e">
        <f t="shared" ca="1" si="146"/>
        <v>#N/A</v>
      </c>
      <c r="AC478" t="e">
        <f t="shared" ca="1" si="147"/>
        <v>#N/A</v>
      </c>
      <c r="AD478" t="e">
        <f t="shared" ca="1" si="148"/>
        <v>#N/A</v>
      </c>
      <c r="AE478" s="83" t="e">
        <f ca="1"/>
        <v>#N/A</v>
      </c>
      <c r="AF478" s="55" t="e">
        <f t="shared" ca="1" si="149"/>
        <v>#N/A</v>
      </c>
      <c r="AG478" s="55" t="e">
        <f t="shared" ca="1" si="150"/>
        <v>#N/A</v>
      </c>
      <c r="AH478" s="55" t="e">
        <f t="shared" ca="1" si="151"/>
        <v>#N/A</v>
      </c>
      <c r="AI478" s="55" t="e">
        <f t="shared" ca="1" si="152"/>
        <v>#N/A</v>
      </c>
      <c r="AJ478" s="55" t="e">
        <f t="shared" ca="1" si="158"/>
        <v>#N/A</v>
      </c>
      <c r="AK478" s="55" t="e">
        <f t="shared" ca="1" si="159"/>
        <v>#N/A</v>
      </c>
      <c r="AL478" s="55" t="e">
        <f t="shared" ca="1" si="160"/>
        <v>#N/A</v>
      </c>
      <c r="AM478" s="55"/>
    </row>
    <row r="479" spans="18:39">
      <c r="R479" s="55" t="e">
        <f ca="1"/>
        <v>#N/A</v>
      </c>
      <c r="S479" s="55" t="e">
        <f t="shared" ca="1" si="142"/>
        <v>#N/A</v>
      </c>
      <c r="T479" s="55" t="e">
        <f t="shared" ca="1" si="143"/>
        <v>#N/A</v>
      </c>
      <c r="U479" s="55" t="e">
        <f t="shared" ca="1" si="144"/>
        <v>#N/A</v>
      </c>
      <c r="V479" s="55" t="e">
        <f t="shared" ca="1" si="145"/>
        <v>#N/A</v>
      </c>
      <c r="W479" s="55" t="e">
        <f t="shared" ca="1" si="155"/>
        <v>#N/A</v>
      </c>
      <c r="X479" s="55" t="e">
        <f t="shared" ca="1" si="156"/>
        <v>#N/A</v>
      </c>
      <c r="Y479" s="55" t="e">
        <f t="shared" ca="1" si="157"/>
        <v>#N/A</v>
      </c>
      <c r="Z479" s="55" t="e">
        <f t="shared" ca="1" si="153"/>
        <v>#N/A</v>
      </c>
      <c r="AA479" t="e">
        <f t="shared" ca="1" si="154"/>
        <v>#N/A</v>
      </c>
      <c r="AB479" t="e">
        <f t="shared" ca="1" si="146"/>
        <v>#N/A</v>
      </c>
      <c r="AC479" t="e">
        <f t="shared" ca="1" si="147"/>
        <v>#N/A</v>
      </c>
      <c r="AD479" t="e">
        <f t="shared" ca="1" si="148"/>
        <v>#N/A</v>
      </c>
      <c r="AE479" s="83" t="e">
        <f ca="1"/>
        <v>#N/A</v>
      </c>
      <c r="AF479" s="55" t="e">
        <f t="shared" ca="1" si="149"/>
        <v>#N/A</v>
      </c>
      <c r="AG479" s="55" t="e">
        <f t="shared" ca="1" si="150"/>
        <v>#N/A</v>
      </c>
      <c r="AH479" s="55" t="e">
        <f t="shared" ca="1" si="151"/>
        <v>#N/A</v>
      </c>
      <c r="AI479" s="55" t="e">
        <f t="shared" ca="1" si="152"/>
        <v>#N/A</v>
      </c>
      <c r="AJ479" s="55" t="e">
        <f t="shared" ca="1" si="158"/>
        <v>#N/A</v>
      </c>
      <c r="AK479" s="55" t="e">
        <f t="shared" ca="1" si="159"/>
        <v>#N/A</v>
      </c>
      <c r="AL479" s="55" t="e">
        <f t="shared" ca="1" si="160"/>
        <v>#N/A</v>
      </c>
      <c r="AM479" s="55"/>
    </row>
    <row r="480" spans="18:39">
      <c r="R480" s="55" t="e">
        <f ca="1"/>
        <v>#N/A</v>
      </c>
      <c r="S480" s="55" t="e">
        <f t="shared" ca="1" si="142"/>
        <v>#N/A</v>
      </c>
      <c r="T480" s="55" t="e">
        <f t="shared" ca="1" si="143"/>
        <v>#N/A</v>
      </c>
      <c r="U480" s="55" t="e">
        <f t="shared" ca="1" si="144"/>
        <v>#N/A</v>
      </c>
      <c r="V480" s="55" t="e">
        <f t="shared" ca="1" si="145"/>
        <v>#N/A</v>
      </c>
      <c r="W480" s="55" t="e">
        <f t="shared" ca="1" si="155"/>
        <v>#N/A</v>
      </c>
      <c r="X480" s="55" t="e">
        <f t="shared" ca="1" si="156"/>
        <v>#N/A</v>
      </c>
      <c r="Y480" s="55" t="e">
        <f t="shared" ca="1" si="157"/>
        <v>#N/A</v>
      </c>
      <c r="Z480" s="55" t="e">
        <f t="shared" ca="1" si="153"/>
        <v>#N/A</v>
      </c>
      <c r="AA480" t="e">
        <f t="shared" ca="1" si="154"/>
        <v>#N/A</v>
      </c>
      <c r="AB480" t="e">
        <f t="shared" ca="1" si="146"/>
        <v>#N/A</v>
      </c>
      <c r="AC480" t="e">
        <f t="shared" ca="1" si="147"/>
        <v>#N/A</v>
      </c>
      <c r="AD480" t="e">
        <f t="shared" ca="1" si="148"/>
        <v>#N/A</v>
      </c>
      <c r="AE480" s="83" t="e">
        <f ca="1"/>
        <v>#N/A</v>
      </c>
      <c r="AF480" s="55" t="e">
        <f t="shared" ca="1" si="149"/>
        <v>#N/A</v>
      </c>
      <c r="AG480" s="55" t="e">
        <f t="shared" ca="1" si="150"/>
        <v>#N/A</v>
      </c>
      <c r="AH480" s="55" t="e">
        <f t="shared" ca="1" si="151"/>
        <v>#N/A</v>
      </c>
      <c r="AI480" s="55" t="e">
        <f t="shared" ca="1" si="152"/>
        <v>#N/A</v>
      </c>
      <c r="AJ480" s="55" t="e">
        <f t="shared" ca="1" si="158"/>
        <v>#N/A</v>
      </c>
      <c r="AK480" s="55" t="e">
        <f t="shared" ca="1" si="159"/>
        <v>#N/A</v>
      </c>
      <c r="AL480" s="55" t="e">
        <f t="shared" ca="1" si="160"/>
        <v>#N/A</v>
      </c>
      <c r="AM480" s="55"/>
    </row>
    <row r="481" spans="18:39">
      <c r="R481" s="55" t="e">
        <f ca="1"/>
        <v>#N/A</v>
      </c>
      <c r="S481" s="55" t="e">
        <f t="shared" ca="1" si="142"/>
        <v>#N/A</v>
      </c>
      <c r="T481" s="55" t="e">
        <f t="shared" ca="1" si="143"/>
        <v>#N/A</v>
      </c>
      <c r="U481" s="55" t="e">
        <f t="shared" ca="1" si="144"/>
        <v>#N/A</v>
      </c>
      <c r="V481" s="55" t="e">
        <f t="shared" ca="1" si="145"/>
        <v>#N/A</v>
      </c>
      <c r="W481" s="55" t="e">
        <f t="shared" ca="1" si="155"/>
        <v>#N/A</v>
      </c>
      <c r="X481" s="55" t="e">
        <f t="shared" ca="1" si="156"/>
        <v>#N/A</v>
      </c>
      <c r="Y481" s="55" t="e">
        <f t="shared" ca="1" si="157"/>
        <v>#N/A</v>
      </c>
      <c r="Z481" s="55" t="e">
        <f t="shared" ca="1" si="153"/>
        <v>#N/A</v>
      </c>
      <c r="AA481" t="e">
        <f t="shared" ca="1" si="154"/>
        <v>#N/A</v>
      </c>
      <c r="AB481" t="e">
        <f t="shared" ca="1" si="146"/>
        <v>#N/A</v>
      </c>
      <c r="AC481" t="e">
        <f t="shared" ca="1" si="147"/>
        <v>#N/A</v>
      </c>
      <c r="AD481" t="e">
        <f t="shared" ca="1" si="148"/>
        <v>#N/A</v>
      </c>
      <c r="AE481" s="83" t="e">
        <f ca="1"/>
        <v>#N/A</v>
      </c>
      <c r="AF481" s="55" t="e">
        <f t="shared" ca="1" si="149"/>
        <v>#N/A</v>
      </c>
      <c r="AG481" s="55" t="e">
        <f t="shared" ca="1" si="150"/>
        <v>#N/A</v>
      </c>
      <c r="AH481" s="55" t="e">
        <f t="shared" ca="1" si="151"/>
        <v>#N/A</v>
      </c>
      <c r="AI481" s="55" t="e">
        <f t="shared" ca="1" si="152"/>
        <v>#N/A</v>
      </c>
      <c r="AJ481" s="55" t="e">
        <f t="shared" ca="1" si="158"/>
        <v>#N/A</v>
      </c>
      <c r="AK481" s="55" t="e">
        <f t="shared" ca="1" si="159"/>
        <v>#N/A</v>
      </c>
      <c r="AL481" s="55" t="e">
        <f t="shared" ca="1" si="160"/>
        <v>#N/A</v>
      </c>
      <c r="AM481" s="55"/>
    </row>
    <row r="482" spans="18:39">
      <c r="R482" s="55" t="e">
        <f ca="1"/>
        <v>#N/A</v>
      </c>
      <c r="S482" s="55" t="e">
        <f t="shared" ca="1" si="142"/>
        <v>#N/A</v>
      </c>
      <c r="T482" s="55" t="e">
        <f t="shared" ca="1" si="143"/>
        <v>#N/A</v>
      </c>
      <c r="U482" s="55" t="e">
        <f t="shared" ca="1" si="144"/>
        <v>#N/A</v>
      </c>
      <c r="V482" s="55" t="e">
        <f t="shared" ca="1" si="145"/>
        <v>#N/A</v>
      </c>
      <c r="W482" s="55" t="e">
        <f t="shared" ca="1" si="155"/>
        <v>#N/A</v>
      </c>
      <c r="X482" s="55" t="e">
        <f t="shared" ca="1" si="156"/>
        <v>#N/A</v>
      </c>
      <c r="Y482" s="55" t="e">
        <f t="shared" ca="1" si="157"/>
        <v>#N/A</v>
      </c>
      <c r="Z482" s="55" t="e">
        <f t="shared" ca="1" si="153"/>
        <v>#N/A</v>
      </c>
      <c r="AA482" t="e">
        <f t="shared" ca="1" si="154"/>
        <v>#N/A</v>
      </c>
      <c r="AB482" t="e">
        <f t="shared" ca="1" si="146"/>
        <v>#N/A</v>
      </c>
      <c r="AC482" t="e">
        <f t="shared" ca="1" si="147"/>
        <v>#N/A</v>
      </c>
      <c r="AD482" t="e">
        <f t="shared" ca="1" si="148"/>
        <v>#N/A</v>
      </c>
      <c r="AE482" s="83" t="e">
        <f ca="1"/>
        <v>#N/A</v>
      </c>
      <c r="AF482" s="55" t="e">
        <f t="shared" ca="1" si="149"/>
        <v>#N/A</v>
      </c>
      <c r="AG482" s="55" t="e">
        <f t="shared" ca="1" si="150"/>
        <v>#N/A</v>
      </c>
      <c r="AH482" s="55" t="e">
        <f t="shared" ca="1" si="151"/>
        <v>#N/A</v>
      </c>
      <c r="AI482" s="55" t="e">
        <f t="shared" ca="1" si="152"/>
        <v>#N/A</v>
      </c>
      <c r="AJ482" s="55" t="e">
        <f t="shared" ca="1" si="158"/>
        <v>#N/A</v>
      </c>
      <c r="AK482" s="55" t="e">
        <f t="shared" ca="1" si="159"/>
        <v>#N/A</v>
      </c>
      <c r="AL482" s="55" t="e">
        <f t="shared" ca="1" si="160"/>
        <v>#N/A</v>
      </c>
      <c r="AM482" s="55"/>
    </row>
    <row r="483" spans="18:39">
      <c r="R483" s="55" t="e">
        <f ca="1"/>
        <v>#N/A</v>
      </c>
      <c r="S483" s="55" t="e">
        <f t="shared" ca="1" si="142"/>
        <v>#N/A</v>
      </c>
      <c r="T483" s="55" t="e">
        <f t="shared" ca="1" si="143"/>
        <v>#N/A</v>
      </c>
      <c r="U483" s="55" t="e">
        <f t="shared" ca="1" si="144"/>
        <v>#N/A</v>
      </c>
      <c r="V483" s="55" t="e">
        <f t="shared" ca="1" si="145"/>
        <v>#N/A</v>
      </c>
      <c r="W483" s="55" t="e">
        <f t="shared" ca="1" si="155"/>
        <v>#N/A</v>
      </c>
      <c r="X483" s="55" t="e">
        <f t="shared" ca="1" si="156"/>
        <v>#N/A</v>
      </c>
      <c r="Y483" s="55" t="e">
        <f t="shared" ca="1" si="157"/>
        <v>#N/A</v>
      </c>
      <c r="Z483" s="55" t="e">
        <f t="shared" ca="1" si="153"/>
        <v>#N/A</v>
      </c>
      <c r="AA483" t="e">
        <f t="shared" ca="1" si="154"/>
        <v>#N/A</v>
      </c>
      <c r="AB483" t="e">
        <f t="shared" ca="1" si="146"/>
        <v>#N/A</v>
      </c>
      <c r="AC483" t="e">
        <f t="shared" ca="1" si="147"/>
        <v>#N/A</v>
      </c>
      <c r="AD483" t="e">
        <f t="shared" ca="1" si="148"/>
        <v>#N/A</v>
      </c>
      <c r="AE483" s="83" t="e">
        <f ca="1"/>
        <v>#N/A</v>
      </c>
      <c r="AF483" s="55" t="e">
        <f t="shared" ca="1" si="149"/>
        <v>#N/A</v>
      </c>
      <c r="AG483" s="55" t="e">
        <f t="shared" ca="1" si="150"/>
        <v>#N/A</v>
      </c>
      <c r="AH483" s="55" t="e">
        <f t="shared" ca="1" si="151"/>
        <v>#N/A</v>
      </c>
      <c r="AI483" s="55" t="e">
        <f t="shared" ca="1" si="152"/>
        <v>#N/A</v>
      </c>
      <c r="AJ483" s="55" t="e">
        <f t="shared" ca="1" si="158"/>
        <v>#N/A</v>
      </c>
      <c r="AK483" s="55" t="e">
        <f t="shared" ca="1" si="159"/>
        <v>#N/A</v>
      </c>
      <c r="AL483" s="55" t="e">
        <f t="shared" ca="1" si="160"/>
        <v>#N/A</v>
      </c>
      <c r="AM483" s="55"/>
    </row>
    <row r="484" spans="18:39">
      <c r="R484" s="55" t="e">
        <f ca="1"/>
        <v>#N/A</v>
      </c>
      <c r="S484" s="55" t="e">
        <f t="shared" ca="1" si="142"/>
        <v>#N/A</v>
      </c>
      <c r="T484" s="55" t="e">
        <f t="shared" ca="1" si="143"/>
        <v>#N/A</v>
      </c>
      <c r="U484" s="55" t="e">
        <f t="shared" ca="1" si="144"/>
        <v>#N/A</v>
      </c>
      <c r="V484" s="55" t="e">
        <f t="shared" ca="1" si="145"/>
        <v>#N/A</v>
      </c>
      <c r="W484" s="55" t="e">
        <f t="shared" ca="1" si="155"/>
        <v>#N/A</v>
      </c>
      <c r="X484" s="55" t="e">
        <f t="shared" ca="1" si="156"/>
        <v>#N/A</v>
      </c>
      <c r="Y484" s="55" t="e">
        <f t="shared" ca="1" si="157"/>
        <v>#N/A</v>
      </c>
      <c r="Z484" s="55" t="e">
        <f t="shared" ca="1" si="153"/>
        <v>#N/A</v>
      </c>
      <c r="AA484" t="e">
        <f t="shared" ca="1" si="154"/>
        <v>#N/A</v>
      </c>
      <c r="AB484" t="e">
        <f t="shared" ca="1" si="146"/>
        <v>#N/A</v>
      </c>
      <c r="AC484" t="e">
        <f t="shared" ca="1" si="147"/>
        <v>#N/A</v>
      </c>
      <c r="AD484" t="e">
        <f t="shared" ca="1" si="148"/>
        <v>#N/A</v>
      </c>
      <c r="AE484" s="83" t="e">
        <f ca="1"/>
        <v>#N/A</v>
      </c>
      <c r="AF484" s="55" t="e">
        <f t="shared" ca="1" si="149"/>
        <v>#N/A</v>
      </c>
      <c r="AG484" s="55" t="e">
        <f t="shared" ca="1" si="150"/>
        <v>#N/A</v>
      </c>
      <c r="AH484" s="55" t="e">
        <f t="shared" ca="1" si="151"/>
        <v>#N/A</v>
      </c>
      <c r="AI484" s="55" t="e">
        <f t="shared" ca="1" si="152"/>
        <v>#N/A</v>
      </c>
      <c r="AJ484" s="55" t="e">
        <f t="shared" ca="1" si="158"/>
        <v>#N/A</v>
      </c>
      <c r="AK484" s="55" t="e">
        <f t="shared" ca="1" si="159"/>
        <v>#N/A</v>
      </c>
      <c r="AL484" s="55" t="e">
        <f t="shared" ca="1" si="160"/>
        <v>#N/A</v>
      </c>
      <c r="AM484" s="55"/>
    </row>
    <row r="485" spans="18:39">
      <c r="R485" s="55" t="e">
        <f ca="1"/>
        <v>#N/A</v>
      </c>
      <c r="S485" s="55" t="e">
        <f t="shared" ca="1" si="142"/>
        <v>#N/A</v>
      </c>
      <c r="T485" s="55" t="e">
        <f t="shared" ca="1" si="143"/>
        <v>#N/A</v>
      </c>
      <c r="U485" s="55" t="e">
        <f t="shared" ca="1" si="144"/>
        <v>#N/A</v>
      </c>
      <c r="V485" s="55" t="e">
        <f t="shared" ca="1" si="145"/>
        <v>#N/A</v>
      </c>
      <c r="W485" s="55" t="e">
        <f t="shared" ca="1" si="155"/>
        <v>#N/A</v>
      </c>
      <c r="X485" s="55" t="e">
        <f t="shared" ca="1" si="156"/>
        <v>#N/A</v>
      </c>
      <c r="Y485" s="55" t="e">
        <f t="shared" ca="1" si="157"/>
        <v>#N/A</v>
      </c>
      <c r="Z485" s="55" t="e">
        <f t="shared" ca="1" si="153"/>
        <v>#N/A</v>
      </c>
      <c r="AA485" t="e">
        <f t="shared" ca="1" si="154"/>
        <v>#N/A</v>
      </c>
      <c r="AB485" t="e">
        <f t="shared" ca="1" si="146"/>
        <v>#N/A</v>
      </c>
      <c r="AC485" t="e">
        <f t="shared" ca="1" si="147"/>
        <v>#N/A</v>
      </c>
      <c r="AD485" t="e">
        <f t="shared" ca="1" si="148"/>
        <v>#N/A</v>
      </c>
      <c r="AE485" s="83" t="e">
        <f ca="1"/>
        <v>#N/A</v>
      </c>
      <c r="AF485" s="55" t="e">
        <f t="shared" ca="1" si="149"/>
        <v>#N/A</v>
      </c>
      <c r="AG485" s="55" t="e">
        <f t="shared" ca="1" si="150"/>
        <v>#N/A</v>
      </c>
      <c r="AH485" s="55" t="e">
        <f t="shared" ca="1" si="151"/>
        <v>#N/A</v>
      </c>
      <c r="AI485" s="55" t="e">
        <f t="shared" ca="1" si="152"/>
        <v>#N/A</v>
      </c>
      <c r="AJ485" s="55" t="e">
        <f t="shared" ca="1" si="158"/>
        <v>#N/A</v>
      </c>
      <c r="AK485" s="55" t="e">
        <f t="shared" ca="1" si="159"/>
        <v>#N/A</v>
      </c>
      <c r="AL485" s="55" t="e">
        <f t="shared" ca="1" si="160"/>
        <v>#N/A</v>
      </c>
      <c r="AM485" s="55"/>
    </row>
    <row r="486" spans="18:39">
      <c r="R486" s="55" t="e">
        <f ca="1"/>
        <v>#N/A</v>
      </c>
      <c r="S486" s="55" t="e">
        <f t="shared" ca="1" si="142"/>
        <v>#N/A</v>
      </c>
      <c r="T486" s="55" t="e">
        <f t="shared" ca="1" si="143"/>
        <v>#N/A</v>
      </c>
      <c r="U486" s="55" t="e">
        <f t="shared" ca="1" si="144"/>
        <v>#N/A</v>
      </c>
      <c r="V486" s="55" t="e">
        <f t="shared" ca="1" si="145"/>
        <v>#N/A</v>
      </c>
      <c r="W486" s="55" t="e">
        <f t="shared" ca="1" si="155"/>
        <v>#N/A</v>
      </c>
      <c r="X486" s="55" t="e">
        <f t="shared" ca="1" si="156"/>
        <v>#N/A</v>
      </c>
      <c r="Y486" s="55" t="e">
        <f t="shared" ca="1" si="157"/>
        <v>#N/A</v>
      </c>
      <c r="Z486" s="55" t="e">
        <f t="shared" ca="1" si="153"/>
        <v>#N/A</v>
      </c>
      <c r="AA486" t="e">
        <f t="shared" ca="1" si="154"/>
        <v>#N/A</v>
      </c>
      <c r="AB486" t="e">
        <f t="shared" ca="1" si="146"/>
        <v>#N/A</v>
      </c>
      <c r="AC486" t="e">
        <f t="shared" ca="1" si="147"/>
        <v>#N/A</v>
      </c>
      <c r="AD486" t="e">
        <f t="shared" ca="1" si="148"/>
        <v>#N/A</v>
      </c>
      <c r="AE486" s="83" t="e">
        <f ca="1"/>
        <v>#N/A</v>
      </c>
      <c r="AF486" s="55" t="e">
        <f t="shared" ca="1" si="149"/>
        <v>#N/A</v>
      </c>
      <c r="AG486" s="55" t="e">
        <f t="shared" ca="1" si="150"/>
        <v>#N/A</v>
      </c>
      <c r="AH486" s="55" t="e">
        <f t="shared" ca="1" si="151"/>
        <v>#N/A</v>
      </c>
      <c r="AI486" s="55" t="e">
        <f t="shared" ca="1" si="152"/>
        <v>#N/A</v>
      </c>
      <c r="AJ486" s="55" t="e">
        <f t="shared" ca="1" si="158"/>
        <v>#N/A</v>
      </c>
      <c r="AK486" s="55" t="e">
        <f t="shared" ca="1" si="159"/>
        <v>#N/A</v>
      </c>
      <c r="AL486" s="55" t="e">
        <f t="shared" ca="1" si="160"/>
        <v>#N/A</v>
      </c>
      <c r="AM486" s="55"/>
    </row>
    <row r="487" spans="18:39">
      <c r="R487" s="55" t="e">
        <f ca="1"/>
        <v>#N/A</v>
      </c>
      <c r="S487" s="55" t="e">
        <f t="shared" ca="1" si="142"/>
        <v>#N/A</v>
      </c>
      <c r="T487" s="55" t="e">
        <f t="shared" ca="1" si="143"/>
        <v>#N/A</v>
      </c>
      <c r="U487" s="55" t="e">
        <f t="shared" ca="1" si="144"/>
        <v>#N/A</v>
      </c>
      <c r="V487" s="55" t="e">
        <f t="shared" ca="1" si="145"/>
        <v>#N/A</v>
      </c>
      <c r="W487" s="55" t="e">
        <f t="shared" ca="1" si="155"/>
        <v>#N/A</v>
      </c>
      <c r="X487" s="55" t="e">
        <f t="shared" ca="1" si="156"/>
        <v>#N/A</v>
      </c>
      <c r="Y487" s="55" t="e">
        <f t="shared" ca="1" si="157"/>
        <v>#N/A</v>
      </c>
      <c r="Z487" s="55" t="e">
        <f t="shared" ca="1" si="153"/>
        <v>#N/A</v>
      </c>
      <c r="AA487" t="e">
        <f t="shared" ca="1" si="154"/>
        <v>#N/A</v>
      </c>
      <c r="AB487" t="e">
        <f t="shared" ca="1" si="146"/>
        <v>#N/A</v>
      </c>
      <c r="AC487" t="e">
        <f t="shared" ca="1" si="147"/>
        <v>#N/A</v>
      </c>
      <c r="AD487" t="e">
        <f t="shared" ca="1" si="148"/>
        <v>#N/A</v>
      </c>
      <c r="AE487" s="83" t="e">
        <f ca="1"/>
        <v>#N/A</v>
      </c>
      <c r="AF487" s="55" t="e">
        <f t="shared" ca="1" si="149"/>
        <v>#N/A</v>
      </c>
      <c r="AG487" s="55" t="e">
        <f t="shared" ca="1" si="150"/>
        <v>#N/A</v>
      </c>
      <c r="AH487" s="55" t="e">
        <f t="shared" ca="1" si="151"/>
        <v>#N/A</v>
      </c>
      <c r="AI487" s="55" t="e">
        <f t="shared" ca="1" si="152"/>
        <v>#N/A</v>
      </c>
      <c r="AJ487" s="55" t="e">
        <f t="shared" ca="1" si="158"/>
        <v>#N/A</v>
      </c>
      <c r="AK487" s="55" t="e">
        <f t="shared" ca="1" si="159"/>
        <v>#N/A</v>
      </c>
      <c r="AL487" s="55" t="e">
        <f t="shared" ca="1" si="160"/>
        <v>#N/A</v>
      </c>
      <c r="AM487" s="55"/>
    </row>
    <row r="488" spans="18:39">
      <c r="R488" s="55" t="e">
        <f ca="1"/>
        <v>#N/A</v>
      </c>
      <c r="S488" s="55" t="e">
        <f t="shared" ca="1" si="142"/>
        <v>#N/A</v>
      </c>
      <c r="T488" s="55" t="e">
        <f t="shared" ca="1" si="143"/>
        <v>#N/A</v>
      </c>
      <c r="U488" s="55" t="e">
        <f t="shared" ca="1" si="144"/>
        <v>#N/A</v>
      </c>
      <c r="V488" s="55" t="e">
        <f t="shared" ca="1" si="145"/>
        <v>#N/A</v>
      </c>
      <c r="W488" s="55" t="e">
        <f t="shared" ca="1" si="155"/>
        <v>#N/A</v>
      </c>
      <c r="X488" s="55" t="e">
        <f t="shared" ca="1" si="156"/>
        <v>#N/A</v>
      </c>
      <c r="Y488" s="55" t="e">
        <f t="shared" ca="1" si="157"/>
        <v>#N/A</v>
      </c>
      <c r="Z488" s="55" t="e">
        <f t="shared" ca="1" si="153"/>
        <v>#N/A</v>
      </c>
      <c r="AA488" t="e">
        <f t="shared" ca="1" si="154"/>
        <v>#N/A</v>
      </c>
      <c r="AB488" t="e">
        <f t="shared" ca="1" si="146"/>
        <v>#N/A</v>
      </c>
      <c r="AC488" t="e">
        <f t="shared" ca="1" si="147"/>
        <v>#N/A</v>
      </c>
      <c r="AD488" t="e">
        <f t="shared" ca="1" si="148"/>
        <v>#N/A</v>
      </c>
      <c r="AE488" s="83" t="e">
        <f ca="1"/>
        <v>#N/A</v>
      </c>
      <c r="AF488" s="55" t="e">
        <f t="shared" ca="1" si="149"/>
        <v>#N/A</v>
      </c>
      <c r="AG488" s="55" t="e">
        <f t="shared" ca="1" si="150"/>
        <v>#N/A</v>
      </c>
      <c r="AH488" s="55" t="e">
        <f t="shared" ca="1" si="151"/>
        <v>#N/A</v>
      </c>
      <c r="AI488" s="55" t="e">
        <f t="shared" ca="1" si="152"/>
        <v>#N/A</v>
      </c>
      <c r="AJ488" s="55" t="e">
        <f t="shared" ca="1" si="158"/>
        <v>#N/A</v>
      </c>
      <c r="AK488" s="55" t="e">
        <f t="shared" ca="1" si="159"/>
        <v>#N/A</v>
      </c>
      <c r="AL488" s="55" t="e">
        <f t="shared" ca="1" si="160"/>
        <v>#N/A</v>
      </c>
      <c r="AM488" s="55"/>
    </row>
    <row r="489" spans="18:39">
      <c r="R489" s="55" t="e">
        <f ca="1"/>
        <v>#N/A</v>
      </c>
      <c r="S489" s="55" t="e">
        <f t="shared" ca="1" si="142"/>
        <v>#N/A</v>
      </c>
      <c r="T489" s="55" t="e">
        <f t="shared" ca="1" si="143"/>
        <v>#N/A</v>
      </c>
      <c r="U489" s="55" t="e">
        <f t="shared" ca="1" si="144"/>
        <v>#N/A</v>
      </c>
      <c r="V489" s="55" t="e">
        <f t="shared" ca="1" si="145"/>
        <v>#N/A</v>
      </c>
      <c r="W489" s="55" t="e">
        <f t="shared" ca="1" si="155"/>
        <v>#N/A</v>
      </c>
      <c r="X489" s="55" t="e">
        <f t="shared" ca="1" si="156"/>
        <v>#N/A</v>
      </c>
      <c r="Y489" s="55" t="e">
        <f t="shared" ca="1" si="157"/>
        <v>#N/A</v>
      </c>
      <c r="Z489" s="55" t="e">
        <f t="shared" ca="1" si="153"/>
        <v>#N/A</v>
      </c>
      <c r="AA489" t="e">
        <f t="shared" ca="1" si="154"/>
        <v>#N/A</v>
      </c>
      <c r="AB489" t="e">
        <f t="shared" ca="1" si="146"/>
        <v>#N/A</v>
      </c>
      <c r="AC489" t="e">
        <f t="shared" ca="1" si="147"/>
        <v>#N/A</v>
      </c>
      <c r="AD489" t="e">
        <f t="shared" ca="1" si="148"/>
        <v>#N/A</v>
      </c>
      <c r="AE489" s="83" t="e">
        <f ca="1"/>
        <v>#N/A</v>
      </c>
      <c r="AF489" s="55" t="e">
        <f t="shared" ca="1" si="149"/>
        <v>#N/A</v>
      </c>
      <c r="AG489" s="55" t="e">
        <f t="shared" ca="1" si="150"/>
        <v>#N/A</v>
      </c>
      <c r="AH489" s="55" t="e">
        <f t="shared" ca="1" si="151"/>
        <v>#N/A</v>
      </c>
      <c r="AI489" s="55" t="e">
        <f t="shared" ca="1" si="152"/>
        <v>#N/A</v>
      </c>
      <c r="AJ489" s="55" t="e">
        <f t="shared" ca="1" si="158"/>
        <v>#N/A</v>
      </c>
      <c r="AK489" s="55" t="e">
        <f t="shared" ca="1" si="159"/>
        <v>#N/A</v>
      </c>
      <c r="AL489" s="55" t="e">
        <f t="shared" ca="1" si="160"/>
        <v>#N/A</v>
      </c>
      <c r="AM489" s="55"/>
    </row>
    <row r="490" spans="18:39">
      <c r="R490" s="55" t="e">
        <f ca="1"/>
        <v>#N/A</v>
      </c>
      <c r="S490" s="55" t="e">
        <f t="shared" ca="1" si="142"/>
        <v>#N/A</v>
      </c>
      <c r="T490" s="55" t="e">
        <f t="shared" ca="1" si="143"/>
        <v>#N/A</v>
      </c>
      <c r="U490" s="55" t="e">
        <f t="shared" ca="1" si="144"/>
        <v>#N/A</v>
      </c>
      <c r="V490" s="55" t="e">
        <f t="shared" ca="1" si="145"/>
        <v>#N/A</v>
      </c>
      <c r="W490" s="55" t="e">
        <f t="shared" ca="1" si="155"/>
        <v>#N/A</v>
      </c>
      <c r="X490" s="55" t="e">
        <f t="shared" ca="1" si="156"/>
        <v>#N/A</v>
      </c>
      <c r="Y490" s="55" t="e">
        <f t="shared" ca="1" si="157"/>
        <v>#N/A</v>
      </c>
      <c r="Z490" s="55" t="e">
        <f t="shared" ca="1" si="153"/>
        <v>#N/A</v>
      </c>
      <c r="AA490" t="e">
        <f t="shared" ca="1" si="154"/>
        <v>#N/A</v>
      </c>
      <c r="AB490" t="e">
        <f t="shared" ca="1" si="146"/>
        <v>#N/A</v>
      </c>
      <c r="AC490" t="e">
        <f t="shared" ca="1" si="147"/>
        <v>#N/A</v>
      </c>
      <c r="AD490" t="e">
        <f t="shared" ca="1" si="148"/>
        <v>#N/A</v>
      </c>
      <c r="AE490" s="83" t="e">
        <f ca="1"/>
        <v>#N/A</v>
      </c>
      <c r="AF490" s="55" t="e">
        <f t="shared" ca="1" si="149"/>
        <v>#N/A</v>
      </c>
      <c r="AG490" s="55" t="e">
        <f t="shared" ca="1" si="150"/>
        <v>#N/A</v>
      </c>
      <c r="AH490" s="55" t="e">
        <f t="shared" ca="1" si="151"/>
        <v>#N/A</v>
      </c>
      <c r="AI490" s="55" t="e">
        <f t="shared" ca="1" si="152"/>
        <v>#N/A</v>
      </c>
      <c r="AJ490" s="55" t="e">
        <f t="shared" ca="1" si="158"/>
        <v>#N/A</v>
      </c>
      <c r="AK490" s="55" t="e">
        <f t="shared" ca="1" si="159"/>
        <v>#N/A</v>
      </c>
      <c r="AL490" s="55" t="e">
        <f t="shared" ca="1" si="160"/>
        <v>#N/A</v>
      </c>
      <c r="AM490" s="55"/>
    </row>
    <row r="491" spans="18:39">
      <c r="R491" s="55" t="e">
        <f ca="1"/>
        <v>#N/A</v>
      </c>
      <c r="S491" s="55" t="e">
        <f t="shared" ca="1" si="142"/>
        <v>#N/A</v>
      </c>
      <c r="T491" s="55" t="e">
        <f t="shared" ca="1" si="143"/>
        <v>#N/A</v>
      </c>
      <c r="U491" s="55" t="e">
        <f t="shared" ca="1" si="144"/>
        <v>#N/A</v>
      </c>
      <c r="V491" s="55" t="e">
        <f t="shared" ca="1" si="145"/>
        <v>#N/A</v>
      </c>
      <c r="W491" s="55" t="e">
        <f t="shared" ca="1" si="155"/>
        <v>#N/A</v>
      </c>
      <c r="X491" s="55" t="e">
        <f t="shared" ca="1" si="156"/>
        <v>#N/A</v>
      </c>
      <c r="Y491" s="55" t="e">
        <f t="shared" ca="1" si="157"/>
        <v>#N/A</v>
      </c>
      <c r="Z491" s="55" t="e">
        <f t="shared" ca="1" si="153"/>
        <v>#N/A</v>
      </c>
      <c r="AA491" t="e">
        <f t="shared" ca="1" si="154"/>
        <v>#N/A</v>
      </c>
      <c r="AB491" t="e">
        <f t="shared" ca="1" si="146"/>
        <v>#N/A</v>
      </c>
      <c r="AC491" t="e">
        <f t="shared" ca="1" si="147"/>
        <v>#N/A</v>
      </c>
      <c r="AD491" t="e">
        <f t="shared" ca="1" si="148"/>
        <v>#N/A</v>
      </c>
      <c r="AE491" s="83" t="e">
        <f ca="1"/>
        <v>#N/A</v>
      </c>
      <c r="AF491" s="55" t="e">
        <f t="shared" ca="1" si="149"/>
        <v>#N/A</v>
      </c>
      <c r="AG491" s="55" t="e">
        <f t="shared" ca="1" si="150"/>
        <v>#N/A</v>
      </c>
      <c r="AH491" s="55" t="e">
        <f t="shared" ca="1" si="151"/>
        <v>#N/A</v>
      </c>
      <c r="AI491" s="55" t="e">
        <f t="shared" ca="1" si="152"/>
        <v>#N/A</v>
      </c>
      <c r="AJ491" s="55" t="e">
        <f t="shared" ca="1" si="158"/>
        <v>#N/A</v>
      </c>
      <c r="AK491" s="55" t="e">
        <f t="shared" ca="1" si="159"/>
        <v>#N/A</v>
      </c>
      <c r="AL491" s="55" t="e">
        <f t="shared" ca="1" si="160"/>
        <v>#N/A</v>
      </c>
      <c r="AM491" s="55"/>
    </row>
    <row r="492" spans="18:39">
      <c r="R492" s="55" t="e">
        <f ca="1"/>
        <v>#N/A</v>
      </c>
      <c r="S492" s="55" t="e">
        <f t="shared" ca="1" si="142"/>
        <v>#N/A</v>
      </c>
      <c r="T492" s="55" t="e">
        <f t="shared" ca="1" si="143"/>
        <v>#N/A</v>
      </c>
      <c r="U492" s="55" t="e">
        <f t="shared" ca="1" si="144"/>
        <v>#N/A</v>
      </c>
      <c r="V492" s="55" t="e">
        <f t="shared" ca="1" si="145"/>
        <v>#N/A</v>
      </c>
      <c r="W492" s="55" t="e">
        <f t="shared" ca="1" si="155"/>
        <v>#N/A</v>
      </c>
      <c r="X492" s="55" t="e">
        <f t="shared" ca="1" si="156"/>
        <v>#N/A</v>
      </c>
      <c r="Y492" s="55" t="e">
        <f t="shared" ca="1" si="157"/>
        <v>#N/A</v>
      </c>
      <c r="Z492" s="55" t="e">
        <f t="shared" ca="1" si="153"/>
        <v>#N/A</v>
      </c>
      <c r="AA492" t="e">
        <f t="shared" ca="1" si="154"/>
        <v>#N/A</v>
      </c>
      <c r="AB492" t="e">
        <f t="shared" ca="1" si="146"/>
        <v>#N/A</v>
      </c>
      <c r="AC492" t="e">
        <f t="shared" ca="1" si="147"/>
        <v>#N/A</v>
      </c>
      <c r="AD492" t="e">
        <f t="shared" ca="1" si="148"/>
        <v>#N/A</v>
      </c>
      <c r="AE492" s="83" t="e">
        <f ca="1"/>
        <v>#N/A</v>
      </c>
      <c r="AF492" s="55" t="e">
        <f t="shared" ca="1" si="149"/>
        <v>#N/A</v>
      </c>
      <c r="AG492" s="55" t="e">
        <f t="shared" ca="1" si="150"/>
        <v>#N/A</v>
      </c>
      <c r="AH492" s="55" t="e">
        <f t="shared" ca="1" si="151"/>
        <v>#N/A</v>
      </c>
      <c r="AI492" s="55" t="e">
        <f t="shared" ca="1" si="152"/>
        <v>#N/A</v>
      </c>
      <c r="AJ492" s="55" t="e">
        <f t="shared" ca="1" si="158"/>
        <v>#N/A</v>
      </c>
      <c r="AK492" s="55" t="e">
        <f t="shared" ca="1" si="159"/>
        <v>#N/A</v>
      </c>
      <c r="AL492" s="55" t="e">
        <f t="shared" ca="1" si="160"/>
        <v>#N/A</v>
      </c>
      <c r="AM492" s="55"/>
    </row>
    <row r="493" spans="18:39">
      <c r="R493" s="55" t="e">
        <f ca="1"/>
        <v>#N/A</v>
      </c>
      <c r="S493" s="55" t="e">
        <f t="shared" ca="1" si="142"/>
        <v>#N/A</v>
      </c>
      <c r="T493" s="55" t="e">
        <f t="shared" ca="1" si="143"/>
        <v>#N/A</v>
      </c>
      <c r="U493" s="55" t="e">
        <f t="shared" ca="1" si="144"/>
        <v>#N/A</v>
      </c>
      <c r="V493" s="55" t="e">
        <f t="shared" ca="1" si="145"/>
        <v>#N/A</v>
      </c>
      <c r="W493" s="55" t="e">
        <f t="shared" ca="1" si="155"/>
        <v>#N/A</v>
      </c>
      <c r="X493" s="55" t="e">
        <f t="shared" ca="1" si="156"/>
        <v>#N/A</v>
      </c>
      <c r="Y493" s="55" t="e">
        <f t="shared" ca="1" si="157"/>
        <v>#N/A</v>
      </c>
      <c r="Z493" s="55" t="e">
        <f t="shared" ca="1" si="153"/>
        <v>#N/A</v>
      </c>
      <c r="AA493" t="e">
        <f t="shared" ca="1" si="154"/>
        <v>#N/A</v>
      </c>
      <c r="AB493" t="e">
        <f t="shared" ca="1" si="146"/>
        <v>#N/A</v>
      </c>
      <c r="AC493" t="e">
        <f t="shared" ca="1" si="147"/>
        <v>#N/A</v>
      </c>
      <c r="AD493" t="e">
        <f t="shared" ca="1" si="148"/>
        <v>#N/A</v>
      </c>
      <c r="AE493" s="83" t="e">
        <f ca="1"/>
        <v>#N/A</v>
      </c>
      <c r="AF493" s="55" t="e">
        <f t="shared" ca="1" si="149"/>
        <v>#N/A</v>
      </c>
      <c r="AG493" s="55" t="e">
        <f t="shared" ca="1" si="150"/>
        <v>#N/A</v>
      </c>
      <c r="AH493" s="55" t="e">
        <f t="shared" ca="1" si="151"/>
        <v>#N/A</v>
      </c>
      <c r="AI493" s="55" t="e">
        <f t="shared" ca="1" si="152"/>
        <v>#N/A</v>
      </c>
      <c r="AJ493" s="55" t="e">
        <f t="shared" ca="1" si="158"/>
        <v>#N/A</v>
      </c>
      <c r="AK493" s="55" t="e">
        <f t="shared" ca="1" si="159"/>
        <v>#N/A</v>
      </c>
      <c r="AL493" s="55" t="e">
        <f t="shared" ca="1" si="160"/>
        <v>#N/A</v>
      </c>
      <c r="AM493" s="55"/>
    </row>
    <row r="494" spans="18:39">
      <c r="R494" s="55" t="e">
        <f ca="1"/>
        <v>#N/A</v>
      </c>
      <c r="S494" s="55" t="e">
        <f t="shared" ca="1" si="142"/>
        <v>#N/A</v>
      </c>
      <c r="T494" s="55" t="e">
        <f t="shared" ca="1" si="143"/>
        <v>#N/A</v>
      </c>
      <c r="U494" s="55" t="e">
        <f t="shared" ca="1" si="144"/>
        <v>#N/A</v>
      </c>
      <c r="V494" s="55" t="e">
        <f t="shared" ca="1" si="145"/>
        <v>#N/A</v>
      </c>
      <c r="W494" s="55" t="e">
        <f t="shared" ca="1" si="155"/>
        <v>#N/A</v>
      </c>
      <c r="X494" s="55" t="e">
        <f t="shared" ca="1" si="156"/>
        <v>#N/A</v>
      </c>
      <c r="Y494" s="55" t="e">
        <f t="shared" ca="1" si="157"/>
        <v>#N/A</v>
      </c>
      <c r="Z494" s="55" t="e">
        <f t="shared" ca="1" si="153"/>
        <v>#N/A</v>
      </c>
      <c r="AA494" t="e">
        <f t="shared" ca="1" si="154"/>
        <v>#N/A</v>
      </c>
      <c r="AB494" t="e">
        <f t="shared" ca="1" si="146"/>
        <v>#N/A</v>
      </c>
      <c r="AC494" t="e">
        <f t="shared" ca="1" si="147"/>
        <v>#N/A</v>
      </c>
      <c r="AD494" t="e">
        <f t="shared" ca="1" si="148"/>
        <v>#N/A</v>
      </c>
      <c r="AE494" s="83" t="e">
        <f ca="1"/>
        <v>#N/A</v>
      </c>
      <c r="AF494" s="55" t="e">
        <f t="shared" ca="1" si="149"/>
        <v>#N/A</v>
      </c>
      <c r="AG494" s="55" t="e">
        <f t="shared" ca="1" si="150"/>
        <v>#N/A</v>
      </c>
      <c r="AH494" s="55" t="e">
        <f t="shared" ca="1" si="151"/>
        <v>#N/A</v>
      </c>
      <c r="AI494" s="55" t="e">
        <f t="shared" ca="1" si="152"/>
        <v>#N/A</v>
      </c>
      <c r="AJ494" s="55" t="e">
        <f t="shared" ca="1" si="158"/>
        <v>#N/A</v>
      </c>
      <c r="AK494" s="55" t="e">
        <f t="shared" ca="1" si="159"/>
        <v>#N/A</v>
      </c>
      <c r="AL494" s="55" t="e">
        <f t="shared" ca="1" si="160"/>
        <v>#N/A</v>
      </c>
      <c r="AM494" s="55"/>
    </row>
    <row r="495" spans="18:39">
      <c r="R495" s="55" t="e">
        <f ca="1"/>
        <v>#N/A</v>
      </c>
      <c r="S495" s="55" t="e">
        <f t="shared" ca="1" si="142"/>
        <v>#N/A</v>
      </c>
      <c r="T495" s="55" t="e">
        <f t="shared" ca="1" si="143"/>
        <v>#N/A</v>
      </c>
      <c r="U495" s="55" t="e">
        <f t="shared" ca="1" si="144"/>
        <v>#N/A</v>
      </c>
      <c r="V495" s="55" t="e">
        <f t="shared" ca="1" si="145"/>
        <v>#N/A</v>
      </c>
      <c r="W495" s="55" t="e">
        <f t="shared" ca="1" si="155"/>
        <v>#N/A</v>
      </c>
      <c r="X495" s="55" t="e">
        <f t="shared" ca="1" si="156"/>
        <v>#N/A</v>
      </c>
      <c r="Y495" s="55" t="e">
        <f t="shared" ca="1" si="157"/>
        <v>#N/A</v>
      </c>
      <c r="Z495" s="55" t="e">
        <f t="shared" ca="1" si="153"/>
        <v>#N/A</v>
      </c>
      <c r="AA495" t="e">
        <f t="shared" ca="1" si="154"/>
        <v>#N/A</v>
      </c>
      <c r="AB495" t="e">
        <f t="shared" ca="1" si="146"/>
        <v>#N/A</v>
      </c>
      <c r="AC495" t="e">
        <f t="shared" ca="1" si="147"/>
        <v>#N/A</v>
      </c>
      <c r="AD495" t="e">
        <f t="shared" ca="1" si="148"/>
        <v>#N/A</v>
      </c>
      <c r="AE495" s="83" t="e">
        <f ca="1"/>
        <v>#N/A</v>
      </c>
      <c r="AF495" s="55" t="e">
        <f t="shared" ca="1" si="149"/>
        <v>#N/A</v>
      </c>
      <c r="AG495" s="55" t="e">
        <f t="shared" ca="1" si="150"/>
        <v>#N/A</v>
      </c>
      <c r="AH495" s="55" t="e">
        <f t="shared" ca="1" si="151"/>
        <v>#N/A</v>
      </c>
      <c r="AI495" s="55" t="e">
        <f t="shared" ca="1" si="152"/>
        <v>#N/A</v>
      </c>
      <c r="AJ495" s="55" t="e">
        <f t="shared" ca="1" si="158"/>
        <v>#N/A</v>
      </c>
      <c r="AK495" s="55" t="e">
        <f t="shared" ca="1" si="159"/>
        <v>#N/A</v>
      </c>
      <c r="AL495" s="55" t="e">
        <f t="shared" ca="1" si="160"/>
        <v>#N/A</v>
      </c>
      <c r="AM495" s="55"/>
    </row>
    <row r="496" spans="18:39">
      <c r="R496" s="55" t="e">
        <f ca="1"/>
        <v>#N/A</v>
      </c>
      <c r="S496" s="55" t="e">
        <f t="shared" ca="1" si="142"/>
        <v>#N/A</v>
      </c>
      <c r="T496" s="55" t="e">
        <f t="shared" ca="1" si="143"/>
        <v>#N/A</v>
      </c>
      <c r="U496" s="55" t="e">
        <f t="shared" ca="1" si="144"/>
        <v>#N/A</v>
      </c>
      <c r="V496" s="55" t="e">
        <f t="shared" ca="1" si="145"/>
        <v>#N/A</v>
      </c>
      <c r="W496" s="55" t="e">
        <f t="shared" ca="1" si="155"/>
        <v>#N/A</v>
      </c>
      <c r="X496" s="55" t="e">
        <f t="shared" ca="1" si="156"/>
        <v>#N/A</v>
      </c>
      <c r="Y496" s="55" t="e">
        <f t="shared" ca="1" si="157"/>
        <v>#N/A</v>
      </c>
      <c r="Z496" s="55" t="e">
        <f t="shared" ca="1" si="153"/>
        <v>#N/A</v>
      </c>
      <c r="AA496" t="e">
        <f t="shared" ca="1" si="154"/>
        <v>#N/A</v>
      </c>
      <c r="AB496" t="e">
        <f t="shared" ca="1" si="146"/>
        <v>#N/A</v>
      </c>
      <c r="AC496" t="e">
        <f t="shared" ca="1" si="147"/>
        <v>#N/A</v>
      </c>
      <c r="AD496" t="e">
        <f t="shared" ca="1" si="148"/>
        <v>#N/A</v>
      </c>
      <c r="AE496" s="83" t="e">
        <f ca="1"/>
        <v>#N/A</v>
      </c>
      <c r="AF496" s="55" t="e">
        <f t="shared" ca="1" si="149"/>
        <v>#N/A</v>
      </c>
      <c r="AG496" s="55" t="e">
        <f t="shared" ca="1" si="150"/>
        <v>#N/A</v>
      </c>
      <c r="AH496" s="55" t="e">
        <f t="shared" ca="1" si="151"/>
        <v>#N/A</v>
      </c>
      <c r="AI496" s="55" t="e">
        <f t="shared" ca="1" si="152"/>
        <v>#N/A</v>
      </c>
      <c r="AJ496" s="55" t="e">
        <f t="shared" ca="1" si="158"/>
        <v>#N/A</v>
      </c>
      <c r="AK496" s="55" t="e">
        <f t="shared" ca="1" si="159"/>
        <v>#N/A</v>
      </c>
      <c r="AL496" s="55" t="e">
        <f t="shared" ca="1" si="160"/>
        <v>#N/A</v>
      </c>
      <c r="AM496" s="55"/>
    </row>
    <row r="497" spans="18:39">
      <c r="R497" s="55" t="e">
        <f ca="1"/>
        <v>#N/A</v>
      </c>
      <c r="S497" s="55" t="e">
        <f t="shared" ca="1" si="142"/>
        <v>#N/A</v>
      </c>
      <c r="T497" s="55" t="e">
        <f t="shared" ca="1" si="143"/>
        <v>#N/A</v>
      </c>
      <c r="U497" s="55" t="e">
        <f t="shared" ca="1" si="144"/>
        <v>#N/A</v>
      </c>
      <c r="V497" s="55" t="e">
        <f t="shared" ca="1" si="145"/>
        <v>#N/A</v>
      </c>
      <c r="W497" s="55" t="e">
        <f t="shared" ca="1" si="155"/>
        <v>#N/A</v>
      </c>
      <c r="X497" s="55" t="e">
        <f t="shared" ca="1" si="156"/>
        <v>#N/A</v>
      </c>
      <c r="Y497" s="55" t="e">
        <f t="shared" ca="1" si="157"/>
        <v>#N/A</v>
      </c>
      <c r="Z497" s="55" t="e">
        <f t="shared" ca="1" si="153"/>
        <v>#N/A</v>
      </c>
      <c r="AA497" t="e">
        <f t="shared" ca="1" si="154"/>
        <v>#N/A</v>
      </c>
      <c r="AB497" t="e">
        <f t="shared" ca="1" si="146"/>
        <v>#N/A</v>
      </c>
      <c r="AC497" t="e">
        <f t="shared" ca="1" si="147"/>
        <v>#N/A</v>
      </c>
      <c r="AD497" t="e">
        <f t="shared" ca="1" si="148"/>
        <v>#N/A</v>
      </c>
      <c r="AE497" s="83" t="e">
        <f ca="1"/>
        <v>#N/A</v>
      </c>
      <c r="AF497" s="55" t="e">
        <f t="shared" ca="1" si="149"/>
        <v>#N/A</v>
      </c>
      <c r="AG497" s="55" t="e">
        <f t="shared" ca="1" si="150"/>
        <v>#N/A</v>
      </c>
      <c r="AH497" s="55" t="e">
        <f t="shared" ca="1" si="151"/>
        <v>#N/A</v>
      </c>
      <c r="AI497" s="55" t="e">
        <f t="shared" ca="1" si="152"/>
        <v>#N/A</v>
      </c>
      <c r="AJ497" s="55" t="e">
        <f t="shared" ca="1" si="158"/>
        <v>#N/A</v>
      </c>
      <c r="AK497" s="55" t="e">
        <f t="shared" ca="1" si="159"/>
        <v>#N/A</v>
      </c>
      <c r="AL497" s="55" t="e">
        <f t="shared" ca="1" si="160"/>
        <v>#N/A</v>
      </c>
      <c r="AM497" s="55"/>
    </row>
    <row r="498" spans="18:39">
      <c r="R498" s="55" t="e">
        <f ca="1"/>
        <v>#N/A</v>
      </c>
      <c r="S498" s="55" t="e">
        <f t="shared" ca="1" si="142"/>
        <v>#N/A</v>
      </c>
      <c r="T498" s="55" t="e">
        <f t="shared" ca="1" si="143"/>
        <v>#N/A</v>
      </c>
      <c r="U498" s="55" t="e">
        <f t="shared" ca="1" si="144"/>
        <v>#N/A</v>
      </c>
      <c r="V498" s="55" t="e">
        <f t="shared" ca="1" si="145"/>
        <v>#N/A</v>
      </c>
      <c r="W498" s="55" t="e">
        <f t="shared" ca="1" si="155"/>
        <v>#N/A</v>
      </c>
      <c r="X498" s="55" t="e">
        <f t="shared" ca="1" si="156"/>
        <v>#N/A</v>
      </c>
      <c r="Y498" s="55" t="e">
        <f t="shared" ca="1" si="157"/>
        <v>#N/A</v>
      </c>
      <c r="Z498" s="55" t="e">
        <f t="shared" ca="1" si="153"/>
        <v>#N/A</v>
      </c>
      <c r="AA498" t="e">
        <f t="shared" ca="1" si="154"/>
        <v>#N/A</v>
      </c>
      <c r="AB498" t="e">
        <f t="shared" ca="1" si="146"/>
        <v>#N/A</v>
      </c>
      <c r="AC498" t="e">
        <f t="shared" ca="1" si="147"/>
        <v>#N/A</v>
      </c>
      <c r="AD498" t="e">
        <f t="shared" ca="1" si="148"/>
        <v>#N/A</v>
      </c>
      <c r="AE498" s="83" t="e">
        <f ca="1"/>
        <v>#N/A</v>
      </c>
      <c r="AF498" s="55" t="e">
        <f t="shared" ca="1" si="149"/>
        <v>#N/A</v>
      </c>
      <c r="AG498" s="55" t="e">
        <f t="shared" ca="1" si="150"/>
        <v>#N/A</v>
      </c>
      <c r="AH498" s="55" t="e">
        <f t="shared" ca="1" si="151"/>
        <v>#N/A</v>
      </c>
      <c r="AI498" s="55" t="e">
        <f t="shared" ca="1" si="152"/>
        <v>#N/A</v>
      </c>
      <c r="AJ498" s="55" t="e">
        <f t="shared" ca="1" si="158"/>
        <v>#N/A</v>
      </c>
      <c r="AK498" s="55" t="e">
        <f t="shared" ca="1" si="159"/>
        <v>#N/A</v>
      </c>
      <c r="AL498" s="55" t="e">
        <f t="shared" ca="1" si="160"/>
        <v>#N/A</v>
      </c>
      <c r="AM498" s="55"/>
    </row>
    <row r="499" spans="18:39">
      <c r="R499" s="55" t="e">
        <f ca="1"/>
        <v>#N/A</v>
      </c>
      <c r="S499" s="55" t="e">
        <f t="shared" ca="1" si="142"/>
        <v>#N/A</v>
      </c>
      <c r="T499" s="55" t="e">
        <f t="shared" ca="1" si="143"/>
        <v>#N/A</v>
      </c>
      <c r="U499" s="55" t="e">
        <f t="shared" ca="1" si="144"/>
        <v>#N/A</v>
      </c>
      <c r="V499" s="55" t="e">
        <f t="shared" ca="1" si="145"/>
        <v>#N/A</v>
      </c>
      <c r="W499" s="55" t="e">
        <f t="shared" ca="1" si="155"/>
        <v>#N/A</v>
      </c>
      <c r="X499" s="55" t="e">
        <f t="shared" ca="1" si="156"/>
        <v>#N/A</v>
      </c>
      <c r="Y499" s="55" t="e">
        <f t="shared" ca="1" si="157"/>
        <v>#N/A</v>
      </c>
      <c r="Z499" s="55" t="e">
        <f t="shared" ca="1" si="153"/>
        <v>#N/A</v>
      </c>
      <c r="AA499" t="e">
        <f t="shared" ca="1" si="154"/>
        <v>#N/A</v>
      </c>
      <c r="AB499" t="e">
        <f t="shared" ca="1" si="146"/>
        <v>#N/A</v>
      </c>
      <c r="AC499" t="e">
        <f t="shared" ca="1" si="147"/>
        <v>#N/A</v>
      </c>
      <c r="AD499" t="e">
        <f t="shared" ca="1" si="148"/>
        <v>#N/A</v>
      </c>
      <c r="AE499" s="83" t="e">
        <f ca="1"/>
        <v>#N/A</v>
      </c>
      <c r="AF499" s="55" t="e">
        <f t="shared" ca="1" si="149"/>
        <v>#N/A</v>
      </c>
      <c r="AG499" s="55" t="e">
        <f t="shared" ca="1" si="150"/>
        <v>#N/A</v>
      </c>
      <c r="AH499" s="55" t="e">
        <f t="shared" ca="1" si="151"/>
        <v>#N/A</v>
      </c>
      <c r="AI499" s="55" t="e">
        <f t="shared" ca="1" si="152"/>
        <v>#N/A</v>
      </c>
      <c r="AJ499" s="55" t="e">
        <f t="shared" ca="1" si="158"/>
        <v>#N/A</v>
      </c>
      <c r="AK499" s="55" t="e">
        <f t="shared" ca="1" si="159"/>
        <v>#N/A</v>
      </c>
      <c r="AL499" s="55" t="e">
        <f t="shared" ca="1" si="160"/>
        <v>#N/A</v>
      </c>
      <c r="AM499" s="55"/>
    </row>
    <row r="500" spans="18:39">
      <c r="R500" s="55" t="e">
        <f ca="1"/>
        <v>#N/A</v>
      </c>
      <c r="S500" s="55" t="e">
        <f t="shared" ca="1" si="142"/>
        <v>#N/A</v>
      </c>
      <c r="T500" s="55" t="e">
        <f t="shared" ca="1" si="143"/>
        <v>#N/A</v>
      </c>
      <c r="U500" s="55" t="e">
        <f t="shared" ca="1" si="144"/>
        <v>#N/A</v>
      </c>
      <c r="V500" s="55" t="e">
        <f t="shared" ca="1" si="145"/>
        <v>#N/A</v>
      </c>
      <c r="W500" s="55" t="e">
        <f t="shared" ca="1" si="155"/>
        <v>#N/A</v>
      </c>
      <c r="X500" s="55" t="e">
        <f t="shared" ca="1" si="156"/>
        <v>#N/A</v>
      </c>
      <c r="Y500" s="55" t="e">
        <f t="shared" ca="1" si="157"/>
        <v>#N/A</v>
      </c>
      <c r="Z500" s="55" t="e">
        <f t="shared" ca="1" si="153"/>
        <v>#N/A</v>
      </c>
      <c r="AA500" t="e">
        <f t="shared" ca="1" si="154"/>
        <v>#N/A</v>
      </c>
      <c r="AB500" t="e">
        <f t="shared" ca="1" si="146"/>
        <v>#N/A</v>
      </c>
      <c r="AC500" t="e">
        <f t="shared" ca="1" si="147"/>
        <v>#N/A</v>
      </c>
      <c r="AD500" t="e">
        <f t="shared" ca="1" si="148"/>
        <v>#N/A</v>
      </c>
      <c r="AE500" s="83" t="e">
        <f ca="1"/>
        <v>#N/A</v>
      </c>
      <c r="AF500" s="55" t="e">
        <f t="shared" ca="1" si="149"/>
        <v>#N/A</v>
      </c>
      <c r="AG500" s="55" t="e">
        <f t="shared" ca="1" si="150"/>
        <v>#N/A</v>
      </c>
      <c r="AH500" s="55" t="e">
        <f t="shared" ca="1" si="151"/>
        <v>#N/A</v>
      </c>
      <c r="AI500" s="55" t="e">
        <f t="shared" ca="1" si="152"/>
        <v>#N/A</v>
      </c>
      <c r="AJ500" s="55" t="e">
        <f t="shared" ca="1" si="158"/>
        <v>#N/A</v>
      </c>
      <c r="AK500" s="55" t="e">
        <f t="shared" ca="1" si="159"/>
        <v>#N/A</v>
      </c>
      <c r="AL500" s="55" t="e">
        <f t="shared" ca="1" si="160"/>
        <v>#N/A</v>
      </c>
      <c r="AM500" s="55"/>
    </row>
    <row r="501" spans="18:39">
      <c r="R501" s="55" t="e">
        <f ca="1"/>
        <v>#N/A</v>
      </c>
      <c r="S501" s="55" t="e">
        <f t="shared" ca="1" si="142"/>
        <v>#N/A</v>
      </c>
      <c r="T501" s="55" t="e">
        <f t="shared" ca="1" si="143"/>
        <v>#N/A</v>
      </c>
      <c r="U501" s="55" t="e">
        <f t="shared" ca="1" si="144"/>
        <v>#N/A</v>
      </c>
      <c r="V501" s="55" t="e">
        <f t="shared" ca="1" si="145"/>
        <v>#N/A</v>
      </c>
      <c r="W501" s="55" t="e">
        <f t="shared" ca="1" si="155"/>
        <v>#N/A</v>
      </c>
      <c r="X501" s="55" t="e">
        <f t="shared" ca="1" si="156"/>
        <v>#N/A</v>
      </c>
      <c r="Y501" s="55" t="e">
        <f t="shared" ca="1" si="157"/>
        <v>#N/A</v>
      </c>
      <c r="Z501" s="55" t="e">
        <f t="shared" ca="1" si="153"/>
        <v>#N/A</v>
      </c>
      <c r="AA501" t="e">
        <f t="shared" ca="1" si="154"/>
        <v>#N/A</v>
      </c>
      <c r="AB501" t="e">
        <f t="shared" ca="1" si="146"/>
        <v>#N/A</v>
      </c>
      <c r="AC501" t="e">
        <f t="shared" ca="1" si="147"/>
        <v>#N/A</v>
      </c>
      <c r="AD501" t="e">
        <f t="shared" ca="1" si="148"/>
        <v>#N/A</v>
      </c>
      <c r="AE501" s="83" t="e">
        <f ca="1"/>
        <v>#N/A</v>
      </c>
      <c r="AF501" s="55" t="e">
        <f t="shared" ca="1" si="149"/>
        <v>#N/A</v>
      </c>
      <c r="AG501" s="55" t="e">
        <f t="shared" ca="1" si="150"/>
        <v>#N/A</v>
      </c>
      <c r="AH501" s="55" t="e">
        <f t="shared" ca="1" si="151"/>
        <v>#N/A</v>
      </c>
      <c r="AI501" s="55" t="e">
        <f t="shared" ca="1" si="152"/>
        <v>#N/A</v>
      </c>
      <c r="AJ501" s="55" t="e">
        <f t="shared" ca="1" si="158"/>
        <v>#N/A</v>
      </c>
      <c r="AK501" s="55" t="e">
        <f t="shared" ca="1" si="159"/>
        <v>#N/A</v>
      </c>
      <c r="AL501" s="55" t="e">
        <f t="shared" ca="1" si="160"/>
        <v>#N/A</v>
      </c>
      <c r="AM501" s="55"/>
    </row>
    <row r="502" spans="18:39">
      <c r="R502" s="55" t="e">
        <f ca="1"/>
        <v>#N/A</v>
      </c>
      <c r="S502" s="55" t="e">
        <f t="shared" ca="1" si="142"/>
        <v>#N/A</v>
      </c>
      <c r="T502" s="55" t="e">
        <f t="shared" ca="1" si="143"/>
        <v>#N/A</v>
      </c>
      <c r="U502" s="55" t="e">
        <f t="shared" ca="1" si="144"/>
        <v>#N/A</v>
      </c>
      <c r="V502" s="55" t="e">
        <f t="shared" ca="1" si="145"/>
        <v>#N/A</v>
      </c>
      <c r="W502" s="55" t="e">
        <f t="shared" ca="1" si="155"/>
        <v>#N/A</v>
      </c>
      <c r="X502" s="55" t="e">
        <f t="shared" ca="1" si="156"/>
        <v>#N/A</v>
      </c>
      <c r="Y502" s="55" t="e">
        <f t="shared" ca="1" si="157"/>
        <v>#N/A</v>
      </c>
      <c r="Z502" s="55" t="e">
        <f t="shared" ca="1" si="153"/>
        <v>#N/A</v>
      </c>
      <c r="AA502" t="e">
        <f t="shared" ca="1" si="154"/>
        <v>#N/A</v>
      </c>
      <c r="AB502" t="e">
        <f t="shared" ca="1" si="146"/>
        <v>#N/A</v>
      </c>
      <c r="AC502" t="e">
        <f t="shared" ca="1" si="147"/>
        <v>#N/A</v>
      </c>
      <c r="AD502" t="e">
        <f t="shared" ca="1" si="148"/>
        <v>#N/A</v>
      </c>
      <c r="AE502" s="83" t="e">
        <f ca="1"/>
        <v>#N/A</v>
      </c>
      <c r="AF502" s="55" t="e">
        <f t="shared" ca="1" si="149"/>
        <v>#N/A</v>
      </c>
      <c r="AG502" s="55" t="e">
        <f t="shared" ca="1" si="150"/>
        <v>#N/A</v>
      </c>
      <c r="AH502" s="55" t="e">
        <f t="shared" ca="1" si="151"/>
        <v>#N/A</v>
      </c>
      <c r="AI502" s="55" t="e">
        <f t="shared" ca="1" si="152"/>
        <v>#N/A</v>
      </c>
      <c r="AJ502" s="55" t="e">
        <f t="shared" ca="1" si="158"/>
        <v>#N/A</v>
      </c>
      <c r="AK502" s="55" t="e">
        <f t="shared" ca="1" si="159"/>
        <v>#N/A</v>
      </c>
      <c r="AL502" s="55" t="e">
        <f t="shared" ca="1" si="160"/>
        <v>#N/A</v>
      </c>
      <c r="AM502" s="55"/>
    </row>
    <row r="503" spans="18:39">
      <c r="R503" s="55" t="e">
        <f ca="1"/>
        <v>#N/A</v>
      </c>
      <c r="S503" s="55" t="e">
        <f t="shared" ca="1" si="142"/>
        <v>#N/A</v>
      </c>
      <c r="T503" s="55" t="e">
        <f t="shared" ca="1" si="143"/>
        <v>#N/A</v>
      </c>
      <c r="U503" s="55" t="e">
        <f t="shared" ca="1" si="144"/>
        <v>#N/A</v>
      </c>
      <c r="V503" s="55" t="e">
        <f t="shared" ca="1" si="145"/>
        <v>#N/A</v>
      </c>
      <c r="W503" s="55" t="e">
        <f t="shared" ca="1" si="155"/>
        <v>#N/A</v>
      </c>
      <c r="X503" s="55" t="e">
        <f t="shared" ca="1" si="156"/>
        <v>#N/A</v>
      </c>
      <c r="Y503" s="55" t="e">
        <f t="shared" ca="1" si="157"/>
        <v>#N/A</v>
      </c>
      <c r="Z503" s="55" t="e">
        <f t="shared" ca="1" si="153"/>
        <v>#N/A</v>
      </c>
      <c r="AA503" t="e">
        <f t="shared" ca="1" si="154"/>
        <v>#N/A</v>
      </c>
      <c r="AB503" t="e">
        <f t="shared" ca="1" si="146"/>
        <v>#N/A</v>
      </c>
      <c r="AC503" t="e">
        <f t="shared" ca="1" si="147"/>
        <v>#N/A</v>
      </c>
      <c r="AD503" t="e">
        <f t="shared" ca="1" si="148"/>
        <v>#N/A</v>
      </c>
      <c r="AE503" s="83" t="e">
        <f ca="1"/>
        <v>#N/A</v>
      </c>
      <c r="AF503" s="55" t="e">
        <f t="shared" ca="1" si="149"/>
        <v>#N/A</v>
      </c>
      <c r="AG503" s="55" t="e">
        <f t="shared" ca="1" si="150"/>
        <v>#N/A</v>
      </c>
      <c r="AH503" s="55" t="e">
        <f t="shared" ca="1" si="151"/>
        <v>#N/A</v>
      </c>
      <c r="AI503" s="55" t="e">
        <f t="shared" ca="1" si="152"/>
        <v>#N/A</v>
      </c>
      <c r="AJ503" s="55" t="e">
        <f t="shared" ca="1" si="158"/>
        <v>#N/A</v>
      </c>
      <c r="AK503" s="55" t="e">
        <f t="shared" ca="1" si="159"/>
        <v>#N/A</v>
      </c>
      <c r="AL503" s="55" t="e">
        <f t="shared" ca="1" si="160"/>
        <v>#N/A</v>
      </c>
      <c r="AM503" s="55"/>
    </row>
    <row r="504" spans="18:39">
      <c r="R504" s="55" t="e">
        <f ca="1"/>
        <v>#N/A</v>
      </c>
      <c r="S504" s="55" t="e">
        <f t="shared" ca="1" si="142"/>
        <v>#N/A</v>
      </c>
      <c r="T504" s="55" t="e">
        <f t="shared" ca="1" si="143"/>
        <v>#N/A</v>
      </c>
      <c r="U504" s="55" t="e">
        <f t="shared" ca="1" si="144"/>
        <v>#N/A</v>
      </c>
      <c r="V504" s="55" t="e">
        <f t="shared" ca="1" si="145"/>
        <v>#N/A</v>
      </c>
      <c r="W504" s="55" t="e">
        <f t="shared" ca="1" si="155"/>
        <v>#N/A</v>
      </c>
      <c r="X504" s="55" t="e">
        <f t="shared" ca="1" si="156"/>
        <v>#N/A</v>
      </c>
      <c r="Y504" s="55" t="e">
        <f t="shared" ca="1" si="157"/>
        <v>#N/A</v>
      </c>
      <c r="Z504" s="55" t="e">
        <f t="shared" ca="1" si="153"/>
        <v>#N/A</v>
      </c>
      <c r="AA504" t="e">
        <f t="shared" ca="1" si="154"/>
        <v>#N/A</v>
      </c>
      <c r="AB504" t="e">
        <f t="shared" ca="1" si="146"/>
        <v>#N/A</v>
      </c>
      <c r="AC504" t="e">
        <f t="shared" ca="1" si="147"/>
        <v>#N/A</v>
      </c>
      <c r="AD504" t="e">
        <f t="shared" ca="1" si="148"/>
        <v>#N/A</v>
      </c>
      <c r="AE504" s="83" t="e">
        <f ca="1"/>
        <v>#N/A</v>
      </c>
      <c r="AF504" s="55" t="e">
        <f t="shared" ca="1" si="149"/>
        <v>#N/A</v>
      </c>
      <c r="AG504" s="55" t="e">
        <f t="shared" ca="1" si="150"/>
        <v>#N/A</v>
      </c>
      <c r="AH504" s="55" t="e">
        <f t="shared" ca="1" si="151"/>
        <v>#N/A</v>
      </c>
      <c r="AI504" s="55" t="e">
        <f t="shared" ca="1" si="152"/>
        <v>#N/A</v>
      </c>
      <c r="AJ504" s="55" t="e">
        <f t="shared" ca="1" si="158"/>
        <v>#N/A</v>
      </c>
      <c r="AK504" s="55" t="e">
        <f t="shared" ca="1" si="159"/>
        <v>#N/A</v>
      </c>
      <c r="AL504" s="55" t="e">
        <f t="shared" ca="1" si="160"/>
        <v>#N/A</v>
      </c>
      <c r="AM504" s="55"/>
    </row>
    <row r="505" spans="18:39">
      <c r="R505" s="55" t="e">
        <f ca="1"/>
        <v>#N/A</v>
      </c>
      <c r="S505" s="55" t="e">
        <f t="shared" ca="1" si="142"/>
        <v>#N/A</v>
      </c>
      <c r="T505" s="55" t="e">
        <f t="shared" ca="1" si="143"/>
        <v>#N/A</v>
      </c>
      <c r="U505" s="55" t="e">
        <f t="shared" ca="1" si="144"/>
        <v>#N/A</v>
      </c>
      <c r="V505" s="55" t="e">
        <f t="shared" ca="1" si="145"/>
        <v>#N/A</v>
      </c>
      <c r="W505" s="55" t="e">
        <f t="shared" ca="1" si="155"/>
        <v>#N/A</v>
      </c>
      <c r="X505" s="55" t="e">
        <f t="shared" ca="1" si="156"/>
        <v>#N/A</v>
      </c>
      <c r="Y505" s="55" t="e">
        <f t="shared" ca="1" si="157"/>
        <v>#N/A</v>
      </c>
      <c r="Z505" s="55" t="e">
        <f t="shared" ca="1" si="153"/>
        <v>#N/A</v>
      </c>
      <c r="AA505" t="e">
        <f t="shared" ca="1" si="154"/>
        <v>#N/A</v>
      </c>
      <c r="AB505" t="e">
        <f t="shared" ca="1" si="146"/>
        <v>#N/A</v>
      </c>
      <c r="AC505" t="e">
        <f t="shared" ca="1" si="147"/>
        <v>#N/A</v>
      </c>
      <c r="AD505" t="e">
        <f t="shared" ca="1" si="148"/>
        <v>#N/A</v>
      </c>
      <c r="AE505" s="83" t="e">
        <f ca="1"/>
        <v>#N/A</v>
      </c>
      <c r="AF505" s="55" t="e">
        <f t="shared" ca="1" si="149"/>
        <v>#N/A</v>
      </c>
      <c r="AG505" s="55" t="e">
        <f t="shared" ca="1" si="150"/>
        <v>#N/A</v>
      </c>
      <c r="AH505" s="55" t="e">
        <f t="shared" ca="1" si="151"/>
        <v>#N/A</v>
      </c>
      <c r="AI505" s="55" t="e">
        <f t="shared" ca="1" si="152"/>
        <v>#N/A</v>
      </c>
      <c r="AJ505" s="55" t="e">
        <f t="shared" ca="1" si="158"/>
        <v>#N/A</v>
      </c>
      <c r="AK505" s="55" t="e">
        <f t="shared" ca="1" si="159"/>
        <v>#N/A</v>
      </c>
      <c r="AL505" s="55" t="e">
        <f t="shared" ca="1" si="160"/>
        <v>#N/A</v>
      </c>
      <c r="AM505" s="55"/>
    </row>
    <row r="506" spans="18:39">
      <c r="R506" s="55" t="e">
        <f ca="1"/>
        <v>#N/A</v>
      </c>
      <c r="S506" s="55" t="e">
        <f t="shared" ca="1" si="142"/>
        <v>#N/A</v>
      </c>
      <c r="T506" s="55" t="e">
        <f t="shared" ca="1" si="143"/>
        <v>#N/A</v>
      </c>
      <c r="U506" s="55" t="e">
        <f t="shared" ca="1" si="144"/>
        <v>#N/A</v>
      </c>
      <c r="V506" s="55" t="e">
        <f t="shared" ca="1" si="145"/>
        <v>#N/A</v>
      </c>
      <c r="W506" s="55" t="e">
        <f t="shared" ca="1" si="155"/>
        <v>#N/A</v>
      </c>
      <c r="X506" s="55" t="e">
        <f t="shared" ca="1" si="156"/>
        <v>#N/A</v>
      </c>
      <c r="Y506" s="55" t="e">
        <f t="shared" ca="1" si="157"/>
        <v>#N/A</v>
      </c>
      <c r="Z506" s="55" t="e">
        <f t="shared" ca="1" si="153"/>
        <v>#N/A</v>
      </c>
      <c r="AA506" t="e">
        <f t="shared" ca="1" si="154"/>
        <v>#N/A</v>
      </c>
      <c r="AB506" t="e">
        <f t="shared" ca="1" si="146"/>
        <v>#N/A</v>
      </c>
      <c r="AC506" t="e">
        <f t="shared" ca="1" si="147"/>
        <v>#N/A</v>
      </c>
      <c r="AD506" t="e">
        <f t="shared" ca="1" si="148"/>
        <v>#N/A</v>
      </c>
      <c r="AE506" s="83" t="e">
        <f ca="1"/>
        <v>#N/A</v>
      </c>
      <c r="AF506" s="55" t="e">
        <f t="shared" ca="1" si="149"/>
        <v>#N/A</v>
      </c>
      <c r="AG506" s="55" t="e">
        <f t="shared" ca="1" si="150"/>
        <v>#N/A</v>
      </c>
      <c r="AH506" s="55" t="e">
        <f t="shared" ca="1" si="151"/>
        <v>#N/A</v>
      </c>
      <c r="AI506" s="55" t="e">
        <f t="shared" ca="1" si="152"/>
        <v>#N/A</v>
      </c>
      <c r="AJ506" s="55" t="e">
        <f t="shared" ca="1" si="158"/>
        <v>#N/A</v>
      </c>
      <c r="AK506" s="55" t="e">
        <f t="shared" ca="1" si="159"/>
        <v>#N/A</v>
      </c>
      <c r="AL506" s="55" t="e">
        <f t="shared" ca="1" si="160"/>
        <v>#N/A</v>
      </c>
      <c r="AM506" s="55"/>
    </row>
    <row r="507" spans="18:39">
      <c r="R507" s="55" t="e">
        <f ca="1"/>
        <v>#N/A</v>
      </c>
      <c r="S507" s="55" t="e">
        <f t="shared" ca="1" si="142"/>
        <v>#N/A</v>
      </c>
      <c r="T507" s="55" t="e">
        <f t="shared" ca="1" si="143"/>
        <v>#N/A</v>
      </c>
      <c r="U507" s="55" t="e">
        <f t="shared" ca="1" si="144"/>
        <v>#N/A</v>
      </c>
      <c r="V507" s="55" t="e">
        <f t="shared" ca="1" si="145"/>
        <v>#N/A</v>
      </c>
      <c r="W507" s="55" t="e">
        <f t="shared" ca="1" si="155"/>
        <v>#N/A</v>
      </c>
      <c r="X507" s="55" t="e">
        <f t="shared" ca="1" si="156"/>
        <v>#N/A</v>
      </c>
      <c r="Y507" s="55" t="e">
        <f t="shared" ca="1" si="157"/>
        <v>#N/A</v>
      </c>
      <c r="Z507" s="55" t="e">
        <f t="shared" ca="1" si="153"/>
        <v>#N/A</v>
      </c>
      <c r="AA507" t="e">
        <f t="shared" ca="1" si="154"/>
        <v>#N/A</v>
      </c>
      <c r="AB507" t="e">
        <f t="shared" ca="1" si="146"/>
        <v>#N/A</v>
      </c>
      <c r="AC507" t="e">
        <f t="shared" ca="1" si="147"/>
        <v>#N/A</v>
      </c>
      <c r="AD507" t="e">
        <f t="shared" ca="1" si="148"/>
        <v>#N/A</v>
      </c>
      <c r="AE507" s="83" t="e">
        <f ca="1"/>
        <v>#N/A</v>
      </c>
      <c r="AF507" s="55" t="e">
        <f t="shared" ca="1" si="149"/>
        <v>#N/A</v>
      </c>
      <c r="AG507" s="55" t="e">
        <f t="shared" ca="1" si="150"/>
        <v>#N/A</v>
      </c>
      <c r="AH507" s="55" t="e">
        <f t="shared" ca="1" si="151"/>
        <v>#N/A</v>
      </c>
      <c r="AI507" s="55" t="e">
        <f t="shared" ca="1" si="152"/>
        <v>#N/A</v>
      </c>
      <c r="AJ507" s="55" t="e">
        <f t="shared" ca="1" si="158"/>
        <v>#N/A</v>
      </c>
      <c r="AK507" s="55" t="e">
        <f t="shared" ca="1" si="159"/>
        <v>#N/A</v>
      </c>
      <c r="AL507" s="55" t="e">
        <f t="shared" ca="1" si="160"/>
        <v>#N/A</v>
      </c>
      <c r="AM507" s="55"/>
    </row>
    <row r="508" spans="18:39">
      <c r="R508" s="55" t="e">
        <f ca="1"/>
        <v>#N/A</v>
      </c>
      <c r="S508" s="55" t="e">
        <f t="shared" ca="1" si="142"/>
        <v>#N/A</v>
      </c>
      <c r="T508" s="55" t="e">
        <f t="shared" ca="1" si="143"/>
        <v>#N/A</v>
      </c>
      <c r="U508" s="55" t="e">
        <f t="shared" ca="1" si="144"/>
        <v>#N/A</v>
      </c>
      <c r="V508" s="55" t="e">
        <f t="shared" ca="1" si="145"/>
        <v>#N/A</v>
      </c>
      <c r="W508" s="55" t="e">
        <f t="shared" ca="1" si="155"/>
        <v>#N/A</v>
      </c>
      <c r="X508" s="55" t="e">
        <f t="shared" ca="1" si="156"/>
        <v>#N/A</v>
      </c>
      <c r="Y508" s="55" t="e">
        <f t="shared" ca="1" si="157"/>
        <v>#N/A</v>
      </c>
      <c r="Z508" s="55" t="e">
        <f t="shared" ca="1" si="153"/>
        <v>#N/A</v>
      </c>
      <c r="AA508" t="e">
        <f t="shared" ca="1" si="154"/>
        <v>#N/A</v>
      </c>
      <c r="AB508" t="e">
        <f t="shared" ca="1" si="146"/>
        <v>#N/A</v>
      </c>
      <c r="AC508" t="e">
        <f t="shared" ca="1" si="147"/>
        <v>#N/A</v>
      </c>
      <c r="AD508" t="e">
        <f t="shared" ca="1" si="148"/>
        <v>#N/A</v>
      </c>
      <c r="AE508" s="83" t="e">
        <f ca="1"/>
        <v>#N/A</v>
      </c>
      <c r="AF508" s="55" t="e">
        <f t="shared" ca="1" si="149"/>
        <v>#N/A</v>
      </c>
      <c r="AG508" s="55" t="e">
        <f t="shared" ca="1" si="150"/>
        <v>#N/A</v>
      </c>
      <c r="AH508" s="55" t="e">
        <f t="shared" ca="1" si="151"/>
        <v>#N/A</v>
      </c>
      <c r="AI508" s="55" t="e">
        <f t="shared" ca="1" si="152"/>
        <v>#N/A</v>
      </c>
      <c r="AJ508" s="55" t="e">
        <f t="shared" ca="1" si="158"/>
        <v>#N/A</v>
      </c>
      <c r="AK508" s="55" t="e">
        <f t="shared" ca="1" si="159"/>
        <v>#N/A</v>
      </c>
      <c r="AL508" s="55" t="e">
        <f t="shared" ca="1" si="160"/>
        <v>#N/A</v>
      </c>
      <c r="AM508" s="55"/>
    </row>
    <row r="509" spans="18:39">
      <c r="R509" s="55" t="e">
        <f ca="1"/>
        <v>#N/A</v>
      </c>
      <c r="S509" s="55" t="e">
        <f t="shared" ca="1" si="142"/>
        <v>#N/A</v>
      </c>
      <c r="T509" s="55" t="e">
        <f t="shared" ca="1" si="143"/>
        <v>#N/A</v>
      </c>
      <c r="U509" s="55" t="e">
        <f t="shared" ca="1" si="144"/>
        <v>#N/A</v>
      </c>
      <c r="V509" s="55" t="e">
        <f t="shared" ca="1" si="145"/>
        <v>#N/A</v>
      </c>
      <c r="W509" s="55" t="e">
        <f t="shared" ca="1" si="155"/>
        <v>#N/A</v>
      </c>
      <c r="X509" s="55" t="e">
        <f t="shared" ca="1" si="156"/>
        <v>#N/A</v>
      </c>
      <c r="Y509" s="55" t="e">
        <f t="shared" ca="1" si="157"/>
        <v>#N/A</v>
      </c>
      <c r="Z509" s="55" t="e">
        <f t="shared" ca="1" si="153"/>
        <v>#N/A</v>
      </c>
      <c r="AA509" t="e">
        <f t="shared" ca="1" si="154"/>
        <v>#N/A</v>
      </c>
      <c r="AB509" t="e">
        <f t="shared" ca="1" si="146"/>
        <v>#N/A</v>
      </c>
      <c r="AC509" t="e">
        <f t="shared" ca="1" si="147"/>
        <v>#N/A</v>
      </c>
      <c r="AD509" t="e">
        <f t="shared" ca="1" si="148"/>
        <v>#N/A</v>
      </c>
      <c r="AE509" s="83" t="e">
        <f ca="1"/>
        <v>#N/A</v>
      </c>
      <c r="AF509" s="55" t="e">
        <f t="shared" ca="1" si="149"/>
        <v>#N/A</v>
      </c>
      <c r="AG509" s="55" t="e">
        <f t="shared" ca="1" si="150"/>
        <v>#N/A</v>
      </c>
      <c r="AH509" s="55" t="e">
        <f t="shared" ca="1" si="151"/>
        <v>#N/A</v>
      </c>
      <c r="AI509" s="55" t="e">
        <f t="shared" ca="1" si="152"/>
        <v>#N/A</v>
      </c>
      <c r="AJ509" s="55" t="e">
        <f t="shared" ca="1" si="158"/>
        <v>#N/A</v>
      </c>
      <c r="AK509" s="55" t="e">
        <f t="shared" ca="1" si="159"/>
        <v>#N/A</v>
      </c>
      <c r="AL509" s="55" t="e">
        <f t="shared" ca="1" si="160"/>
        <v>#N/A</v>
      </c>
      <c r="AM509" s="55"/>
    </row>
    <row r="510" spans="18:39">
      <c r="R510" s="55" t="e">
        <f ca="1"/>
        <v>#N/A</v>
      </c>
      <c r="S510" s="55" t="e">
        <f t="shared" ca="1" si="142"/>
        <v>#N/A</v>
      </c>
      <c r="T510" s="55" t="e">
        <f t="shared" ca="1" si="143"/>
        <v>#N/A</v>
      </c>
      <c r="U510" s="55" t="e">
        <f t="shared" ca="1" si="144"/>
        <v>#N/A</v>
      </c>
      <c r="V510" s="55" t="e">
        <f t="shared" ca="1" si="145"/>
        <v>#N/A</v>
      </c>
      <c r="W510" s="55" t="e">
        <f t="shared" ca="1" si="155"/>
        <v>#N/A</v>
      </c>
      <c r="X510" s="55" t="e">
        <f t="shared" ca="1" si="156"/>
        <v>#N/A</v>
      </c>
      <c r="Y510" s="55" t="e">
        <f t="shared" ca="1" si="157"/>
        <v>#N/A</v>
      </c>
      <c r="Z510" s="55" t="e">
        <f t="shared" ca="1" si="153"/>
        <v>#N/A</v>
      </c>
      <c r="AA510" t="e">
        <f t="shared" ca="1" si="154"/>
        <v>#N/A</v>
      </c>
      <c r="AB510" t="e">
        <f t="shared" ca="1" si="146"/>
        <v>#N/A</v>
      </c>
      <c r="AC510" t="e">
        <f t="shared" ca="1" si="147"/>
        <v>#N/A</v>
      </c>
      <c r="AD510" t="e">
        <f t="shared" ca="1" si="148"/>
        <v>#N/A</v>
      </c>
      <c r="AE510" s="83" t="e">
        <f ca="1"/>
        <v>#N/A</v>
      </c>
      <c r="AF510" s="55" t="e">
        <f t="shared" ca="1" si="149"/>
        <v>#N/A</v>
      </c>
      <c r="AG510" s="55" t="e">
        <f t="shared" ca="1" si="150"/>
        <v>#N/A</v>
      </c>
      <c r="AH510" s="55" t="e">
        <f t="shared" ca="1" si="151"/>
        <v>#N/A</v>
      </c>
      <c r="AI510" s="55" t="e">
        <f t="shared" ca="1" si="152"/>
        <v>#N/A</v>
      </c>
      <c r="AJ510" s="55" t="e">
        <f t="shared" ca="1" si="158"/>
        <v>#N/A</v>
      </c>
      <c r="AK510" s="55" t="e">
        <f t="shared" ca="1" si="159"/>
        <v>#N/A</v>
      </c>
      <c r="AL510" s="55" t="e">
        <f t="shared" ca="1" si="160"/>
        <v>#N/A</v>
      </c>
      <c r="AM510" s="55"/>
    </row>
    <row r="511" spans="18:39">
      <c r="R511" s="55" t="e">
        <f ca="1"/>
        <v>#N/A</v>
      </c>
      <c r="S511" s="55" t="e">
        <f t="shared" ca="1" si="142"/>
        <v>#N/A</v>
      </c>
      <c r="T511" s="55" t="e">
        <f t="shared" ca="1" si="143"/>
        <v>#N/A</v>
      </c>
      <c r="U511" s="55" t="e">
        <f t="shared" ca="1" si="144"/>
        <v>#N/A</v>
      </c>
      <c r="V511" s="55" t="e">
        <f t="shared" ca="1" si="145"/>
        <v>#N/A</v>
      </c>
      <c r="W511" s="55" t="e">
        <f t="shared" ca="1" si="155"/>
        <v>#N/A</v>
      </c>
      <c r="X511" s="55" t="e">
        <f t="shared" ca="1" si="156"/>
        <v>#N/A</v>
      </c>
      <c r="Y511" s="55" t="e">
        <f t="shared" ca="1" si="157"/>
        <v>#N/A</v>
      </c>
      <c r="Z511" s="55" t="e">
        <f t="shared" ca="1" si="153"/>
        <v>#N/A</v>
      </c>
      <c r="AA511" t="e">
        <f t="shared" ca="1" si="154"/>
        <v>#N/A</v>
      </c>
      <c r="AB511" t="e">
        <f t="shared" ca="1" si="146"/>
        <v>#N/A</v>
      </c>
      <c r="AC511" t="e">
        <f t="shared" ca="1" si="147"/>
        <v>#N/A</v>
      </c>
      <c r="AD511" t="e">
        <f t="shared" ca="1" si="148"/>
        <v>#N/A</v>
      </c>
      <c r="AE511" s="83" t="e">
        <f ca="1"/>
        <v>#N/A</v>
      </c>
      <c r="AF511" s="55" t="e">
        <f t="shared" ca="1" si="149"/>
        <v>#N/A</v>
      </c>
      <c r="AG511" s="55" t="e">
        <f t="shared" ca="1" si="150"/>
        <v>#N/A</v>
      </c>
      <c r="AH511" s="55" t="e">
        <f t="shared" ca="1" si="151"/>
        <v>#N/A</v>
      </c>
      <c r="AI511" s="55" t="e">
        <f t="shared" ca="1" si="152"/>
        <v>#N/A</v>
      </c>
      <c r="AJ511" s="55" t="e">
        <f t="shared" ca="1" si="158"/>
        <v>#N/A</v>
      </c>
      <c r="AK511" s="55" t="e">
        <f t="shared" ca="1" si="159"/>
        <v>#N/A</v>
      </c>
      <c r="AL511" s="55" t="e">
        <f t="shared" ca="1" si="160"/>
        <v>#N/A</v>
      </c>
      <c r="AM511" s="55"/>
    </row>
    <row r="512" spans="18:39">
      <c r="R512" s="55" t="e">
        <f ca="1"/>
        <v>#N/A</v>
      </c>
      <c r="S512" s="55" t="e">
        <f t="shared" ca="1" si="142"/>
        <v>#N/A</v>
      </c>
      <c r="T512" s="55" t="e">
        <f t="shared" ca="1" si="143"/>
        <v>#N/A</v>
      </c>
      <c r="U512" s="55" t="e">
        <f t="shared" ca="1" si="144"/>
        <v>#N/A</v>
      </c>
      <c r="V512" s="55" t="e">
        <f t="shared" ca="1" si="145"/>
        <v>#N/A</v>
      </c>
      <c r="W512" s="55" t="e">
        <f t="shared" ca="1" si="155"/>
        <v>#N/A</v>
      </c>
      <c r="X512" s="55" t="e">
        <f t="shared" ca="1" si="156"/>
        <v>#N/A</v>
      </c>
      <c r="Y512" s="55" t="e">
        <f t="shared" ca="1" si="157"/>
        <v>#N/A</v>
      </c>
      <c r="Z512" s="55" t="e">
        <f t="shared" ca="1" si="153"/>
        <v>#N/A</v>
      </c>
      <c r="AA512" t="e">
        <f t="shared" ca="1" si="154"/>
        <v>#N/A</v>
      </c>
      <c r="AB512" t="e">
        <f t="shared" ca="1" si="146"/>
        <v>#N/A</v>
      </c>
      <c r="AC512" t="e">
        <f t="shared" ca="1" si="147"/>
        <v>#N/A</v>
      </c>
      <c r="AD512" t="e">
        <f t="shared" ca="1" si="148"/>
        <v>#N/A</v>
      </c>
      <c r="AE512" s="83" t="e">
        <f ca="1"/>
        <v>#N/A</v>
      </c>
      <c r="AF512" s="55" t="e">
        <f t="shared" ca="1" si="149"/>
        <v>#N/A</v>
      </c>
      <c r="AG512" s="55" t="e">
        <f t="shared" ca="1" si="150"/>
        <v>#N/A</v>
      </c>
      <c r="AH512" s="55" t="e">
        <f t="shared" ca="1" si="151"/>
        <v>#N/A</v>
      </c>
      <c r="AI512" s="55" t="e">
        <f t="shared" ca="1" si="152"/>
        <v>#N/A</v>
      </c>
      <c r="AJ512" s="55" t="e">
        <f t="shared" ca="1" si="158"/>
        <v>#N/A</v>
      </c>
      <c r="AK512" s="55" t="e">
        <f t="shared" ca="1" si="159"/>
        <v>#N/A</v>
      </c>
      <c r="AL512" s="55" t="e">
        <f t="shared" ca="1" si="160"/>
        <v>#N/A</v>
      </c>
      <c r="AM512" s="55"/>
    </row>
    <row r="513" spans="18:39">
      <c r="R513" s="55" t="e">
        <f ca="1"/>
        <v>#N/A</v>
      </c>
      <c r="S513" s="55" t="e">
        <f t="shared" ca="1" si="142"/>
        <v>#N/A</v>
      </c>
      <c r="T513" s="55" t="e">
        <f t="shared" ca="1" si="143"/>
        <v>#N/A</v>
      </c>
      <c r="U513" s="55" t="e">
        <f t="shared" ca="1" si="144"/>
        <v>#N/A</v>
      </c>
      <c r="V513" s="55" t="e">
        <f t="shared" ca="1" si="145"/>
        <v>#N/A</v>
      </c>
      <c r="W513" s="55" t="e">
        <f t="shared" ca="1" si="155"/>
        <v>#N/A</v>
      </c>
      <c r="X513" s="55" t="e">
        <f t="shared" ca="1" si="156"/>
        <v>#N/A</v>
      </c>
      <c r="Y513" s="55" t="e">
        <f t="shared" ca="1" si="157"/>
        <v>#N/A</v>
      </c>
      <c r="Z513" s="55" t="e">
        <f t="shared" ca="1" si="153"/>
        <v>#N/A</v>
      </c>
      <c r="AA513" t="e">
        <f t="shared" ca="1" si="154"/>
        <v>#N/A</v>
      </c>
      <c r="AB513" t="e">
        <f t="shared" ca="1" si="146"/>
        <v>#N/A</v>
      </c>
      <c r="AC513" t="e">
        <f t="shared" ca="1" si="147"/>
        <v>#N/A</v>
      </c>
      <c r="AD513" t="e">
        <f t="shared" ca="1" si="148"/>
        <v>#N/A</v>
      </c>
      <c r="AE513" s="83" t="e">
        <f ca="1"/>
        <v>#N/A</v>
      </c>
      <c r="AF513" s="55" t="e">
        <f t="shared" ca="1" si="149"/>
        <v>#N/A</v>
      </c>
      <c r="AG513" s="55" t="e">
        <f t="shared" ca="1" si="150"/>
        <v>#N/A</v>
      </c>
      <c r="AH513" s="55" t="e">
        <f t="shared" ca="1" si="151"/>
        <v>#N/A</v>
      </c>
      <c r="AI513" s="55" t="e">
        <f t="shared" ca="1" si="152"/>
        <v>#N/A</v>
      </c>
      <c r="AJ513" s="55" t="e">
        <f t="shared" ca="1" si="158"/>
        <v>#N/A</v>
      </c>
      <c r="AK513" s="55" t="e">
        <f t="shared" ca="1" si="159"/>
        <v>#N/A</v>
      </c>
      <c r="AL513" s="55" t="e">
        <f t="shared" ca="1" si="160"/>
        <v>#N/A</v>
      </c>
      <c r="AM513" s="55"/>
    </row>
    <row r="514" spans="18:39">
      <c r="R514" s="55" t="e">
        <f ca="1"/>
        <v>#N/A</v>
      </c>
      <c r="S514" s="55" t="e">
        <f t="shared" ca="1" si="142"/>
        <v>#N/A</v>
      </c>
      <c r="T514" s="55" t="e">
        <f t="shared" ca="1" si="143"/>
        <v>#N/A</v>
      </c>
      <c r="U514" s="55" t="e">
        <f t="shared" ca="1" si="144"/>
        <v>#N/A</v>
      </c>
      <c r="V514" s="55" t="e">
        <f t="shared" ca="1" si="145"/>
        <v>#N/A</v>
      </c>
      <c r="W514" s="55" t="e">
        <f t="shared" ca="1" si="155"/>
        <v>#N/A</v>
      </c>
      <c r="X514" s="55" t="e">
        <f t="shared" ca="1" si="156"/>
        <v>#N/A</v>
      </c>
      <c r="Y514" s="55" t="e">
        <f t="shared" ca="1" si="157"/>
        <v>#N/A</v>
      </c>
      <c r="Z514" s="55" t="e">
        <f t="shared" ca="1" si="153"/>
        <v>#N/A</v>
      </c>
      <c r="AA514" t="e">
        <f t="shared" ca="1" si="154"/>
        <v>#N/A</v>
      </c>
      <c r="AB514" t="e">
        <f t="shared" ca="1" si="146"/>
        <v>#N/A</v>
      </c>
      <c r="AC514" t="e">
        <f t="shared" ca="1" si="147"/>
        <v>#N/A</v>
      </c>
      <c r="AD514" t="e">
        <f t="shared" ca="1" si="148"/>
        <v>#N/A</v>
      </c>
      <c r="AE514" s="83" t="e">
        <f ca="1"/>
        <v>#N/A</v>
      </c>
      <c r="AF514" s="55" t="e">
        <f t="shared" ca="1" si="149"/>
        <v>#N/A</v>
      </c>
      <c r="AG514" s="55" t="e">
        <f t="shared" ca="1" si="150"/>
        <v>#N/A</v>
      </c>
      <c r="AH514" s="55" t="e">
        <f t="shared" ca="1" si="151"/>
        <v>#N/A</v>
      </c>
      <c r="AI514" s="55" t="e">
        <f t="shared" ca="1" si="152"/>
        <v>#N/A</v>
      </c>
      <c r="AJ514" s="55" t="e">
        <f t="shared" ca="1" si="158"/>
        <v>#N/A</v>
      </c>
      <c r="AK514" s="55" t="e">
        <f t="shared" ca="1" si="159"/>
        <v>#N/A</v>
      </c>
      <c r="AL514" s="55" t="e">
        <f t="shared" ca="1" si="160"/>
        <v>#N/A</v>
      </c>
      <c r="AM514" s="55"/>
    </row>
    <row r="515" spans="18:39">
      <c r="R515" s="55" t="e">
        <f ca="1"/>
        <v>#N/A</v>
      </c>
      <c r="S515" s="55" t="e">
        <f t="shared" ca="1" si="142"/>
        <v>#N/A</v>
      </c>
      <c r="T515" s="55" t="e">
        <f t="shared" ca="1" si="143"/>
        <v>#N/A</v>
      </c>
      <c r="U515" s="55" t="e">
        <f t="shared" ca="1" si="144"/>
        <v>#N/A</v>
      </c>
      <c r="V515" s="55" t="e">
        <f t="shared" ca="1" si="145"/>
        <v>#N/A</v>
      </c>
      <c r="W515" s="55" t="e">
        <f t="shared" ca="1" si="155"/>
        <v>#N/A</v>
      </c>
      <c r="X515" s="55" t="e">
        <f t="shared" ca="1" si="156"/>
        <v>#N/A</v>
      </c>
      <c r="Y515" s="55" t="e">
        <f t="shared" ca="1" si="157"/>
        <v>#N/A</v>
      </c>
      <c r="Z515" s="55" t="e">
        <f t="shared" ca="1" si="153"/>
        <v>#N/A</v>
      </c>
      <c r="AA515" t="e">
        <f t="shared" ca="1" si="154"/>
        <v>#N/A</v>
      </c>
      <c r="AB515" t="e">
        <f t="shared" ca="1" si="146"/>
        <v>#N/A</v>
      </c>
      <c r="AC515" t="e">
        <f t="shared" ca="1" si="147"/>
        <v>#N/A</v>
      </c>
      <c r="AD515" t="e">
        <f t="shared" ca="1" si="148"/>
        <v>#N/A</v>
      </c>
      <c r="AE515" s="83" t="e">
        <f ca="1"/>
        <v>#N/A</v>
      </c>
      <c r="AF515" s="55" t="e">
        <f t="shared" ca="1" si="149"/>
        <v>#N/A</v>
      </c>
      <c r="AG515" s="55" t="e">
        <f t="shared" ca="1" si="150"/>
        <v>#N/A</v>
      </c>
      <c r="AH515" s="55" t="e">
        <f t="shared" ca="1" si="151"/>
        <v>#N/A</v>
      </c>
      <c r="AI515" s="55" t="e">
        <f t="shared" ca="1" si="152"/>
        <v>#N/A</v>
      </c>
      <c r="AJ515" s="55" t="e">
        <f t="shared" ca="1" si="158"/>
        <v>#N/A</v>
      </c>
      <c r="AK515" s="55" t="e">
        <f t="shared" ca="1" si="159"/>
        <v>#N/A</v>
      </c>
      <c r="AL515" s="55" t="e">
        <f t="shared" ca="1" si="160"/>
        <v>#N/A</v>
      </c>
      <c r="AM515" s="55"/>
    </row>
    <row r="516" spans="18:39">
      <c r="R516" s="55" t="e">
        <f ca="1"/>
        <v>#N/A</v>
      </c>
      <c r="S516" s="55" t="e">
        <f t="shared" ca="1" si="142"/>
        <v>#N/A</v>
      </c>
      <c r="T516" s="55" t="e">
        <f t="shared" ca="1" si="143"/>
        <v>#N/A</v>
      </c>
      <c r="U516" s="55" t="e">
        <f t="shared" ca="1" si="144"/>
        <v>#N/A</v>
      </c>
      <c r="V516" s="55" t="e">
        <f t="shared" ca="1" si="145"/>
        <v>#N/A</v>
      </c>
      <c r="W516" s="55" t="e">
        <f t="shared" ca="1" si="155"/>
        <v>#N/A</v>
      </c>
      <c r="X516" s="55" t="e">
        <f t="shared" ca="1" si="156"/>
        <v>#N/A</v>
      </c>
      <c r="Y516" s="55" t="e">
        <f t="shared" ca="1" si="157"/>
        <v>#N/A</v>
      </c>
      <c r="Z516" s="55" t="e">
        <f t="shared" ca="1" si="153"/>
        <v>#N/A</v>
      </c>
      <c r="AA516" t="e">
        <f t="shared" ca="1" si="154"/>
        <v>#N/A</v>
      </c>
      <c r="AB516" t="e">
        <f t="shared" ca="1" si="146"/>
        <v>#N/A</v>
      </c>
      <c r="AC516" t="e">
        <f t="shared" ca="1" si="147"/>
        <v>#N/A</v>
      </c>
      <c r="AD516" t="e">
        <f t="shared" ca="1" si="148"/>
        <v>#N/A</v>
      </c>
      <c r="AE516" s="83" t="e">
        <f ca="1"/>
        <v>#N/A</v>
      </c>
      <c r="AF516" s="55" t="e">
        <f t="shared" ca="1" si="149"/>
        <v>#N/A</v>
      </c>
      <c r="AG516" s="55" t="e">
        <f t="shared" ca="1" si="150"/>
        <v>#N/A</v>
      </c>
      <c r="AH516" s="55" t="e">
        <f t="shared" ca="1" si="151"/>
        <v>#N/A</v>
      </c>
      <c r="AI516" s="55" t="e">
        <f t="shared" ca="1" si="152"/>
        <v>#N/A</v>
      </c>
      <c r="AJ516" s="55" t="e">
        <f t="shared" ca="1" si="158"/>
        <v>#N/A</v>
      </c>
      <c r="AK516" s="55" t="e">
        <f t="shared" ca="1" si="159"/>
        <v>#N/A</v>
      </c>
      <c r="AL516" s="55" t="e">
        <f t="shared" ca="1" si="160"/>
        <v>#N/A</v>
      </c>
      <c r="AM516" s="55"/>
    </row>
    <row r="517" spans="18:39">
      <c r="R517" s="55" t="e">
        <f ca="1"/>
        <v>#N/A</v>
      </c>
      <c r="S517" s="55" t="e">
        <f t="shared" ca="1" si="142"/>
        <v>#N/A</v>
      </c>
      <c r="T517" s="55" t="e">
        <f t="shared" ca="1" si="143"/>
        <v>#N/A</v>
      </c>
      <c r="U517" s="55" t="e">
        <f t="shared" ca="1" si="144"/>
        <v>#N/A</v>
      </c>
      <c r="V517" s="55" t="e">
        <f t="shared" ca="1" si="145"/>
        <v>#N/A</v>
      </c>
      <c r="W517" s="55" t="e">
        <f t="shared" ca="1" si="155"/>
        <v>#N/A</v>
      </c>
      <c r="X517" s="55" t="e">
        <f t="shared" ca="1" si="156"/>
        <v>#N/A</v>
      </c>
      <c r="Y517" s="55" t="e">
        <f t="shared" ca="1" si="157"/>
        <v>#N/A</v>
      </c>
      <c r="Z517" s="55" t="e">
        <f t="shared" ca="1" si="153"/>
        <v>#N/A</v>
      </c>
      <c r="AA517" t="e">
        <f t="shared" ca="1" si="154"/>
        <v>#N/A</v>
      </c>
      <c r="AB517" t="e">
        <f t="shared" ca="1" si="146"/>
        <v>#N/A</v>
      </c>
      <c r="AC517" t="e">
        <f t="shared" ca="1" si="147"/>
        <v>#N/A</v>
      </c>
      <c r="AD517" t="e">
        <f t="shared" ca="1" si="148"/>
        <v>#N/A</v>
      </c>
      <c r="AE517" s="83" t="e">
        <f ca="1"/>
        <v>#N/A</v>
      </c>
      <c r="AF517" s="55" t="e">
        <f t="shared" ca="1" si="149"/>
        <v>#N/A</v>
      </c>
      <c r="AG517" s="55" t="e">
        <f t="shared" ca="1" si="150"/>
        <v>#N/A</v>
      </c>
      <c r="AH517" s="55" t="e">
        <f t="shared" ca="1" si="151"/>
        <v>#N/A</v>
      </c>
      <c r="AI517" s="55" t="e">
        <f t="shared" ca="1" si="152"/>
        <v>#N/A</v>
      </c>
      <c r="AJ517" s="55" t="e">
        <f t="shared" ca="1" si="158"/>
        <v>#N/A</v>
      </c>
      <c r="AK517" s="55" t="e">
        <f t="shared" ca="1" si="159"/>
        <v>#N/A</v>
      </c>
      <c r="AL517" s="55" t="e">
        <f t="shared" ca="1" si="160"/>
        <v>#N/A</v>
      </c>
      <c r="AM517" s="55"/>
    </row>
    <row r="518" spans="18:39">
      <c r="R518" s="55" t="e">
        <f ca="1"/>
        <v>#N/A</v>
      </c>
      <c r="S518" s="55" t="e">
        <f t="shared" ca="1" si="142"/>
        <v>#N/A</v>
      </c>
      <c r="T518" s="55" t="e">
        <f t="shared" ca="1" si="143"/>
        <v>#N/A</v>
      </c>
      <c r="U518" s="55" t="e">
        <f t="shared" ca="1" si="144"/>
        <v>#N/A</v>
      </c>
      <c r="V518" s="55" t="e">
        <f t="shared" ca="1" si="145"/>
        <v>#N/A</v>
      </c>
      <c r="W518" s="55" t="e">
        <f t="shared" ca="1" si="155"/>
        <v>#N/A</v>
      </c>
      <c r="X518" s="55" t="e">
        <f t="shared" ca="1" si="156"/>
        <v>#N/A</v>
      </c>
      <c r="Y518" s="55" t="e">
        <f t="shared" ca="1" si="157"/>
        <v>#N/A</v>
      </c>
      <c r="Z518" s="55" t="e">
        <f t="shared" ca="1" si="153"/>
        <v>#N/A</v>
      </c>
      <c r="AA518" t="e">
        <f t="shared" ca="1" si="154"/>
        <v>#N/A</v>
      </c>
      <c r="AB518" t="e">
        <f t="shared" ca="1" si="146"/>
        <v>#N/A</v>
      </c>
      <c r="AC518" t="e">
        <f t="shared" ca="1" si="147"/>
        <v>#N/A</v>
      </c>
      <c r="AD518" t="e">
        <f t="shared" ca="1" si="148"/>
        <v>#N/A</v>
      </c>
      <c r="AE518" s="83" t="e">
        <f ca="1"/>
        <v>#N/A</v>
      </c>
      <c r="AF518" s="55" t="e">
        <f t="shared" ca="1" si="149"/>
        <v>#N/A</v>
      </c>
      <c r="AG518" s="55" t="e">
        <f t="shared" ca="1" si="150"/>
        <v>#N/A</v>
      </c>
      <c r="AH518" s="55" t="e">
        <f t="shared" ca="1" si="151"/>
        <v>#N/A</v>
      </c>
      <c r="AI518" s="55" t="e">
        <f t="shared" ca="1" si="152"/>
        <v>#N/A</v>
      </c>
      <c r="AJ518" s="55" t="e">
        <f t="shared" ca="1" si="158"/>
        <v>#N/A</v>
      </c>
      <c r="AK518" s="55" t="e">
        <f t="shared" ca="1" si="159"/>
        <v>#N/A</v>
      </c>
      <c r="AL518" s="55" t="e">
        <f t="shared" ca="1" si="160"/>
        <v>#N/A</v>
      </c>
      <c r="AM518" s="55"/>
    </row>
    <row r="519" spans="18:39">
      <c r="R519" s="55" t="e">
        <f ca="1"/>
        <v>#N/A</v>
      </c>
      <c r="S519" s="55" t="e">
        <f t="shared" ca="1" si="142"/>
        <v>#N/A</v>
      </c>
      <c r="T519" s="55" t="e">
        <f t="shared" ca="1" si="143"/>
        <v>#N/A</v>
      </c>
      <c r="U519" s="55" t="e">
        <f t="shared" ca="1" si="144"/>
        <v>#N/A</v>
      </c>
      <c r="V519" s="55" t="e">
        <f t="shared" ca="1" si="145"/>
        <v>#N/A</v>
      </c>
      <c r="W519" s="55" t="e">
        <f t="shared" ca="1" si="155"/>
        <v>#N/A</v>
      </c>
      <c r="X519" s="55" t="e">
        <f t="shared" ca="1" si="156"/>
        <v>#N/A</v>
      </c>
      <c r="Y519" s="55" t="e">
        <f t="shared" ca="1" si="157"/>
        <v>#N/A</v>
      </c>
      <c r="Z519" s="55" t="e">
        <f t="shared" ca="1" si="153"/>
        <v>#N/A</v>
      </c>
      <c r="AA519" t="e">
        <f t="shared" ca="1" si="154"/>
        <v>#N/A</v>
      </c>
      <c r="AB519" t="e">
        <f t="shared" ca="1" si="146"/>
        <v>#N/A</v>
      </c>
      <c r="AC519" t="e">
        <f t="shared" ca="1" si="147"/>
        <v>#N/A</v>
      </c>
      <c r="AD519" t="e">
        <f t="shared" ca="1" si="148"/>
        <v>#N/A</v>
      </c>
      <c r="AE519" s="83" t="e">
        <f ca="1"/>
        <v>#N/A</v>
      </c>
      <c r="AF519" s="55" t="e">
        <f t="shared" ca="1" si="149"/>
        <v>#N/A</v>
      </c>
      <c r="AG519" s="55" t="e">
        <f t="shared" ca="1" si="150"/>
        <v>#N/A</v>
      </c>
      <c r="AH519" s="55" t="e">
        <f t="shared" ca="1" si="151"/>
        <v>#N/A</v>
      </c>
      <c r="AI519" s="55" t="e">
        <f t="shared" ca="1" si="152"/>
        <v>#N/A</v>
      </c>
      <c r="AJ519" s="55" t="e">
        <f t="shared" ca="1" si="158"/>
        <v>#N/A</v>
      </c>
      <c r="AK519" s="55" t="e">
        <f t="shared" ca="1" si="159"/>
        <v>#N/A</v>
      </c>
      <c r="AL519" s="55" t="e">
        <f t="shared" ca="1" si="160"/>
        <v>#N/A</v>
      </c>
      <c r="AM519" s="55"/>
    </row>
    <row r="520" spans="18:39">
      <c r="R520" s="55" t="e">
        <f ca="1"/>
        <v>#N/A</v>
      </c>
      <c r="S520" s="55" t="e">
        <f t="shared" ca="1" si="142"/>
        <v>#N/A</v>
      </c>
      <c r="T520" s="55" t="e">
        <f t="shared" ca="1" si="143"/>
        <v>#N/A</v>
      </c>
      <c r="U520" s="55" t="e">
        <f t="shared" ca="1" si="144"/>
        <v>#N/A</v>
      </c>
      <c r="V520" s="55" t="e">
        <f t="shared" ca="1" si="145"/>
        <v>#N/A</v>
      </c>
      <c r="W520" s="55" t="e">
        <f t="shared" ca="1" si="155"/>
        <v>#N/A</v>
      </c>
      <c r="X520" s="55" t="e">
        <f t="shared" ca="1" si="156"/>
        <v>#N/A</v>
      </c>
      <c r="Y520" s="55" t="e">
        <f t="shared" ca="1" si="157"/>
        <v>#N/A</v>
      </c>
      <c r="Z520" s="55" t="e">
        <f t="shared" ca="1" si="153"/>
        <v>#N/A</v>
      </c>
      <c r="AA520" t="e">
        <f t="shared" ca="1" si="154"/>
        <v>#N/A</v>
      </c>
      <c r="AB520" t="e">
        <f t="shared" ca="1" si="146"/>
        <v>#N/A</v>
      </c>
      <c r="AC520" t="e">
        <f t="shared" ca="1" si="147"/>
        <v>#N/A</v>
      </c>
      <c r="AD520" t="e">
        <f t="shared" ca="1" si="148"/>
        <v>#N/A</v>
      </c>
      <c r="AE520" s="83" t="e">
        <f ca="1"/>
        <v>#N/A</v>
      </c>
      <c r="AF520" s="55" t="e">
        <f t="shared" ca="1" si="149"/>
        <v>#N/A</v>
      </c>
      <c r="AG520" s="55" t="e">
        <f t="shared" ca="1" si="150"/>
        <v>#N/A</v>
      </c>
      <c r="AH520" s="55" t="e">
        <f t="shared" ca="1" si="151"/>
        <v>#N/A</v>
      </c>
      <c r="AI520" s="55" t="e">
        <f t="shared" ca="1" si="152"/>
        <v>#N/A</v>
      </c>
      <c r="AJ520" s="55" t="e">
        <f t="shared" ca="1" si="158"/>
        <v>#N/A</v>
      </c>
      <c r="AK520" s="55" t="e">
        <f t="shared" ca="1" si="159"/>
        <v>#N/A</v>
      </c>
      <c r="AL520" s="55" t="e">
        <f t="shared" ca="1" si="160"/>
        <v>#N/A</v>
      </c>
      <c r="AM520" s="55"/>
    </row>
    <row r="521" spans="18:39">
      <c r="R521" s="55" t="e">
        <f ca="1"/>
        <v>#N/A</v>
      </c>
      <c r="S521" s="55" t="e">
        <f t="shared" ca="1" si="142"/>
        <v>#N/A</v>
      </c>
      <c r="T521" s="55" t="e">
        <f t="shared" ca="1" si="143"/>
        <v>#N/A</v>
      </c>
      <c r="U521" s="55" t="e">
        <f t="shared" ca="1" si="144"/>
        <v>#N/A</v>
      </c>
      <c r="V521" s="55" t="e">
        <f t="shared" ca="1" si="145"/>
        <v>#N/A</v>
      </c>
      <c r="W521" s="55" t="e">
        <f t="shared" ca="1" si="155"/>
        <v>#N/A</v>
      </c>
      <c r="X521" s="55" t="e">
        <f t="shared" ca="1" si="156"/>
        <v>#N/A</v>
      </c>
      <c r="Y521" s="55" t="e">
        <f t="shared" ca="1" si="157"/>
        <v>#N/A</v>
      </c>
      <c r="Z521" s="55" t="e">
        <f t="shared" ca="1" si="153"/>
        <v>#N/A</v>
      </c>
      <c r="AA521" t="e">
        <f t="shared" ca="1" si="154"/>
        <v>#N/A</v>
      </c>
      <c r="AB521" t="e">
        <f t="shared" ca="1" si="146"/>
        <v>#N/A</v>
      </c>
      <c r="AC521" t="e">
        <f t="shared" ca="1" si="147"/>
        <v>#N/A</v>
      </c>
      <c r="AD521" t="e">
        <f t="shared" ca="1" si="148"/>
        <v>#N/A</v>
      </c>
      <c r="AE521" s="83" t="e">
        <f ca="1"/>
        <v>#N/A</v>
      </c>
      <c r="AF521" s="55" t="e">
        <f t="shared" ca="1" si="149"/>
        <v>#N/A</v>
      </c>
      <c r="AG521" s="55" t="e">
        <f t="shared" ca="1" si="150"/>
        <v>#N/A</v>
      </c>
      <c r="AH521" s="55" t="e">
        <f t="shared" ca="1" si="151"/>
        <v>#N/A</v>
      </c>
      <c r="AI521" s="55" t="e">
        <f t="shared" ca="1" si="152"/>
        <v>#N/A</v>
      </c>
      <c r="AJ521" s="55" t="e">
        <f t="shared" ca="1" si="158"/>
        <v>#N/A</v>
      </c>
      <c r="AK521" s="55" t="e">
        <f t="shared" ca="1" si="159"/>
        <v>#N/A</v>
      </c>
      <c r="AL521" s="55" t="e">
        <f t="shared" ca="1" si="160"/>
        <v>#N/A</v>
      </c>
      <c r="AM521" s="55"/>
    </row>
    <row r="522" spans="18:39">
      <c r="R522" s="55" t="e">
        <f ca="1"/>
        <v>#N/A</v>
      </c>
      <c r="S522" s="55" t="e">
        <f t="shared" ca="1" si="142"/>
        <v>#N/A</v>
      </c>
      <c r="T522" s="55" t="e">
        <f t="shared" ca="1" si="143"/>
        <v>#N/A</v>
      </c>
      <c r="U522" s="55" t="e">
        <f t="shared" ca="1" si="144"/>
        <v>#N/A</v>
      </c>
      <c r="V522" s="55" t="e">
        <f t="shared" ca="1" si="145"/>
        <v>#N/A</v>
      </c>
      <c r="W522" s="55" t="e">
        <f t="shared" ca="1" si="155"/>
        <v>#N/A</v>
      </c>
      <c r="X522" s="55" t="e">
        <f t="shared" ca="1" si="156"/>
        <v>#N/A</v>
      </c>
      <c r="Y522" s="55" t="e">
        <f t="shared" ca="1" si="157"/>
        <v>#N/A</v>
      </c>
      <c r="Z522" s="55" t="e">
        <f t="shared" ca="1" si="153"/>
        <v>#N/A</v>
      </c>
      <c r="AA522" t="e">
        <f t="shared" ca="1" si="154"/>
        <v>#N/A</v>
      </c>
      <c r="AB522" t="e">
        <f t="shared" ca="1" si="146"/>
        <v>#N/A</v>
      </c>
      <c r="AC522" t="e">
        <f t="shared" ca="1" si="147"/>
        <v>#N/A</v>
      </c>
      <c r="AD522" t="e">
        <f t="shared" ca="1" si="148"/>
        <v>#N/A</v>
      </c>
      <c r="AE522" s="83" t="e">
        <f ca="1"/>
        <v>#N/A</v>
      </c>
      <c r="AF522" s="55" t="e">
        <f t="shared" ca="1" si="149"/>
        <v>#N/A</v>
      </c>
      <c r="AG522" s="55" t="e">
        <f t="shared" ca="1" si="150"/>
        <v>#N/A</v>
      </c>
      <c r="AH522" s="55" t="e">
        <f t="shared" ca="1" si="151"/>
        <v>#N/A</v>
      </c>
      <c r="AI522" s="55" t="e">
        <f t="shared" ca="1" si="152"/>
        <v>#N/A</v>
      </c>
      <c r="AJ522" s="55" t="e">
        <f t="shared" ca="1" si="158"/>
        <v>#N/A</v>
      </c>
      <c r="AK522" s="55" t="e">
        <f t="shared" ca="1" si="159"/>
        <v>#N/A</v>
      </c>
      <c r="AL522" s="55" t="e">
        <f t="shared" ca="1" si="160"/>
        <v>#N/A</v>
      </c>
      <c r="AM522" s="55"/>
    </row>
    <row r="523" spans="18:39">
      <c r="R523" s="55" t="e">
        <f ca="1"/>
        <v>#N/A</v>
      </c>
      <c r="S523" s="55" t="e">
        <f t="shared" ca="1" si="142"/>
        <v>#N/A</v>
      </c>
      <c r="T523" s="55" t="e">
        <f t="shared" ca="1" si="143"/>
        <v>#N/A</v>
      </c>
      <c r="U523" s="55" t="e">
        <f t="shared" ca="1" si="144"/>
        <v>#N/A</v>
      </c>
      <c r="V523" s="55" t="e">
        <f t="shared" ca="1" si="145"/>
        <v>#N/A</v>
      </c>
      <c r="W523" s="55" t="e">
        <f t="shared" ca="1" si="155"/>
        <v>#N/A</v>
      </c>
      <c r="X523" s="55" t="e">
        <f t="shared" ca="1" si="156"/>
        <v>#N/A</v>
      </c>
      <c r="Y523" s="55" t="e">
        <f t="shared" ca="1" si="157"/>
        <v>#N/A</v>
      </c>
      <c r="Z523" s="55" t="e">
        <f t="shared" ca="1" si="153"/>
        <v>#N/A</v>
      </c>
      <c r="AA523" t="e">
        <f t="shared" ca="1" si="154"/>
        <v>#N/A</v>
      </c>
      <c r="AB523" t="e">
        <f t="shared" ca="1" si="146"/>
        <v>#N/A</v>
      </c>
      <c r="AC523" t="e">
        <f t="shared" ca="1" si="147"/>
        <v>#N/A</v>
      </c>
      <c r="AD523" t="e">
        <f t="shared" ca="1" si="148"/>
        <v>#N/A</v>
      </c>
      <c r="AE523" s="83" t="e">
        <f ca="1"/>
        <v>#N/A</v>
      </c>
      <c r="AF523" s="55" t="e">
        <f t="shared" ca="1" si="149"/>
        <v>#N/A</v>
      </c>
      <c r="AG523" s="55" t="e">
        <f t="shared" ca="1" si="150"/>
        <v>#N/A</v>
      </c>
      <c r="AH523" s="55" t="e">
        <f t="shared" ca="1" si="151"/>
        <v>#N/A</v>
      </c>
      <c r="AI523" s="55" t="e">
        <f t="shared" ca="1" si="152"/>
        <v>#N/A</v>
      </c>
      <c r="AJ523" s="55" t="e">
        <f t="shared" ca="1" si="158"/>
        <v>#N/A</v>
      </c>
      <c r="AK523" s="55" t="e">
        <f t="shared" ca="1" si="159"/>
        <v>#N/A</v>
      </c>
      <c r="AL523" s="55" t="e">
        <f t="shared" ca="1" si="160"/>
        <v>#N/A</v>
      </c>
      <c r="AM523" s="55"/>
    </row>
    <row r="524" spans="18:39">
      <c r="R524" s="55" t="e">
        <f ca="1"/>
        <v>#N/A</v>
      </c>
      <c r="S524" s="55" t="e">
        <f t="shared" ref="S524:S587" ca="1" si="161">IF(R524&gt;1,R524,"")</f>
        <v>#N/A</v>
      </c>
      <c r="T524" s="55" t="e">
        <f t="shared" ref="T524:T587" ca="1" si="162">VLOOKUP(S524,ModelOutputs,2,FALSE)</f>
        <v>#N/A</v>
      </c>
      <c r="U524" s="55" t="e">
        <f t="shared" ref="U524:U587" ca="1" si="163">VLOOKUP(S524,ModelOutputs,7,FALSE)</f>
        <v>#N/A</v>
      </c>
      <c r="V524" s="55" t="e">
        <f t="shared" ref="V524:V587" ca="1" si="164">VLOOKUP(S524,ModelOutputs,6,FALSE)</f>
        <v>#N/A</v>
      </c>
      <c r="W524" s="55" t="e">
        <f t="shared" ca="1" si="155"/>
        <v>#N/A</v>
      </c>
      <c r="X524" s="55" t="e">
        <f t="shared" ca="1" si="156"/>
        <v>#N/A</v>
      </c>
      <c r="Y524" s="55" t="e">
        <f t="shared" ca="1" si="157"/>
        <v>#N/A</v>
      </c>
      <c r="Z524" s="55" t="e">
        <f t="shared" ca="1" si="153"/>
        <v>#N/A</v>
      </c>
      <c r="AA524" t="e">
        <f t="shared" ca="1" si="154"/>
        <v>#N/A</v>
      </c>
      <c r="AB524" t="e">
        <f t="shared" ref="AB524:AB587" ca="1" si="165">VLOOKUP(S524,ModelOutputs,11,FALSE)+AB523</f>
        <v>#N/A</v>
      </c>
      <c r="AC524" t="e">
        <f t="shared" ref="AC524:AC587" ca="1" si="166">VLOOKUP(S524,ModelOutputs,12,FALSE)</f>
        <v>#N/A</v>
      </c>
      <c r="AD524" t="e">
        <f t="shared" ref="AD524:AD587" ca="1" si="167">VLOOKUP(S524,ModelOutputs,13,FALSE)</f>
        <v>#N/A</v>
      </c>
      <c r="AE524" s="83" t="e">
        <f ca="1"/>
        <v>#N/A</v>
      </c>
      <c r="AF524" s="55" t="e">
        <f t="shared" ref="AF524:AF587" ca="1" si="168">IF(AE524&gt;1,AE524,"")</f>
        <v>#N/A</v>
      </c>
      <c r="AG524" s="55" t="e">
        <f t="shared" ref="AG524:AG587" ca="1" si="169">VLOOKUP(AF524,ModelOutputs,2,FALSE)</f>
        <v>#N/A</v>
      </c>
      <c r="AH524" s="55" t="e">
        <f t="shared" ref="AH524:AH587" ca="1" si="170">VLOOKUP(AF524,ModelOutputs,7,FALSE)</f>
        <v>#N/A</v>
      </c>
      <c r="AI524" s="55" t="e">
        <f t="shared" ref="AI524:AI587" ca="1" si="171">VLOOKUP(AF524,ModelOutputs,6,FALSE)</f>
        <v>#N/A</v>
      </c>
      <c r="AJ524" s="55" t="e">
        <f t="shared" ca="1" si="158"/>
        <v>#N/A</v>
      </c>
      <c r="AK524" s="55" t="e">
        <f t="shared" ca="1" si="159"/>
        <v>#N/A</v>
      </c>
      <c r="AL524" s="55" t="e">
        <f t="shared" ca="1" si="160"/>
        <v>#N/A</v>
      </c>
      <c r="AM524" s="55"/>
    </row>
    <row r="525" spans="18:39">
      <c r="R525" s="55" t="e">
        <f ca="1"/>
        <v>#N/A</v>
      </c>
      <c r="S525" s="55" t="e">
        <f t="shared" ca="1" si="161"/>
        <v>#N/A</v>
      </c>
      <c r="T525" s="55" t="e">
        <f t="shared" ca="1" si="162"/>
        <v>#N/A</v>
      </c>
      <c r="U525" s="55" t="e">
        <f t="shared" ca="1" si="163"/>
        <v>#N/A</v>
      </c>
      <c r="V525" s="55" t="e">
        <f t="shared" ca="1" si="164"/>
        <v>#N/A</v>
      </c>
      <c r="W525" s="55" t="e">
        <f t="shared" ca="1" si="155"/>
        <v>#N/A</v>
      </c>
      <c r="X525" s="55" t="e">
        <f t="shared" ca="1" si="156"/>
        <v>#N/A</v>
      </c>
      <c r="Y525" s="55" t="e">
        <f t="shared" ca="1" si="157"/>
        <v>#N/A</v>
      </c>
      <c r="Z525" s="55" t="e">
        <f t="shared" ca="1" si="153"/>
        <v>#N/A</v>
      </c>
      <c r="AA525" t="e">
        <f t="shared" ca="1" si="154"/>
        <v>#N/A</v>
      </c>
      <c r="AB525" t="e">
        <f t="shared" ca="1" si="165"/>
        <v>#N/A</v>
      </c>
      <c r="AC525" t="e">
        <f t="shared" ca="1" si="166"/>
        <v>#N/A</v>
      </c>
      <c r="AD525" t="e">
        <f t="shared" ca="1" si="167"/>
        <v>#N/A</v>
      </c>
      <c r="AE525" s="83" t="e">
        <f ca="1"/>
        <v>#N/A</v>
      </c>
      <c r="AF525" s="55" t="e">
        <f t="shared" ca="1" si="168"/>
        <v>#N/A</v>
      </c>
      <c r="AG525" s="55" t="e">
        <f t="shared" ca="1" si="169"/>
        <v>#N/A</v>
      </c>
      <c r="AH525" s="55" t="e">
        <f t="shared" ca="1" si="170"/>
        <v>#N/A</v>
      </c>
      <c r="AI525" s="55" t="e">
        <f t="shared" ca="1" si="171"/>
        <v>#N/A</v>
      </c>
      <c r="AJ525" s="55" t="e">
        <f t="shared" ca="1" si="158"/>
        <v>#N/A</v>
      </c>
      <c r="AK525" s="55" t="e">
        <f t="shared" ca="1" si="159"/>
        <v>#N/A</v>
      </c>
      <c r="AL525" s="55" t="e">
        <f t="shared" ca="1" si="160"/>
        <v>#N/A</v>
      </c>
      <c r="AM525" s="55"/>
    </row>
    <row r="526" spans="18:39">
      <c r="R526" s="55" t="e">
        <f ca="1"/>
        <v>#N/A</v>
      </c>
      <c r="S526" s="55" t="e">
        <f t="shared" ca="1" si="161"/>
        <v>#N/A</v>
      </c>
      <c r="T526" s="55" t="e">
        <f t="shared" ca="1" si="162"/>
        <v>#N/A</v>
      </c>
      <c r="U526" s="55" t="e">
        <f t="shared" ca="1" si="163"/>
        <v>#N/A</v>
      </c>
      <c r="V526" s="55" t="e">
        <f t="shared" ca="1" si="164"/>
        <v>#N/A</v>
      </c>
      <c r="W526" s="55" t="e">
        <f t="shared" ca="1" si="155"/>
        <v>#N/A</v>
      </c>
      <c r="X526" s="55" t="e">
        <f t="shared" ca="1" si="156"/>
        <v>#N/A</v>
      </c>
      <c r="Y526" s="55" t="e">
        <f t="shared" ca="1" si="157"/>
        <v>#N/A</v>
      </c>
      <c r="Z526" s="55" t="e">
        <f t="shared" ca="1" si="153"/>
        <v>#N/A</v>
      </c>
      <c r="AA526" t="e">
        <f t="shared" ca="1" si="154"/>
        <v>#N/A</v>
      </c>
      <c r="AB526" t="e">
        <f t="shared" ca="1" si="165"/>
        <v>#N/A</v>
      </c>
      <c r="AC526" t="e">
        <f t="shared" ca="1" si="166"/>
        <v>#N/A</v>
      </c>
      <c r="AD526" t="e">
        <f t="shared" ca="1" si="167"/>
        <v>#N/A</v>
      </c>
      <c r="AE526" s="83" t="e">
        <f ca="1"/>
        <v>#N/A</v>
      </c>
      <c r="AF526" s="55" t="e">
        <f t="shared" ca="1" si="168"/>
        <v>#N/A</v>
      </c>
      <c r="AG526" s="55" t="e">
        <f t="shared" ca="1" si="169"/>
        <v>#N/A</v>
      </c>
      <c r="AH526" s="55" t="e">
        <f t="shared" ca="1" si="170"/>
        <v>#N/A</v>
      </c>
      <c r="AI526" s="55" t="e">
        <f t="shared" ca="1" si="171"/>
        <v>#N/A</v>
      </c>
      <c r="AJ526" s="55" t="e">
        <f t="shared" ca="1" si="158"/>
        <v>#N/A</v>
      </c>
      <c r="AK526" s="55" t="e">
        <f t="shared" ca="1" si="159"/>
        <v>#N/A</v>
      </c>
      <c r="AL526" s="55" t="e">
        <f t="shared" ca="1" si="160"/>
        <v>#N/A</v>
      </c>
      <c r="AM526" s="55"/>
    </row>
    <row r="527" spans="18:39">
      <c r="R527" s="55" t="e">
        <f ca="1"/>
        <v>#N/A</v>
      </c>
      <c r="S527" s="55" t="e">
        <f t="shared" ca="1" si="161"/>
        <v>#N/A</v>
      </c>
      <c r="T527" s="55" t="e">
        <f t="shared" ca="1" si="162"/>
        <v>#N/A</v>
      </c>
      <c r="U527" s="55" t="e">
        <f t="shared" ca="1" si="163"/>
        <v>#N/A</v>
      </c>
      <c r="V527" s="55" t="e">
        <f t="shared" ca="1" si="164"/>
        <v>#N/A</v>
      </c>
      <c r="W527" s="55" t="e">
        <f t="shared" ca="1" si="155"/>
        <v>#N/A</v>
      </c>
      <c r="X527" s="55" t="e">
        <f t="shared" ca="1" si="156"/>
        <v>#N/A</v>
      </c>
      <c r="Y527" s="55" t="e">
        <f t="shared" ca="1" si="157"/>
        <v>#N/A</v>
      </c>
      <c r="Z527" s="55" t="e">
        <f t="shared" ca="1" si="153"/>
        <v>#N/A</v>
      </c>
      <c r="AA527" t="e">
        <f t="shared" ca="1" si="154"/>
        <v>#N/A</v>
      </c>
      <c r="AB527" t="e">
        <f t="shared" ca="1" si="165"/>
        <v>#N/A</v>
      </c>
      <c r="AC527" t="e">
        <f t="shared" ca="1" si="166"/>
        <v>#N/A</v>
      </c>
      <c r="AD527" t="e">
        <f t="shared" ca="1" si="167"/>
        <v>#N/A</v>
      </c>
      <c r="AE527" s="83" t="e">
        <f ca="1"/>
        <v>#N/A</v>
      </c>
      <c r="AF527" s="55" t="e">
        <f t="shared" ca="1" si="168"/>
        <v>#N/A</v>
      </c>
      <c r="AG527" s="55" t="e">
        <f t="shared" ca="1" si="169"/>
        <v>#N/A</v>
      </c>
      <c r="AH527" s="55" t="e">
        <f t="shared" ca="1" si="170"/>
        <v>#N/A</v>
      </c>
      <c r="AI527" s="55" t="e">
        <f t="shared" ca="1" si="171"/>
        <v>#N/A</v>
      </c>
      <c r="AJ527" s="55" t="e">
        <f t="shared" ca="1" si="158"/>
        <v>#N/A</v>
      </c>
      <c r="AK527" s="55" t="e">
        <f t="shared" ca="1" si="159"/>
        <v>#N/A</v>
      </c>
      <c r="AL527" s="55" t="e">
        <f t="shared" ca="1" si="160"/>
        <v>#N/A</v>
      </c>
      <c r="AM527" s="55"/>
    </row>
    <row r="528" spans="18:39">
      <c r="R528" s="55" t="e">
        <f ca="1"/>
        <v>#N/A</v>
      </c>
      <c r="S528" s="55" t="e">
        <f t="shared" ca="1" si="161"/>
        <v>#N/A</v>
      </c>
      <c r="T528" s="55" t="e">
        <f t="shared" ca="1" si="162"/>
        <v>#N/A</v>
      </c>
      <c r="U528" s="55" t="e">
        <f t="shared" ca="1" si="163"/>
        <v>#N/A</v>
      </c>
      <c r="V528" s="55" t="e">
        <f t="shared" ca="1" si="164"/>
        <v>#N/A</v>
      </c>
      <c r="W528" s="55" t="e">
        <f t="shared" ca="1" si="155"/>
        <v>#N/A</v>
      </c>
      <c r="X528" s="55" t="e">
        <f t="shared" ca="1" si="156"/>
        <v>#N/A</v>
      </c>
      <c r="Y528" s="55" t="e">
        <f t="shared" ca="1" si="157"/>
        <v>#N/A</v>
      </c>
      <c r="Z528" s="55" t="e">
        <f t="shared" ca="1" si="153"/>
        <v>#N/A</v>
      </c>
      <c r="AA528" t="e">
        <f t="shared" ca="1" si="154"/>
        <v>#N/A</v>
      </c>
      <c r="AB528" t="e">
        <f t="shared" ca="1" si="165"/>
        <v>#N/A</v>
      </c>
      <c r="AC528" t="e">
        <f t="shared" ca="1" si="166"/>
        <v>#N/A</v>
      </c>
      <c r="AD528" t="e">
        <f t="shared" ca="1" si="167"/>
        <v>#N/A</v>
      </c>
      <c r="AE528" s="83" t="e">
        <f ca="1"/>
        <v>#N/A</v>
      </c>
      <c r="AF528" s="55" t="e">
        <f t="shared" ca="1" si="168"/>
        <v>#N/A</v>
      </c>
      <c r="AG528" s="55" t="e">
        <f t="shared" ca="1" si="169"/>
        <v>#N/A</v>
      </c>
      <c r="AH528" s="55" t="e">
        <f t="shared" ca="1" si="170"/>
        <v>#N/A</v>
      </c>
      <c r="AI528" s="55" t="e">
        <f t="shared" ca="1" si="171"/>
        <v>#N/A</v>
      </c>
      <c r="AJ528" s="55" t="e">
        <f t="shared" ca="1" si="158"/>
        <v>#N/A</v>
      </c>
      <c r="AK528" s="55" t="e">
        <f t="shared" ca="1" si="159"/>
        <v>#N/A</v>
      </c>
      <c r="AL528" s="55" t="e">
        <f t="shared" ca="1" si="160"/>
        <v>#N/A</v>
      </c>
      <c r="AM528" s="55"/>
    </row>
    <row r="529" spans="18:39">
      <c r="R529" s="55" t="e">
        <f ca="1"/>
        <v>#N/A</v>
      </c>
      <c r="S529" s="55" t="e">
        <f t="shared" ca="1" si="161"/>
        <v>#N/A</v>
      </c>
      <c r="T529" s="55" t="e">
        <f t="shared" ca="1" si="162"/>
        <v>#N/A</v>
      </c>
      <c r="U529" s="55" t="e">
        <f t="shared" ca="1" si="163"/>
        <v>#N/A</v>
      </c>
      <c r="V529" s="55" t="e">
        <f t="shared" ca="1" si="164"/>
        <v>#N/A</v>
      </c>
      <c r="W529" s="55" t="e">
        <f t="shared" ca="1" si="155"/>
        <v>#N/A</v>
      </c>
      <c r="X529" s="55" t="e">
        <f t="shared" ca="1" si="156"/>
        <v>#N/A</v>
      </c>
      <c r="Y529" s="55" t="e">
        <f t="shared" ca="1" si="157"/>
        <v>#N/A</v>
      </c>
      <c r="Z529" s="55" t="e">
        <f t="shared" ca="1" si="153"/>
        <v>#N/A</v>
      </c>
      <c r="AA529" t="e">
        <f t="shared" ca="1" si="154"/>
        <v>#N/A</v>
      </c>
      <c r="AB529" t="e">
        <f t="shared" ca="1" si="165"/>
        <v>#N/A</v>
      </c>
      <c r="AC529" t="e">
        <f t="shared" ca="1" si="166"/>
        <v>#N/A</v>
      </c>
      <c r="AD529" t="e">
        <f t="shared" ca="1" si="167"/>
        <v>#N/A</v>
      </c>
      <c r="AE529" s="83" t="e">
        <f ca="1"/>
        <v>#N/A</v>
      </c>
      <c r="AF529" s="55" t="e">
        <f t="shared" ca="1" si="168"/>
        <v>#N/A</v>
      </c>
      <c r="AG529" s="55" t="e">
        <f t="shared" ca="1" si="169"/>
        <v>#N/A</v>
      </c>
      <c r="AH529" s="55" t="e">
        <f t="shared" ca="1" si="170"/>
        <v>#N/A</v>
      </c>
      <c r="AI529" s="55" t="e">
        <f t="shared" ca="1" si="171"/>
        <v>#N/A</v>
      </c>
      <c r="AJ529" s="55" t="e">
        <f t="shared" ca="1" si="158"/>
        <v>#N/A</v>
      </c>
      <c r="AK529" s="55" t="e">
        <f t="shared" ca="1" si="159"/>
        <v>#N/A</v>
      </c>
      <c r="AL529" s="55" t="e">
        <f t="shared" ca="1" si="160"/>
        <v>#N/A</v>
      </c>
      <c r="AM529" s="55"/>
    </row>
    <row r="530" spans="18:39">
      <c r="R530" s="55" t="e">
        <f ca="1"/>
        <v>#N/A</v>
      </c>
      <c r="S530" s="55" t="e">
        <f t="shared" ca="1" si="161"/>
        <v>#N/A</v>
      </c>
      <c r="T530" s="55" t="e">
        <f t="shared" ca="1" si="162"/>
        <v>#N/A</v>
      </c>
      <c r="U530" s="55" t="e">
        <f t="shared" ca="1" si="163"/>
        <v>#N/A</v>
      </c>
      <c r="V530" s="55" t="e">
        <f t="shared" ca="1" si="164"/>
        <v>#N/A</v>
      </c>
      <c r="W530" s="55" t="e">
        <f t="shared" ca="1" si="155"/>
        <v>#N/A</v>
      </c>
      <c r="X530" s="55" t="e">
        <f t="shared" ca="1" si="156"/>
        <v>#N/A</v>
      </c>
      <c r="Y530" s="55" t="e">
        <f t="shared" ca="1" si="157"/>
        <v>#N/A</v>
      </c>
      <c r="Z530" s="55" t="e">
        <f t="shared" ref="Z530:Z593" ca="1" si="172">VLOOKUP(S530,ModelOutputs,3,FALSE)*14</f>
        <v>#N/A</v>
      </c>
      <c r="AA530" t="e">
        <f t="shared" ref="AA530:AA593" ca="1" si="173">VLOOKUP(S530,ModelOutputs,10,FALSE)*AWC</f>
        <v>#N/A</v>
      </c>
      <c r="AB530" t="e">
        <f t="shared" ca="1" si="165"/>
        <v>#N/A</v>
      </c>
      <c r="AC530" t="e">
        <f t="shared" ca="1" si="166"/>
        <v>#N/A</v>
      </c>
      <c r="AD530" t="e">
        <f t="shared" ca="1" si="167"/>
        <v>#N/A</v>
      </c>
      <c r="AE530" s="83" t="e">
        <f ca="1"/>
        <v>#N/A</v>
      </c>
      <c r="AF530" s="55" t="e">
        <f t="shared" ca="1" si="168"/>
        <v>#N/A</v>
      </c>
      <c r="AG530" s="55" t="e">
        <f t="shared" ca="1" si="169"/>
        <v>#N/A</v>
      </c>
      <c r="AH530" s="55" t="e">
        <f t="shared" ca="1" si="170"/>
        <v>#N/A</v>
      </c>
      <c r="AI530" s="55" t="e">
        <f t="shared" ca="1" si="171"/>
        <v>#N/A</v>
      </c>
      <c r="AJ530" s="55" t="e">
        <f t="shared" ca="1" si="158"/>
        <v>#N/A</v>
      </c>
      <c r="AK530" s="55" t="e">
        <f t="shared" ca="1" si="159"/>
        <v>#N/A</v>
      </c>
      <c r="AL530" s="55" t="e">
        <f t="shared" ca="1" si="160"/>
        <v>#N/A</v>
      </c>
      <c r="AM530" s="55"/>
    </row>
    <row r="531" spans="18:39">
      <c r="R531" s="55" t="e">
        <f ca="1"/>
        <v>#N/A</v>
      </c>
      <c r="S531" s="55" t="e">
        <f t="shared" ca="1" si="161"/>
        <v>#N/A</v>
      </c>
      <c r="T531" s="55" t="e">
        <f t="shared" ca="1" si="162"/>
        <v>#N/A</v>
      </c>
      <c r="U531" s="55" t="e">
        <f t="shared" ca="1" si="163"/>
        <v>#N/A</v>
      </c>
      <c r="V531" s="55" t="e">
        <f t="shared" ca="1" si="164"/>
        <v>#N/A</v>
      </c>
      <c r="W531" s="55" t="e">
        <f t="shared" ref="W531:W594" ca="1" si="174">-VLOOKUP(S531,ModelOutputs,9,FALSE)+W530</f>
        <v>#N/A</v>
      </c>
      <c r="X531" s="55" t="e">
        <f t="shared" ref="X531:X594" ca="1" si="175">VLOOKUP(S531,ModelOutputs,5,FALSE)+X530</f>
        <v>#N/A</v>
      </c>
      <c r="Y531" s="55" t="e">
        <f t="shared" ref="Y531:Y594" ca="1" si="176">VLOOKUP(S531,ModelOutputs,4,FALSE)+Y530</f>
        <v>#N/A</v>
      </c>
      <c r="Z531" s="55" t="e">
        <f t="shared" ca="1" si="172"/>
        <v>#N/A</v>
      </c>
      <c r="AA531" t="e">
        <f t="shared" ca="1" si="173"/>
        <v>#N/A</v>
      </c>
      <c r="AB531" t="e">
        <f t="shared" ca="1" si="165"/>
        <v>#N/A</v>
      </c>
      <c r="AC531" t="e">
        <f t="shared" ca="1" si="166"/>
        <v>#N/A</v>
      </c>
      <c r="AD531" t="e">
        <f t="shared" ca="1" si="167"/>
        <v>#N/A</v>
      </c>
      <c r="AE531" s="83" t="e">
        <f ca="1"/>
        <v>#N/A</v>
      </c>
      <c r="AF531" s="55" t="e">
        <f t="shared" ca="1" si="168"/>
        <v>#N/A</v>
      </c>
      <c r="AG531" s="55" t="e">
        <f t="shared" ca="1" si="169"/>
        <v>#N/A</v>
      </c>
      <c r="AH531" s="55" t="e">
        <f t="shared" ca="1" si="170"/>
        <v>#N/A</v>
      </c>
      <c r="AI531" s="55" t="e">
        <f t="shared" ca="1" si="171"/>
        <v>#N/A</v>
      </c>
      <c r="AJ531" s="55" t="e">
        <f t="shared" ref="AJ531:AJ594" ca="1" si="177">-VLOOKUP(AF531,ModelOutputs,9,FALSE)+AJ530</f>
        <v>#N/A</v>
      </c>
      <c r="AK531" s="55" t="e">
        <f t="shared" ref="AK531:AK594" ca="1" si="178">VLOOKUP(AF531,ModelOutputs,5,FALSE)+AK530</f>
        <v>#N/A</v>
      </c>
      <c r="AL531" s="55" t="e">
        <f t="shared" ref="AL531:AL594" ca="1" si="179">VLOOKUP(AF531,ModelOutputs,4,FALSE)+AL530</f>
        <v>#N/A</v>
      </c>
      <c r="AM531" s="55"/>
    </row>
    <row r="532" spans="18:39">
      <c r="R532" s="55" t="e">
        <f ca="1"/>
        <v>#N/A</v>
      </c>
      <c r="S532" s="55" t="e">
        <f t="shared" ca="1" si="161"/>
        <v>#N/A</v>
      </c>
      <c r="T532" s="55" t="e">
        <f t="shared" ca="1" si="162"/>
        <v>#N/A</v>
      </c>
      <c r="U532" s="55" t="e">
        <f t="shared" ca="1" si="163"/>
        <v>#N/A</v>
      </c>
      <c r="V532" s="55" t="e">
        <f t="shared" ca="1" si="164"/>
        <v>#N/A</v>
      </c>
      <c r="W532" s="55" t="e">
        <f t="shared" ca="1" si="174"/>
        <v>#N/A</v>
      </c>
      <c r="X532" s="55" t="e">
        <f t="shared" ca="1" si="175"/>
        <v>#N/A</v>
      </c>
      <c r="Y532" s="55" t="e">
        <f t="shared" ca="1" si="176"/>
        <v>#N/A</v>
      </c>
      <c r="Z532" s="55" t="e">
        <f t="shared" ca="1" si="172"/>
        <v>#N/A</v>
      </c>
      <c r="AA532" t="e">
        <f t="shared" ca="1" si="173"/>
        <v>#N/A</v>
      </c>
      <c r="AB532" t="e">
        <f t="shared" ca="1" si="165"/>
        <v>#N/A</v>
      </c>
      <c r="AC532" t="e">
        <f t="shared" ca="1" si="166"/>
        <v>#N/A</v>
      </c>
      <c r="AD532" t="e">
        <f t="shared" ca="1" si="167"/>
        <v>#N/A</v>
      </c>
      <c r="AE532" s="83" t="e">
        <f ca="1"/>
        <v>#N/A</v>
      </c>
      <c r="AF532" s="55" t="e">
        <f t="shared" ca="1" si="168"/>
        <v>#N/A</v>
      </c>
      <c r="AG532" s="55" t="e">
        <f t="shared" ca="1" si="169"/>
        <v>#N/A</v>
      </c>
      <c r="AH532" s="55" t="e">
        <f t="shared" ca="1" si="170"/>
        <v>#N/A</v>
      </c>
      <c r="AI532" s="55" t="e">
        <f t="shared" ca="1" si="171"/>
        <v>#N/A</v>
      </c>
      <c r="AJ532" s="55" t="e">
        <f t="shared" ca="1" si="177"/>
        <v>#N/A</v>
      </c>
      <c r="AK532" s="55" t="e">
        <f t="shared" ca="1" si="178"/>
        <v>#N/A</v>
      </c>
      <c r="AL532" s="55" t="e">
        <f t="shared" ca="1" si="179"/>
        <v>#N/A</v>
      </c>
      <c r="AM532" s="55"/>
    </row>
    <row r="533" spans="18:39">
      <c r="R533" s="55" t="e">
        <f ca="1"/>
        <v>#N/A</v>
      </c>
      <c r="S533" s="55" t="e">
        <f t="shared" ca="1" si="161"/>
        <v>#N/A</v>
      </c>
      <c r="T533" s="55" t="e">
        <f t="shared" ca="1" si="162"/>
        <v>#N/A</v>
      </c>
      <c r="U533" s="55" t="e">
        <f t="shared" ca="1" si="163"/>
        <v>#N/A</v>
      </c>
      <c r="V533" s="55" t="e">
        <f t="shared" ca="1" si="164"/>
        <v>#N/A</v>
      </c>
      <c r="W533" s="55" t="e">
        <f t="shared" ca="1" si="174"/>
        <v>#N/A</v>
      </c>
      <c r="X533" s="55" t="e">
        <f t="shared" ca="1" si="175"/>
        <v>#N/A</v>
      </c>
      <c r="Y533" s="55" t="e">
        <f t="shared" ca="1" si="176"/>
        <v>#N/A</v>
      </c>
      <c r="Z533" s="55" t="e">
        <f t="shared" ca="1" si="172"/>
        <v>#N/A</v>
      </c>
      <c r="AA533" t="e">
        <f t="shared" ca="1" si="173"/>
        <v>#N/A</v>
      </c>
      <c r="AB533" t="e">
        <f t="shared" ca="1" si="165"/>
        <v>#N/A</v>
      </c>
      <c r="AC533" t="e">
        <f t="shared" ca="1" si="166"/>
        <v>#N/A</v>
      </c>
      <c r="AD533" t="e">
        <f t="shared" ca="1" si="167"/>
        <v>#N/A</v>
      </c>
      <c r="AE533" s="83" t="e">
        <f ca="1"/>
        <v>#N/A</v>
      </c>
      <c r="AF533" s="55" t="e">
        <f t="shared" ca="1" si="168"/>
        <v>#N/A</v>
      </c>
      <c r="AG533" s="55" t="e">
        <f t="shared" ca="1" si="169"/>
        <v>#N/A</v>
      </c>
      <c r="AH533" s="55" t="e">
        <f t="shared" ca="1" si="170"/>
        <v>#N/A</v>
      </c>
      <c r="AI533" s="55" t="e">
        <f t="shared" ca="1" si="171"/>
        <v>#N/A</v>
      </c>
      <c r="AJ533" s="55" t="e">
        <f t="shared" ca="1" si="177"/>
        <v>#N/A</v>
      </c>
      <c r="AK533" s="55" t="e">
        <f t="shared" ca="1" si="178"/>
        <v>#N/A</v>
      </c>
      <c r="AL533" s="55" t="e">
        <f t="shared" ca="1" si="179"/>
        <v>#N/A</v>
      </c>
      <c r="AM533" s="55"/>
    </row>
    <row r="534" spans="18:39">
      <c r="R534" s="55" t="e">
        <f ca="1"/>
        <v>#N/A</v>
      </c>
      <c r="S534" s="55" t="e">
        <f t="shared" ca="1" si="161"/>
        <v>#N/A</v>
      </c>
      <c r="T534" s="55" t="e">
        <f t="shared" ca="1" si="162"/>
        <v>#N/A</v>
      </c>
      <c r="U534" s="55" t="e">
        <f t="shared" ca="1" si="163"/>
        <v>#N/A</v>
      </c>
      <c r="V534" s="55" t="e">
        <f t="shared" ca="1" si="164"/>
        <v>#N/A</v>
      </c>
      <c r="W534" s="55" t="e">
        <f t="shared" ca="1" si="174"/>
        <v>#N/A</v>
      </c>
      <c r="X534" s="55" t="e">
        <f t="shared" ca="1" si="175"/>
        <v>#N/A</v>
      </c>
      <c r="Y534" s="55" t="e">
        <f t="shared" ca="1" si="176"/>
        <v>#N/A</v>
      </c>
      <c r="Z534" s="55" t="e">
        <f t="shared" ca="1" si="172"/>
        <v>#N/A</v>
      </c>
      <c r="AA534" t="e">
        <f t="shared" ca="1" si="173"/>
        <v>#N/A</v>
      </c>
      <c r="AB534" t="e">
        <f t="shared" ca="1" si="165"/>
        <v>#N/A</v>
      </c>
      <c r="AC534" t="e">
        <f t="shared" ca="1" si="166"/>
        <v>#N/A</v>
      </c>
      <c r="AD534" t="e">
        <f t="shared" ca="1" si="167"/>
        <v>#N/A</v>
      </c>
      <c r="AE534" s="83" t="e">
        <f ca="1"/>
        <v>#N/A</v>
      </c>
      <c r="AF534" s="55" t="e">
        <f t="shared" ca="1" si="168"/>
        <v>#N/A</v>
      </c>
      <c r="AG534" s="55" t="e">
        <f t="shared" ca="1" si="169"/>
        <v>#N/A</v>
      </c>
      <c r="AH534" s="55" t="e">
        <f t="shared" ca="1" si="170"/>
        <v>#N/A</v>
      </c>
      <c r="AI534" s="55" t="e">
        <f t="shared" ca="1" si="171"/>
        <v>#N/A</v>
      </c>
      <c r="AJ534" s="55" t="e">
        <f t="shared" ca="1" si="177"/>
        <v>#N/A</v>
      </c>
      <c r="AK534" s="55" t="e">
        <f t="shared" ca="1" si="178"/>
        <v>#N/A</v>
      </c>
      <c r="AL534" s="55" t="e">
        <f t="shared" ca="1" si="179"/>
        <v>#N/A</v>
      </c>
      <c r="AM534" s="55"/>
    </row>
    <row r="535" spans="18:39">
      <c r="R535" s="55" t="e">
        <f ca="1"/>
        <v>#N/A</v>
      </c>
      <c r="S535" s="55" t="e">
        <f t="shared" ca="1" si="161"/>
        <v>#N/A</v>
      </c>
      <c r="T535" s="55" t="e">
        <f t="shared" ca="1" si="162"/>
        <v>#N/A</v>
      </c>
      <c r="U535" s="55" t="e">
        <f t="shared" ca="1" si="163"/>
        <v>#N/A</v>
      </c>
      <c r="V535" s="55" t="e">
        <f t="shared" ca="1" si="164"/>
        <v>#N/A</v>
      </c>
      <c r="W535" s="55" t="e">
        <f t="shared" ca="1" si="174"/>
        <v>#N/A</v>
      </c>
      <c r="X535" s="55" t="e">
        <f t="shared" ca="1" si="175"/>
        <v>#N/A</v>
      </c>
      <c r="Y535" s="55" t="e">
        <f t="shared" ca="1" si="176"/>
        <v>#N/A</v>
      </c>
      <c r="Z535" s="55" t="e">
        <f t="shared" ca="1" si="172"/>
        <v>#N/A</v>
      </c>
      <c r="AA535" t="e">
        <f t="shared" ca="1" si="173"/>
        <v>#N/A</v>
      </c>
      <c r="AB535" t="e">
        <f t="shared" ca="1" si="165"/>
        <v>#N/A</v>
      </c>
      <c r="AC535" t="e">
        <f t="shared" ca="1" si="166"/>
        <v>#N/A</v>
      </c>
      <c r="AD535" t="e">
        <f t="shared" ca="1" si="167"/>
        <v>#N/A</v>
      </c>
      <c r="AE535" s="83" t="e">
        <f ca="1"/>
        <v>#N/A</v>
      </c>
      <c r="AF535" s="55" t="e">
        <f t="shared" ca="1" si="168"/>
        <v>#N/A</v>
      </c>
      <c r="AG535" s="55" t="e">
        <f t="shared" ca="1" si="169"/>
        <v>#N/A</v>
      </c>
      <c r="AH535" s="55" t="e">
        <f t="shared" ca="1" si="170"/>
        <v>#N/A</v>
      </c>
      <c r="AI535" s="55" t="e">
        <f t="shared" ca="1" si="171"/>
        <v>#N/A</v>
      </c>
      <c r="AJ535" s="55" t="e">
        <f t="shared" ca="1" si="177"/>
        <v>#N/A</v>
      </c>
      <c r="AK535" s="55" t="e">
        <f t="shared" ca="1" si="178"/>
        <v>#N/A</v>
      </c>
      <c r="AL535" s="55" t="e">
        <f t="shared" ca="1" si="179"/>
        <v>#N/A</v>
      </c>
      <c r="AM535" s="55"/>
    </row>
    <row r="536" spans="18:39">
      <c r="R536" s="55" t="e">
        <f ca="1"/>
        <v>#N/A</v>
      </c>
      <c r="S536" s="55" t="e">
        <f t="shared" ca="1" si="161"/>
        <v>#N/A</v>
      </c>
      <c r="T536" s="55" t="e">
        <f t="shared" ca="1" si="162"/>
        <v>#N/A</v>
      </c>
      <c r="U536" s="55" t="e">
        <f t="shared" ca="1" si="163"/>
        <v>#N/A</v>
      </c>
      <c r="V536" s="55" t="e">
        <f t="shared" ca="1" si="164"/>
        <v>#N/A</v>
      </c>
      <c r="W536" s="55" t="e">
        <f t="shared" ca="1" si="174"/>
        <v>#N/A</v>
      </c>
      <c r="X536" s="55" t="e">
        <f t="shared" ca="1" si="175"/>
        <v>#N/A</v>
      </c>
      <c r="Y536" s="55" t="e">
        <f t="shared" ca="1" si="176"/>
        <v>#N/A</v>
      </c>
      <c r="Z536" s="55" t="e">
        <f t="shared" ca="1" si="172"/>
        <v>#N/A</v>
      </c>
      <c r="AA536" t="e">
        <f t="shared" ca="1" si="173"/>
        <v>#N/A</v>
      </c>
      <c r="AB536" t="e">
        <f t="shared" ca="1" si="165"/>
        <v>#N/A</v>
      </c>
      <c r="AC536" t="e">
        <f t="shared" ca="1" si="166"/>
        <v>#N/A</v>
      </c>
      <c r="AD536" t="e">
        <f t="shared" ca="1" si="167"/>
        <v>#N/A</v>
      </c>
      <c r="AE536" s="83" t="e">
        <f ca="1"/>
        <v>#N/A</v>
      </c>
      <c r="AF536" s="55" t="e">
        <f t="shared" ca="1" si="168"/>
        <v>#N/A</v>
      </c>
      <c r="AG536" s="55" t="e">
        <f t="shared" ca="1" si="169"/>
        <v>#N/A</v>
      </c>
      <c r="AH536" s="55" t="e">
        <f t="shared" ca="1" si="170"/>
        <v>#N/A</v>
      </c>
      <c r="AI536" s="55" t="e">
        <f t="shared" ca="1" si="171"/>
        <v>#N/A</v>
      </c>
      <c r="AJ536" s="55" t="e">
        <f t="shared" ca="1" si="177"/>
        <v>#N/A</v>
      </c>
      <c r="AK536" s="55" t="e">
        <f t="shared" ca="1" si="178"/>
        <v>#N/A</v>
      </c>
      <c r="AL536" s="55" t="e">
        <f t="shared" ca="1" si="179"/>
        <v>#N/A</v>
      </c>
      <c r="AM536" s="55"/>
    </row>
    <row r="537" spans="18:39">
      <c r="R537" s="55" t="e">
        <f ca="1"/>
        <v>#N/A</v>
      </c>
      <c r="S537" s="55" t="e">
        <f t="shared" ca="1" si="161"/>
        <v>#N/A</v>
      </c>
      <c r="T537" s="55" t="e">
        <f t="shared" ca="1" si="162"/>
        <v>#N/A</v>
      </c>
      <c r="U537" s="55" t="e">
        <f t="shared" ca="1" si="163"/>
        <v>#N/A</v>
      </c>
      <c r="V537" s="55" t="e">
        <f t="shared" ca="1" si="164"/>
        <v>#N/A</v>
      </c>
      <c r="W537" s="55" t="e">
        <f t="shared" ca="1" si="174"/>
        <v>#N/A</v>
      </c>
      <c r="X537" s="55" t="e">
        <f t="shared" ca="1" si="175"/>
        <v>#N/A</v>
      </c>
      <c r="Y537" s="55" t="e">
        <f t="shared" ca="1" si="176"/>
        <v>#N/A</v>
      </c>
      <c r="Z537" s="55" t="e">
        <f t="shared" ca="1" si="172"/>
        <v>#N/A</v>
      </c>
      <c r="AA537" t="e">
        <f t="shared" ca="1" si="173"/>
        <v>#N/A</v>
      </c>
      <c r="AB537" t="e">
        <f t="shared" ca="1" si="165"/>
        <v>#N/A</v>
      </c>
      <c r="AC537" t="e">
        <f t="shared" ca="1" si="166"/>
        <v>#N/A</v>
      </c>
      <c r="AD537" t="e">
        <f t="shared" ca="1" si="167"/>
        <v>#N/A</v>
      </c>
      <c r="AE537" s="83" t="e">
        <f ca="1"/>
        <v>#N/A</v>
      </c>
      <c r="AF537" s="55" t="e">
        <f t="shared" ca="1" si="168"/>
        <v>#N/A</v>
      </c>
      <c r="AG537" s="55" t="e">
        <f t="shared" ca="1" si="169"/>
        <v>#N/A</v>
      </c>
      <c r="AH537" s="55" t="e">
        <f t="shared" ca="1" si="170"/>
        <v>#N/A</v>
      </c>
      <c r="AI537" s="55" t="e">
        <f t="shared" ca="1" si="171"/>
        <v>#N/A</v>
      </c>
      <c r="AJ537" s="55" t="e">
        <f t="shared" ca="1" si="177"/>
        <v>#N/A</v>
      </c>
      <c r="AK537" s="55" t="e">
        <f t="shared" ca="1" si="178"/>
        <v>#N/A</v>
      </c>
      <c r="AL537" s="55" t="e">
        <f t="shared" ca="1" si="179"/>
        <v>#N/A</v>
      </c>
      <c r="AM537" s="55"/>
    </row>
    <row r="538" spans="18:39">
      <c r="R538" s="55" t="e">
        <f ca="1"/>
        <v>#N/A</v>
      </c>
      <c r="S538" s="55" t="e">
        <f t="shared" ca="1" si="161"/>
        <v>#N/A</v>
      </c>
      <c r="T538" s="55" t="e">
        <f t="shared" ca="1" si="162"/>
        <v>#N/A</v>
      </c>
      <c r="U538" s="55" t="e">
        <f t="shared" ca="1" si="163"/>
        <v>#N/A</v>
      </c>
      <c r="V538" s="55" t="e">
        <f t="shared" ca="1" si="164"/>
        <v>#N/A</v>
      </c>
      <c r="W538" s="55" t="e">
        <f t="shared" ca="1" si="174"/>
        <v>#N/A</v>
      </c>
      <c r="X538" s="55" t="e">
        <f t="shared" ca="1" si="175"/>
        <v>#N/A</v>
      </c>
      <c r="Y538" s="55" t="e">
        <f t="shared" ca="1" si="176"/>
        <v>#N/A</v>
      </c>
      <c r="Z538" s="55" t="e">
        <f t="shared" ca="1" si="172"/>
        <v>#N/A</v>
      </c>
      <c r="AA538" t="e">
        <f t="shared" ca="1" si="173"/>
        <v>#N/A</v>
      </c>
      <c r="AB538" t="e">
        <f t="shared" ca="1" si="165"/>
        <v>#N/A</v>
      </c>
      <c r="AC538" t="e">
        <f t="shared" ca="1" si="166"/>
        <v>#N/A</v>
      </c>
      <c r="AD538" t="e">
        <f t="shared" ca="1" si="167"/>
        <v>#N/A</v>
      </c>
      <c r="AE538" s="83" t="e">
        <f ca="1"/>
        <v>#N/A</v>
      </c>
      <c r="AF538" s="55" t="e">
        <f t="shared" ca="1" si="168"/>
        <v>#N/A</v>
      </c>
      <c r="AG538" s="55" t="e">
        <f t="shared" ca="1" si="169"/>
        <v>#N/A</v>
      </c>
      <c r="AH538" s="55" t="e">
        <f t="shared" ca="1" si="170"/>
        <v>#N/A</v>
      </c>
      <c r="AI538" s="55" t="e">
        <f t="shared" ca="1" si="171"/>
        <v>#N/A</v>
      </c>
      <c r="AJ538" s="55" t="e">
        <f t="shared" ca="1" si="177"/>
        <v>#N/A</v>
      </c>
      <c r="AK538" s="55" t="e">
        <f t="shared" ca="1" si="178"/>
        <v>#N/A</v>
      </c>
      <c r="AL538" s="55" t="e">
        <f t="shared" ca="1" si="179"/>
        <v>#N/A</v>
      </c>
      <c r="AM538" s="55"/>
    </row>
    <row r="539" spans="18:39">
      <c r="R539" s="55" t="e">
        <f ca="1"/>
        <v>#N/A</v>
      </c>
      <c r="S539" s="55" t="e">
        <f t="shared" ca="1" si="161"/>
        <v>#N/A</v>
      </c>
      <c r="T539" s="55" t="e">
        <f t="shared" ca="1" si="162"/>
        <v>#N/A</v>
      </c>
      <c r="U539" s="55" t="e">
        <f t="shared" ca="1" si="163"/>
        <v>#N/A</v>
      </c>
      <c r="V539" s="55" t="e">
        <f t="shared" ca="1" si="164"/>
        <v>#N/A</v>
      </c>
      <c r="W539" s="55" t="e">
        <f t="shared" ca="1" si="174"/>
        <v>#N/A</v>
      </c>
      <c r="X539" s="55" t="e">
        <f t="shared" ca="1" si="175"/>
        <v>#N/A</v>
      </c>
      <c r="Y539" s="55" t="e">
        <f t="shared" ca="1" si="176"/>
        <v>#N/A</v>
      </c>
      <c r="Z539" s="55" t="e">
        <f t="shared" ca="1" si="172"/>
        <v>#N/A</v>
      </c>
      <c r="AA539" t="e">
        <f t="shared" ca="1" si="173"/>
        <v>#N/A</v>
      </c>
      <c r="AB539" t="e">
        <f t="shared" ca="1" si="165"/>
        <v>#N/A</v>
      </c>
      <c r="AC539" t="e">
        <f t="shared" ca="1" si="166"/>
        <v>#N/A</v>
      </c>
      <c r="AD539" t="e">
        <f t="shared" ca="1" si="167"/>
        <v>#N/A</v>
      </c>
      <c r="AE539" s="83" t="e">
        <f ca="1"/>
        <v>#N/A</v>
      </c>
      <c r="AF539" s="55" t="e">
        <f t="shared" ca="1" si="168"/>
        <v>#N/A</v>
      </c>
      <c r="AG539" s="55" t="e">
        <f t="shared" ca="1" si="169"/>
        <v>#N/A</v>
      </c>
      <c r="AH539" s="55" t="e">
        <f t="shared" ca="1" si="170"/>
        <v>#N/A</v>
      </c>
      <c r="AI539" s="55" t="e">
        <f t="shared" ca="1" si="171"/>
        <v>#N/A</v>
      </c>
      <c r="AJ539" s="55" t="e">
        <f t="shared" ca="1" si="177"/>
        <v>#N/A</v>
      </c>
      <c r="AK539" s="55" t="e">
        <f t="shared" ca="1" si="178"/>
        <v>#N/A</v>
      </c>
      <c r="AL539" s="55" t="e">
        <f t="shared" ca="1" si="179"/>
        <v>#N/A</v>
      </c>
      <c r="AM539" s="55"/>
    </row>
    <row r="540" spans="18:39">
      <c r="R540" s="55" t="e">
        <f ca="1"/>
        <v>#N/A</v>
      </c>
      <c r="S540" s="55" t="e">
        <f t="shared" ca="1" si="161"/>
        <v>#N/A</v>
      </c>
      <c r="T540" s="55" t="e">
        <f t="shared" ca="1" si="162"/>
        <v>#N/A</v>
      </c>
      <c r="U540" s="55" t="e">
        <f t="shared" ca="1" si="163"/>
        <v>#N/A</v>
      </c>
      <c r="V540" s="55" t="e">
        <f t="shared" ca="1" si="164"/>
        <v>#N/A</v>
      </c>
      <c r="W540" s="55" t="e">
        <f t="shared" ca="1" si="174"/>
        <v>#N/A</v>
      </c>
      <c r="X540" s="55" t="e">
        <f t="shared" ca="1" si="175"/>
        <v>#N/A</v>
      </c>
      <c r="Y540" s="55" t="e">
        <f t="shared" ca="1" si="176"/>
        <v>#N/A</v>
      </c>
      <c r="Z540" s="55" t="e">
        <f t="shared" ca="1" si="172"/>
        <v>#N/A</v>
      </c>
      <c r="AA540" t="e">
        <f t="shared" ca="1" si="173"/>
        <v>#N/A</v>
      </c>
      <c r="AB540" t="e">
        <f t="shared" ca="1" si="165"/>
        <v>#N/A</v>
      </c>
      <c r="AC540" t="e">
        <f t="shared" ca="1" si="166"/>
        <v>#N/A</v>
      </c>
      <c r="AD540" t="e">
        <f t="shared" ca="1" si="167"/>
        <v>#N/A</v>
      </c>
      <c r="AE540" s="83" t="e">
        <f ca="1"/>
        <v>#N/A</v>
      </c>
      <c r="AF540" s="55" t="e">
        <f t="shared" ca="1" si="168"/>
        <v>#N/A</v>
      </c>
      <c r="AG540" s="55" t="e">
        <f t="shared" ca="1" si="169"/>
        <v>#N/A</v>
      </c>
      <c r="AH540" s="55" t="e">
        <f t="shared" ca="1" si="170"/>
        <v>#N/A</v>
      </c>
      <c r="AI540" s="55" t="e">
        <f t="shared" ca="1" si="171"/>
        <v>#N/A</v>
      </c>
      <c r="AJ540" s="55" t="e">
        <f t="shared" ca="1" si="177"/>
        <v>#N/A</v>
      </c>
      <c r="AK540" s="55" t="e">
        <f t="shared" ca="1" si="178"/>
        <v>#N/A</v>
      </c>
      <c r="AL540" s="55" t="e">
        <f t="shared" ca="1" si="179"/>
        <v>#N/A</v>
      </c>
      <c r="AM540" s="55"/>
    </row>
    <row r="541" spans="18:39">
      <c r="R541" s="55" t="e">
        <f ca="1"/>
        <v>#N/A</v>
      </c>
      <c r="S541" s="55" t="e">
        <f t="shared" ca="1" si="161"/>
        <v>#N/A</v>
      </c>
      <c r="T541" s="55" t="e">
        <f t="shared" ca="1" si="162"/>
        <v>#N/A</v>
      </c>
      <c r="U541" s="55" t="e">
        <f t="shared" ca="1" si="163"/>
        <v>#N/A</v>
      </c>
      <c r="V541" s="55" t="e">
        <f t="shared" ca="1" si="164"/>
        <v>#N/A</v>
      </c>
      <c r="W541" s="55" t="e">
        <f t="shared" ca="1" si="174"/>
        <v>#N/A</v>
      </c>
      <c r="X541" s="55" t="e">
        <f t="shared" ca="1" si="175"/>
        <v>#N/A</v>
      </c>
      <c r="Y541" s="55" t="e">
        <f t="shared" ca="1" si="176"/>
        <v>#N/A</v>
      </c>
      <c r="Z541" s="55" t="e">
        <f t="shared" ca="1" si="172"/>
        <v>#N/A</v>
      </c>
      <c r="AA541" t="e">
        <f t="shared" ca="1" si="173"/>
        <v>#N/A</v>
      </c>
      <c r="AB541" t="e">
        <f t="shared" ca="1" si="165"/>
        <v>#N/A</v>
      </c>
      <c r="AC541" t="e">
        <f t="shared" ca="1" si="166"/>
        <v>#N/A</v>
      </c>
      <c r="AD541" t="e">
        <f t="shared" ca="1" si="167"/>
        <v>#N/A</v>
      </c>
      <c r="AE541" s="83" t="e">
        <f ca="1"/>
        <v>#N/A</v>
      </c>
      <c r="AF541" s="55" t="e">
        <f t="shared" ca="1" si="168"/>
        <v>#N/A</v>
      </c>
      <c r="AG541" s="55" t="e">
        <f t="shared" ca="1" si="169"/>
        <v>#N/A</v>
      </c>
      <c r="AH541" s="55" t="e">
        <f t="shared" ca="1" si="170"/>
        <v>#N/A</v>
      </c>
      <c r="AI541" s="55" t="e">
        <f t="shared" ca="1" si="171"/>
        <v>#N/A</v>
      </c>
      <c r="AJ541" s="55" t="e">
        <f t="shared" ca="1" si="177"/>
        <v>#N/A</v>
      </c>
      <c r="AK541" s="55" t="e">
        <f t="shared" ca="1" si="178"/>
        <v>#N/A</v>
      </c>
      <c r="AL541" s="55" t="e">
        <f t="shared" ca="1" si="179"/>
        <v>#N/A</v>
      </c>
      <c r="AM541" s="55"/>
    </row>
    <row r="542" spans="18:39">
      <c r="R542" s="55" t="e">
        <f ca="1"/>
        <v>#N/A</v>
      </c>
      <c r="S542" s="55" t="e">
        <f t="shared" ca="1" si="161"/>
        <v>#N/A</v>
      </c>
      <c r="T542" s="55" t="e">
        <f t="shared" ca="1" si="162"/>
        <v>#N/A</v>
      </c>
      <c r="U542" s="55" t="e">
        <f t="shared" ca="1" si="163"/>
        <v>#N/A</v>
      </c>
      <c r="V542" s="55" t="e">
        <f t="shared" ca="1" si="164"/>
        <v>#N/A</v>
      </c>
      <c r="W542" s="55" t="e">
        <f t="shared" ca="1" si="174"/>
        <v>#N/A</v>
      </c>
      <c r="X542" s="55" t="e">
        <f t="shared" ca="1" si="175"/>
        <v>#N/A</v>
      </c>
      <c r="Y542" s="55" t="e">
        <f t="shared" ca="1" si="176"/>
        <v>#N/A</v>
      </c>
      <c r="Z542" s="55" t="e">
        <f t="shared" ca="1" si="172"/>
        <v>#N/A</v>
      </c>
      <c r="AA542" t="e">
        <f t="shared" ca="1" si="173"/>
        <v>#N/A</v>
      </c>
      <c r="AB542" t="e">
        <f t="shared" ca="1" si="165"/>
        <v>#N/A</v>
      </c>
      <c r="AC542" t="e">
        <f t="shared" ca="1" si="166"/>
        <v>#N/A</v>
      </c>
      <c r="AD542" t="e">
        <f t="shared" ca="1" si="167"/>
        <v>#N/A</v>
      </c>
      <c r="AE542" s="83" t="e">
        <f ca="1"/>
        <v>#N/A</v>
      </c>
      <c r="AF542" s="55" t="e">
        <f t="shared" ca="1" si="168"/>
        <v>#N/A</v>
      </c>
      <c r="AG542" s="55" t="e">
        <f t="shared" ca="1" si="169"/>
        <v>#N/A</v>
      </c>
      <c r="AH542" s="55" t="e">
        <f t="shared" ca="1" si="170"/>
        <v>#N/A</v>
      </c>
      <c r="AI542" s="55" t="e">
        <f t="shared" ca="1" si="171"/>
        <v>#N/A</v>
      </c>
      <c r="AJ542" s="55" t="e">
        <f t="shared" ca="1" si="177"/>
        <v>#N/A</v>
      </c>
      <c r="AK542" s="55" t="e">
        <f t="shared" ca="1" si="178"/>
        <v>#N/A</v>
      </c>
      <c r="AL542" s="55" t="e">
        <f t="shared" ca="1" si="179"/>
        <v>#N/A</v>
      </c>
      <c r="AM542" s="55"/>
    </row>
    <row r="543" spans="18:39">
      <c r="R543" s="55" t="e">
        <f ca="1"/>
        <v>#N/A</v>
      </c>
      <c r="S543" s="55" t="e">
        <f t="shared" ca="1" si="161"/>
        <v>#N/A</v>
      </c>
      <c r="T543" s="55" t="e">
        <f t="shared" ca="1" si="162"/>
        <v>#N/A</v>
      </c>
      <c r="U543" s="55" t="e">
        <f t="shared" ca="1" si="163"/>
        <v>#N/A</v>
      </c>
      <c r="V543" s="55" t="e">
        <f t="shared" ca="1" si="164"/>
        <v>#N/A</v>
      </c>
      <c r="W543" s="55" t="e">
        <f t="shared" ca="1" si="174"/>
        <v>#N/A</v>
      </c>
      <c r="X543" s="55" t="e">
        <f t="shared" ca="1" si="175"/>
        <v>#N/A</v>
      </c>
      <c r="Y543" s="55" t="e">
        <f t="shared" ca="1" si="176"/>
        <v>#N/A</v>
      </c>
      <c r="Z543" s="55" t="e">
        <f t="shared" ca="1" si="172"/>
        <v>#N/A</v>
      </c>
      <c r="AA543" t="e">
        <f t="shared" ca="1" si="173"/>
        <v>#N/A</v>
      </c>
      <c r="AB543" t="e">
        <f t="shared" ca="1" si="165"/>
        <v>#N/A</v>
      </c>
      <c r="AC543" t="e">
        <f t="shared" ca="1" si="166"/>
        <v>#N/A</v>
      </c>
      <c r="AD543" t="e">
        <f t="shared" ca="1" si="167"/>
        <v>#N/A</v>
      </c>
      <c r="AE543" s="83" t="e">
        <f ca="1"/>
        <v>#N/A</v>
      </c>
      <c r="AF543" s="55" t="e">
        <f t="shared" ca="1" si="168"/>
        <v>#N/A</v>
      </c>
      <c r="AG543" s="55" t="e">
        <f t="shared" ca="1" si="169"/>
        <v>#N/A</v>
      </c>
      <c r="AH543" s="55" t="e">
        <f t="shared" ca="1" si="170"/>
        <v>#N/A</v>
      </c>
      <c r="AI543" s="55" t="e">
        <f t="shared" ca="1" si="171"/>
        <v>#N/A</v>
      </c>
      <c r="AJ543" s="55" t="e">
        <f t="shared" ca="1" si="177"/>
        <v>#N/A</v>
      </c>
      <c r="AK543" s="55" t="e">
        <f t="shared" ca="1" si="178"/>
        <v>#N/A</v>
      </c>
      <c r="AL543" s="55" t="e">
        <f t="shared" ca="1" si="179"/>
        <v>#N/A</v>
      </c>
      <c r="AM543" s="55"/>
    </row>
    <row r="544" spans="18:39">
      <c r="R544" s="55" t="e">
        <f ca="1"/>
        <v>#N/A</v>
      </c>
      <c r="S544" s="55" t="e">
        <f t="shared" ca="1" si="161"/>
        <v>#N/A</v>
      </c>
      <c r="T544" s="55" t="e">
        <f t="shared" ca="1" si="162"/>
        <v>#N/A</v>
      </c>
      <c r="U544" s="55" t="e">
        <f t="shared" ca="1" si="163"/>
        <v>#N/A</v>
      </c>
      <c r="V544" s="55" t="e">
        <f t="shared" ca="1" si="164"/>
        <v>#N/A</v>
      </c>
      <c r="W544" s="55" t="e">
        <f t="shared" ca="1" si="174"/>
        <v>#N/A</v>
      </c>
      <c r="X544" s="55" t="e">
        <f t="shared" ca="1" si="175"/>
        <v>#N/A</v>
      </c>
      <c r="Y544" s="55" t="e">
        <f t="shared" ca="1" si="176"/>
        <v>#N/A</v>
      </c>
      <c r="Z544" s="55" t="e">
        <f t="shared" ca="1" si="172"/>
        <v>#N/A</v>
      </c>
      <c r="AA544" t="e">
        <f t="shared" ca="1" si="173"/>
        <v>#N/A</v>
      </c>
      <c r="AB544" t="e">
        <f t="shared" ca="1" si="165"/>
        <v>#N/A</v>
      </c>
      <c r="AC544" t="e">
        <f t="shared" ca="1" si="166"/>
        <v>#N/A</v>
      </c>
      <c r="AD544" t="e">
        <f t="shared" ca="1" si="167"/>
        <v>#N/A</v>
      </c>
      <c r="AE544" s="83" t="e">
        <f ca="1"/>
        <v>#N/A</v>
      </c>
      <c r="AF544" s="55" t="e">
        <f t="shared" ca="1" si="168"/>
        <v>#N/A</v>
      </c>
      <c r="AG544" s="55" t="e">
        <f t="shared" ca="1" si="169"/>
        <v>#N/A</v>
      </c>
      <c r="AH544" s="55" t="e">
        <f t="shared" ca="1" si="170"/>
        <v>#N/A</v>
      </c>
      <c r="AI544" s="55" t="e">
        <f t="shared" ca="1" si="171"/>
        <v>#N/A</v>
      </c>
      <c r="AJ544" s="55" t="e">
        <f t="shared" ca="1" si="177"/>
        <v>#N/A</v>
      </c>
      <c r="AK544" s="55" t="e">
        <f t="shared" ca="1" si="178"/>
        <v>#N/A</v>
      </c>
      <c r="AL544" s="55" t="e">
        <f t="shared" ca="1" si="179"/>
        <v>#N/A</v>
      </c>
      <c r="AM544" s="55"/>
    </row>
    <row r="545" spans="18:39">
      <c r="R545" s="55" t="e">
        <f ca="1"/>
        <v>#N/A</v>
      </c>
      <c r="S545" s="55" t="e">
        <f t="shared" ca="1" si="161"/>
        <v>#N/A</v>
      </c>
      <c r="T545" s="55" t="e">
        <f t="shared" ca="1" si="162"/>
        <v>#N/A</v>
      </c>
      <c r="U545" s="55" t="e">
        <f t="shared" ca="1" si="163"/>
        <v>#N/A</v>
      </c>
      <c r="V545" s="55" t="e">
        <f t="shared" ca="1" si="164"/>
        <v>#N/A</v>
      </c>
      <c r="W545" s="55" t="e">
        <f t="shared" ca="1" si="174"/>
        <v>#N/A</v>
      </c>
      <c r="X545" s="55" t="e">
        <f t="shared" ca="1" si="175"/>
        <v>#N/A</v>
      </c>
      <c r="Y545" s="55" t="e">
        <f t="shared" ca="1" si="176"/>
        <v>#N/A</v>
      </c>
      <c r="Z545" s="55" t="e">
        <f t="shared" ca="1" si="172"/>
        <v>#N/A</v>
      </c>
      <c r="AA545" t="e">
        <f t="shared" ca="1" si="173"/>
        <v>#N/A</v>
      </c>
      <c r="AB545" t="e">
        <f t="shared" ca="1" si="165"/>
        <v>#N/A</v>
      </c>
      <c r="AC545" t="e">
        <f t="shared" ca="1" si="166"/>
        <v>#N/A</v>
      </c>
      <c r="AD545" t="e">
        <f t="shared" ca="1" si="167"/>
        <v>#N/A</v>
      </c>
      <c r="AE545" s="83" t="e">
        <f ca="1"/>
        <v>#N/A</v>
      </c>
      <c r="AF545" s="55" t="e">
        <f t="shared" ca="1" si="168"/>
        <v>#N/A</v>
      </c>
      <c r="AG545" s="55" t="e">
        <f t="shared" ca="1" si="169"/>
        <v>#N/A</v>
      </c>
      <c r="AH545" s="55" t="e">
        <f t="shared" ca="1" si="170"/>
        <v>#N/A</v>
      </c>
      <c r="AI545" s="55" t="e">
        <f t="shared" ca="1" si="171"/>
        <v>#N/A</v>
      </c>
      <c r="AJ545" s="55" t="e">
        <f t="shared" ca="1" si="177"/>
        <v>#N/A</v>
      </c>
      <c r="AK545" s="55" t="e">
        <f t="shared" ca="1" si="178"/>
        <v>#N/A</v>
      </c>
      <c r="AL545" s="55" t="e">
        <f t="shared" ca="1" si="179"/>
        <v>#N/A</v>
      </c>
      <c r="AM545" s="55"/>
    </row>
    <row r="546" spans="18:39">
      <c r="R546" s="55" t="e">
        <f ca="1"/>
        <v>#N/A</v>
      </c>
      <c r="S546" s="55" t="e">
        <f t="shared" ca="1" si="161"/>
        <v>#N/A</v>
      </c>
      <c r="T546" s="55" t="e">
        <f t="shared" ca="1" si="162"/>
        <v>#N/A</v>
      </c>
      <c r="U546" s="55" t="e">
        <f t="shared" ca="1" si="163"/>
        <v>#N/A</v>
      </c>
      <c r="V546" s="55" t="e">
        <f t="shared" ca="1" si="164"/>
        <v>#N/A</v>
      </c>
      <c r="W546" s="55" t="e">
        <f t="shared" ca="1" si="174"/>
        <v>#N/A</v>
      </c>
      <c r="X546" s="55" t="e">
        <f t="shared" ca="1" si="175"/>
        <v>#N/A</v>
      </c>
      <c r="Y546" s="55" t="e">
        <f t="shared" ca="1" si="176"/>
        <v>#N/A</v>
      </c>
      <c r="Z546" s="55" t="e">
        <f t="shared" ca="1" si="172"/>
        <v>#N/A</v>
      </c>
      <c r="AA546" t="e">
        <f t="shared" ca="1" si="173"/>
        <v>#N/A</v>
      </c>
      <c r="AB546" t="e">
        <f t="shared" ca="1" si="165"/>
        <v>#N/A</v>
      </c>
      <c r="AC546" t="e">
        <f t="shared" ca="1" si="166"/>
        <v>#N/A</v>
      </c>
      <c r="AD546" t="e">
        <f t="shared" ca="1" si="167"/>
        <v>#N/A</v>
      </c>
      <c r="AE546" s="83" t="e">
        <f ca="1"/>
        <v>#N/A</v>
      </c>
      <c r="AF546" s="55" t="e">
        <f t="shared" ca="1" si="168"/>
        <v>#N/A</v>
      </c>
      <c r="AG546" s="55" t="e">
        <f t="shared" ca="1" si="169"/>
        <v>#N/A</v>
      </c>
      <c r="AH546" s="55" t="e">
        <f t="shared" ca="1" si="170"/>
        <v>#N/A</v>
      </c>
      <c r="AI546" s="55" t="e">
        <f t="shared" ca="1" si="171"/>
        <v>#N/A</v>
      </c>
      <c r="AJ546" s="55" t="e">
        <f t="shared" ca="1" si="177"/>
        <v>#N/A</v>
      </c>
      <c r="AK546" s="55" t="e">
        <f t="shared" ca="1" si="178"/>
        <v>#N/A</v>
      </c>
      <c r="AL546" s="55" t="e">
        <f t="shared" ca="1" si="179"/>
        <v>#N/A</v>
      </c>
      <c r="AM546" s="55"/>
    </row>
    <row r="547" spans="18:39">
      <c r="R547" s="55" t="e">
        <f ca="1"/>
        <v>#N/A</v>
      </c>
      <c r="S547" s="55" t="e">
        <f t="shared" ca="1" si="161"/>
        <v>#N/A</v>
      </c>
      <c r="T547" s="55" t="e">
        <f t="shared" ca="1" si="162"/>
        <v>#N/A</v>
      </c>
      <c r="U547" s="55" t="e">
        <f t="shared" ca="1" si="163"/>
        <v>#N/A</v>
      </c>
      <c r="V547" s="55" t="e">
        <f t="shared" ca="1" si="164"/>
        <v>#N/A</v>
      </c>
      <c r="W547" s="55" t="e">
        <f t="shared" ca="1" si="174"/>
        <v>#N/A</v>
      </c>
      <c r="X547" s="55" t="e">
        <f t="shared" ca="1" si="175"/>
        <v>#N/A</v>
      </c>
      <c r="Y547" s="55" t="e">
        <f t="shared" ca="1" si="176"/>
        <v>#N/A</v>
      </c>
      <c r="Z547" s="55" t="e">
        <f t="shared" ca="1" si="172"/>
        <v>#N/A</v>
      </c>
      <c r="AA547" t="e">
        <f t="shared" ca="1" si="173"/>
        <v>#N/A</v>
      </c>
      <c r="AB547" t="e">
        <f t="shared" ca="1" si="165"/>
        <v>#N/A</v>
      </c>
      <c r="AC547" t="e">
        <f t="shared" ca="1" si="166"/>
        <v>#N/A</v>
      </c>
      <c r="AD547" t="e">
        <f t="shared" ca="1" si="167"/>
        <v>#N/A</v>
      </c>
      <c r="AE547" s="83" t="e">
        <f ca="1"/>
        <v>#N/A</v>
      </c>
      <c r="AF547" s="55" t="e">
        <f t="shared" ca="1" si="168"/>
        <v>#N/A</v>
      </c>
      <c r="AG547" s="55" t="e">
        <f t="shared" ca="1" si="169"/>
        <v>#N/A</v>
      </c>
      <c r="AH547" s="55" t="e">
        <f t="shared" ca="1" si="170"/>
        <v>#N/A</v>
      </c>
      <c r="AI547" s="55" t="e">
        <f t="shared" ca="1" si="171"/>
        <v>#N/A</v>
      </c>
      <c r="AJ547" s="55" t="e">
        <f t="shared" ca="1" si="177"/>
        <v>#N/A</v>
      </c>
      <c r="AK547" s="55" t="e">
        <f t="shared" ca="1" si="178"/>
        <v>#N/A</v>
      </c>
      <c r="AL547" s="55" t="e">
        <f t="shared" ca="1" si="179"/>
        <v>#N/A</v>
      </c>
      <c r="AM547" s="55"/>
    </row>
    <row r="548" spans="18:39">
      <c r="R548" s="55" t="e">
        <f ca="1"/>
        <v>#N/A</v>
      </c>
      <c r="S548" s="55" t="e">
        <f t="shared" ca="1" si="161"/>
        <v>#N/A</v>
      </c>
      <c r="T548" s="55" t="e">
        <f t="shared" ca="1" si="162"/>
        <v>#N/A</v>
      </c>
      <c r="U548" s="55" t="e">
        <f t="shared" ca="1" si="163"/>
        <v>#N/A</v>
      </c>
      <c r="V548" s="55" t="e">
        <f t="shared" ca="1" si="164"/>
        <v>#N/A</v>
      </c>
      <c r="W548" s="55" t="e">
        <f t="shared" ca="1" si="174"/>
        <v>#N/A</v>
      </c>
      <c r="X548" s="55" t="e">
        <f t="shared" ca="1" si="175"/>
        <v>#N/A</v>
      </c>
      <c r="Y548" s="55" t="e">
        <f t="shared" ca="1" si="176"/>
        <v>#N/A</v>
      </c>
      <c r="Z548" s="55" t="e">
        <f t="shared" ca="1" si="172"/>
        <v>#N/A</v>
      </c>
      <c r="AA548" t="e">
        <f t="shared" ca="1" si="173"/>
        <v>#N/A</v>
      </c>
      <c r="AB548" t="e">
        <f t="shared" ca="1" si="165"/>
        <v>#N/A</v>
      </c>
      <c r="AC548" t="e">
        <f t="shared" ca="1" si="166"/>
        <v>#N/A</v>
      </c>
      <c r="AD548" t="e">
        <f t="shared" ca="1" si="167"/>
        <v>#N/A</v>
      </c>
      <c r="AE548" s="83" t="e">
        <f ca="1"/>
        <v>#N/A</v>
      </c>
      <c r="AF548" s="55" t="e">
        <f t="shared" ca="1" si="168"/>
        <v>#N/A</v>
      </c>
      <c r="AG548" s="55" t="e">
        <f t="shared" ca="1" si="169"/>
        <v>#N/A</v>
      </c>
      <c r="AH548" s="55" t="e">
        <f t="shared" ca="1" si="170"/>
        <v>#N/A</v>
      </c>
      <c r="AI548" s="55" t="e">
        <f t="shared" ca="1" si="171"/>
        <v>#N/A</v>
      </c>
      <c r="AJ548" s="55" t="e">
        <f t="shared" ca="1" si="177"/>
        <v>#N/A</v>
      </c>
      <c r="AK548" s="55" t="e">
        <f t="shared" ca="1" si="178"/>
        <v>#N/A</v>
      </c>
      <c r="AL548" s="55" t="e">
        <f t="shared" ca="1" si="179"/>
        <v>#N/A</v>
      </c>
      <c r="AM548" s="55"/>
    </row>
    <row r="549" spans="18:39">
      <c r="R549" s="55" t="e">
        <f ca="1"/>
        <v>#N/A</v>
      </c>
      <c r="S549" s="55" t="e">
        <f t="shared" ca="1" si="161"/>
        <v>#N/A</v>
      </c>
      <c r="T549" s="55" t="e">
        <f t="shared" ca="1" si="162"/>
        <v>#N/A</v>
      </c>
      <c r="U549" s="55" t="e">
        <f t="shared" ca="1" si="163"/>
        <v>#N/A</v>
      </c>
      <c r="V549" s="55" t="e">
        <f t="shared" ca="1" si="164"/>
        <v>#N/A</v>
      </c>
      <c r="W549" s="55" t="e">
        <f t="shared" ca="1" si="174"/>
        <v>#N/A</v>
      </c>
      <c r="X549" s="55" t="e">
        <f t="shared" ca="1" si="175"/>
        <v>#N/A</v>
      </c>
      <c r="Y549" s="55" t="e">
        <f t="shared" ca="1" si="176"/>
        <v>#N/A</v>
      </c>
      <c r="Z549" s="55" t="e">
        <f t="shared" ca="1" si="172"/>
        <v>#N/A</v>
      </c>
      <c r="AA549" t="e">
        <f t="shared" ca="1" si="173"/>
        <v>#N/A</v>
      </c>
      <c r="AB549" t="e">
        <f t="shared" ca="1" si="165"/>
        <v>#N/A</v>
      </c>
      <c r="AC549" t="e">
        <f t="shared" ca="1" si="166"/>
        <v>#N/A</v>
      </c>
      <c r="AD549" t="e">
        <f t="shared" ca="1" si="167"/>
        <v>#N/A</v>
      </c>
      <c r="AE549" s="83" t="e">
        <f ca="1"/>
        <v>#N/A</v>
      </c>
      <c r="AF549" s="55" t="e">
        <f t="shared" ca="1" si="168"/>
        <v>#N/A</v>
      </c>
      <c r="AG549" s="55" t="e">
        <f t="shared" ca="1" si="169"/>
        <v>#N/A</v>
      </c>
      <c r="AH549" s="55" t="e">
        <f t="shared" ca="1" si="170"/>
        <v>#N/A</v>
      </c>
      <c r="AI549" s="55" t="e">
        <f t="shared" ca="1" si="171"/>
        <v>#N/A</v>
      </c>
      <c r="AJ549" s="55" t="e">
        <f t="shared" ca="1" si="177"/>
        <v>#N/A</v>
      </c>
      <c r="AK549" s="55" t="e">
        <f t="shared" ca="1" si="178"/>
        <v>#N/A</v>
      </c>
      <c r="AL549" s="55" t="e">
        <f t="shared" ca="1" si="179"/>
        <v>#N/A</v>
      </c>
      <c r="AM549" s="55"/>
    </row>
    <row r="550" spans="18:39">
      <c r="R550" s="55" t="e">
        <f ca="1"/>
        <v>#N/A</v>
      </c>
      <c r="S550" s="55" t="e">
        <f t="shared" ca="1" si="161"/>
        <v>#N/A</v>
      </c>
      <c r="T550" s="55" t="e">
        <f t="shared" ca="1" si="162"/>
        <v>#N/A</v>
      </c>
      <c r="U550" s="55" t="e">
        <f t="shared" ca="1" si="163"/>
        <v>#N/A</v>
      </c>
      <c r="V550" s="55" t="e">
        <f t="shared" ca="1" si="164"/>
        <v>#N/A</v>
      </c>
      <c r="W550" s="55" t="e">
        <f t="shared" ca="1" si="174"/>
        <v>#N/A</v>
      </c>
      <c r="X550" s="55" t="e">
        <f t="shared" ca="1" si="175"/>
        <v>#N/A</v>
      </c>
      <c r="Y550" s="55" t="e">
        <f t="shared" ca="1" si="176"/>
        <v>#N/A</v>
      </c>
      <c r="Z550" s="55" t="e">
        <f t="shared" ca="1" si="172"/>
        <v>#N/A</v>
      </c>
      <c r="AA550" t="e">
        <f t="shared" ca="1" si="173"/>
        <v>#N/A</v>
      </c>
      <c r="AB550" t="e">
        <f t="shared" ca="1" si="165"/>
        <v>#N/A</v>
      </c>
      <c r="AC550" t="e">
        <f t="shared" ca="1" si="166"/>
        <v>#N/A</v>
      </c>
      <c r="AD550" t="e">
        <f t="shared" ca="1" si="167"/>
        <v>#N/A</v>
      </c>
      <c r="AE550" s="83" t="e">
        <f ca="1"/>
        <v>#N/A</v>
      </c>
      <c r="AF550" s="55" t="e">
        <f t="shared" ca="1" si="168"/>
        <v>#N/A</v>
      </c>
      <c r="AG550" s="55" t="e">
        <f t="shared" ca="1" si="169"/>
        <v>#N/A</v>
      </c>
      <c r="AH550" s="55" t="e">
        <f t="shared" ca="1" si="170"/>
        <v>#N/A</v>
      </c>
      <c r="AI550" s="55" t="e">
        <f t="shared" ca="1" si="171"/>
        <v>#N/A</v>
      </c>
      <c r="AJ550" s="55" t="e">
        <f t="shared" ca="1" si="177"/>
        <v>#N/A</v>
      </c>
      <c r="AK550" s="55" t="e">
        <f t="shared" ca="1" si="178"/>
        <v>#N/A</v>
      </c>
      <c r="AL550" s="55" t="e">
        <f t="shared" ca="1" si="179"/>
        <v>#N/A</v>
      </c>
      <c r="AM550" s="55"/>
    </row>
    <row r="551" spans="18:39">
      <c r="R551" s="55" t="e">
        <f ca="1"/>
        <v>#N/A</v>
      </c>
      <c r="S551" s="55" t="e">
        <f t="shared" ca="1" si="161"/>
        <v>#N/A</v>
      </c>
      <c r="T551" s="55" t="e">
        <f t="shared" ca="1" si="162"/>
        <v>#N/A</v>
      </c>
      <c r="U551" s="55" t="e">
        <f t="shared" ca="1" si="163"/>
        <v>#N/A</v>
      </c>
      <c r="V551" s="55" t="e">
        <f t="shared" ca="1" si="164"/>
        <v>#N/A</v>
      </c>
      <c r="W551" s="55" t="e">
        <f t="shared" ca="1" si="174"/>
        <v>#N/A</v>
      </c>
      <c r="X551" s="55" t="e">
        <f t="shared" ca="1" si="175"/>
        <v>#N/A</v>
      </c>
      <c r="Y551" s="55" t="e">
        <f t="shared" ca="1" si="176"/>
        <v>#N/A</v>
      </c>
      <c r="Z551" s="55" t="e">
        <f t="shared" ca="1" si="172"/>
        <v>#N/A</v>
      </c>
      <c r="AA551" t="e">
        <f t="shared" ca="1" si="173"/>
        <v>#N/A</v>
      </c>
      <c r="AB551" t="e">
        <f t="shared" ca="1" si="165"/>
        <v>#N/A</v>
      </c>
      <c r="AC551" t="e">
        <f t="shared" ca="1" si="166"/>
        <v>#N/A</v>
      </c>
      <c r="AD551" t="e">
        <f t="shared" ca="1" si="167"/>
        <v>#N/A</v>
      </c>
      <c r="AE551" s="83" t="e">
        <f ca="1"/>
        <v>#N/A</v>
      </c>
      <c r="AF551" s="55" t="e">
        <f t="shared" ca="1" si="168"/>
        <v>#N/A</v>
      </c>
      <c r="AG551" s="55" t="e">
        <f t="shared" ca="1" si="169"/>
        <v>#N/A</v>
      </c>
      <c r="AH551" s="55" t="e">
        <f t="shared" ca="1" si="170"/>
        <v>#N/A</v>
      </c>
      <c r="AI551" s="55" t="e">
        <f t="shared" ca="1" si="171"/>
        <v>#N/A</v>
      </c>
      <c r="AJ551" s="55" t="e">
        <f t="shared" ca="1" si="177"/>
        <v>#N/A</v>
      </c>
      <c r="AK551" s="55" t="e">
        <f t="shared" ca="1" si="178"/>
        <v>#N/A</v>
      </c>
      <c r="AL551" s="55" t="e">
        <f t="shared" ca="1" si="179"/>
        <v>#N/A</v>
      </c>
      <c r="AM551" s="55"/>
    </row>
    <row r="552" spans="18:39">
      <c r="R552" s="55" t="e">
        <f ca="1"/>
        <v>#N/A</v>
      </c>
      <c r="S552" s="55" t="e">
        <f t="shared" ca="1" si="161"/>
        <v>#N/A</v>
      </c>
      <c r="T552" s="55" t="e">
        <f t="shared" ca="1" si="162"/>
        <v>#N/A</v>
      </c>
      <c r="U552" s="55" t="e">
        <f t="shared" ca="1" si="163"/>
        <v>#N/A</v>
      </c>
      <c r="V552" s="55" t="e">
        <f t="shared" ca="1" si="164"/>
        <v>#N/A</v>
      </c>
      <c r="W552" s="55" t="e">
        <f t="shared" ca="1" si="174"/>
        <v>#N/A</v>
      </c>
      <c r="X552" s="55" t="e">
        <f t="shared" ca="1" si="175"/>
        <v>#N/A</v>
      </c>
      <c r="Y552" s="55" t="e">
        <f t="shared" ca="1" si="176"/>
        <v>#N/A</v>
      </c>
      <c r="Z552" s="55" t="e">
        <f t="shared" ca="1" si="172"/>
        <v>#N/A</v>
      </c>
      <c r="AA552" t="e">
        <f t="shared" ca="1" si="173"/>
        <v>#N/A</v>
      </c>
      <c r="AB552" t="e">
        <f t="shared" ca="1" si="165"/>
        <v>#N/A</v>
      </c>
      <c r="AC552" t="e">
        <f t="shared" ca="1" si="166"/>
        <v>#N/A</v>
      </c>
      <c r="AD552" t="e">
        <f t="shared" ca="1" si="167"/>
        <v>#N/A</v>
      </c>
      <c r="AE552" s="83" t="e">
        <f ca="1"/>
        <v>#N/A</v>
      </c>
      <c r="AF552" s="55" t="e">
        <f t="shared" ca="1" si="168"/>
        <v>#N/A</v>
      </c>
      <c r="AG552" s="55" t="e">
        <f t="shared" ca="1" si="169"/>
        <v>#N/A</v>
      </c>
      <c r="AH552" s="55" t="e">
        <f t="shared" ca="1" si="170"/>
        <v>#N/A</v>
      </c>
      <c r="AI552" s="55" t="e">
        <f t="shared" ca="1" si="171"/>
        <v>#N/A</v>
      </c>
      <c r="AJ552" s="55" t="e">
        <f t="shared" ca="1" si="177"/>
        <v>#N/A</v>
      </c>
      <c r="AK552" s="55" t="e">
        <f t="shared" ca="1" si="178"/>
        <v>#N/A</v>
      </c>
      <c r="AL552" s="55" t="e">
        <f t="shared" ca="1" si="179"/>
        <v>#N/A</v>
      </c>
      <c r="AM552" s="55"/>
    </row>
    <row r="553" spans="18:39">
      <c r="R553" s="55" t="e">
        <f ca="1"/>
        <v>#N/A</v>
      </c>
      <c r="S553" s="55" t="e">
        <f t="shared" ca="1" si="161"/>
        <v>#N/A</v>
      </c>
      <c r="T553" s="55" t="e">
        <f t="shared" ca="1" si="162"/>
        <v>#N/A</v>
      </c>
      <c r="U553" s="55" t="e">
        <f t="shared" ca="1" si="163"/>
        <v>#N/A</v>
      </c>
      <c r="V553" s="55" t="e">
        <f t="shared" ca="1" si="164"/>
        <v>#N/A</v>
      </c>
      <c r="W553" s="55" t="e">
        <f t="shared" ca="1" si="174"/>
        <v>#N/A</v>
      </c>
      <c r="X553" s="55" t="e">
        <f t="shared" ca="1" si="175"/>
        <v>#N/A</v>
      </c>
      <c r="Y553" s="55" t="e">
        <f t="shared" ca="1" si="176"/>
        <v>#N/A</v>
      </c>
      <c r="Z553" s="55" t="e">
        <f t="shared" ca="1" si="172"/>
        <v>#N/A</v>
      </c>
      <c r="AA553" t="e">
        <f t="shared" ca="1" si="173"/>
        <v>#N/A</v>
      </c>
      <c r="AB553" t="e">
        <f t="shared" ca="1" si="165"/>
        <v>#N/A</v>
      </c>
      <c r="AC553" t="e">
        <f t="shared" ca="1" si="166"/>
        <v>#N/A</v>
      </c>
      <c r="AD553" t="e">
        <f t="shared" ca="1" si="167"/>
        <v>#N/A</v>
      </c>
      <c r="AE553" s="83" t="e">
        <f ca="1"/>
        <v>#N/A</v>
      </c>
      <c r="AF553" s="55" t="e">
        <f t="shared" ca="1" si="168"/>
        <v>#N/A</v>
      </c>
      <c r="AG553" s="55" t="e">
        <f t="shared" ca="1" si="169"/>
        <v>#N/A</v>
      </c>
      <c r="AH553" s="55" t="e">
        <f t="shared" ca="1" si="170"/>
        <v>#N/A</v>
      </c>
      <c r="AI553" s="55" t="e">
        <f t="shared" ca="1" si="171"/>
        <v>#N/A</v>
      </c>
      <c r="AJ553" s="55" t="e">
        <f t="shared" ca="1" si="177"/>
        <v>#N/A</v>
      </c>
      <c r="AK553" s="55" t="e">
        <f t="shared" ca="1" si="178"/>
        <v>#N/A</v>
      </c>
      <c r="AL553" s="55" t="e">
        <f t="shared" ca="1" si="179"/>
        <v>#N/A</v>
      </c>
      <c r="AM553" s="55"/>
    </row>
    <row r="554" spans="18:39">
      <c r="R554" s="55" t="e">
        <f ca="1"/>
        <v>#N/A</v>
      </c>
      <c r="S554" s="55" t="e">
        <f t="shared" ca="1" si="161"/>
        <v>#N/A</v>
      </c>
      <c r="T554" s="55" t="e">
        <f t="shared" ca="1" si="162"/>
        <v>#N/A</v>
      </c>
      <c r="U554" s="55" t="e">
        <f t="shared" ca="1" si="163"/>
        <v>#N/A</v>
      </c>
      <c r="V554" s="55" t="e">
        <f t="shared" ca="1" si="164"/>
        <v>#N/A</v>
      </c>
      <c r="W554" s="55" t="e">
        <f t="shared" ca="1" si="174"/>
        <v>#N/A</v>
      </c>
      <c r="X554" s="55" t="e">
        <f t="shared" ca="1" si="175"/>
        <v>#N/A</v>
      </c>
      <c r="Y554" s="55" t="e">
        <f t="shared" ca="1" si="176"/>
        <v>#N/A</v>
      </c>
      <c r="Z554" s="55" t="e">
        <f t="shared" ca="1" si="172"/>
        <v>#N/A</v>
      </c>
      <c r="AA554" t="e">
        <f t="shared" ca="1" si="173"/>
        <v>#N/A</v>
      </c>
      <c r="AB554" t="e">
        <f t="shared" ca="1" si="165"/>
        <v>#N/A</v>
      </c>
      <c r="AC554" t="e">
        <f t="shared" ca="1" si="166"/>
        <v>#N/A</v>
      </c>
      <c r="AD554" t="e">
        <f t="shared" ca="1" si="167"/>
        <v>#N/A</v>
      </c>
      <c r="AE554" s="83" t="e">
        <f ca="1"/>
        <v>#N/A</v>
      </c>
      <c r="AF554" s="55" t="e">
        <f t="shared" ca="1" si="168"/>
        <v>#N/A</v>
      </c>
      <c r="AG554" s="55" t="e">
        <f t="shared" ca="1" si="169"/>
        <v>#N/A</v>
      </c>
      <c r="AH554" s="55" t="e">
        <f t="shared" ca="1" si="170"/>
        <v>#N/A</v>
      </c>
      <c r="AI554" s="55" t="e">
        <f t="shared" ca="1" si="171"/>
        <v>#N/A</v>
      </c>
      <c r="AJ554" s="55" t="e">
        <f t="shared" ca="1" si="177"/>
        <v>#N/A</v>
      </c>
      <c r="AK554" s="55" t="e">
        <f t="shared" ca="1" si="178"/>
        <v>#N/A</v>
      </c>
      <c r="AL554" s="55" t="e">
        <f t="shared" ca="1" si="179"/>
        <v>#N/A</v>
      </c>
      <c r="AM554" s="55"/>
    </row>
    <row r="555" spans="18:39">
      <c r="R555" s="55" t="e">
        <f ca="1"/>
        <v>#N/A</v>
      </c>
      <c r="S555" s="55" t="e">
        <f t="shared" ca="1" si="161"/>
        <v>#N/A</v>
      </c>
      <c r="T555" s="55" t="e">
        <f t="shared" ca="1" si="162"/>
        <v>#N/A</v>
      </c>
      <c r="U555" s="55" t="e">
        <f t="shared" ca="1" si="163"/>
        <v>#N/A</v>
      </c>
      <c r="V555" s="55" t="e">
        <f t="shared" ca="1" si="164"/>
        <v>#N/A</v>
      </c>
      <c r="W555" s="55" t="e">
        <f t="shared" ca="1" si="174"/>
        <v>#N/A</v>
      </c>
      <c r="X555" s="55" t="e">
        <f t="shared" ca="1" si="175"/>
        <v>#N/A</v>
      </c>
      <c r="Y555" s="55" t="e">
        <f t="shared" ca="1" si="176"/>
        <v>#N/A</v>
      </c>
      <c r="Z555" s="55" t="e">
        <f t="shared" ca="1" si="172"/>
        <v>#N/A</v>
      </c>
      <c r="AA555" t="e">
        <f t="shared" ca="1" si="173"/>
        <v>#N/A</v>
      </c>
      <c r="AB555" t="e">
        <f t="shared" ca="1" si="165"/>
        <v>#N/A</v>
      </c>
      <c r="AC555" t="e">
        <f t="shared" ca="1" si="166"/>
        <v>#N/A</v>
      </c>
      <c r="AD555" t="e">
        <f t="shared" ca="1" si="167"/>
        <v>#N/A</v>
      </c>
      <c r="AE555" s="83" t="e">
        <f ca="1"/>
        <v>#N/A</v>
      </c>
      <c r="AF555" s="55" t="e">
        <f t="shared" ca="1" si="168"/>
        <v>#N/A</v>
      </c>
      <c r="AG555" s="55" t="e">
        <f t="shared" ca="1" si="169"/>
        <v>#N/A</v>
      </c>
      <c r="AH555" s="55" t="e">
        <f t="shared" ca="1" si="170"/>
        <v>#N/A</v>
      </c>
      <c r="AI555" s="55" t="e">
        <f t="shared" ca="1" si="171"/>
        <v>#N/A</v>
      </c>
      <c r="AJ555" s="55" t="e">
        <f t="shared" ca="1" si="177"/>
        <v>#N/A</v>
      </c>
      <c r="AK555" s="55" t="e">
        <f t="shared" ca="1" si="178"/>
        <v>#N/A</v>
      </c>
      <c r="AL555" s="55" t="e">
        <f t="shared" ca="1" si="179"/>
        <v>#N/A</v>
      </c>
      <c r="AM555" s="55"/>
    </row>
    <row r="556" spans="18:39">
      <c r="R556" s="55" t="e">
        <f ca="1"/>
        <v>#N/A</v>
      </c>
      <c r="S556" s="55" t="e">
        <f t="shared" ca="1" si="161"/>
        <v>#N/A</v>
      </c>
      <c r="T556" s="55" t="e">
        <f t="shared" ca="1" si="162"/>
        <v>#N/A</v>
      </c>
      <c r="U556" s="55" t="e">
        <f t="shared" ca="1" si="163"/>
        <v>#N/A</v>
      </c>
      <c r="V556" s="55" t="e">
        <f t="shared" ca="1" si="164"/>
        <v>#N/A</v>
      </c>
      <c r="W556" s="55" t="e">
        <f t="shared" ca="1" si="174"/>
        <v>#N/A</v>
      </c>
      <c r="X556" s="55" t="e">
        <f t="shared" ca="1" si="175"/>
        <v>#N/A</v>
      </c>
      <c r="Y556" s="55" t="e">
        <f t="shared" ca="1" si="176"/>
        <v>#N/A</v>
      </c>
      <c r="Z556" s="55" t="e">
        <f t="shared" ca="1" si="172"/>
        <v>#N/A</v>
      </c>
      <c r="AA556" t="e">
        <f t="shared" ca="1" si="173"/>
        <v>#N/A</v>
      </c>
      <c r="AB556" t="e">
        <f t="shared" ca="1" si="165"/>
        <v>#N/A</v>
      </c>
      <c r="AC556" t="e">
        <f t="shared" ca="1" si="166"/>
        <v>#N/A</v>
      </c>
      <c r="AD556" t="e">
        <f t="shared" ca="1" si="167"/>
        <v>#N/A</v>
      </c>
      <c r="AE556" s="83" t="e">
        <f ca="1"/>
        <v>#N/A</v>
      </c>
      <c r="AF556" s="55" t="e">
        <f t="shared" ca="1" si="168"/>
        <v>#N/A</v>
      </c>
      <c r="AG556" s="55" t="e">
        <f t="shared" ca="1" si="169"/>
        <v>#N/A</v>
      </c>
      <c r="AH556" s="55" t="e">
        <f t="shared" ca="1" si="170"/>
        <v>#N/A</v>
      </c>
      <c r="AI556" s="55" t="e">
        <f t="shared" ca="1" si="171"/>
        <v>#N/A</v>
      </c>
      <c r="AJ556" s="55" t="e">
        <f t="shared" ca="1" si="177"/>
        <v>#N/A</v>
      </c>
      <c r="AK556" s="55" t="e">
        <f t="shared" ca="1" si="178"/>
        <v>#N/A</v>
      </c>
      <c r="AL556" s="55" t="e">
        <f t="shared" ca="1" si="179"/>
        <v>#N/A</v>
      </c>
      <c r="AM556" s="55"/>
    </row>
    <row r="557" spans="18:39">
      <c r="R557" s="55" t="e">
        <f ca="1"/>
        <v>#N/A</v>
      </c>
      <c r="S557" s="55" t="e">
        <f t="shared" ca="1" si="161"/>
        <v>#N/A</v>
      </c>
      <c r="T557" s="55" t="e">
        <f t="shared" ca="1" si="162"/>
        <v>#N/A</v>
      </c>
      <c r="U557" s="55" t="e">
        <f t="shared" ca="1" si="163"/>
        <v>#N/A</v>
      </c>
      <c r="V557" s="55" t="e">
        <f t="shared" ca="1" si="164"/>
        <v>#N/A</v>
      </c>
      <c r="W557" s="55" t="e">
        <f t="shared" ca="1" si="174"/>
        <v>#N/A</v>
      </c>
      <c r="X557" s="55" t="e">
        <f t="shared" ca="1" si="175"/>
        <v>#N/A</v>
      </c>
      <c r="Y557" s="55" t="e">
        <f t="shared" ca="1" si="176"/>
        <v>#N/A</v>
      </c>
      <c r="Z557" s="55" t="e">
        <f t="shared" ca="1" si="172"/>
        <v>#N/A</v>
      </c>
      <c r="AA557" t="e">
        <f t="shared" ca="1" si="173"/>
        <v>#N/A</v>
      </c>
      <c r="AB557" t="e">
        <f t="shared" ca="1" si="165"/>
        <v>#N/A</v>
      </c>
      <c r="AC557" t="e">
        <f t="shared" ca="1" si="166"/>
        <v>#N/A</v>
      </c>
      <c r="AD557" t="e">
        <f t="shared" ca="1" si="167"/>
        <v>#N/A</v>
      </c>
      <c r="AE557" s="83" t="e">
        <f ca="1"/>
        <v>#N/A</v>
      </c>
      <c r="AF557" s="55" t="e">
        <f t="shared" ca="1" si="168"/>
        <v>#N/A</v>
      </c>
      <c r="AG557" s="55" t="e">
        <f t="shared" ca="1" si="169"/>
        <v>#N/A</v>
      </c>
      <c r="AH557" s="55" t="e">
        <f t="shared" ca="1" si="170"/>
        <v>#N/A</v>
      </c>
      <c r="AI557" s="55" t="e">
        <f t="shared" ca="1" si="171"/>
        <v>#N/A</v>
      </c>
      <c r="AJ557" s="55" t="e">
        <f t="shared" ca="1" si="177"/>
        <v>#N/A</v>
      </c>
      <c r="AK557" s="55" t="e">
        <f t="shared" ca="1" si="178"/>
        <v>#N/A</v>
      </c>
      <c r="AL557" s="55" t="e">
        <f t="shared" ca="1" si="179"/>
        <v>#N/A</v>
      </c>
      <c r="AM557" s="55"/>
    </row>
    <row r="558" spans="18:39">
      <c r="R558" s="55" t="e">
        <f ca="1"/>
        <v>#N/A</v>
      </c>
      <c r="S558" s="55" t="e">
        <f t="shared" ca="1" si="161"/>
        <v>#N/A</v>
      </c>
      <c r="T558" s="55" t="e">
        <f t="shared" ca="1" si="162"/>
        <v>#N/A</v>
      </c>
      <c r="U558" s="55" t="e">
        <f t="shared" ca="1" si="163"/>
        <v>#N/A</v>
      </c>
      <c r="V558" s="55" t="e">
        <f t="shared" ca="1" si="164"/>
        <v>#N/A</v>
      </c>
      <c r="W558" s="55" t="e">
        <f t="shared" ca="1" si="174"/>
        <v>#N/A</v>
      </c>
      <c r="X558" s="55" t="e">
        <f t="shared" ca="1" si="175"/>
        <v>#N/A</v>
      </c>
      <c r="Y558" s="55" t="e">
        <f t="shared" ca="1" si="176"/>
        <v>#N/A</v>
      </c>
      <c r="Z558" s="55" t="e">
        <f t="shared" ca="1" si="172"/>
        <v>#N/A</v>
      </c>
      <c r="AA558" t="e">
        <f t="shared" ca="1" si="173"/>
        <v>#N/A</v>
      </c>
      <c r="AB558" t="e">
        <f t="shared" ca="1" si="165"/>
        <v>#N/A</v>
      </c>
      <c r="AC558" t="e">
        <f t="shared" ca="1" si="166"/>
        <v>#N/A</v>
      </c>
      <c r="AD558" t="e">
        <f t="shared" ca="1" si="167"/>
        <v>#N/A</v>
      </c>
      <c r="AE558" s="83" t="e">
        <f ca="1"/>
        <v>#N/A</v>
      </c>
      <c r="AF558" s="55" t="e">
        <f t="shared" ca="1" si="168"/>
        <v>#N/A</v>
      </c>
      <c r="AG558" s="55" t="e">
        <f t="shared" ca="1" si="169"/>
        <v>#N/A</v>
      </c>
      <c r="AH558" s="55" t="e">
        <f t="shared" ca="1" si="170"/>
        <v>#N/A</v>
      </c>
      <c r="AI558" s="55" t="e">
        <f t="shared" ca="1" si="171"/>
        <v>#N/A</v>
      </c>
      <c r="AJ558" s="55" t="e">
        <f t="shared" ca="1" si="177"/>
        <v>#N/A</v>
      </c>
      <c r="AK558" s="55" t="e">
        <f t="shared" ca="1" si="178"/>
        <v>#N/A</v>
      </c>
      <c r="AL558" s="55" t="e">
        <f t="shared" ca="1" si="179"/>
        <v>#N/A</v>
      </c>
      <c r="AM558" s="55"/>
    </row>
    <row r="559" spans="18:39">
      <c r="R559" s="55" t="e">
        <f ca="1"/>
        <v>#N/A</v>
      </c>
      <c r="S559" s="55" t="e">
        <f t="shared" ca="1" si="161"/>
        <v>#N/A</v>
      </c>
      <c r="T559" s="55" t="e">
        <f t="shared" ca="1" si="162"/>
        <v>#N/A</v>
      </c>
      <c r="U559" s="55" t="e">
        <f t="shared" ca="1" si="163"/>
        <v>#N/A</v>
      </c>
      <c r="V559" s="55" t="e">
        <f t="shared" ca="1" si="164"/>
        <v>#N/A</v>
      </c>
      <c r="W559" s="55" t="e">
        <f t="shared" ca="1" si="174"/>
        <v>#N/A</v>
      </c>
      <c r="X559" s="55" t="e">
        <f t="shared" ca="1" si="175"/>
        <v>#N/A</v>
      </c>
      <c r="Y559" s="55" t="e">
        <f t="shared" ca="1" si="176"/>
        <v>#N/A</v>
      </c>
      <c r="Z559" s="55" t="e">
        <f t="shared" ca="1" si="172"/>
        <v>#N/A</v>
      </c>
      <c r="AA559" t="e">
        <f t="shared" ca="1" si="173"/>
        <v>#N/A</v>
      </c>
      <c r="AB559" t="e">
        <f t="shared" ca="1" si="165"/>
        <v>#N/A</v>
      </c>
      <c r="AC559" t="e">
        <f t="shared" ca="1" si="166"/>
        <v>#N/A</v>
      </c>
      <c r="AD559" t="e">
        <f t="shared" ca="1" si="167"/>
        <v>#N/A</v>
      </c>
      <c r="AE559" s="83" t="e">
        <f ca="1"/>
        <v>#N/A</v>
      </c>
      <c r="AF559" s="55" t="e">
        <f t="shared" ca="1" si="168"/>
        <v>#N/A</v>
      </c>
      <c r="AG559" s="55" t="e">
        <f t="shared" ca="1" si="169"/>
        <v>#N/A</v>
      </c>
      <c r="AH559" s="55" t="e">
        <f t="shared" ca="1" si="170"/>
        <v>#N/A</v>
      </c>
      <c r="AI559" s="55" t="e">
        <f t="shared" ca="1" si="171"/>
        <v>#N/A</v>
      </c>
      <c r="AJ559" s="55" t="e">
        <f t="shared" ca="1" si="177"/>
        <v>#N/A</v>
      </c>
      <c r="AK559" s="55" t="e">
        <f t="shared" ca="1" si="178"/>
        <v>#N/A</v>
      </c>
      <c r="AL559" s="55" t="e">
        <f t="shared" ca="1" si="179"/>
        <v>#N/A</v>
      </c>
      <c r="AM559" s="55"/>
    </row>
    <row r="560" spans="18:39">
      <c r="R560" s="55" t="e">
        <f ca="1"/>
        <v>#N/A</v>
      </c>
      <c r="S560" s="55" t="e">
        <f t="shared" ca="1" si="161"/>
        <v>#N/A</v>
      </c>
      <c r="T560" s="55" t="e">
        <f t="shared" ca="1" si="162"/>
        <v>#N/A</v>
      </c>
      <c r="U560" s="55" t="e">
        <f t="shared" ca="1" si="163"/>
        <v>#N/A</v>
      </c>
      <c r="V560" s="55" t="e">
        <f t="shared" ca="1" si="164"/>
        <v>#N/A</v>
      </c>
      <c r="W560" s="55" t="e">
        <f t="shared" ca="1" si="174"/>
        <v>#N/A</v>
      </c>
      <c r="X560" s="55" t="e">
        <f t="shared" ca="1" si="175"/>
        <v>#N/A</v>
      </c>
      <c r="Y560" s="55" t="e">
        <f t="shared" ca="1" si="176"/>
        <v>#N/A</v>
      </c>
      <c r="Z560" s="55" t="e">
        <f t="shared" ca="1" si="172"/>
        <v>#N/A</v>
      </c>
      <c r="AA560" t="e">
        <f t="shared" ca="1" si="173"/>
        <v>#N/A</v>
      </c>
      <c r="AB560" t="e">
        <f t="shared" ca="1" si="165"/>
        <v>#N/A</v>
      </c>
      <c r="AC560" t="e">
        <f t="shared" ca="1" si="166"/>
        <v>#N/A</v>
      </c>
      <c r="AD560" t="e">
        <f t="shared" ca="1" si="167"/>
        <v>#N/A</v>
      </c>
      <c r="AE560" s="83" t="e">
        <f ca="1"/>
        <v>#N/A</v>
      </c>
      <c r="AF560" s="55" t="e">
        <f t="shared" ca="1" si="168"/>
        <v>#N/A</v>
      </c>
      <c r="AG560" s="55" t="e">
        <f t="shared" ca="1" si="169"/>
        <v>#N/A</v>
      </c>
      <c r="AH560" s="55" t="e">
        <f t="shared" ca="1" si="170"/>
        <v>#N/A</v>
      </c>
      <c r="AI560" s="55" t="e">
        <f t="shared" ca="1" si="171"/>
        <v>#N/A</v>
      </c>
      <c r="AJ560" s="55" t="e">
        <f t="shared" ca="1" si="177"/>
        <v>#N/A</v>
      </c>
      <c r="AK560" s="55" t="e">
        <f t="shared" ca="1" si="178"/>
        <v>#N/A</v>
      </c>
      <c r="AL560" s="55" t="e">
        <f t="shared" ca="1" si="179"/>
        <v>#N/A</v>
      </c>
      <c r="AM560" s="55"/>
    </row>
    <row r="561" spans="18:39">
      <c r="R561" s="55" t="e">
        <f ca="1"/>
        <v>#N/A</v>
      </c>
      <c r="S561" s="55" t="e">
        <f t="shared" ca="1" si="161"/>
        <v>#N/A</v>
      </c>
      <c r="T561" s="55" t="e">
        <f t="shared" ca="1" si="162"/>
        <v>#N/A</v>
      </c>
      <c r="U561" s="55" t="e">
        <f t="shared" ca="1" si="163"/>
        <v>#N/A</v>
      </c>
      <c r="V561" s="55" t="e">
        <f t="shared" ca="1" si="164"/>
        <v>#N/A</v>
      </c>
      <c r="W561" s="55" t="e">
        <f t="shared" ca="1" si="174"/>
        <v>#N/A</v>
      </c>
      <c r="X561" s="55" t="e">
        <f t="shared" ca="1" si="175"/>
        <v>#N/A</v>
      </c>
      <c r="Y561" s="55" t="e">
        <f t="shared" ca="1" si="176"/>
        <v>#N/A</v>
      </c>
      <c r="Z561" s="55" t="e">
        <f t="shared" ca="1" si="172"/>
        <v>#N/A</v>
      </c>
      <c r="AA561" t="e">
        <f t="shared" ca="1" si="173"/>
        <v>#N/A</v>
      </c>
      <c r="AB561" t="e">
        <f t="shared" ca="1" si="165"/>
        <v>#N/A</v>
      </c>
      <c r="AC561" t="e">
        <f t="shared" ca="1" si="166"/>
        <v>#N/A</v>
      </c>
      <c r="AD561" t="e">
        <f t="shared" ca="1" si="167"/>
        <v>#N/A</v>
      </c>
      <c r="AE561" s="83" t="e">
        <f ca="1"/>
        <v>#N/A</v>
      </c>
      <c r="AF561" s="55" t="e">
        <f t="shared" ca="1" si="168"/>
        <v>#N/A</v>
      </c>
      <c r="AG561" s="55" t="e">
        <f t="shared" ca="1" si="169"/>
        <v>#N/A</v>
      </c>
      <c r="AH561" s="55" t="e">
        <f t="shared" ca="1" si="170"/>
        <v>#N/A</v>
      </c>
      <c r="AI561" s="55" t="e">
        <f t="shared" ca="1" si="171"/>
        <v>#N/A</v>
      </c>
      <c r="AJ561" s="55" t="e">
        <f t="shared" ca="1" si="177"/>
        <v>#N/A</v>
      </c>
      <c r="AK561" s="55" t="e">
        <f t="shared" ca="1" si="178"/>
        <v>#N/A</v>
      </c>
      <c r="AL561" s="55" t="e">
        <f t="shared" ca="1" si="179"/>
        <v>#N/A</v>
      </c>
      <c r="AM561" s="55"/>
    </row>
    <row r="562" spans="18:39">
      <c r="R562" s="55" t="e">
        <f ca="1"/>
        <v>#N/A</v>
      </c>
      <c r="S562" s="55" t="e">
        <f t="shared" ca="1" si="161"/>
        <v>#N/A</v>
      </c>
      <c r="T562" s="55" t="e">
        <f t="shared" ca="1" si="162"/>
        <v>#N/A</v>
      </c>
      <c r="U562" s="55" t="e">
        <f t="shared" ca="1" si="163"/>
        <v>#N/A</v>
      </c>
      <c r="V562" s="55" t="e">
        <f t="shared" ca="1" si="164"/>
        <v>#N/A</v>
      </c>
      <c r="W562" s="55" t="e">
        <f t="shared" ca="1" si="174"/>
        <v>#N/A</v>
      </c>
      <c r="X562" s="55" t="e">
        <f t="shared" ca="1" si="175"/>
        <v>#N/A</v>
      </c>
      <c r="Y562" s="55" t="e">
        <f t="shared" ca="1" si="176"/>
        <v>#N/A</v>
      </c>
      <c r="Z562" s="55" t="e">
        <f t="shared" ca="1" si="172"/>
        <v>#N/A</v>
      </c>
      <c r="AA562" t="e">
        <f t="shared" ca="1" si="173"/>
        <v>#N/A</v>
      </c>
      <c r="AB562" t="e">
        <f t="shared" ca="1" si="165"/>
        <v>#N/A</v>
      </c>
      <c r="AC562" t="e">
        <f t="shared" ca="1" si="166"/>
        <v>#N/A</v>
      </c>
      <c r="AD562" t="e">
        <f t="shared" ca="1" si="167"/>
        <v>#N/A</v>
      </c>
      <c r="AE562" s="83" t="e">
        <f ca="1"/>
        <v>#N/A</v>
      </c>
      <c r="AF562" s="55" t="e">
        <f t="shared" ca="1" si="168"/>
        <v>#N/A</v>
      </c>
      <c r="AG562" s="55" t="e">
        <f t="shared" ca="1" si="169"/>
        <v>#N/A</v>
      </c>
      <c r="AH562" s="55" t="e">
        <f t="shared" ca="1" si="170"/>
        <v>#N/A</v>
      </c>
      <c r="AI562" s="55" t="e">
        <f t="shared" ca="1" si="171"/>
        <v>#N/A</v>
      </c>
      <c r="AJ562" s="55" t="e">
        <f t="shared" ca="1" si="177"/>
        <v>#N/A</v>
      </c>
      <c r="AK562" s="55" t="e">
        <f t="shared" ca="1" si="178"/>
        <v>#N/A</v>
      </c>
      <c r="AL562" s="55" t="e">
        <f t="shared" ca="1" si="179"/>
        <v>#N/A</v>
      </c>
      <c r="AM562" s="55"/>
    </row>
    <row r="563" spans="18:39">
      <c r="R563" s="55" t="e">
        <f ca="1"/>
        <v>#N/A</v>
      </c>
      <c r="S563" s="55" t="e">
        <f t="shared" ca="1" si="161"/>
        <v>#N/A</v>
      </c>
      <c r="T563" s="55" t="e">
        <f t="shared" ca="1" si="162"/>
        <v>#N/A</v>
      </c>
      <c r="U563" s="55" t="e">
        <f t="shared" ca="1" si="163"/>
        <v>#N/A</v>
      </c>
      <c r="V563" s="55" t="e">
        <f t="shared" ca="1" si="164"/>
        <v>#N/A</v>
      </c>
      <c r="W563" s="55" t="e">
        <f t="shared" ca="1" si="174"/>
        <v>#N/A</v>
      </c>
      <c r="X563" s="55" t="e">
        <f t="shared" ca="1" si="175"/>
        <v>#N/A</v>
      </c>
      <c r="Y563" s="55" t="e">
        <f t="shared" ca="1" si="176"/>
        <v>#N/A</v>
      </c>
      <c r="Z563" s="55" t="e">
        <f t="shared" ca="1" si="172"/>
        <v>#N/A</v>
      </c>
      <c r="AA563" t="e">
        <f t="shared" ca="1" si="173"/>
        <v>#N/A</v>
      </c>
      <c r="AB563" t="e">
        <f t="shared" ca="1" si="165"/>
        <v>#N/A</v>
      </c>
      <c r="AC563" t="e">
        <f t="shared" ca="1" si="166"/>
        <v>#N/A</v>
      </c>
      <c r="AD563" t="e">
        <f t="shared" ca="1" si="167"/>
        <v>#N/A</v>
      </c>
      <c r="AE563" s="83" t="e">
        <f ca="1"/>
        <v>#N/A</v>
      </c>
      <c r="AF563" s="55" t="e">
        <f t="shared" ca="1" si="168"/>
        <v>#N/A</v>
      </c>
      <c r="AG563" s="55" t="e">
        <f t="shared" ca="1" si="169"/>
        <v>#N/A</v>
      </c>
      <c r="AH563" s="55" t="e">
        <f t="shared" ca="1" si="170"/>
        <v>#N/A</v>
      </c>
      <c r="AI563" s="55" t="e">
        <f t="shared" ca="1" si="171"/>
        <v>#N/A</v>
      </c>
      <c r="AJ563" s="55" t="e">
        <f t="shared" ca="1" si="177"/>
        <v>#N/A</v>
      </c>
      <c r="AK563" s="55" t="e">
        <f t="shared" ca="1" si="178"/>
        <v>#N/A</v>
      </c>
      <c r="AL563" s="55" t="e">
        <f t="shared" ca="1" si="179"/>
        <v>#N/A</v>
      </c>
      <c r="AM563" s="55"/>
    </row>
    <row r="564" spans="18:39">
      <c r="R564" s="55" t="e">
        <f ca="1"/>
        <v>#N/A</v>
      </c>
      <c r="S564" s="55" t="e">
        <f t="shared" ca="1" si="161"/>
        <v>#N/A</v>
      </c>
      <c r="T564" s="55" t="e">
        <f t="shared" ca="1" si="162"/>
        <v>#N/A</v>
      </c>
      <c r="U564" s="55" t="e">
        <f t="shared" ca="1" si="163"/>
        <v>#N/A</v>
      </c>
      <c r="V564" s="55" t="e">
        <f t="shared" ca="1" si="164"/>
        <v>#N/A</v>
      </c>
      <c r="W564" s="55" t="e">
        <f t="shared" ca="1" si="174"/>
        <v>#N/A</v>
      </c>
      <c r="X564" s="55" t="e">
        <f t="shared" ca="1" si="175"/>
        <v>#N/A</v>
      </c>
      <c r="Y564" s="55" t="e">
        <f t="shared" ca="1" si="176"/>
        <v>#N/A</v>
      </c>
      <c r="Z564" s="55" t="e">
        <f t="shared" ca="1" si="172"/>
        <v>#N/A</v>
      </c>
      <c r="AA564" t="e">
        <f t="shared" ca="1" si="173"/>
        <v>#N/A</v>
      </c>
      <c r="AB564" t="e">
        <f t="shared" ca="1" si="165"/>
        <v>#N/A</v>
      </c>
      <c r="AC564" t="e">
        <f t="shared" ca="1" si="166"/>
        <v>#N/A</v>
      </c>
      <c r="AD564" t="e">
        <f t="shared" ca="1" si="167"/>
        <v>#N/A</v>
      </c>
      <c r="AE564" s="83" t="e">
        <f ca="1"/>
        <v>#N/A</v>
      </c>
      <c r="AF564" s="55" t="e">
        <f t="shared" ca="1" si="168"/>
        <v>#N/A</v>
      </c>
      <c r="AG564" s="55" t="e">
        <f t="shared" ca="1" si="169"/>
        <v>#N/A</v>
      </c>
      <c r="AH564" s="55" t="e">
        <f t="shared" ca="1" si="170"/>
        <v>#N/A</v>
      </c>
      <c r="AI564" s="55" t="e">
        <f t="shared" ca="1" si="171"/>
        <v>#N/A</v>
      </c>
      <c r="AJ564" s="55" t="e">
        <f t="shared" ca="1" si="177"/>
        <v>#N/A</v>
      </c>
      <c r="AK564" s="55" t="e">
        <f t="shared" ca="1" si="178"/>
        <v>#N/A</v>
      </c>
      <c r="AL564" s="55" t="e">
        <f t="shared" ca="1" si="179"/>
        <v>#N/A</v>
      </c>
      <c r="AM564" s="55"/>
    </row>
    <row r="565" spans="18:39">
      <c r="R565" s="55" t="e">
        <f ca="1"/>
        <v>#N/A</v>
      </c>
      <c r="S565" s="55" t="e">
        <f t="shared" ca="1" si="161"/>
        <v>#N/A</v>
      </c>
      <c r="T565" s="55" t="e">
        <f t="shared" ca="1" si="162"/>
        <v>#N/A</v>
      </c>
      <c r="U565" s="55" t="e">
        <f t="shared" ca="1" si="163"/>
        <v>#N/A</v>
      </c>
      <c r="V565" s="55" t="e">
        <f t="shared" ca="1" si="164"/>
        <v>#N/A</v>
      </c>
      <c r="W565" s="55" t="e">
        <f t="shared" ca="1" si="174"/>
        <v>#N/A</v>
      </c>
      <c r="X565" s="55" t="e">
        <f t="shared" ca="1" si="175"/>
        <v>#N/A</v>
      </c>
      <c r="Y565" s="55" t="e">
        <f t="shared" ca="1" si="176"/>
        <v>#N/A</v>
      </c>
      <c r="Z565" s="55" t="e">
        <f t="shared" ca="1" si="172"/>
        <v>#N/A</v>
      </c>
      <c r="AA565" t="e">
        <f t="shared" ca="1" si="173"/>
        <v>#N/A</v>
      </c>
      <c r="AB565" t="e">
        <f t="shared" ca="1" si="165"/>
        <v>#N/A</v>
      </c>
      <c r="AC565" t="e">
        <f t="shared" ca="1" si="166"/>
        <v>#N/A</v>
      </c>
      <c r="AD565" t="e">
        <f t="shared" ca="1" si="167"/>
        <v>#N/A</v>
      </c>
      <c r="AE565" s="83" t="e">
        <f ca="1"/>
        <v>#N/A</v>
      </c>
      <c r="AF565" s="55" t="e">
        <f t="shared" ca="1" si="168"/>
        <v>#N/A</v>
      </c>
      <c r="AG565" s="55" t="e">
        <f t="shared" ca="1" si="169"/>
        <v>#N/A</v>
      </c>
      <c r="AH565" s="55" t="e">
        <f t="shared" ca="1" si="170"/>
        <v>#N/A</v>
      </c>
      <c r="AI565" s="55" t="e">
        <f t="shared" ca="1" si="171"/>
        <v>#N/A</v>
      </c>
      <c r="AJ565" s="55" t="e">
        <f t="shared" ca="1" si="177"/>
        <v>#N/A</v>
      </c>
      <c r="AK565" s="55" t="e">
        <f t="shared" ca="1" si="178"/>
        <v>#N/A</v>
      </c>
      <c r="AL565" s="55" t="e">
        <f t="shared" ca="1" si="179"/>
        <v>#N/A</v>
      </c>
      <c r="AM565" s="55"/>
    </row>
    <row r="566" spans="18:39">
      <c r="R566" s="55" t="e">
        <f ca="1"/>
        <v>#N/A</v>
      </c>
      <c r="S566" s="55" t="e">
        <f t="shared" ca="1" si="161"/>
        <v>#N/A</v>
      </c>
      <c r="T566" s="55" t="e">
        <f t="shared" ca="1" si="162"/>
        <v>#N/A</v>
      </c>
      <c r="U566" s="55" t="e">
        <f t="shared" ca="1" si="163"/>
        <v>#N/A</v>
      </c>
      <c r="V566" s="55" t="e">
        <f t="shared" ca="1" si="164"/>
        <v>#N/A</v>
      </c>
      <c r="W566" s="55" t="e">
        <f t="shared" ca="1" si="174"/>
        <v>#N/A</v>
      </c>
      <c r="X566" s="55" t="e">
        <f t="shared" ca="1" si="175"/>
        <v>#N/A</v>
      </c>
      <c r="Y566" s="55" t="e">
        <f t="shared" ca="1" si="176"/>
        <v>#N/A</v>
      </c>
      <c r="Z566" s="55" t="e">
        <f t="shared" ca="1" si="172"/>
        <v>#N/A</v>
      </c>
      <c r="AA566" t="e">
        <f t="shared" ca="1" si="173"/>
        <v>#N/A</v>
      </c>
      <c r="AB566" t="e">
        <f t="shared" ca="1" si="165"/>
        <v>#N/A</v>
      </c>
      <c r="AC566" t="e">
        <f t="shared" ca="1" si="166"/>
        <v>#N/A</v>
      </c>
      <c r="AD566" t="e">
        <f t="shared" ca="1" si="167"/>
        <v>#N/A</v>
      </c>
      <c r="AE566" s="83" t="e">
        <f ca="1"/>
        <v>#N/A</v>
      </c>
      <c r="AF566" s="55" t="e">
        <f t="shared" ca="1" si="168"/>
        <v>#N/A</v>
      </c>
      <c r="AG566" s="55" t="e">
        <f t="shared" ca="1" si="169"/>
        <v>#N/A</v>
      </c>
      <c r="AH566" s="55" t="e">
        <f t="shared" ca="1" si="170"/>
        <v>#N/A</v>
      </c>
      <c r="AI566" s="55" t="e">
        <f t="shared" ca="1" si="171"/>
        <v>#N/A</v>
      </c>
      <c r="AJ566" s="55" t="e">
        <f t="shared" ca="1" si="177"/>
        <v>#N/A</v>
      </c>
      <c r="AK566" s="55" t="e">
        <f t="shared" ca="1" si="178"/>
        <v>#N/A</v>
      </c>
      <c r="AL566" s="55" t="e">
        <f t="shared" ca="1" si="179"/>
        <v>#N/A</v>
      </c>
      <c r="AM566" s="55"/>
    </row>
    <row r="567" spans="18:39">
      <c r="R567" s="55" t="e">
        <f ca="1"/>
        <v>#N/A</v>
      </c>
      <c r="S567" s="55" t="e">
        <f t="shared" ca="1" si="161"/>
        <v>#N/A</v>
      </c>
      <c r="T567" s="55" t="e">
        <f t="shared" ca="1" si="162"/>
        <v>#N/A</v>
      </c>
      <c r="U567" s="55" t="e">
        <f t="shared" ca="1" si="163"/>
        <v>#N/A</v>
      </c>
      <c r="V567" s="55" t="e">
        <f t="shared" ca="1" si="164"/>
        <v>#N/A</v>
      </c>
      <c r="W567" s="55" t="e">
        <f t="shared" ca="1" si="174"/>
        <v>#N/A</v>
      </c>
      <c r="X567" s="55" t="e">
        <f t="shared" ca="1" si="175"/>
        <v>#N/A</v>
      </c>
      <c r="Y567" s="55" t="e">
        <f t="shared" ca="1" si="176"/>
        <v>#N/A</v>
      </c>
      <c r="Z567" s="55" t="e">
        <f t="shared" ca="1" si="172"/>
        <v>#N/A</v>
      </c>
      <c r="AA567" t="e">
        <f t="shared" ca="1" si="173"/>
        <v>#N/A</v>
      </c>
      <c r="AB567" t="e">
        <f t="shared" ca="1" si="165"/>
        <v>#N/A</v>
      </c>
      <c r="AC567" t="e">
        <f t="shared" ca="1" si="166"/>
        <v>#N/A</v>
      </c>
      <c r="AD567" t="e">
        <f t="shared" ca="1" si="167"/>
        <v>#N/A</v>
      </c>
      <c r="AE567" s="83" t="e">
        <f ca="1"/>
        <v>#N/A</v>
      </c>
      <c r="AF567" s="55" t="e">
        <f t="shared" ca="1" si="168"/>
        <v>#N/A</v>
      </c>
      <c r="AG567" s="55" t="e">
        <f t="shared" ca="1" si="169"/>
        <v>#N/A</v>
      </c>
      <c r="AH567" s="55" t="e">
        <f t="shared" ca="1" si="170"/>
        <v>#N/A</v>
      </c>
      <c r="AI567" s="55" t="e">
        <f t="shared" ca="1" si="171"/>
        <v>#N/A</v>
      </c>
      <c r="AJ567" s="55" t="e">
        <f t="shared" ca="1" si="177"/>
        <v>#N/A</v>
      </c>
      <c r="AK567" s="55" t="e">
        <f t="shared" ca="1" si="178"/>
        <v>#N/A</v>
      </c>
      <c r="AL567" s="55" t="e">
        <f t="shared" ca="1" si="179"/>
        <v>#N/A</v>
      </c>
      <c r="AM567" s="55"/>
    </row>
    <row r="568" spans="18:39">
      <c r="R568" s="55" t="e">
        <f ca="1"/>
        <v>#N/A</v>
      </c>
      <c r="S568" s="55" t="e">
        <f t="shared" ca="1" si="161"/>
        <v>#N/A</v>
      </c>
      <c r="T568" s="55" t="e">
        <f t="shared" ca="1" si="162"/>
        <v>#N/A</v>
      </c>
      <c r="U568" s="55" t="e">
        <f t="shared" ca="1" si="163"/>
        <v>#N/A</v>
      </c>
      <c r="V568" s="55" t="e">
        <f t="shared" ca="1" si="164"/>
        <v>#N/A</v>
      </c>
      <c r="W568" s="55" t="e">
        <f t="shared" ca="1" si="174"/>
        <v>#N/A</v>
      </c>
      <c r="X568" s="55" t="e">
        <f t="shared" ca="1" si="175"/>
        <v>#N/A</v>
      </c>
      <c r="Y568" s="55" t="e">
        <f t="shared" ca="1" si="176"/>
        <v>#N/A</v>
      </c>
      <c r="Z568" s="55" t="e">
        <f t="shared" ca="1" si="172"/>
        <v>#N/A</v>
      </c>
      <c r="AA568" t="e">
        <f t="shared" ca="1" si="173"/>
        <v>#N/A</v>
      </c>
      <c r="AB568" t="e">
        <f t="shared" ca="1" si="165"/>
        <v>#N/A</v>
      </c>
      <c r="AC568" t="e">
        <f t="shared" ca="1" si="166"/>
        <v>#N/A</v>
      </c>
      <c r="AD568" t="e">
        <f t="shared" ca="1" si="167"/>
        <v>#N/A</v>
      </c>
      <c r="AE568" s="83" t="e">
        <f ca="1"/>
        <v>#N/A</v>
      </c>
      <c r="AF568" s="55" t="e">
        <f t="shared" ca="1" si="168"/>
        <v>#N/A</v>
      </c>
      <c r="AG568" s="55" t="e">
        <f t="shared" ca="1" si="169"/>
        <v>#N/A</v>
      </c>
      <c r="AH568" s="55" t="e">
        <f t="shared" ca="1" si="170"/>
        <v>#N/A</v>
      </c>
      <c r="AI568" s="55" t="e">
        <f t="shared" ca="1" si="171"/>
        <v>#N/A</v>
      </c>
      <c r="AJ568" s="55" t="e">
        <f t="shared" ca="1" si="177"/>
        <v>#N/A</v>
      </c>
      <c r="AK568" s="55" t="e">
        <f t="shared" ca="1" si="178"/>
        <v>#N/A</v>
      </c>
      <c r="AL568" s="55" t="e">
        <f t="shared" ca="1" si="179"/>
        <v>#N/A</v>
      </c>
      <c r="AM568" s="55"/>
    </row>
    <row r="569" spans="18:39">
      <c r="R569" s="55" t="e">
        <f ca="1"/>
        <v>#N/A</v>
      </c>
      <c r="S569" s="55" t="e">
        <f t="shared" ca="1" si="161"/>
        <v>#N/A</v>
      </c>
      <c r="T569" s="55" t="e">
        <f t="shared" ca="1" si="162"/>
        <v>#N/A</v>
      </c>
      <c r="U569" s="55" t="e">
        <f t="shared" ca="1" si="163"/>
        <v>#N/A</v>
      </c>
      <c r="V569" s="55" t="e">
        <f t="shared" ca="1" si="164"/>
        <v>#N/A</v>
      </c>
      <c r="W569" s="55" t="e">
        <f t="shared" ca="1" si="174"/>
        <v>#N/A</v>
      </c>
      <c r="X569" s="55" t="e">
        <f t="shared" ca="1" si="175"/>
        <v>#N/A</v>
      </c>
      <c r="Y569" s="55" t="e">
        <f t="shared" ca="1" si="176"/>
        <v>#N/A</v>
      </c>
      <c r="Z569" s="55" t="e">
        <f t="shared" ca="1" si="172"/>
        <v>#N/A</v>
      </c>
      <c r="AA569" t="e">
        <f t="shared" ca="1" si="173"/>
        <v>#N/A</v>
      </c>
      <c r="AB569" t="e">
        <f t="shared" ca="1" si="165"/>
        <v>#N/A</v>
      </c>
      <c r="AC569" t="e">
        <f t="shared" ca="1" si="166"/>
        <v>#N/A</v>
      </c>
      <c r="AD569" t="e">
        <f t="shared" ca="1" si="167"/>
        <v>#N/A</v>
      </c>
      <c r="AE569" s="83" t="e">
        <f ca="1"/>
        <v>#N/A</v>
      </c>
      <c r="AF569" s="55" t="e">
        <f t="shared" ca="1" si="168"/>
        <v>#N/A</v>
      </c>
      <c r="AG569" s="55" t="e">
        <f t="shared" ca="1" si="169"/>
        <v>#N/A</v>
      </c>
      <c r="AH569" s="55" t="e">
        <f t="shared" ca="1" si="170"/>
        <v>#N/A</v>
      </c>
      <c r="AI569" s="55" t="e">
        <f t="shared" ca="1" si="171"/>
        <v>#N/A</v>
      </c>
      <c r="AJ569" s="55" t="e">
        <f t="shared" ca="1" si="177"/>
        <v>#N/A</v>
      </c>
      <c r="AK569" s="55" t="e">
        <f t="shared" ca="1" si="178"/>
        <v>#N/A</v>
      </c>
      <c r="AL569" s="55" t="e">
        <f t="shared" ca="1" si="179"/>
        <v>#N/A</v>
      </c>
      <c r="AM569" s="55"/>
    </row>
    <row r="570" spans="18:39">
      <c r="R570" s="55" t="e">
        <f ca="1"/>
        <v>#N/A</v>
      </c>
      <c r="S570" s="55" t="e">
        <f t="shared" ca="1" si="161"/>
        <v>#N/A</v>
      </c>
      <c r="T570" s="55" t="e">
        <f t="shared" ca="1" si="162"/>
        <v>#N/A</v>
      </c>
      <c r="U570" s="55" t="e">
        <f t="shared" ca="1" si="163"/>
        <v>#N/A</v>
      </c>
      <c r="V570" s="55" t="e">
        <f t="shared" ca="1" si="164"/>
        <v>#N/A</v>
      </c>
      <c r="W570" s="55" t="e">
        <f t="shared" ca="1" si="174"/>
        <v>#N/A</v>
      </c>
      <c r="X570" s="55" t="e">
        <f t="shared" ca="1" si="175"/>
        <v>#N/A</v>
      </c>
      <c r="Y570" s="55" t="e">
        <f t="shared" ca="1" si="176"/>
        <v>#N/A</v>
      </c>
      <c r="Z570" s="55" t="e">
        <f t="shared" ca="1" si="172"/>
        <v>#N/A</v>
      </c>
      <c r="AA570" t="e">
        <f t="shared" ca="1" si="173"/>
        <v>#N/A</v>
      </c>
      <c r="AB570" t="e">
        <f t="shared" ca="1" si="165"/>
        <v>#N/A</v>
      </c>
      <c r="AC570" t="e">
        <f t="shared" ca="1" si="166"/>
        <v>#N/A</v>
      </c>
      <c r="AD570" t="e">
        <f t="shared" ca="1" si="167"/>
        <v>#N/A</v>
      </c>
      <c r="AE570" s="83" t="e">
        <f ca="1"/>
        <v>#N/A</v>
      </c>
      <c r="AF570" s="55" t="e">
        <f t="shared" ca="1" si="168"/>
        <v>#N/A</v>
      </c>
      <c r="AG570" s="55" t="e">
        <f t="shared" ca="1" si="169"/>
        <v>#N/A</v>
      </c>
      <c r="AH570" s="55" t="e">
        <f t="shared" ca="1" si="170"/>
        <v>#N/A</v>
      </c>
      <c r="AI570" s="55" t="e">
        <f t="shared" ca="1" si="171"/>
        <v>#N/A</v>
      </c>
      <c r="AJ570" s="55" t="e">
        <f t="shared" ca="1" si="177"/>
        <v>#N/A</v>
      </c>
      <c r="AK570" s="55" t="e">
        <f t="shared" ca="1" si="178"/>
        <v>#N/A</v>
      </c>
      <c r="AL570" s="55" t="e">
        <f t="shared" ca="1" si="179"/>
        <v>#N/A</v>
      </c>
      <c r="AM570" s="55"/>
    </row>
    <row r="571" spans="18:39">
      <c r="R571" s="55" t="e">
        <f ca="1"/>
        <v>#N/A</v>
      </c>
      <c r="S571" s="55" t="e">
        <f t="shared" ca="1" si="161"/>
        <v>#N/A</v>
      </c>
      <c r="T571" s="55" t="e">
        <f t="shared" ca="1" si="162"/>
        <v>#N/A</v>
      </c>
      <c r="U571" s="55" t="e">
        <f t="shared" ca="1" si="163"/>
        <v>#N/A</v>
      </c>
      <c r="V571" s="55" t="e">
        <f t="shared" ca="1" si="164"/>
        <v>#N/A</v>
      </c>
      <c r="W571" s="55" t="e">
        <f t="shared" ca="1" si="174"/>
        <v>#N/A</v>
      </c>
      <c r="X571" s="55" t="e">
        <f t="shared" ca="1" si="175"/>
        <v>#N/A</v>
      </c>
      <c r="Y571" s="55" t="e">
        <f t="shared" ca="1" si="176"/>
        <v>#N/A</v>
      </c>
      <c r="Z571" s="55" t="e">
        <f t="shared" ca="1" si="172"/>
        <v>#N/A</v>
      </c>
      <c r="AA571" t="e">
        <f t="shared" ca="1" si="173"/>
        <v>#N/A</v>
      </c>
      <c r="AB571" t="e">
        <f t="shared" ca="1" si="165"/>
        <v>#N/A</v>
      </c>
      <c r="AC571" t="e">
        <f t="shared" ca="1" si="166"/>
        <v>#N/A</v>
      </c>
      <c r="AD571" t="e">
        <f t="shared" ca="1" si="167"/>
        <v>#N/A</v>
      </c>
      <c r="AE571" s="83" t="e">
        <f ca="1"/>
        <v>#N/A</v>
      </c>
      <c r="AF571" s="55" t="e">
        <f t="shared" ca="1" si="168"/>
        <v>#N/A</v>
      </c>
      <c r="AG571" s="55" t="e">
        <f t="shared" ca="1" si="169"/>
        <v>#N/A</v>
      </c>
      <c r="AH571" s="55" t="e">
        <f t="shared" ca="1" si="170"/>
        <v>#N/A</v>
      </c>
      <c r="AI571" s="55" t="e">
        <f t="shared" ca="1" si="171"/>
        <v>#N/A</v>
      </c>
      <c r="AJ571" s="55" t="e">
        <f t="shared" ca="1" si="177"/>
        <v>#N/A</v>
      </c>
      <c r="AK571" s="55" t="e">
        <f t="shared" ca="1" si="178"/>
        <v>#N/A</v>
      </c>
      <c r="AL571" s="55" t="e">
        <f t="shared" ca="1" si="179"/>
        <v>#N/A</v>
      </c>
      <c r="AM571" s="55"/>
    </row>
    <row r="572" spans="18:39">
      <c r="R572" s="55" t="e">
        <f ca="1"/>
        <v>#N/A</v>
      </c>
      <c r="S572" s="55" t="e">
        <f t="shared" ca="1" si="161"/>
        <v>#N/A</v>
      </c>
      <c r="T572" s="55" t="e">
        <f t="shared" ca="1" si="162"/>
        <v>#N/A</v>
      </c>
      <c r="U572" s="55" t="e">
        <f t="shared" ca="1" si="163"/>
        <v>#N/A</v>
      </c>
      <c r="V572" s="55" t="e">
        <f t="shared" ca="1" si="164"/>
        <v>#N/A</v>
      </c>
      <c r="W572" s="55" t="e">
        <f t="shared" ca="1" si="174"/>
        <v>#N/A</v>
      </c>
      <c r="X572" s="55" t="e">
        <f t="shared" ca="1" si="175"/>
        <v>#N/A</v>
      </c>
      <c r="Y572" s="55" t="e">
        <f t="shared" ca="1" si="176"/>
        <v>#N/A</v>
      </c>
      <c r="Z572" s="55" t="e">
        <f t="shared" ca="1" si="172"/>
        <v>#N/A</v>
      </c>
      <c r="AA572" t="e">
        <f t="shared" ca="1" si="173"/>
        <v>#N/A</v>
      </c>
      <c r="AB572" t="e">
        <f t="shared" ca="1" si="165"/>
        <v>#N/A</v>
      </c>
      <c r="AC572" t="e">
        <f t="shared" ca="1" si="166"/>
        <v>#N/A</v>
      </c>
      <c r="AD572" t="e">
        <f t="shared" ca="1" si="167"/>
        <v>#N/A</v>
      </c>
      <c r="AE572" s="83" t="e">
        <f ca="1"/>
        <v>#N/A</v>
      </c>
      <c r="AF572" s="55" t="e">
        <f t="shared" ca="1" si="168"/>
        <v>#N/A</v>
      </c>
      <c r="AG572" s="55" t="e">
        <f t="shared" ca="1" si="169"/>
        <v>#N/A</v>
      </c>
      <c r="AH572" s="55" t="e">
        <f t="shared" ca="1" si="170"/>
        <v>#N/A</v>
      </c>
      <c r="AI572" s="55" t="e">
        <f t="shared" ca="1" si="171"/>
        <v>#N/A</v>
      </c>
      <c r="AJ572" s="55" t="e">
        <f t="shared" ca="1" si="177"/>
        <v>#N/A</v>
      </c>
      <c r="AK572" s="55" t="e">
        <f t="shared" ca="1" si="178"/>
        <v>#N/A</v>
      </c>
      <c r="AL572" s="55" t="e">
        <f t="shared" ca="1" si="179"/>
        <v>#N/A</v>
      </c>
      <c r="AM572" s="55"/>
    </row>
    <row r="573" spans="18:39">
      <c r="R573" s="55" t="e">
        <f ca="1"/>
        <v>#N/A</v>
      </c>
      <c r="S573" s="55" t="e">
        <f t="shared" ca="1" si="161"/>
        <v>#N/A</v>
      </c>
      <c r="T573" s="55" t="e">
        <f t="shared" ca="1" si="162"/>
        <v>#N/A</v>
      </c>
      <c r="U573" s="55" t="e">
        <f t="shared" ca="1" si="163"/>
        <v>#N/A</v>
      </c>
      <c r="V573" s="55" t="e">
        <f t="shared" ca="1" si="164"/>
        <v>#N/A</v>
      </c>
      <c r="W573" s="55" t="e">
        <f t="shared" ca="1" si="174"/>
        <v>#N/A</v>
      </c>
      <c r="X573" s="55" t="e">
        <f t="shared" ca="1" si="175"/>
        <v>#N/A</v>
      </c>
      <c r="Y573" s="55" t="e">
        <f t="shared" ca="1" si="176"/>
        <v>#N/A</v>
      </c>
      <c r="Z573" s="55" t="e">
        <f t="shared" ca="1" si="172"/>
        <v>#N/A</v>
      </c>
      <c r="AA573" t="e">
        <f t="shared" ca="1" si="173"/>
        <v>#N/A</v>
      </c>
      <c r="AB573" t="e">
        <f t="shared" ca="1" si="165"/>
        <v>#N/A</v>
      </c>
      <c r="AC573" t="e">
        <f t="shared" ca="1" si="166"/>
        <v>#N/A</v>
      </c>
      <c r="AD573" t="e">
        <f t="shared" ca="1" si="167"/>
        <v>#N/A</v>
      </c>
      <c r="AE573" s="83" t="e">
        <f ca="1"/>
        <v>#N/A</v>
      </c>
      <c r="AF573" s="55" t="e">
        <f t="shared" ca="1" si="168"/>
        <v>#N/A</v>
      </c>
      <c r="AG573" s="55" t="e">
        <f t="shared" ca="1" si="169"/>
        <v>#N/A</v>
      </c>
      <c r="AH573" s="55" t="e">
        <f t="shared" ca="1" si="170"/>
        <v>#N/A</v>
      </c>
      <c r="AI573" s="55" t="e">
        <f t="shared" ca="1" si="171"/>
        <v>#N/A</v>
      </c>
      <c r="AJ573" s="55" t="e">
        <f t="shared" ca="1" si="177"/>
        <v>#N/A</v>
      </c>
      <c r="AK573" s="55" t="e">
        <f t="shared" ca="1" si="178"/>
        <v>#N/A</v>
      </c>
      <c r="AL573" s="55" t="e">
        <f t="shared" ca="1" si="179"/>
        <v>#N/A</v>
      </c>
      <c r="AM573" s="55"/>
    </row>
    <row r="574" spans="18:39">
      <c r="R574" s="55" t="e">
        <f ca="1"/>
        <v>#N/A</v>
      </c>
      <c r="S574" s="55" t="e">
        <f t="shared" ca="1" si="161"/>
        <v>#N/A</v>
      </c>
      <c r="T574" s="55" t="e">
        <f t="shared" ca="1" si="162"/>
        <v>#N/A</v>
      </c>
      <c r="U574" s="55" t="e">
        <f t="shared" ca="1" si="163"/>
        <v>#N/A</v>
      </c>
      <c r="V574" s="55" t="e">
        <f t="shared" ca="1" si="164"/>
        <v>#N/A</v>
      </c>
      <c r="W574" s="55" t="e">
        <f t="shared" ca="1" si="174"/>
        <v>#N/A</v>
      </c>
      <c r="X574" s="55" t="e">
        <f t="shared" ca="1" si="175"/>
        <v>#N/A</v>
      </c>
      <c r="Y574" s="55" t="e">
        <f t="shared" ca="1" si="176"/>
        <v>#N/A</v>
      </c>
      <c r="Z574" s="55" t="e">
        <f t="shared" ca="1" si="172"/>
        <v>#N/A</v>
      </c>
      <c r="AA574" t="e">
        <f t="shared" ca="1" si="173"/>
        <v>#N/A</v>
      </c>
      <c r="AB574" t="e">
        <f t="shared" ca="1" si="165"/>
        <v>#N/A</v>
      </c>
      <c r="AC574" t="e">
        <f t="shared" ca="1" si="166"/>
        <v>#N/A</v>
      </c>
      <c r="AD574" t="e">
        <f t="shared" ca="1" si="167"/>
        <v>#N/A</v>
      </c>
      <c r="AE574" s="83" t="e">
        <f ca="1"/>
        <v>#N/A</v>
      </c>
      <c r="AF574" s="55" t="e">
        <f t="shared" ca="1" si="168"/>
        <v>#N/A</v>
      </c>
      <c r="AG574" s="55" t="e">
        <f t="shared" ca="1" si="169"/>
        <v>#N/A</v>
      </c>
      <c r="AH574" s="55" t="e">
        <f t="shared" ca="1" si="170"/>
        <v>#N/A</v>
      </c>
      <c r="AI574" s="55" t="e">
        <f t="shared" ca="1" si="171"/>
        <v>#N/A</v>
      </c>
      <c r="AJ574" s="55" t="e">
        <f t="shared" ca="1" si="177"/>
        <v>#N/A</v>
      </c>
      <c r="AK574" s="55" t="e">
        <f t="shared" ca="1" si="178"/>
        <v>#N/A</v>
      </c>
      <c r="AL574" s="55" t="e">
        <f t="shared" ca="1" si="179"/>
        <v>#N/A</v>
      </c>
      <c r="AM574" s="55"/>
    </row>
    <row r="575" spans="18:39">
      <c r="R575" s="55" t="e">
        <f ca="1"/>
        <v>#N/A</v>
      </c>
      <c r="S575" s="55" t="e">
        <f t="shared" ca="1" si="161"/>
        <v>#N/A</v>
      </c>
      <c r="T575" s="55" t="e">
        <f t="shared" ca="1" si="162"/>
        <v>#N/A</v>
      </c>
      <c r="U575" s="55" t="e">
        <f t="shared" ca="1" si="163"/>
        <v>#N/A</v>
      </c>
      <c r="V575" s="55" t="e">
        <f t="shared" ca="1" si="164"/>
        <v>#N/A</v>
      </c>
      <c r="W575" s="55" t="e">
        <f t="shared" ca="1" si="174"/>
        <v>#N/A</v>
      </c>
      <c r="X575" s="55" t="e">
        <f t="shared" ca="1" si="175"/>
        <v>#N/A</v>
      </c>
      <c r="Y575" s="55" t="e">
        <f t="shared" ca="1" si="176"/>
        <v>#N/A</v>
      </c>
      <c r="Z575" s="55" t="e">
        <f t="shared" ca="1" si="172"/>
        <v>#N/A</v>
      </c>
      <c r="AA575" t="e">
        <f t="shared" ca="1" si="173"/>
        <v>#N/A</v>
      </c>
      <c r="AB575" t="e">
        <f t="shared" ca="1" si="165"/>
        <v>#N/A</v>
      </c>
      <c r="AC575" t="e">
        <f t="shared" ca="1" si="166"/>
        <v>#N/A</v>
      </c>
      <c r="AD575" t="e">
        <f t="shared" ca="1" si="167"/>
        <v>#N/A</v>
      </c>
      <c r="AE575" s="83" t="e">
        <f ca="1"/>
        <v>#N/A</v>
      </c>
      <c r="AF575" s="55" t="e">
        <f t="shared" ca="1" si="168"/>
        <v>#N/A</v>
      </c>
      <c r="AG575" s="55" t="e">
        <f t="shared" ca="1" si="169"/>
        <v>#N/A</v>
      </c>
      <c r="AH575" s="55" t="e">
        <f t="shared" ca="1" si="170"/>
        <v>#N/A</v>
      </c>
      <c r="AI575" s="55" t="e">
        <f t="shared" ca="1" si="171"/>
        <v>#N/A</v>
      </c>
      <c r="AJ575" s="55" t="e">
        <f t="shared" ca="1" si="177"/>
        <v>#N/A</v>
      </c>
      <c r="AK575" s="55" t="e">
        <f t="shared" ca="1" si="178"/>
        <v>#N/A</v>
      </c>
      <c r="AL575" s="55" t="e">
        <f t="shared" ca="1" si="179"/>
        <v>#N/A</v>
      </c>
      <c r="AM575" s="55"/>
    </row>
    <row r="576" spans="18:39">
      <c r="R576" s="55" t="e">
        <f ca="1"/>
        <v>#N/A</v>
      </c>
      <c r="S576" s="55" t="e">
        <f t="shared" ca="1" si="161"/>
        <v>#N/A</v>
      </c>
      <c r="T576" s="55" t="e">
        <f t="shared" ca="1" si="162"/>
        <v>#N/A</v>
      </c>
      <c r="U576" s="55" t="e">
        <f t="shared" ca="1" si="163"/>
        <v>#N/A</v>
      </c>
      <c r="V576" s="55" t="e">
        <f t="shared" ca="1" si="164"/>
        <v>#N/A</v>
      </c>
      <c r="W576" s="55" t="e">
        <f t="shared" ca="1" si="174"/>
        <v>#N/A</v>
      </c>
      <c r="X576" s="55" t="e">
        <f t="shared" ca="1" si="175"/>
        <v>#N/A</v>
      </c>
      <c r="Y576" s="55" t="e">
        <f t="shared" ca="1" si="176"/>
        <v>#N/A</v>
      </c>
      <c r="Z576" s="55" t="e">
        <f t="shared" ca="1" si="172"/>
        <v>#N/A</v>
      </c>
      <c r="AA576" t="e">
        <f t="shared" ca="1" si="173"/>
        <v>#N/A</v>
      </c>
      <c r="AB576" t="e">
        <f t="shared" ca="1" si="165"/>
        <v>#N/A</v>
      </c>
      <c r="AC576" t="e">
        <f t="shared" ca="1" si="166"/>
        <v>#N/A</v>
      </c>
      <c r="AD576" t="e">
        <f t="shared" ca="1" si="167"/>
        <v>#N/A</v>
      </c>
      <c r="AE576" s="83" t="e">
        <f ca="1"/>
        <v>#N/A</v>
      </c>
      <c r="AF576" s="55" t="e">
        <f t="shared" ca="1" si="168"/>
        <v>#N/A</v>
      </c>
      <c r="AG576" s="55" t="e">
        <f t="shared" ca="1" si="169"/>
        <v>#N/A</v>
      </c>
      <c r="AH576" s="55" t="e">
        <f t="shared" ca="1" si="170"/>
        <v>#N/A</v>
      </c>
      <c r="AI576" s="55" t="e">
        <f t="shared" ca="1" si="171"/>
        <v>#N/A</v>
      </c>
      <c r="AJ576" s="55" t="e">
        <f t="shared" ca="1" si="177"/>
        <v>#N/A</v>
      </c>
      <c r="AK576" s="55" t="e">
        <f t="shared" ca="1" si="178"/>
        <v>#N/A</v>
      </c>
      <c r="AL576" s="55" t="e">
        <f t="shared" ca="1" si="179"/>
        <v>#N/A</v>
      </c>
      <c r="AM576" s="55"/>
    </row>
    <row r="577" spans="18:39">
      <c r="R577" s="55" t="e">
        <f ca="1"/>
        <v>#N/A</v>
      </c>
      <c r="S577" s="55" t="e">
        <f t="shared" ca="1" si="161"/>
        <v>#N/A</v>
      </c>
      <c r="T577" s="55" t="e">
        <f t="shared" ca="1" si="162"/>
        <v>#N/A</v>
      </c>
      <c r="U577" s="55" t="e">
        <f t="shared" ca="1" si="163"/>
        <v>#N/A</v>
      </c>
      <c r="V577" s="55" t="e">
        <f t="shared" ca="1" si="164"/>
        <v>#N/A</v>
      </c>
      <c r="W577" s="55" t="e">
        <f t="shared" ca="1" si="174"/>
        <v>#N/A</v>
      </c>
      <c r="X577" s="55" t="e">
        <f t="shared" ca="1" si="175"/>
        <v>#N/A</v>
      </c>
      <c r="Y577" s="55" t="e">
        <f t="shared" ca="1" si="176"/>
        <v>#N/A</v>
      </c>
      <c r="Z577" s="55" t="e">
        <f t="shared" ca="1" si="172"/>
        <v>#N/A</v>
      </c>
      <c r="AA577" t="e">
        <f t="shared" ca="1" si="173"/>
        <v>#N/A</v>
      </c>
      <c r="AB577" t="e">
        <f t="shared" ca="1" si="165"/>
        <v>#N/A</v>
      </c>
      <c r="AC577" t="e">
        <f t="shared" ca="1" si="166"/>
        <v>#N/A</v>
      </c>
      <c r="AD577" t="e">
        <f t="shared" ca="1" si="167"/>
        <v>#N/A</v>
      </c>
      <c r="AE577" s="83" t="e">
        <f ca="1"/>
        <v>#N/A</v>
      </c>
      <c r="AF577" s="55" t="e">
        <f t="shared" ca="1" si="168"/>
        <v>#N/A</v>
      </c>
      <c r="AG577" s="55" t="e">
        <f t="shared" ca="1" si="169"/>
        <v>#N/A</v>
      </c>
      <c r="AH577" s="55" t="e">
        <f t="shared" ca="1" si="170"/>
        <v>#N/A</v>
      </c>
      <c r="AI577" s="55" t="e">
        <f t="shared" ca="1" si="171"/>
        <v>#N/A</v>
      </c>
      <c r="AJ577" s="55" t="e">
        <f t="shared" ca="1" si="177"/>
        <v>#N/A</v>
      </c>
      <c r="AK577" s="55" t="e">
        <f t="shared" ca="1" si="178"/>
        <v>#N/A</v>
      </c>
      <c r="AL577" s="55" t="e">
        <f t="shared" ca="1" si="179"/>
        <v>#N/A</v>
      </c>
      <c r="AM577" s="55"/>
    </row>
    <row r="578" spans="18:39">
      <c r="R578" s="55" t="e">
        <f ca="1"/>
        <v>#N/A</v>
      </c>
      <c r="S578" s="55" t="e">
        <f t="shared" ca="1" si="161"/>
        <v>#N/A</v>
      </c>
      <c r="T578" s="55" t="e">
        <f t="shared" ca="1" si="162"/>
        <v>#N/A</v>
      </c>
      <c r="U578" s="55" t="e">
        <f t="shared" ca="1" si="163"/>
        <v>#N/A</v>
      </c>
      <c r="V578" s="55" t="e">
        <f t="shared" ca="1" si="164"/>
        <v>#N/A</v>
      </c>
      <c r="W578" s="55" t="e">
        <f t="shared" ca="1" si="174"/>
        <v>#N/A</v>
      </c>
      <c r="X578" s="55" t="e">
        <f t="shared" ca="1" si="175"/>
        <v>#N/A</v>
      </c>
      <c r="Y578" s="55" t="e">
        <f t="shared" ca="1" si="176"/>
        <v>#N/A</v>
      </c>
      <c r="Z578" s="55" t="e">
        <f t="shared" ca="1" si="172"/>
        <v>#N/A</v>
      </c>
      <c r="AA578" t="e">
        <f t="shared" ca="1" si="173"/>
        <v>#N/A</v>
      </c>
      <c r="AB578" t="e">
        <f t="shared" ca="1" si="165"/>
        <v>#N/A</v>
      </c>
      <c r="AC578" t="e">
        <f t="shared" ca="1" si="166"/>
        <v>#N/A</v>
      </c>
      <c r="AD578" t="e">
        <f t="shared" ca="1" si="167"/>
        <v>#N/A</v>
      </c>
      <c r="AE578" s="83" t="e">
        <f ca="1"/>
        <v>#N/A</v>
      </c>
      <c r="AF578" s="55" t="e">
        <f t="shared" ca="1" si="168"/>
        <v>#N/A</v>
      </c>
      <c r="AG578" s="55" t="e">
        <f t="shared" ca="1" si="169"/>
        <v>#N/A</v>
      </c>
      <c r="AH578" s="55" t="e">
        <f t="shared" ca="1" si="170"/>
        <v>#N/A</v>
      </c>
      <c r="AI578" s="55" t="e">
        <f t="shared" ca="1" si="171"/>
        <v>#N/A</v>
      </c>
      <c r="AJ578" s="55" t="e">
        <f t="shared" ca="1" si="177"/>
        <v>#N/A</v>
      </c>
      <c r="AK578" s="55" t="e">
        <f t="shared" ca="1" si="178"/>
        <v>#N/A</v>
      </c>
      <c r="AL578" s="55" t="e">
        <f t="shared" ca="1" si="179"/>
        <v>#N/A</v>
      </c>
      <c r="AM578" s="55"/>
    </row>
    <row r="579" spans="18:39">
      <c r="R579" s="55" t="e">
        <f ca="1"/>
        <v>#N/A</v>
      </c>
      <c r="S579" s="55" t="e">
        <f t="shared" ca="1" si="161"/>
        <v>#N/A</v>
      </c>
      <c r="T579" s="55" t="e">
        <f t="shared" ca="1" si="162"/>
        <v>#N/A</v>
      </c>
      <c r="U579" s="55" t="e">
        <f t="shared" ca="1" si="163"/>
        <v>#N/A</v>
      </c>
      <c r="V579" s="55" t="e">
        <f t="shared" ca="1" si="164"/>
        <v>#N/A</v>
      </c>
      <c r="W579" s="55" t="e">
        <f t="shared" ca="1" si="174"/>
        <v>#N/A</v>
      </c>
      <c r="X579" s="55" t="e">
        <f t="shared" ca="1" si="175"/>
        <v>#N/A</v>
      </c>
      <c r="Y579" s="55" t="e">
        <f t="shared" ca="1" si="176"/>
        <v>#N/A</v>
      </c>
      <c r="Z579" s="55" t="e">
        <f t="shared" ca="1" si="172"/>
        <v>#N/A</v>
      </c>
      <c r="AA579" t="e">
        <f t="shared" ca="1" si="173"/>
        <v>#N/A</v>
      </c>
      <c r="AB579" t="e">
        <f t="shared" ca="1" si="165"/>
        <v>#N/A</v>
      </c>
      <c r="AC579" t="e">
        <f t="shared" ca="1" si="166"/>
        <v>#N/A</v>
      </c>
      <c r="AD579" t="e">
        <f t="shared" ca="1" si="167"/>
        <v>#N/A</v>
      </c>
      <c r="AE579" s="83" t="e">
        <f ca="1"/>
        <v>#N/A</v>
      </c>
      <c r="AF579" s="55" t="e">
        <f t="shared" ca="1" si="168"/>
        <v>#N/A</v>
      </c>
      <c r="AG579" s="55" t="e">
        <f t="shared" ca="1" si="169"/>
        <v>#N/A</v>
      </c>
      <c r="AH579" s="55" t="e">
        <f t="shared" ca="1" si="170"/>
        <v>#N/A</v>
      </c>
      <c r="AI579" s="55" t="e">
        <f t="shared" ca="1" si="171"/>
        <v>#N/A</v>
      </c>
      <c r="AJ579" s="55" t="e">
        <f t="shared" ca="1" si="177"/>
        <v>#N/A</v>
      </c>
      <c r="AK579" s="55" t="e">
        <f t="shared" ca="1" si="178"/>
        <v>#N/A</v>
      </c>
      <c r="AL579" s="55" t="e">
        <f t="shared" ca="1" si="179"/>
        <v>#N/A</v>
      </c>
      <c r="AM579" s="55"/>
    </row>
    <row r="580" spans="18:39">
      <c r="R580" s="55" t="e">
        <f ca="1"/>
        <v>#N/A</v>
      </c>
      <c r="S580" s="55" t="e">
        <f t="shared" ca="1" si="161"/>
        <v>#N/A</v>
      </c>
      <c r="T580" s="55" t="e">
        <f t="shared" ca="1" si="162"/>
        <v>#N/A</v>
      </c>
      <c r="U580" s="55" t="e">
        <f t="shared" ca="1" si="163"/>
        <v>#N/A</v>
      </c>
      <c r="V580" s="55" t="e">
        <f t="shared" ca="1" si="164"/>
        <v>#N/A</v>
      </c>
      <c r="W580" s="55" t="e">
        <f t="shared" ca="1" si="174"/>
        <v>#N/A</v>
      </c>
      <c r="X580" s="55" t="e">
        <f t="shared" ca="1" si="175"/>
        <v>#N/A</v>
      </c>
      <c r="Y580" s="55" t="e">
        <f t="shared" ca="1" si="176"/>
        <v>#N/A</v>
      </c>
      <c r="Z580" s="55" t="e">
        <f t="shared" ca="1" si="172"/>
        <v>#N/A</v>
      </c>
      <c r="AA580" t="e">
        <f t="shared" ca="1" si="173"/>
        <v>#N/A</v>
      </c>
      <c r="AB580" t="e">
        <f t="shared" ca="1" si="165"/>
        <v>#N/A</v>
      </c>
      <c r="AC580" t="e">
        <f t="shared" ca="1" si="166"/>
        <v>#N/A</v>
      </c>
      <c r="AD580" t="e">
        <f t="shared" ca="1" si="167"/>
        <v>#N/A</v>
      </c>
      <c r="AE580" s="83" t="e">
        <f ca="1"/>
        <v>#N/A</v>
      </c>
      <c r="AF580" s="55" t="e">
        <f t="shared" ca="1" si="168"/>
        <v>#N/A</v>
      </c>
      <c r="AG580" s="55" t="e">
        <f t="shared" ca="1" si="169"/>
        <v>#N/A</v>
      </c>
      <c r="AH580" s="55" t="e">
        <f t="shared" ca="1" si="170"/>
        <v>#N/A</v>
      </c>
      <c r="AI580" s="55" t="e">
        <f t="shared" ca="1" si="171"/>
        <v>#N/A</v>
      </c>
      <c r="AJ580" s="55" t="e">
        <f t="shared" ca="1" si="177"/>
        <v>#N/A</v>
      </c>
      <c r="AK580" s="55" t="e">
        <f t="shared" ca="1" si="178"/>
        <v>#N/A</v>
      </c>
      <c r="AL580" s="55" t="e">
        <f t="shared" ca="1" si="179"/>
        <v>#N/A</v>
      </c>
      <c r="AM580" s="55"/>
    </row>
    <row r="581" spans="18:39">
      <c r="R581" s="55" t="e">
        <f ca="1"/>
        <v>#N/A</v>
      </c>
      <c r="S581" s="55" t="e">
        <f t="shared" ca="1" si="161"/>
        <v>#N/A</v>
      </c>
      <c r="T581" s="55" t="e">
        <f t="shared" ca="1" si="162"/>
        <v>#N/A</v>
      </c>
      <c r="U581" s="55" t="e">
        <f t="shared" ca="1" si="163"/>
        <v>#N/A</v>
      </c>
      <c r="V581" s="55" t="e">
        <f t="shared" ca="1" si="164"/>
        <v>#N/A</v>
      </c>
      <c r="W581" s="55" t="e">
        <f t="shared" ca="1" si="174"/>
        <v>#N/A</v>
      </c>
      <c r="X581" s="55" t="e">
        <f t="shared" ca="1" si="175"/>
        <v>#N/A</v>
      </c>
      <c r="Y581" s="55" t="e">
        <f t="shared" ca="1" si="176"/>
        <v>#N/A</v>
      </c>
      <c r="Z581" s="55" t="e">
        <f t="shared" ca="1" si="172"/>
        <v>#N/A</v>
      </c>
      <c r="AA581" t="e">
        <f t="shared" ca="1" si="173"/>
        <v>#N/A</v>
      </c>
      <c r="AB581" t="e">
        <f t="shared" ca="1" si="165"/>
        <v>#N/A</v>
      </c>
      <c r="AC581" t="e">
        <f t="shared" ca="1" si="166"/>
        <v>#N/A</v>
      </c>
      <c r="AD581" t="e">
        <f t="shared" ca="1" si="167"/>
        <v>#N/A</v>
      </c>
      <c r="AE581" s="83" t="e">
        <f ca="1"/>
        <v>#N/A</v>
      </c>
      <c r="AF581" s="55" t="e">
        <f t="shared" ca="1" si="168"/>
        <v>#N/A</v>
      </c>
      <c r="AG581" s="55" t="e">
        <f t="shared" ca="1" si="169"/>
        <v>#N/A</v>
      </c>
      <c r="AH581" s="55" t="e">
        <f t="shared" ca="1" si="170"/>
        <v>#N/A</v>
      </c>
      <c r="AI581" s="55" t="e">
        <f t="shared" ca="1" si="171"/>
        <v>#N/A</v>
      </c>
      <c r="AJ581" s="55" t="e">
        <f t="shared" ca="1" si="177"/>
        <v>#N/A</v>
      </c>
      <c r="AK581" s="55" t="e">
        <f t="shared" ca="1" si="178"/>
        <v>#N/A</v>
      </c>
      <c r="AL581" s="55" t="e">
        <f t="shared" ca="1" si="179"/>
        <v>#N/A</v>
      </c>
      <c r="AM581" s="55"/>
    </row>
    <row r="582" spans="18:39">
      <c r="R582" s="55" t="e">
        <f ca="1"/>
        <v>#N/A</v>
      </c>
      <c r="S582" s="55" t="e">
        <f t="shared" ca="1" si="161"/>
        <v>#N/A</v>
      </c>
      <c r="T582" s="55" t="e">
        <f t="shared" ca="1" si="162"/>
        <v>#N/A</v>
      </c>
      <c r="U582" s="55" t="e">
        <f t="shared" ca="1" si="163"/>
        <v>#N/A</v>
      </c>
      <c r="V582" s="55" t="e">
        <f t="shared" ca="1" si="164"/>
        <v>#N/A</v>
      </c>
      <c r="W582" s="55" t="e">
        <f t="shared" ca="1" si="174"/>
        <v>#N/A</v>
      </c>
      <c r="X582" s="55" t="e">
        <f t="shared" ca="1" si="175"/>
        <v>#N/A</v>
      </c>
      <c r="Y582" s="55" t="e">
        <f t="shared" ca="1" si="176"/>
        <v>#N/A</v>
      </c>
      <c r="Z582" s="55" t="e">
        <f t="shared" ca="1" si="172"/>
        <v>#N/A</v>
      </c>
      <c r="AA582" t="e">
        <f t="shared" ca="1" si="173"/>
        <v>#N/A</v>
      </c>
      <c r="AB582" t="e">
        <f t="shared" ca="1" si="165"/>
        <v>#N/A</v>
      </c>
      <c r="AC582" t="e">
        <f t="shared" ca="1" si="166"/>
        <v>#N/A</v>
      </c>
      <c r="AD582" t="e">
        <f t="shared" ca="1" si="167"/>
        <v>#N/A</v>
      </c>
      <c r="AE582" s="83" t="e">
        <f ca="1"/>
        <v>#N/A</v>
      </c>
      <c r="AF582" s="55" t="e">
        <f t="shared" ca="1" si="168"/>
        <v>#N/A</v>
      </c>
      <c r="AG582" s="55" t="e">
        <f t="shared" ca="1" si="169"/>
        <v>#N/A</v>
      </c>
      <c r="AH582" s="55" t="e">
        <f t="shared" ca="1" si="170"/>
        <v>#N/A</v>
      </c>
      <c r="AI582" s="55" t="e">
        <f t="shared" ca="1" si="171"/>
        <v>#N/A</v>
      </c>
      <c r="AJ582" s="55" t="e">
        <f t="shared" ca="1" si="177"/>
        <v>#N/A</v>
      </c>
      <c r="AK582" s="55" t="e">
        <f t="shared" ca="1" si="178"/>
        <v>#N/A</v>
      </c>
      <c r="AL582" s="55" t="e">
        <f t="shared" ca="1" si="179"/>
        <v>#N/A</v>
      </c>
      <c r="AM582" s="55"/>
    </row>
    <row r="583" spans="18:39">
      <c r="R583" s="55" t="e">
        <f ca="1"/>
        <v>#N/A</v>
      </c>
      <c r="S583" s="55" t="e">
        <f t="shared" ca="1" si="161"/>
        <v>#N/A</v>
      </c>
      <c r="T583" s="55" t="e">
        <f t="shared" ca="1" si="162"/>
        <v>#N/A</v>
      </c>
      <c r="U583" s="55" t="e">
        <f t="shared" ca="1" si="163"/>
        <v>#N/A</v>
      </c>
      <c r="V583" s="55" t="e">
        <f t="shared" ca="1" si="164"/>
        <v>#N/A</v>
      </c>
      <c r="W583" s="55" t="e">
        <f t="shared" ca="1" si="174"/>
        <v>#N/A</v>
      </c>
      <c r="X583" s="55" t="e">
        <f t="shared" ca="1" si="175"/>
        <v>#N/A</v>
      </c>
      <c r="Y583" s="55" t="e">
        <f t="shared" ca="1" si="176"/>
        <v>#N/A</v>
      </c>
      <c r="Z583" s="55" t="e">
        <f t="shared" ca="1" si="172"/>
        <v>#N/A</v>
      </c>
      <c r="AA583" t="e">
        <f t="shared" ca="1" si="173"/>
        <v>#N/A</v>
      </c>
      <c r="AB583" t="e">
        <f t="shared" ca="1" si="165"/>
        <v>#N/A</v>
      </c>
      <c r="AC583" t="e">
        <f t="shared" ca="1" si="166"/>
        <v>#N/A</v>
      </c>
      <c r="AD583" t="e">
        <f t="shared" ca="1" si="167"/>
        <v>#N/A</v>
      </c>
      <c r="AE583" s="83" t="e">
        <f ca="1"/>
        <v>#N/A</v>
      </c>
      <c r="AF583" s="55" t="e">
        <f t="shared" ca="1" si="168"/>
        <v>#N/A</v>
      </c>
      <c r="AG583" s="55" t="e">
        <f t="shared" ca="1" si="169"/>
        <v>#N/A</v>
      </c>
      <c r="AH583" s="55" t="e">
        <f t="shared" ca="1" si="170"/>
        <v>#N/A</v>
      </c>
      <c r="AI583" s="55" t="e">
        <f t="shared" ca="1" si="171"/>
        <v>#N/A</v>
      </c>
      <c r="AJ583" s="55" t="e">
        <f t="shared" ca="1" si="177"/>
        <v>#N/A</v>
      </c>
      <c r="AK583" s="55" t="e">
        <f t="shared" ca="1" si="178"/>
        <v>#N/A</v>
      </c>
      <c r="AL583" s="55" t="e">
        <f t="shared" ca="1" si="179"/>
        <v>#N/A</v>
      </c>
      <c r="AM583" s="55"/>
    </row>
    <row r="584" spans="18:39">
      <c r="R584" s="55" t="e">
        <f ca="1"/>
        <v>#N/A</v>
      </c>
      <c r="S584" s="55" t="e">
        <f t="shared" ca="1" si="161"/>
        <v>#N/A</v>
      </c>
      <c r="T584" s="55" t="e">
        <f t="shared" ca="1" si="162"/>
        <v>#N/A</v>
      </c>
      <c r="U584" s="55" t="e">
        <f t="shared" ca="1" si="163"/>
        <v>#N/A</v>
      </c>
      <c r="V584" s="55" t="e">
        <f t="shared" ca="1" si="164"/>
        <v>#N/A</v>
      </c>
      <c r="W584" s="55" t="e">
        <f t="shared" ca="1" si="174"/>
        <v>#N/A</v>
      </c>
      <c r="X584" s="55" t="e">
        <f t="shared" ca="1" si="175"/>
        <v>#N/A</v>
      </c>
      <c r="Y584" s="55" t="e">
        <f t="shared" ca="1" si="176"/>
        <v>#N/A</v>
      </c>
      <c r="Z584" s="55" t="e">
        <f t="shared" ca="1" si="172"/>
        <v>#N/A</v>
      </c>
      <c r="AA584" t="e">
        <f t="shared" ca="1" si="173"/>
        <v>#N/A</v>
      </c>
      <c r="AB584" t="e">
        <f t="shared" ca="1" si="165"/>
        <v>#N/A</v>
      </c>
      <c r="AC584" t="e">
        <f t="shared" ca="1" si="166"/>
        <v>#N/A</v>
      </c>
      <c r="AD584" t="e">
        <f t="shared" ca="1" si="167"/>
        <v>#N/A</v>
      </c>
      <c r="AE584" s="83" t="e">
        <f ca="1"/>
        <v>#N/A</v>
      </c>
      <c r="AF584" s="55" t="e">
        <f t="shared" ca="1" si="168"/>
        <v>#N/A</v>
      </c>
      <c r="AG584" s="55" t="e">
        <f t="shared" ca="1" si="169"/>
        <v>#N/A</v>
      </c>
      <c r="AH584" s="55" t="e">
        <f t="shared" ca="1" si="170"/>
        <v>#N/A</v>
      </c>
      <c r="AI584" s="55" t="e">
        <f t="shared" ca="1" si="171"/>
        <v>#N/A</v>
      </c>
      <c r="AJ584" s="55" t="e">
        <f t="shared" ca="1" si="177"/>
        <v>#N/A</v>
      </c>
      <c r="AK584" s="55" t="e">
        <f t="shared" ca="1" si="178"/>
        <v>#N/A</v>
      </c>
      <c r="AL584" s="55" t="e">
        <f t="shared" ca="1" si="179"/>
        <v>#N/A</v>
      </c>
      <c r="AM584" s="55"/>
    </row>
    <row r="585" spans="18:39">
      <c r="R585" s="55" t="e">
        <f ca="1"/>
        <v>#N/A</v>
      </c>
      <c r="S585" s="55" t="e">
        <f t="shared" ca="1" si="161"/>
        <v>#N/A</v>
      </c>
      <c r="T585" s="55" t="e">
        <f t="shared" ca="1" si="162"/>
        <v>#N/A</v>
      </c>
      <c r="U585" s="55" t="e">
        <f t="shared" ca="1" si="163"/>
        <v>#N/A</v>
      </c>
      <c r="V585" s="55" t="e">
        <f t="shared" ca="1" si="164"/>
        <v>#N/A</v>
      </c>
      <c r="W585" s="55" t="e">
        <f t="shared" ca="1" si="174"/>
        <v>#N/A</v>
      </c>
      <c r="X585" s="55" t="e">
        <f t="shared" ca="1" si="175"/>
        <v>#N/A</v>
      </c>
      <c r="Y585" s="55" t="e">
        <f t="shared" ca="1" si="176"/>
        <v>#N/A</v>
      </c>
      <c r="Z585" s="55" t="e">
        <f t="shared" ca="1" si="172"/>
        <v>#N/A</v>
      </c>
      <c r="AA585" t="e">
        <f t="shared" ca="1" si="173"/>
        <v>#N/A</v>
      </c>
      <c r="AB585" t="e">
        <f t="shared" ca="1" si="165"/>
        <v>#N/A</v>
      </c>
      <c r="AC585" t="e">
        <f t="shared" ca="1" si="166"/>
        <v>#N/A</v>
      </c>
      <c r="AD585" t="e">
        <f t="shared" ca="1" si="167"/>
        <v>#N/A</v>
      </c>
      <c r="AE585" s="83" t="e">
        <f ca="1"/>
        <v>#N/A</v>
      </c>
      <c r="AF585" s="55" t="e">
        <f t="shared" ca="1" si="168"/>
        <v>#N/A</v>
      </c>
      <c r="AG585" s="55" t="e">
        <f t="shared" ca="1" si="169"/>
        <v>#N/A</v>
      </c>
      <c r="AH585" s="55" t="e">
        <f t="shared" ca="1" si="170"/>
        <v>#N/A</v>
      </c>
      <c r="AI585" s="55" t="e">
        <f t="shared" ca="1" si="171"/>
        <v>#N/A</v>
      </c>
      <c r="AJ585" s="55" t="e">
        <f t="shared" ca="1" si="177"/>
        <v>#N/A</v>
      </c>
      <c r="AK585" s="55" t="e">
        <f t="shared" ca="1" si="178"/>
        <v>#N/A</v>
      </c>
      <c r="AL585" s="55" t="e">
        <f t="shared" ca="1" si="179"/>
        <v>#N/A</v>
      </c>
      <c r="AM585" s="55"/>
    </row>
    <row r="586" spans="18:39">
      <c r="R586" s="55" t="e">
        <f ca="1"/>
        <v>#N/A</v>
      </c>
      <c r="S586" s="55" t="e">
        <f t="shared" ca="1" si="161"/>
        <v>#N/A</v>
      </c>
      <c r="T586" s="55" t="e">
        <f t="shared" ca="1" si="162"/>
        <v>#N/A</v>
      </c>
      <c r="U586" s="55" t="e">
        <f t="shared" ca="1" si="163"/>
        <v>#N/A</v>
      </c>
      <c r="V586" s="55" t="e">
        <f t="shared" ca="1" si="164"/>
        <v>#N/A</v>
      </c>
      <c r="W586" s="55" t="e">
        <f t="shared" ca="1" si="174"/>
        <v>#N/A</v>
      </c>
      <c r="X586" s="55" t="e">
        <f t="shared" ca="1" si="175"/>
        <v>#N/A</v>
      </c>
      <c r="Y586" s="55" t="e">
        <f t="shared" ca="1" si="176"/>
        <v>#N/A</v>
      </c>
      <c r="Z586" s="55" t="e">
        <f t="shared" ca="1" si="172"/>
        <v>#N/A</v>
      </c>
      <c r="AA586" t="e">
        <f t="shared" ca="1" si="173"/>
        <v>#N/A</v>
      </c>
      <c r="AB586" t="e">
        <f t="shared" ca="1" si="165"/>
        <v>#N/A</v>
      </c>
      <c r="AC586" t="e">
        <f t="shared" ca="1" si="166"/>
        <v>#N/A</v>
      </c>
      <c r="AD586" t="e">
        <f t="shared" ca="1" si="167"/>
        <v>#N/A</v>
      </c>
      <c r="AE586" s="83" t="e">
        <f ca="1"/>
        <v>#N/A</v>
      </c>
      <c r="AF586" s="55" t="e">
        <f t="shared" ca="1" si="168"/>
        <v>#N/A</v>
      </c>
      <c r="AG586" s="55" t="e">
        <f t="shared" ca="1" si="169"/>
        <v>#N/A</v>
      </c>
      <c r="AH586" s="55" t="e">
        <f t="shared" ca="1" si="170"/>
        <v>#N/A</v>
      </c>
      <c r="AI586" s="55" t="e">
        <f t="shared" ca="1" si="171"/>
        <v>#N/A</v>
      </c>
      <c r="AJ586" s="55" t="e">
        <f t="shared" ca="1" si="177"/>
        <v>#N/A</v>
      </c>
      <c r="AK586" s="55" t="e">
        <f t="shared" ca="1" si="178"/>
        <v>#N/A</v>
      </c>
      <c r="AL586" s="55" t="e">
        <f t="shared" ca="1" si="179"/>
        <v>#N/A</v>
      </c>
      <c r="AM586" s="55"/>
    </row>
    <row r="587" spans="18:39">
      <c r="R587" s="55" t="e">
        <f ca="1"/>
        <v>#N/A</v>
      </c>
      <c r="S587" s="55" t="e">
        <f t="shared" ca="1" si="161"/>
        <v>#N/A</v>
      </c>
      <c r="T587" s="55" t="e">
        <f t="shared" ca="1" si="162"/>
        <v>#N/A</v>
      </c>
      <c r="U587" s="55" t="e">
        <f t="shared" ca="1" si="163"/>
        <v>#N/A</v>
      </c>
      <c r="V587" s="55" t="e">
        <f t="shared" ca="1" si="164"/>
        <v>#N/A</v>
      </c>
      <c r="W587" s="55" t="e">
        <f t="shared" ca="1" si="174"/>
        <v>#N/A</v>
      </c>
      <c r="X587" s="55" t="e">
        <f t="shared" ca="1" si="175"/>
        <v>#N/A</v>
      </c>
      <c r="Y587" s="55" t="e">
        <f t="shared" ca="1" si="176"/>
        <v>#N/A</v>
      </c>
      <c r="Z587" s="55" t="e">
        <f t="shared" ca="1" si="172"/>
        <v>#N/A</v>
      </c>
      <c r="AA587" t="e">
        <f t="shared" ca="1" si="173"/>
        <v>#N/A</v>
      </c>
      <c r="AB587" t="e">
        <f t="shared" ca="1" si="165"/>
        <v>#N/A</v>
      </c>
      <c r="AC587" t="e">
        <f t="shared" ca="1" si="166"/>
        <v>#N/A</v>
      </c>
      <c r="AD587" t="e">
        <f t="shared" ca="1" si="167"/>
        <v>#N/A</v>
      </c>
      <c r="AE587" s="83" t="e">
        <f ca="1"/>
        <v>#N/A</v>
      </c>
      <c r="AF587" s="55" t="e">
        <f t="shared" ca="1" si="168"/>
        <v>#N/A</v>
      </c>
      <c r="AG587" s="55" t="e">
        <f t="shared" ca="1" si="169"/>
        <v>#N/A</v>
      </c>
      <c r="AH587" s="55" t="e">
        <f t="shared" ca="1" si="170"/>
        <v>#N/A</v>
      </c>
      <c r="AI587" s="55" t="e">
        <f t="shared" ca="1" si="171"/>
        <v>#N/A</v>
      </c>
      <c r="AJ587" s="55" t="e">
        <f t="shared" ca="1" si="177"/>
        <v>#N/A</v>
      </c>
      <c r="AK587" s="55" t="e">
        <f t="shared" ca="1" si="178"/>
        <v>#N/A</v>
      </c>
      <c r="AL587" s="55" t="e">
        <f t="shared" ca="1" si="179"/>
        <v>#N/A</v>
      </c>
      <c r="AM587" s="55"/>
    </row>
    <row r="588" spans="18:39">
      <c r="R588" s="55" t="e">
        <f ca="1"/>
        <v>#N/A</v>
      </c>
      <c r="S588" s="55" t="e">
        <f t="shared" ref="S588:S651" ca="1" si="180">IF(R588&gt;1,R588,"")</f>
        <v>#N/A</v>
      </c>
      <c r="T588" s="55" t="e">
        <f t="shared" ref="T588:T651" ca="1" si="181">VLOOKUP(S588,ModelOutputs,2,FALSE)</f>
        <v>#N/A</v>
      </c>
      <c r="U588" s="55" t="e">
        <f t="shared" ref="U588:U651" ca="1" si="182">VLOOKUP(S588,ModelOutputs,7,FALSE)</f>
        <v>#N/A</v>
      </c>
      <c r="V588" s="55" t="e">
        <f t="shared" ref="V588:V651" ca="1" si="183">VLOOKUP(S588,ModelOutputs,6,FALSE)</f>
        <v>#N/A</v>
      </c>
      <c r="W588" s="55" t="e">
        <f t="shared" ca="1" si="174"/>
        <v>#N/A</v>
      </c>
      <c r="X588" s="55" t="e">
        <f t="shared" ca="1" si="175"/>
        <v>#N/A</v>
      </c>
      <c r="Y588" s="55" t="e">
        <f t="shared" ca="1" si="176"/>
        <v>#N/A</v>
      </c>
      <c r="Z588" s="55" t="e">
        <f t="shared" ca="1" si="172"/>
        <v>#N/A</v>
      </c>
      <c r="AA588" t="e">
        <f t="shared" ca="1" si="173"/>
        <v>#N/A</v>
      </c>
      <c r="AB588" t="e">
        <f t="shared" ref="AB588:AB651" ca="1" si="184">VLOOKUP(S588,ModelOutputs,11,FALSE)+AB587</f>
        <v>#N/A</v>
      </c>
      <c r="AC588" t="e">
        <f t="shared" ref="AC588:AC651" ca="1" si="185">VLOOKUP(S588,ModelOutputs,12,FALSE)</f>
        <v>#N/A</v>
      </c>
      <c r="AD588" t="e">
        <f t="shared" ref="AD588:AD651" ca="1" si="186">VLOOKUP(S588,ModelOutputs,13,FALSE)</f>
        <v>#N/A</v>
      </c>
      <c r="AE588" s="83" t="e">
        <f ca="1"/>
        <v>#N/A</v>
      </c>
      <c r="AF588" s="55" t="e">
        <f t="shared" ref="AF588:AF651" ca="1" si="187">IF(AE588&gt;1,AE588,"")</f>
        <v>#N/A</v>
      </c>
      <c r="AG588" s="55" t="e">
        <f t="shared" ref="AG588:AG651" ca="1" si="188">VLOOKUP(AF588,ModelOutputs,2,FALSE)</f>
        <v>#N/A</v>
      </c>
      <c r="AH588" s="55" t="e">
        <f t="shared" ref="AH588:AH651" ca="1" si="189">VLOOKUP(AF588,ModelOutputs,7,FALSE)</f>
        <v>#N/A</v>
      </c>
      <c r="AI588" s="55" t="e">
        <f t="shared" ref="AI588:AI651" ca="1" si="190">VLOOKUP(AF588,ModelOutputs,6,FALSE)</f>
        <v>#N/A</v>
      </c>
      <c r="AJ588" s="55" t="e">
        <f t="shared" ca="1" si="177"/>
        <v>#N/A</v>
      </c>
      <c r="AK588" s="55" t="e">
        <f t="shared" ca="1" si="178"/>
        <v>#N/A</v>
      </c>
      <c r="AL588" s="55" t="e">
        <f t="shared" ca="1" si="179"/>
        <v>#N/A</v>
      </c>
      <c r="AM588" s="55"/>
    </row>
    <row r="589" spans="18:39">
      <c r="R589" s="55" t="e">
        <f ca="1"/>
        <v>#N/A</v>
      </c>
      <c r="S589" s="55" t="e">
        <f t="shared" ca="1" si="180"/>
        <v>#N/A</v>
      </c>
      <c r="T589" s="55" t="e">
        <f t="shared" ca="1" si="181"/>
        <v>#N/A</v>
      </c>
      <c r="U589" s="55" t="e">
        <f t="shared" ca="1" si="182"/>
        <v>#N/A</v>
      </c>
      <c r="V589" s="55" t="e">
        <f t="shared" ca="1" si="183"/>
        <v>#N/A</v>
      </c>
      <c r="W589" s="55" t="e">
        <f t="shared" ca="1" si="174"/>
        <v>#N/A</v>
      </c>
      <c r="X589" s="55" t="e">
        <f t="shared" ca="1" si="175"/>
        <v>#N/A</v>
      </c>
      <c r="Y589" s="55" t="e">
        <f t="shared" ca="1" si="176"/>
        <v>#N/A</v>
      </c>
      <c r="Z589" s="55" t="e">
        <f t="shared" ca="1" si="172"/>
        <v>#N/A</v>
      </c>
      <c r="AA589" t="e">
        <f t="shared" ca="1" si="173"/>
        <v>#N/A</v>
      </c>
      <c r="AB589" t="e">
        <f t="shared" ca="1" si="184"/>
        <v>#N/A</v>
      </c>
      <c r="AC589" t="e">
        <f t="shared" ca="1" si="185"/>
        <v>#N/A</v>
      </c>
      <c r="AD589" t="e">
        <f t="shared" ca="1" si="186"/>
        <v>#N/A</v>
      </c>
      <c r="AE589" s="83" t="e">
        <f ca="1"/>
        <v>#N/A</v>
      </c>
      <c r="AF589" s="55" t="e">
        <f t="shared" ca="1" si="187"/>
        <v>#N/A</v>
      </c>
      <c r="AG589" s="55" t="e">
        <f t="shared" ca="1" si="188"/>
        <v>#N/A</v>
      </c>
      <c r="AH589" s="55" t="e">
        <f t="shared" ca="1" si="189"/>
        <v>#N/A</v>
      </c>
      <c r="AI589" s="55" t="e">
        <f t="shared" ca="1" si="190"/>
        <v>#N/A</v>
      </c>
      <c r="AJ589" s="55" t="e">
        <f t="shared" ca="1" si="177"/>
        <v>#N/A</v>
      </c>
      <c r="AK589" s="55" t="e">
        <f t="shared" ca="1" si="178"/>
        <v>#N/A</v>
      </c>
      <c r="AL589" s="55" t="e">
        <f t="shared" ca="1" si="179"/>
        <v>#N/A</v>
      </c>
      <c r="AM589" s="55"/>
    </row>
    <row r="590" spans="18:39">
      <c r="R590" s="55" t="e">
        <f ca="1"/>
        <v>#N/A</v>
      </c>
      <c r="S590" s="55" t="e">
        <f t="shared" ca="1" si="180"/>
        <v>#N/A</v>
      </c>
      <c r="T590" s="55" t="e">
        <f t="shared" ca="1" si="181"/>
        <v>#N/A</v>
      </c>
      <c r="U590" s="55" t="e">
        <f t="shared" ca="1" si="182"/>
        <v>#N/A</v>
      </c>
      <c r="V590" s="55" t="e">
        <f t="shared" ca="1" si="183"/>
        <v>#N/A</v>
      </c>
      <c r="W590" s="55" t="e">
        <f t="shared" ca="1" si="174"/>
        <v>#N/A</v>
      </c>
      <c r="X590" s="55" t="e">
        <f t="shared" ca="1" si="175"/>
        <v>#N/A</v>
      </c>
      <c r="Y590" s="55" t="e">
        <f t="shared" ca="1" si="176"/>
        <v>#N/A</v>
      </c>
      <c r="Z590" s="55" t="e">
        <f t="shared" ca="1" si="172"/>
        <v>#N/A</v>
      </c>
      <c r="AA590" t="e">
        <f t="shared" ca="1" si="173"/>
        <v>#N/A</v>
      </c>
      <c r="AB590" t="e">
        <f t="shared" ca="1" si="184"/>
        <v>#N/A</v>
      </c>
      <c r="AC590" t="e">
        <f t="shared" ca="1" si="185"/>
        <v>#N/A</v>
      </c>
      <c r="AD590" t="e">
        <f t="shared" ca="1" si="186"/>
        <v>#N/A</v>
      </c>
      <c r="AE590" s="83" t="e">
        <f ca="1"/>
        <v>#N/A</v>
      </c>
      <c r="AF590" s="55" t="e">
        <f t="shared" ca="1" si="187"/>
        <v>#N/A</v>
      </c>
      <c r="AG590" s="55" t="e">
        <f t="shared" ca="1" si="188"/>
        <v>#N/A</v>
      </c>
      <c r="AH590" s="55" t="e">
        <f t="shared" ca="1" si="189"/>
        <v>#N/A</v>
      </c>
      <c r="AI590" s="55" t="e">
        <f t="shared" ca="1" si="190"/>
        <v>#N/A</v>
      </c>
      <c r="AJ590" s="55" t="e">
        <f t="shared" ca="1" si="177"/>
        <v>#N/A</v>
      </c>
      <c r="AK590" s="55" t="e">
        <f t="shared" ca="1" si="178"/>
        <v>#N/A</v>
      </c>
      <c r="AL590" s="55" t="e">
        <f t="shared" ca="1" si="179"/>
        <v>#N/A</v>
      </c>
      <c r="AM590" s="55"/>
    </row>
    <row r="591" spans="18:39">
      <c r="R591" s="55" t="e">
        <f ca="1"/>
        <v>#N/A</v>
      </c>
      <c r="S591" s="55" t="e">
        <f t="shared" ca="1" si="180"/>
        <v>#N/A</v>
      </c>
      <c r="T591" s="55" t="e">
        <f t="shared" ca="1" si="181"/>
        <v>#N/A</v>
      </c>
      <c r="U591" s="55" t="e">
        <f t="shared" ca="1" si="182"/>
        <v>#N/A</v>
      </c>
      <c r="V591" s="55" t="e">
        <f t="shared" ca="1" si="183"/>
        <v>#N/A</v>
      </c>
      <c r="W591" s="55" t="e">
        <f t="shared" ca="1" si="174"/>
        <v>#N/A</v>
      </c>
      <c r="X591" s="55" t="e">
        <f t="shared" ca="1" si="175"/>
        <v>#N/A</v>
      </c>
      <c r="Y591" s="55" t="e">
        <f t="shared" ca="1" si="176"/>
        <v>#N/A</v>
      </c>
      <c r="Z591" s="55" t="e">
        <f t="shared" ca="1" si="172"/>
        <v>#N/A</v>
      </c>
      <c r="AA591" t="e">
        <f t="shared" ca="1" si="173"/>
        <v>#N/A</v>
      </c>
      <c r="AB591" t="e">
        <f t="shared" ca="1" si="184"/>
        <v>#N/A</v>
      </c>
      <c r="AC591" t="e">
        <f t="shared" ca="1" si="185"/>
        <v>#N/A</v>
      </c>
      <c r="AD591" t="e">
        <f t="shared" ca="1" si="186"/>
        <v>#N/A</v>
      </c>
      <c r="AE591" s="83" t="e">
        <f ca="1"/>
        <v>#N/A</v>
      </c>
      <c r="AF591" s="55" t="e">
        <f t="shared" ca="1" si="187"/>
        <v>#N/A</v>
      </c>
      <c r="AG591" s="55" t="e">
        <f t="shared" ca="1" si="188"/>
        <v>#N/A</v>
      </c>
      <c r="AH591" s="55" t="e">
        <f t="shared" ca="1" si="189"/>
        <v>#N/A</v>
      </c>
      <c r="AI591" s="55" t="e">
        <f t="shared" ca="1" si="190"/>
        <v>#N/A</v>
      </c>
      <c r="AJ591" s="55" t="e">
        <f t="shared" ca="1" si="177"/>
        <v>#N/A</v>
      </c>
      <c r="AK591" s="55" t="e">
        <f t="shared" ca="1" si="178"/>
        <v>#N/A</v>
      </c>
      <c r="AL591" s="55" t="e">
        <f t="shared" ca="1" si="179"/>
        <v>#N/A</v>
      </c>
      <c r="AM591" s="55"/>
    </row>
    <row r="592" spans="18:39">
      <c r="R592" s="55" t="e">
        <f ca="1"/>
        <v>#N/A</v>
      </c>
      <c r="S592" s="55" t="e">
        <f t="shared" ca="1" si="180"/>
        <v>#N/A</v>
      </c>
      <c r="T592" s="55" t="e">
        <f t="shared" ca="1" si="181"/>
        <v>#N/A</v>
      </c>
      <c r="U592" s="55" t="e">
        <f t="shared" ca="1" si="182"/>
        <v>#N/A</v>
      </c>
      <c r="V592" s="55" t="e">
        <f t="shared" ca="1" si="183"/>
        <v>#N/A</v>
      </c>
      <c r="W592" s="55" t="e">
        <f t="shared" ca="1" si="174"/>
        <v>#N/A</v>
      </c>
      <c r="X592" s="55" t="e">
        <f t="shared" ca="1" si="175"/>
        <v>#N/A</v>
      </c>
      <c r="Y592" s="55" t="e">
        <f t="shared" ca="1" si="176"/>
        <v>#N/A</v>
      </c>
      <c r="Z592" s="55" t="e">
        <f t="shared" ca="1" si="172"/>
        <v>#N/A</v>
      </c>
      <c r="AA592" t="e">
        <f t="shared" ca="1" si="173"/>
        <v>#N/A</v>
      </c>
      <c r="AB592" t="e">
        <f t="shared" ca="1" si="184"/>
        <v>#N/A</v>
      </c>
      <c r="AC592" t="e">
        <f t="shared" ca="1" si="185"/>
        <v>#N/A</v>
      </c>
      <c r="AD592" t="e">
        <f t="shared" ca="1" si="186"/>
        <v>#N/A</v>
      </c>
      <c r="AE592" s="83" t="e">
        <f ca="1"/>
        <v>#N/A</v>
      </c>
      <c r="AF592" s="55" t="e">
        <f t="shared" ca="1" si="187"/>
        <v>#N/A</v>
      </c>
      <c r="AG592" s="55" t="e">
        <f t="shared" ca="1" si="188"/>
        <v>#N/A</v>
      </c>
      <c r="AH592" s="55" t="e">
        <f t="shared" ca="1" si="189"/>
        <v>#N/A</v>
      </c>
      <c r="AI592" s="55" t="e">
        <f t="shared" ca="1" si="190"/>
        <v>#N/A</v>
      </c>
      <c r="AJ592" s="55" t="e">
        <f t="shared" ca="1" si="177"/>
        <v>#N/A</v>
      </c>
      <c r="AK592" s="55" t="e">
        <f t="shared" ca="1" si="178"/>
        <v>#N/A</v>
      </c>
      <c r="AL592" s="55" t="e">
        <f t="shared" ca="1" si="179"/>
        <v>#N/A</v>
      </c>
      <c r="AM592" s="55"/>
    </row>
    <row r="593" spans="18:39">
      <c r="R593" s="55" t="e">
        <f ca="1"/>
        <v>#N/A</v>
      </c>
      <c r="S593" s="55" t="e">
        <f t="shared" ca="1" si="180"/>
        <v>#N/A</v>
      </c>
      <c r="T593" s="55" t="e">
        <f t="shared" ca="1" si="181"/>
        <v>#N/A</v>
      </c>
      <c r="U593" s="55" t="e">
        <f t="shared" ca="1" si="182"/>
        <v>#N/A</v>
      </c>
      <c r="V593" s="55" t="e">
        <f t="shared" ca="1" si="183"/>
        <v>#N/A</v>
      </c>
      <c r="W593" s="55" t="e">
        <f t="shared" ca="1" si="174"/>
        <v>#N/A</v>
      </c>
      <c r="X593" s="55" t="e">
        <f t="shared" ca="1" si="175"/>
        <v>#N/A</v>
      </c>
      <c r="Y593" s="55" t="e">
        <f t="shared" ca="1" si="176"/>
        <v>#N/A</v>
      </c>
      <c r="Z593" s="55" t="e">
        <f t="shared" ca="1" si="172"/>
        <v>#N/A</v>
      </c>
      <c r="AA593" t="e">
        <f t="shared" ca="1" si="173"/>
        <v>#N/A</v>
      </c>
      <c r="AB593" t="e">
        <f t="shared" ca="1" si="184"/>
        <v>#N/A</v>
      </c>
      <c r="AC593" t="e">
        <f t="shared" ca="1" si="185"/>
        <v>#N/A</v>
      </c>
      <c r="AD593" t="e">
        <f t="shared" ca="1" si="186"/>
        <v>#N/A</v>
      </c>
      <c r="AE593" s="83" t="e">
        <f ca="1"/>
        <v>#N/A</v>
      </c>
      <c r="AF593" s="55" t="e">
        <f t="shared" ca="1" si="187"/>
        <v>#N/A</v>
      </c>
      <c r="AG593" s="55" t="e">
        <f t="shared" ca="1" si="188"/>
        <v>#N/A</v>
      </c>
      <c r="AH593" s="55" t="e">
        <f t="shared" ca="1" si="189"/>
        <v>#N/A</v>
      </c>
      <c r="AI593" s="55" t="e">
        <f t="shared" ca="1" si="190"/>
        <v>#N/A</v>
      </c>
      <c r="AJ593" s="55" t="e">
        <f t="shared" ca="1" si="177"/>
        <v>#N/A</v>
      </c>
      <c r="AK593" s="55" t="e">
        <f t="shared" ca="1" si="178"/>
        <v>#N/A</v>
      </c>
      <c r="AL593" s="55" t="e">
        <f t="shared" ca="1" si="179"/>
        <v>#N/A</v>
      </c>
      <c r="AM593" s="55"/>
    </row>
    <row r="594" spans="18:39">
      <c r="R594" s="55" t="e">
        <f ca="1"/>
        <v>#N/A</v>
      </c>
      <c r="S594" s="55" t="e">
        <f t="shared" ca="1" si="180"/>
        <v>#N/A</v>
      </c>
      <c r="T594" s="55" t="e">
        <f t="shared" ca="1" si="181"/>
        <v>#N/A</v>
      </c>
      <c r="U594" s="55" t="e">
        <f t="shared" ca="1" si="182"/>
        <v>#N/A</v>
      </c>
      <c r="V594" s="55" t="e">
        <f t="shared" ca="1" si="183"/>
        <v>#N/A</v>
      </c>
      <c r="W594" s="55" t="e">
        <f t="shared" ca="1" si="174"/>
        <v>#N/A</v>
      </c>
      <c r="X594" s="55" t="e">
        <f t="shared" ca="1" si="175"/>
        <v>#N/A</v>
      </c>
      <c r="Y594" s="55" t="e">
        <f t="shared" ca="1" si="176"/>
        <v>#N/A</v>
      </c>
      <c r="Z594" s="55" t="e">
        <f t="shared" ref="Z594:Z662" ca="1" si="191">VLOOKUP(S594,ModelOutputs,3,FALSE)*14</f>
        <v>#N/A</v>
      </c>
      <c r="AA594" t="e">
        <f t="shared" ref="AA594:AA662" ca="1" si="192">VLOOKUP(S594,ModelOutputs,10,FALSE)*AWC</f>
        <v>#N/A</v>
      </c>
      <c r="AB594" t="e">
        <f t="shared" ca="1" si="184"/>
        <v>#N/A</v>
      </c>
      <c r="AC594" t="e">
        <f t="shared" ca="1" si="185"/>
        <v>#N/A</v>
      </c>
      <c r="AD594" t="e">
        <f t="shared" ca="1" si="186"/>
        <v>#N/A</v>
      </c>
      <c r="AE594" s="83" t="e">
        <f ca="1"/>
        <v>#N/A</v>
      </c>
      <c r="AF594" s="55" t="e">
        <f t="shared" ca="1" si="187"/>
        <v>#N/A</v>
      </c>
      <c r="AG594" s="55" t="e">
        <f t="shared" ca="1" si="188"/>
        <v>#N/A</v>
      </c>
      <c r="AH594" s="55" t="e">
        <f t="shared" ca="1" si="189"/>
        <v>#N/A</v>
      </c>
      <c r="AI594" s="55" t="e">
        <f t="shared" ca="1" si="190"/>
        <v>#N/A</v>
      </c>
      <c r="AJ594" s="55" t="e">
        <f t="shared" ca="1" si="177"/>
        <v>#N/A</v>
      </c>
      <c r="AK594" s="55" t="e">
        <f t="shared" ca="1" si="178"/>
        <v>#N/A</v>
      </c>
      <c r="AL594" s="55" t="e">
        <f t="shared" ca="1" si="179"/>
        <v>#N/A</v>
      </c>
      <c r="AM594" s="55"/>
    </row>
    <row r="595" spans="18:39">
      <c r="R595" s="55" t="e">
        <f ca="1"/>
        <v>#N/A</v>
      </c>
      <c r="S595" s="55" t="e">
        <f t="shared" ca="1" si="180"/>
        <v>#N/A</v>
      </c>
      <c r="T595" s="55" t="e">
        <f t="shared" ca="1" si="181"/>
        <v>#N/A</v>
      </c>
      <c r="U595" s="55" t="e">
        <f t="shared" ca="1" si="182"/>
        <v>#N/A</v>
      </c>
      <c r="V595" s="55" t="e">
        <f t="shared" ca="1" si="183"/>
        <v>#N/A</v>
      </c>
      <c r="W595" s="55" t="e">
        <f t="shared" ref="W595:W662" ca="1" si="193">-VLOOKUP(S595,ModelOutputs,9,FALSE)+W594</f>
        <v>#N/A</v>
      </c>
      <c r="X595" s="55" t="e">
        <f t="shared" ref="X595:X662" ca="1" si="194">VLOOKUP(S595,ModelOutputs,5,FALSE)+X594</f>
        <v>#N/A</v>
      </c>
      <c r="Y595" s="55" t="e">
        <f t="shared" ref="Y595:Y662" ca="1" si="195">VLOOKUP(S595,ModelOutputs,4,FALSE)+Y594</f>
        <v>#N/A</v>
      </c>
      <c r="Z595" s="55" t="e">
        <f t="shared" ca="1" si="191"/>
        <v>#N/A</v>
      </c>
      <c r="AA595" t="e">
        <f t="shared" ca="1" si="192"/>
        <v>#N/A</v>
      </c>
      <c r="AB595" t="e">
        <f t="shared" ca="1" si="184"/>
        <v>#N/A</v>
      </c>
      <c r="AC595" t="e">
        <f t="shared" ca="1" si="185"/>
        <v>#N/A</v>
      </c>
      <c r="AD595" t="e">
        <f t="shared" ca="1" si="186"/>
        <v>#N/A</v>
      </c>
      <c r="AE595" s="83" t="e">
        <f ca="1"/>
        <v>#N/A</v>
      </c>
      <c r="AF595" s="55" t="e">
        <f t="shared" ca="1" si="187"/>
        <v>#N/A</v>
      </c>
      <c r="AG595" s="55" t="e">
        <f t="shared" ca="1" si="188"/>
        <v>#N/A</v>
      </c>
      <c r="AH595" s="55" t="e">
        <f t="shared" ca="1" si="189"/>
        <v>#N/A</v>
      </c>
      <c r="AI595" s="55" t="e">
        <f t="shared" ca="1" si="190"/>
        <v>#N/A</v>
      </c>
      <c r="AJ595" s="55" t="e">
        <f t="shared" ref="AJ595:AJ662" ca="1" si="196">-VLOOKUP(AF595,ModelOutputs,9,FALSE)+AJ594</f>
        <v>#N/A</v>
      </c>
      <c r="AK595" s="55" t="e">
        <f t="shared" ref="AK595:AK662" ca="1" si="197">VLOOKUP(AF595,ModelOutputs,5,FALSE)+AK594</f>
        <v>#N/A</v>
      </c>
      <c r="AL595" s="55" t="e">
        <f t="shared" ref="AL595:AL662" ca="1" si="198">VLOOKUP(AF595,ModelOutputs,4,FALSE)+AL594</f>
        <v>#N/A</v>
      </c>
      <c r="AM595" s="55"/>
    </row>
    <row r="596" spans="18:39">
      <c r="R596" s="55" t="e">
        <f ca="1"/>
        <v>#N/A</v>
      </c>
      <c r="S596" s="55" t="e">
        <f t="shared" ca="1" si="180"/>
        <v>#N/A</v>
      </c>
      <c r="T596" s="55" t="e">
        <f t="shared" ca="1" si="181"/>
        <v>#N/A</v>
      </c>
      <c r="U596" s="55" t="e">
        <f t="shared" ca="1" si="182"/>
        <v>#N/A</v>
      </c>
      <c r="V596" s="55" t="e">
        <f t="shared" ca="1" si="183"/>
        <v>#N/A</v>
      </c>
      <c r="W596" s="55" t="e">
        <f t="shared" ca="1" si="193"/>
        <v>#N/A</v>
      </c>
      <c r="X596" s="55" t="e">
        <f t="shared" ca="1" si="194"/>
        <v>#N/A</v>
      </c>
      <c r="Y596" s="55" t="e">
        <f t="shared" ca="1" si="195"/>
        <v>#N/A</v>
      </c>
      <c r="Z596" s="55" t="e">
        <f t="shared" ca="1" si="191"/>
        <v>#N/A</v>
      </c>
      <c r="AA596" t="e">
        <f t="shared" ca="1" si="192"/>
        <v>#N/A</v>
      </c>
      <c r="AB596" t="e">
        <f t="shared" ca="1" si="184"/>
        <v>#N/A</v>
      </c>
      <c r="AC596" t="e">
        <f t="shared" ca="1" si="185"/>
        <v>#N/A</v>
      </c>
      <c r="AD596" t="e">
        <f t="shared" ca="1" si="186"/>
        <v>#N/A</v>
      </c>
      <c r="AE596" s="83" t="e">
        <f ca="1"/>
        <v>#N/A</v>
      </c>
      <c r="AF596" s="55" t="e">
        <f t="shared" ca="1" si="187"/>
        <v>#N/A</v>
      </c>
      <c r="AG596" s="55" t="e">
        <f t="shared" ca="1" si="188"/>
        <v>#N/A</v>
      </c>
      <c r="AH596" s="55" t="e">
        <f t="shared" ca="1" si="189"/>
        <v>#N/A</v>
      </c>
      <c r="AI596" s="55" t="e">
        <f t="shared" ca="1" si="190"/>
        <v>#N/A</v>
      </c>
      <c r="AJ596" s="55" t="e">
        <f t="shared" ca="1" si="196"/>
        <v>#N/A</v>
      </c>
      <c r="AK596" s="55" t="e">
        <f t="shared" ca="1" si="197"/>
        <v>#N/A</v>
      </c>
      <c r="AL596" s="55" t="e">
        <f t="shared" ca="1" si="198"/>
        <v>#N/A</v>
      </c>
      <c r="AM596" s="55"/>
    </row>
    <row r="597" spans="18:39">
      <c r="R597" s="55" t="e">
        <f ca="1"/>
        <v>#N/A</v>
      </c>
      <c r="S597" s="55" t="e">
        <f t="shared" ca="1" si="180"/>
        <v>#N/A</v>
      </c>
      <c r="T597" s="55" t="e">
        <f t="shared" ca="1" si="181"/>
        <v>#N/A</v>
      </c>
      <c r="U597" s="55" t="e">
        <f t="shared" ca="1" si="182"/>
        <v>#N/A</v>
      </c>
      <c r="V597" s="55" t="e">
        <f t="shared" ca="1" si="183"/>
        <v>#N/A</v>
      </c>
      <c r="W597" s="55" t="e">
        <f t="shared" ca="1" si="193"/>
        <v>#N/A</v>
      </c>
      <c r="X597" s="55" t="e">
        <f t="shared" ca="1" si="194"/>
        <v>#N/A</v>
      </c>
      <c r="Y597" s="55" t="e">
        <f t="shared" ca="1" si="195"/>
        <v>#N/A</v>
      </c>
      <c r="Z597" s="55" t="e">
        <f t="shared" ca="1" si="191"/>
        <v>#N/A</v>
      </c>
      <c r="AA597" t="e">
        <f t="shared" ca="1" si="192"/>
        <v>#N/A</v>
      </c>
      <c r="AB597" t="e">
        <f t="shared" ca="1" si="184"/>
        <v>#N/A</v>
      </c>
      <c r="AC597" t="e">
        <f t="shared" ca="1" si="185"/>
        <v>#N/A</v>
      </c>
      <c r="AD597" t="e">
        <f t="shared" ca="1" si="186"/>
        <v>#N/A</v>
      </c>
      <c r="AE597" s="83" t="e">
        <f ca="1"/>
        <v>#N/A</v>
      </c>
      <c r="AF597" s="55" t="e">
        <f t="shared" ca="1" si="187"/>
        <v>#N/A</v>
      </c>
      <c r="AG597" s="55" t="e">
        <f t="shared" ca="1" si="188"/>
        <v>#N/A</v>
      </c>
      <c r="AH597" s="55" t="e">
        <f t="shared" ca="1" si="189"/>
        <v>#N/A</v>
      </c>
      <c r="AI597" s="55" t="e">
        <f t="shared" ca="1" si="190"/>
        <v>#N/A</v>
      </c>
      <c r="AJ597" s="55" t="e">
        <f t="shared" ca="1" si="196"/>
        <v>#N/A</v>
      </c>
      <c r="AK597" s="55" t="e">
        <f t="shared" ca="1" si="197"/>
        <v>#N/A</v>
      </c>
      <c r="AL597" s="55" t="e">
        <f t="shared" ca="1" si="198"/>
        <v>#N/A</v>
      </c>
      <c r="AM597" s="55"/>
    </row>
    <row r="598" spans="18:39">
      <c r="R598" s="55" t="e">
        <f ca="1"/>
        <v>#N/A</v>
      </c>
      <c r="S598" s="55" t="e">
        <f t="shared" ca="1" si="180"/>
        <v>#N/A</v>
      </c>
      <c r="T598" s="55" t="e">
        <f t="shared" ca="1" si="181"/>
        <v>#N/A</v>
      </c>
      <c r="U598" s="55" t="e">
        <f t="shared" ca="1" si="182"/>
        <v>#N/A</v>
      </c>
      <c r="V598" s="55" t="e">
        <f t="shared" ca="1" si="183"/>
        <v>#N/A</v>
      </c>
      <c r="W598" s="55" t="e">
        <f t="shared" ca="1" si="193"/>
        <v>#N/A</v>
      </c>
      <c r="X598" s="55" t="e">
        <f t="shared" ca="1" si="194"/>
        <v>#N/A</v>
      </c>
      <c r="Y598" s="55" t="e">
        <f t="shared" ca="1" si="195"/>
        <v>#N/A</v>
      </c>
      <c r="Z598" s="55" t="e">
        <f t="shared" ca="1" si="191"/>
        <v>#N/A</v>
      </c>
      <c r="AA598" t="e">
        <f t="shared" ca="1" si="192"/>
        <v>#N/A</v>
      </c>
      <c r="AB598" t="e">
        <f t="shared" ca="1" si="184"/>
        <v>#N/A</v>
      </c>
      <c r="AC598" t="e">
        <f t="shared" ca="1" si="185"/>
        <v>#N/A</v>
      </c>
      <c r="AD598" t="e">
        <f t="shared" ca="1" si="186"/>
        <v>#N/A</v>
      </c>
      <c r="AE598" s="83" t="e">
        <f ca="1"/>
        <v>#N/A</v>
      </c>
      <c r="AF598" s="55" t="e">
        <f t="shared" ca="1" si="187"/>
        <v>#N/A</v>
      </c>
      <c r="AG598" s="55" t="e">
        <f t="shared" ca="1" si="188"/>
        <v>#N/A</v>
      </c>
      <c r="AH598" s="55" t="e">
        <f t="shared" ca="1" si="189"/>
        <v>#N/A</v>
      </c>
      <c r="AI598" s="55" t="e">
        <f t="shared" ca="1" si="190"/>
        <v>#N/A</v>
      </c>
      <c r="AJ598" s="55" t="e">
        <f t="shared" ca="1" si="196"/>
        <v>#N/A</v>
      </c>
      <c r="AK598" s="55" t="e">
        <f t="shared" ca="1" si="197"/>
        <v>#N/A</v>
      </c>
      <c r="AL598" s="55" t="e">
        <f t="shared" ca="1" si="198"/>
        <v>#N/A</v>
      </c>
      <c r="AM598" s="55"/>
    </row>
    <row r="599" spans="18:39">
      <c r="R599" s="55" t="e">
        <f ca="1"/>
        <v>#N/A</v>
      </c>
      <c r="S599" s="55" t="e">
        <f t="shared" ca="1" si="180"/>
        <v>#N/A</v>
      </c>
      <c r="T599" s="55" t="e">
        <f t="shared" ca="1" si="181"/>
        <v>#N/A</v>
      </c>
      <c r="U599" s="55" t="e">
        <f t="shared" ca="1" si="182"/>
        <v>#N/A</v>
      </c>
      <c r="V599" s="55" t="e">
        <f t="shared" ca="1" si="183"/>
        <v>#N/A</v>
      </c>
      <c r="W599" s="55" t="e">
        <f t="shared" ca="1" si="193"/>
        <v>#N/A</v>
      </c>
      <c r="X599" s="55" t="e">
        <f t="shared" ca="1" si="194"/>
        <v>#N/A</v>
      </c>
      <c r="Y599" s="55" t="e">
        <f t="shared" ca="1" si="195"/>
        <v>#N/A</v>
      </c>
      <c r="Z599" s="55" t="e">
        <f t="shared" ca="1" si="191"/>
        <v>#N/A</v>
      </c>
      <c r="AA599" t="e">
        <f t="shared" ca="1" si="192"/>
        <v>#N/A</v>
      </c>
      <c r="AB599" t="e">
        <f t="shared" ca="1" si="184"/>
        <v>#N/A</v>
      </c>
      <c r="AC599" t="e">
        <f t="shared" ca="1" si="185"/>
        <v>#N/A</v>
      </c>
      <c r="AD599" t="e">
        <f t="shared" ca="1" si="186"/>
        <v>#N/A</v>
      </c>
      <c r="AE599" s="83" t="e">
        <f ca="1"/>
        <v>#N/A</v>
      </c>
      <c r="AF599" s="55" t="e">
        <f t="shared" ca="1" si="187"/>
        <v>#N/A</v>
      </c>
      <c r="AG599" s="55" t="e">
        <f t="shared" ca="1" si="188"/>
        <v>#N/A</v>
      </c>
      <c r="AH599" s="55" t="e">
        <f t="shared" ca="1" si="189"/>
        <v>#N/A</v>
      </c>
      <c r="AI599" s="55" t="e">
        <f t="shared" ca="1" si="190"/>
        <v>#N/A</v>
      </c>
      <c r="AJ599" s="55" t="e">
        <f t="shared" ca="1" si="196"/>
        <v>#N/A</v>
      </c>
      <c r="AK599" s="55" t="e">
        <f t="shared" ca="1" si="197"/>
        <v>#N/A</v>
      </c>
      <c r="AL599" s="55" t="e">
        <f t="shared" ca="1" si="198"/>
        <v>#N/A</v>
      </c>
      <c r="AM599" s="55"/>
    </row>
    <row r="600" spans="18:39">
      <c r="R600" s="55" t="e">
        <f ca="1"/>
        <v>#N/A</v>
      </c>
      <c r="S600" s="55" t="e">
        <f t="shared" ca="1" si="180"/>
        <v>#N/A</v>
      </c>
      <c r="T600" s="55" t="e">
        <f t="shared" ca="1" si="181"/>
        <v>#N/A</v>
      </c>
      <c r="U600" s="55" t="e">
        <f t="shared" ca="1" si="182"/>
        <v>#N/A</v>
      </c>
      <c r="V600" s="55" t="e">
        <f t="shared" ca="1" si="183"/>
        <v>#N/A</v>
      </c>
      <c r="W600" s="55" t="e">
        <f t="shared" ca="1" si="193"/>
        <v>#N/A</v>
      </c>
      <c r="X600" s="55" t="e">
        <f t="shared" ca="1" si="194"/>
        <v>#N/A</v>
      </c>
      <c r="Y600" s="55" t="e">
        <f t="shared" ca="1" si="195"/>
        <v>#N/A</v>
      </c>
      <c r="Z600" s="55" t="e">
        <f t="shared" ca="1" si="191"/>
        <v>#N/A</v>
      </c>
      <c r="AA600" t="e">
        <f t="shared" ca="1" si="192"/>
        <v>#N/A</v>
      </c>
      <c r="AB600" t="e">
        <f t="shared" ca="1" si="184"/>
        <v>#N/A</v>
      </c>
      <c r="AC600" t="e">
        <f t="shared" ca="1" si="185"/>
        <v>#N/A</v>
      </c>
      <c r="AD600" t="e">
        <f t="shared" ca="1" si="186"/>
        <v>#N/A</v>
      </c>
      <c r="AE600" s="83" t="e">
        <f ca="1"/>
        <v>#N/A</v>
      </c>
      <c r="AF600" s="55" t="e">
        <f t="shared" ca="1" si="187"/>
        <v>#N/A</v>
      </c>
      <c r="AG600" s="55" t="e">
        <f t="shared" ca="1" si="188"/>
        <v>#N/A</v>
      </c>
      <c r="AH600" s="55" t="e">
        <f t="shared" ca="1" si="189"/>
        <v>#N/A</v>
      </c>
      <c r="AI600" s="55" t="e">
        <f t="shared" ca="1" si="190"/>
        <v>#N/A</v>
      </c>
      <c r="AJ600" s="55" t="e">
        <f t="shared" ca="1" si="196"/>
        <v>#N/A</v>
      </c>
      <c r="AK600" s="55" t="e">
        <f t="shared" ca="1" si="197"/>
        <v>#N/A</v>
      </c>
      <c r="AL600" s="55" t="e">
        <f t="shared" ca="1" si="198"/>
        <v>#N/A</v>
      </c>
      <c r="AM600" s="55"/>
    </row>
    <row r="601" spans="18:39">
      <c r="R601" s="55" t="e">
        <f ca="1"/>
        <v>#N/A</v>
      </c>
      <c r="S601" s="55" t="e">
        <f t="shared" ca="1" si="180"/>
        <v>#N/A</v>
      </c>
      <c r="T601" s="55" t="e">
        <f t="shared" ca="1" si="181"/>
        <v>#N/A</v>
      </c>
      <c r="U601" s="55" t="e">
        <f t="shared" ca="1" si="182"/>
        <v>#N/A</v>
      </c>
      <c r="V601" s="55" t="e">
        <f t="shared" ca="1" si="183"/>
        <v>#N/A</v>
      </c>
      <c r="W601" s="55" t="e">
        <f t="shared" ca="1" si="193"/>
        <v>#N/A</v>
      </c>
      <c r="X601" s="55" t="e">
        <f t="shared" ca="1" si="194"/>
        <v>#N/A</v>
      </c>
      <c r="Y601" s="55" t="e">
        <f t="shared" ca="1" si="195"/>
        <v>#N/A</v>
      </c>
      <c r="Z601" s="55" t="e">
        <f t="shared" ca="1" si="191"/>
        <v>#N/A</v>
      </c>
      <c r="AA601" t="e">
        <f t="shared" ca="1" si="192"/>
        <v>#N/A</v>
      </c>
      <c r="AB601" t="e">
        <f t="shared" ca="1" si="184"/>
        <v>#N/A</v>
      </c>
      <c r="AC601" t="e">
        <f t="shared" ca="1" si="185"/>
        <v>#N/A</v>
      </c>
      <c r="AD601" t="e">
        <f t="shared" ca="1" si="186"/>
        <v>#N/A</v>
      </c>
      <c r="AE601" s="83" t="e">
        <f ca="1"/>
        <v>#N/A</v>
      </c>
      <c r="AF601" s="55" t="e">
        <f t="shared" ca="1" si="187"/>
        <v>#N/A</v>
      </c>
      <c r="AG601" s="55" t="e">
        <f t="shared" ca="1" si="188"/>
        <v>#N/A</v>
      </c>
      <c r="AH601" s="55" t="e">
        <f t="shared" ca="1" si="189"/>
        <v>#N/A</v>
      </c>
      <c r="AI601" s="55" t="e">
        <f t="shared" ca="1" si="190"/>
        <v>#N/A</v>
      </c>
      <c r="AJ601" s="55" t="e">
        <f t="shared" ca="1" si="196"/>
        <v>#N/A</v>
      </c>
      <c r="AK601" s="55" t="e">
        <f t="shared" ca="1" si="197"/>
        <v>#N/A</v>
      </c>
      <c r="AL601" s="55" t="e">
        <f t="shared" ca="1" si="198"/>
        <v>#N/A</v>
      </c>
      <c r="AM601" s="55"/>
    </row>
    <row r="602" spans="18:39">
      <c r="R602" s="55" t="e">
        <f ca="1"/>
        <v>#N/A</v>
      </c>
      <c r="S602" s="55" t="e">
        <f t="shared" ca="1" si="180"/>
        <v>#N/A</v>
      </c>
      <c r="T602" s="55" t="e">
        <f t="shared" ca="1" si="181"/>
        <v>#N/A</v>
      </c>
      <c r="U602" s="55" t="e">
        <f t="shared" ca="1" si="182"/>
        <v>#N/A</v>
      </c>
      <c r="V602" s="55" t="e">
        <f t="shared" ca="1" si="183"/>
        <v>#N/A</v>
      </c>
      <c r="W602" s="55" t="e">
        <f t="shared" ca="1" si="193"/>
        <v>#N/A</v>
      </c>
      <c r="X602" s="55" t="e">
        <f t="shared" ca="1" si="194"/>
        <v>#N/A</v>
      </c>
      <c r="Y602" s="55" t="e">
        <f t="shared" ca="1" si="195"/>
        <v>#N/A</v>
      </c>
      <c r="Z602" s="55" t="e">
        <f t="shared" ca="1" si="191"/>
        <v>#N/A</v>
      </c>
      <c r="AA602" t="e">
        <f t="shared" ca="1" si="192"/>
        <v>#N/A</v>
      </c>
      <c r="AB602" t="e">
        <f t="shared" ca="1" si="184"/>
        <v>#N/A</v>
      </c>
      <c r="AC602" t="e">
        <f t="shared" ca="1" si="185"/>
        <v>#N/A</v>
      </c>
      <c r="AD602" t="e">
        <f t="shared" ca="1" si="186"/>
        <v>#N/A</v>
      </c>
      <c r="AE602" s="83" t="e">
        <f ca="1"/>
        <v>#N/A</v>
      </c>
      <c r="AF602" s="55" t="e">
        <f t="shared" ca="1" si="187"/>
        <v>#N/A</v>
      </c>
      <c r="AG602" s="55" t="e">
        <f t="shared" ca="1" si="188"/>
        <v>#N/A</v>
      </c>
      <c r="AH602" s="55" t="e">
        <f t="shared" ca="1" si="189"/>
        <v>#N/A</v>
      </c>
      <c r="AI602" s="55" t="e">
        <f t="shared" ca="1" si="190"/>
        <v>#N/A</v>
      </c>
      <c r="AJ602" s="55" t="e">
        <f t="shared" ca="1" si="196"/>
        <v>#N/A</v>
      </c>
      <c r="AK602" s="55" t="e">
        <f t="shared" ca="1" si="197"/>
        <v>#N/A</v>
      </c>
      <c r="AL602" s="55" t="e">
        <f t="shared" ca="1" si="198"/>
        <v>#N/A</v>
      </c>
      <c r="AM602" s="55"/>
    </row>
    <row r="603" spans="18:39">
      <c r="R603" s="55" t="e">
        <f ca="1"/>
        <v>#N/A</v>
      </c>
      <c r="S603" s="55" t="e">
        <f t="shared" ca="1" si="180"/>
        <v>#N/A</v>
      </c>
      <c r="T603" s="55" t="e">
        <f t="shared" ca="1" si="181"/>
        <v>#N/A</v>
      </c>
      <c r="U603" s="55" t="e">
        <f t="shared" ca="1" si="182"/>
        <v>#N/A</v>
      </c>
      <c r="V603" s="55" t="e">
        <f t="shared" ca="1" si="183"/>
        <v>#N/A</v>
      </c>
      <c r="W603" s="55" t="e">
        <f t="shared" ca="1" si="193"/>
        <v>#N/A</v>
      </c>
      <c r="X603" s="55" t="e">
        <f t="shared" ca="1" si="194"/>
        <v>#N/A</v>
      </c>
      <c r="Y603" s="55" t="e">
        <f t="shared" ca="1" si="195"/>
        <v>#N/A</v>
      </c>
      <c r="Z603" s="55" t="e">
        <f t="shared" ca="1" si="191"/>
        <v>#N/A</v>
      </c>
      <c r="AA603" t="e">
        <f t="shared" ca="1" si="192"/>
        <v>#N/A</v>
      </c>
      <c r="AB603" t="e">
        <f t="shared" ca="1" si="184"/>
        <v>#N/A</v>
      </c>
      <c r="AC603" t="e">
        <f t="shared" ca="1" si="185"/>
        <v>#N/A</v>
      </c>
      <c r="AD603" t="e">
        <f t="shared" ca="1" si="186"/>
        <v>#N/A</v>
      </c>
      <c r="AE603" s="83" t="e">
        <f ca="1"/>
        <v>#N/A</v>
      </c>
      <c r="AF603" s="55" t="e">
        <f t="shared" ca="1" si="187"/>
        <v>#N/A</v>
      </c>
      <c r="AG603" s="55" t="e">
        <f t="shared" ca="1" si="188"/>
        <v>#N/A</v>
      </c>
      <c r="AH603" s="55" t="e">
        <f t="shared" ca="1" si="189"/>
        <v>#N/A</v>
      </c>
      <c r="AI603" s="55" t="e">
        <f t="shared" ca="1" si="190"/>
        <v>#N/A</v>
      </c>
      <c r="AJ603" s="55" t="e">
        <f t="shared" ca="1" si="196"/>
        <v>#N/A</v>
      </c>
      <c r="AK603" s="55" t="e">
        <f t="shared" ca="1" si="197"/>
        <v>#N/A</v>
      </c>
      <c r="AL603" s="55" t="e">
        <f t="shared" ca="1" si="198"/>
        <v>#N/A</v>
      </c>
      <c r="AM603" s="55"/>
    </row>
    <row r="604" spans="18:39">
      <c r="R604" s="55" t="e">
        <f ca="1"/>
        <v>#N/A</v>
      </c>
      <c r="S604" s="55" t="e">
        <f t="shared" ca="1" si="180"/>
        <v>#N/A</v>
      </c>
      <c r="T604" s="55" t="e">
        <f t="shared" ca="1" si="181"/>
        <v>#N/A</v>
      </c>
      <c r="U604" s="55" t="e">
        <f t="shared" ca="1" si="182"/>
        <v>#N/A</v>
      </c>
      <c r="V604" s="55" t="e">
        <f t="shared" ca="1" si="183"/>
        <v>#N/A</v>
      </c>
      <c r="W604" s="55" t="e">
        <f t="shared" ca="1" si="193"/>
        <v>#N/A</v>
      </c>
      <c r="X604" s="55" t="e">
        <f t="shared" ca="1" si="194"/>
        <v>#N/A</v>
      </c>
      <c r="Y604" s="55" t="e">
        <f t="shared" ca="1" si="195"/>
        <v>#N/A</v>
      </c>
      <c r="Z604" s="55" t="e">
        <f t="shared" ca="1" si="191"/>
        <v>#N/A</v>
      </c>
      <c r="AA604" t="e">
        <f t="shared" ca="1" si="192"/>
        <v>#N/A</v>
      </c>
      <c r="AB604" t="e">
        <f t="shared" ca="1" si="184"/>
        <v>#N/A</v>
      </c>
      <c r="AC604" t="e">
        <f t="shared" ca="1" si="185"/>
        <v>#N/A</v>
      </c>
      <c r="AD604" t="e">
        <f t="shared" ca="1" si="186"/>
        <v>#N/A</v>
      </c>
      <c r="AE604" s="83" t="e">
        <f ca="1"/>
        <v>#N/A</v>
      </c>
      <c r="AF604" s="55" t="e">
        <f t="shared" ca="1" si="187"/>
        <v>#N/A</v>
      </c>
      <c r="AG604" s="55" t="e">
        <f t="shared" ca="1" si="188"/>
        <v>#N/A</v>
      </c>
      <c r="AH604" s="55" t="e">
        <f t="shared" ca="1" si="189"/>
        <v>#N/A</v>
      </c>
      <c r="AI604" s="55" t="e">
        <f t="shared" ca="1" si="190"/>
        <v>#N/A</v>
      </c>
      <c r="AJ604" s="55" t="e">
        <f t="shared" ca="1" si="196"/>
        <v>#N/A</v>
      </c>
      <c r="AK604" s="55" t="e">
        <f t="shared" ca="1" si="197"/>
        <v>#N/A</v>
      </c>
      <c r="AL604" s="55" t="e">
        <f t="shared" ca="1" si="198"/>
        <v>#N/A</v>
      </c>
      <c r="AM604" s="55"/>
    </row>
    <row r="605" spans="18:39">
      <c r="R605" s="55" t="e">
        <f ca="1"/>
        <v>#N/A</v>
      </c>
      <c r="S605" s="55" t="e">
        <f t="shared" ca="1" si="180"/>
        <v>#N/A</v>
      </c>
      <c r="T605" s="55" t="e">
        <f t="shared" ca="1" si="181"/>
        <v>#N/A</v>
      </c>
      <c r="U605" s="55" t="e">
        <f t="shared" ca="1" si="182"/>
        <v>#N/A</v>
      </c>
      <c r="V605" s="55" t="e">
        <f t="shared" ca="1" si="183"/>
        <v>#N/A</v>
      </c>
      <c r="W605" s="55" t="e">
        <f t="shared" ca="1" si="193"/>
        <v>#N/A</v>
      </c>
      <c r="X605" s="55" t="e">
        <f t="shared" ca="1" si="194"/>
        <v>#N/A</v>
      </c>
      <c r="Y605" s="55" t="e">
        <f t="shared" ca="1" si="195"/>
        <v>#N/A</v>
      </c>
      <c r="Z605" s="55" t="e">
        <f t="shared" ca="1" si="191"/>
        <v>#N/A</v>
      </c>
      <c r="AA605" t="e">
        <f t="shared" ca="1" si="192"/>
        <v>#N/A</v>
      </c>
      <c r="AB605" t="e">
        <f t="shared" ca="1" si="184"/>
        <v>#N/A</v>
      </c>
      <c r="AC605" t="e">
        <f t="shared" ca="1" si="185"/>
        <v>#N/A</v>
      </c>
      <c r="AD605" t="e">
        <f t="shared" ca="1" si="186"/>
        <v>#N/A</v>
      </c>
      <c r="AE605" s="83" t="e">
        <f ca="1"/>
        <v>#N/A</v>
      </c>
      <c r="AF605" s="55" t="e">
        <f t="shared" ca="1" si="187"/>
        <v>#N/A</v>
      </c>
      <c r="AG605" s="55" t="e">
        <f t="shared" ca="1" si="188"/>
        <v>#N/A</v>
      </c>
      <c r="AH605" s="55" t="e">
        <f t="shared" ca="1" si="189"/>
        <v>#N/A</v>
      </c>
      <c r="AI605" s="55" t="e">
        <f t="shared" ca="1" si="190"/>
        <v>#N/A</v>
      </c>
      <c r="AJ605" s="55" t="e">
        <f t="shared" ca="1" si="196"/>
        <v>#N/A</v>
      </c>
      <c r="AK605" s="55" t="e">
        <f t="shared" ca="1" si="197"/>
        <v>#N/A</v>
      </c>
      <c r="AL605" s="55" t="e">
        <f t="shared" ca="1" si="198"/>
        <v>#N/A</v>
      </c>
      <c r="AM605" s="55"/>
    </row>
    <row r="606" spans="18:39">
      <c r="R606" s="55" t="e">
        <f ca="1"/>
        <v>#N/A</v>
      </c>
      <c r="S606" s="55" t="e">
        <f t="shared" ca="1" si="180"/>
        <v>#N/A</v>
      </c>
      <c r="T606" s="55" t="e">
        <f t="shared" ca="1" si="181"/>
        <v>#N/A</v>
      </c>
      <c r="U606" s="55" t="e">
        <f t="shared" ca="1" si="182"/>
        <v>#N/A</v>
      </c>
      <c r="V606" s="55" t="e">
        <f t="shared" ca="1" si="183"/>
        <v>#N/A</v>
      </c>
      <c r="W606" s="55" t="e">
        <f t="shared" ca="1" si="193"/>
        <v>#N/A</v>
      </c>
      <c r="X606" s="55" t="e">
        <f t="shared" ca="1" si="194"/>
        <v>#N/A</v>
      </c>
      <c r="Y606" s="55" t="e">
        <f t="shared" ca="1" si="195"/>
        <v>#N/A</v>
      </c>
      <c r="Z606" s="55" t="e">
        <f t="shared" ca="1" si="191"/>
        <v>#N/A</v>
      </c>
      <c r="AA606" t="e">
        <f t="shared" ca="1" si="192"/>
        <v>#N/A</v>
      </c>
      <c r="AB606" t="e">
        <f t="shared" ca="1" si="184"/>
        <v>#N/A</v>
      </c>
      <c r="AC606" t="e">
        <f t="shared" ca="1" si="185"/>
        <v>#N/A</v>
      </c>
      <c r="AD606" t="e">
        <f t="shared" ca="1" si="186"/>
        <v>#N/A</v>
      </c>
      <c r="AE606" s="83" t="e">
        <f ca="1"/>
        <v>#N/A</v>
      </c>
      <c r="AF606" s="55" t="e">
        <f t="shared" ca="1" si="187"/>
        <v>#N/A</v>
      </c>
      <c r="AG606" s="55" t="e">
        <f t="shared" ca="1" si="188"/>
        <v>#N/A</v>
      </c>
      <c r="AH606" s="55" t="e">
        <f t="shared" ca="1" si="189"/>
        <v>#N/A</v>
      </c>
      <c r="AI606" s="55" t="e">
        <f t="shared" ca="1" si="190"/>
        <v>#N/A</v>
      </c>
      <c r="AJ606" s="55" t="e">
        <f t="shared" ca="1" si="196"/>
        <v>#N/A</v>
      </c>
      <c r="AK606" s="55" t="e">
        <f t="shared" ca="1" si="197"/>
        <v>#N/A</v>
      </c>
      <c r="AL606" s="55" t="e">
        <f t="shared" ca="1" si="198"/>
        <v>#N/A</v>
      </c>
      <c r="AM606" s="55"/>
    </row>
    <row r="607" spans="18:39">
      <c r="R607" s="55" t="e">
        <f ca="1"/>
        <v>#N/A</v>
      </c>
      <c r="S607" s="55" t="e">
        <f t="shared" ca="1" si="180"/>
        <v>#N/A</v>
      </c>
      <c r="T607" s="55" t="e">
        <f t="shared" ca="1" si="181"/>
        <v>#N/A</v>
      </c>
      <c r="U607" s="55" t="e">
        <f t="shared" ca="1" si="182"/>
        <v>#N/A</v>
      </c>
      <c r="V607" s="55" t="e">
        <f t="shared" ca="1" si="183"/>
        <v>#N/A</v>
      </c>
      <c r="W607" s="55" t="e">
        <f t="shared" ca="1" si="193"/>
        <v>#N/A</v>
      </c>
      <c r="X607" s="55" t="e">
        <f t="shared" ca="1" si="194"/>
        <v>#N/A</v>
      </c>
      <c r="Y607" s="55" t="e">
        <f t="shared" ca="1" si="195"/>
        <v>#N/A</v>
      </c>
      <c r="Z607" s="55" t="e">
        <f t="shared" ca="1" si="191"/>
        <v>#N/A</v>
      </c>
      <c r="AA607" t="e">
        <f t="shared" ca="1" si="192"/>
        <v>#N/A</v>
      </c>
      <c r="AB607" t="e">
        <f t="shared" ca="1" si="184"/>
        <v>#N/A</v>
      </c>
      <c r="AC607" t="e">
        <f t="shared" ca="1" si="185"/>
        <v>#N/A</v>
      </c>
      <c r="AD607" t="e">
        <f t="shared" ca="1" si="186"/>
        <v>#N/A</v>
      </c>
      <c r="AE607" s="83" t="e">
        <f ca="1"/>
        <v>#N/A</v>
      </c>
      <c r="AF607" s="55" t="e">
        <f t="shared" ca="1" si="187"/>
        <v>#N/A</v>
      </c>
      <c r="AG607" s="55" t="e">
        <f t="shared" ca="1" si="188"/>
        <v>#N/A</v>
      </c>
      <c r="AH607" s="55" t="e">
        <f t="shared" ca="1" si="189"/>
        <v>#N/A</v>
      </c>
      <c r="AI607" s="55" t="e">
        <f t="shared" ca="1" si="190"/>
        <v>#N/A</v>
      </c>
      <c r="AJ607" s="55" t="e">
        <f t="shared" ca="1" si="196"/>
        <v>#N/A</v>
      </c>
      <c r="AK607" s="55" t="e">
        <f t="shared" ca="1" si="197"/>
        <v>#N/A</v>
      </c>
      <c r="AL607" s="55" t="e">
        <f t="shared" ca="1" si="198"/>
        <v>#N/A</v>
      </c>
      <c r="AM607" s="55"/>
    </row>
    <row r="608" spans="18:39">
      <c r="R608" s="55" t="e">
        <f ca="1"/>
        <v>#N/A</v>
      </c>
      <c r="S608" s="55" t="e">
        <f t="shared" ca="1" si="180"/>
        <v>#N/A</v>
      </c>
      <c r="T608" s="55" t="e">
        <f t="shared" ca="1" si="181"/>
        <v>#N/A</v>
      </c>
      <c r="U608" s="55" t="e">
        <f t="shared" ca="1" si="182"/>
        <v>#N/A</v>
      </c>
      <c r="V608" s="55" t="e">
        <f t="shared" ca="1" si="183"/>
        <v>#N/A</v>
      </c>
      <c r="W608" s="55" t="e">
        <f t="shared" ca="1" si="193"/>
        <v>#N/A</v>
      </c>
      <c r="X608" s="55" t="e">
        <f t="shared" ca="1" si="194"/>
        <v>#N/A</v>
      </c>
      <c r="Y608" s="55" t="e">
        <f t="shared" ca="1" si="195"/>
        <v>#N/A</v>
      </c>
      <c r="Z608" s="55" t="e">
        <f t="shared" ca="1" si="191"/>
        <v>#N/A</v>
      </c>
      <c r="AA608" t="e">
        <f t="shared" ca="1" si="192"/>
        <v>#N/A</v>
      </c>
      <c r="AB608" t="e">
        <f t="shared" ca="1" si="184"/>
        <v>#N/A</v>
      </c>
      <c r="AC608" t="e">
        <f t="shared" ca="1" si="185"/>
        <v>#N/A</v>
      </c>
      <c r="AD608" t="e">
        <f t="shared" ca="1" si="186"/>
        <v>#N/A</v>
      </c>
      <c r="AE608" s="83" t="e">
        <f ca="1"/>
        <v>#N/A</v>
      </c>
      <c r="AF608" s="55" t="e">
        <f t="shared" ca="1" si="187"/>
        <v>#N/A</v>
      </c>
      <c r="AG608" s="55" t="e">
        <f t="shared" ca="1" si="188"/>
        <v>#N/A</v>
      </c>
      <c r="AH608" s="55" t="e">
        <f t="shared" ca="1" si="189"/>
        <v>#N/A</v>
      </c>
      <c r="AI608" s="55" t="e">
        <f t="shared" ca="1" si="190"/>
        <v>#N/A</v>
      </c>
      <c r="AJ608" s="55" t="e">
        <f t="shared" ca="1" si="196"/>
        <v>#N/A</v>
      </c>
      <c r="AK608" s="55" t="e">
        <f t="shared" ca="1" si="197"/>
        <v>#N/A</v>
      </c>
      <c r="AL608" s="55" t="e">
        <f t="shared" ca="1" si="198"/>
        <v>#N/A</v>
      </c>
      <c r="AM608" s="55"/>
    </row>
    <row r="609" spans="18:39">
      <c r="R609" s="55" t="e">
        <f ca="1"/>
        <v>#N/A</v>
      </c>
      <c r="S609" s="55" t="e">
        <f t="shared" ca="1" si="180"/>
        <v>#N/A</v>
      </c>
      <c r="T609" s="55" t="e">
        <f t="shared" ca="1" si="181"/>
        <v>#N/A</v>
      </c>
      <c r="U609" s="55" t="e">
        <f t="shared" ca="1" si="182"/>
        <v>#N/A</v>
      </c>
      <c r="V609" s="55" t="e">
        <f t="shared" ca="1" si="183"/>
        <v>#N/A</v>
      </c>
      <c r="W609" s="55" t="e">
        <f t="shared" ca="1" si="193"/>
        <v>#N/A</v>
      </c>
      <c r="X609" s="55" t="e">
        <f t="shared" ca="1" si="194"/>
        <v>#N/A</v>
      </c>
      <c r="Y609" s="55" t="e">
        <f t="shared" ca="1" si="195"/>
        <v>#N/A</v>
      </c>
      <c r="Z609" s="55" t="e">
        <f t="shared" ca="1" si="191"/>
        <v>#N/A</v>
      </c>
      <c r="AA609" t="e">
        <f t="shared" ca="1" si="192"/>
        <v>#N/A</v>
      </c>
      <c r="AB609" t="e">
        <f t="shared" ca="1" si="184"/>
        <v>#N/A</v>
      </c>
      <c r="AC609" t="e">
        <f t="shared" ca="1" si="185"/>
        <v>#N/A</v>
      </c>
      <c r="AD609" t="e">
        <f t="shared" ca="1" si="186"/>
        <v>#N/A</v>
      </c>
      <c r="AE609" s="83" t="e">
        <f ca="1"/>
        <v>#N/A</v>
      </c>
      <c r="AF609" s="55" t="e">
        <f t="shared" ca="1" si="187"/>
        <v>#N/A</v>
      </c>
      <c r="AG609" s="55" t="e">
        <f t="shared" ca="1" si="188"/>
        <v>#N/A</v>
      </c>
      <c r="AH609" s="55" t="e">
        <f t="shared" ca="1" si="189"/>
        <v>#N/A</v>
      </c>
      <c r="AI609" s="55" t="e">
        <f t="shared" ca="1" si="190"/>
        <v>#N/A</v>
      </c>
      <c r="AJ609" s="55" t="e">
        <f t="shared" ca="1" si="196"/>
        <v>#N/A</v>
      </c>
      <c r="AK609" s="55" t="e">
        <f t="shared" ca="1" si="197"/>
        <v>#N/A</v>
      </c>
      <c r="AL609" s="55" t="e">
        <f t="shared" ca="1" si="198"/>
        <v>#N/A</v>
      </c>
      <c r="AM609" s="55"/>
    </row>
    <row r="610" spans="18:39">
      <c r="R610" s="55" t="e">
        <f ca="1"/>
        <v>#N/A</v>
      </c>
      <c r="S610" s="55" t="e">
        <f t="shared" ca="1" si="180"/>
        <v>#N/A</v>
      </c>
      <c r="T610" s="55" t="e">
        <f t="shared" ca="1" si="181"/>
        <v>#N/A</v>
      </c>
      <c r="U610" s="55" t="e">
        <f t="shared" ca="1" si="182"/>
        <v>#N/A</v>
      </c>
      <c r="V610" s="55" t="e">
        <f t="shared" ca="1" si="183"/>
        <v>#N/A</v>
      </c>
      <c r="W610" s="55" t="e">
        <f t="shared" ca="1" si="193"/>
        <v>#N/A</v>
      </c>
      <c r="X610" s="55" t="e">
        <f t="shared" ca="1" si="194"/>
        <v>#N/A</v>
      </c>
      <c r="Y610" s="55" t="e">
        <f t="shared" ca="1" si="195"/>
        <v>#N/A</v>
      </c>
      <c r="Z610" s="55" t="e">
        <f t="shared" ca="1" si="191"/>
        <v>#N/A</v>
      </c>
      <c r="AA610" t="e">
        <f t="shared" ca="1" si="192"/>
        <v>#N/A</v>
      </c>
      <c r="AB610" t="e">
        <f t="shared" ca="1" si="184"/>
        <v>#N/A</v>
      </c>
      <c r="AC610" t="e">
        <f t="shared" ca="1" si="185"/>
        <v>#N/A</v>
      </c>
      <c r="AD610" t="e">
        <f t="shared" ca="1" si="186"/>
        <v>#N/A</v>
      </c>
      <c r="AE610" s="83" t="e">
        <f ca="1"/>
        <v>#N/A</v>
      </c>
      <c r="AF610" s="55" t="e">
        <f t="shared" ca="1" si="187"/>
        <v>#N/A</v>
      </c>
      <c r="AG610" s="55" t="e">
        <f t="shared" ca="1" si="188"/>
        <v>#N/A</v>
      </c>
      <c r="AH610" s="55" t="e">
        <f t="shared" ca="1" si="189"/>
        <v>#N/A</v>
      </c>
      <c r="AI610" s="55" t="e">
        <f t="shared" ca="1" si="190"/>
        <v>#N/A</v>
      </c>
      <c r="AJ610" s="55" t="e">
        <f t="shared" ca="1" si="196"/>
        <v>#N/A</v>
      </c>
      <c r="AK610" s="55" t="e">
        <f t="shared" ca="1" si="197"/>
        <v>#N/A</v>
      </c>
      <c r="AL610" s="55" t="e">
        <f t="shared" ca="1" si="198"/>
        <v>#N/A</v>
      </c>
      <c r="AM610" s="55"/>
    </row>
    <row r="611" spans="18:39">
      <c r="R611" s="55" t="e">
        <f ca="1"/>
        <v>#N/A</v>
      </c>
      <c r="S611" s="55" t="e">
        <f t="shared" ca="1" si="180"/>
        <v>#N/A</v>
      </c>
      <c r="T611" s="55" t="e">
        <f t="shared" ca="1" si="181"/>
        <v>#N/A</v>
      </c>
      <c r="U611" s="55" t="e">
        <f t="shared" ca="1" si="182"/>
        <v>#N/A</v>
      </c>
      <c r="V611" s="55" t="e">
        <f t="shared" ca="1" si="183"/>
        <v>#N/A</v>
      </c>
      <c r="W611" s="55" t="e">
        <f t="shared" ca="1" si="193"/>
        <v>#N/A</v>
      </c>
      <c r="X611" s="55" t="e">
        <f t="shared" ca="1" si="194"/>
        <v>#N/A</v>
      </c>
      <c r="Y611" s="55" t="e">
        <f t="shared" ca="1" si="195"/>
        <v>#N/A</v>
      </c>
      <c r="Z611" s="55" t="e">
        <f t="shared" ca="1" si="191"/>
        <v>#N/A</v>
      </c>
      <c r="AA611" t="e">
        <f t="shared" ca="1" si="192"/>
        <v>#N/A</v>
      </c>
      <c r="AB611" t="e">
        <f t="shared" ca="1" si="184"/>
        <v>#N/A</v>
      </c>
      <c r="AC611" t="e">
        <f t="shared" ca="1" si="185"/>
        <v>#N/A</v>
      </c>
      <c r="AD611" t="e">
        <f t="shared" ca="1" si="186"/>
        <v>#N/A</v>
      </c>
      <c r="AE611" s="83" t="e">
        <f ca="1"/>
        <v>#N/A</v>
      </c>
      <c r="AF611" s="55" t="e">
        <f t="shared" ca="1" si="187"/>
        <v>#N/A</v>
      </c>
      <c r="AG611" s="55" t="e">
        <f t="shared" ca="1" si="188"/>
        <v>#N/A</v>
      </c>
      <c r="AH611" s="55" t="e">
        <f t="shared" ca="1" si="189"/>
        <v>#N/A</v>
      </c>
      <c r="AI611" s="55" t="e">
        <f t="shared" ca="1" si="190"/>
        <v>#N/A</v>
      </c>
      <c r="AJ611" s="55" t="e">
        <f t="shared" ca="1" si="196"/>
        <v>#N/A</v>
      </c>
      <c r="AK611" s="55" t="e">
        <f t="shared" ca="1" si="197"/>
        <v>#N/A</v>
      </c>
      <c r="AL611" s="55" t="e">
        <f t="shared" ca="1" si="198"/>
        <v>#N/A</v>
      </c>
      <c r="AM611" s="55"/>
    </row>
    <row r="612" spans="18:39">
      <c r="R612" s="55" t="e">
        <f ca="1"/>
        <v>#N/A</v>
      </c>
      <c r="S612" s="55" t="e">
        <f t="shared" ca="1" si="180"/>
        <v>#N/A</v>
      </c>
      <c r="T612" s="55" t="e">
        <f t="shared" ca="1" si="181"/>
        <v>#N/A</v>
      </c>
      <c r="U612" s="55" t="e">
        <f t="shared" ca="1" si="182"/>
        <v>#N/A</v>
      </c>
      <c r="V612" s="55" t="e">
        <f t="shared" ca="1" si="183"/>
        <v>#N/A</v>
      </c>
      <c r="W612" s="55" t="e">
        <f t="shared" ca="1" si="193"/>
        <v>#N/A</v>
      </c>
      <c r="X612" s="55" t="e">
        <f t="shared" ca="1" si="194"/>
        <v>#N/A</v>
      </c>
      <c r="Y612" s="55" t="e">
        <f t="shared" ca="1" si="195"/>
        <v>#N/A</v>
      </c>
      <c r="Z612" s="55" t="e">
        <f t="shared" ca="1" si="191"/>
        <v>#N/A</v>
      </c>
      <c r="AA612" t="e">
        <f t="shared" ca="1" si="192"/>
        <v>#N/A</v>
      </c>
      <c r="AB612" t="e">
        <f t="shared" ca="1" si="184"/>
        <v>#N/A</v>
      </c>
      <c r="AC612" t="e">
        <f t="shared" ca="1" si="185"/>
        <v>#N/A</v>
      </c>
      <c r="AD612" t="e">
        <f t="shared" ca="1" si="186"/>
        <v>#N/A</v>
      </c>
      <c r="AE612" s="83" t="e">
        <f ca="1"/>
        <v>#N/A</v>
      </c>
      <c r="AF612" s="55" t="e">
        <f t="shared" ca="1" si="187"/>
        <v>#N/A</v>
      </c>
      <c r="AG612" s="55" t="e">
        <f t="shared" ca="1" si="188"/>
        <v>#N/A</v>
      </c>
      <c r="AH612" s="55" t="e">
        <f t="shared" ca="1" si="189"/>
        <v>#N/A</v>
      </c>
      <c r="AI612" s="55" t="e">
        <f t="shared" ca="1" si="190"/>
        <v>#N/A</v>
      </c>
      <c r="AJ612" s="55" t="e">
        <f t="shared" ca="1" si="196"/>
        <v>#N/A</v>
      </c>
      <c r="AK612" s="55" t="e">
        <f t="shared" ca="1" si="197"/>
        <v>#N/A</v>
      </c>
      <c r="AL612" s="55" t="e">
        <f t="shared" ca="1" si="198"/>
        <v>#N/A</v>
      </c>
      <c r="AM612" s="55"/>
    </row>
    <row r="613" spans="18:39">
      <c r="R613" s="55" t="e">
        <f ca="1"/>
        <v>#N/A</v>
      </c>
      <c r="S613" s="55" t="e">
        <f t="shared" ca="1" si="180"/>
        <v>#N/A</v>
      </c>
      <c r="T613" s="55" t="e">
        <f t="shared" ca="1" si="181"/>
        <v>#N/A</v>
      </c>
      <c r="U613" s="55" t="e">
        <f t="shared" ca="1" si="182"/>
        <v>#N/A</v>
      </c>
      <c r="V613" s="55" t="e">
        <f t="shared" ca="1" si="183"/>
        <v>#N/A</v>
      </c>
      <c r="W613" s="55" t="e">
        <f t="shared" ca="1" si="193"/>
        <v>#N/A</v>
      </c>
      <c r="X613" s="55" t="e">
        <f t="shared" ca="1" si="194"/>
        <v>#N/A</v>
      </c>
      <c r="Y613" s="55" t="e">
        <f t="shared" ca="1" si="195"/>
        <v>#N/A</v>
      </c>
      <c r="Z613" s="55" t="e">
        <f t="shared" ca="1" si="191"/>
        <v>#N/A</v>
      </c>
      <c r="AA613" t="e">
        <f t="shared" ca="1" si="192"/>
        <v>#N/A</v>
      </c>
      <c r="AB613" t="e">
        <f t="shared" ca="1" si="184"/>
        <v>#N/A</v>
      </c>
      <c r="AC613" t="e">
        <f t="shared" ca="1" si="185"/>
        <v>#N/A</v>
      </c>
      <c r="AD613" t="e">
        <f t="shared" ca="1" si="186"/>
        <v>#N/A</v>
      </c>
      <c r="AE613" s="83" t="e">
        <f ca="1"/>
        <v>#N/A</v>
      </c>
      <c r="AF613" s="55" t="e">
        <f t="shared" ca="1" si="187"/>
        <v>#N/A</v>
      </c>
      <c r="AG613" s="55" t="e">
        <f t="shared" ca="1" si="188"/>
        <v>#N/A</v>
      </c>
      <c r="AH613" s="55" t="e">
        <f t="shared" ca="1" si="189"/>
        <v>#N/A</v>
      </c>
      <c r="AI613" s="55" t="e">
        <f t="shared" ca="1" si="190"/>
        <v>#N/A</v>
      </c>
      <c r="AJ613" s="55" t="e">
        <f t="shared" ca="1" si="196"/>
        <v>#N/A</v>
      </c>
      <c r="AK613" s="55" t="e">
        <f t="shared" ca="1" si="197"/>
        <v>#N/A</v>
      </c>
      <c r="AL613" s="55" t="e">
        <f t="shared" ca="1" si="198"/>
        <v>#N/A</v>
      </c>
      <c r="AM613" s="55"/>
    </row>
    <row r="614" spans="18:39">
      <c r="R614" s="55" t="e">
        <f ca="1"/>
        <v>#N/A</v>
      </c>
      <c r="S614" s="55" t="e">
        <f t="shared" ca="1" si="180"/>
        <v>#N/A</v>
      </c>
      <c r="T614" s="55" t="e">
        <f t="shared" ca="1" si="181"/>
        <v>#N/A</v>
      </c>
      <c r="U614" s="55" t="e">
        <f t="shared" ca="1" si="182"/>
        <v>#N/A</v>
      </c>
      <c r="V614" s="55" t="e">
        <f t="shared" ca="1" si="183"/>
        <v>#N/A</v>
      </c>
      <c r="W614" s="55" t="e">
        <f t="shared" ca="1" si="193"/>
        <v>#N/A</v>
      </c>
      <c r="X614" s="55" t="e">
        <f t="shared" ca="1" si="194"/>
        <v>#N/A</v>
      </c>
      <c r="Y614" s="55" t="e">
        <f t="shared" ca="1" si="195"/>
        <v>#N/A</v>
      </c>
      <c r="Z614" s="55" t="e">
        <f t="shared" ca="1" si="191"/>
        <v>#N/A</v>
      </c>
      <c r="AA614" t="e">
        <f t="shared" ca="1" si="192"/>
        <v>#N/A</v>
      </c>
      <c r="AB614" t="e">
        <f t="shared" ca="1" si="184"/>
        <v>#N/A</v>
      </c>
      <c r="AC614" t="e">
        <f t="shared" ca="1" si="185"/>
        <v>#N/A</v>
      </c>
      <c r="AD614" t="e">
        <f t="shared" ca="1" si="186"/>
        <v>#N/A</v>
      </c>
      <c r="AE614" s="83" t="e">
        <f ca="1"/>
        <v>#N/A</v>
      </c>
      <c r="AF614" s="55" t="e">
        <f t="shared" ca="1" si="187"/>
        <v>#N/A</v>
      </c>
      <c r="AG614" s="55" t="e">
        <f t="shared" ca="1" si="188"/>
        <v>#N/A</v>
      </c>
      <c r="AH614" s="55" t="e">
        <f t="shared" ca="1" si="189"/>
        <v>#N/A</v>
      </c>
      <c r="AI614" s="55" t="e">
        <f t="shared" ca="1" si="190"/>
        <v>#N/A</v>
      </c>
      <c r="AJ614" s="55" t="e">
        <f t="shared" ca="1" si="196"/>
        <v>#N/A</v>
      </c>
      <c r="AK614" s="55" t="e">
        <f t="shared" ca="1" si="197"/>
        <v>#N/A</v>
      </c>
      <c r="AL614" s="55" t="e">
        <f t="shared" ca="1" si="198"/>
        <v>#N/A</v>
      </c>
      <c r="AM614" s="55"/>
    </row>
    <row r="615" spans="18:39">
      <c r="R615" s="55" t="e">
        <f ca="1"/>
        <v>#N/A</v>
      </c>
      <c r="S615" s="55" t="e">
        <f t="shared" ca="1" si="180"/>
        <v>#N/A</v>
      </c>
      <c r="T615" s="55" t="e">
        <f t="shared" ca="1" si="181"/>
        <v>#N/A</v>
      </c>
      <c r="U615" s="55" t="e">
        <f t="shared" ca="1" si="182"/>
        <v>#N/A</v>
      </c>
      <c r="V615" s="55" t="e">
        <f t="shared" ca="1" si="183"/>
        <v>#N/A</v>
      </c>
      <c r="W615" s="55" t="e">
        <f t="shared" ca="1" si="193"/>
        <v>#N/A</v>
      </c>
      <c r="X615" s="55" t="e">
        <f t="shared" ca="1" si="194"/>
        <v>#N/A</v>
      </c>
      <c r="Y615" s="55" t="e">
        <f t="shared" ca="1" si="195"/>
        <v>#N/A</v>
      </c>
      <c r="Z615" s="55" t="e">
        <f t="shared" ca="1" si="191"/>
        <v>#N/A</v>
      </c>
      <c r="AA615" t="e">
        <f t="shared" ca="1" si="192"/>
        <v>#N/A</v>
      </c>
      <c r="AB615" t="e">
        <f t="shared" ca="1" si="184"/>
        <v>#N/A</v>
      </c>
      <c r="AC615" t="e">
        <f t="shared" ca="1" si="185"/>
        <v>#N/A</v>
      </c>
      <c r="AD615" t="e">
        <f t="shared" ca="1" si="186"/>
        <v>#N/A</v>
      </c>
      <c r="AE615" s="83" t="e">
        <f ca="1"/>
        <v>#N/A</v>
      </c>
      <c r="AF615" s="55" t="e">
        <f t="shared" ca="1" si="187"/>
        <v>#N/A</v>
      </c>
      <c r="AG615" s="55" t="e">
        <f t="shared" ca="1" si="188"/>
        <v>#N/A</v>
      </c>
      <c r="AH615" s="55" t="e">
        <f t="shared" ca="1" si="189"/>
        <v>#N/A</v>
      </c>
      <c r="AI615" s="55" t="e">
        <f t="shared" ca="1" si="190"/>
        <v>#N/A</v>
      </c>
      <c r="AJ615" s="55" t="e">
        <f t="shared" ca="1" si="196"/>
        <v>#N/A</v>
      </c>
      <c r="AK615" s="55" t="e">
        <f t="shared" ca="1" si="197"/>
        <v>#N/A</v>
      </c>
      <c r="AL615" s="55" t="e">
        <f t="shared" ca="1" si="198"/>
        <v>#N/A</v>
      </c>
      <c r="AM615" s="55"/>
    </row>
    <row r="616" spans="18:39">
      <c r="R616" s="55" t="e">
        <f ca="1"/>
        <v>#N/A</v>
      </c>
      <c r="S616" s="55" t="e">
        <f t="shared" ca="1" si="180"/>
        <v>#N/A</v>
      </c>
      <c r="T616" s="55" t="e">
        <f t="shared" ca="1" si="181"/>
        <v>#N/A</v>
      </c>
      <c r="U616" s="55" t="e">
        <f t="shared" ca="1" si="182"/>
        <v>#N/A</v>
      </c>
      <c r="V616" s="55" t="e">
        <f t="shared" ca="1" si="183"/>
        <v>#N/A</v>
      </c>
      <c r="W616" s="55" t="e">
        <f t="shared" ca="1" si="193"/>
        <v>#N/A</v>
      </c>
      <c r="X616" s="55" t="e">
        <f t="shared" ca="1" si="194"/>
        <v>#N/A</v>
      </c>
      <c r="Y616" s="55" t="e">
        <f t="shared" ca="1" si="195"/>
        <v>#N/A</v>
      </c>
      <c r="Z616" s="55" t="e">
        <f t="shared" ca="1" si="191"/>
        <v>#N/A</v>
      </c>
      <c r="AA616" t="e">
        <f t="shared" ca="1" si="192"/>
        <v>#N/A</v>
      </c>
      <c r="AB616" t="e">
        <f t="shared" ca="1" si="184"/>
        <v>#N/A</v>
      </c>
      <c r="AC616" t="e">
        <f t="shared" ca="1" si="185"/>
        <v>#N/A</v>
      </c>
      <c r="AD616" t="e">
        <f t="shared" ca="1" si="186"/>
        <v>#N/A</v>
      </c>
      <c r="AE616" s="83" t="e">
        <f ca="1"/>
        <v>#N/A</v>
      </c>
      <c r="AF616" s="55" t="e">
        <f t="shared" ca="1" si="187"/>
        <v>#N/A</v>
      </c>
      <c r="AG616" s="55" t="e">
        <f t="shared" ca="1" si="188"/>
        <v>#N/A</v>
      </c>
      <c r="AH616" s="55" t="e">
        <f t="shared" ca="1" si="189"/>
        <v>#N/A</v>
      </c>
      <c r="AI616" s="55" t="e">
        <f t="shared" ca="1" si="190"/>
        <v>#N/A</v>
      </c>
      <c r="AJ616" s="55" t="e">
        <f t="shared" ca="1" si="196"/>
        <v>#N/A</v>
      </c>
      <c r="AK616" s="55" t="e">
        <f t="shared" ca="1" si="197"/>
        <v>#N/A</v>
      </c>
      <c r="AL616" s="55" t="e">
        <f t="shared" ca="1" si="198"/>
        <v>#N/A</v>
      </c>
      <c r="AM616" s="55"/>
    </row>
    <row r="617" spans="18:39">
      <c r="R617" s="55" t="e">
        <f ca="1"/>
        <v>#N/A</v>
      </c>
      <c r="S617" s="55" t="e">
        <f t="shared" ca="1" si="180"/>
        <v>#N/A</v>
      </c>
      <c r="T617" s="55" t="e">
        <f t="shared" ca="1" si="181"/>
        <v>#N/A</v>
      </c>
      <c r="U617" s="55" t="e">
        <f t="shared" ca="1" si="182"/>
        <v>#N/A</v>
      </c>
      <c r="V617" s="55" t="e">
        <f t="shared" ca="1" si="183"/>
        <v>#N/A</v>
      </c>
      <c r="W617" s="55" t="e">
        <f t="shared" ca="1" si="193"/>
        <v>#N/A</v>
      </c>
      <c r="X617" s="55" t="e">
        <f t="shared" ca="1" si="194"/>
        <v>#N/A</v>
      </c>
      <c r="Y617" s="55" t="e">
        <f t="shared" ca="1" si="195"/>
        <v>#N/A</v>
      </c>
      <c r="Z617" s="55" t="e">
        <f t="shared" ca="1" si="191"/>
        <v>#N/A</v>
      </c>
      <c r="AA617" t="e">
        <f t="shared" ca="1" si="192"/>
        <v>#N/A</v>
      </c>
      <c r="AB617" t="e">
        <f t="shared" ca="1" si="184"/>
        <v>#N/A</v>
      </c>
      <c r="AC617" t="e">
        <f t="shared" ca="1" si="185"/>
        <v>#N/A</v>
      </c>
      <c r="AD617" t="e">
        <f t="shared" ca="1" si="186"/>
        <v>#N/A</v>
      </c>
      <c r="AE617" s="83" t="e">
        <f ca="1"/>
        <v>#N/A</v>
      </c>
      <c r="AF617" s="55" t="e">
        <f t="shared" ca="1" si="187"/>
        <v>#N/A</v>
      </c>
      <c r="AG617" s="55" t="e">
        <f t="shared" ca="1" si="188"/>
        <v>#N/A</v>
      </c>
      <c r="AH617" s="55" t="e">
        <f t="shared" ca="1" si="189"/>
        <v>#N/A</v>
      </c>
      <c r="AI617" s="55" t="e">
        <f t="shared" ca="1" si="190"/>
        <v>#N/A</v>
      </c>
      <c r="AJ617" s="55" t="e">
        <f t="shared" ca="1" si="196"/>
        <v>#N/A</v>
      </c>
      <c r="AK617" s="55" t="e">
        <f t="shared" ca="1" si="197"/>
        <v>#N/A</v>
      </c>
      <c r="AL617" s="55" t="e">
        <f t="shared" ca="1" si="198"/>
        <v>#N/A</v>
      </c>
      <c r="AM617" s="55"/>
    </row>
    <row r="618" spans="18:39">
      <c r="R618" s="55" t="e">
        <f ca="1"/>
        <v>#N/A</v>
      </c>
      <c r="S618" s="55" t="e">
        <f t="shared" ca="1" si="180"/>
        <v>#N/A</v>
      </c>
      <c r="T618" s="55" t="e">
        <f t="shared" ca="1" si="181"/>
        <v>#N/A</v>
      </c>
      <c r="U618" s="55" t="e">
        <f t="shared" ca="1" si="182"/>
        <v>#N/A</v>
      </c>
      <c r="V618" s="55" t="e">
        <f t="shared" ca="1" si="183"/>
        <v>#N/A</v>
      </c>
      <c r="W618" s="55" t="e">
        <f t="shared" ca="1" si="193"/>
        <v>#N/A</v>
      </c>
      <c r="X618" s="55" t="e">
        <f t="shared" ca="1" si="194"/>
        <v>#N/A</v>
      </c>
      <c r="Y618" s="55" t="e">
        <f t="shared" ca="1" si="195"/>
        <v>#N/A</v>
      </c>
      <c r="Z618" s="55" t="e">
        <f t="shared" ca="1" si="191"/>
        <v>#N/A</v>
      </c>
      <c r="AA618" t="e">
        <f t="shared" ca="1" si="192"/>
        <v>#N/A</v>
      </c>
      <c r="AB618" t="e">
        <f t="shared" ca="1" si="184"/>
        <v>#N/A</v>
      </c>
      <c r="AC618" t="e">
        <f t="shared" ca="1" si="185"/>
        <v>#N/A</v>
      </c>
      <c r="AD618" t="e">
        <f t="shared" ca="1" si="186"/>
        <v>#N/A</v>
      </c>
      <c r="AE618" s="83" t="e">
        <f ca="1"/>
        <v>#N/A</v>
      </c>
      <c r="AF618" s="55" t="e">
        <f t="shared" ca="1" si="187"/>
        <v>#N/A</v>
      </c>
      <c r="AG618" s="55" t="e">
        <f t="shared" ca="1" si="188"/>
        <v>#N/A</v>
      </c>
      <c r="AH618" s="55" t="e">
        <f t="shared" ca="1" si="189"/>
        <v>#N/A</v>
      </c>
      <c r="AI618" s="55" t="e">
        <f t="shared" ca="1" si="190"/>
        <v>#N/A</v>
      </c>
      <c r="AJ618" s="55" t="e">
        <f t="shared" ca="1" si="196"/>
        <v>#N/A</v>
      </c>
      <c r="AK618" s="55" t="e">
        <f t="shared" ca="1" si="197"/>
        <v>#N/A</v>
      </c>
      <c r="AL618" s="55" t="e">
        <f t="shared" ca="1" si="198"/>
        <v>#N/A</v>
      </c>
      <c r="AM618" s="55"/>
    </row>
    <row r="619" spans="18:39">
      <c r="R619" s="55" t="e">
        <f ca="1"/>
        <v>#N/A</v>
      </c>
      <c r="S619" s="55" t="e">
        <f t="shared" ca="1" si="180"/>
        <v>#N/A</v>
      </c>
      <c r="T619" s="55" t="e">
        <f t="shared" ca="1" si="181"/>
        <v>#N/A</v>
      </c>
      <c r="U619" s="55" t="e">
        <f t="shared" ca="1" si="182"/>
        <v>#N/A</v>
      </c>
      <c r="V619" s="55" t="e">
        <f t="shared" ca="1" si="183"/>
        <v>#N/A</v>
      </c>
      <c r="W619" s="55" t="e">
        <f t="shared" ca="1" si="193"/>
        <v>#N/A</v>
      </c>
      <c r="X619" s="55" t="e">
        <f t="shared" ca="1" si="194"/>
        <v>#N/A</v>
      </c>
      <c r="Y619" s="55" t="e">
        <f t="shared" ca="1" si="195"/>
        <v>#N/A</v>
      </c>
      <c r="Z619" s="55" t="e">
        <f t="shared" ca="1" si="191"/>
        <v>#N/A</v>
      </c>
      <c r="AA619" t="e">
        <f t="shared" ca="1" si="192"/>
        <v>#N/A</v>
      </c>
      <c r="AB619" t="e">
        <f t="shared" ca="1" si="184"/>
        <v>#N/A</v>
      </c>
      <c r="AC619" t="e">
        <f t="shared" ca="1" si="185"/>
        <v>#N/A</v>
      </c>
      <c r="AD619" t="e">
        <f t="shared" ca="1" si="186"/>
        <v>#N/A</v>
      </c>
      <c r="AE619" s="83" t="e">
        <f ca="1"/>
        <v>#N/A</v>
      </c>
      <c r="AF619" s="55" t="e">
        <f t="shared" ca="1" si="187"/>
        <v>#N/A</v>
      </c>
      <c r="AG619" s="55" t="e">
        <f t="shared" ca="1" si="188"/>
        <v>#N/A</v>
      </c>
      <c r="AH619" s="55" t="e">
        <f t="shared" ca="1" si="189"/>
        <v>#N/A</v>
      </c>
      <c r="AI619" s="55" t="e">
        <f t="shared" ca="1" si="190"/>
        <v>#N/A</v>
      </c>
      <c r="AJ619" s="55" t="e">
        <f t="shared" ca="1" si="196"/>
        <v>#N/A</v>
      </c>
      <c r="AK619" s="55" t="e">
        <f t="shared" ca="1" si="197"/>
        <v>#N/A</v>
      </c>
      <c r="AL619" s="55" t="e">
        <f t="shared" ca="1" si="198"/>
        <v>#N/A</v>
      </c>
      <c r="AM619" s="55"/>
    </row>
    <row r="620" spans="18:39">
      <c r="R620" s="55" t="e">
        <f ca="1"/>
        <v>#N/A</v>
      </c>
      <c r="S620" s="55" t="e">
        <f t="shared" ca="1" si="180"/>
        <v>#N/A</v>
      </c>
      <c r="T620" s="55" t="e">
        <f t="shared" ca="1" si="181"/>
        <v>#N/A</v>
      </c>
      <c r="U620" s="55" t="e">
        <f t="shared" ca="1" si="182"/>
        <v>#N/A</v>
      </c>
      <c r="V620" s="55" t="e">
        <f t="shared" ca="1" si="183"/>
        <v>#N/A</v>
      </c>
      <c r="W620" s="55" t="e">
        <f t="shared" ca="1" si="193"/>
        <v>#N/A</v>
      </c>
      <c r="X620" s="55" t="e">
        <f t="shared" ca="1" si="194"/>
        <v>#N/A</v>
      </c>
      <c r="Y620" s="55" t="e">
        <f t="shared" ca="1" si="195"/>
        <v>#N/A</v>
      </c>
      <c r="Z620" s="55" t="e">
        <f t="shared" ca="1" si="191"/>
        <v>#N/A</v>
      </c>
      <c r="AA620" t="e">
        <f t="shared" ca="1" si="192"/>
        <v>#N/A</v>
      </c>
      <c r="AB620" t="e">
        <f t="shared" ca="1" si="184"/>
        <v>#N/A</v>
      </c>
      <c r="AC620" t="e">
        <f t="shared" ca="1" si="185"/>
        <v>#N/A</v>
      </c>
      <c r="AD620" t="e">
        <f t="shared" ca="1" si="186"/>
        <v>#N/A</v>
      </c>
      <c r="AE620" s="83" t="e">
        <f ca="1"/>
        <v>#N/A</v>
      </c>
      <c r="AF620" s="55" t="e">
        <f t="shared" ca="1" si="187"/>
        <v>#N/A</v>
      </c>
      <c r="AG620" s="55" t="e">
        <f t="shared" ca="1" si="188"/>
        <v>#N/A</v>
      </c>
      <c r="AH620" s="55" t="e">
        <f t="shared" ca="1" si="189"/>
        <v>#N/A</v>
      </c>
      <c r="AI620" s="55" t="e">
        <f t="shared" ca="1" si="190"/>
        <v>#N/A</v>
      </c>
      <c r="AJ620" s="55" t="e">
        <f t="shared" ca="1" si="196"/>
        <v>#N/A</v>
      </c>
      <c r="AK620" s="55" t="e">
        <f t="shared" ca="1" si="197"/>
        <v>#N/A</v>
      </c>
      <c r="AL620" s="55" t="e">
        <f t="shared" ca="1" si="198"/>
        <v>#N/A</v>
      </c>
      <c r="AM620" s="55"/>
    </row>
    <row r="621" spans="18:39">
      <c r="R621" s="55" t="e">
        <f ca="1"/>
        <v>#N/A</v>
      </c>
      <c r="S621" s="55" t="e">
        <f t="shared" ca="1" si="180"/>
        <v>#N/A</v>
      </c>
      <c r="T621" s="55" t="e">
        <f t="shared" ca="1" si="181"/>
        <v>#N/A</v>
      </c>
      <c r="U621" s="55" t="e">
        <f t="shared" ca="1" si="182"/>
        <v>#N/A</v>
      </c>
      <c r="V621" s="55" t="e">
        <f t="shared" ca="1" si="183"/>
        <v>#N/A</v>
      </c>
      <c r="W621" s="55" t="e">
        <f t="shared" ca="1" si="193"/>
        <v>#N/A</v>
      </c>
      <c r="X621" s="55" t="e">
        <f t="shared" ca="1" si="194"/>
        <v>#N/A</v>
      </c>
      <c r="Y621" s="55" t="e">
        <f t="shared" ca="1" si="195"/>
        <v>#N/A</v>
      </c>
      <c r="Z621" s="55" t="e">
        <f t="shared" ca="1" si="191"/>
        <v>#N/A</v>
      </c>
      <c r="AA621" t="e">
        <f t="shared" ca="1" si="192"/>
        <v>#N/A</v>
      </c>
      <c r="AB621" t="e">
        <f t="shared" ca="1" si="184"/>
        <v>#N/A</v>
      </c>
      <c r="AC621" t="e">
        <f t="shared" ca="1" si="185"/>
        <v>#N/A</v>
      </c>
      <c r="AD621" t="e">
        <f t="shared" ca="1" si="186"/>
        <v>#N/A</v>
      </c>
      <c r="AE621" s="83" t="e">
        <f ca="1"/>
        <v>#N/A</v>
      </c>
      <c r="AF621" s="55" t="e">
        <f t="shared" ca="1" si="187"/>
        <v>#N/A</v>
      </c>
      <c r="AG621" s="55" t="e">
        <f t="shared" ca="1" si="188"/>
        <v>#N/A</v>
      </c>
      <c r="AH621" s="55" t="e">
        <f t="shared" ca="1" si="189"/>
        <v>#N/A</v>
      </c>
      <c r="AI621" s="55" t="e">
        <f t="shared" ca="1" si="190"/>
        <v>#N/A</v>
      </c>
      <c r="AJ621" s="55" t="e">
        <f t="shared" ca="1" si="196"/>
        <v>#N/A</v>
      </c>
      <c r="AK621" s="55" t="e">
        <f t="shared" ca="1" si="197"/>
        <v>#N/A</v>
      </c>
      <c r="AL621" s="55" t="e">
        <f t="shared" ca="1" si="198"/>
        <v>#N/A</v>
      </c>
      <c r="AM621" s="55"/>
    </row>
    <row r="622" spans="18:39">
      <c r="R622" s="55" t="e">
        <f ca="1"/>
        <v>#N/A</v>
      </c>
      <c r="S622" s="55" t="e">
        <f t="shared" ca="1" si="180"/>
        <v>#N/A</v>
      </c>
      <c r="T622" s="55" t="e">
        <f t="shared" ca="1" si="181"/>
        <v>#N/A</v>
      </c>
      <c r="U622" s="55" t="e">
        <f t="shared" ca="1" si="182"/>
        <v>#N/A</v>
      </c>
      <c r="V622" s="55" t="e">
        <f t="shared" ca="1" si="183"/>
        <v>#N/A</v>
      </c>
      <c r="W622" s="55" t="e">
        <f t="shared" ca="1" si="193"/>
        <v>#N/A</v>
      </c>
      <c r="X622" s="55" t="e">
        <f t="shared" ca="1" si="194"/>
        <v>#N/A</v>
      </c>
      <c r="Y622" s="55" t="e">
        <f t="shared" ca="1" si="195"/>
        <v>#N/A</v>
      </c>
      <c r="Z622" s="55" t="e">
        <f t="shared" ca="1" si="191"/>
        <v>#N/A</v>
      </c>
      <c r="AA622" t="e">
        <f t="shared" ca="1" si="192"/>
        <v>#N/A</v>
      </c>
      <c r="AB622" t="e">
        <f t="shared" ca="1" si="184"/>
        <v>#N/A</v>
      </c>
      <c r="AC622" t="e">
        <f t="shared" ca="1" si="185"/>
        <v>#N/A</v>
      </c>
      <c r="AD622" t="e">
        <f t="shared" ca="1" si="186"/>
        <v>#N/A</v>
      </c>
      <c r="AE622" s="83" t="e">
        <f ca="1"/>
        <v>#N/A</v>
      </c>
      <c r="AF622" s="55" t="e">
        <f t="shared" ca="1" si="187"/>
        <v>#N/A</v>
      </c>
      <c r="AG622" s="55" t="e">
        <f t="shared" ca="1" si="188"/>
        <v>#N/A</v>
      </c>
      <c r="AH622" s="55" t="e">
        <f t="shared" ca="1" si="189"/>
        <v>#N/A</v>
      </c>
      <c r="AI622" s="55" t="e">
        <f t="shared" ca="1" si="190"/>
        <v>#N/A</v>
      </c>
      <c r="AJ622" s="55" t="e">
        <f t="shared" ca="1" si="196"/>
        <v>#N/A</v>
      </c>
      <c r="AK622" s="55" t="e">
        <f t="shared" ca="1" si="197"/>
        <v>#N/A</v>
      </c>
      <c r="AL622" s="55" t="e">
        <f t="shared" ca="1" si="198"/>
        <v>#N/A</v>
      </c>
      <c r="AM622" s="55"/>
    </row>
    <row r="623" spans="18:39">
      <c r="R623" s="55" t="e">
        <f ca="1"/>
        <v>#N/A</v>
      </c>
      <c r="S623" s="55" t="e">
        <f t="shared" ca="1" si="180"/>
        <v>#N/A</v>
      </c>
      <c r="T623" s="55" t="e">
        <f t="shared" ca="1" si="181"/>
        <v>#N/A</v>
      </c>
      <c r="U623" s="55" t="e">
        <f t="shared" ca="1" si="182"/>
        <v>#N/A</v>
      </c>
      <c r="V623" s="55" t="e">
        <f t="shared" ca="1" si="183"/>
        <v>#N/A</v>
      </c>
      <c r="W623" s="55" t="e">
        <f t="shared" ca="1" si="193"/>
        <v>#N/A</v>
      </c>
      <c r="X623" s="55" t="e">
        <f t="shared" ca="1" si="194"/>
        <v>#N/A</v>
      </c>
      <c r="Y623" s="55" t="e">
        <f t="shared" ca="1" si="195"/>
        <v>#N/A</v>
      </c>
      <c r="Z623" s="55" t="e">
        <f t="shared" ca="1" si="191"/>
        <v>#N/A</v>
      </c>
      <c r="AA623" t="e">
        <f t="shared" ca="1" si="192"/>
        <v>#N/A</v>
      </c>
      <c r="AB623" t="e">
        <f t="shared" ca="1" si="184"/>
        <v>#N/A</v>
      </c>
      <c r="AC623" t="e">
        <f t="shared" ca="1" si="185"/>
        <v>#N/A</v>
      </c>
      <c r="AD623" t="e">
        <f t="shared" ca="1" si="186"/>
        <v>#N/A</v>
      </c>
      <c r="AE623" s="83" t="e">
        <f ca="1"/>
        <v>#N/A</v>
      </c>
      <c r="AF623" s="55" t="e">
        <f t="shared" ca="1" si="187"/>
        <v>#N/A</v>
      </c>
      <c r="AG623" s="55" t="e">
        <f t="shared" ca="1" si="188"/>
        <v>#N/A</v>
      </c>
      <c r="AH623" s="55" t="e">
        <f t="shared" ca="1" si="189"/>
        <v>#N/A</v>
      </c>
      <c r="AI623" s="55" t="e">
        <f t="shared" ca="1" si="190"/>
        <v>#N/A</v>
      </c>
      <c r="AJ623" s="55" t="e">
        <f t="shared" ca="1" si="196"/>
        <v>#N/A</v>
      </c>
      <c r="AK623" s="55" t="e">
        <f t="shared" ca="1" si="197"/>
        <v>#N/A</v>
      </c>
      <c r="AL623" s="55" t="e">
        <f t="shared" ca="1" si="198"/>
        <v>#N/A</v>
      </c>
      <c r="AM623" s="55"/>
    </row>
    <row r="624" spans="18:39">
      <c r="R624" s="55" t="e">
        <f ca="1"/>
        <v>#N/A</v>
      </c>
      <c r="S624" s="55" t="e">
        <f t="shared" ca="1" si="180"/>
        <v>#N/A</v>
      </c>
      <c r="T624" s="55" t="e">
        <f t="shared" ca="1" si="181"/>
        <v>#N/A</v>
      </c>
      <c r="U624" s="55" t="e">
        <f t="shared" ca="1" si="182"/>
        <v>#N/A</v>
      </c>
      <c r="V624" s="55" t="e">
        <f t="shared" ca="1" si="183"/>
        <v>#N/A</v>
      </c>
      <c r="W624" s="55" t="e">
        <f t="shared" ca="1" si="193"/>
        <v>#N/A</v>
      </c>
      <c r="X624" s="55" t="e">
        <f t="shared" ca="1" si="194"/>
        <v>#N/A</v>
      </c>
      <c r="Y624" s="55" t="e">
        <f t="shared" ca="1" si="195"/>
        <v>#N/A</v>
      </c>
      <c r="Z624" s="55" t="e">
        <f t="shared" ca="1" si="191"/>
        <v>#N/A</v>
      </c>
      <c r="AA624" t="e">
        <f t="shared" ca="1" si="192"/>
        <v>#N/A</v>
      </c>
      <c r="AB624" t="e">
        <f t="shared" ca="1" si="184"/>
        <v>#N/A</v>
      </c>
      <c r="AC624" t="e">
        <f t="shared" ca="1" si="185"/>
        <v>#N/A</v>
      </c>
      <c r="AD624" t="e">
        <f t="shared" ca="1" si="186"/>
        <v>#N/A</v>
      </c>
      <c r="AE624" s="83" t="e">
        <f ca="1"/>
        <v>#N/A</v>
      </c>
      <c r="AF624" s="55" t="e">
        <f t="shared" ca="1" si="187"/>
        <v>#N/A</v>
      </c>
      <c r="AG624" s="55" t="e">
        <f t="shared" ca="1" si="188"/>
        <v>#N/A</v>
      </c>
      <c r="AH624" s="55" t="e">
        <f t="shared" ca="1" si="189"/>
        <v>#N/A</v>
      </c>
      <c r="AI624" s="55" t="e">
        <f t="shared" ca="1" si="190"/>
        <v>#N/A</v>
      </c>
      <c r="AJ624" s="55" t="e">
        <f t="shared" ca="1" si="196"/>
        <v>#N/A</v>
      </c>
      <c r="AK624" s="55" t="e">
        <f t="shared" ca="1" si="197"/>
        <v>#N/A</v>
      </c>
      <c r="AL624" s="55" t="e">
        <f t="shared" ca="1" si="198"/>
        <v>#N/A</v>
      </c>
      <c r="AM624" s="55"/>
    </row>
    <row r="625" spans="18:39">
      <c r="R625" s="55" t="e">
        <f ca="1"/>
        <v>#N/A</v>
      </c>
      <c r="S625" s="55" t="e">
        <f t="shared" ca="1" si="180"/>
        <v>#N/A</v>
      </c>
      <c r="T625" s="55" t="e">
        <f t="shared" ca="1" si="181"/>
        <v>#N/A</v>
      </c>
      <c r="U625" s="55" t="e">
        <f t="shared" ca="1" si="182"/>
        <v>#N/A</v>
      </c>
      <c r="V625" s="55" t="e">
        <f t="shared" ca="1" si="183"/>
        <v>#N/A</v>
      </c>
      <c r="W625" s="55" t="e">
        <f t="shared" ca="1" si="193"/>
        <v>#N/A</v>
      </c>
      <c r="X625" s="55" t="e">
        <f t="shared" ca="1" si="194"/>
        <v>#N/A</v>
      </c>
      <c r="Y625" s="55" t="e">
        <f t="shared" ca="1" si="195"/>
        <v>#N/A</v>
      </c>
      <c r="Z625" s="55" t="e">
        <f t="shared" ca="1" si="191"/>
        <v>#N/A</v>
      </c>
      <c r="AA625" t="e">
        <f t="shared" ca="1" si="192"/>
        <v>#N/A</v>
      </c>
      <c r="AB625" t="e">
        <f t="shared" ca="1" si="184"/>
        <v>#N/A</v>
      </c>
      <c r="AC625" t="e">
        <f t="shared" ca="1" si="185"/>
        <v>#N/A</v>
      </c>
      <c r="AD625" t="e">
        <f t="shared" ca="1" si="186"/>
        <v>#N/A</v>
      </c>
      <c r="AE625" s="83" t="e">
        <f ca="1"/>
        <v>#N/A</v>
      </c>
      <c r="AF625" s="55" t="e">
        <f t="shared" ca="1" si="187"/>
        <v>#N/A</v>
      </c>
      <c r="AG625" s="55" t="e">
        <f t="shared" ca="1" si="188"/>
        <v>#N/A</v>
      </c>
      <c r="AH625" s="55" t="e">
        <f t="shared" ca="1" si="189"/>
        <v>#N/A</v>
      </c>
      <c r="AI625" s="55" t="e">
        <f t="shared" ca="1" si="190"/>
        <v>#N/A</v>
      </c>
      <c r="AJ625" s="55" t="e">
        <f t="shared" ca="1" si="196"/>
        <v>#N/A</v>
      </c>
      <c r="AK625" s="55" t="e">
        <f t="shared" ca="1" si="197"/>
        <v>#N/A</v>
      </c>
      <c r="AL625" s="55" t="e">
        <f t="shared" ca="1" si="198"/>
        <v>#N/A</v>
      </c>
      <c r="AM625" s="55"/>
    </row>
    <row r="626" spans="18:39">
      <c r="R626" s="55" t="e">
        <f ca="1"/>
        <v>#N/A</v>
      </c>
      <c r="S626" s="55" t="e">
        <f t="shared" ca="1" si="180"/>
        <v>#N/A</v>
      </c>
      <c r="T626" s="55" t="e">
        <f t="shared" ca="1" si="181"/>
        <v>#N/A</v>
      </c>
      <c r="U626" s="55" t="e">
        <f t="shared" ca="1" si="182"/>
        <v>#N/A</v>
      </c>
      <c r="V626" s="55" t="e">
        <f t="shared" ca="1" si="183"/>
        <v>#N/A</v>
      </c>
      <c r="W626" s="55" t="e">
        <f t="shared" ca="1" si="193"/>
        <v>#N/A</v>
      </c>
      <c r="X626" s="55" t="e">
        <f t="shared" ca="1" si="194"/>
        <v>#N/A</v>
      </c>
      <c r="Y626" s="55" t="e">
        <f t="shared" ca="1" si="195"/>
        <v>#N/A</v>
      </c>
      <c r="Z626" s="55" t="e">
        <f t="shared" ca="1" si="191"/>
        <v>#N/A</v>
      </c>
      <c r="AA626" t="e">
        <f t="shared" ca="1" si="192"/>
        <v>#N/A</v>
      </c>
      <c r="AB626" t="e">
        <f t="shared" ca="1" si="184"/>
        <v>#N/A</v>
      </c>
      <c r="AC626" t="e">
        <f t="shared" ca="1" si="185"/>
        <v>#N/A</v>
      </c>
      <c r="AD626" t="e">
        <f t="shared" ca="1" si="186"/>
        <v>#N/A</v>
      </c>
      <c r="AE626" s="83" t="e">
        <f ca="1"/>
        <v>#N/A</v>
      </c>
      <c r="AF626" s="55" t="e">
        <f t="shared" ca="1" si="187"/>
        <v>#N/A</v>
      </c>
      <c r="AG626" s="55" t="e">
        <f t="shared" ca="1" si="188"/>
        <v>#N/A</v>
      </c>
      <c r="AH626" s="55" t="e">
        <f t="shared" ca="1" si="189"/>
        <v>#N/A</v>
      </c>
      <c r="AI626" s="55" t="e">
        <f t="shared" ca="1" si="190"/>
        <v>#N/A</v>
      </c>
      <c r="AJ626" s="55" t="e">
        <f t="shared" ca="1" si="196"/>
        <v>#N/A</v>
      </c>
      <c r="AK626" s="55" t="e">
        <f t="shared" ca="1" si="197"/>
        <v>#N/A</v>
      </c>
      <c r="AL626" s="55" t="e">
        <f t="shared" ca="1" si="198"/>
        <v>#N/A</v>
      </c>
      <c r="AM626" s="55"/>
    </row>
    <row r="627" spans="18:39">
      <c r="R627" s="55" t="e">
        <f ca="1"/>
        <v>#N/A</v>
      </c>
      <c r="S627" s="55" t="e">
        <f t="shared" ca="1" si="180"/>
        <v>#N/A</v>
      </c>
      <c r="T627" s="55" t="e">
        <f t="shared" ca="1" si="181"/>
        <v>#N/A</v>
      </c>
      <c r="U627" s="55" t="e">
        <f t="shared" ca="1" si="182"/>
        <v>#N/A</v>
      </c>
      <c r="V627" s="55" t="e">
        <f t="shared" ca="1" si="183"/>
        <v>#N/A</v>
      </c>
      <c r="W627" s="55" t="e">
        <f t="shared" ca="1" si="193"/>
        <v>#N/A</v>
      </c>
      <c r="X627" s="55" t="e">
        <f t="shared" ca="1" si="194"/>
        <v>#N/A</v>
      </c>
      <c r="Y627" s="55" t="e">
        <f t="shared" ca="1" si="195"/>
        <v>#N/A</v>
      </c>
      <c r="Z627" s="55" t="e">
        <f t="shared" ca="1" si="191"/>
        <v>#N/A</v>
      </c>
      <c r="AA627" t="e">
        <f t="shared" ca="1" si="192"/>
        <v>#N/A</v>
      </c>
      <c r="AB627" t="e">
        <f t="shared" ca="1" si="184"/>
        <v>#N/A</v>
      </c>
      <c r="AC627" t="e">
        <f t="shared" ca="1" si="185"/>
        <v>#N/A</v>
      </c>
      <c r="AD627" t="e">
        <f t="shared" ca="1" si="186"/>
        <v>#N/A</v>
      </c>
      <c r="AE627" s="83" t="e">
        <f ca="1"/>
        <v>#N/A</v>
      </c>
      <c r="AF627" s="55" t="e">
        <f t="shared" ca="1" si="187"/>
        <v>#N/A</v>
      </c>
      <c r="AG627" s="55" t="e">
        <f t="shared" ca="1" si="188"/>
        <v>#N/A</v>
      </c>
      <c r="AH627" s="55" t="e">
        <f t="shared" ca="1" si="189"/>
        <v>#N/A</v>
      </c>
      <c r="AI627" s="55" t="e">
        <f t="shared" ca="1" si="190"/>
        <v>#N/A</v>
      </c>
      <c r="AJ627" s="55" t="e">
        <f t="shared" ca="1" si="196"/>
        <v>#N/A</v>
      </c>
      <c r="AK627" s="55" t="e">
        <f t="shared" ca="1" si="197"/>
        <v>#N/A</v>
      </c>
      <c r="AL627" s="55" t="e">
        <f t="shared" ca="1" si="198"/>
        <v>#N/A</v>
      </c>
      <c r="AM627" s="55"/>
    </row>
    <row r="628" spans="18:39">
      <c r="R628" s="55" t="e">
        <f ca="1"/>
        <v>#N/A</v>
      </c>
      <c r="S628" s="55" t="e">
        <f t="shared" ca="1" si="180"/>
        <v>#N/A</v>
      </c>
      <c r="T628" s="55" t="e">
        <f t="shared" ca="1" si="181"/>
        <v>#N/A</v>
      </c>
      <c r="U628" s="55" t="e">
        <f t="shared" ca="1" si="182"/>
        <v>#N/A</v>
      </c>
      <c r="V628" s="55" t="e">
        <f t="shared" ca="1" si="183"/>
        <v>#N/A</v>
      </c>
      <c r="W628" s="55" t="e">
        <f t="shared" ca="1" si="193"/>
        <v>#N/A</v>
      </c>
      <c r="X628" s="55" t="e">
        <f t="shared" ca="1" si="194"/>
        <v>#N/A</v>
      </c>
      <c r="Y628" s="55" t="e">
        <f t="shared" ca="1" si="195"/>
        <v>#N/A</v>
      </c>
      <c r="Z628" s="55" t="e">
        <f t="shared" ca="1" si="191"/>
        <v>#N/A</v>
      </c>
      <c r="AA628" t="e">
        <f t="shared" ca="1" si="192"/>
        <v>#N/A</v>
      </c>
      <c r="AB628" t="e">
        <f t="shared" ca="1" si="184"/>
        <v>#N/A</v>
      </c>
      <c r="AC628" t="e">
        <f t="shared" ca="1" si="185"/>
        <v>#N/A</v>
      </c>
      <c r="AD628" t="e">
        <f t="shared" ca="1" si="186"/>
        <v>#N/A</v>
      </c>
      <c r="AE628" s="83" t="e">
        <f ca="1"/>
        <v>#N/A</v>
      </c>
      <c r="AF628" s="55" t="e">
        <f t="shared" ca="1" si="187"/>
        <v>#N/A</v>
      </c>
      <c r="AG628" s="55" t="e">
        <f t="shared" ca="1" si="188"/>
        <v>#N/A</v>
      </c>
      <c r="AH628" s="55" t="e">
        <f t="shared" ca="1" si="189"/>
        <v>#N/A</v>
      </c>
      <c r="AI628" s="55" t="e">
        <f t="shared" ca="1" si="190"/>
        <v>#N/A</v>
      </c>
      <c r="AJ628" s="55" t="e">
        <f t="shared" ca="1" si="196"/>
        <v>#N/A</v>
      </c>
      <c r="AK628" s="55" t="e">
        <f t="shared" ca="1" si="197"/>
        <v>#N/A</v>
      </c>
      <c r="AL628" s="55" t="e">
        <f t="shared" ca="1" si="198"/>
        <v>#N/A</v>
      </c>
      <c r="AM628" s="55"/>
    </row>
    <row r="629" spans="18:39">
      <c r="R629" s="55" t="e">
        <f ca="1"/>
        <v>#N/A</v>
      </c>
      <c r="S629" s="55" t="e">
        <f t="shared" ca="1" si="180"/>
        <v>#N/A</v>
      </c>
      <c r="T629" s="55" t="e">
        <f t="shared" ca="1" si="181"/>
        <v>#N/A</v>
      </c>
      <c r="U629" s="55" t="e">
        <f t="shared" ca="1" si="182"/>
        <v>#N/A</v>
      </c>
      <c r="V629" s="55" t="e">
        <f t="shared" ca="1" si="183"/>
        <v>#N/A</v>
      </c>
      <c r="W629" s="55" t="e">
        <f t="shared" ca="1" si="193"/>
        <v>#N/A</v>
      </c>
      <c r="X629" s="55" t="e">
        <f t="shared" ca="1" si="194"/>
        <v>#N/A</v>
      </c>
      <c r="Y629" s="55" t="e">
        <f t="shared" ca="1" si="195"/>
        <v>#N/A</v>
      </c>
      <c r="Z629" s="55" t="e">
        <f t="shared" ca="1" si="191"/>
        <v>#N/A</v>
      </c>
      <c r="AA629" t="e">
        <f t="shared" ca="1" si="192"/>
        <v>#N/A</v>
      </c>
      <c r="AB629" t="e">
        <f t="shared" ca="1" si="184"/>
        <v>#N/A</v>
      </c>
      <c r="AC629" t="e">
        <f t="shared" ca="1" si="185"/>
        <v>#N/A</v>
      </c>
      <c r="AD629" t="e">
        <f t="shared" ca="1" si="186"/>
        <v>#N/A</v>
      </c>
      <c r="AE629" s="83" t="e">
        <f ca="1"/>
        <v>#N/A</v>
      </c>
      <c r="AF629" s="55" t="e">
        <f t="shared" ca="1" si="187"/>
        <v>#N/A</v>
      </c>
      <c r="AG629" s="55" t="e">
        <f t="shared" ca="1" si="188"/>
        <v>#N/A</v>
      </c>
      <c r="AH629" s="55" t="e">
        <f t="shared" ca="1" si="189"/>
        <v>#N/A</v>
      </c>
      <c r="AI629" s="55" t="e">
        <f t="shared" ca="1" si="190"/>
        <v>#N/A</v>
      </c>
      <c r="AJ629" s="55" t="e">
        <f t="shared" ca="1" si="196"/>
        <v>#N/A</v>
      </c>
      <c r="AK629" s="55" t="e">
        <f t="shared" ca="1" si="197"/>
        <v>#N/A</v>
      </c>
      <c r="AL629" s="55" t="e">
        <f t="shared" ca="1" si="198"/>
        <v>#N/A</v>
      </c>
      <c r="AM629" s="55"/>
    </row>
    <row r="630" spans="18:39">
      <c r="R630" s="55" t="e">
        <f ca="1"/>
        <v>#N/A</v>
      </c>
      <c r="S630" s="55" t="e">
        <f t="shared" ca="1" si="180"/>
        <v>#N/A</v>
      </c>
      <c r="T630" s="55" t="e">
        <f t="shared" ca="1" si="181"/>
        <v>#N/A</v>
      </c>
      <c r="U630" s="55" t="e">
        <f t="shared" ca="1" si="182"/>
        <v>#N/A</v>
      </c>
      <c r="V630" s="55" t="e">
        <f t="shared" ca="1" si="183"/>
        <v>#N/A</v>
      </c>
      <c r="W630" s="55" t="e">
        <f t="shared" ca="1" si="193"/>
        <v>#N/A</v>
      </c>
      <c r="X630" s="55" t="e">
        <f t="shared" ca="1" si="194"/>
        <v>#N/A</v>
      </c>
      <c r="Y630" s="55" t="e">
        <f t="shared" ca="1" si="195"/>
        <v>#N/A</v>
      </c>
      <c r="Z630" s="55" t="e">
        <f t="shared" ca="1" si="191"/>
        <v>#N/A</v>
      </c>
      <c r="AA630" t="e">
        <f t="shared" ca="1" si="192"/>
        <v>#N/A</v>
      </c>
      <c r="AB630" t="e">
        <f t="shared" ca="1" si="184"/>
        <v>#N/A</v>
      </c>
      <c r="AC630" t="e">
        <f t="shared" ca="1" si="185"/>
        <v>#N/A</v>
      </c>
      <c r="AD630" t="e">
        <f t="shared" ca="1" si="186"/>
        <v>#N/A</v>
      </c>
      <c r="AE630" s="83" t="e">
        <f ca="1"/>
        <v>#N/A</v>
      </c>
      <c r="AF630" s="55" t="e">
        <f t="shared" ca="1" si="187"/>
        <v>#N/A</v>
      </c>
      <c r="AG630" s="55" t="e">
        <f t="shared" ca="1" si="188"/>
        <v>#N/A</v>
      </c>
      <c r="AH630" s="55" t="e">
        <f t="shared" ca="1" si="189"/>
        <v>#N/A</v>
      </c>
      <c r="AI630" s="55" t="e">
        <f t="shared" ca="1" si="190"/>
        <v>#N/A</v>
      </c>
      <c r="AJ630" s="55" t="e">
        <f t="shared" ca="1" si="196"/>
        <v>#N/A</v>
      </c>
      <c r="AK630" s="55" t="e">
        <f t="shared" ca="1" si="197"/>
        <v>#N/A</v>
      </c>
      <c r="AL630" s="55" t="e">
        <f t="shared" ca="1" si="198"/>
        <v>#N/A</v>
      </c>
      <c r="AM630" s="55"/>
    </row>
    <row r="631" spans="18:39">
      <c r="R631" s="55" t="e">
        <f ca="1"/>
        <v>#N/A</v>
      </c>
      <c r="S631" s="55" t="e">
        <f t="shared" ca="1" si="180"/>
        <v>#N/A</v>
      </c>
      <c r="T631" s="55" t="e">
        <f t="shared" ca="1" si="181"/>
        <v>#N/A</v>
      </c>
      <c r="U631" s="55" t="e">
        <f t="shared" ca="1" si="182"/>
        <v>#N/A</v>
      </c>
      <c r="V631" s="55" t="e">
        <f t="shared" ca="1" si="183"/>
        <v>#N/A</v>
      </c>
      <c r="W631" s="55" t="e">
        <f t="shared" ca="1" si="193"/>
        <v>#N/A</v>
      </c>
      <c r="X631" s="55" t="e">
        <f t="shared" ca="1" si="194"/>
        <v>#N/A</v>
      </c>
      <c r="Y631" s="55" t="e">
        <f t="shared" ca="1" si="195"/>
        <v>#N/A</v>
      </c>
      <c r="Z631" s="55" t="e">
        <f t="shared" ca="1" si="191"/>
        <v>#N/A</v>
      </c>
      <c r="AA631" t="e">
        <f t="shared" ca="1" si="192"/>
        <v>#N/A</v>
      </c>
      <c r="AB631" t="e">
        <f t="shared" ca="1" si="184"/>
        <v>#N/A</v>
      </c>
      <c r="AC631" t="e">
        <f t="shared" ca="1" si="185"/>
        <v>#N/A</v>
      </c>
      <c r="AD631" t="e">
        <f t="shared" ca="1" si="186"/>
        <v>#N/A</v>
      </c>
      <c r="AE631" s="83" t="e">
        <f ca="1"/>
        <v>#N/A</v>
      </c>
      <c r="AF631" s="55" t="e">
        <f t="shared" ca="1" si="187"/>
        <v>#N/A</v>
      </c>
      <c r="AG631" s="55" t="e">
        <f t="shared" ca="1" si="188"/>
        <v>#N/A</v>
      </c>
      <c r="AH631" s="55" t="e">
        <f t="shared" ca="1" si="189"/>
        <v>#N/A</v>
      </c>
      <c r="AI631" s="55" t="e">
        <f t="shared" ca="1" si="190"/>
        <v>#N/A</v>
      </c>
      <c r="AJ631" s="55" t="e">
        <f t="shared" ca="1" si="196"/>
        <v>#N/A</v>
      </c>
      <c r="AK631" s="55" t="e">
        <f t="shared" ca="1" si="197"/>
        <v>#N/A</v>
      </c>
      <c r="AL631" s="55" t="e">
        <f t="shared" ca="1" si="198"/>
        <v>#N/A</v>
      </c>
      <c r="AM631" s="55"/>
    </row>
    <row r="632" spans="18:39">
      <c r="R632" s="55" t="e">
        <f ca="1"/>
        <v>#N/A</v>
      </c>
      <c r="S632" s="55" t="e">
        <f t="shared" ca="1" si="180"/>
        <v>#N/A</v>
      </c>
      <c r="T632" s="55" t="e">
        <f t="shared" ca="1" si="181"/>
        <v>#N/A</v>
      </c>
      <c r="U632" s="55" t="e">
        <f t="shared" ca="1" si="182"/>
        <v>#N/A</v>
      </c>
      <c r="V632" s="55" t="e">
        <f t="shared" ca="1" si="183"/>
        <v>#N/A</v>
      </c>
      <c r="W632" s="55" t="e">
        <f t="shared" ca="1" si="193"/>
        <v>#N/A</v>
      </c>
      <c r="X632" s="55" t="e">
        <f t="shared" ca="1" si="194"/>
        <v>#N/A</v>
      </c>
      <c r="Y632" s="55" t="e">
        <f t="shared" ca="1" si="195"/>
        <v>#N/A</v>
      </c>
      <c r="Z632" s="55" t="e">
        <f t="shared" ca="1" si="191"/>
        <v>#N/A</v>
      </c>
      <c r="AA632" t="e">
        <f t="shared" ca="1" si="192"/>
        <v>#N/A</v>
      </c>
      <c r="AB632" t="e">
        <f t="shared" ca="1" si="184"/>
        <v>#N/A</v>
      </c>
      <c r="AC632" t="e">
        <f t="shared" ca="1" si="185"/>
        <v>#N/A</v>
      </c>
      <c r="AD632" t="e">
        <f t="shared" ca="1" si="186"/>
        <v>#N/A</v>
      </c>
      <c r="AE632" s="83" t="e">
        <f ca="1"/>
        <v>#N/A</v>
      </c>
      <c r="AF632" s="55" t="e">
        <f t="shared" ca="1" si="187"/>
        <v>#N/A</v>
      </c>
      <c r="AG632" s="55" t="e">
        <f t="shared" ca="1" si="188"/>
        <v>#N/A</v>
      </c>
      <c r="AH632" s="55" t="e">
        <f t="shared" ca="1" si="189"/>
        <v>#N/A</v>
      </c>
      <c r="AI632" s="55" t="e">
        <f t="shared" ca="1" si="190"/>
        <v>#N/A</v>
      </c>
      <c r="AJ632" s="55" t="e">
        <f t="shared" ca="1" si="196"/>
        <v>#N/A</v>
      </c>
      <c r="AK632" s="55" t="e">
        <f t="shared" ca="1" si="197"/>
        <v>#N/A</v>
      </c>
      <c r="AL632" s="55" t="e">
        <f t="shared" ca="1" si="198"/>
        <v>#N/A</v>
      </c>
      <c r="AM632" s="55"/>
    </row>
    <row r="633" spans="18:39">
      <c r="R633" s="55" t="e">
        <f ca="1"/>
        <v>#N/A</v>
      </c>
      <c r="S633" s="55" t="e">
        <f t="shared" ca="1" si="180"/>
        <v>#N/A</v>
      </c>
      <c r="T633" s="55" t="e">
        <f t="shared" ca="1" si="181"/>
        <v>#N/A</v>
      </c>
      <c r="U633" s="55" t="e">
        <f t="shared" ca="1" si="182"/>
        <v>#N/A</v>
      </c>
      <c r="V633" s="55" t="e">
        <f t="shared" ca="1" si="183"/>
        <v>#N/A</v>
      </c>
      <c r="W633" s="55" t="e">
        <f t="shared" ca="1" si="193"/>
        <v>#N/A</v>
      </c>
      <c r="X633" s="55" t="e">
        <f t="shared" ca="1" si="194"/>
        <v>#N/A</v>
      </c>
      <c r="Y633" s="55" t="e">
        <f t="shared" ca="1" si="195"/>
        <v>#N/A</v>
      </c>
      <c r="Z633" s="55" t="e">
        <f t="shared" ca="1" si="191"/>
        <v>#N/A</v>
      </c>
      <c r="AA633" t="e">
        <f t="shared" ca="1" si="192"/>
        <v>#N/A</v>
      </c>
      <c r="AB633" t="e">
        <f t="shared" ca="1" si="184"/>
        <v>#N/A</v>
      </c>
      <c r="AC633" t="e">
        <f t="shared" ca="1" si="185"/>
        <v>#N/A</v>
      </c>
      <c r="AD633" t="e">
        <f t="shared" ca="1" si="186"/>
        <v>#N/A</v>
      </c>
      <c r="AE633" s="83" t="e">
        <f ca="1"/>
        <v>#N/A</v>
      </c>
      <c r="AF633" s="55" t="e">
        <f t="shared" ca="1" si="187"/>
        <v>#N/A</v>
      </c>
      <c r="AG633" s="55" t="e">
        <f t="shared" ca="1" si="188"/>
        <v>#N/A</v>
      </c>
      <c r="AH633" s="55" t="e">
        <f t="shared" ca="1" si="189"/>
        <v>#N/A</v>
      </c>
      <c r="AI633" s="55" t="e">
        <f t="shared" ca="1" si="190"/>
        <v>#N/A</v>
      </c>
      <c r="AJ633" s="55" t="e">
        <f t="shared" ca="1" si="196"/>
        <v>#N/A</v>
      </c>
      <c r="AK633" s="55" t="e">
        <f t="shared" ca="1" si="197"/>
        <v>#N/A</v>
      </c>
      <c r="AL633" s="55" t="e">
        <f t="shared" ca="1" si="198"/>
        <v>#N/A</v>
      </c>
      <c r="AM633" s="55"/>
    </row>
    <row r="634" spans="18:39">
      <c r="R634" s="55" t="e">
        <f ca="1"/>
        <v>#N/A</v>
      </c>
      <c r="S634" s="55" t="e">
        <f t="shared" ca="1" si="180"/>
        <v>#N/A</v>
      </c>
      <c r="T634" s="55" t="e">
        <f t="shared" ca="1" si="181"/>
        <v>#N/A</v>
      </c>
      <c r="U634" s="55" t="e">
        <f t="shared" ca="1" si="182"/>
        <v>#N/A</v>
      </c>
      <c r="V634" s="55" t="e">
        <f t="shared" ca="1" si="183"/>
        <v>#N/A</v>
      </c>
      <c r="W634" s="55" t="e">
        <f t="shared" ca="1" si="193"/>
        <v>#N/A</v>
      </c>
      <c r="X634" s="55" t="e">
        <f t="shared" ca="1" si="194"/>
        <v>#N/A</v>
      </c>
      <c r="Y634" s="55" t="e">
        <f t="shared" ca="1" si="195"/>
        <v>#N/A</v>
      </c>
      <c r="Z634" s="55" t="e">
        <f t="shared" ca="1" si="191"/>
        <v>#N/A</v>
      </c>
      <c r="AA634" t="e">
        <f t="shared" ca="1" si="192"/>
        <v>#N/A</v>
      </c>
      <c r="AB634" t="e">
        <f t="shared" ca="1" si="184"/>
        <v>#N/A</v>
      </c>
      <c r="AC634" t="e">
        <f t="shared" ca="1" si="185"/>
        <v>#N/A</v>
      </c>
      <c r="AD634" t="e">
        <f t="shared" ca="1" si="186"/>
        <v>#N/A</v>
      </c>
      <c r="AE634" s="83" t="e">
        <f ca="1"/>
        <v>#N/A</v>
      </c>
      <c r="AF634" s="55" t="e">
        <f t="shared" ca="1" si="187"/>
        <v>#N/A</v>
      </c>
      <c r="AG634" s="55" t="e">
        <f t="shared" ca="1" si="188"/>
        <v>#N/A</v>
      </c>
      <c r="AH634" s="55" t="e">
        <f t="shared" ca="1" si="189"/>
        <v>#N/A</v>
      </c>
      <c r="AI634" s="55" t="e">
        <f t="shared" ca="1" si="190"/>
        <v>#N/A</v>
      </c>
      <c r="AJ634" s="55" t="e">
        <f t="shared" ca="1" si="196"/>
        <v>#N/A</v>
      </c>
      <c r="AK634" s="55" t="e">
        <f t="shared" ca="1" si="197"/>
        <v>#N/A</v>
      </c>
      <c r="AL634" s="55" t="e">
        <f t="shared" ca="1" si="198"/>
        <v>#N/A</v>
      </c>
      <c r="AM634" s="55"/>
    </row>
    <row r="635" spans="18:39">
      <c r="R635" s="55" t="e">
        <f ca="1"/>
        <v>#N/A</v>
      </c>
      <c r="S635" s="55" t="e">
        <f t="shared" ca="1" si="180"/>
        <v>#N/A</v>
      </c>
      <c r="T635" s="55" t="e">
        <f t="shared" ca="1" si="181"/>
        <v>#N/A</v>
      </c>
      <c r="U635" s="55" t="e">
        <f t="shared" ca="1" si="182"/>
        <v>#N/A</v>
      </c>
      <c r="V635" s="55" t="e">
        <f t="shared" ca="1" si="183"/>
        <v>#N/A</v>
      </c>
      <c r="W635" s="55" t="e">
        <f t="shared" ca="1" si="193"/>
        <v>#N/A</v>
      </c>
      <c r="X635" s="55" t="e">
        <f t="shared" ca="1" si="194"/>
        <v>#N/A</v>
      </c>
      <c r="Y635" s="55" t="e">
        <f t="shared" ca="1" si="195"/>
        <v>#N/A</v>
      </c>
      <c r="Z635" s="55" t="e">
        <f t="shared" ca="1" si="191"/>
        <v>#N/A</v>
      </c>
      <c r="AA635" t="e">
        <f t="shared" ca="1" si="192"/>
        <v>#N/A</v>
      </c>
      <c r="AB635" t="e">
        <f t="shared" ca="1" si="184"/>
        <v>#N/A</v>
      </c>
      <c r="AC635" t="e">
        <f t="shared" ca="1" si="185"/>
        <v>#N/A</v>
      </c>
      <c r="AD635" t="e">
        <f t="shared" ca="1" si="186"/>
        <v>#N/A</v>
      </c>
      <c r="AE635" s="83" t="e">
        <f ca="1"/>
        <v>#N/A</v>
      </c>
      <c r="AF635" s="55" t="e">
        <f t="shared" ca="1" si="187"/>
        <v>#N/A</v>
      </c>
      <c r="AG635" s="55" t="e">
        <f t="shared" ca="1" si="188"/>
        <v>#N/A</v>
      </c>
      <c r="AH635" s="55" t="e">
        <f t="shared" ca="1" si="189"/>
        <v>#N/A</v>
      </c>
      <c r="AI635" s="55" t="e">
        <f t="shared" ca="1" si="190"/>
        <v>#N/A</v>
      </c>
      <c r="AJ635" s="55" t="e">
        <f t="shared" ca="1" si="196"/>
        <v>#N/A</v>
      </c>
      <c r="AK635" s="55" t="e">
        <f t="shared" ca="1" si="197"/>
        <v>#N/A</v>
      </c>
      <c r="AL635" s="55" t="e">
        <f t="shared" ca="1" si="198"/>
        <v>#N/A</v>
      </c>
      <c r="AM635" s="55"/>
    </row>
    <row r="636" spans="18:39">
      <c r="R636" s="55" t="e">
        <f ca="1"/>
        <v>#N/A</v>
      </c>
      <c r="S636" s="55" t="e">
        <f t="shared" ca="1" si="180"/>
        <v>#N/A</v>
      </c>
      <c r="T636" s="55" t="e">
        <f t="shared" ca="1" si="181"/>
        <v>#N/A</v>
      </c>
      <c r="U636" s="55" t="e">
        <f t="shared" ca="1" si="182"/>
        <v>#N/A</v>
      </c>
      <c r="V636" s="55" t="e">
        <f t="shared" ca="1" si="183"/>
        <v>#N/A</v>
      </c>
      <c r="W636" s="55" t="e">
        <f t="shared" ca="1" si="193"/>
        <v>#N/A</v>
      </c>
      <c r="X636" s="55" t="e">
        <f t="shared" ca="1" si="194"/>
        <v>#N/A</v>
      </c>
      <c r="Y636" s="55" t="e">
        <f t="shared" ca="1" si="195"/>
        <v>#N/A</v>
      </c>
      <c r="Z636" s="55" t="e">
        <f t="shared" ca="1" si="191"/>
        <v>#N/A</v>
      </c>
      <c r="AA636" t="e">
        <f t="shared" ca="1" si="192"/>
        <v>#N/A</v>
      </c>
      <c r="AB636" t="e">
        <f t="shared" ca="1" si="184"/>
        <v>#N/A</v>
      </c>
      <c r="AC636" t="e">
        <f t="shared" ca="1" si="185"/>
        <v>#N/A</v>
      </c>
      <c r="AD636" t="e">
        <f t="shared" ca="1" si="186"/>
        <v>#N/A</v>
      </c>
      <c r="AE636" s="83" t="e">
        <f ca="1"/>
        <v>#N/A</v>
      </c>
      <c r="AF636" s="55" t="e">
        <f t="shared" ca="1" si="187"/>
        <v>#N/A</v>
      </c>
      <c r="AG636" s="55" t="e">
        <f t="shared" ca="1" si="188"/>
        <v>#N/A</v>
      </c>
      <c r="AH636" s="55" t="e">
        <f t="shared" ca="1" si="189"/>
        <v>#N/A</v>
      </c>
      <c r="AI636" s="55" t="e">
        <f t="shared" ca="1" si="190"/>
        <v>#N/A</v>
      </c>
      <c r="AJ636" s="55" t="e">
        <f t="shared" ca="1" si="196"/>
        <v>#N/A</v>
      </c>
      <c r="AK636" s="55" t="e">
        <f t="shared" ca="1" si="197"/>
        <v>#N/A</v>
      </c>
      <c r="AL636" s="55" t="e">
        <f t="shared" ca="1" si="198"/>
        <v>#N/A</v>
      </c>
      <c r="AM636" s="55"/>
    </row>
    <row r="637" spans="18:39">
      <c r="R637" s="55" t="e">
        <f ca="1"/>
        <v>#N/A</v>
      </c>
      <c r="S637" s="55" t="e">
        <f t="shared" ca="1" si="180"/>
        <v>#N/A</v>
      </c>
      <c r="T637" s="55" t="e">
        <f t="shared" ca="1" si="181"/>
        <v>#N/A</v>
      </c>
      <c r="U637" s="55" t="e">
        <f t="shared" ca="1" si="182"/>
        <v>#N/A</v>
      </c>
      <c r="V637" s="55" t="e">
        <f t="shared" ca="1" si="183"/>
        <v>#N/A</v>
      </c>
      <c r="W637" s="55" t="e">
        <f t="shared" ca="1" si="193"/>
        <v>#N/A</v>
      </c>
      <c r="X637" s="55" t="e">
        <f t="shared" ca="1" si="194"/>
        <v>#N/A</v>
      </c>
      <c r="Y637" s="55" t="e">
        <f t="shared" ca="1" si="195"/>
        <v>#N/A</v>
      </c>
      <c r="Z637" s="55" t="e">
        <f t="shared" ca="1" si="191"/>
        <v>#N/A</v>
      </c>
      <c r="AA637" t="e">
        <f t="shared" ca="1" si="192"/>
        <v>#N/A</v>
      </c>
      <c r="AB637" t="e">
        <f t="shared" ca="1" si="184"/>
        <v>#N/A</v>
      </c>
      <c r="AC637" t="e">
        <f t="shared" ca="1" si="185"/>
        <v>#N/A</v>
      </c>
      <c r="AD637" t="e">
        <f t="shared" ca="1" si="186"/>
        <v>#N/A</v>
      </c>
      <c r="AE637" s="83" t="e">
        <f ca="1"/>
        <v>#N/A</v>
      </c>
      <c r="AF637" s="55" t="e">
        <f t="shared" ca="1" si="187"/>
        <v>#N/A</v>
      </c>
      <c r="AG637" s="55" t="e">
        <f t="shared" ca="1" si="188"/>
        <v>#N/A</v>
      </c>
      <c r="AH637" s="55" t="e">
        <f t="shared" ca="1" si="189"/>
        <v>#N/A</v>
      </c>
      <c r="AI637" s="55" t="e">
        <f t="shared" ca="1" si="190"/>
        <v>#N/A</v>
      </c>
      <c r="AJ637" s="55" t="e">
        <f t="shared" ca="1" si="196"/>
        <v>#N/A</v>
      </c>
      <c r="AK637" s="55" t="e">
        <f t="shared" ca="1" si="197"/>
        <v>#N/A</v>
      </c>
      <c r="AL637" s="55" t="e">
        <f t="shared" ca="1" si="198"/>
        <v>#N/A</v>
      </c>
      <c r="AM637" s="55"/>
    </row>
    <row r="638" spans="18:39">
      <c r="R638" s="55" t="e">
        <f ca="1"/>
        <v>#N/A</v>
      </c>
      <c r="S638" s="55" t="e">
        <f t="shared" ca="1" si="180"/>
        <v>#N/A</v>
      </c>
      <c r="T638" s="55" t="e">
        <f t="shared" ca="1" si="181"/>
        <v>#N/A</v>
      </c>
      <c r="U638" s="55" t="e">
        <f t="shared" ca="1" si="182"/>
        <v>#N/A</v>
      </c>
      <c r="V638" s="55" t="e">
        <f t="shared" ca="1" si="183"/>
        <v>#N/A</v>
      </c>
      <c r="W638" s="55" t="e">
        <f t="shared" ca="1" si="193"/>
        <v>#N/A</v>
      </c>
      <c r="X638" s="55" t="e">
        <f t="shared" ca="1" si="194"/>
        <v>#N/A</v>
      </c>
      <c r="Y638" s="55" t="e">
        <f t="shared" ca="1" si="195"/>
        <v>#N/A</v>
      </c>
      <c r="Z638" s="55" t="e">
        <f t="shared" ca="1" si="191"/>
        <v>#N/A</v>
      </c>
      <c r="AA638" t="e">
        <f t="shared" ca="1" si="192"/>
        <v>#N/A</v>
      </c>
      <c r="AB638" t="e">
        <f t="shared" ca="1" si="184"/>
        <v>#N/A</v>
      </c>
      <c r="AC638" t="e">
        <f t="shared" ca="1" si="185"/>
        <v>#N/A</v>
      </c>
      <c r="AD638" t="e">
        <f t="shared" ca="1" si="186"/>
        <v>#N/A</v>
      </c>
      <c r="AE638" s="83" t="e">
        <f ca="1"/>
        <v>#N/A</v>
      </c>
      <c r="AF638" s="55" t="e">
        <f t="shared" ca="1" si="187"/>
        <v>#N/A</v>
      </c>
      <c r="AG638" s="55" t="e">
        <f t="shared" ca="1" si="188"/>
        <v>#N/A</v>
      </c>
      <c r="AH638" s="55" t="e">
        <f t="shared" ca="1" si="189"/>
        <v>#N/A</v>
      </c>
      <c r="AI638" s="55" t="e">
        <f t="shared" ca="1" si="190"/>
        <v>#N/A</v>
      </c>
      <c r="AJ638" s="55" t="e">
        <f t="shared" ca="1" si="196"/>
        <v>#N/A</v>
      </c>
      <c r="AK638" s="55" t="e">
        <f t="shared" ca="1" si="197"/>
        <v>#N/A</v>
      </c>
      <c r="AL638" s="55" t="e">
        <f t="shared" ca="1" si="198"/>
        <v>#N/A</v>
      </c>
      <c r="AM638" s="55"/>
    </row>
    <row r="639" spans="18:39">
      <c r="R639" s="55" t="e">
        <f ca="1"/>
        <v>#N/A</v>
      </c>
      <c r="S639" s="55" t="e">
        <f t="shared" ca="1" si="180"/>
        <v>#N/A</v>
      </c>
      <c r="T639" s="55" t="e">
        <f t="shared" ca="1" si="181"/>
        <v>#N/A</v>
      </c>
      <c r="U639" s="55" t="e">
        <f t="shared" ca="1" si="182"/>
        <v>#N/A</v>
      </c>
      <c r="V639" s="55" t="e">
        <f t="shared" ca="1" si="183"/>
        <v>#N/A</v>
      </c>
      <c r="W639" s="55" t="e">
        <f t="shared" ca="1" si="193"/>
        <v>#N/A</v>
      </c>
      <c r="X639" s="55" t="e">
        <f t="shared" ca="1" si="194"/>
        <v>#N/A</v>
      </c>
      <c r="Y639" s="55" t="e">
        <f t="shared" ca="1" si="195"/>
        <v>#N/A</v>
      </c>
      <c r="Z639" s="55" t="e">
        <f t="shared" ca="1" si="191"/>
        <v>#N/A</v>
      </c>
      <c r="AA639" t="e">
        <f t="shared" ca="1" si="192"/>
        <v>#N/A</v>
      </c>
      <c r="AB639" t="e">
        <f t="shared" ca="1" si="184"/>
        <v>#N/A</v>
      </c>
      <c r="AC639" t="e">
        <f t="shared" ca="1" si="185"/>
        <v>#N/A</v>
      </c>
      <c r="AD639" t="e">
        <f t="shared" ca="1" si="186"/>
        <v>#N/A</v>
      </c>
      <c r="AE639" s="83" t="e">
        <f ca="1"/>
        <v>#N/A</v>
      </c>
      <c r="AF639" s="55" t="e">
        <f t="shared" ca="1" si="187"/>
        <v>#N/A</v>
      </c>
      <c r="AG639" s="55" t="e">
        <f t="shared" ca="1" si="188"/>
        <v>#N/A</v>
      </c>
      <c r="AH639" s="55" t="e">
        <f t="shared" ca="1" si="189"/>
        <v>#N/A</v>
      </c>
      <c r="AI639" s="55" t="e">
        <f t="shared" ca="1" si="190"/>
        <v>#N/A</v>
      </c>
      <c r="AJ639" s="55" t="e">
        <f t="shared" ca="1" si="196"/>
        <v>#N/A</v>
      </c>
      <c r="AK639" s="55" t="e">
        <f t="shared" ca="1" si="197"/>
        <v>#N/A</v>
      </c>
      <c r="AL639" s="55" t="e">
        <f t="shared" ca="1" si="198"/>
        <v>#N/A</v>
      </c>
      <c r="AM639" s="55"/>
    </row>
    <row r="640" spans="18:39">
      <c r="R640" s="55" t="e">
        <f ca="1"/>
        <v>#N/A</v>
      </c>
      <c r="S640" s="55" t="e">
        <f t="shared" ca="1" si="180"/>
        <v>#N/A</v>
      </c>
      <c r="T640" s="55" t="e">
        <f t="shared" ca="1" si="181"/>
        <v>#N/A</v>
      </c>
      <c r="U640" s="55" t="e">
        <f t="shared" ca="1" si="182"/>
        <v>#N/A</v>
      </c>
      <c r="V640" s="55" t="e">
        <f t="shared" ca="1" si="183"/>
        <v>#N/A</v>
      </c>
      <c r="W640" s="55" t="e">
        <f t="shared" ca="1" si="193"/>
        <v>#N/A</v>
      </c>
      <c r="X640" s="55" t="e">
        <f t="shared" ca="1" si="194"/>
        <v>#N/A</v>
      </c>
      <c r="Y640" s="55" t="e">
        <f t="shared" ca="1" si="195"/>
        <v>#N/A</v>
      </c>
      <c r="Z640" s="55" t="e">
        <f t="shared" ca="1" si="191"/>
        <v>#N/A</v>
      </c>
      <c r="AA640" t="e">
        <f t="shared" ca="1" si="192"/>
        <v>#N/A</v>
      </c>
      <c r="AB640" t="e">
        <f t="shared" ca="1" si="184"/>
        <v>#N/A</v>
      </c>
      <c r="AC640" t="e">
        <f t="shared" ca="1" si="185"/>
        <v>#N/A</v>
      </c>
      <c r="AD640" t="e">
        <f t="shared" ca="1" si="186"/>
        <v>#N/A</v>
      </c>
      <c r="AE640" s="83" t="e">
        <f ca="1"/>
        <v>#N/A</v>
      </c>
      <c r="AF640" s="55" t="e">
        <f t="shared" ca="1" si="187"/>
        <v>#N/A</v>
      </c>
      <c r="AG640" s="55" t="e">
        <f t="shared" ca="1" si="188"/>
        <v>#N/A</v>
      </c>
      <c r="AH640" s="55" t="e">
        <f t="shared" ca="1" si="189"/>
        <v>#N/A</v>
      </c>
      <c r="AI640" s="55" t="e">
        <f t="shared" ca="1" si="190"/>
        <v>#N/A</v>
      </c>
      <c r="AJ640" s="55" t="e">
        <f t="shared" ca="1" si="196"/>
        <v>#N/A</v>
      </c>
      <c r="AK640" s="55" t="e">
        <f t="shared" ca="1" si="197"/>
        <v>#N/A</v>
      </c>
      <c r="AL640" s="55" t="e">
        <f t="shared" ca="1" si="198"/>
        <v>#N/A</v>
      </c>
      <c r="AM640" s="55"/>
    </row>
    <row r="641" spans="18:39">
      <c r="R641" s="55" t="e">
        <f ca="1"/>
        <v>#N/A</v>
      </c>
      <c r="S641" s="55" t="e">
        <f t="shared" ca="1" si="180"/>
        <v>#N/A</v>
      </c>
      <c r="T641" s="55" t="e">
        <f t="shared" ca="1" si="181"/>
        <v>#N/A</v>
      </c>
      <c r="U641" s="55" t="e">
        <f t="shared" ca="1" si="182"/>
        <v>#N/A</v>
      </c>
      <c r="V641" s="55" t="e">
        <f t="shared" ca="1" si="183"/>
        <v>#N/A</v>
      </c>
      <c r="W641" s="55" t="e">
        <f t="shared" ca="1" si="193"/>
        <v>#N/A</v>
      </c>
      <c r="X641" s="55" t="e">
        <f t="shared" ca="1" si="194"/>
        <v>#N/A</v>
      </c>
      <c r="Y641" s="55" t="e">
        <f t="shared" ca="1" si="195"/>
        <v>#N/A</v>
      </c>
      <c r="Z641" s="55" t="e">
        <f t="shared" ca="1" si="191"/>
        <v>#N/A</v>
      </c>
      <c r="AA641" t="e">
        <f t="shared" ca="1" si="192"/>
        <v>#N/A</v>
      </c>
      <c r="AB641" t="e">
        <f t="shared" ca="1" si="184"/>
        <v>#N/A</v>
      </c>
      <c r="AC641" t="e">
        <f t="shared" ca="1" si="185"/>
        <v>#N/A</v>
      </c>
      <c r="AD641" t="e">
        <f t="shared" ca="1" si="186"/>
        <v>#N/A</v>
      </c>
      <c r="AE641" s="83" t="e">
        <f ca="1"/>
        <v>#N/A</v>
      </c>
      <c r="AF641" s="55" t="e">
        <f t="shared" ca="1" si="187"/>
        <v>#N/A</v>
      </c>
      <c r="AG641" s="55" t="e">
        <f t="shared" ca="1" si="188"/>
        <v>#N/A</v>
      </c>
      <c r="AH641" s="55" t="e">
        <f t="shared" ca="1" si="189"/>
        <v>#N/A</v>
      </c>
      <c r="AI641" s="55" t="e">
        <f t="shared" ca="1" si="190"/>
        <v>#N/A</v>
      </c>
      <c r="AJ641" s="55" t="e">
        <f t="shared" ca="1" si="196"/>
        <v>#N/A</v>
      </c>
      <c r="AK641" s="55" t="e">
        <f t="shared" ca="1" si="197"/>
        <v>#N/A</v>
      </c>
      <c r="AL641" s="55" t="e">
        <f t="shared" ca="1" si="198"/>
        <v>#N/A</v>
      </c>
      <c r="AM641" s="55"/>
    </row>
    <row r="642" spans="18:39">
      <c r="R642" s="55" t="e">
        <f ca="1"/>
        <v>#N/A</v>
      </c>
      <c r="S642" s="55" t="e">
        <f t="shared" ca="1" si="180"/>
        <v>#N/A</v>
      </c>
      <c r="T642" s="55" t="e">
        <f t="shared" ca="1" si="181"/>
        <v>#N/A</v>
      </c>
      <c r="U642" s="55" t="e">
        <f t="shared" ca="1" si="182"/>
        <v>#N/A</v>
      </c>
      <c r="V642" s="55" t="e">
        <f t="shared" ca="1" si="183"/>
        <v>#N/A</v>
      </c>
      <c r="W642" s="55" t="e">
        <f t="shared" ca="1" si="193"/>
        <v>#N/A</v>
      </c>
      <c r="X642" s="55" t="e">
        <f t="shared" ca="1" si="194"/>
        <v>#N/A</v>
      </c>
      <c r="Y642" s="55" t="e">
        <f t="shared" ca="1" si="195"/>
        <v>#N/A</v>
      </c>
      <c r="Z642" s="55" t="e">
        <f t="shared" ca="1" si="191"/>
        <v>#N/A</v>
      </c>
      <c r="AA642" t="e">
        <f t="shared" ca="1" si="192"/>
        <v>#N/A</v>
      </c>
      <c r="AB642" t="e">
        <f t="shared" ca="1" si="184"/>
        <v>#N/A</v>
      </c>
      <c r="AC642" t="e">
        <f t="shared" ca="1" si="185"/>
        <v>#N/A</v>
      </c>
      <c r="AD642" t="e">
        <f t="shared" ca="1" si="186"/>
        <v>#N/A</v>
      </c>
      <c r="AE642" s="83" t="e">
        <f ca="1"/>
        <v>#N/A</v>
      </c>
      <c r="AF642" s="55" t="e">
        <f t="shared" ca="1" si="187"/>
        <v>#N/A</v>
      </c>
      <c r="AG642" s="55" t="e">
        <f t="shared" ca="1" si="188"/>
        <v>#N/A</v>
      </c>
      <c r="AH642" s="55" t="e">
        <f t="shared" ca="1" si="189"/>
        <v>#N/A</v>
      </c>
      <c r="AI642" s="55" t="e">
        <f t="shared" ca="1" si="190"/>
        <v>#N/A</v>
      </c>
      <c r="AJ642" s="55" t="e">
        <f t="shared" ca="1" si="196"/>
        <v>#N/A</v>
      </c>
      <c r="AK642" s="55" t="e">
        <f t="shared" ca="1" si="197"/>
        <v>#N/A</v>
      </c>
      <c r="AL642" s="55" t="e">
        <f t="shared" ca="1" si="198"/>
        <v>#N/A</v>
      </c>
      <c r="AM642" s="55"/>
    </row>
    <row r="643" spans="18:39">
      <c r="R643" s="55" t="e">
        <f ca="1"/>
        <v>#N/A</v>
      </c>
      <c r="S643" s="55" t="e">
        <f t="shared" ca="1" si="180"/>
        <v>#N/A</v>
      </c>
      <c r="T643" s="55" t="e">
        <f t="shared" ca="1" si="181"/>
        <v>#N/A</v>
      </c>
      <c r="U643" s="55" t="e">
        <f t="shared" ca="1" si="182"/>
        <v>#N/A</v>
      </c>
      <c r="V643" s="55" t="e">
        <f t="shared" ca="1" si="183"/>
        <v>#N/A</v>
      </c>
      <c r="W643" s="55" t="e">
        <f t="shared" ca="1" si="193"/>
        <v>#N/A</v>
      </c>
      <c r="X643" s="55" t="e">
        <f t="shared" ca="1" si="194"/>
        <v>#N/A</v>
      </c>
      <c r="Y643" s="55" t="e">
        <f t="shared" ca="1" si="195"/>
        <v>#N/A</v>
      </c>
      <c r="Z643" s="55" t="e">
        <f t="shared" ca="1" si="191"/>
        <v>#N/A</v>
      </c>
      <c r="AA643" t="e">
        <f t="shared" ca="1" si="192"/>
        <v>#N/A</v>
      </c>
      <c r="AB643" t="e">
        <f t="shared" ca="1" si="184"/>
        <v>#N/A</v>
      </c>
      <c r="AC643" t="e">
        <f t="shared" ca="1" si="185"/>
        <v>#N/A</v>
      </c>
      <c r="AD643" t="e">
        <f t="shared" ca="1" si="186"/>
        <v>#N/A</v>
      </c>
      <c r="AE643" s="83" t="e">
        <f ca="1"/>
        <v>#N/A</v>
      </c>
      <c r="AF643" s="55" t="e">
        <f t="shared" ca="1" si="187"/>
        <v>#N/A</v>
      </c>
      <c r="AG643" s="55" t="e">
        <f t="shared" ca="1" si="188"/>
        <v>#N/A</v>
      </c>
      <c r="AH643" s="55" t="e">
        <f t="shared" ca="1" si="189"/>
        <v>#N/A</v>
      </c>
      <c r="AI643" s="55" t="e">
        <f t="shared" ca="1" si="190"/>
        <v>#N/A</v>
      </c>
      <c r="AJ643" s="55" t="e">
        <f t="shared" ca="1" si="196"/>
        <v>#N/A</v>
      </c>
      <c r="AK643" s="55" t="e">
        <f t="shared" ca="1" si="197"/>
        <v>#N/A</v>
      </c>
      <c r="AL643" s="55" t="e">
        <f t="shared" ca="1" si="198"/>
        <v>#N/A</v>
      </c>
      <c r="AM643" s="55"/>
    </row>
    <row r="644" spans="18:39">
      <c r="R644" s="55" t="e">
        <f ca="1"/>
        <v>#N/A</v>
      </c>
      <c r="S644" s="55" t="e">
        <f t="shared" ca="1" si="180"/>
        <v>#N/A</v>
      </c>
      <c r="T644" s="55" t="e">
        <f t="shared" ca="1" si="181"/>
        <v>#N/A</v>
      </c>
      <c r="U644" s="55" t="e">
        <f t="shared" ca="1" si="182"/>
        <v>#N/A</v>
      </c>
      <c r="V644" s="55" t="e">
        <f t="shared" ca="1" si="183"/>
        <v>#N/A</v>
      </c>
      <c r="W644" s="55" t="e">
        <f t="shared" ca="1" si="193"/>
        <v>#N/A</v>
      </c>
      <c r="X644" s="55" t="e">
        <f t="shared" ca="1" si="194"/>
        <v>#N/A</v>
      </c>
      <c r="Y644" s="55" t="e">
        <f t="shared" ca="1" si="195"/>
        <v>#N/A</v>
      </c>
      <c r="Z644" s="55" t="e">
        <f t="shared" ca="1" si="191"/>
        <v>#N/A</v>
      </c>
      <c r="AA644" t="e">
        <f t="shared" ca="1" si="192"/>
        <v>#N/A</v>
      </c>
      <c r="AB644" t="e">
        <f t="shared" ca="1" si="184"/>
        <v>#N/A</v>
      </c>
      <c r="AC644" t="e">
        <f t="shared" ca="1" si="185"/>
        <v>#N/A</v>
      </c>
      <c r="AD644" t="e">
        <f t="shared" ca="1" si="186"/>
        <v>#N/A</v>
      </c>
      <c r="AE644" s="83" t="e">
        <f ca="1"/>
        <v>#N/A</v>
      </c>
      <c r="AF644" s="55" t="e">
        <f t="shared" ca="1" si="187"/>
        <v>#N/A</v>
      </c>
      <c r="AG644" s="55" t="e">
        <f t="shared" ca="1" si="188"/>
        <v>#N/A</v>
      </c>
      <c r="AH644" s="55" t="e">
        <f t="shared" ca="1" si="189"/>
        <v>#N/A</v>
      </c>
      <c r="AI644" s="55" t="e">
        <f t="shared" ca="1" si="190"/>
        <v>#N/A</v>
      </c>
      <c r="AJ644" s="55" t="e">
        <f t="shared" ca="1" si="196"/>
        <v>#N/A</v>
      </c>
      <c r="AK644" s="55" t="e">
        <f t="shared" ca="1" si="197"/>
        <v>#N/A</v>
      </c>
      <c r="AL644" s="55" t="e">
        <f t="shared" ca="1" si="198"/>
        <v>#N/A</v>
      </c>
      <c r="AM644" s="55"/>
    </row>
    <row r="645" spans="18:39">
      <c r="R645" s="55" t="e">
        <f ca="1"/>
        <v>#N/A</v>
      </c>
      <c r="S645" s="55" t="e">
        <f t="shared" ca="1" si="180"/>
        <v>#N/A</v>
      </c>
      <c r="T645" s="55" t="e">
        <f t="shared" ca="1" si="181"/>
        <v>#N/A</v>
      </c>
      <c r="U645" s="55" t="e">
        <f t="shared" ca="1" si="182"/>
        <v>#N/A</v>
      </c>
      <c r="V645" s="55" t="e">
        <f t="shared" ca="1" si="183"/>
        <v>#N/A</v>
      </c>
      <c r="W645" s="55" t="e">
        <f t="shared" ca="1" si="193"/>
        <v>#N/A</v>
      </c>
      <c r="X645" s="55" t="e">
        <f t="shared" ca="1" si="194"/>
        <v>#N/A</v>
      </c>
      <c r="Y645" s="55" t="e">
        <f t="shared" ca="1" si="195"/>
        <v>#N/A</v>
      </c>
      <c r="Z645" s="55" t="e">
        <f t="shared" ca="1" si="191"/>
        <v>#N/A</v>
      </c>
      <c r="AA645" t="e">
        <f t="shared" ca="1" si="192"/>
        <v>#N/A</v>
      </c>
      <c r="AB645" t="e">
        <f t="shared" ca="1" si="184"/>
        <v>#N/A</v>
      </c>
      <c r="AC645" t="e">
        <f t="shared" ca="1" si="185"/>
        <v>#N/A</v>
      </c>
      <c r="AD645" t="e">
        <f t="shared" ca="1" si="186"/>
        <v>#N/A</v>
      </c>
      <c r="AE645" s="83" t="e">
        <f ca="1"/>
        <v>#N/A</v>
      </c>
      <c r="AF645" s="55" t="e">
        <f t="shared" ca="1" si="187"/>
        <v>#N/A</v>
      </c>
      <c r="AG645" s="55" t="e">
        <f t="shared" ca="1" si="188"/>
        <v>#N/A</v>
      </c>
      <c r="AH645" s="55" t="e">
        <f t="shared" ca="1" si="189"/>
        <v>#N/A</v>
      </c>
      <c r="AI645" s="55" t="e">
        <f t="shared" ca="1" si="190"/>
        <v>#N/A</v>
      </c>
      <c r="AJ645" s="55" t="e">
        <f t="shared" ca="1" si="196"/>
        <v>#N/A</v>
      </c>
      <c r="AK645" s="55" t="e">
        <f t="shared" ca="1" si="197"/>
        <v>#N/A</v>
      </c>
      <c r="AL645" s="55" t="e">
        <f t="shared" ca="1" si="198"/>
        <v>#N/A</v>
      </c>
      <c r="AM645" s="55"/>
    </row>
    <row r="646" spans="18:39">
      <c r="R646" s="55" t="e">
        <f ca="1"/>
        <v>#N/A</v>
      </c>
      <c r="S646" s="55" t="e">
        <f t="shared" ca="1" si="180"/>
        <v>#N/A</v>
      </c>
      <c r="T646" s="55" t="e">
        <f t="shared" ca="1" si="181"/>
        <v>#N/A</v>
      </c>
      <c r="U646" s="55" t="e">
        <f t="shared" ca="1" si="182"/>
        <v>#N/A</v>
      </c>
      <c r="V646" s="55" t="e">
        <f t="shared" ca="1" si="183"/>
        <v>#N/A</v>
      </c>
      <c r="W646" s="55" t="e">
        <f t="shared" ca="1" si="193"/>
        <v>#N/A</v>
      </c>
      <c r="X646" s="55" t="e">
        <f t="shared" ca="1" si="194"/>
        <v>#N/A</v>
      </c>
      <c r="Y646" s="55" t="e">
        <f t="shared" ca="1" si="195"/>
        <v>#N/A</v>
      </c>
      <c r="Z646" s="55" t="e">
        <f t="shared" ca="1" si="191"/>
        <v>#N/A</v>
      </c>
      <c r="AA646" t="e">
        <f t="shared" ca="1" si="192"/>
        <v>#N/A</v>
      </c>
      <c r="AB646" t="e">
        <f t="shared" ca="1" si="184"/>
        <v>#N/A</v>
      </c>
      <c r="AC646" t="e">
        <f t="shared" ca="1" si="185"/>
        <v>#N/A</v>
      </c>
      <c r="AD646" t="e">
        <f t="shared" ca="1" si="186"/>
        <v>#N/A</v>
      </c>
      <c r="AE646" s="83" t="e">
        <f ca="1"/>
        <v>#N/A</v>
      </c>
      <c r="AF646" s="55" t="e">
        <f t="shared" ca="1" si="187"/>
        <v>#N/A</v>
      </c>
      <c r="AG646" s="55" t="e">
        <f t="shared" ca="1" si="188"/>
        <v>#N/A</v>
      </c>
      <c r="AH646" s="55" t="e">
        <f t="shared" ca="1" si="189"/>
        <v>#N/A</v>
      </c>
      <c r="AI646" s="55" t="e">
        <f t="shared" ca="1" si="190"/>
        <v>#N/A</v>
      </c>
      <c r="AJ646" s="55" t="e">
        <f t="shared" ca="1" si="196"/>
        <v>#N/A</v>
      </c>
      <c r="AK646" s="55" t="e">
        <f t="shared" ca="1" si="197"/>
        <v>#N/A</v>
      </c>
      <c r="AL646" s="55" t="e">
        <f t="shared" ca="1" si="198"/>
        <v>#N/A</v>
      </c>
      <c r="AM646" s="55"/>
    </row>
    <row r="647" spans="18:39">
      <c r="R647" s="55" t="e">
        <f ca="1"/>
        <v>#N/A</v>
      </c>
      <c r="S647" s="55" t="e">
        <f t="shared" ca="1" si="180"/>
        <v>#N/A</v>
      </c>
      <c r="T647" s="55" t="e">
        <f t="shared" ca="1" si="181"/>
        <v>#N/A</v>
      </c>
      <c r="U647" s="55" t="e">
        <f t="shared" ca="1" si="182"/>
        <v>#N/A</v>
      </c>
      <c r="V647" s="55" t="e">
        <f t="shared" ca="1" si="183"/>
        <v>#N/A</v>
      </c>
      <c r="W647" s="55" t="e">
        <f t="shared" ca="1" si="193"/>
        <v>#N/A</v>
      </c>
      <c r="X647" s="55" t="e">
        <f t="shared" ca="1" si="194"/>
        <v>#N/A</v>
      </c>
      <c r="Y647" s="55" t="e">
        <f t="shared" ca="1" si="195"/>
        <v>#N/A</v>
      </c>
      <c r="Z647" s="55" t="e">
        <f t="shared" ca="1" si="191"/>
        <v>#N/A</v>
      </c>
      <c r="AA647" t="e">
        <f t="shared" ca="1" si="192"/>
        <v>#N/A</v>
      </c>
      <c r="AB647" t="e">
        <f t="shared" ca="1" si="184"/>
        <v>#N/A</v>
      </c>
      <c r="AC647" t="e">
        <f t="shared" ca="1" si="185"/>
        <v>#N/A</v>
      </c>
      <c r="AD647" t="e">
        <f t="shared" ca="1" si="186"/>
        <v>#N/A</v>
      </c>
      <c r="AE647" s="83" t="e">
        <f ca="1"/>
        <v>#N/A</v>
      </c>
      <c r="AF647" s="55" t="e">
        <f t="shared" ca="1" si="187"/>
        <v>#N/A</v>
      </c>
      <c r="AG647" s="55" t="e">
        <f t="shared" ca="1" si="188"/>
        <v>#N/A</v>
      </c>
      <c r="AH647" s="55" t="e">
        <f t="shared" ca="1" si="189"/>
        <v>#N/A</v>
      </c>
      <c r="AI647" s="55" t="e">
        <f t="shared" ca="1" si="190"/>
        <v>#N/A</v>
      </c>
      <c r="AJ647" s="55" t="e">
        <f t="shared" ca="1" si="196"/>
        <v>#N/A</v>
      </c>
      <c r="AK647" s="55" t="e">
        <f t="shared" ca="1" si="197"/>
        <v>#N/A</v>
      </c>
      <c r="AL647" s="55" t="e">
        <f t="shared" ca="1" si="198"/>
        <v>#N/A</v>
      </c>
      <c r="AM647" s="55"/>
    </row>
    <row r="648" spans="18:39">
      <c r="R648" s="55" t="e">
        <f ca="1"/>
        <v>#N/A</v>
      </c>
      <c r="S648" s="55" t="e">
        <f t="shared" ca="1" si="180"/>
        <v>#N/A</v>
      </c>
      <c r="T648" s="55" t="e">
        <f t="shared" ca="1" si="181"/>
        <v>#N/A</v>
      </c>
      <c r="U648" s="55" t="e">
        <f t="shared" ca="1" si="182"/>
        <v>#N/A</v>
      </c>
      <c r="V648" s="55" t="e">
        <f t="shared" ca="1" si="183"/>
        <v>#N/A</v>
      </c>
      <c r="W648" s="55" t="e">
        <f t="shared" ca="1" si="193"/>
        <v>#N/A</v>
      </c>
      <c r="X648" s="55" t="e">
        <f t="shared" ca="1" si="194"/>
        <v>#N/A</v>
      </c>
      <c r="Y648" s="55" t="e">
        <f t="shared" ca="1" si="195"/>
        <v>#N/A</v>
      </c>
      <c r="Z648" s="55" t="e">
        <f t="shared" ca="1" si="191"/>
        <v>#N/A</v>
      </c>
      <c r="AA648" t="e">
        <f t="shared" ca="1" si="192"/>
        <v>#N/A</v>
      </c>
      <c r="AB648" t="e">
        <f t="shared" ca="1" si="184"/>
        <v>#N/A</v>
      </c>
      <c r="AC648" t="e">
        <f t="shared" ca="1" si="185"/>
        <v>#N/A</v>
      </c>
      <c r="AD648" t="e">
        <f t="shared" ca="1" si="186"/>
        <v>#N/A</v>
      </c>
      <c r="AE648" s="83" t="e">
        <f ca="1"/>
        <v>#N/A</v>
      </c>
      <c r="AF648" s="55" t="e">
        <f t="shared" ca="1" si="187"/>
        <v>#N/A</v>
      </c>
      <c r="AG648" s="55" t="e">
        <f t="shared" ca="1" si="188"/>
        <v>#N/A</v>
      </c>
      <c r="AH648" s="55" t="e">
        <f t="shared" ca="1" si="189"/>
        <v>#N/A</v>
      </c>
      <c r="AI648" s="55" t="e">
        <f t="shared" ca="1" si="190"/>
        <v>#N/A</v>
      </c>
      <c r="AJ648" s="55" t="e">
        <f t="shared" ca="1" si="196"/>
        <v>#N/A</v>
      </c>
      <c r="AK648" s="55" t="e">
        <f t="shared" ca="1" si="197"/>
        <v>#N/A</v>
      </c>
      <c r="AL648" s="55" t="e">
        <f t="shared" ca="1" si="198"/>
        <v>#N/A</v>
      </c>
      <c r="AM648" s="55"/>
    </row>
    <row r="649" spans="18:39">
      <c r="R649" s="55" t="e">
        <f ca="1"/>
        <v>#N/A</v>
      </c>
      <c r="S649" s="55" t="e">
        <f t="shared" ca="1" si="180"/>
        <v>#N/A</v>
      </c>
      <c r="T649" s="55" t="e">
        <f t="shared" ca="1" si="181"/>
        <v>#N/A</v>
      </c>
      <c r="U649" s="55" t="e">
        <f t="shared" ca="1" si="182"/>
        <v>#N/A</v>
      </c>
      <c r="V649" s="55" t="e">
        <f t="shared" ca="1" si="183"/>
        <v>#N/A</v>
      </c>
      <c r="W649" s="55" t="e">
        <f t="shared" ca="1" si="193"/>
        <v>#N/A</v>
      </c>
      <c r="X649" s="55" t="e">
        <f t="shared" ca="1" si="194"/>
        <v>#N/A</v>
      </c>
      <c r="Y649" s="55" t="e">
        <f t="shared" ca="1" si="195"/>
        <v>#N/A</v>
      </c>
      <c r="Z649" s="55" t="e">
        <f t="shared" ca="1" si="191"/>
        <v>#N/A</v>
      </c>
      <c r="AA649" t="e">
        <f t="shared" ca="1" si="192"/>
        <v>#N/A</v>
      </c>
      <c r="AB649" t="e">
        <f t="shared" ca="1" si="184"/>
        <v>#N/A</v>
      </c>
      <c r="AC649" t="e">
        <f t="shared" ca="1" si="185"/>
        <v>#N/A</v>
      </c>
      <c r="AD649" t="e">
        <f t="shared" ca="1" si="186"/>
        <v>#N/A</v>
      </c>
      <c r="AE649" s="83" t="e">
        <f ca="1"/>
        <v>#N/A</v>
      </c>
      <c r="AF649" s="55" t="e">
        <f t="shared" ca="1" si="187"/>
        <v>#N/A</v>
      </c>
      <c r="AG649" s="55" t="e">
        <f t="shared" ca="1" si="188"/>
        <v>#N/A</v>
      </c>
      <c r="AH649" s="55" t="e">
        <f t="shared" ca="1" si="189"/>
        <v>#N/A</v>
      </c>
      <c r="AI649" s="55" t="e">
        <f t="shared" ca="1" si="190"/>
        <v>#N/A</v>
      </c>
      <c r="AJ649" s="55" t="e">
        <f t="shared" ca="1" si="196"/>
        <v>#N/A</v>
      </c>
      <c r="AK649" s="55" t="e">
        <f t="shared" ca="1" si="197"/>
        <v>#N/A</v>
      </c>
      <c r="AL649" s="55" t="e">
        <f t="shared" ca="1" si="198"/>
        <v>#N/A</v>
      </c>
      <c r="AM649" s="55"/>
    </row>
    <row r="650" spans="18:39">
      <c r="R650" s="55" t="e">
        <f ca="1"/>
        <v>#N/A</v>
      </c>
      <c r="S650" s="55" t="e">
        <f t="shared" ca="1" si="180"/>
        <v>#N/A</v>
      </c>
      <c r="T650" s="55" t="e">
        <f t="shared" ca="1" si="181"/>
        <v>#N/A</v>
      </c>
      <c r="U650" s="55" t="e">
        <f t="shared" ca="1" si="182"/>
        <v>#N/A</v>
      </c>
      <c r="V650" s="55" t="e">
        <f t="shared" ca="1" si="183"/>
        <v>#N/A</v>
      </c>
      <c r="W650" s="55" t="e">
        <f t="shared" ca="1" si="193"/>
        <v>#N/A</v>
      </c>
      <c r="X650" s="55" t="e">
        <f t="shared" ca="1" si="194"/>
        <v>#N/A</v>
      </c>
      <c r="Y650" s="55" t="e">
        <f t="shared" ca="1" si="195"/>
        <v>#N/A</v>
      </c>
      <c r="Z650" s="55" t="e">
        <f t="shared" ca="1" si="191"/>
        <v>#N/A</v>
      </c>
      <c r="AA650" t="e">
        <f t="shared" ca="1" si="192"/>
        <v>#N/A</v>
      </c>
      <c r="AB650" t="e">
        <f t="shared" ca="1" si="184"/>
        <v>#N/A</v>
      </c>
      <c r="AC650" t="e">
        <f t="shared" ca="1" si="185"/>
        <v>#N/A</v>
      </c>
      <c r="AD650" t="e">
        <f t="shared" ca="1" si="186"/>
        <v>#N/A</v>
      </c>
      <c r="AE650" s="83" t="e">
        <f ca="1"/>
        <v>#N/A</v>
      </c>
      <c r="AF650" s="55" t="e">
        <f t="shared" ca="1" si="187"/>
        <v>#N/A</v>
      </c>
      <c r="AG650" s="55" t="e">
        <f t="shared" ca="1" si="188"/>
        <v>#N/A</v>
      </c>
      <c r="AH650" s="55" t="e">
        <f t="shared" ca="1" si="189"/>
        <v>#N/A</v>
      </c>
      <c r="AI650" s="55" t="e">
        <f t="shared" ca="1" si="190"/>
        <v>#N/A</v>
      </c>
      <c r="AJ650" s="55" t="e">
        <f t="shared" ca="1" si="196"/>
        <v>#N/A</v>
      </c>
      <c r="AK650" s="55" t="e">
        <f t="shared" ca="1" si="197"/>
        <v>#N/A</v>
      </c>
      <c r="AL650" s="55" t="e">
        <f t="shared" ca="1" si="198"/>
        <v>#N/A</v>
      </c>
      <c r="AM650" s="55"/>
    </row>
    <row r="651" spans="18:39">
      <c r="R651" s="55" t="e">
        <f ca="1"/>
        <v>#N/A</v>
      </c>
      <c r="S651" s="55" t="e">
        <f t="shared" ca="1" si="180"/>
        <v>#N/A</v>
      </c>
      <c r="T651" s="55" t="e">
        <f t="shared" ca="1" si="181"/>
        <v>#N/A</v>
      </c>
      <c r="U651" s="55" t="e">
        <f t="shared" ca="1" si="182"/>
        <v>#N/A</v>
      </c>
      <c r="V651" s="55" t="e">
        <f t="shared" ca="1" si="183"/>
        <v>#N/A</v>
      </c>
      <c r="W651" s="55" t="e">
        <f t="shared" ca="1" si="193"/>
        <v>#N/A</v>
      </c>
      <c r="X651" s="55" t="e">
        <f t="shared" ca="1" si="194"/>
        <v>#N/A</v>
      </c>
      <c r="Y651" s="55" t="e">
        <f t="shared" ca="1" si="195"/>
        <v>#N/A</v>
      </c>
      <c r="Z651" s="55" t="e">
        <f t="shared" ca="1" si="191"/>
        <v>#N/A</v>
      </c>
      <c r="AA651" t="e">
        <f t="shared" ca="1" si="192"/>
        <v>#N/A</v>
      </c>
      <c r="AB651" t="e">
        <f t="shared" ca="1" si="184"/>
        <v>#N/A</v>
      </c>
      <c r="AC651" t="e">
        <f t="shared" ca="1" si="185"/>
        <v>#N/A</v>
      </c>
      <c r="AD651" t="e">
        <f t="shared" ca="1" si="186"/>
        <v>#N/A</v>
      </c>
      <c r="AE651" s="83" t="e">
        <f ca="1"/>
        <v>#N/A</v>
      </c>
      <c r="AF651" s="55" t="e">
        <f t="shared" ca="1" si="187"/>
        <v>#N/A</v>
      </c>
      <c r="AG651" s="55" t="e">
        <f t="shared" ca="1" si="188"/>
        <v>#N/A</v>
      </c>
      <c r="AH651" s="55" t="e">
        <f t="shared" ca="1" si="189"/>
        <v>#N/A</v>
      </c>
      <c r="AI651" s="55" t="e">
        <f t="shared" ca="1" si="190"/>
        <v>#N/A</v>
      </c>
      <c r="AJ651" s="55" t="e">
        <f t="shared" ca="1" si="196"/>
        <v>#N/A</v>
      </c>
      <c r="AK651" s="55" t="e">
        <f t="shared" ca="1" si="197"/>
        <v>#N/A</v>
      </c>
      <c r="AL651" s="55" t="e">
        <f t="shared" ca="1" si="198"/>
        <v>#N/A</v>
      </c>
      <c r="AM651" s="55"/>
    </row>
    <row r="652" spans="18:39">
      <c r="R652" s="55" t="e">
        <f ca="1"/>
        <v>#N/A</v>
      </c>
      <c r="S652" s="55" t="e">
        <f t="shared" ref="S652:S662" ca="1" si="199">IF(R652&gt;1,R652,"")</f>
        <v>#N/A</v>
      </c>
      <c r="T652" s="55" t="e">
        <f t="shared" ref="T652:T662" ca="1" si="200">VLOOKUP(S652,ModelOutputs,2,FALSE)</f>
        <v>#N/A</v>
      </c>
      <c r="U652" s="55" t="e">
        <f t="shared" ref="U652:U662" ca="1" si="201">VLOOKUP(S652,ModelOutputs,7,FALSE)</f>
        <v>#N/A</v>
      </c>
      <c r="V652" s="55" t="e">
        <f t="shared" ref="V652:V662" ca="1" si="202">VLOOKUP(S652,ModelOutputs,6,FALSE)</f>
        <v>#N/A</v>
      </c>
      <c r="W652" s="55" t="e">
        <f t="shared" ca="1" si="193"/>
        <v>#N/A</v>
      </c>
      <c r="X652" s="55" t="e">
        <f t="shared" ca="1" si="194"/>
        <v>#N/A</v>
      </c>
      <c r="Y652" s="55" t="e">
        <f t="shared" ca="1" si="195"/>
        <v>#N/A</v>
      </c>
      <c r="Z652" s="55" t="e">
        <f t="shared" ca="1" si="191"/>
        <v>#N/A</v>
      </c>
      <c r="AA652" t="e">
        <f t="shared" ca="1" si="192"/>
        <v>#N/A</v>
      </c>
      <c r="AB652" t="e">
        <f t="shared" ref="AB652:AB662" ca="1" si="203">VLOOKUP(S652,ModelOutputs,11,FALSE)+AB651</f>
        <v>#N/A</v>
      </c>
      <c r="AC652" t="e">
        <f t="shared" ref="AC652:AC662" ca="1" si="204">VLOOKUP(S652,ModelOutputs,12,FALSE)</f>
        <v>#N/A</v>
      </c>
      <c r="AD652" t="e">
        <f t="shared" ref="AD652:AD662" ca="1" si="205">VLOOKUP(S652,ModelOutputs,13,FALSE)</f>
        <v>#N/A</v>
      </c>
      <c r="AE652" s="83" t="e">
        <f ca="1"/>
        <v>#N/A</v>
      </c>
      <c r="AF652" s="55" t="e">
        <f t="shared" ref="AF652:AF662" ca="1" si="206">IF(AE652&gt;1,AE652,"")</f>
        <v>#N/A</v>
      </c>
      <c r="AG652" s="55" t="e">
        <f t="shared" ref="AG652:AG662" ca="1" si="207">VLOOKUP(AF652,ModelOutputs,2,FALSE)</f>
        <v>#N/A</v>
      </c>
      <c r="AH652" s="55" t="e">
        <f t="shared" ref="AH652:AH662" ca="1" si="208">VLOOKUP(AF652,ModelOutputs,7,FALSE)</f>
        <v>#N/A</v>
      </c>
      <c r="AI652" s="55" t="e">
        <f t="shared" ref="AI652:AI662" ca="1" si="209">VLOOKUP(AF652,ModelOutputs,6,FALSE)</f>
        <v>#N/A</v>
      </c>
      <c r="AJ652" s="55" t="e">
        <f t="shared" ca="1" si="196"/>
        <v>#N/A</v>
      </c>
      <c r="AK652" s="55" t="e">
        <f t="shared" ca="1" si="197"/>
        <v>#N/A</v>
      </c>
      <c r="AL652" s="55" t="e">
        <f t="shared" ca="1" si="198"/>
        <v>#N/A</v>
      </c>
      <c r="AM652" s="55"/>
    </row>
    <row r="653" spans="18:39">
      <c r="R653" s="55" t="e">
        <f ca="1"/>
        <v>#N/A</v>
      </c>
      <c r="S653" s="55" t="e">
        <f t="shared" ca="1" si="199"/>
        <v>#N/A</v>
      </c>
      <c r="T653" s="55" t="e">
        <f t="shared" ca="1" si="200"/>
        <v>#N/A</v>
      </c>
      <c r="U653" s="55" t="e">
        <f t="shared" ca="1" si="201"/>
        <v>#N/A</v>
      </c>
      <c r="V653" s="55" t="e">
        <f t="shared" ca="1" si="202"/>
        <v>#N/A</v>
      </c>
      <c r="W653" s="55" t="e">
        <f t="shared" ca="1" si="193"/>
        <v>#N/A</v>
      </c>
      <c r="X653" s="55" t="e">
        <f t="shared" ca="1" si="194"/>
        <v>#N/A</v>
      </c>
      <c r="Y653" s="55" t="e">
        <f t="shared" ca="1" si="195"/>
        <v>#N/A</v>
      </c>
      <c r="Z653" s="55" t="e">
        <f t="shared" ca="1" si="191"/>
        <v>#N/A</v>
      </c>
      <c r="AA653" t="e">
        <f t="shared" ca="1" si="192"/>
        <v>#N/A</v>
      </c>
      <c r="AB653" t="e">
        <f t="shared" ca="1" si="203"/>
        <v>#N/A</v>
      </c>
      <c r="AC653" t="e">
        <f t="shared" ca="1" si="204"/>
        <v>#N/A</v>
      </c>
      <c r="AD653" t="e">
        <f t="shared" ca="1" si="205"/>
        <v>#N/A</v>
      </c>
      <c r="AE653" s="83" t="e">
        <f ca="1"/>
        <v>#N/A</v>
      </c>
      <c r="AF653" s="55" t="e">
        <f t="shared" ca="1" si="206"/>
        <v>#N/A</v>
      </c>
      <c r="AG653" s="55" t="e">
        <f t="shared" ca="1" si="207"/>
        <v>#N/A</v>
      </c>
      <c r="AH653" s="55" t="e">
        <f t="shared" ca="1" si="208"/>
        <v>#N/A</v>
      </c>
      <c r="AI653" s="55" t="e">
        <f t="shared" ca="1" si="209"/>
        <v>#N/A</v>
      </c>
      <c r="AJ653" s="55" t="e">
        <f t="shared" ca="1" si="196"/>
        <v>#N/A</v>
      </c>
      <c r="AK653" s="55" t="e">
        <f t="shared" ca="1" si="197"/>
        <v>#N/A</v>
      </c>
      <c r="AL653" s="55" t="e">
        <f t="shared" ca="1" si="198"/>
        <v>#N/A</v>
      </c>
      <c r="AM653" s="55"/>
    </row>
    <row r="654" spans="18:39">
      <c r="R654" s="55" t="e">
        <f ca="1"/>
        <v>#N/A</v>
      </c>
      <c r="S654" s="55" t="e">
        <f t="shared" ca="1" si="199"/>
        <v>#N/A</v>
      </c>
      <c r="T654" s="55" t="e">
        <f t="shared" ca="1" si="200"/>
        <v>#N/A</v>
      </c>
      <c r="U654" s="55" t="e">
        <f t="shared" ca="1" si="201"/>
        <v>#N/A</v>
      </c>
      <c r="V654" s="55" t="e">
        <f t="shared" ca="1" si="202"/>
        <v>#N/A</v>
      </c>
      <c r="W654" s="55" t="e">
        <f t="shared" ca="1" si="193"/>
        <v>#N/A</v>
      </c>
      <c r="X654" s="55" t="e">
        <f t="shared" ca="1" si="194"/>
        <v>#N/A</v>
      </c>
      <c r="Y654" s="55" t="e">
        <f t="shared" ca="1" si="195"/>
        <v>#N/A</v>
      </c>
      <c r="Z654" s="55" t="e">
        <f t="shared" ca="1" si="191"/>
        <v>#N/A</v>
      </c>
      <c r="AA654" t="e">
        <f t="shared" ca="1" si="192"/>
        <v>#N/A</v>
      </c>
      <c r="AB654" t="e">
        <f t="shared" ca="1" si="203"/>
        <v>#N/A</v>
      </c>
      <c r="AC654" t="e">
        <f t="shared" ca="1" si="204"/>
        <v>#N/A</v>
      </c>
      <c r="AD654" t="e">
        <f t="shared" ca="1" si="205"/>
        <v>#N/A</v>
      </c>
      <c r="AE654" s="83" t="e">
        <f ca="1"/>
        <v>#N/A</v>
      </c>
      <c r="AF654" s="55" t="e">
        <f t="shared" ca="1" si="206"/>
        <v>#N/A</v>
      </c>
      <c r="AG654" s="55" t="e">
        <f t="shared" ca="1" si="207"/>
        <v>#N/A</v>
      </c>
      <c r="AH654" s="55" t="e">
        <f t="shared" ca="1" si="208"/>
        <v>#N/A</v>
      </c>
      <c r="AI654" s="55" t="e">
        <f t="shared" ca="1" si="209"/>
        <v>#N/A</v>
      </c>
      <c r="AJ654" s="55" t="e">
        <f t="shared" ca="1" si="196"/>
        <v>#N/A</v>
      </c>
      <c r="AK654" s="55" t="e">
        <f t="shared" ca="1" si="197"/>
        <v>#N/A</v>
      </c>
      <c r="AL654" s="55" t="e">
        <f t="shared" ca="1" si="198"/>
        <v>#N/A</v>
      </c>
      <c r="AM654" s="55"/>
    </row>
    <row r="655" spans="18:39">
      <c r="R655" s="55" t="e">
        <f ca="1"/>
        <v>#N/A</v>
      </c>
      <c r="S655" s="55" t="e">
        <f t="shared" ca="1" si="199"/>
        <v>#N/A</v>
      </c>
      <c r="T655" s="55" t="e">
        <f t="shared" ca="1" si="200"/>
        <v>#N/A</v>
      </c>
      <c r="U655" s="55" t="e">
        <f t="shared" ca="1" si="201"/>
        <v>#N/A</v>
      </c>
      <c r="V655" s="55" t="e">
        <f t="shared" ca="1" si="202"/>
        <v>#N/A</v>
      </c>
      <c r="W655" s="55" t="e">
        <f t="shared" ca="1" si="193"/>
        <v>#N/A</v>
      </c>
      <c r="X655" s="55" t="e">
        <f t="shared" ca="1" si="194"/>
        <v>#N/A</v>
      </c>
      <c r="Y655" s="55" t="e">
        <f t="shared" ca="1" si="195"/>
        <v>#N/A</v>
      </c>
      <c r="Z655" s="55" t="e">
        <f t="shared" ca="1" si="191"/>
        <v>#N/A</v>
      </c>
      <c r="AA655" t="e">
        <f t="shared" ca="1" si="192"/>
        <v>#N/A</v>
      </c>
      <c r="AB655" t="e">
        <f t="shared" ca="1" si="203"/>
        <v>#N/A</v>
      </c>
      <c r="AC655" t="e">
        <f t="shared" ca="1" si="204"/>
        <v>#N/A</v>
      </c>
      <c r="AD655" t="e">
        <f t="shared" ca="1" si="205"/>
        <v>#N/A</v>
      </c>
      <c r="AE655" s="83" t="e">
        <f ca="1"/>
        <v>#N/A</v>
      </c>
      <c r="AF655" s="55" t="e">
        <f t="shared" ca="1" si="206"/>
        <v>#N/A</v>
      </c>
      <c r="AG655" s="55" t="e">
        <f t="shared" ca="1" si="207"/>
        <v>#N/A</v>
      </c>
      <c r="AH655" s="55" t="e">
        <f t="shared" ca="1" si="208"/>
        <v>#N/A</v>
      </c>
      <c r="AI655" s="55" t="e">
        <f t="shared" ca="1" si="209"/>
        <v>#N/A</v>
      </c>
      <c r="AJ655" s="55" t="e">
        <f t="shared" ca="1" si="196"/>
        <v>#N/A</v>
      </c>
      <c r="AK655" s="55" t="e">
        <f t="shared" ca="1" si="197"/>
        <v>#N/A</v>
      </c>
      <c r="AL655" s="55" t="e">
        <f t="shared" ca="1" si="198"/>
        <v>#N/A</v>
      </c>
      <c r="AM655" s="55"/>
    </row>
    <row r="656" spans="18:39">
      <c r="R656" s="55" t="e">
        <f ca="1"/>
        <v>#N/A</v>
      </c>
      <c r="S656" s="55" t="e">
        <f t="shared" ca="1" si="199"/>
        <v>#N/A</v>
      </c>
      <c r="T656" s="55" t="e">
        <f t="shared" ca="1" si="200"/>
        <v>#N/A</v>
      </c>
      <c r="U656" s="55" t="e">
        <f t="shared" ca="1" si="201"/>
        <v>#N/A</v>
      </c>
      <c r="V656" s="55" t="e">
        <f t="shared" ca="1" si="202"/>
        <v>#N/A</v>
      </c>
      <c r="W656" s="55" t="e">
        <f t="shared" ca="1" si="193"/>
        <v>#N/A</v>
      </c>
      <c r="X656" s="55" t="e">
        <f t="shared" ca="1" si="194"/>
        <v>#N/A</v>
      </c>
      <c r="Y656" s="55" t="e">
        <f t="shared" ca="1" si="195"/>
        <v>#N/A</v>
      </c>
      <c r="Z656" s="55" t="e">
        <f t="shared" ca="1" si="191"/>
        <v>#N/A</v>
      </c>
      <c r="AA656" t="e">
        <f t="shared" ca="1" si="192"/>
        <v>#N/A</v>
      </c>
      <c r="AB656" t="e">
        <f t="shared" ca="1" si="203"/>
        <v>#N/A</v>
      </c>
      <c r="AC656" t="e">
        <f t="shared" ca="1" si="204"/>
        <v>#N/A</v>
      </c>
      <c r="AD656" t="e">
        <f t="shared" ca="1" si="205"/>
        <v>#N/A</v>
      </c>
      <c r="AE656" s="83" t="e">
        <f ca="1"/>
        <v>#N/A</v>
      </c>
      <c r="AF656" s="55" t="e">
        <f t="shared" ca="1" si="206"/>
        <v>#N/A</v>
      </c>
      <c r="AG656" s="55" t="e">
        <f t="shared" ca="1" si="207"/>
        <v>#N/A</v>
      </c>
      <c r="AH656" s="55" t="e">
        <f t="shared" ca="1" si="208"/>
        <v>#N/A</v>
      </c>
      <c r="AI656" s="55" t="e">
        <f t="shared" ca="1" si="209"/>
        <v>#N/A</v>
      </c>
      <c r="AJ656" s="55" t="e">
        <f t="shared" ca="1" si="196"/>
        <v>#N/A</v>
      </c>
      <c r="AK656" s="55" t="e">
        <f t="shared" ca="1" si="197"/>
        <v>#N/A</v>
      </c>
      <c r="AL656" s="55" t="e">
        <f t="shared" ca="1" si="198"/>
        <v>#N/A</v>
      </c>
      <c r="AM656" s="55"/>
    </row>
    <row r="657" spans="18:39">
      <c r="R657" s="55" t="e">
        <f ca="1"/>
        <v>#N/A</v>
      </c>
      <c r="S657" s="55" t="e">
        <f t="shared" ca="1" si="199"/>
        <v>#N/A</v>
      </c>
      <c r="T657" s="55" t="e">
        <f t="shared" ca="1" si="200"/>
        <v>#N/A</v>
      </c>
      <c r="U657" s="55" t="e">
        <f t="shared" ca="1" si="201"/>
        <v>#N/A</v>
      </c>
      <c r="V657" s="55" t="e">
        <f t="shared" ca="1" si="202"/>
        <v>#N/A</v>
      </c>
      <c r="W657" s="55" t="e">
        <f t="shared" ca="1" si="193"/>
        <v>#N/A</v>
      </c>
      <c r="X657" s="55" t="e">
        <f t="shared" ca="1" si="194"/>
        <v>#N/A</v>
      </c>
      <c r="Y657" s="55" t="e">
        <f t="shared" ca="1" si="195"/>
        <v>#N/A</v>
      </c>
      <c r="Z657" s="55" t="e">
        <f t="shared" ca="1" si="191"/>
        <v>#N/A</v>
      </c>
      <c r="AA657" t="e">
        <f t="shared" ca="1" si="192"/>
        <v>#N/A</v>
      </c>
      <c r="AB657" t="e">
        <f t="shared" ca="1" si="203"/>
        <v>#N/A</v>
      </c>
      <c r="AC657" t="e">
        <f t="shared" ca="1" si="204"/>
        <v>#N/A</v>
      </c>
      <c r="AD657" t="e">
        <f t="shared" ca="1" si="205"/>
        <v>#N/A</v>
      </c>
      <c r="AE657" s="83" t="e">
        <f ca="1"/>
        <v>#N/A</v>
      </c>
      <c r="AF657" s="55" t="e">
        <f t="shared" ca="1" si="206"/>
        <v>#N/A</v>
      </c>
      <c r="AG657" s="55" t="e">
        <f t="shared" ca="1" si="207"/>
        <v>#N/A</v>
      </c>
      <c r="AH657" s="55" t="e">
        <f t="shared" ca="1" si="208"/>
        <v>#N/A</v>
      </c>
      <c r="AI657" s="55" t="e">
        <f t="shared" ca="1" si="209"/>
        <v>#N/A</v>
      </c>
      <c r="AJ657" s="55" t="e">
        <f t="shared" ca="1" si="196"/>
        <v>#N/A</v>
      </c>
      <c r="AK657" s="55" t="e">
        <f t="shared" ca="1" si="197"/>
        <v>#N/A</v>
      </c>
      <c r="AL657" s="55" t="e">
        <f t="shared" ca="1" si="198"/>
        <v>#N/A</v>
      </c>
      <c r="AM657" s="55"/>
    </row>
    <row r="658" spans="18:39">
      <c r="R658" s="55" t="e">
        <f ca="1"/>
        <v>#N/A</v>
      </c>
      <c r="S658" s="55" t="e">
        <f t="shared" ca="1" si="199"/>
        <v>#N/A</v>
      </c>
      <c r="T658" s="55" t="e">
        <f t="shared" ca="1" si="200"/>
        <v>#N/A</v>
      </c>
      <c r="U658" s="55" t="e">
        <f t="shared" ca="1" si="201"/>
        <v>#N/A</v>
      </c>
      <c r="V658" s="55" t="e">
        <f t="shared" ca="1" si="202"/>
        <v>#N/A</v>
      </c>
      <c r="W658" s="55" t="e">
        <f t="shared" ca="1" si="193"/>
        <v>#N/A</v>
      </c>
      <c r="X658" s="55" t="e">
        <f t="shared" ca="1" si="194"/>
        <v>#N/A</v>
      </c>
      <c r="Y658" s="55" t="e">
        <f t="shared" ca="1" si="195"/>
        <v>#N/A</v>
      </c>
      <c r="Z658" s="55" t="e">
        <f t="shared" ca="1" si="191"/>
        <v>#N/A</v>
      </c>
      <c r="AA658" t="e">
        <f t="shared" ca="1" si="192"/>
        <v>#N/A</v>
      </c>
      <c r="AB658" t="e">
        <f t="shared" ca="1" si="203"/>
        <v>#N/A</v>
      </c>
      <c r="AC658" t="e">
        <f t="shared" ca="1" si="204"/>
        <v>#N/A</v>
      </c>
      <c r="AD658" t="e">
        <f t="shared" ca="1" si="205"/>
        <v>#N/A</v>
      </c>
      <c r="AE658" s="83" t="e">
        <f ca="1"/>
        <v>#N/A</v>
      </c>
      <c r="AF658" s="55" t="e">
        <f t="shared" ca="1" si="206"/>
        <v>#N/A</v>
      </c>
      <c r="AG658" s="55" t="e">
        <f t="shared" ca="1" si="207"/>
        <v>#N/A</v>
      </c>
      <c r="AH658" s="55" t="e">
        <f t="shared" ca="1" si="208"/>
        <v>#N/A</v>
      </c>
      <c r="AI658" s="55" t="e">
        <f t="shared" ca="1" si="209"/>
        <v>#N/A</v>
      </c>
      <c r="AJ658" s="55" t="e">
        <f t="shared" ca="1" si="196"/>
        <v>#N/A</v>
      </c>
      <c r="AK658" s="55" t="e">
        <f t="shared" ca="1" si="197"/>
        <v>#N/A</v>
      </c>
      <c r="AL658" s="55" t="e">
        <f t="shared" ca="1" si="198"/>
        <v>#N/A</v>
      </c>
      <c r="AM658" s="55"/>
    </row>
    <row r="659" spans="18:39">
      <c r="R659" s="55" t="e">
        <f ca="1"/>
        <v>#N/A</v>
      </c>
      <c r="S659" s="55" t="e">
        <f t="shared" ca="1" si="199"/>
        <v>#N/A</v>
      </c>
      <c r="T659" s="55" t="e">
        <f t="shared" ca="1" si="200"/>
        <v>#N/A</v>
      </c>
      <c r="U659" s="55" t="e">
        <f t="shared" ca="1" si="201"/>
        <v>#N/A</v>
      </c>
      <c r="V659" s="55" t="e">
        <f t="shared" ca="1" si="202"/>
        <v>#N/A</v>
      </c>
      <c r="W659" s="55" t="e">
        <f t="shared" ca="1" si="193"/>
        <v>#N/A</v>
      </c>
      <c r="X659" s="55" t="e">
        <f t="shared" ca="1" si="194"/>
        <v>#N/A</v>
      </c>
      <c r="Y659" s="55" t="e">
        <f t="shared" ca="1" si="195"/>
        <v>#N/A</v>
      </c>
      <c r="Z659" s="55" t="e">
        <f t="shared" ca="1" si="191"/>
        <v>#N/A</v>
      </c>
      <c r="AA659" t="e">
        <f t="shared" ca="1" si="192"/>
        <v>#N/A</v>
      </c>
      <c r="AB659" t="e">
        <f t="shared" ca="1" si="203"/>
        <v>#N/A</v>
      </c>
      <c r="AC659" t="e">
        <f t="shared" ca="1" si="204"/>
        <v>#N/A</v>
      </c>
      <c r="AD659" t="e">
        <f t="shared" ca="1" si="205"/>
        <v>#N/A</v>
      </c>
      <c r="AE659" s="83" t="e">
        <f ca="1"/>
        <v>#N/A</v>
      </c>
      <c r="AF659" s="55" t="e">
        <f t="shared" ca="1" si="206"/>
        <v>#N/A</v>
      </c>
      <c r="AG659" s="55" t="e">
        <f t="shared" ca="1" si="207"/>
        <v>#N/A</v>
      </c>
      <c r="AH659" s="55" t="e">
        <f t="shared" ca="1" si="208"/>
        <v>#N/A</v>
      </c>
      <c r="AI659" s="55" t="e">
        <f t="shared" ca="1" si="209"/>
        <v>#N/A</v>
      </c>
      <c r="AJ659" s="55" t="e">
        <f t="shared" ca="1" si="196"/>
        <v>#N/A</v>
      </c>
      <c r="AK659" s="55" t="e">
        <f t="shared" ca="1" si="197"/>
        <v>#N/A</v>
      </c>
      <c r="AL659" s="55" t="e">
        <f t="shared" ca="1" si="198"/>
        <v>#N/A</v>
      </c>
      <c r="AM659" s="55"/>
    </row>
    <row r="660" spans="18:39">
      <c r="R660" s="55" t="e">
        <f ca="1"/>
        <v>#N/A</v>
      </c>
      <c r="S660" s="55" t="e">
        <f t="shared" ca="1" si="199"/>
        <v>#N/A</v>
      </c>
      <c r="T660" s="55" t="e">
        <f t="shared" ca="1" si="200"/>
        <v>#N/A</v>
      </c>
      <c r="U660" s="55" t="e">
        <f t="shared" ca="1" si="201"/>
        <v>#N/A</v>
      </c>
      <c r="V660" s="55" t="e">
        <f t="shared" ca="1" si="202"/>
        <v>#N/A</v>
      </c>
      <c r="W660" s="55" t="e">
        <f t="shared" ca="1" si="193"/>
        <v>#N/A</v>
      </c>
      <c r="X660" s="55" t="e">
        <f t="shared" ca="1" si="194"/>
        <v>#N/A</v>
      </c>
      <c r="Y660" s="55" t="e">
        <f t="shared" ca="1" si="195"/>
        <v>#N/A</v>
      </c>
      <c r="Z660" s="55" t="e">
        <f t="shared" ca="1" si="191"/>
        <v>#N/A</v>
      </c>
      <c r="AA660" t="e">
        <f t="shared" ca="1" si="192"/>
        <v>#N/A</v>
      </c>
      <c r="AB660" t="e">
        <f t="shared" ca="1" si="203"/>
        <v>#N/A</v>
      </c>
      <c r="AC660" t="e">
        <f t="shared" ca="1" si="204"/>
        <v>#N/A</v>
      </c>
      <c r="AD660" t="e">
        <f t="shared" ca="1" si="205"/>
        <v>#N/A</v>
      </c>
      <c r="AE660" s="83" t="e">
        <f ca="1"/>
        <v>#N/A</v>
      </c>
      <c r="AF660" s="55" t="e">
        <f t="shared" ca="1" si="206"/>
        <v>#N/A</v>
      </c>
      <c r="AG660" s="55" t="e">
        <f t="shared" ca="1" si="207"/>
        <v>#N/A</v>
      </c>
      <c r="AH660" s="55" t="e">
        <f t="shared" ca="1" si="208"/>
        <v>#N/A</v>
      </c>
      <c r="AI660" s="55" t="e">
        <f t="shared" ca="1" si="209"/>
        <v>#N/A</v>
      </c>
      <c r="AJ660" s="55" t="e">
        <f t="shared" ca="1" si="196"/>
        <v>#N/A</v>
      </c>
      <c r="AK660" s="55" t="e">
        <f t="shared" ca="1" si="197"/>
        <v>#N/A</v>
      </c>
      <c r="AL660" s="55" t="e">
        <f t="shared" ca="1" si="198"/>
        <v>#N/A</v>
      </c>
      <c r="AM660" s="55"/>
    </row>
    <row r="661" spans="18:39">
      <c r="R661" s="55" t="e">
        <f ca="1"/>
        <v>#N/A</v>
      </c>
      <c r="S661" s="55" t="e">
        <f t="shared" ca="1" si="199"/>
        <v>#N/A</v>
      </c>
      <c r="T661" s="55" t="e">
        <f t="shared" ca="1" si="200"/>
        <v>#N/A</v>
      </c>
      <c r="U661" s="55" t="e">
        <f t="shared" ca="1" si="201"/>
        <v>#N/A</v>
      </c>
      <c r="V661" s="55" t="e">
        <f t="shared" ca="1" si="202"/>
        <v>#N/A</v>
      </c>
      <c r="W661" s="55" t="e">
        <f t="shared" ca="1" si="193"/>
        <v>#N/A</v>
      </c>
      <c r="X661" s="55" t="e">
        <f t="shared" ca="1" si="194"/>
        <v>#N/A</v>
      </c>
      <c r="Y661" s="55" t="e">
        <f t="shared" ca="1" si="195"/>
        <v>#N/A</v>
      </c>
      <c r="Z661" s="55" t="e">
        <f t="shared" ca="1" si="191"/>
        <v>#N/A</v>
      </c>
      <c r="AA661" t="e">
        <f t="shared" ca="1" si="192"/>
        <v>#N/A</v>
      </c>
      <c r="AB661" t="e">
        <f t="shared" ca="1" si="203"/>
        <v>#N/A</v>
      </c>
      <c r="AC661" t="e">
        <f t="shared" ca="1" si="204"/>
        <v>#N/A</v>
      </c>
      <c r="AD661" t="e">
        <f t="shared" ca="1" si="205"/>
        <v>#N/A</v>
      </c>
      <c r="AE661" s="83" t="e">
        <f ca="1"/>
        <v>#N/A</v>
      </c>
      <c r="AF661" s="55" t="e">
        <f t="shared" ca="1" si="206"/>
        <v>#N/A</v>
      </c>
      <c r="AG661" s="55" t="e">
        <f t="shared" ca="1" si="207"/>
        <v>#N/A</v>
      </c>
      <c r="AH661" s="55" t="e">
        <f t="shared" ca="1" si="208"/>
        <v>#N/A</v>
      </c>
      <c r="AI661" s="55" t="e">
        <f t="shared" ca="1" si="209"/>
        <v>#N/A</v>
      </c>
      <c r="AJ661" s="55" t="e">
        <f t="shared" ca="1" si="196"/>
        <v>#N/A</v>
      </c>
      <c r="AK661" s="55" t="e">
        <f t="shared" ca="1" si="197"/>
        <v>#N/A</v>
      </c>
      <c r="AL661" s="55" t="e">
        <f t="shared" ca="1" si="198"/>
        <v>#N/A</v>
      </c>
      <c r="AM661" s="55"/>
    </row>
    <row r="662" spans="18:39">
      <c r="R662" s="55" t="e">
        <f ca="1"/>
        <v>#N/A</v>
      </c>
      <c r="S662" s="55" t="e">
        <f t="shared" ca="1" si="199"/>
        <v>#N/A</v>
      </c>
      <c r="T662" s="55" t="e">
        <f t="shared" ca="1" si="200"/>
        <v>#N/A</v>
      </c>
      <c r="U662" s="55" t="e">
        <f t="shared" ca="1" si="201"/>
        <v>#N/A</v>
      </c>
      <c r="V662" s="55" t="e">
        <f t="shared" ca="1" si="202"/>
        <v>#N/A</v>
      </c>
      <c r="W662" s="55" t="e">
        <f t="shared" ca="1" si="193"/>
        <v>#N/A</v>
      </c>
      <c r="X662" s="55" t="e">
        <f t="shared" ca="1" si="194"/>
        <v>#N/A</v>
      </c>
      <c r="Y662" s="55" t="e">
        <f t="shared" ca="1" si="195"/>
        <v>#N/A</v>
      </c>
      <c r="Z662" s="55" t="e">
        <f t="shared" ca="1" si="191"/>
        <v>#N/A</v>
      </c>
      <c r="AA662" t="e">
        <f t="shared" ca="1" si="192"/>
        <v>#N/A</v>
      </c>
      <c r="AB662" t="e">
        <f t="shared" ca="1" si="203"/>
        <v>#N/A</v>
      </c>
      <c r="AC662" t="e">
        <f t="shared" ca="1" si="204"/>
        <v>#N/A</v>
      </c>
      <c r="AD662" t="e">
        <f t="shared" ca="1" si="205"/>
        <v>#N/A</v>
      </c>
      <c r="AE662" s="83" t="e">
        <f ca="1"/>
        <v>#N/A</v>
      </c>
      <c r="AF662" s="55" t="e">
        <f t="shared" ca="1" si="206"/>
        <v>#N/A</v>
      </c>
      <c r="AG662" s="55" t="e">
        <f t="shared" ca="1" si="207"/>
        <v>#N/A</v>
      </c>
      <c r="AH662" s="55" t="e">
        <f t="shared" ca="1" si="208"/>
        <v>#N/A</v>
      </c>
      <c r="AI662" s="55" t="e">
        <f t="shared" ca="1" si="209"/>
        <v>#N/A</v>
      </c>
      <c r="AJ662" s="55" t="e">
        <f t="shared" ca="1" si="196"/>
        <v>#N/A</v>
      </c>
      <c r="AK662" s="55" t="e">
        <f t="shared" ca="1" si="197"/>
        <v>#N/A</v>
      </c>
      <c r="AL662" s="55" t="e">
        <f t="shared" ca="1" si="198"/>
        <v>#N/A</v>
      </c>
      <c r="AM662" s="55"/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AA15:AD15"/>
    <mergeCell ref="AE15:AI15"/>
    <mergeCell ref="R15:V15"/>
    <mergeCell ref="D1:H1"/>
    <mergeCell ref="D2:H2"/>
  </mergeCells>
  <conditionalFormatting sqref="H29:H43">
    <cfRule type="containsText" dxfId="23" priority="48" operator="containsText" text="Suggested">
      <formula>NOT(ISERROR(SEARCH("Suggested",H29)))</formula>
    </cfRule>
  </conditionalFormatting>
  <conditionalFormatting sqref="F29:G29">
    <cfRule type="expression" dxfId="22" priority="54">
      <formula>$B$29=1</formula>
    </cfRule>
  </conditionalFormatting>
  <conditionalFormatting sqref="F30:G30">
    <cfRule type="expression" dxfId="21" priority="61">
      <formula>$B$30=1</formula>
    </cfRule>
  </conditionalFormatting>
  <conditionalFormatting sqref="F31:G31">
    <cfRule type="expression" dxfId="20" priority="63">
      <formula>$B$31=1</formula>
    </cfRule>
  </conditionalFormatting>
  <conditionalFormatting sqref="F32:G32">
    <cfRule type="expression" dxfId="19" priority="65">
      <formula>$B$32=1</formula>
    </cfRule>
  </conditionalFormatting>
  <conditionalFormatting sqref="F33:G33">
    <cfRule type="expression" dxfId="18" priority="67">
      <formula>$B$33=1</formula>
    </cfRule>
  </conditionalFormatting>
  <conditionalFormatting sqref="F34:G34">
    <cfRule type="expression" dxfId="17" priority="69">
      <formula>$B$34=1</formula>
    </cfRule>
  </conditionalFormatting>
  <conditionalFormatting sqref="F35:G35">
    <cfRule type="expression" dxfId="16" priority="71">
      <formula>$B$35=1</formula>
    </cfRule>
  </conditionalFormatting>
  <conditionalFormatting sqref="F36">
    <cfRule type="expression" dxfId="15" priority="73">
      <formula>$B$36=1</formula>
    </cfRule>
  </conditionalFormatting>
  <conditionalFormatting sqref="F37:G37">
    <cfRule type="expression" dxfId="14" priority="75">
      <formula>$B$37=1</formula>
    </cfRule>
  </conditionalFormatting>
  <conditionalFormatting sqref="F38:G38">
    <cfRule type="expression" dxfId="13" priority="77">
      <formula>$B$38=1</formula>
    </cfRule>
  </conditionalFormatting>
  <conditionalFormatting sqref="F22:H24 C22:E23 C17:H21 D24 C25:H28 C30:H45 D29:H29">
    <cfRule type="expression" dxfId="12" priority="8">
      <formula>$B$1=1</formula>
    </cfRule>
  </conditionalFormatting>
  <conditionalFormatting sqref="C55:E56 F54:H55 C68:H71 C64:E67 F65:H66 F8:H15 C57:H63 C53:H53 C52:D52 F52:H52 C46:H51 C54 E54">
    <cfRule type="expression" dxfId="11" priority="7">
      <formula>NOT($B$1=3)</formula>
    </cfRule>
  </conditionalFormatting>
  <conditionalFormatting sqref="E15">
    <cfRule type="expression" dxfId="10" priority="5">
      <formula>NOT($B$1=1)</formula>
    </cfRule>
  </conditionalFormatting>
  <conditionalFormatting sqref="D72:E72">
    <cfRule type="expression" dxfId="9" priority="4">
      <formula>NOT($B$1=3)</formula>
    </cfRule>
  </conditionalFormatting>
  <conditionalFormatting sqref="C72">
    <cfRule type="expression" dxfId="8" priority="3">
      <formula>NOT($B$1=3)</formula>
    </cfRule>
  </conditionalFormatting>
  <conditionalFormatting sqref="G36">
    <cfRule type="expression" dxfId="7" priority="86">
      <formula>$B$36</formula>
    </cfRule>
  </conditionalFormatting>
  <conditionalFormatting sqref="F39:G39">
    <cfRule type="expression" dxfId="6" priority="89">
      <formula>$B$39=1</formula>
    </cfRule>
  </conditionalFormatting>
  <conditionalFormatting sqref="F40:G40">
    <cfRule type="expression" dxfId="5" priority="90">
      <formula>$B$40=1</formula>
    </cfRule>
  </conditionalFormatting>
  <conditionalFormatting sqref="F41:G41">
    <cfRule type="expression" dxfId="4" priority="91">
      <formula>$B$41=1</formula>
    </cfRule>
  </conditionalFormatting>
  <conditionalFormatting sqref="F42:G42">
    <cfRule type="expression" dxfId="3" priority="92">
      <formula>$B$42=1</formula>
    </cfRule>
  </conditionalFormatting>
  <conditionalFormatting sqref="F43:G43">
    <cfRule type="expression" dxfId="2" priority="93">
      <formula>$B$43=1</formula>
    </cfRule>
  </conditionalFormatting>
  <conditionalFormatting sqref="C24 E24">
    <cfRule type="expression" dxfId="1" priority="2">
      <formula>$B$1=1</formula>
    </cfRule>
  </conditionalFormatting>
  <conditionalFormatting sqref="D54">
    <cfRule type="expression" dxfId="0" priority="1">
      <formula>NOT($B$1=3)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38:C43 E51 E62:E63 C29:C34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ListMembers!$C$7:$H$7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Q1004"/>
  <sheetViews>
    <sheetView topLeftCell="C1" zoomScale="105" workbookViewId="0">
      <selection activeCell="N1" sqref="N1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7" max="7" width="7.5703125" customWidth="1"/>
    <col min="8" max="8" width="22.28515625" bestFit="1" customWidth="1"/>
    <col min="10" max="10" width="13.7109375" customWidth="1"/>
    <col min="11" max="11" width="12.5703125" bestFit="1" customWidth="1"/>
    <col min="12" max="12" width="11.7109375" bestFit="1" customWidth="1"/>
    <col min="13" max="23" width="11.7109375" customWidth="1"/>
    <col min="24" max="24" width="10.7109375" bestFit="1" customWidth="1"/>
    <col min="25" max="25" width="10.7109375" customWidth="1"/>
    <col min="26" max="27" width="11.7109375" customWidth="1"/>
    <col min="28" max="28" width="10.7109375" bestFit="1" customWidth="1"/>
    <col min="31" max="31" width="6.140625" customWidth="1"/>
    <col min="38" max="38" width="3.7109375" customWidth="1"/>
    <col min="39" max="39" width="14.140625" customWidth="1"/>
    <col min="40" max="40" width="12.5703125" customWidth="1"/>
    <col min="41" max="41" width="6.28515625" customWidth="1"/>
    <col min="42" max="42" width="15.140625" bestFit="1" customWidth="1"/>
    <col min="43" max="43" width="17.42578125" bestFit="1" customWidth="1"/>
    <col min="44" max="44" width="12.42578125" bestFit="1" customWidth="1"/>
    <col min="45" max="45" width="6" bestFit="1" customWidth="1"/>
  </cols>
  <sheetData>
    <row r="1" spans="1:43">
      <c r="I1" t="str">
        <f t="array" aca="1" ref="I1:P3" ca="1">_xll.GetDailyNBalanceSummary(A6:B54,D17:E23,D8:E14)</f>
        <v>Mineral</v>
      </c>
      <c r="J1" t="str">
        <f ca="1"/>
        <v>UptakeN</v>
      </c>
      <c r="K1" t="str">
        <f ca="1"/>
        <v>Residue</v>
      </c>
      <c r="L1" t="str">
        <f ca="1"/>
        <v>Organic</v>
      </c>
      <c r="M1" t="str">
        <f ca="1"/>
        <v>Fertiliser</v>
      </c>
      <c r="N1" t="str">
        <f ca="1"/>
        <v>Other Crop Parts</v>
      </c>
      <c r="O1" t="str">
        <f ca="1"/>
        <v>Crop Product</v>
      </c>
      <c r="P1" t="str">
        <f ca="1"/>
        <v>Uncharacterised</v>
      </c>
      <c r="Q1" t="s">
        <v>278</v>
      </c>
    </row>
    <row r="2" spans="1:43">
      <c r="H2" t="s">
        <v>276</v>
      </c>
      <c r="I2">
        <f ca="1"/>
        <v>55</v>
      </c>
      <c r="J2">
        <f ca="1"/>
        <v>0</v>
      </c>
      <c r="K2">
        <f ca="1"/>
        <v>14</v>
      </c>
      <c r="L2">
        <f ca="1"/>
        <v>42</v>
      </c>
      <c r="M2">
        <f ca="1"/>
        <v>273</v>
      </c>
      <c r="N2">
        <f ca="1"/>
        <v>4</v>
      </c>
      <c r="O2">
        <f ca="1"/>
        <v>0</v>
      </c>
      <c r="P2">
        <f ca="1"/>
        <v>0</v>
      </c>
      <c r="Q2">
        <f ca="1">SUM(I2:O2)</f>
        <v>388</v>
      </c>
      <c r="R2">
        <f ca="1">Q2-Q3</f>
        <v>-1</v>
      </c>
    </row>
    <row r="3" spans="1:43">
      <c r="H3" t="s">
        <v>277</v>
      </c>
      <c r="I3">
        <f ca="1"/>
        <v>46</v>
      </c>
      <c r="J3">
        <f ca="1"/>
        <v>0</v>
      </c>
      <c r="K3">
        <f ca="1"/>
        <v>0</v>
      </c>
      <c r="L3">
        <f ca="1"/>
        <v>0</v>
      </c>
      <c r="M3">
        <f ca="1"/>
        <v>0</v>
      </c>
      <c r="N3">
        <f ca="1"/>
        <v>140</v>
      </c>
      <c r="O3">
        <f ca="1"/>
        <v>174</v>
      </c>
      <c r="P3">
        <f ca="1"/>
        <v>29</v>
      </c>
      <c r="Q3">
        <f ca="1">SUM(I3:P3)</f>
        <v>389</v>
      </c>
    </row>
    <row r="4" spans="1:43" ht="15.75" thickBot="1"/>
    <row r="5" spans="1:43" ht="27" thickBot="1">
      <c r="A5" s="138" t="s">
        <v>110</v>
      </c>
      <c r="B5" s="139"/>
      <c r="I5" s="30" t="s">
        <v>109</v>
      </c>
      <c r="J5" s="22"/>
      <c r="K5" s="21" t="s">
        <v>179</v>
      </c>
      <c r="L5" s="22"/>
      <c r="M5" s="21" t="s">
        <v>176</v>
      </c>
      <c r="N5" s="21" t="s">
        <v>177</v>
      </c>
      <c r="O5" s="21" t="s">
        <v>13</v>
      </c>
      <c r="P5" s="21" t="s">
        <v>176</v>
      </c>
      <c r="Q5" s="21" t="s">
        <v>178</v>
      </c>
      <c r="R5" s="23" t="s">
        <v>173</v>
      </c>
      <c r="S5" s="97"/>
      <c r="T5" s="97"/>
      <c r="U5" s="97"/>
      <c r="V5" s="97"/>
      <c r="W5" s="97" t="s">
        <v>175</v>
      </c>
      <c r="X5" s="97" t="s">
        <v>174</v>
      </c>
      <c r="AA5" s="97"/>
      <c r="AG5" t="str">
        <f t="array" aca="1" ref="AG5:AQ8" ca="1">_xll.GetDailyNBalanceSummary(A6:B54,D17:E23,D8:E14)</f>
        <v>Mineral</v>
      </c>
      <c r="AH5" t="str">
        <f ca="1"/>
        <v>UptakeN</v>
      </c>
      <c r="AI5" t="str">
        <f ca="1"/>
        <v>Residue</v>
      </c>
      <c r="AJ5" t="str">
        <f ca="1"/>
        <v>Organic</v>
      </c>
      <c r="AK5" t="str">
        <f ca="1"/>
        <v>Fertiliser</v>
      </c>
      <c r="AL5" t="str">
        <f ca="1"/>
        <v>Other Crop Parts</v>
      </c>
      <c r="AM5" t="str">
        <f ca="1"/>
        <v>Crop Product</v>
      </c>
      <c r="AN5" t="str">
        <f ca="1"/>
        <v>Uncharacterised</v>
      </c>
      <c r="AO5" t="str">
        <f ca="1"/>
        <v>Total</v>
      </c>
      <c r="AP5" t="e">
        <f ca="1"/>
        <v>#N/A</v>
      </c>
      <c r="AQ5" t="e">
        <f ca="1"/>
        <v>#N/A</v>
      </c>
    </row>
    <row r="6" spans="1:43" ht="15.75" thickBot="1">
      <c r="A6" s="12" t="s">
        <v>244</v>
      </c>
      <c r="B6" s="13" t="str">
        <f>Location</f>
        <v>lincoln</v>
      </c>
      <c r="I6" s="117"/>
      <c r="K6" s="97"/>
      <c r="M6" s="97"/>
      <c r="N6" s="97"/>
      <c r="O6" s="97"/>
      <c r="P6" s="97"/>
      <c r="Q6" s="97"/>
      <c r="R6" s="118"/>
      <c r="S6" s="97"/>
      <c r="T6" s="97"/>
      <c r="U6" s="97"/>
      <c r="V6" s="97"/>
      <c r="W6" s="97"/>
      <c r="X6" s="97"/>
      <c r="AA6" s="97"/>
      <c r="AG6">
        <f ca="1"/>
        <v>55</v>
      </c>
      <c r="AH6">
        <f ca="1"/>
        <v>0</v>
      </c>
      <c r="AI6">
        <f ca="1"/>
        <v>14</v>
      </c>
      <c r="AJ6">
        <f ca="1"/>
        <v>42</v>
      </c>
      <c r="AK6">
        <f ca="1"/>
        <v>273</v>
      </c>
      <c r="AL6">
        <f ca="1"/>
        <v>4</v>
      </c>
      <c r="AM6">
        <f ca="1"/>
        <v>0</v>
      </c>
      <c r="AN6">
        <f ca="1"/>
        <v>0</v>
      </c>
      <c r="AO6">
        <f ca="1"/>
        <v>389</v>
      </c>
      <c r="AP6" t="e">
        <f ca="1"/>
        <v>#N/A</v>
      </c>
      <c r="AQ6" t="e">
        <f ca="1"/>
        <v>#N/A</v>
      </c>
    </row>
    <row r="7" spans="1:43">
      <c r="A7" s="12" t="s">
        <v>224</v>
      </c>
      <c r="B7" s="13" t="str">
        <f>SoilOrder</f>
        <v>SandyLoam</v>
      </c>
      <c r="D7" s="39" t="str">
        <f>ConceptDemo!C27</f>
        <v>Fertiliser already applied or planned</v>
      </c>
      <c r="E7" s="40"/>
      <c r="I7" s="12" t="s">
        <v>0</v>
      </c>
      <c r="J7" s="28">
        <f ca="1">B25+1</f>
        <v>45012</v>
      </c>
      <c r="K7" s="3">
        <v>50</v>
      </c>
      <c r="L7" s="3"/>
      <c r="M7" s="3">
        <f ca="1">SUMIF($I$12:$I$1005,TRUE,M12:M1005)</f>
        <v>15.875674147982217</v>
      </c>
      <c r="N7" s="3">
        <f ca="1">SUMIF($I$12:$I$1005,TRUE,N12:N1005)</f>
        <v>44.880293508690102</v>
      </c>
      <c r="O7" s="3">
        <f ca="1">SUMIF($I$12:$I$1005,TRUE,O12:O1005)</f>
        <v>273.16589869937025</v>
      </c>
      <c r="P7" s="3">
        <f ca="1">VLOOKUP(B36,ModelOutputs,P9,FALSE)-Q7</f>
        <v>1.8986741506406526</v>
      </c>
      <c r="Q7">
        <f ca="1">VLOOKUP(B36,ModelOutputs,Q9,FALSE)</f>
        <v>2.3643027365877423</v>
      </c>
      <c r="R7" s="13"/>
      <c r="W7" s="3">
        <f ca="1">MAX(0,X8-X7)</f>
        <v>2.2737367544323206E-13</v>
      </c>
      <c r="X7" s="3">
        <f ca="1">SUM(K7:R7)</f>
        <v>388.1848432432709</v>
      </c>
      <c r="AA7" s="3"/>
      <c r="AG7">
        <f ca="1"/>
        <v>46</v>
      </c>
      <c r="AH7">
        <f ca="1"/>
        <v>0</v>
      </c>
      <c r="AI7">
        <f ca="1"/>
        <v>0</v>
      </c>
      <c r="AJ7">
        <f ca="1"/>
        <v>0</v>
      </c>
      <c r="AK7">
        <f ca="1"/>
        <v>0</v>
      </c>
      <c r="AL7">
        <f ca="1"/>
        <v>140</v>
      </c>
      <c r="AM7">
        <f ca="1"/>
        <v>174</v>
      </c>
      <c r="AN7">
        <f ca="1"/>
        <v>29</v>
      </c>
      <c r="AO7">
        <f ca="1"/>
        <v>388</v>
      </c>
      <c r="AP7" t="e">
        <f ca="1"/>
        <v>#N/A</v>
      </c>
      <c r="AQ7" t="e">
        <f ca="1"/>
        <v>#N/A</v>
      </c>
    </row>
    <row r="8" spans="1:43" ht="15.75" thickBot="1">
      <c r="A8" s="12" t="s">
        <v>207</v>
      </c>
      <c r="B8" s="13" t="str">
        <f>SampleDepth</f>
        <v>Top30cm</v>
      </c>
      <c r="D8" s="19" t="str">
        <f>ConceptDemo!C28</f>
        <v>Date</v>
      </c>
      <c r="E8" s="20" t="str">
        <f>ConceptDemo!D28</f>
        <v>Amount</v>
      </c>
      <c r="I8" s="14" t="s">
        <v>12</v>
      </c>
      <c r="J8" s="29">
        <f>B38</f>
        <v>45355</v>
      </c>
      <c r="K8" s="24">
        <f ca="1">VLOOKUP(J8,ModelOutputs,2,FALSE)</f>
        <v>45.906573280061387</v>
      </c>
      <c r="L8" s="27"/>
      <c r="M8" s="25"/>
      <c r="N8" s="25"/>
      <c r="O8" s="25"/>
      <c r="P8" s="24">
        <f ca="1">(VLOOKUP($J$8,ModelOutputs,P9,FALSE)-VLOOKUP($J$7+1,ModelOutputs,P9,FALSE))-Q8</f>
        <v>139.73223356678761</v>
      </c>
      <c r="Q8" s="26">
        <f ca="1">VLOOKUP($J$8,ModelOutputs,Q9,FALSE)-VLOOKUP($J$7+1,ModelOutputs,Q9,FALSE)</f>
        <v>174</v>
      </c>
      <c r="R8" s="27">
        <f ca="1">SUMIF($I$12:$I$1005,TRUE,R12:R1005)</f>
        <v>28.546036396422135</v>
      </c>
      <c r="S8" s="3"/>
      <c r="T8" s="3"/>
      <c r="U8" s="3"/>
      <c r="V8" s="3"/>
      <c r="W8" s="3">
        <f ca="1">MAX(0,X7-X8)</f>
        <v>0</v>
      </c>
      <c r="X8" s="3">
        <f ca="1">SUM(K8:R8)</f>
        <v>388.18484324327113</v>
      </c>
      <c r="AG8" t="e">
        <f ca="1"/>
        <v>#N/A</v>
      </c>
      <c r="AH8" t="e">
        <f ca="1"/>
        <v>#N/A</v>
      </c>
      <c r="AI8" t="e">
        <f ca="1"/>
        <v>#N/A</v>
      </c>
      <c r="AJ8" t="e">
        <f ca="1"/>
        <v>#N/A</v>
      </c>
      <c r="AK8" t="e">
        <f ca="1"/>
        <v>#N/A</v>
      </c>
      <c r="AL8" t="e">
        <f ca="1"/>
        <v>#N/A</v>
      </c>
      <c r="AM8" t="e">
        <f ca="1"/>
        <v>#N/A</v>
      </c>
      <c r="AN8" t="e">
        <f ca="1"/>
        <v>#N/A</v>
      </c>
      <c r="AO8" t="e">
        <f ca="1"/>
        <v>#N/A</v>
      </c>
      <c r="AP8" t="e">
        <f ca="1"/>
        <v>#N/A</v>
      </c>
      <c r="AQ8" t="e">
        <f ca="1"/>
        <v>#N/A</v>
      </c>
    </row>
    <row r="9" spans="1:43">
      <c r="A9" s="12" t="s">
        <v>234</v>
      </c>
      <c r="B9" s="13" t="str">
        <f>SoilCategory</f>
        <v>Sedimentary</v>
      </c>
      <c r="D9" s="37" t="str">
        <f>IF(ConceptDemo!C29="","",ConceptDemo!C29)</f>
        <v/>
      </c>
      <c r="E9" s="38">
        <f>IF(ConceptDemo!D29="","",ConceptDemo!D29)</f>
        <v>80</v>
      </c>
      <c r="L9">
        <f ca="1">SUMIF(H11:H1004,FALSE,L11:L1004)</f>
        <v>354.43166205193415</v>
      </c>
      <c r="M9">
        <f ca="1">SUMIF(H11:H1004,TRUE,M11:M1004)</f>
        <v>15.874651078444822</v>
      </c>
      <c r="P9">
        <v>7</v>
      </c>
      <c r="Q9">
        <v>8</v>
      </c>
      <c r="W9" s="3"/>
      <c r="AA9" s="3"/>
      <c r="AG9" t="e" cm="1">
        <f t="array" aca="1" ref="AG9" ca="1">_xll.GetDailyNBalanceSummary(A10:B58,D21:E27,D12:E18)</f>
        <v>#VALUE!</v>
      </c>
      <c r="AH9" t="e" cm="1">
        <f t="array" aca="1" ref="AH9" ca="1">_xll.GetDailyNBalanceSummary(B10:C58,E21:F27,E12:F18)</f>
        <v>#VALUE!</v>
      </c>
      <c r="AI9" t="e" cm="1" vm="1">
        <f t="array" aca="1" ref="AI9" ca="1">_xll.GetDailyNBalanceSummary(C10:D58,F21:G27,F12:G18)</f>
        <v>#VALUE!</v>
      </c>
      <c r="AJ9" t="e" cm="1" vm="1">
        <f t="array" aca="1" ref="AJ9" ca="1">_xll.GetDailyNBalanceSummary(D10:E58,G21:H27,G12:H18)</f>
        <v>#VALUE!</v>
      </c>
      <c r="AK9" t="e" cm="1">
        <f t="array" aca="1" ref="AK9" ca="1">_xll.GetDailyNBalanceSummary(E10:F58,H21:I27,H12:I18)</f>
        <v>#VALUE!</v>
      </c>
      <c r="AL9" t="e" cm="1">
        <f t="array" aca="1" ref="AL9" ca="1">_xll.GetDailyNBalanceSummary(F10:G58,I21:J27,I12:J18)</f>
        <v>#VALUE!</v>
      </c>
      <c r="AM9" t="e" cm="1">
        <f t="array" aca="1" ref="AM9" ca="1">_xll.GetDailyNBalanceSummary(G10:H58,J21:K27,J12:K18)</f>
        <v>#VALUE!</v>
      </c>
      <c r="AN9" t="e" cm="1">
        <f t="array" aca="1" ref="AN9" ca="1">_xll.GetDailyNBalanceSummary(H10:I58,K21:L27,K12:L18)</f>
        <v>#VALUE!</v>
      </c>
      <c r="AO9" t="e" cm="1">
        <f t="array" aca="1" ref="AO9" ca="1">_xll.GetDailyNBalanceSummary(I10:J58,L21:M27,L12:M18)</f>
        <v>#VALUE!</v>
      </c>
    </row>
    <row r="10" spans="1:43">
      <c r="A10" s="12" t="s">
        <v>206</v>
      </c>
      <c r="B10" s="13">
        <f>HWEON</f>
        <v>15</v>
      </c>
      <c r="D10" s="18" t="str">
        <f>IF(ConceptDemo!C30="","",ConceptDemo!C30)</f>
        <v/>
      </c>
      <c r="E10" s="17" t="str">
        <f>IF(ConceptDemo!D30="","",ConceptDemo!D30)</f>
        <v/>
      </c>
      <c r="H10" t="s">
        <v>172</v>
      </c>
      <c r="I10" t="s">
        <v>108</v>
      </c>
      <c r="J10" t="str">
        <f t="array" aca="1" ref="J10:V1004" ca="1">_xll.GetDailyNBalance(A6:B54,D17:E23,D8:E14)</f>
        <v>Date</v>
      </c>
      <c r="K10" s="2" t="str">
        <f ca="1"/>
        <v>SoilMineralN</v>
      </c>
      <c r="L10" t="str">
        <f ca="1"/>
        <v>UptakeN</v>
      </c>
      <c r="M10" t="str">
        <f ca="1"/>
        <v>ResidueN</v>
      </c>
      <c r="N10" t="str">
        <f ca="1"/>
        <v>SoilOMN</v>
      </c>
      <c r="O10" t="str">
        <f ca="1"/>
        <v>FertiliserN</v>
      </c>
      <c r="P10" t="str">
        <f ca="1"/>
        <v>CropN</v>
      </c>
      <c r="Q10" t="str">
        <f ca="1"/>
        <v>ProductN</v>
      </c>
      <c r="R10" t="str">
        <f ca="1"/>
        <v>LostN</v>
      </c>
      <c r="S10" t="str">
        <f ca="1"/>
        <v>RSWC</v>
      </c>
      <c r="T10" t="str">
        <f ca="1"/>
        <v>Drainage</v>
      </c>
      <c r="U10" t="str">
        <f ca="1"/>
        <v>Irrigation</v>
      </c>
      <c r="V10" t="str">
        <f ca="1"/>
        <v>Green cover</v>
      </c>
      <c r="X10" t="s">
        <v>142</v>
      </c>
      <c r="Y10" t="s">
        <v>143</v>
      </c>
      <c r="AG10" t="e" cm="1">
        <f t="array" aca="1" ref="AG10" ca="1">_xll.GetDailyNBalanceSummary(A11:B59,D22:E28,D13:E19)</f>
        <v>#VALUE!</v>
      </c>
      <c r="AH10" t="e" cm="1">
        <f t="array" aca="1" ref="AH10" ca="1">_xll.GetDailyNBalanceSummary(B11:C59,E22:F28,E13:F19)</f>
        <v>#VALUE!</v>
      </c>
      <c r="AI10" t="e" cm="1" vm="2">
        <f t="array" aca="1" ref="AI10" ca="1">_xll.GetDailyNBalanceSummary(C11:D59,F22:G28,F13:G19)</f>
        <v>#VALUE!</v>
      </c>
      <c r="AJ10" t="e" cm="1" vm="2">
        <f t="array" aca="1" ref="AJ10" ca="1">_xll.GetDailyNBalanceSummary(D11:E59,G22:H28,G13:H19)</f>
        <v>#VALUE!</v>
      </c>
      <c r="AK10" t="e" cm="1">
        <f t="array" aca="1" ref="AK10" ca="1">_xll.GetDailyNBalanceSummary(E11:F59,H22:I28,H13:I19)</f>
        <v>#VALUE!</v>
      </c>
      <c r="AL10" t="e" cm="1">
        <f t="array" aca="1" ref="AL10" ca="1">_xll.GetDailyNBalanceSummary(F11:G59,I22:J28,I13:J19)</f>
        <v>#VALUE!</v>
      </c>
      <c r="AM10" t="e" cm="1">
        <f t="array" aca="1" ref="AM10" ca="1">_xll.GetDailyNBalanceSummary(G11:H59,J22:K28,J13:K19)</f>
        <v>#VALUE!</v>
      </c>
      <c r="AN10" t="e" cm="1">
        <f t="array" aca="1" ref="AN10" ca="1">_xll.GetDailyNBalanceSummary(H11:I59,K22:L28,K13:L19)</f>
        <v>#VALUE!</v>
      </c>
      <c r="AO10" t="e" cm="1">
        <f t="array" aca="1" ref="AO10" ca="1">_xll.GetDailyNBalanceSummary(I11:J59,L22:M28,L13:M19)</f>
        <v>#VALUE!</v>
      </c>
    </row>
    <row r="11" spans="1:43">
      <c r="A11" s="12" t="s">
        <v>25</v>
      </c>
      <c r="B11" s="13">
        <f>Splits</f>
        <v>2</v>
      </c>
      <c r="D11" s="18" t="str">
        <f>IF(ConceptDemo!C31="","",ConceptDemo!C31)</f>
        <v/>
      </c>
      <c r="E11" s="17" t="str">
        <f>IF(ConceptDemo!D31="","",ConceptDemo!D31)</f>
        <v/>
      </c>
      <c r="H11" t="b">
        <f ca="1">IF(J11&lt;$J$8,TRUE,FALSE)</f>
        <v>1</v>
      </c>
      <c r="I11" t="b">
        <f t="shared" ref="I11:I74" ca="1" si="0">AND(IF(J11&gt;($J$7-1),TRUE,FALSE),IF(J11&lt;($J$8+1),TRUE,FALSE))</f>
        <v>0</v>
      </c>
      <c r="J11" s="2">
        <f ca="1"/>
        <v>45011</v>
      </c>
      <c r="K11">
        <f ca="1"/>
        <v>0</v>
      </c>
      <c r="L11">
        <f ca="1"/>
        <v>2.1214720955180226</v>
      </c>
      <c r="M11">
        <f ca="1"/>
        <v>0</v>
      </c>
      <c r="N11" s="4">
        <f ca="1"/>
        <v>0.23601628186068427</v>
      </c>
      <c r="O11">
        <f ca="1"/>
        <v>0</v>
      </c>
      <c r="P11">
        <f ca="1"/>
        <v>62.70000000000001</v>
      </c>
      <c r="Q11">
        <f ca="1"/>
        <v>0</v>
      </c>
      <c r="R11">
        <f ca="1"/>
        <v>0</v>
      </c>
      <c r="S11">
        <f ca="1"/>
        <v>0.9</v>
      </c>
      <c r="T11">
        <f ca="1"/>
        <v>0</v>
      </c>
      <c r="U11">
        <f ca="1"/>
        <v>0</v>
      </c>
      <c r="V11">
        <f ca="1"/>
        <v>0.99999995543201425</v>
      </c>
      <c r="X11" s="2">
        <f t="shared" ref="X11:X74" ca="1" si="1">IFERROR(J11,$X$9)</f>
        <v>45011</v>
      </c>
      <c r="Y11">
        <f t="shared" ref="Y11:Y74" ca="1" si="2">IFERROR(O11,0)</f>
        <v>0</v>
      </c>
      <c r="AA11" s="3"/>
      <c r="AB11" s="3"/>
      <c r="AD11" s="3"/>
      <c r="AE11" s="3"/>
      <c r="AG11" t="e" cm="1">
        <f t="array" aca="1" ref="AG11" ca="1">_xll.GetDailyNBalanceSummary(A12:B60,D23:E29,D14:E20)</f>
        <v>#VALUE!</v>
      </c>
      <c r="AH11" t="e" cm="1">
        <f t="array" aca="1" ref="AH11" ca="1">_xll.GetDailyNBalanceSummary(B12:C60,E23:F29,E14:F20)</f>
        <v>#VALUE!</v>
      </c>
      <c r="AI11" t="e" cm="1" vm="3">
        <f t="array" aca="1" ref="AI11" ca="1">_xll.GetDailyNBalanceSummary(C12:D60,F23:G29,F14:G20)</f>
        <v>#VALUE!</v>
      </c>
      <c r="AJ11" t="e" cm="1" vm="3">
        <f t="array" aca="1" ref="AJ11" ca="1">_xll.GetDailyNBalanceSummary(D12:E60,G23:H29,G14:H20)</f>
        <v>#VALUE!</v>
      </c>
      <c r="AK11" t="e" cm="1">
        <f t="array" aca="1" ref="AK11" ca="1">_xll.GetDailyNBalanceSummary(E12:F60,H23:I29,H14:I20)</f>
        <v>#VALUE!</v>
      </c>
      <c r="AL11" t="e" cm="1">
        <f t="array" aca="1" ref="AL11" ca="1">_xll.GetDailyNBalanceSummary(F12:G60,I23:J29,I14:J20)</f>
        <v>#VALUE!</v>
      </c>
      <c r="AM11" t="e" cm="1">
        <f t="array" aca="1" ref="AM11" ca="1">_xll.GetDailyNBalanceSummary(G12:H60,J23:K29,J14:K20)</f>
        <v>#VALUE!</v>
      </c>
      <c r="AN11" t="e" cm="1">
        <f t="array" aca="1" ref="AN11" ca="1">_xll.GetDailyNBalanceSummary(H12:I60,K23:L29,K14:L20)</f>
        <v>#VALUE!</v>
      </c>
      <c r="AO11" t="e" cm="1">
        <f t="array" aca="1" ref="AO11" ca="1">_xll.GetDailyNBalanceSummary(I12:J60,L23:M29,L14:M20)</f>
        <v>#VALUE!</v>
      </c>
    </row>
    <row r="12" spans="1:43">
      <c r="A12" s="12" t="s">
        <v>225</v>
      </c>
      <c r="B12" s="13">
        <f>Rocks</f>
        <v>0</v>
      </c>
      <c r="D12" s="18" t="str">
        <f>IF(ConceptDemo!C32="","",ConceptDemo!C32)</f>
        <v/>
      </c>
      <c r="E12" s="17" t="str">
        <f>IF(ConceptDemo!D32="","",ConceptDemo!D32)</f>
        <v/>
      </c>
      <c r="H12" t="b">
        <f t="shared" ref="H12:H75" ca="1" si="3">IF(J12&lt;$J$8,TRUE,FALSE)</f>
        <v>1</v>
      </c>
      <c r="I12" t="b">
        <f t="shared" ca="1" si="0"/>
        <v>1</v>
      </c>
      <c r="J12" s="2">
        <f ca="1"/>
        <v>45012</v>
      </c>
      <c r="K12">
        <f ca="1"/>
        <v>50.229865718996614</v>
      </c>
      <c r="L12">
        <f ca="1"/>
        <v>0</v>
      </c>
      <c r="M12">
        <f ca="1"/>
        <v>-1.738515772065255E-2</v>
      </c>
      <c r="N12" s="4">
        <f ca="1"/>
        <v>0.24725087671726448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0.87873913043478269</v>
      </c>
      <c r="T12">
        <f ca="1"/>
        <v>0</v>
      </c>
      <c r="U12">
        <f ca="1"/>
        <v>0</v>
      </c>
      <c r="V12">
        <f ca="1"/>
        <v>0</v>
      </c>
      <c r="X12" s="2">
        <f t="shared" ca="1" si="1"/>
        <v>45012</v>
      </c>
      <c r="Y12">
        <f t="shared" ca="1" si="2"/>
        <v>0</v>
      </c>
      <c r="Z12" s="3"/>
      <c r="AA12" s="63">
        <f ca="1">K11+M12+N12+O12</f>
        <v>0.22986571899661193</v>
      </c>
      <c r="AB12" s="63">
        <f ca="1">K12+L12+R12</f>
        <v>50.229865718996614</v>
      </c>
      <c r="AC12" s="3">
        <f ca="1">AB12-AA12</f>
        <v>50</v>
      </c>
      <c r="AE12" s="3"/>
    </row>
    <row r="13" spans="1:43">
      <c r="A13" s="12" t="s">
        <v>199</v>
      </c>
      <c r="B13" s="13" t="str">
        <f>PrePlantRain</f>
        <v>Typical</v>
      </c>
      <c r="D13" s="18" t="str">
        <f>IF(ConceptDemo!C33="","",ConceptDemo!C33)</f>
        <v/>
      </c>
      <c r="E13" s="17" t="str">
        <f>IF(ConceptDemo!D33="","",ConceptDemo!D33)</f>
        <v/>
      </c>
      <c r="H13" t="b">
        <f t="shared" ca="1" si="3"/>
        <v>1</v>
      </c>
      <c r="I13" t="b">
        <f t="shared" ca="1" si="0"/>
        <v>1</v>
      </c>
      <c r="J13" s="2">
        <f ca="1"/>
        <v>45013</v>
      </c>
      <c r="K13">
        <f ca="1"/>
        <v>50.501862710159571</v>
      </c>
      <c r="L13">
        <f ca="1"/>
        <v>0</v>
      </c>
      <c r="M13">
        <f ca="1"/>
        <v>2.3859267876902845E-2</v>
      </c>
      <c r="N13" s="4">
        <f ca="1"/>
        <v>0.2481377232860586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0.85149942028985515</v>
      </c>
      <c r="T13">
        <f ca="1"/>
        <v>0</v>
      </c>
      <c r="U13">
        <f ca="1"/>
        <v>0</v>
      </c>
      <c r="V13">
        <f ca="1"/>
        <v>0</v>
      </c>
      <c r="X13" s="2">
        <f t="shared" ca="1" si="1"/>
        <v>45013</v>
      </c>
      <c r="Y13">
        <f t="shared" ca="1" si="2"/>
        <v>0</v>
      </c>
      <c r="AA13" s="63">
        <f t="shared" ref="AA13:AA76" ca="1" si="4">K12+M13+N13+O13</f>
        <v>50.501862710159571</v>
      </c>
      <c r="AB13" s="63">
        <f t="shared" ref="AB13:AB76" ca="1" si="5">K13+L13+R13</f>
        <v>50.501862710159571</v>
      </c>
      <c r="AC13" s="3">
        <f t="shared" ref="AC13:AC76" ca="1" si="6">AB13-AA13</f>
        <v>0</v>
      </c>
    </row>
    <row r="14" spans="1:43" ht="15.75" thickBot="1">
      <c r="A14" s="12" t="s">
        <v>200</v>
      </c>
      <c r="B14" s="13" t="str">
        <f>InCropRain</f>
        <v>Typical</v>
      </c>
      <c r="D14" s="35" t="str">
        <f>IF(ConceptDemo!C34="","",ConceptDemo!C34)</f>
        <v/>
      </c>
      <c r="E14" s="20" t="str">
        <f>IF(ConceptDemo!D34="","",ConceptDemo!D34)</f>
        <v/>
      </c>
      <c r="H14" t="b">
        <f t="shared" ca="1" si="3"/>
        <v>1</v>
      </c>
      <c r="I14" t="b">
        <f t="shared" ca="1" si="0"/>
        <v>1</v>
      </c>
      <c r="J14" s="2">
        <f ca="1"/>
        <v>45014</v>
      </c>
      <c r="K14">
        <f ca="1"/>
        <v>50.802640792525125</v>
      </c>
      <c r="L14">
        <f ca="1"/>
        <v>0</v>
      </c>
      <c r="M14">
        <f ca="1"/>
        <v>6.1637194082376751E-2</v>
      </c>
      <c r="N14" s="4">
        <f ca="1"/>
        <v>0.2391408882831759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>
        <f ca="1"/>
        <v>0.82675488237765182</v>
      </c>
      <c r="T14">
        <f ca="1"/>
        <v>0</v>
      </c>
      <c r="U14">
        <f ca="1"/>
        <v>0</v>
      </c>
      <c r="V14">
        <f ca="1"/>
        <v>0</v>
      </c>
      <c r="X14" s="2">
        <f t="shared" ca="1" si="1"/>
        <v>45014</v>
      </c>
      <c r="Y14">
        <f t="shared" ca="1" si="2"/>
        <v>0</v>
      </c>
      <c r="AA14" s="63">
        <f t="shared" ca="1" si="4"/>
        <v>50.802640792525125</v>
      </c>
      <c r="AB14" s="63">
        <f t="shared" ca="1" si="5"/>
        <v>50.802640792525125</v>
      </c>
      <c r="AC14" s="3">
        <f t="shared" ca="1" si="6"/>
        <v>0</v>
      </c>
    </row>
    <row r="15" spans="1:43" ht="15.75" thickBot="1">
      <c r="A15" s="12" t="s">
        <v>187</v>
      </c>
      <c r="B15" s="13" t="str">
        <f>Irrigation</f>
        <v>None</v>
      </c>
      <c r="H15" t="b">
        <f t="shared" ca="1" si="3"/>
        <v>1</v>
      </c>
      <c r="I15" t="b">
        <f t="shared" ca="1" si="0"/>
        <v>1</v>
      </c>
      <c r="J15" s="2">
        <f ca="1"/>
        <v>45015</v>
      </c>
      <c r="K15">
        <f ca="1"/>
        <v>51.13900215017064</v>
      </c>
      <c r="L15">
        <f ca="1"/>
        <v>0</v>
      </c>
      <c r="M15">
        <f ca="1"/>
        <v>9.5956804382038186E-2</v>
      </c>
      <c r="N15" s="4">
        <f ca="1"/>
        <v>0.24040455326347229</v>
      </c>
      <c r="O15">
        <f ca="1"/>
        <v>0</v>
      </c>
      <c r="P15">
        <f ca="1"/>
        <v>0</v>
      </c>
      <c r="Q15">
        <f ca="1"/>
        <v>0</v>
      </c>
      <c r="R15">
        <f ca="1"/>
        <v>0</v>
      </c>
      <c r="S15">
        <f ca="1"/>
        <v>0.82633119906014751</v>
      </c>
      <c r="T15">
        <f ca="1"/>
        <v>0</v>
      </c>
      <c r="U15">
        <f ca="1"/>
        <v>0</v>
      </c>
      <c r="V15">
        <f ca="1"/>
        <v>0</v>
      </c>
      <c r="X15" s="2">
        <f t="shared" ca="1" si="1"/>
        <v>45015</v>
      </c>
      <c r="Y15">
        <f t="shared" ca="1" si="2"/>
        <v>0</v>
      </c>
      <c r="AA15" s="63">
        <f t="shared" ca="1" si="4"/>
        <v>51.13900215017064</v>
      </c>
      <c r="AB15" s="63">
        <f t="shared" ca="1" si="5"/>
        <v>51.13900215017064</v>
      </c>
      <c r="AC15" s="3">
        <f t="shared" ca="1" si="6"/>
        <v>0</v>
      </c>
    </row>
    <row r="16" spans="1:43">
      <c r="A16" s="5" t="s">
        <v>139</v>
      </c>
      <c r="B16" s="31" t="str">
        <f>PriorCropNameFull</f>
        <v>Annual ryegrass Green manure General</v>
      </c>
      <c r="D16" s="136" t="str">
        <f>ConceptDemo!C36</f>
        <v>Soil Mineral N Test Results</v>
      </c>
      <c r="E16" s="137"/>
      <c r="H16" t="b">
        <f t="shared" ca="1" si="3"/>
        <v>1</v>
      </c>
      <c r="I16" t="b">
        <f t="shared" ca="1" si="0"/>
        <v>1</v>
      </c>
      <c r="J16" s="2">
        <f ca="1"/>
        <v>45016</v>
      </c>
      <c r="K16">
        <f ca="1"/>
        <v>51.476751519581605</v>
      </c>
      <c r="L16">
        <f ca="1"/>
        <v>0</v>
      </c>
      <c r="M16">
        <f ca="1"/>
        <v>0.11779280494360411</v>
      </c>
      <c r="N16" s="4">
        <f ca="1"/>
        <v>0.21995656446735851</v>
      </c>
      <c r="O16">
        <f ca="1"/>
        <v>0</v>
      </c>
      <c r="P16">
        <f ca="1"/>
        <v>0</v>
      </c>
      <c r="Q16">
        <f ca="1"/>
        <v>0</v>
      </c>
      <c r="R16">
        <f ca="1"/>
        <v>0</v>
      </c>
      <c r="S16">
        <f ca="1"/>
        <v>0.81693158356559614</v>
      </c>
      <c r="T16">
        <f ca="1"/>
        <v>0</v>
      </c>
      <c r="U16">
        <f ca="1"/>
        <v>0</v>
      </c>
      <c r="V16">
        <f ca="1"/>
        <v>0</v>
      </c>
      <c r="X16" s="2">
        <f t="shared" ca="1" si="1"/>
        <v>45016</v>
      </c>
      <c r="Y16">
        <f t="shared" ca="1" si="2"/>
        <v>0</v>
      </c>
      <c r="AA16" s="63">
        <f t="shared" ca="1" si="4"/>
        <v>51.476751519581605</v>
      </c>
      <c r="AB16" s="63">
        <f t="shared" ca="1" si="5"/>
        <v>51.476751519581605</v>
      </c>
      <c r="AC16" s="3">
        <f t="shared" ca="1" si="6"/>
        <v>0</v>
      </c>
    </row>
    <row r="17" spans="1:29" ht="15.75" thickBot="1">
      <c r="A17" s="6" t="s">
        <v>235</v>
      </c>
      <c r="B17" s="32">
        <f>PriorYield</f>
        <v>3</v>
      </c>
      <c r="D17" s="19" t="str">
        <f>ConceptDemo!C37</f>
        <v>Date</v>
      </c>
      <c r="E17" s="20" t="str">
        <f>ConceptDemo!D37</f>
        <v>Value</v>
      </c>
      <c r="H17" t="b">
        <f t="shared" ca="1" si="3"/>
        <v>1</v>
      </c>
      <c r="I17" t="b">
        <f t="shared" ca="1" si="0"/>
        <v>1</v>
      </c>
      <c r="J17" s="2">
        <f ca="1"/>
        <v>45017</v>
      </c>
      <c r="K17">
        <f ca="1"/>
        <v>51.816601693789238</v>
      </c>
      <c r="L17">
        <f ca="1"/>
        <v>0</v>
      </c>
      <c r="M17">
        <f ca="1"/>
        <v>0.13579877506946281</v>
      </c>
      <c r="N17" s="4">
        <f ca="1"/>
        <v>0.20405139913816986</v>
      </c>
      <c r="O17">
        <f ca="1"/>
        <v>0</v>
      </c>
      <c r="P17">
        <f ca="1"/>
        <v>0</v>
      </c>
      <c r="Q17">
        <f ca="1"/>
        <v>0</v>
      </c>
      <c r="R17">
        <f ca="1"/>
        <v>0</v>
      </c>
      <c r="S17">
        <f ca="1"/>
        <v>0.79709152463034338</v>
      </c>
      <c r="T17">
        <f ca="1"/>
        <v>0</v>
      </c>
      <c r="U17">
        <f ca="1"/>
        <v>0</v>
      </c>
      <c r="V17">
        <f ca="1"/>
        <v>0</v>
      </c>
      <c r="X17" s="2">
        <f t="shared" ca="1" si="1"/>
        <v>45017</v>
      </c>
      <c r="Y17">
        <f t="shared" ca="1" si="2"/>
        <v>0</v>
      </c>
      <c r="AA17" s="63">
        <f t="shared" ca="1" si="4"/>
        <v>51.816601693789238</v>
      </c>
      <c r="AB17" s="63">
        <f t="shared" ca="1" si="5"/>
        <v>51.816601693789238</v>
      </c>
      <c r="AC17" s="3">
        <f t="shared" ca="1" si="6"/>
        <v>0</v>
      </c>
    </row>
    <row r="18" spans="1:29">
      <c r="A18" s="6" t="s">
        <v>228</v>
      </c>
      <c r="B18" s="32">
        <f>PriorPopulation</f>
        <v>1</v>
      </c>
      <c r="D18" s="18" t="str">
        <f>IF(ConceptDemo!C38="","",ConceptDemo!C38)</f>
        <v/>
      </c>
      <c r="E18" s="17" t="str">
        <f>IF(ConceptDemo!D38="","",ConceptDemo!D38)</f>
        <v/>
      </c>
      <c r="H18" t="b">
        <f t="shared" ca="1" si="3"/>
        <v>1</v>
      </c>
      <c r="I18" t="b">
        <f t="shared" ca="1" si="0"/>
        <v>1</v>
      </c>
      <c r="J18" s="2">
        <f ca="1"/>
        <v>45018</v>
      </c>
      <c r="K18">
        <f ca="1"/>
        <v>52.18634441638396</v>
      </c>
      <c r="L18">
        <f ca="1"/>
        <v>0</v>
      </c>
      <c r="M18">
        <f ca="1"/>
        <v>0.16207684838497538</v>
      </c>
      <c r="N18" s="4">
        <f ca="1"/>
        <v>0.20766587420974511</v>
      </c>
      <c r="O18">
        <f ca="1"/>
        <v>0</v>
      </c>
      <c r="P18">
        <f ca="1"/>
        <v>0</v>
      </c>
      <c r="Q18">
        <f ca="1"/>
        <v>0</v>
      </c>
      <c r="R18">
        <f ca="1"/>
        <v>0</v>
      </c>
      <c r="S18">
        <f ca="1"/>
        <v>0.77351710855339118</v>
      </c>
      <c r="T18">
        <f ca="1"/>
        <v>0</v>
      </c>
      <c r="U18">
        <f ca="1"/>
        <v>0</v>
      </c>
      <c r="V18">
        <f ca="1"/>
        <v>0</v>
      </c>
      <c r="X18" s="2">
        <f t="shared" ca="1" si="1"/>
        <v>45018</v>
      </c>
      <c r="Y18">
        <f t="shared" ca="1" si="2"/>
        <v>0</v>
      </c>
      <c r="AA18" s="63">
        <f t="shared" ca="1" si="4"/>
        <v>52.18634441638396</v>
      </c>
      <c r="AB18" s="63">
        <f t="shared" ca="1" si="5"/>
        <v>52.18634441638396</v>
      </c>
      <c r="AC18" s="3">
        <f t="shared" ca="1" si="6"/>
        <v>0</v>
      </c>
    </row>
    <row r="19" spans="1:29">
      <c r="A19" s="6" t="s">
        <v>229</v>
      </c>
      <c r="B19" s="32" t="str">
        <f>PriorUnits</f>
        <v>t/ha</v>
      </c>
      <c r="D19" s="18" t="str">
        <f>IF(ConceptDemo!C39="","",ConceptDemo!C39)</f>
        <v/>
      </c>
      <c r="E19" s="17" t="str">
        <f>IF(ConceptDemo!D39="","",ConceptDemo!D39)</f>
        <v/>
      </c>
      <c r="H19" t="b">
        <f t="shared" ca="1" si="3"/>
        <v>1</v>
      </c>
      <c r="I19" t="b">
        <f t="shared" ca="1" si="0"/>
        <v>1</v>
      </c>
      <c r="J19" s="2">
        <f ca="1"/>
        <v>45019</v>
      </c>
      <c r="K19">
        <f ca="1"/>
        <v>52.559133018316928</v>
      </c>
      <c r="L19">
        <f ca="1"/>
        <v>0</v>
      </c>
      <c r="M19">
        <f ca="1"/>
        <v>0.17567818284109737</v>
      </c>
      <c r="N19" s="4">
        <f ca="1"/>
        <v>0.19711041909186847</v>
      </c>
      <c r="O19">
        <f ca="1"/>
        <v>0</v>
      </c>
      <c r="P19">
        <f ca="1"/>
        <v>0</v>
      </c>
      <c r="Q19">
        <f ca="1"/>
        <v>0</v>
      </c>
      <c r="R19">
        <f ca="1"/>
        <v>0</v>
      </c>
      <c r="S19">
        <f ca="1"/>
        <v>0.76069540531775481</v>
      </c>
      <c r="T19">
        <f ca="1"/>
        <v>0</v>
      </c>
      <c r="U19">
        <f ca="1"/>
        <v>0</v>
      </c>
      <c r="V19">
        <f ca="1"/>
        <v>0</v>
      </c>
      <c r="X19" s="2">
        <f t="shared" ca="1" si="1"/>
        <v>45019</v>
      </c>
      <c r="Y19">
        <f t="shared" ca="1" si="2"/>
        <v>0</v>
      </c>
      <c r="AA19" s="63">
        <f t="shared" ca="1" si="4"/>
        <v>52.559133018316928</v>
      </c>
      <c r="AB19" s="63">
        <f t="shared" ca="1" si="5"/>
        <v>52.559133018316928</v>
      </c>
      <c r="AC19" s="3">
        <f t="shared" ca="1" si="6"/>
        <v>0</v>
      </c>
    </row>
    <row r="20" spans="1:29">
      <c r="A20" s="6" t="s">
        <v>112</v>
      </c>
      <c r="B20" s="32">
        <f>PriorFieldLoss</f>
        <v>0</v>
      </c>
      <c r="D20" s="18" t="str">
        <f>IF(ConceptDemo!C40="","",ConceptDemo!C40)</f>
        <v/>
      </c>
      <c r="E20" s="17" t="str">
        <f>IF(ConceptDemo!D40="","",ConceptDemo!D40)</f>
        <v/>
      </c>
      <c r="H20" t="b">
        <f t="shared" ca="1" si="3"/>
        <v>1</v>
      </c>
      <c r="I20" t="b">
        <f t="shared" ca="1" si="0"/>
        <v>1</v>
      </c>
      <c r="J20" s="2">
        <f ca="1"/>
        <v>45020</v>
      </c>
      <c r="K20">
        <f ca="1"/>
        <v>52.930550503751405</v>
      </c>
      <c r="L20">
        <f ca="1"/>
        <v>0</v>
      </c>
      <c r="M20">
        <f ca="1"/>
        <v>0.18445458101927603</v>
      </c>
      <c r="N20" s="4">
        <f ca="1"/>
        <v>0.18696290441520336</v>
      </c>
      <c r="O20">
        <f ca="1"/>
        <v>0</v>
      </c>
      <c r="P20">
        <f ca="1"/>
        <v>0</v>
      </c>
      <c r="Q20">
        <f ca="1"/>
        <v>0</v>
      </c>
      <c r="R20">
        <f ca="1"/>
        <v>0</v>
      </c>
      <c r="S20">
        <f ca="1"/>
        <v>0.7551195614513293</v>
      </c>
      <c r="T20">
        <f ca="1"/>
        <v>0</v>
      </c>
      <c r="U20">
        <f ca="1"/>
        <v>0</v>
      </c>
      <c r="V20">
        <f ca="1"/>
        <v>0</v>
      </c>
      <c r="X20" s="2">
        <f t="shared" ca="1" si="1"/>
        <v>45020</v>
      </c>
      <c r="Y20">
        <f t="shared" ca="1" si="2"/>
        <v>0</v>
      </c>
      <c r="AA20" s="63">
        <f t="shared" ca="1" si="4"/>
        <v>52.930550503751405</v>
      </c>
      <c r="AB20" s="63">
        <f t="shared" ca="1" si="5"/>
        <v>52.930550503751405</v>
      </c>
      <c r="AC20" s="3">
        <f t="shared" ca="1" si="6"/>
        <v>0</v>
      </c>
    </row>
    <row r="21" spans="1:29">
      <c r="A21" s="6" t="s">
        <v>113</v>
      </c>
      <c r="B21" s="32">
        <f>PriorDressingLoss</f>
        <v>0</v>
      </c>
      <c r="D21" s="18" t="str">
        <f>IF(ConceptDemo!C41="","",ConceptDemo!C41)</f>
        <v/>
      </c>
      <c r="E21" s="17" t="str">
        <f>IF(ConceptDemo!D41="","",ConceptDemo!D41)</f>
        <v/>
      </c>
      <c r="H21" t="b">
        <f t="shared" ca="1" si="3"/>
        <v>1</v>
      </c>
      <c r="I21" t="b">
        <f t="shared" ca="1" si="0"/>
        <v>1</v>
      </c>
      <c r="J21" s="2">
        <f ca="1"/>
        <v>45021</v>
      </c>
      <c r="K21">
        <f ca="1"/>
        <v>53.305480964645447</v>
      </c>
      <c r="L21">
        <f ca="1"/>
        <v>0</v>
      </c>
      <c r="M21">
        <f ca="1"/>
        <v>0.19409465378836421</v>
      </c>
      <c r="N21" s="4">
        <f ca="1"/>
        <v>0.18083580710567676</v>
      </c>
      <c r="O21">
        <f ca="1"/>
        <v>0</v>
      </c>
      <c r="P21">
        <f ca="1"/>
        <v>0</v>
      </c>
      <c r="Q21">
        <f ca="1"/>
        <v>0</v>
      </c>
      <c r="R21">
        <f ca="1"/>
        <v>0</v>
      </c>
      <c r="S21">
        <f ca="1"/>
        <v>0.74597663311237328</v>
      </c>
      <c r="T21">
        <f ca="1"/>
        <v>0</v>
      </c>
      <c r="U21">
        <f ca="1"/>
        <v>0</v>
      </c>
      <c r="V21">
        <f ca="1"/>
        <v>0</v>
      </c>
      <c r="X21" s="2">
        <f t="shared" ca="1" si="1"/>
        <v>45021</v>
      </c>
      <c r="Y21">
        <f t="shared" ca="1" si="2"/>
        <v>0</v>
      </c>
      <c r="AA21" s="63">
        <f t="shared" ca="1" si="4"/>
        <v>53.305480964645447</v>
      </c>
      <c r="AB21" s="63">
        <f t="shared" ca="1" si="5"/>
        <v>53.305480964645447</v>
      </c>
      <c r="AC21" s="3">
        <f t="shared" ca="1" si="6"/>
        <v>0</v>
      </c>
    </row>
    <row r="22" spans="1:29">
      <c r="A22" s="6" t="s">
        <v>114</v>
      </c>
      <c r="B22" s="32">
        <f>PriorMoistureContent</f>
        <v>0</v>
      </c>
      <c r="D22" s="18" t="str">
        <f>IF(ConceptDemo!C42="","",ConceptDemo!C42)</f>
        <v/>
      </c>
      <c r="E22" s="17" t="str">
        <f>IF(ConceptDemo!D42="","",ConceptDemo!D42)</f>
        <v/>
      </c>
      <c r="H22" t="b">
        <f t="shared" ca="1" si="3"/>
        <v>1</v>
      </c>
      <c r="I22" t="b">
        <f t="shared" ca="1" si="0"/>
        <v>1</v>
      </c>
      <c r="J22" s="2">
        <f ca="1"/>
        <v>45022</v>
      </c>
      <c r="K22">
        <f ca="1"/>
        <v>53.697149343179881</v>
      </c>
      <c r="L22">
        <f ca="1"/>
        <v>0</v>
      </c>
      <c r="M22">
        <f ca="1"/>
        <v>0.20720940873606408</v>
      </c>
      <c r="N22" s="4">
        <f ca="1"/>
        <v>0.18445896979837362</v>
      </c>
      <c r="O22">
        <f ca="1"/>
        <v>0</v>
      </c>
      <c r="P22">
        <f ca="1"/>
        <v>0</v>
      </c>
      <c r="Q22">
        <f ca="1"/>
        <v>0</v>
      </c>
      <c r="R22">
        <f ca="1"/>
        <v>0</v>
      </c>
      <c r="S22">
        <f ca="1"/>
        <v>0.75159633725097386</v>
      </c>
      <c r="T22">
        <f ca="1"/>
        <v>0</v>
      </c>
      <c r="U22">
        <f ca="1"/>
        <v>0</v>
      </c>
      <c r="V22">
        <f ca="1"/>
        <v>0</v>
      </c>
      <c r="X22" s="2">
        <f t="shared" ca="1" si="1"/>
        <v>45022</v>
      </c>
      <c r="Y22">
        <f t="shared" ca="1" si="2"/>
        <v>0</v>
      </c>
      <c r="AA22" s="63">
        <f t="shared" ca="1" si="4"/>
        <v>53.697149343179881</v>
      </c>
      <c r="AB22" s="63">
        <f t="shared" ca="1" si="5"/>
        <v>53.697149343179881</v>
      </c>
      <c r="AC22" s="3">
        <f t="shared" ca="1" si="6"/>
        <v>0</v>
      </c>
    </row>
    <row r="23" spans="1:29" ht="15.75" thickBot="1">
      <c r="A23" s="6" t="s">
        <v>115</v>
      </c>
      <c r="B23" s="34">
        <f ca="1">PriorEstablishDate</f>
        <v>44966</v>
      </c>
      <c r="D23" s="35" t="str">
        <f>IF(ConceptDemo!C43="","",ConceptDemo!C43)</f>
        <v/>
      </c>
      <c r="E23" s="20" t="str">
        <f>IF(ConceptDemo!D43="","",ConceptDemo!D43)</f>
        <v/>
      </c>
      <c r="H23" t="b">
        <f t="shared" ca="1" si="3"/>
        <v>1</v>
      </c>
      <c r="I23" t="b">
        <f t="shared" ca="1" si="0"/>
        <v>1</v>
      </c>
      <c r="J23" s="2">
        <f ca="1"/>
        <v>45023</v>
      </c>
      <c r="K23">
        <f ca="1"/>
        <v>54.101030410164142</v>
      </c>
      <c r="L23">
        <f ca="1"/>
        <v>0</v>
      </c>
      <c r="M23">
        <f ca="1"/>
        <v>0.21552837748578635</v>
      </c>
      <c r="N23" s="4">
        <f ca="1"/>
        <v>0.18835268949847303</v>
      </c>
      <c r="O23">
        <f ca="1"/>
        <v>0</v>
      </c>
      <c r="P23">
        <f ca="1"/>
        <v>0</v>
      </c>
      <c r="Q23">
        <f ca="1"/>
        <v>0</v>
      </c>
      <c r="R23">
        <f ca="1"/>
        <v>0</v>
      </c>
      <c r="S23">
        <f ca="1"/>
        <v>0.77425380807010402</v>
      </c>
      <c r="T23">
        <f ca="1"/>
        <v>0</v>
      </c>
      <c r="U23">
        <f ca="1"/>
        <v>0</v>
      </c>
      <c r="V23">
        <f ca="1"/>
        <v>0</v>
      </c>
      <c r="X23" s="2">
        <f t="shared" ca="1" si="1"/>
        <v>45023</v>
      </c>
      <c r="Y23">
        <f t="shared" ca="1" si="2"/>
        <v>0</v>
      </c>
      <c r="AA23" s="63">
        <f t="shared" ca="1" si="4"/>
        <v>54.101030410164142</v>
      </c>
      <c r="AB23" s="63">
        <f t="shared" ca="1" si="5"/>
        <v>54.101030410164142</v>
      </c>
      <c r="AC23" s="3">
        <f t="shared" ca="1" si="6"/>
        <v>0</v>
      </c>
    </row>
    <row r="24" spans="1:29">
      <c r="A24" s="6" t="s">
        <v>116</v>
      </c>
      <c r="B24" s="32" t="str">
        <f>PriorEstablishStage</f>
        <v>Seed</v>
      </c>
      <c r="H24" t="b">
        <f t="shared" ca="1" si="3"/>
        <v>1</v>
      </c>
      <c r="I24" t="b">
        <f t="shared" ca="1" si="0"/>
        <v>1</v>
      </c>
      <c r="J24" s="2">
        <f ca="1"/>
        <v>45024</v>
      </c>
      <c r="K24">
        <f ca="1"/>
        <v>54.514367444312988</v>
      </c>
      <c r="L24">
        <f ca="1"/>
        <v>0</v>
      </c>
      <c r="M24">
        <f ca="1"/>
        <v>0.22441960477140577</v>
      </c>
      <c r="N24" s="4">
        <f ca="1"/>
        <v>0.18891742937744332</v>
      </c>
      <c r="O24">
        <f ca="1"/>
        <v>0</v>
      </c>
      <c r="P24">
        <f ca="1"/>
        <v>0</v>
      </c>
      <c r="Q24">
        <f ca="1"/>
        <v>0</v>
      </c>
      <c r="R24">
        <f ca="1"/>
        <v>0</v>
      </c>
      <c r="S24">
        <f ca="1"/>
        <v>0.77450391323374779</v>
      </c>
      <c r="T24">
        <f ca="1"/>
        <v>0</v>
      </c>
      <c r="U24">
        <f ca="1"/>
        <v>0</v>
      </c>
      <c r="V24">
        <f ca="1"/>
        <v>0</v>
      </c>
      <c r="X24" s="2">
        <f t="shared" ca="1" si="1"/>
        <v>45024</v>
      </c>
      <c r="Y24">
        <f t="shared" ca="1" si="2"/>
        <v>0</v>
      </c>
      <c r="AA24" s="63">
        <f t="shared" ca="1" si="4"/>
        <v>54.514367444312988</v>
      </c>
      <c r="AB24" s="63">
        <f t="shared" ca="1" si="5"/>
        <v>54.514367444312988</v>
      </c>
      <c r="AC24" s="3">
        <f t="shared" ca="1" si="6"/>
        <v>0</v>
      </c>
    </row>
    <row r="25" spans="1:29">
      <c r="A25" s="6" t="s">
        <v>117</v>
      </c>
      <c r="B25" s="34">
        <f ca="1">PriorHarvestDate</f>
        <v>45011</v>
      </c>
      <c r="H25" t="b">
        <f t="shared" ca="1" si="3"/>
        <v>1</v>
      </c>
      <c r="I25" t="b">
        <f t="shared" ca="1" si="0"/>
        <v>1</v>
      </c>
      <c r="J25" s="2">
        <f ca="1"/>
        <v>45025</v>
      </c>
      <c r="K25">
        <f ca="1"/>
        <v>54.920380654555757</v>
      </c>
      <c r="L25">
        <f ca="1"/>
        <v>0</v>
      </c>
      <c r="M25">
        <f ca="1"/>
        <v>0.22272841502228347</v>
      </c>
      <c r="N25" s="4">
        <f ca="1"/>
        <v>0.18328479522049043</v>
      </c>
      <c r="O25">
        <f ca="1"/>
        <v>0</v>
      </c>
      <c r="P25">
        <f ca="1"/>
        <v>0</v>
      </c>
      <c r="Q25">
        <f ca="1"/>
        <v>0</v>
      </c>
      <c r="R25">
        <f ca="1"/>
        <v>0</v>
      </c>
      <c r="S25">
        <f ca="1"/>
        <v>0.78974849463895636</v>
      </c>
      <c r="T25">
        <f ca="1"/>
        <v>0</v>
      </c>
      <c r="U25">
        <f ca="1"/>
        <v>0</v>
      </c>
      <c r="V25">
        <f ca="1"/>
        <v>0</v>
      </c>
      <c r="X25" s="2">
        <f t="shared" ca="1" si="1"/>
        <v>45025</v>
      </c>
      <c r="Y25">
        <f t="shared" ca="1" si="2"/>
        <v>0</v>
      </c>
      <c r="AA25" s="63">
        <f t="shared" ca="1" si="4"/>
        <v>54.920380654555757</v>
      </c>
      <c r="AB25" s="63">
        <f t="shared" ca="1" si="5"/>
        <v>54.920380654555757</v>
      </c>
      <c r="AC25" s="3">
        <f t="shared" ca="1" si="6"/>
        <v>0</v>
      </c>
    </row>
    <row r="26" spans="1:29">
      <c r="A26" s="6" t="s">
        <v>118</v>
      </c>
      <c r="B26" s="32" t="str">
        <f>PriorHarvestStage</f>
        <v>EarlyReproductive</v>
      </c>
      <c r="H26" t="b">
        <f t="shared" ca="1" si="3"/>
        <v>1</v>
      </c>
      <c r="I26" t="b">
        <f t="shared" ca="1" si="0"/>
        <v>1</v>
      </c>
      <c r="J26" s="2">
        <f ca="1"/>
        <v>45026</v>
      </c>
      <c r="K26">
        <f ca="1"/>
        <v>103.53163707703992</v>
      </c>
      <c r="L26">
        <f ca="1"/>
        <v>0</v>
      </c>
      <c r="M26">
        <f ca="1"/>
        <v>0.21298672184518619</v>
      </c>
      <c r="N26" s="4">
        <f ca="1"/>
        <v>0.16762324051055991</v>
      </c>
      <c r="O26">
        <f ca="1"/>
        <v>48.230646460128419</v>
      </c>
      <c r="P26">
        <f ca="1"/>
        <v>4.2629768872283949</v>
      </c>
      <c r="Q26">
        <f ca="1"/>
        <v>2.3643027365877423</v>
      </c>
      <c r="R26">
        <f ca="1"/>
        <v>0</v>
      </c>
      <c r="S26">
        <f ca="1"/>
        <v>0.79188416257069194</v>
      </c>
      <c r="T26">
        <f ca="1"/>
        <v>0</v>
      </c>
      <c r="U26">
        <f ca="1"/>
        <v>0</v>
      </c>
      <c r="V26">
        <f ca="1"/>
        <v>6.9485089174574641E-3</v>
      </c>
      <c r="X26" s="2">
        <f t="shared" ca="1" si="1"/>
        <v>45026</v>
      </c>
      <c r="Y26">
        <f t="shared" ca="1" si="2"/>
        <v>48.230646460128419</v>
      </c>
      <c r="AA26" s="63">
        <f t="shared" ca="1" si="4"/>
        <v>103.53163707703992</v>
      </c>
      <c r="AB26" s="63">
        <f t="shared" ca="1" si="5"/>
        <v>103.53163707703992</v>
      </c>
      <c r="AC26" s="3">
        <f t="shared" ca="1" si="6"/>
        <v>0</v>
      </c>
    </row>
    <row r="27" spans="1:29">
      <c r="A27" s="6" t="s">
        <v>162</v>
      </c>
      <c r="B27" s="32" t="str">
        <f>PriorResidueRemoval</f>
        <v>None removed</v>
      </c>
      <c r="H27" t="b">
        <f t="shared" ca="1" si="3"/>
        <v>1</v>
      </c>
      <c r="I27" t="b">
        <f t="shared" ca="1" si="0"/>
        <v>1</v>
      </c>
      <c r="J27" s="2">
        <f ca="1"/>
        <v>45027</v>
      </c>
      <c r="K27">
        <f ca="1"/>
        <v>103.85671326348739</v>
      </c>
      <c r="L27">
        <f ca="1"/>
        <v>6.5773764162856629E-2</v>
      </c>
      <c r="M27">
        <f ca="1"/>
        <v>0.22089328237166406</v>
      </c>
      <c r="N27" s="4">
        <f ca="1"/>
        <v>0.16995666823866626</v>
      </c>
      <c r="O27">
        <f ca="1"/>
        <v>0</v>
      </c>
      <c r="P27">
        <f ca="1"/>
        <v>4.3287506513912515</v>
      </c>
      <c r="Q27">
        <f ca="1"/>
        <v>2.4007817264391331</v>
      </c>
      <c r="R27">
        <f ca="1"/>
        <v>0</v>
      </c>
      <c r="S27">
        <f ca="1"/>
        <v>0.78532295664626206</v>
      </c>
      <c r="T27">
        <f ca="1"/>
        <v>0</v>
      </c>
      <c r="U27">
        <f ca="1"/>
        <v>0</v>
      </c>
      <c r="V27">
        <f ca="1"/>
        <v>7.2195750109689477E-3</v>
      </c>
      <c r="X27" s="2">
        <f t="shared" ca="1" si="1"/>
        <v>45027</v>
      </c>
      <c r="Y27">
        <f t="shared" ca="1" si="2"/>
        <v>0</v>
      </c>
      <c r="AA27" s="63">
        <f t="shared" ca="1" si="4"/>
        <v>103.92248702765025</v>
      </c>
      <c r="AB27" s="63">
        <f t="shared" ca="1" si="5"/>
        <v>103.92248702765025</v>
      </c>
      <c r="AC27" s="3">
        <f t="shared" ca="1" si="6"/>
        <v>0</v>
      </c>
    </row>
    <row r="28" spans="1:29" ht="15.75" thickBot="1">
      <c r="A28" s="6" t="s">
        <v>165</v>
      </c>
      <c r="B28" s="95" t="str">
        <f>PriorResidueIncorporation</f>
        <v>Full (Plough)</v>
      </c>
      <c r="H28" t="b">
        <f t="shared" ca="1" si="3"/>
        <v>1</v>
      </c>
      <c r="I28" t="b">
        <f t="shared" ca="1" si="0"/>
        <v>1</v>
      </c>
      <c r="J28" s="2">
        <f ca="1"/>
        <v>45028</v>
      </c>
      <c r="K28">
        <f ca="1"/>
        <v>104.18102727792125</v>
      </c>
      <c r="L28">
        <f ca="1"/>
        <v>6.5911386399710281E-2</v>
      </c>
      <c r="M28">
        <f ca="1"/>
        <v>0.22220216430041351</v>
      </c>
      <c r="N28" s="4">
        <f ca="1"/>
        <v>0.16802323653314594</v>
      </c>
      <c r="O28">
        <f ca="1"/>
        <v>0</v>
      </c>
      <c r="P28">
        <f ca="1"/>
        <v>4.3946620377909618</v>
      </c>
      <c r="Q28">
        <f ca="1"/>
        <v>2.4373370433830268</v>
      </c>
      <c r="R28">
        <f ca="1"/>
        <v>0</v>
      </c>
      <c r="S28">
        <f ca="1"/>
        <v>0.78726257713156178</v>
      </c>
      <c r="T28">
        <f ca="1"/>
        <v>0</v>
      </c>
      <c r="U28">
        <f ca="1"/>
        <v>0</v>
      </c>
      <c r="V28">
        <f ca="1"/>
        <v>7.4974261812012421E-3</v>
      </c>
      <c r="X28" s="2">
        <f t="shared" ca="1" si="1"/>
        <v>45028</v>
      </c>
      <c r="Y28">
        <f t="shared" ca="1" si="2"/>
        <v>0</v>
      </c>
      <c r="AA28" s="63">
        <f t="shared" ca="1" si="4"/>
        <v>104.24693866432095</v>
      </c>
      <c r="AB28" s="63">
        <f t="shared" ca="1" si="5"/>
        <v>104.24693866432095</v>
      </c>
      <c r="AC28" s="3">
        <f t="shared" ca="1" si="6"/>
        <v>0</v>
      </c>
    </row>
    <row r="29" spans="1:29" ht="15.75" thickBot="1">
      <c r="A29" s="8" t="s">
        <v>140</v>
      </c>
      <c r="B29" s="11" t="str">
        <f>CurrentCropNameFull</f>
        <v>Wheat Grain Feed</v>
      </c>
      <c r="H29" t="b">
        <f t="shared" ca="1" si="3"/>
        <v>1</v>
      </c>
      <c r="I29" t="b">
        <f t="shared" ca="1" si="0"/>
        <v>1</v>
      </c>
      <c r="J29" s="2">
        <f ca="1"/>
        <v>45029</v>
      </c>
      <c r="K29">
        <f ca="1"/>
        <v>104.51763369402759</v>
      </c>
      <c r="L29">
        <f ca="1"/>
        <v>6.9557914385012687E-2</v>
      </c>
      <c r="M29">
        <f ca="1"/>
        <v>0.23229605251147367</v>
      </c>
      <c r="N29" s="4">
        <f ca="1"/>
        <v>0.17386827797988555</v>
      </c>
      <c r="O29">
        <f ca="1"/>
        <v>0</v>
      </c>
      <c r="P29">
        <f ca="1"/>
        <v>4.4642199521759744</v>
      </c>
      <c r="Q29">
        <f ca="1"/>
        <v>2.4759147724400439</v>
      </c>
      <c r="R29">
        <f ca="1"/>
        <v>0</v>
      </c>
      <c r="S29">
        <f ca="1"/>
        <v>0.78151431665068383</v>
      </c>
      <c r="T29">
        <f ca="1"/>
        <v>0</v>
      </c>
      <c r="U29">
        <f ca="1"/>
        <v>0</v>
      </c>
      <c r="V29">
        <f ca="1"/>
        <v>7.7974458581029672E-3</v>
      </c>
      <c r="X29" s="2">
        <f t="shared" ca="1" si="1"/>
        <v>45029</v>
      </c>
      <c r="Y29">
        <f t="shared" ca="1" si="2"/>
        <v>0</v>
      </c>
      <c r="AA29" s="63">
        <f t="shared" ca="1" si="4"/>
        <v>104.58719160841261</v>
      </c>
      <c r="AB29" s="63">
        <f t="shared" ca="1" si="5"/>
        <v>104.58719160841261</v>
      </c>
      <c r="AC29" s="3">
        <f t="shared" ca="1" si="6"/>
        <v>0</v>
      </c>
    </row>
    <row r="30" spans="1:29">
      <c r="A30" s="9" t="s">
        <v>236</v>
      </c>
      <c r="B30" s="11">
        <f>CurrentYield</f>
        <v>10</v>
      </c>
      <c r="H30" t="b">
        <f t="shared" ca="1" si="3"/>
        <v>1</v>
      </c>
      <c r="I30" t="b">
        <f t="shared" ca="1" si="0"/>
        <v>1</v>
      </c>
      <c r="J30" s="2">
        <f ca="1"/>
        <v>45030</v>
      </c>
      <c r="K30">
        <f ca="1"/>
        <v>104.84382424504849</v>
      </c>
      <c r="L30">
        <f ca="1"/>
        <v>6.8258102240298157E-2</v>
      </c>
      <c r="M30">
        <f ca="1"/>
        <v>0.22829632197280469</v>
      </c>
      <c r="N30" s="4">
        <f ca="1"/>
        <v>0.16615233128838536</v>
      </c>
      <c r="O30">
        <f ca="1"/>
        <v>0</v>
      </c>
      <c r="P30">
        <f ca="1"/>
        <v>4.5324780544162726</v>
      </c>
      <c r="Q30">
        <f ca="1"/>
        <v>2.5137716086815241</v>
      </c>
      <c r="R30">
        <f ca="1"/>
        <v>0</v>
      </c>
      <c r="S30">
        <f ca="1"/>
        <v>0.77514147942105283</v>
      </c>
      <c r="T30">
        <f ca="1"/>
        <v>0</v>
      </c>
      <c r="U30">
        <f ca="1"/>
        <v>0</v>
      </c>
      <c r="V30">
        <f ca="1"/>
        <v>8.0986898852122152E-3</v>
      </c>
      <c r="X30" s="2">
        <f t="shared" ca="1" si="1"/>
        <v>45030</v>
      </c>
      <c r="Y30">
        <f t="shared" ca="1" si="2"/>
        <v>0</v>
      </c>
      <c r="AA30" s="63">
        <f t="shared" ca="1" si="4"/>
        <v>104.91208234728879</v>
      </c>
      <c r="AB30" s="63">
        <f t="shared" ca="1" si="5"/>
        <v>104.91208234728879</v>
      </c>
      <c r="AC30" s="3">
        <f t="shared" ca="1" si="6"/>
        <v>0</v>
      </c>
    </row>
    <row r="31" spans="1:29">
      <c r="A31" s="9" t="s">
        <v>230</v>
      </c>
      <c r="B31" s="13" t="str">
        <f>CurrentPopulation</f>
        <v>1</v>
      </c>
      <c r="H31" t="b">
        <f t="shared" ca="1" si="3"/>
        <v>1</v>
      </c>
      <c r="I31" t="b">
        <f t="shared" ca="1" si="0"/>
        <v>1</v>
      </c>
      <c r="J31" s="2">
        <f ca="1"/>
        <v>45031</v>
      </c>
      <c r="K31">
        <f ca="1"/>
        <v>105.19073348385612</v>
      </c>
      <c r="L31">
        <f ca="1"/>
        <v>7.5125944575350267E-2</v>
      </c>
      <c r="M31">
        <f ca="1"/>
        <v>0.24592749360045918</v>
      </c>
      <c r="N31" s="4">
        <f ca="1"/>
        <v>0.17610768978251237</v>
      </c>
      <c r="O31">
        <f ca="1"/>
        <v>0</v>
      </c>
      <c r="P31">
        <f ca="1"/>
        <v>4.6076039989916229</v>
      </c>
      <c r="Q31">
        <f ca="1"/>
        <v>2.555437440105659</v>
      </c>
      <c r="R31">
        <f ca="1"/>
        <v>0</v>
      </c>
      <c r="S31">
        <f ca="1"/>
        <v>0.75240013180441689</v>
      </c>
      <c r="T31">
        <f ca="1"/>
        <v>0</v>
      </c>
      <c r="U31">
        <f ca="1"/>
        <v>0</v>
      </c>
      <c r="V31">
        <f ca="1"/>
        <v>8.4381194226515032E-3</v>
      </c>
      <c r="X31" s="2">
        <f t="shared" ca="1" si="1"/>
        <v>45031</v>
      </c>
      <c r="Y31">
        <f t="shared" ca="1" si="2"/>
        <v>0</v>
      </c>
      <c r="AA31" s="63">
        <f t="shared" ca="1" si="4"/>
        <v>105.26585942843147</v>
      </c>
      <c r="AB31" s="63">
        <f t="shared" ca="1" si="5"/>
        <v>105.26585942843147</v>
      </c>
      <c r="AC31" s="3">
        <f t="shared" ca="1" si="6"/>
        <v>0</v>
      </c>
    </row>
    <row r="32" spans="1:29">
      <c r="A32" s="9" t="s">
        <v>231</v>
      </c>
      <c r="B32" s="13" t="str">
        <f>CurrentUnits</f>
        <v>t/ha</v>
      </c>
      <c r="H32" t="b">
        <f t="shared" ca="1" si="3"/>
        <v>1</v>
      </c>
      <c r="I32" t="b">
        <f t="shared" ca="1" si="0"/>
        <v>1</v>
      </c>
      <c r="J32" s="2">
        <f ca="1"/>
        <v>45032</v>
      </c>
      <c r="K32">
        <f ca="1"/>
        <v>105.52614035887697</v>
      </c>
      <c r="L32">
        <f ca="1"/>
        <v>7.4014481125569631E-2</v>
      </c>
      <c r="M32">
        <f ca="1"/>
        <v>0.24085526052005868</v>
      </c>
      <c r="N32" s="4">
        <f ca="1"/>
        <v>0.16856609562636615</v>
      </c>
      <c r="O32">
        <f ca="1"/>
        <v>0</v>
      </c>
      <c r="P32">
        <f ca="1"/>
        <v>4.6816184801171925</v>
      </c>
      <c r="Q32">
        <f ca="1"/>
        <v>2.5964868393638563</v>
      </c>
      <c r="R32">
        <f ca="1"/>
        <v>0</v>
      </c>
      <c r="S32">
        <f ca="1"/>
        <v>0.74537155498702035</v>
      </c>
      <c r="T32">
        <f ca="1"/>
        <v>0</v>
      </c>
      <c r="U32">
        <f ca="1"/>
        <v>0</v>
      </c>
      <c r="V32">
        <f ca="1"/>
        <v>8.7806531504299127E-3</v>
      </c>
      <c r="X32" s="2">
        <f t="shared" ca="1" si="1"/>
        <v>45032</v>
      </c>
      <c r="Y32">
        <f t="shared" ca="1" si="2"/>
        <v>0</v>
      </c>
      <c r="AA32" s="63">
        <f t="shared" ca="1" si="4"/>
        <v>105.60015484000255</v>
      </c>
      <c r="AB32" s="63">
        <f t="shared" ca="1" si="5"/>
        <v>105.60015484000255</v>
      </c>
      <c r="AC32" s="3">
        <f t="shared" ca="1" si="6"/>
        <v>0</v>
      </c>
    </row>
    <row r="33" spans="1:29">
      <c r="A33" s="9" t="s">
        <v>119</v>
      </c>
      <c r="B33" s="10">
        <f>CurrentFieldLoss</f>
        <v>0</v>
      </c>
      <c r="H33" t="b">
        <f t="shared" ca="1" si="3"/>
        <v>1</v>
      </c>
      <c r="I33" t="b">
        <f t="shared" ca="1" si="0"/>
        <v>1</v>
      </c>
      <c r="J33" s="2">
        <f ca="1"/>
        <v>45033</v>
      </c>
      <c r="K33">
        <f ca="1"/>
        <v>105.86758310385051</v>
      </c>
      <c r="L33">
        <f ca="1"/>
        <v>7.6637583102583839E-2</v>
      </c>
      <c r="M33">
        <f ca="1"/>
        <v>0.24550337288060708</v>
      </c>
      <c r="N33" s="4">
        <f ca="1"/>
        <v>0.17257695519551258</v>
      </c>
      <c r="O33">
        <f ca="1"/>
        <v>0</v>
      </c>
      <c r="P33">
        <f ca="1"/>
        <v>4.7582560632197763</v>
      </c>
      <c r="Q33">
        <f ca="1"/>
        <v>2.6389910452857221</v>
      </c>
      <c r="R33">
        <f ca="1"/>
        <v>0</v>
      </c>
      <c r="S33">
        <f ca="1"/>
        <v>0.74732495086988848</v>
      </c>
      <c r="T33">
        <f ca="1"/>
        <v>0</v>
      </c>
      <c r="U33">
        <f ca="1"/>
        <v>0</v>
      </c>
      <c r="V33">
        <f ca="1"/>
        <v>9.1438846483038877E-3</v>
      </c>
      <c r="X33" s="2">
        <f t="shared" ca="1" si="1"/>
        <v>45033</v>
      </c>
      <c r="Y33">
        <f t="shared" ca="1" si="2"/>
        <v>0</v>
      </c>
      <c r="AA33" s="63">
        <f t="shared" ca="1" si="4"/>
        <v>105.94422068695309</v>
      </c>
      <c r="AB33" s="63">
        <f t="shared" ca="1" si="5"/>
        <v>105.94422068695309</v>
      </c>
      <c r="AC33" s="3">
        <f t="shared" ca="1" si="6"/>
        <v>0</v>
      </c>
    </row>
    <row r="34" spans="1:29">
      <c r="A34" s="9" t="s">
        <v>120</v>
      </c>
      <c r="B34" s="10">
        <f>CurrentDressingLoss</f>
        <v>0</v>
      </c>
      <c r="H34" t="b">
        <f t="shared" ca="1" si="3"/>
        <v>1</v>
      </c>
      <c r="I34" t="b">
        <f t="shared" ca="1" si="0"/>
        <v>1</v>
      </c>
      <c r="J34" s="2">
        <f ca="1"/>
        <v>45034</v>
      </c>
      <c r="K34">
        <f ca="1"/>
        <v>106.18932494491078</v>
      </c>
      <c r="L34">
        <f ca="1"/>
        <v>7.3356215471153341E-2</v>
      </c>
      <c r="M34">
        <f ca="1"/>
        <v>0.23397243184139382</v>
      </c>
      <c r="N34" s="4">
        <f ca="1"/>
        <v>0.16112562469002323</v>
      </c>
      <c r="O34">
        <f ca="1"/>
        <v>0</v>
      </c>
      <c r="P34">
        <f ca="1"/>
        <v>4.8316122786909297</v>
      </c>
      <c r="Q34">
        <f ca="1"/>
        <v>2.6796753618026075</v>
      </c>
      <c r="R34">
        <f ca="1"/>
        <v>0</v>
      </c>
      <c r="S34">
        <f ca="1"/>
        <v>0.74468730867302879</v>
      </c>
      <c r="T34">
        <f ca="1"/>
        <v>0</v>
      </c>
      <c r="U34">
        <f ca="1"/>
        <v>0</v>
      </c>
      <c r="V34">
        <f ca="1"/>
        <v>9.4997745701493105E-3</v>
      </c>
      <c r="X34" s="2">
        <f t="shared" ca="1" si="1"/>
        <v>45034</v>
      </c>
      <c r="Y34">
        <f t="shared" ca="1" si="2"/>
        <v>0</v>
      </c>
      <c r="AA34" s="63">
        <f t="shared" ca="1" si="4"/>
        <v>106.26268116038193</v>
      </c>
      <c r="AB34" s="63">
        <f t="shared" ca="1" si="5"/>
        <v>106.26268116038193</v>
      </c>
      <c r="AC34" s="3">
        <f t="shared" ca="1" si="6"/>
        <v>0</v>
      </c>
    </row>
    <row r="35" spans="1:29">
      <c r="A35" s="9" t="s">
        <v>121</v>
      </c>
      <c r="B35" s="10">
        <f>CurrentMoistureContent</f>
        <v>13</v>
      </c>
      <c r="H35" t="b">
        <f t="shared" ca="1" si="3"/>
        <v>1</v>
      </c>
      <c r="I35" t="b">
        <f t="shared" ca="1" si="0"/>
        <v>1</v>
      </c>
      <c r="J35" s="2">
        <f ca="1"/>
        <v>45035</v>
      </c>
      <c r="K35">
        <f ca="1"/>
        <v>106.51063249182435</v>
      </c>
      <c r="L35">
        <f ca="1"/>
        <v>7.5189893276313313E-2</v>
      </c>
      <c r="M35">
        <f ca="1"/>
        <v>0.2355973217891334</v>
      </c>
      <c r="N35" s="4">
        <f ca="1"/>
        <v>0.16090011840075916</v>
      </c>
      <c r="O35">
        <f ca="1"/>
        <v>0</v>
      </c>
      <c r="P35">
        <f ca="1"/>
        <v>4.906802171967243</v>
      </c>
      <c r="Q35">
        <f ca="1"/>
        <v>2.7213766600126732</v>
      </c>
      <c r="R35">
        <f ca="1"/>
        <v>0</v>
      </c>
      <c r="S35">
        <f ca="1"/>
        <v>0.73589102002978268</v>
      </c>
      <c r="T35">
        <f ca="1"/>
        <v>0</v>
      </c>
      <c r="U35">
        <f ca="1"/>
        <v>0</v>
      </c>
      <c r="V35">
        <f ca="1"/>
        <v>9.8729502900134734E-3</v>
      </c>
      <c r="X35" s="2">
        <f t="shared" ca="1" si="1"/>
        <v>45035</v>
      </c>
      <c r="Y35">
        <f t="shared" ca="1" si="2"/>
        <v>0</v>
      </c>
      <c r="AA35" s="63">
        <f t="shared" ca="1" si="4"/>
        <v>106.58582238510067</v>
      </c>
      <c r="AB35" s="63">
        <f t="shared" ca="1" si="5"/>
        <v>106.58582238510067</v>
      </c>
      <c r="AC35" s="3">
        <f t="shared" ca="1" si="6"/>
        <v>0</v>
      </c>
    </row>
    <row r="36" spans="1:29">
      <c r="A36" s="9" t="s">
        <v>122</v>
      </c>
      <c r="B36" s="36">
        <f ca="1">CurrentEstablishDate</f>
        <v>45026</v>
      </c>
      <c r="H36" t="b">
        <f t="shared" ca="1" si="3"/>
        <v>1</v>
      </c>
      <c r="I36" t="b">
        <f t="shared" ca="1" si="0"/>
        <v>1</v>
      </c>
      <c r="J36" s="2">
        <f ca="1"/>
        <v>45036</v>
      </c>
      <c r="K36">
        <f ca="1"/>
        <v>106.83938979146865</v>
      </c>
      <c r="L36">
        <f ca="1"/>
        <v>7.8847929730699207E-2</v>
      </c>
      <c r="M36">
        <f ca="1"/>
        <v>0.24131178946771481</v>
      </c>
      <c r="N36" s="4">
        <f ca="1"/>
        <v>0.16629343990728182</v>
      </c>
      <c r="O36">
        <f ca="1"/>
        <v>0</v>
      </c>
      <c r="P36">
        <f ca="1"/>
        <v>4.9856501016979422</v>
      </c>
      <c r="Q36">
        <f ca="1"/>
        <v>2.7651067530833329</v>
      </c>
      <c r="R36">
        <f ca="1"/>
        <v>0</v>
      </c>
      <c r="S36">
        <f ca="1"/>
        <v>0.73439012068504683</v>
      </c>
      <c r="T36">
        <f ca="1"/>
        <v>0</v>
      </c>
      <c r="U36">
        <f ca="1"/>
        <v>0</v>
      </c>
      <c r="V36">
        <f ca="1"/>
        <v>1.0273463364774785E-2</v>
      </c>
      <c r="X36" s="2">
        <f t="shared" ca="1" si="1"/>
        <v>45036</v>
      </c>
      <c r="Y36">
        <f t="shared" ca="1" si="2"/>
        <v>0</v>
      </c>
      <c r="AA36" s="63">
        <f t="shared" ca="1" si="4"/>
        <v>106.91823772119935</v>
      </c>
      <c r="AB36" s="63">
        <f t="shared" ca="1" si="5"/>
        <v>106.91823772119935</v>
      </c>
      <c r="AC36" s="3">
        <f t="shared" ca="1" si="6"/>
        <v>0</v>
      </c>
    </row>
    <row r="37" spans="1:29">
      <c r="A37" s="9" t="s">
        <v>123</v>
      </c>
      <c r="B37" s="10" t="str">
        <f>CurrentEstablishStage</f>
        <v>Seed</v>
      </c>
      <c r="H37" t="b">
        <f t="shared" ca="1" si="3"/>
        <v>1</v>
      </c>
      <c r="I37" t="b">
        <f t="shared" ca="1" si="0"/>
        <v>1</v>
      </c>
      <c r="J37" s="2">
        <f ca="1"/>
        <v>45037</v>
      </c>
      <c r="K37">
        <f ca="1"/>
        <v>107.14485760516152</v>
      </c>
      <c r="L37">
        <f ca="1"/>
        <v>7.4097784231941688E-2</v>
      </c>
      <c r="M37">
        <f ca="1"/>
        <v>0.2258535869963243</v>
      </c>
      <c r="N37" s="4">
        <f ca="1"/>
        <v>0.15371201092849376</v>
      </c>
      <c r="O37">
        <f ca="1"/>
        <v>0</v>
      </c>
      <c r="P37">
        <f ca="1"/>
        <v>5.0597478859298839</v>
      </c>
      <c r="Q37">
        <f ca="1"/>
        <v>2.8062023533338349</v>
      </c>
      <c r="R37">
        <f ca="1"/>
        <v>0</v>
      </c>
      <c r="S37">
        <f ca="1"/>
        <v>0.738071632319514</v>
      </c>
      <c r="T37">
        <f ca="1"/>
        <v>0</v>
      </c>
      <c r="U37">
        <f ca="1"/>
        <v>0</v>
      </c>
      <c r="V37">
        <f ca="1"/>
        <v>1.0658469729156886E-2</v>
      </c>
      <c r="X37" s="2">
        <f t="shared" ca="1" si="1"/>
        <v>45037</v>
      </c>
      <c r="Y37">
        <f t="shared" ca="1" si="2"/>
        <v>0</v>
      </c>
      <c r="AA37" s="63">
        <f t="shared" ca="1" si="4"/>
        <v>107.21895538939346</v>
      </c>
      <c r="AB37" s="63">
        <f t="shared" ca="1" si="5"/>
        <v>107.21895538939346</v>
      </c>
      <c r="AC37" s="3">
        <f t="shared" ca="1" si="6"/>
        <v>0</v>
      </c>
    </row>
    <row r="38" spans="1:29">
      <c r="A38" s="9" t="s">
        <v>124</v>
      </c>
      <c r="B38" s="36">
        <f>CurrentHarvestDate</f>
        <v>45355</v>
      </c>
      <c r="H38" t="b">
        <f t="shared" ca="1" si="3"/>
        <v>1</v>
      </c>
      <c r="I38" t="b">
        <f t="shared" ca="1" si="0"/>
        <v>1</v>
      </c>
      <c r="J38" s="2">
        <f ca="1"/>
        <v>45038</v>
      </c>
      <c r="K38">
        <f ca="1"/>
        <v>107.44195927239015</v>
      </c>
      <c r="L38">
        <f ca="1"/>
        <v>7.3904071074769817E-2</v>
      </c>
      <c r="M38">
        <f ca="1"/>
        <v>0.22179162132094987</v>
      </c>
      <c r="N38" s="4">
        <f ca="1"/>
        <v>0.14921411698244583</v>
      </c>
      <c r="O38">
        <f ca="1"/>
        <v>0</v>
      </c>
      <c r="P38">
        <f ca="1"/>
        <v>5.1336519570046537</v>
      </c>
      <c r="Q38">
        <f ca="1"/>
        <v>2.8471905177338197</v>
      </c>
      <c r="R38">
        <f ca="1"/>
        <v>0</v>
      </c>
      <c r="S38">
        <f ca="1"/>
        <v>0.72919257391753933</v>
      </c>
      <c r="T38">
        <f ca="1"/>
        <v>0</v>
      </c>
      <c r="U38">
        <f ca="1"/>
        <v>0</v>
      </c>
      <c r="V38">
        <f ca="1"/>
        <v>1.1050841980507474E-2</v>
      </c>
      <c r="X38" s="2">
        <f t="shared" ca="1" si="1"/>
        <v>45038</v>
      </c>
      <c r="Y38">
        <f t="shared" ca="1" si="2"/>
        <v>0</v>
      </c>
      <c r="AA38" s="63">
        <f t="shared" ca="1" si="4"/>
        <v>107.51586334346491</v>
      </c>
      <c r="AB38" s="63">
        <f t="shared" ca="1" si="5"/>
        <v>107.51586334346491</v>
      </c>
      <c r="AC38" s="3">
        <f t="shared" ca="1" si="6"/>
        <v>0</v>
      </c>
    </row>
    <row r="39" spans="1:29">
      <c r="A39" s="9" t="s">
        <v>125</v>
      </c>
      <c r="B39" s="10" t="str">
        <f>CurrentHarvestStage</f>
        <v>Vegetative</v>
      </c>
      <c r="H39" t="b">
        <f t="shared" ca="1" si="3"/>
        <v>1</v>
      </c>
      <c r="I39" t="b">
        <f t="shared" ca="1" si="0"/>
        <v>1</v>
      </c>
      <c r="J39" s="2">
        <f ca="1"/>
        <v>45039</v>
      </c>
      <c r="K39">
        <f ca="1"/>
        <v>107.74793159478989</v>
      </c>
      <c r="L39">
        <f ca="1"/>
        <v>7.9026400849758538E-2</v>
      </c>
      <c r="M39">
        <f ca="1"/>
        <v>0.22960817547077284</v>
      </c>
      <c r="N39" s="4">
        <f ca="1"/>
        <v>0.15539054777872804</v>
      </c>
      <c r="O39">
        <f ca="1"/>
        <v>0</v>
      </c>
      <c r="P39">
        <f ca="1"/>
        <v>5.2126783578544122</v>
      </c>
      <c r="Q39">
        <f ca="1"/>
        <v>2.8910195932213112</v>
      </c>
      <c r="R39">
        <f ca="1"/>
        <v>0</v>
      </c>
      <c r="S39">
        <f ca="1"/>
        <v>0.71795843069028897</v>
      </c>
      <c r="T39">
        <f ca="1"/>
        <v>0</v>
      </c>
      <c r="U39">
        <f ca="1"/>
        <v>0</v>
      </c>
      <c r="V39">
        <f ca="1"/>
        <v>1.147971577668753E-2</v>
      </c>
      <c r="X39" s="2">
        <f t="shared" ca="1" si="1"/>
        <v>45039</v>
      </c>
      <c r="Y39">
        <f t="shared" ca="1" si="2"/>
        <v>0</v>
      </c>
      <c r="AA39" s="63">
        <f t="shared" ca="1" si="4"/>
        <v>107.82695799563965</v>
      </c>
      <c r="AB39" s="63">
        <f t="shared" ca="1" si="5"/>
        <v>107.82695799563965</v>
      </c>
      <c r="AC39" s="3">
        <f t="shared" ca="1" si="6"/>
        <v>0</v>
      </c>
    </row>
    <row r="40" spans="1:29">
      <c r="A40" s="9" t="s">
        <v>163</v>
      </c>
      <c r="B40" s="10" t="str">
        <f>CurrentResidueRemoval</f>
        <v>None removed</v>
      </c>
      <c r="H40" t="b">
        <f t="shared" ca="1" si="3"/>
        <v>1</v>
      </c>
      <c r="I40" t="b">
        <f t="shared" ca="1" si="0"/>
        <v>1</v>
      </c>
      <c r="J40" s="2">
        <f ca="1"/>
        <v>45040</v>
      </c>
      <c r="K40">
        <f ca="1"/>
        <v>108.03885022084143</v>
      </c>
      <c r="L40">
        <f ca="1"/>
        <v>7.6118834731956575E-2</v>
      </c>
      <c r="M40">
        <f ca="1"/>
        <v>0.21878649624097779</v>
      </c>
      <c r="N40" s="4">
        <f ca="1"/>
        <v>0.14825096454251638</v>
      </c>
      <c r="O40">
        <f ca="1"/>
        <v>0</v>
      </c>
      <c r="P40">
        <f ca="1"/>
        <v>5.2887971925863688</v>
      </c>
      <c r="Q40">
        <f ca="1"/>
        <v>2.9332360945121834</v>
      </c>
      <c r="R40">
        <f ca="1"/>
        <v>0</v>
      </c>
      <c r="S40">
        <f ca="1"/>
        <v>0.72429475236090346</v>
      </c>
      <c r="T40">
        <f ca="1"/>
        <v>0</v>
      </c>
      <c r="U40">
        <f ca="1"/>
        <v>0</v>
      </c>
      <c r="V40">
        <f ca="1"/>
        <v>1.1901957008634268E-2</v>
      </c>
      <c r="X40" s="2">
        <f t="shared" ca="1" si="1"/>
        <v>45040</v>
      </c>
      <c r="Y40">
        <f t="shared" ca="1" si="2"/>
        <v>0</v>
      </c>
      <c r="AA40" s="63">
        <f t="shared" ca="1" si="4"/>
        <v>108.11496905557338</v>
      </c>
      <c r="AB40" s="63">
        <f t="shared" ca="1" si="5"/>
        <v>108.11496905557338</v>
      </c>
      <c r="AC40" s="3">
        <f t="shared" ca="1" si="6"/>
        <v>0</v>
      </c>
    </row>
    <row r="41" spans="1:29" ht="15.75" thickBot="1">
      <c r="A41" s="9" t="s">
        <v>166</v>
      </c>
      <c r="B41" s="10" t="str">
        <f>CurrentResidueIncorporation</f>
        <v>Full (Plough)</v>
      </c>
      <c r="H41" t="b">
        <f t="shared" ca="1" si="3"/>
        <v>1</v>
      </c>
      <c r="I41" t="b">
        <f t="shared" ca="1" si="0"/>
        <v>1</v>
      </c>
      <c r="J41" s="2">
        <f ca="1"/>
        <v>45041</v>
      </c>
      <c r="K41">
        <f ca="1"/>
        <v>108.34023257770113</v>
      </c>
      <c r="L41">
        <f ca="1"/>
        <v>8.1111030460610856E-2</v>
      </c>
      <c r="M41">
        <f ca="1"/>
        <v>0.22538037263905242</v>
      </c>
      <c r="N41">
        <f ca="1"/>
        <v>0.15711301468125746</v>
      </c>
      <c r="O41">
        <f ca="1"/>
        <v>0</v>
      </c>
      <c r="P41">
        <f ca="1"/>
        <v>5.3699082230469797</v>
      </c>
      <c r="Q41">
        <f ca="1"/>
        <v>2.978221332846458</v>
      </c>
      <c r="R41">
        <f ca="1"/>
        <v>0</v>
      </c>
      <c r="S41">
        <f ca="1"/>
        <v>0.72910516411889281</v>
      </c>
      <c r="T41">
        <f ca="1"/>
        <v>0</v>
      </c>
      <c r="U41">
        <f ca="1"/>
        <v>0</v>
      </c>
      <c r="V41">
        <f ca="1"/>
        <v>1.2361826190751846E-2</v>
      </c>
      <c r="X41" s="2">
        <f t="shared" ca="1" si="1"/>
        <v>45041</v>
      </c>
      <c r="Y41">
        <f t="shared" ca="1" si="2"/>
        <v>0</v>
      </c>
      <c r="AA41" s="63">
        <f t="shared" ca="1" si="4"/>
        <v>108.42134360816173</v>
      </c>
      <c r="AB41" s="63">
        <f t="shared" ca="1" si="5"/>
        <v>108.42134360816173</v>
      </c>
      <c r="AC41" s="3">
        <f t="shared" ca="1" si="6"/>
        <v>0</v>
      </c>
    </row>
    <row r="42" spans="1:29">
      <c r="A42" s="5" t="s">
        <v>141</v>
      </c>
      <c r="B42" s="31" t="str">
        <f>FollowingCropFullName</f>
        <v>Early harvest Potato Moonlight</v>
      </c>
      <c r="H42" t="b">
        <f t="shared" ca="1" si="3"/>
        <v>1</v>
      </c>
      <c r="I42" t="b">
        <f t="shared" ca="1" si="0"/>
        <v>1</v>
      </c>
      <c r="J42" s="2">
        <f ca="1"/>
        <v>45042</v>
      </c>
      <c r="K42">
        <f ca="1"/>
        <v>108.63872654338644</v>
      </c>
      <c r="L42">
        <f ca="1"/>
        <v>8.3421674858726647E-2</v>
      </c>
      <c r="M42">
        <f ca="1"/>
        <v>0.22554865687507775</v>
      </c>
      <c r="N42">
        <f ca="1"/>
        <v>0.15636698366896412</v>
      </c>
      <c r="O42">
        <f ca="1"/>
        <v>0</v>
      </c>
      <c r="P42">
        <f ca="1"/>
        <v>5.4533298979057063</v>
      </c>
      <c r="Q42">
        <f ca="1"/>
        <v>3.0244880847845512</v>
      </c>
      <c r="R42">
        <f ca="1"/>
        <v>0</v>
      </c>
      <c r="S42">
        <f ca="1"/>
        <v>0.71498073556957842</v>
      </c>
      <c r="T42">
        <f ca="1"/>
        <v>0</v>
      </c>
      <c r="U42">
        <f ca="1"/>
        <v>0</v>
      </c>
      <c r="V42">
        <f ca="1"/>
        <v>1.2845551264416933E-2</v>
      </c>
      <c r="X42" s="2">
        <f t="shared" ca="1" si="1"/>
        <v>45042</v>
      </c>
      <c r="Y42">
        <f t="shared" ca="1" si="2"/>
        <v>0</v>
      </c>
      <c r="AA42" s="63">
        <f t="shared" ca="1" si="4"/>
        <v>108.72214821824517</v>
      </c>
      <c r="AB42" s="63">
        <f t="shared" ca="1" si="5"/>
        <v>108.72214821824517</v>
      </c>
      <c r="AC42" s="3">
        <f t="shared" ca="1" si="6"/>
        <v>0</v>
      </c>
    </row>
    <row r="43" spans="1:29">
      <c r="A43" s="6" t="s">
        <v>237</v>
      </c>
      <c r="B43" s="32">
        <f>FollowingYIeld</f>
        <v>70</v>
      </c>
      <c r="H43" t="b">
        <f t="shared" ca="1" si="3"/>
        <v>1</v>
      </c>
      <c r="I43" t="b">
        <f t="shared" ca="1" si="0"/>
        <v>1</v>
      </c>
      <c r="J43" s="2">
        <f ca="1"/>
        <v>45043</v>
      </c>
      <c r="K43">
        <f ca="1"/>
        <v>108.93812425319942</v>
      </c>
      <c r="L43">
        <f ca="1"/>
        <v>8.5654562636465315E-2</v>
      </c>
      <c r="M43">
        <f ca="1"/>
        <v>0.22516301285673546</v>
      </c>
      <c r="N43">
        <f ca="1"/>
        <v>0.15988925959270542</v>
      </c>
      <c r="O43">
        <f ca="1"/>
        <v>0</v>
      </c>
      <c r="P43">
        <f ca="1"/>
        <v>5.5389844605421716</v>
      </c>
      <c r="Q43">
        <f ca="1"/>
        <v>3.0719932254878324</v>
      </c>
      <c r="R43">
        <f ca="1"/>
        <v>0</v>
      </c>
      <c r="S43">
        <f ca="1"/>
        <v>0.72273342060567314</v>
      </c>
      <c r="T43">
        <f ca="1"/>
        <v>0</v>
      </c>
      <c r="U43">
        <f ca="1"/>
        <v>0</v>
      </c>
      <c r="V43">
        <f ca="1"/>
        <v>1.3353638649477043E-2</v>
      </c>
      <c r="X43" s="2">
        <f t="shared" ca="1" si="1"/>
        <v>45043</v>
      </c>
      <c r="Y43">
        <f t="shared" ca="1" si="2"/>
        <v>0</v>
      </c>
      <c r="AA43" s="63">
        <f t="shared" ca="1" si="4"/>
        <v>109.02377881583588</v>
      </c>
      <c r="AB43" s="63">
        <f t="shared" ca="1" si="5"/>
        <v>109.02377881583588</v>
      </c>
      <c r="AC43" s="3">
        <f t="shared" ca="1" si="6"/>
        <v>0</v>
      </c>
    </row>
    <row r="44" spans="1:29">
      <c r="A44" s="6" t="s">
        <v>232</v>
      </c>
      <c r="B44" s="32">
        <f>FollowingPopulation</f>
        <v>1</v>
      </c>
      <c r="H44" t="b">
        <f t="shared" ca="1" si="3"/>
        <v>1</v>
      </c>
      <c r="I44" t="b">
        <f t="shared" ca="1" si="0"/>
        <v>1</v>
      </c>
      <c r="J44" s="2">
        <f ca="1"/>
        <v>45044</v>
      </c>
      <c r="K44">
        <f ca="1"/>
        <v>109.24281153034848</v>
      </c>
      <c r="L44">
        <f ca="1"/>
        <v>8.9211212323602851E-2</v>
      </c>
      <c r="M44">
        <f ca="1"/>
        <v>0.22719178271749652</v>
      </c>
      <c r="N44">
        <f ca="1"/>
        <v>0.1667067067551635</v>
      </c>
      <c r="O44">
        <f ca="1"/>
        <v>0</v>
      </c>
      <c r="P44">
        <f ca="1"/>
        <v>5.6281956728657745</v>
      </c>
      <c r="Q44">
        <f ca="1"/>
        <v>3.121470930624568</v>
      </c>
      <c r="R44">
        <f ca="1"/>
        <v>0</v>
      </c>
      <c r="S44">
        <f ca="1"/>
        <v>0.73350381363520967</v>
      </c>
      <c r="T44">
        <f ca="1"/>
        <v>0</v>
      </c>
      <c r="U44">
        <f ca="1"/>
        <v>0</v>
      </c>
      <c r="V44">
        <f ca="1"/>
        <v>1.3895191421050212E-2</v>
      </c>
      <c r="X44" s="2">
        <f t="shared" ca="1" si="1"/>
        <v>45044</v>
      </c>
      <c r="Y44">
        <f t="shared" ca="1" si="2"/>
        <v>0</v>
      </c>
      <c r="AA44" s="63">
        <f t="shared" ca="1" si="4"/>
        <v>109.33202274267208</v>
      </c>
      <c r="AB44" s="63">
        <f t="shared" ca="1" si="5"/>
        <v>109.33202274267208</v>
      </c>
      <c r="AC44" s="3">
        <f t="shared" ca="1" si="6"/>
        <v>0</v>
      </c>
    </row>
    <row r="45" spans="1:29">
      <c r="A45" s="6" t="s">
        <v>233</v>
      </c>
      <c r="B45" s="32" t="str">
        <f>FollowingUnits</f>
        <v>t/ha</v>
      </c>
      <c r="H45" t="b">
        <f t="shared" ca="1" si="3"/>
        <v>1</v>
      </c>
      <c r="I45" t="b">
        <f t="shared" ca="1" si="0"/>
        <v>1</v>
      </c>
      <c r="J45" s="2">
        <f ca="1"/>
        <v>45045</v>
      </c>
      <c r="K45">
        <f ca="1"/>
        <v>109.52708075404175</v>
      </c>
      <c r="L45">
        <f ca="1"/>
        <v>8.0852515729655572E-2</v>
      </c>
      <c r="M45">
        <f ca="1"/>
        <v>0.20508282191459681</v>
      </c>
      <c r="N45">
        <f ca="1"/>
        <v>0.16003891750832852</v>
      </c>
      <c r="O45">
        <f ca="1"/>
        <v>0</v>
      </c>
      <c r="P45">
        <f ca="1"/>
        <v>5.7090481885954301</v>
      </c>
      <c r="Q45">
        <f ca="1"/>
        <v>3.1663127933079735</v>
      </c>
      <c r="R45">
        <f ca="1"/>
        <v>0</v>
      </c>
      <c r="S45">
        <f ca="1"/>
        <v>0.79481919766197795</v>
      </c>
      <c r="T45">
        <f ca="1"/>
        <v>0</v>
      </c>
      <c r="U45">
        <f ca="1"/>
        <v>0</v>
      </c>
      <c r="V45">
        <f ca="1"/>
        <v>1.4396965714265891E-2</v>
      </c>
      <c r="X45" s="2">
        <f t="shared" ca="1" si="1"/>
        <v>45045</v>
      </c>
      <c r="Y45">
        <f t="shared" ca="1" si="2"/>
        <v>0</v>
      </c>
      <c r="AA45" s="63">
        <f t="shared" ca="1" si="4"/>
        <v>109.60793326977141</v>
      </c>
      <c r="AB45" s="63">
        <f t="shared" ca="1" si="5"/>
        <v>109.60793326977141</v>
      </c>
      <c r="AC45" s="3">
        <f t="shared" ca="1" si="6"/>
        <v>0</v>
      </c>
    </row>
    <row r="46" spans="1:29">
      <c r="A46" s="6" t="s">
        <v>126</v>
      </c>
      <c r="B46" s="32">
        <f>FollowingFieldLoss</f>
        <v>0</v>
      </c>
      <c r="H46" t="b">
        <f t="shared" ca="1" si="3"/>
        <v>1</v>
      </c>
      <c r="I46" t="b">
        <f t="shared" ca="1" si="0"/>
        <v>1</v>
      </c>
      <c r="J46" s="2">
        <f ca="1"/>
        <v>45046</v>
      </c>
      <c r="K46">
        <f ca="1"/>
        <v>109.80547493958534</v>
      </c>
      <c r="L46">
        <f ca="1"/>
        <v>7.9868452843097515E-2</v>
      </c>
      <c r="M46">
        <f ca="1"/>
        <v>0.19867621398638935</v>
      </c>
      <c r="N46">
        <f ca="1"/>
        <v>0.15958642440030696</v>
      </c>
      <c r="O46">
        <f ca="1"/>
        <v>0</v>
      </c>
      <c r="P46">
        <f ca="1"/>
        <v>5.7889166414385276</v>
      </c>
      <c r="Q46">
        <f ca="1"/>
        <v>3.210608881844061</v>
      </c>
      <c r="R46">
        <f ca="1"/>
        <v>0</v>
      </c>
      <c r="S46">
        <f ca="1"/>
        <v>0.81327576236831123</v>
      </c>
      <c r="T46">
        <f ca="1"/>
        <v>0</v>
      </c>
      <c r="U46">
        <f ca="1"/>
        <v>0</v>
      </c>
      <c r="V46">
        <f ca="1"/>
        <v>1.4902921577775462E-2</v>
      </c>
      <c r="X46" s="2">
        <f t="shared" ca="1" si="1"/>
        <v>45046</v>
      </c>
      <c r="Y46">
        <f t="shared" ca="1" si="2"/>
        <v>0</v>
      </c>
      <c r="AA46" s="63">
        <f t="shared" ca="1" si="4"/>
        <v>109.88534339242844</v>
      </c>
      <c r="AB46" s="63">
        <f t="shared" ca="1" si="5"/>
        <v>109.88534339242844</v>
      </c>
      <c r="AC46" s="3">
        <f t="shared" ca="1" si="6"/>
        <v>0</v>
      </c>
    </row>
    <row r="47" spans="1:29">
      <c r="A47" s="6" t="s">
        <v>127</v>
      </c>
      <c r="B47" s="32">
        <f>FollowingDressingLoss</f>
        <v>0</v>
      </c>
      <c r="H47" t="b">
        <f t="shared" ca="1" si="3"/>
        <v>1</v>
      </c>
      <c r="I47" t="b">
        <f t="shared" ca="1" si="0"/>
        <v>1</v>
      </c>
      <c r="J47" s="2">
        <f ca="1"/>
        <v>45047</v>
      </c>
      <c r="K47">
        <f ca="1"/>
        <v>110.07209522799086</v>
      </c>
      <c r="L47">
        <f ca="1"/>
        <v>7.8270957674647867E-2</v>
      </c>
      <c r="M47">
        <f ca="1"/>
        <v>0.19146675520733059</v>
      </c>
      <c r="N47">
        <f ca="1"/>
        <v>0.15342449087283544</v>
      </c>
      <c r="O47">
        <f ca="1"/>
        <v>0</v>
      </c>
      <c r="P47">
        <f ca="1"/>
        <v>5.8671875991131754</v>
      </c>
      <c r="Q47">
        <f ca="1"/>
        <v>3.254018978666291</v>
      </c>
      <c r="R47">
        <f ca="1"/>
        <v>0</v>
      </c>
      <c r="S47">
        <f ca="1"/>
        <v>0.80910644087670802</v>
      </c>
      <c r="T47">
        <f ca="1"/>
        <v>0</v>
      </c>
      <c r="U47">
        <f ca="1"/>
        <v>0</v>
      </c>
      <c r="V47">
        <f ca="1"/>
        <v>1.5408727336495828E-2</v>
      </c>
      <c r="X47" s="2">
        <f t="shared" ca="1" si="1"/>
        <v>45047</v>
      </c>
      <c r="Y47">
        <f t="shared" ca="1" si="2"/>
        <v>0</v>
      </c>
      <c r="AA47" s="63">
        <f t="shared" ca="1" si="4"/>
        <v>110.1503661856655</v>
      </c>
      <c r="AB47" s="63">
        <f t="shared" ca="1" si="5"/>
        <v>110.1503661856655</v>
      </c>
      <c r="AC47" s="3">
        <f t="shared" ca="1" si="6"/>
        <v>0</v>
      </c>
    </row>
    <row r="48" spans="1:29">
      <c r="A48" s="6" t="s">
        <v>128</v>
      </c>
      <c r="B48" s="32">
        <f>FollowingMoistureLoss</f>
        <v>76</v>
      </c>
      <c r="H48" t="b">
        <f t="shared" ca="1" si="3"/>
        <v>1</v>
      </c>
      <c r="I48" t="b">
        <f t="shared" ca="1" si="0"/>
        <v>1</v>
      </c>
      <c r="J48" s="2">
        <f ca="1"/>
        <v>45048</v>
      </c>
      <c r="K48">
        <f ca="1"/>
        <v>110.33663017924326</v>
      </c>
      <c r="L48">
        <f ca="1"/>
        <v>8.0258582273665446E-2</v>
      </c>
      <c r="M48">
        <f ca="1"/>
        <v>0.19053564371107967</v>
      </c>
      <c r="N48">
        <f ca="1"/>
        <v>0.15425788981498634</v>
      </c>
      <c r="O48">
        <f ca="1"/>
        <v>0</v>
      </c>
      <c r="P48">
        <f ca="1"/>
        <v>5.9474461813868409</v>
      </c>
      <c r="Q48">
        <f ca="1"/>
        <v>3.298531438087025</v>
      </c>
      <c r="R48">
        <f ca="1"/>
        <v>0</v>
      </c>
      <c r="S48">
        <f ca="1"/>
        <v>0.80428632891068053</v>
      </c>
      <c r="T48">
        <f ca="1"/>
        <v>0</v>
      </c>
      <c r="U48">
        <f ca="1"/>
        <v>0</v>
      </c>
      <c r="V48">
        <f ca="1"/>
        <v>1.593767456184856E-2</v>
      </c>
      <c r="X48" s="2">
        <f t="shared" ca="1" si="1"/>
        <v>45048</v>
      </c>
      <c r="Y48">
        <f t="shared" ca="1" si="2"/>
        <v>0</v>
      </c>
      <c r="AA48" s="63">
        <f t="shared" ca="1" si="4"/>
        <v>110.41688876151692</v>
      </c>
      <c r="AB48" s="63">
        <f t="shared" ca="1" si="5"/>
        <v>110.41688876151693</v>
      </c>
      <c r="AC48" s="3">
        <f t="shared" ca="1" si="6"/>
        <v>0</v>
      </c>
    </row>
    <row r="49" spans="1:29">
      <c r="A49" s="6" t="s">
        <v>129</v>
      </c>
      <c r="B49" s="34">
        <f>FollowingEstablishDate</f>
        <v>45370</v>
      </c>
      <c r="H49" t="b">
        <f t="shared" ca="1" si="3"/>
        <v>1</v>
      </c>
      <c r="I49" t="b">
        <f t="array" aca="1" ref="I49" ca="1">AND(IF(J49&gt;($J$7-1),TRUE,FALSE),IF(J49&lt;($J$8+1),TRUE,FALSE))</f>
        <v>1</v>
      </c>
      <c r="J49" s="2">
        <f ca="1"/>
        <v>45049</v>
      </c>
      <c r="K49">
        <f ca="1"/>
        <v>110.59502111131734</v>
      </c>
      <c r="L49">
        <f ca="1"/>
        <v>8.0949047980007016E-2</v>
      </c>
      <c r="M49">
        <f ca="1"/>
        <v>0.18727702870772323</v>
      </c>
      <c r="N49">
        <f ca="1"/>
        <v>0.15206295134636269</v>
      </c>
      <c r="O49">
        <f ca="1"/>
        <v>0</v>
      </c>
      <c r="P49">
        <f ca="1"/>
        <v>6.0283952293668479</v>
      </c>
      <c r="Q49">
        <f ca="1"/>
        <v>3.3434268388190085</v>
      </c>
      <c r="R49">
        <f ca="1"/>
        <v>0</v>
      </c>
      <c r="S49">
        <f ca="1"/>
        <v>0.79702225371287305</v>
      </c>
      <c r="T49">
        <f ca="1"/>
        <v>0</v>
      </c>
      <c r="U49">
        <f ca="1"/>
        <v>0</v>
      </c>
      <c r="V49">
        <f ca="1"/>
        <v>1.6481782168401168E-2</v>
      </c>
      <c r="X49" s="2">
        <f t="shared" ca="1" si="1"/>
        <v>45049</v>
      </c>
      <c r="Y49">
        <f t="shared" ca="1" si="2"/>
        <v>0</v>
      </c>
      <c r="AA49" s="63">
        <f t="shared" ca="1" si="4"/>
        <v>110.67597015929735</v>
      </c>
      <c r="AB49" s="63">
        <f t="shared" ca="1" si="5"/>
        <v>110.67597015929735</v>
      </c>
      <c r="AC49" s="3">
        <f t="shared" ca="1" si="6"/>
        <v>0</v>
      </c>
    </row>
    <row r="50" spans="1:29">
      <c r="A50" s="6" t="s">
        <v>130</v>
      </c>
      <c r="B50" s="32" t="str">
        <f>FollowingEstablishStage</f>
        <v>Seed</v>
      </c>
      <c r="H50" t="b">
        <f t="shared" ca="1" si="3"/>
        <v>1</v>
      </c>
      <c r="I50" t="b">
        <f t="shared" ca="1" si="0"/>
        <v>1</v>
      </c>
      <c r="J50" s="2">
        <f ca="1"/>
        <v>45050</v>
      </c>
      <c r="K50">
        <f ca="1"/>
        <v>110.86132710677454</v>
      </c>
      <c r="L50">
        <f ca="1"/>
        <v>8.6384141997027264E-2</v>
      </c>
      <c r="M50">
        <f ca="1"/>
        <v>0.19160735412464369</v>
      </c>
      <c r="N50">
        <f ca="1"/>
        <v>0.1610827833295897</v>
      </c>
      <c r="O50">
        <f ca="1"/>
        <v>0</v>
      </c>
      <c r="P50">
        <f ca="1"/>
        <v>6.1147793713638752</v>
      </c>
      <c r="Q50">
        <f ca="1"/>
        <v>3.3913366137777325</v>
      </c>
      <c r="R50">
        <f ca="1"/>
        <v>0</v>
      </c>
      <c r="S50">
        <f ca="1"/>
        <v>0.80126989933580983</v>
      </c>
      <c r="T50">
        <f ca="1"/>
        <v>0</v>
      </c>
      <c r="U50">
        <f ca="1"/>
        <v>0</v>
      </c>
      <c r="V50">
        <f ca="1"/>
        <v>1.7074229100447959E-2</v>
      </c>
      <c r="X50" s="2">
        <f t="shared" ca="1" si="1"/>
        <v>45050</v>
      </c>
      <c r="Y50">
        <f t="shared" ca="1" si="2"/>
        <v>0</v>
      </c>
      <c r="AA50" s="63">
        <f t="shared" ca="1" si="4"/>
        <v>110.94771124877157</v>
      </c>
      <c r="AB50" s="63">
        <f t="shared" ca="1" si="5"/>
        <v>110.94771124877157</v>
      </c>
      <c r="AC50" s="3">
        <f t="shared" ca="1" si="6"/>
        <v>0</v>
      </c>
    </row>
    <row r="51" spans="1:29">
      <c r="A51" s="6" t="s">
        <v>131</v>
      </c>
      <c r="B51" s="34">
        <f>FollowingHarvestDate</f>
        <v>45490</v>
      </c>
      <c r="H51" t="b">
        <f t="shared" ca="1" si="3"/>
        <v>1</v>
      </c>
      <c r="I51" t="b">
        <f t="shared" ca="1" si="0"/>
        <v>1</v>
      </c>
      <c r="J51" s="2">
        <f ca="1"/>
        <v>45051</v>
      </c>
      <c r="K51">
        <f ca="1"/>
        <v>111.1221270352182</v>
      </c>
      <c r="L51">
        <f ca="1"/>
        <v>8.728317286348819E-2</v>
      </c>
      <c r="M51">
        <f ca="1"/>
        <v>0.18816457152276822</v>
      </c>
      <c r="N51">
        <f ca="1"/>
        <v>0.15991852978439502</v>
      </c>
      <c r="O51">
        <f ca="1"/>
        <v>0</v>
      </c>
      <c r="P51">
        <f ca="1"/>
        <v>6.2020625442273634</v>
      </c>
      <c r="Q51">
        <f ca="1"/>
        <v>3.4397450030133063</v>
      </c>
      <c r="R51">
        <f ca="1"/>
        <v>0</v>
      </c>
      <c r="S51">
        <f ca="1"/>
        <v>0.79863860216305038</v>
      </c>
      <c r="T51">
        <f ca="1"/>
        <v>0</v>
      </c>
      <c r="U51">
        <f ca="1"/>
        <v>0</v>
      </c>
      <c r="V51">
        <f ca="1"/>
        <v>1.7685279872097944E-2</v>
      </c>
      <c r="X51" s="2">
        <f t="shared" ca="1" si="1"/>
        <v>45051</v>
      </c>
      <c r="Y51">
        <f t="shared" ca="1" si="2"/>
        <v>0</v>
      </c>
      <c r="AA51" s="63">
        <f t="shared" ca="1" si="4"/>
        <v>111.20941020808169</v>
      </c>
      <c r="AB51" s="63">
        <f t="shared" ca="1" si="5"/>
        <v>111.20941020808169</v>
      </c>
      <c r="AC51" s="3">
        <f t="shared" ca="1" si="6"/>
        <v>0</v>
      </c>
    </row>
    <row r="52" spans="1:29">
      <c r="A52" s="6" t="s">
        <v>132</v>
      </c>
      <c r="B52" s="32" t="str">
        <f>FollowingHarvestStage</f>
        <v>MidReproductive</v>
      </c>
      <c r="H52" t="b">
        <f t="shared" ca="1" si="3"/>
        <v>1</v>
      </c>
      <c r="I52" t="b">
        <f t="shared" ca="1" si="0"/>
        <v>1</v>
      </c>
      <c r="J52" s="2">
        <f ca="1"/>
        <v>45052</v>
      </c>
      <c r="K52">
        <f ca="1"/>
        <v>111.40098601116654</v>
      </c>
      <c r="L52">
        <f ca="1"/>
        <v>9.5224017591206689E-2</v>
      </c>
      <c r="M52">
        <f ca="1"/>
        <v>0.19580996773256576</v>
      </c>
      <c r="N52">
        <f ca="1"/>
        <v>0.17827302580697615</v>
      </c>
      <c r="O52">
        <f ca="1"/>
        <v>0</v>
      </c>
      <c r="P52">
        <f ca="1"/>
        <v>6.29728656181857</v>
      </c>
      <c r="Q52">
        <f ca="1"/>
        <v>3.4925574885921682</v>
      </c>
      <c r="R52">
        <f ca="1"/>
        <v>0</v>
      </c>
      <c r="S52">
        <f ca="1"/>
        <v>0.82344280315114959</v>
      </c>
      <c r="T52">
        <f ca="1"/>
        <v>0</v>
      </c>
      <c r="U52">
        <f ca="1"/>
        <v>0</v>
      </c>
      <c r="V52">
        <f ca="1"/>
        <v>1.8366249651431434E-2</v>
      </c>
      <c r="X52" s="2">
        <f t="shared" ca="1" si="1"/>
        <v>45052</v>
      </c>
      <c r="Y52">
        <f t="shared" ca="1" si="2"/>
        <v>0</v>
      </c>
      <c r="AA52" s="63">
        <f t="shared" ca="1" si="4"/>
        <v>111.49621002875774</v>
      </c>
      <c r="AB52" s="63">
        <f t="shared" ca="1" si="5"/>
        <v>111.49621002875774</v>
      </c>
      <c r="AC52" s="3">
        <f t="shared" ca="1" si="6"/>
        <v>0</v>
      </c>
    </row>
    <row r="53" spans="1:29" ht="15.75" thickBot="1">
      <c r="A53" s="7" t="s">
        <v>164</v>
      </c>
      <c r="B53" s="33" t="str">
        <f>FollowingResidueRemoval</f>
        <v>None removed</v>
      </c>
      <c r="H53" t="b">
        <f t="shared" ca="1" si="3"/>
        <v>1</v>
      </c>
      <c r="I53" t="b">
        <f t="shared" ca="1" si="0"/>
        <v>1</v>
      </c>
      <c r="J53" s="2">
        <f ca="1"/>
        <v>45053</v>
      </c>
      <c r="K53">
        <f ca="1"/>
        <v>111.66491490166037</v>
      </c>
      <c r="L53">
        <f ca="1"/>
        <v>9.2971136314621283E-2</v>
      </c>
      <c r="M53">
        <f ca="1"/>
        <v>0.1867179772242018</v>
      </c>
      <c r="N53">
        <f ca="1"/>
        <v>0.17018204958423869</v>
      </c>
      <c r="O53">
        <f ca="1"/>
        <v>0</v>
      </c>
      <c r="P53">
        <f ca="1"/>
        <v>6.3902576981331913</v>
      </c>
      <c r="Q53">
        <f ca="1"/>
        <v>3.5441204967498883</v>
      </c>
      <c r="R53">
        <f ca="1"/>
        <v>0</v>
      </c>
      <c r="S53">
        <f ca="1"/>
        <v>0.81942394525694862</v>
      </c>
      <c r="T53">
        <f ca="1"/>
        <v>0</v>
      </c>
      <c r="U53">
        <f ca="1"/>
        <v>0</v>
      </c>
      <c r="V53">
        <f ca="1"/>
        <v>1.9045598591686211E-2</v>
      </c>
      <c r="X53" s="2">
        <f t="shared" ca="1" si="1"/>
        <v>45053</v>
      </c>
      <c r="Y53">
        <f t="shared" ca="1" si="2"/>
        <v>0</v>
      </c>
      <c r="AA53" s="63">
        <f t="shared" ca="1" si="4"/>
        <v>111.75788603797498</v>
      </c>
      <c r="AB53" s="63">
        <f t="shared" ca="1" si="5"/>
        <v>111.75788603797498</v>
      </c>
      <c r="AC53" s="3">
        <f t="shared" ca="1" si="6"/>
        <v>0</v>
      </c>
    </row>
    <row r="54" spans="1:29">
      <c r="A54" s="6" t="s">
        <v>167</v>
      </c>
      <c r="B54" t="str">
        <f>FollowingResidueIncorporation</f>
        <v>Full (Plough)</v>
      </c>
      <c r="H54" t="b">
        <f t="shared" ca="1" si="3"/>
        <v>1</v>
      </c>
      <c r="I54" t="b">
        <f t="shared" ca="1" si="0"/>
        <v>1</v>
      </c>
      <c r="J54" s="2">
        <f ca="1"/>
        <v>45054</v>
      </c>
      <c r="K54">
        <f ca="1"/>
        <v>111.90878511410462</v>
      </c>
      <c r="L54">
        <f ca="1"/>
        <v>8.529471403365374E-2</v>
      </c>
      <c r="M54">
        <f ca="1"/>
        <v>0.17062501672884345</v>
      </c>
      <c r="N54">
        <f ca="1"/>
        <v>0.1585399097490478</v>
      </c>
      <c r="O54">
        <f ca="1"/>
        <v>0</v>
      </c>
      <c r="P54">
        <f ca="1"/>
        <v>6.4755524121668451</v>
      </c>
      <c r="Q54">
        <f ca="1"/>
        <v>3.5914260607116364</v>
      </c>
      <c r="R54">
        <f ca="1"/>
        <v>0</v>
      </c>
      <c r="S54">
        <f ca="1"/>
        <v>0.84349550292855313</v>
      </c>
      <c r="T54">
        <f ca="1"/>
        <v>0</v>
      </c>
      <c r="U54">
        <f ca="1"/>
        <v>0</v>
      </c>
      <c r="V54">
        <f ca="1"/>
        <v>1.9681502495485437E-2</v>
      </c>
      <c r="X54" s="2">
        <f t="shared" ca="1" si="1"/>
        <v>45054</v>
      </c>
      <c r="Y54">
        <f t="shared" ca="1" si="2"/>
        <v>0</v>
      </c>
      <c r="AA54" s="63">
        <f t="shared" ca="1" si="4"/>
        <v>111.99407982813827</v>
      </c>
      <c r="AB54" s="63">
        <f t="shared" ca="1" si="5"/>
        <v>111.99407982813827</v>
      </c>
      <c r="AC54" s="3">
        <f t="shared" ca="1" si="6"/>
        <v>0</v>
      </c>
    </row>
    <row r="55" spans="1:29">
      <c r="A55" s="12"/>
      <c r="B55" s="13"/>
      <c r="H55" t="b">
        <f t="shared" ca="1" si="3"/>
        <v>1</v>
      </c>
      <c r="I55" t="b">
        <f t="shared" ca="1" si="0"/>
        <v>1</v>
      </c>
      <c r="J55" s="2">
        <f ca="1"/>
        <v>45055</v>
      </c>
      <c r="K55">
        <f ca="1"/>
        <v>112.14978576071206</v>
      </c>
      <c r="L55">
        <f ca="1"/>
        <v>8.7715775499737525E-2</v>
      </c>
      <c r="M55">
        <f ca="1"/>
        <v>0.16957969724247235</v>
      </c>
      <c r="N55">
        <f ca="1"/>
        <v>0.15913672486471162</v>
      </c>
      <c r="O55">
        <f ca="1"/>
        <v>0</v>
      </c>
      <c r="P55">
        <f ca="1"/>
        <v>6.5632681876665826</v>
      </c>
      <c r="Q55">
        <f ca="1"/>
        <v>3.6400743770272284</v>
      </c>
      <c r="R55">
        <f ca="1"/>
        <v>0</v>
      </c>
      <c r="S55">
        <f ca="1"/>
        <v>0.83504398229422161</v>
      </c>
      <c r="T55">
        <f ca="1"/>
        <v>0</v>
      </c>
      <c r="U55">
        <f ca="1"/>
        <v>0</v>
      </c>
      <c r="V55">
        <f ca="1"/>
        <v>2.0348130603996779E-2</v>
      </c>
      <c r="X55" s="2">
        <f t="shared" ca="1" si="1"/>
        <v>45055</v>
      </c>
      <c r="Y55">
        <f t="shared" ca="1" si="2"/>
        <v>0</v>
      </c>
      <c r="AA55" s="63">
        <f t="shared" ca="1" si="4"/>
        <v>112.23750153621179</v>
      </c>
      <c r="AB55" s="63">
        <f t="shared" ca="1" si="5"/>
        <v>112.23750153621179</v>
      </c>
      <c r="AC55" s="3">
        <f t="shared" ca="1" si="6"/>
        <v>0</v>
      </c>
    </row>
    <row r="56" spans="1:29" ht="15.75" thickBot="1">
      <c r="A56" s="14"/>
      <c r="B56" s="15"/>
      <c r="H56" t="b">
        <f t="shared" ca="1" si="3"/>
        <v>1</v>
      </c>
      <c r="I56" t="b">
        <f t="shared" ca="1" si="0"/>
        <v>1</v>
      </c>
      <c r="J56" s="2">
        <f ca="1"/>
        <v>45056</v>
      </c>
      <c r="K56">
        <f ca="1"/>
        <v>112.38678567906845</v>
      </c>
      <c r="L56">
        <f ca="1"/>
        <v>8.7754175190841721E-2</v>
      </c>
      <c r="M56">
        <f ca="1"/>
        <v>0.1652354458852443</v>
      </c>
      <c r="N56">
        <f ca="1"/>
        <v>0.15951864766198293</v>
      </c>
      <c r="O56">
        <f ca="1"/>
        <v>0</v>
      </c>
      <c r="P56">
        <f ca="1"/>
        <v>6.6510223628574243</v>
      </c>
      <c r="Q56">
        <f ca="1"/>
        <v>3.6887439903137316</v>
      </c>
      <c r="R56">
        <f ca="1"/>
        <v>0</v>
      </c>
      <c r="S56">
        <f ca="1"/>
        <v>0.84674973786180108</v>
      </c>
      <c r="T56">
        <f ca="1"/>
        <v>0</v>
      </c>
      <c r="U56">
        <f ca="1"/>
        <v>0</v>
      </c>
      <c r="V56">
        <f ca="1"/>
        <v>2.1027959818747895E-2</v>
      </c>
      <c r="X56" s="2">
        <f t="shared" ca="1" si="1"/>
        <v>45056</v>
      </c>
      <c r="Y56">
        <f t="shared" ca="1" si="2"/>
        <v>0</v>
      </c>
      <c r="AA56" s="63">
        <f t="shared" ca="1" si="4"/>
        <v>112.47453985425929</v>
      </c>
      <c r="AB56" s="63">
        <f t="shared" ca="1" si="5"/>
        <v>112.47453985425929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45057</v>
      </c>
      <c r="K57">
        <f ca="1"/>
        <v>112.62449056279907</v>
      </c>
      <c r="L57">
        <f ca="1"/>
        <v>9.1928294488334394E-2</v>
      </c>
      <c r="M57">
        <f ca="1"/>
        <v>0.16625101398173037</v>
      </c>
      <c r="N57">
        <f ca="1"/>
        <v>0.16338216423722038</v>
      </c>
      <c r="O57">
        <f ca="1"/>
        <v>0</v>
      </c>
      <c r="P57">
        <f ca="1"/>
        <v>6.7429506573457587</v>
      </c>
      <c r="Q57">
        <f ca="1"/>
        <v>3.7397286247553985</v>
      </c>
      <c r="R57">
        <f ca="1"/>
        <v>0</v>
      </c>
      <c r="S57">
        <f ca="1"/>
        <v>0.83963178583723375</v>
      </c>
      <c r="T57">
        <f ca="1"/>
        <v>0</v>
      </c>
      <c r="U57">
        <f ca="1"/>
        <v>0</v>
      </c>
      <c r="V57">
        <f ca="1"/>
        <v>2.1754025740677734E-2</v>
      </c>
      <c r="X57" s="2">
        <f t="shared" ca="1" si="1"/>
        <v>45057</v>
      </c>
      <c r="Y57">
        <f t="shared" ca="1" si="2"/>
        <v>0</v>
      </c>
      <c r="AA57" s="63">
        <f t="shared" ca="1" si="4"/>
        <v>112.71641885728741</v>
      </c>
      <c r="AB57" s="63">
        <f t="shared" ca="1" si="5"/>
        <v>112.71641885728741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45058</v>
      </c>
      <c r="K58">
        <f ca="1"/>
        <v>112.86589975506482</v>
      </c>
      <c r="L58">
        <f ca="1"/>
        <v>9.6420794391486098E-2</v>
      </c>
      <c r="M58">
        <f ca="1"/>
        <v>0.16737086205427865</v>
      </c>
      <c r="N58">
        <f ca="1"/>
        <v>0.17045912460296342</v>
      </c>
      <c r="O58">
        <f ca="1"/>
        <v>0</v>
      </c>
      <c r="P58">
        <f ca="1"/>
        <v>6.8393714517372448</v>
      </c>
      <c r="Q58">
        <f ca="1"/>
        <v>3.7932048584001858</v>
      </c>
      <c r="R58">
        <f ca="1"/>
        <v>0</v>
      </c>
      <c r="S58">
        <f ca="1"/>
        <v>0.84566229751603617</v>
      </c>
      <c r="T58">
        <f ca="1"/>
        <v>0</v>
      </c>
      <c r="U58">
        <f ca="1"/>
        <v>0</v>
      </c>
      <c r="V58">
        <f ca="1"/>
        <v>2.2530913065890199E-2</v>
      </c>
      <c r="X58" s="2">
        <f t="shared" ca="1" si="1"/>
        <v>45058</v>
      </c>
      <c r="Y58">
        <f t="shared" ca="1" si="2"/>
        <v>0</v>
      </c>
      <c r="AA58" s="63">
        <f t="shared" ca="1" si="4"/>
        <v>112.96232054945631</v>
      </c>
      <c r="AB58" s="63">
        <f t="shared" ca="1" si="5"/>
        <v>112.96232054945631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45059</v>
      </c>
      <c r="K59">
        <f ca="1"/>
        <v>113.09073368434518</v>
      </c>
      <c r="L59">
        <f ca="1"/>
        <v>9.1860095626851823E-2</v>
      </c>
      <c r="M59">
        <f ca="1"/>
        <v>0.15707793882151577</v>
      </c>
      <c r="N59">
        <f ca="1"/>
        <v>0.15961608608570046</v>
      </c>
      <c r="O59">
        <f ca="1"/>
        <v>0</v>
      </c>
      <c r="P59">
        <f ca="1"/>
        <v>6.9312315473640966</v>
      </c>
      <c r="Q59">
        <f ca="1"/>
        <v>3.8441516688613095</v>
      </c>
      <c r="R59">
        <f ca="1"/>
        <v>0</v>
      </c>
      <c r="S59">
        <f ca="1"/>
        <v>0.84342624617458328</v>
      </c>
      <c r="T59">
        <f ca="1"/>
        <v>0</v>
      </c>
      <c r="U59">
        <f ca="1"/>
        <v>0</v>
      </c>
      <c r="V59">
        <f ca="1"/>
        <v>2.3285713769390086E-2</v>
      </c>
      <c r="X59" s="2">
        <f t="shared" ca="1" si="1"/>
        <v>45059</v>
      </c>
      <c r="Y59">
        <f t="shared" ca="1" si="2"/>
        <v>0</v>
      </c>
      <c r="AA59" s="63">
        <f t="shared" ca="1" si="4"/>
        <v>113.18259377997204</v>
      </c>
      <c r="AB59" s="63">
        <f t="shared" ca="1" si="5"/>
        <v>113.18259377997204</v>
      </c>
      <c r="AC59" s="3">
        <f t="shared" ca="1" si="6"/>
        <v>0</v>
      </c>
    </row>
    <row r="60" spans="1:29">
      <c r="H60" t="b">
        <f t="shared" ca="1" si="3"/>
        <v>1</v>
      </c>
      <c r="I60" t="b">
        <f t="shared" ca="1" si="0"/>
        <v>1</v>
      </c>
      <c r="J60" s="2">
        <f ca="1"/>
        <v>45060</v>
      </c>
      <c r="K60">
        <f ca="1"/>
        <v>113.31046392517342</v>
      </c>
      <c r="L60">
        <f ca="1"/>
        <v>9.197227249539619E-2</v>
      </c>
      <c r="M60">
        <f ca="1"/>
        <v>0.15295960133573239</v>
      </c>
      <c r="N60">
        <f ca="1"/>
        <v>0.15874291198790266</v>
      </c>
      <c r="O60">
        <f ca="1"/>
        <v>0</v>
      </c>
      <c r="P60">
        <f ca="1"/>
        <v>7.0232038198594928</v>
      </c>
      <c r="Q60">
        <f ca="1"/>
        <v>3.8951606940808752</v>
      </c>
      <c r="R60">
        <f ca="1"/>
        <v>0</v>
      </c>
      <c r="S60">
        <f ca="1"/>
        <v>0.8482960963706544</v>
      </c>
      <c r="T60">
        <f ca="1"/>
        <v>0</v>
      </c>
      <c r="U60">
        <f ca="1"/>
        <v>0</v>
      </c>
      <c r="V60">
        <f ca="1"/>
        <v>2.4055815904643781E-2</v>
      </c>
      <c r="X60" s="2">
        <f t="shared" ca="1" si="1"/>
        <v>45060</v>
      </c>
      <c r="Y60">
        <f t="shared" ca="1" si="2"/>
        <v>0</v>
      </c>
      <c r="AA60" s="63">
        <f t="shared" ca="1" si="4"/>
        <v>113.40243619766882</v>
      </c>
      <c r="AB60" s="63">
        <f t="shared" ca="1" si="5"/>
        <v>113.40243619766882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45061</v>
      </c>
      <c r="K61">
        <f ca="1"/>
        <v>113.51998630899548</v>
      </c>
      <c r="L61">
        <f ca="1"/>
        <v>8.9345934332148325E-2</v>
      </c>
      <c r="M61">
        <f ca="1"/>
        <v>0.14598975920330481</v>
      </c>
      <c r="N61">
        <f ca="1"/>
        <v>0.15287855895090133</v>
      </c>
      <c r="O61">
        <f ca="1"/>
        <v>0</v>
      </c>
      <c r="P61">
        <f ca="1"/>
        <v>7.1125497541916411</v>
      </c>
      <c r="Q61">
        <f ca="1"/>
        <v>3.9447131178055623</v>
      </c>
      <c r="R61">
        <f ca="1"/>
        <v>0</v>
      </c>
      <c r="S61">
        <f ca="1"/>
        <v>0.85056714458736626</v>
      </c>
      <c r="T61">
        <f ca="1"/>
        <v>0</v>
      </c>
      <c r="U61">
        <f ca="1"/>
        <v>0</v>
      </c>
      <c r="V61">
        <f ca="1"/>
        <v>2.4817748215951497E-2</v>
      </c>
      <c r="X61" s="2">
        <f t="shared" ca="1" si="1"/>
        <v>45061</v>
      </c>
      <c r="Y61">
        <f t="shared" ca="1" si="2"/>
        <v>0</v>
      </c>
      <c r="AA61" s="63">
        <f t="shared" ca="1" si="4"/>
        <v>113.60933224332763</v>
      </c>
      <c r="AB61" s="63">
        <f t="shared" ca="1" si="5"/>
        <v>113.60933224332763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45062</v>
      </c>
      <c r="K62">
        <f ca="1"/>
        <v>113.73628237719083</v>
      </c>
      <c r="L62">
        <f ca="1"/>
        <v>9.5770655984448894E-2</v>
      </c>
      <c r="M62">
        <f ca="1"/>
        <v>0.14897112865019402</v>
      </c>
      <c r="N62">
        <f ca="1"/>
        <v>0.16309559552960662</v>
      </c>
      <c r="O62">
        <f ca="1"/>
        <v>0</v>
      </c>
      <c r="P62">
        <f ca="1"/>
        <v>7.20832041017609</v>
      </c>
      <c r="Q62">
        <f ca="1"/>
        <v>3.9978287761867293</v>
      </c>
      <c r="R62">
        <f ca="1"/>
        <v>0</v>
      </c>
      <c r="S62">
        <f ca="1"/>
        <v>0.85790418695408832</v>
      </c>
      <c r="T62">
        <f ca="1"/>
        <v>0</v>
      </c>
      <c r="U62">
        <f ca="1"/>
        <v>0</v>
      </c>
      <c r="V62">
        <f ca="1"/>
        <v>2.5649640297783782E-2</v>
      </c>
      <c r="X62" s="2">
        <f t="shared" ca="1" si="1"/>
        <v>45062</v>
      </c>
      <c r="Y62">
        <f t="shared" ca="1" si="2"/>
        <v>0</v>
      </c>
      <c r="AA62" s="63">
        <f t="shared" ca="1" si="4"/>
        <v>113.83205303317528</v>
      </c>
      <c r="AB62" s="63">
        <f t="shared" ca="1" si="5"/>
        <v>113.83205303317528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45063</v>
      </c>
      <c r="K63">
        <f ca="1"/>
        <v>113.93837804903559</v>
      </c>
      <c r="L63">
        <f ca="1"/>
        <v>8.8413629447540387E-2</v>
      </c>
      <c r="M63">
        <f ca="1"/>
        <v>0.13737448349655423</v>
      </c>
      <c r="N63">
        <f ca="1"/>
        <v>0.15313481779574101</v>
      </c>
      <c r="O63">
        <f ca="1"/>
        <v>0</v>
      </c>
      <c r="P63">
        <f ca="1"/>
        <v>7.2967340396236304</v>
      </c>
      <c r="Q63">
        <f ca="1"/>
        <v>4.046864131428916</v>
      </c>
      <c r="R63">
        <f ca="1"/>
        <v>0</v>
      </c>
      <c r="S63">
        <f ca="1"/>
        <v>0.87846785927128912</v>
      </c>
      <c r="T63">
        <f ca="1"/>
        <v>0</v>
      </c>
      <c r="U63">
        <f ca="1"/>
        <v>0</v>
      </c>
      <c r="V63">
        <f ca="1"/>
        <v>2.6431600360702703E-2</v>
      </c>
      <c r="X63" s="2">
        <f t="shared" ca="1" si="1"/>
        <v>45063</v>
      </c>
      <c r="Y63">
        <f t="shared" ca="1" si="2"/>
        <v>0</v>
      </c>
      <c r="AA63" s="63">
        <f t="shared" ca="1" si="4"/>
        <v>114.02679167848314</v>
      </c>
      <c r="AB63" s="63">
        <f t="shared" ca="1" si="5"/>
        <v>114.02679167848314</v>
      </c>
      <c r="AC63" s="3">
        <f t="shared" ca="1" si="6"/>
        <v>0</v>
      </c>
    </row>
    <row r="64" spans="1:29">
      <c r="A64" s="1"/>
      <c r="B64" s="1"/>
      <c r="H64" t="b">
        <f t="shared" ca="1" si="3"/>
        <v>1</v>
      </c>
      <c r="I64" t="b">
        <f t="shared" ca="1" si="0"/>
        <v>1</v>
      </c>
      <c r="J64" s="2">
        <f ca="1"/>
        <v>45064</v>
      </c>
      <c r="K64">
        <f ca="1"/>
        <v>114.13416075660885</v>
      </c>
      <c r="L64">
        <f ca="1"/>
        <v>8.7254259473910523E-2</v>
      </c>
      <c r="M64">
        <f ca="1"/>
        <v>0.13276643165244018</v>
      </c>
      <c r="N64">
        <f ca="1"/>
        <v>0.15027053539472585</v>
      </c>
      <c r="O64">
        <f ca="1"/>
        <v>0</v>
      </c>
      <c r="P64">
        <f ca="1"/>
        <v>7.383988299097541</v>
      </c>
      <c r="Q64">
        <f ca="1"/>
        <v>4.0952564849204753</v>
      </c>
      <c r="R64">
        <f ca="1"/>
        <v>0</v>
      </c>
      <c r="S64">
        <f ca="1"/>
        <v>0.88193251116618721</v>
      </c>
      <c r="T64">
        <f ca="1"/>
        <v>0</v>
      </c>
      <c r="U64">
        <f ca="1"/>
        <v>0</v>
      </c>
      <c r="V64">
        <f ca="1"/>
        <v>2.7216493080456695E-2</v>
      </c>
      <c r="X64" s="2">
        <f t="shared" ca="1" si="1"/>
        <v>45064</v>
      </c>
      <c r="Y64">
        <f t="shared" ca="1" si="2"/>
        <v>0</v>
      </c>
      <c r="AA64" s="63">
        <f t="shared" ca="1" si="4"/>
        <v>114.22141501608276</v>
      </c>
      <c r="AB64" s="63">
        <f t="shared" ca="1" si="5"/>
        <v>114.22141501608276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45065</v>
      </c>
      <c r="K65">
        <f ca="1"/>
        <v>114.33193454017348</v>
      </c>
      <c r="L65">
        <f ca="1"/>
        <v>9.1327604768816073E-2</v>
      </c>
      <c r="M65">
        <f ca="1"/>
        <v>0.13316931292763101</v>
      </c>
      <c r="N65">
        <f ca="1"/>
        <v>0.15593207540581133</v>
      </c>
      <c r="O65">
        <f ca="1"/>
        <v>0</v>
      </c>
      <c r="P65">
        <f ca="1"/>
        <v>7.475315903866357</v>
      </c>
      <c r="Q65">
        <f ca="1"/>
        <v>4.1459079689873528</v>
      </c>
      <c r="R65">
        <f ca="1"/>
        <v>0</v>
      </c>
      <c r="S65">
        <f ca="1"/>
        <v>0.88633976177123819</v>
      </c>
      <c r="T65">
        <f ca="1"/>
        <v>0</v>
      </c>
      <c r="U65">
        <f ca="1"/>
        <v>0</v>
      </c>
      <c r="V65">
        <f ca="1"/>
        <v>2.8052091997046346E-2</v>
      </c>
      <c r="X65" s="2">
        <f t="shared" ca="1" si="1"/>
        <v>45065</v>
      </c>
      <c r="Y65">
        <f t="shared" ca="1" si="2"/>
        <v>0</v>
      </c>
      <c r="AA65" s="63">
        <f t="shared" ca="1" si="4"/>
        <v>114.4232621449423</v>
      </c>
      <c r="AB65" s="63">
        <f t="shared" ca="1" si="5"/>
        <v>114.4232621449423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45066</v>
      </c>
      <c r="K66">
        <f ca="1"/>
        <v>114.52928459339411</v>
      </c>
      <c r="L66">
        <f ca="1"/>
        <v>9.3238350657824043E-2</v>
      </c>
      <c r="M66">
        <f ca="1"/>
        <v>0.13139817624090533</v>
      </c>
      <c r="N66">
        <f ca="1"/>
        <v>0.15919022763754567</v>
      </c>
      <c r="O66">
        <f ca="1"/>
        <v>0</v>
      </c>
      <c r="P66">
        <f ca="1"/>
        <v>7.5685542545241811</v>
      </c>
      <c r="Q66">
        <f ca="1"/>
        <v>4.1976191777146754</v>
      </c>
      <c r="R66">
        <f ca="1"/>
        <v>0</v>
      </c>
      <c r="S66">
        <f ca="1"/>
        <v>0.89627637310648667</v>
      </c>
      <c r="T66">
        <f ca="1"/>
        <v>0</v>
      </c>
      <c r="U66">
        <f ca="1"/>
        <v>0</v>
      </c>
      <c r="V66">
        <f ca="1"/>
        <v>2.8920046824282834E-2</v>
      </c>
      <c r="X66" s="2">
        <f t="shared" ca="1" si="1"/>
        <v>45066</v>
      </c>
      <c r="Y66">
        <f t="shared" ca="1" si="2"/>
        <v>0</v>
      </c>
      <c r="AA66" s="63">
        <f t="shared" ca="1" si="4"/>
        <v>114.62252294405194</v>
      </c>
      <c r="AB66" s="63">
        <f t="shared" ca="1" si="5"/>
        <v>114.62252294405194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45067</v>
      </c>
      <c r="K67">
        <f ca="1"/>
        <v>114.72250862867941</v>
      </c>
      <c r="L67">
        <f ca="1"/>
        <v>9.1671215811016893E-2</v>
      </c>
      <c r="M67">
        <f ca="1"/>
        <v>0.12653120874492174</v>
      </c>
      <c r="N67">
        <f ca="1"/>
        <v>0.15836404235139967</v>
      </c>
      <c r="O67">
        <f ca="1"/>
        <v>0</v>
      </c>
      <c r="P67">
        <f ca="1"/>
        <v>7.660225470335198</v>
      </c>
      <c r="Q67">
        <f ca="1"/>
        <v>4.2484612329596025</v>
      </c>
      <c r="R67">
        <f ca="1"/>
        <v>0</v>
      </c>
      <c r="S67">
        <f ca="1"/>
        <v>0.91365045120698785</v>
      </c>
      <c r="T67">
        <f ca="1"/>
        <v>0</v>
      </c>
      <c r="U67">
        <f ca="1"/>
        <v>0</v>
      </c>
      <c r="V67">
        <f ca="1"/>
        <v>2.978809535407843E-2</v>
      </c>
      <c r="X67" s="2">
        <f t="shared" ca="1" si="1"/>
        <v>45067</v>
      </c>
      <c r="Y67">
        <f t="shared" ca="1" si="2"/>
        <v>0</v>
      </c>
      <c r="AA67" s="63">
        <f t="shared" ca="1" si="4"/>
        <v>114.81417984449043</v>
      </c>
      <c r="AB67" s="63">
        <f t="shared" ca="1" si="5"/>
        <v>114.81417984449043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45068</v>
      </c>
      <c r="K68">
        <f ca="1"/>
        <v>114.90239560271833</v>
      </c>
      <c r="L68">
        <f ca="1"/>
        <v>8.4427219302363632E-2</v>
      </c>
      <c r="M68">
        <f ca="1"/>
        <v>0.11734564309334772</v>
      </c>
      <c r="N68">
        <f ca="1"/>
        <v>0.14696855024794944</v>
      </c>
      <c r="O68">
        <f ca="1"/>
        <v>0</v>
      </c>
      <c r="P68">
        <f ca="1"/>
        <v>7.7446526896375616</v>
      </c>
      <c r="Q68">
        <f ca="1"/>
        <v>4.2952856729975242</v>
      </c>
      <c r="R68">
        <f ca="1"/>
        <v>0</v>
      </c>
      <c r="S68">
        <f ca="1"/>
        <v>0.92128958697169638</v>
      </c>
      <c r="T68">
        <f ca="1"/>
        <v>0</v>
      </c>
      <c r="U68">
        <f ca="1"/>
        <v>0</v>
      </c>
      <c r="V68">
        <f ca="1"/>
        <v>3.0600451762985644E-2</v>
      </c>
      <c r="X68" s="2">
        <f t="shared" ca="1" si="1"/>
        <v>45068</v>
      </c>
      <c r="Y68">
        <f t="shared" ca="1" si="2"/>
        <v>0</v>
      </c>
      <c r="AA68" s="63">
        <f t="shared" ca="1" si="4"/>
        <v>114.9868228220207</v>
      </c>
      <c r="AB68" s="63">
        <f t="shared" ca="1" si="5"/>
        <v>114.9868228220207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45069</v>
      </c>
      <c r="K69">
        <f ca="1"/>
        <v>115.08912679538325</v>
      </c>
      <c r="L69">
        <f ca="1"/>
        <v>9.2131356330693137E-2</v>
      </c>
      <c r="M69">
        <f ca="1"/>
        <v>0.12057427213761329</v>
      </c>
      <c r="N69">
        <f ca="1"/>
        <v>0.15828827685799624</v>
      </c>
      <c r="O69">
        <f ca="1"/>
        <v>0</v>
      </c>
      <c r="P69">
        <f ca="1"/>
        <v>7.8367840459682547</v>
      </c>
      <c r="Q69">
        <f ca="1"/>
        <v>4.3463829281927824</v>
      </c>
      <c r="R69">
        <f ca="1"/>
        <v>0</v>
      </c>
      <c r="S69">
        <f ca="1"/>
        <v>0.92615858727140943</v>
      </c>
      <c r="T69">
        <f ca="1"/>
        <v>0</v>
      </c>
      <c r="U69">
        <f ca="1"/>
        <v>0</v>
      </c>
      <c r="V69">
        <f ca="1"/>
        <v>3.1501078488544401E-2</v>
      </c>
      <c r="X69" s="2">
        <f t="shared" ca="1" si="1"/>
        <v>45069</v>
      </c>
      <c r="Y69">
        <f t="shared" ca="1" si="2"/>
        <v>0</v>
      </c>
      <c r="AA69" s="63">
        <f t="shared" ca="1" si="4"/>
        <v>115.18125815171395</v>
      </c>
      <c r="AB69" s="63">
        <f t="shared" ca="1" si="5"/>
        <v>115.18125815171395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45070</v>
      </c>
      <c r="K70">
        <f ca="1"/>
        <v>115.27575531465045</v>
      </c>
      <c r="L70">
        <f ca="1"/>
        <v>9.0924334741706581E-2</v>
      </c>
      <c r="M70">
        <f ca="1"/>
        <v>0.11650648179200296</v>
      </c>
      <c r="N70">
        <f ca="1"/>
        <v>0.16104637221690221</v>
      </c>
      <c r="O70">
        <f ca="1"/>
        <v>0</v>
      </c>
      <c r="P70">
        <f ca="1"/>
        <v>7.9277083807099613</v>
      </c>
      <c r="Q70">
        <f ca="1"/>
        <v>4.3968107534283076</v>
      </c>
      <c r="R70">
        <f ca="1"/>
        <v>0</v>
      </c>
      <c r="S70">
        <f ca="1"/>
        <v>0.95791879366953869</v>
      </c>
      <c r="T70">
        <f ca="1"/>
        <v>0</v>
      </c>
      <c r="U70">
        <f ca="1"/>
        <v>0</v>
      </c>
      <c r="V70">
        <f ca="1"/>
        <v>3.2404398710942424E-2</v>
      </c>
      <c r="X70" s="2">
        <f t="shared" ca="1" si="1"/>
        <v>45070</v>
      </c>
      <c r="Y70">
        <f t="shared" ca="1" si="2"/>
        <v>0</v>
      </c>
      <c r="AA70" s="63">
        <f t="shared" ca="1" si="4"/>
        <v>115.36667964939215</v>
      </c>
      <c r="AB70" s="63">
        <f t="shared" ca="1" si="5"/>
        <v>115.36667964939215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ca="1" si="0"/>
        <v>1</v>
      </c>
      <c r="J71" s="2">
        <f ca="1"/>
        <v>45071</v>
      </c>
      <c r="K71">
        <f ca="1"/>
        <v>115.45396322142894</v>
      </c>
      <c r="L71">
        <f ca="1"/>
        <v>8.7547487388030198E-2</v>
      </c>
      <c r="M71">
        <f ca="1"/>
        <v>0.11105333529463124</v>
      </c>
      <c r="N71">
        <f ca="1"/>
        <v>0.15470205887189026</v>
      </c>
      <c r="O71">
        <f ca="1"/>
        <v>0</v>
      </c>
      <c r="P71">
        <f ca="1"/>
        <v>8.0152558680979915</v>
      </c>
      <c r="Q71">
        <f ca="1"/>
        <v>4.4453657349561286</v>
      </c>
      <c r="R71">
        <f ca="1"/>
        <v>0</v>
      </c>
      <c r="S71">
        <f ca="1"/>
        <v>0.96766484781904505</v>
      </c>
      <c r="T71">
        <f ca="1"/>
        <v>0</v>
      </c>
      <c r="U71">
        <f ca="1"/>
        <v>0</v>
      </c>
      <c r="V71">
        <f ca="1"/>
        <v>3.3287795284864356E-2</v>
      </c>
      <c r="X71" s="2">
        <f t="shared" ca="1" si="1"/>
        <v>45071</v>
      </c>
      <c r="Y71">
        <f t="shared" ca="1" si="2"/>
        <v>0</v>
      </c>
      <c r="AA71" s="63">
        <f t="shared" ca="1" si="4"/>
        <v>115.54151070881697</v>
      </c>
      <c r="AB71" s="63">
        <f t="shared" ca="1" si="5"/>
        <v>115.54151070881697</v>
      </c>
      <c r="AC71" s="3">
        <f t="shared" ca="1" si="6"/>
        <v>0</v>
      </c>
    </row>
    <row r="72" spans="8:29">
      <c r="H72" t="b">
        <f t="shared" ca="1" si="3"/>
        <v>1</v>
      </c>
      <c r="I72" t="b">
        <f t="shared" ca="1" si="0"/>
        <v>1</v>
      </c>
      <c r="J72" s="2">
        <f ca="1"/>
        <v>45072</v>
      </c>
      <c r="K72">
        <f ca="1"/>
        <v>115.09243206660118</v>
      </c>
      <c r="L72">
        <f ca="1"/>
        <v>9.0521800638132532E-2</v>
      </c>
      <c r="M72">
        <f ca="1"/>
        <v>0.11042611730364982</v>
      </c>
      <c r="N72">
        <f ca="1"/>
        <v>0.15778760600247296</v>
      </c>
      <c r="O72">
        <f ca="1"/>
        <v>0</v>
      </c>
      <c r="P72">
        <f ca="1"/>
        <v>8.105777668736124</v>
      </c>
      <c r="Q72">
        <f ca="1"/>
        <v>4.495570309513119</v>
      </c>
      <c r="R72">
        <f ca="1"/>
        <v>0.53922307749575116</v>
      </c>
      <c r="S72">
        <f ca="1"/>
        <v>1</v>
      </c>
      <c r="T72">
        <f ca="1"/>
        <v>0.85072108609000452</v>
      </c>
      <c r="U72">
        <f ca="1"/>
        <v>0</v>
      </c>
      <c r="V72">
        <f ca="1"/>
        <v>3.4215278239809403E-2</v>
      </c>
      <c r="X72" s="2">
        <f t="shared" ca="1" si="1"/>
        <v>45072</v>
      </c>
      <c r="Y72">
        <f t="shared" ca="1" si="2"/>
        <v>0</v>
      </c>
      <c r="AA72" s="63">
        <f t="shared" ca="1" si="4"/>
        <v>115.72217694473505</v>
      </c>
      <c r="AB72" s="63">
        <f t="shared" ca="1" si="5"/>
        <v>115.72217694473505</v>
      </c>
      <c r="AC72" s="3">
        <f t="shared" ca="1" si="6"/>
        <v>0</v>
      </c>
    </row>
    <row r="73" spans="8:29">
      <c r="H73" t="b">
        <f t="shared" ca="1" si="3"/>
        <v>1</v>
      </c>
      <c r="I73" t="b">
        <f t="shared" ca="1" si="0"/>
        <v>1</v>
      </c>
      <c r="J73" s="2">
        <f ca="1"/>
        <v>45073</v>
      </c>
      <c r="K73">
        <f ca="1"/>
        <v>115.2657295477391</v>
      </c>
      <c r="L73">
        <f ca="1"/>
        <v>9.0455448907054148E-2</v>
      </c>
      <c r="M73">
        <f ca="1"/>
        <v>0.10759420936077113</v>
      </c>
      <c r="N73">
        <f ca="1"/>
        <v>0.15615872068419712</v>
      </c>
      <c r="O73">
        <f ca="1"/>
        <v>0</v>
      </c>
      <c r="P73">
        <f ca="1"/>
        <v>8.1962331176431782</v>
      </c>
      <c r="Q73">
        <f ca="1"/>
        <v>4.5457380845322488</v>
      </c>
      <c r="R73">
        <f ca="1"/>
        <v>0</v>
      </c>
      <c r="S73">
        <f ca="1"/>
        <v>0.99333333333333318</v>
      </c>
      <c r="T73">
        <f ca="1"/>
        <v>0</v>
      </c>
      <c r="U73">
        <f ca="1"/>
        <v>0</v>
      </c>
      <c r="V73">
        <f ca="1"/>
        <v>3.5156391048113467E-2</v>
      </c>
      <c r="X73" s="2">
        <f t="shared" ca="1" si="1"/>
        <v>45073</v>
      </c>
      <c r="Y73">
        <f t="shared" ca="1" si="2"/>
        <v>0</v>
      </c>
      <c r="AA73" s="63">
        <f t="shared" ca="1" si="4"/>
        <v>115.35618499664615</v>
      </c>
      <c r="AB73" s="63">
        <f t="shared" ca="1" si="5"/>
        <v>115.35618499664615</v>
      </c>
      <c r="AC73" s="3">
        <f t="shared" ca="1" si="6"/>
        <v>0</v>
      </c>
    </row>
    <row r="74" spans="8:29">
      <c r="H74" t="b">
        <f t="shared" ca="1" si="3"/>
        <v>1</v>
      </c>
      <c r="I74" t="b">
        <f t="shared" ca="1" si="0"/>
        <v>1</v>
      </c>
      <c r="J74" s="2">
        <f ca="1"/>
        <v>45074</v>
      </c>
      <c r="K74">
        <f ca="1"/>
        <v>115.2356888499307</v>
      </c>
      <c r="L74">
        <f ca="1"/>
        <v>8.8517214776201669E-2</v>
      </c>
      <c r="M74">
        <f ca="1"/>
        <v>0.10361658413781427</v>
      </c>
      <c r="N74">
        <f ca="1"/>
        <v>0.15181519863481938</v>
      </c>
      <c r="O74">
        <f ca="1"/>
        <v>0</v>
      </c>
      <c r="P74">
        <f ca="1"/>
        <v>8.2847503324193799</v>
      </c>
      <c r="Q74">
        <f ca="1"/>
        <v>4.5948308895524894</v>
      </c>
      <c r="R74">
        <f ca="1"/>
        <v>0.19695526580482667</v>
      </c>
      <c r="S74">
        <f ca="1"/>
        <v>1</v>
      </c>
      <c r="T74">
        <f ca="1"/>
        <v>0.31034595445584046</v>
      </c>
      <c r="U74">
        <f ca="1"/>
        <v>0</v>
      </c>
      <c r="V74">
        <f ca="1"/>
        <v>3.6091199765525099E-2</v>
      </c>
      <c r="X74" s="2">
        <f t="shared" ca="1" si="1"/>
        <v>45074</v>
      </c>
      <c r="Y74">
        <f t="shared" ca="1" si="2"/>
        <v>0</v>
      </c>
      <c r="AA74" s="63">
        <f t="shared" ca="1" si="4"/>
        <v>115.52116133051173</v>
      </c>
      <c r="AB74" s="63">
        <f t="shared" ca="1" si="5"/>
        <v>115.52116133051173</v>
      </c>
      <c r="AC74" s="3">
        <f t="shared" ca="1" si="6"/>
        <v>0</v>
      </c>
    </row>
    <row r="75" spans="8:29">
      <c r="H75" t="b">
        <f t="shared" ca="1" si="3"/>
        <v>1</v>
      </c>
      <c r="I75" t="b">
        <f t="shared" ref="I75:I138" ca="1" si="7">AND(IF(J75&gt;($J$7-1),TRUE,FALSE),IF(J75&lt;($J$8+1),TRUE,FALSE))</f>
        <v>1</v>
      </c>
      <c r="J75" s="2">
        <f ca="1"/>
        <v>45075</v>
      </c>
      <c r="K75">
        <f ca="1"/>
        <v>114.55662063324193</v>
      </c>
      <c r="L75">
        <f ca="1"/>
        <v>9.1546911674276643E-2</v>
      </c>
      <c r="M75">
        <f ca="1"/>
        <v>0.10300987644222381</v>
      </c>
      <c r="N75">
        <f ca="1"/>
        <v>0.15486347399903205</v>
      </c>
      <c r="O75">
        <f ca="1"/>
        <v>0</v>
      </c>
      <c r="P75">
        <f ca="1"/>
        <v>8.3762972440936565</v>
      </c>
      <c r="Q75">
        <f ca="1"/>
        <v>4.6456040040974216</v>
      </c>
      <c r="R75">
        <f ca="1"/>
        <v>0.84539465545575276</v>
      </c>
      <c r="S75">
        <f ca="1"/>
        <v>1</v>
      </c>
      <c r="T75">
        <f ca="1"/>
        <v>1.3400000000000034</v>
      </c>
      <c r="U75">
        <f ca="1"/>
        <v>0</v>
      </c>
      <c r="V75">
        <f ca="1"/>
        <v>3.7072439863401904E-2</v>
      </c>
      <c r="X75" s="2">
        <f t="shared" ref="X75:X138" ca="1" si="8">IFERROR(J75,$X$9)</f>
        <v>45075</v>
      </c>
      <c r="Y75">
        <f t="shared" ref="Y75:Y138" ca="1" si="9">IFERROR(O75,0)</f>
        <v>0</v>
      </c>
      <c r="AA75" s="63">
        <f t="shared" ca="1" si="4"/>
        <v>115.49356220037195</v>
      </c>
      <c r="AB75" s="63">
        <f t="shared" ca="1" si="5"/>
        <v>115.49356220037195</v>
      </c>
      <c r="AC75" s="3">
        <f t="shared" ca="1" si="6"/>
        <v>0</v>
      </c>
    </row>
    <row r="76" spans="8:29">
      <c r="H76" t="b">
        <f t="shared" ref="H76:H139" ca="1" si="10">IF(J76&lt;$J$8,TRUE,FALSE)</f>
        <v>1</v>
      </c>
      <c r="I76" t="b">
        <f t="shared" ca="1" si="7"/>
        <v>1</v>
      </c>
      <c r="J76" s="2">
        <f ca="1"/>
        <v>45076</v>
      </c>
      <c r="K76">
        <f ca="1"/>
        <v>114.51911963999824</v>
      </c>
      <c r="L76">
        <f ca="1"/>
        <v>8.7438596760007314E-2</v>
      </c>
      <c r="M76">
        <f ca="1"/>
        <v>9.7899139572822591E-2</v>
      </c>
      <c r="N76">
        <f ca="1"/>
        <v>0.14755081602454076</v>
      </c>
      <c r="O76">
        <f ca="1"/>
        <v>0</v>
      </c>
      <c r="P76">
        <f ca="1"/>
        <v>8.4637358408536638</v>
      </c>
      <c r="Q76">
        <f ca="1"/>
        <v>4.694098593458774</v>
      </c>
      <c r="R76">
        <f ca="1"/>
        <v>0.19551235208104192</v>
      </c>
      <c r="S76">
        <f ca="1"/>
        <v>1</v>
      </c>
      <c r="T76">
        <f ca="1"/>
        <v>0.31000000000000227</v>
      </c>
      <c r="U76">
        <f ca="1"/>
        <v>0</v>
      </c>
      <c r="V76">
        <f ca="1"/>
        <v>3.8023359522540913E-2</v>
      </c>
      <c r="X76" s="2">
        <f t="shared" ca="1" si="8"/>
        <v>45076</v>
      </c>
      <c r="Y76">
        <f t="shared" ca="1" si="9"/>
        <v>0</v>
      </c>
      <c r="AA76" s="63">
        <f t="shared" ca="1" si="4"/>
        <v>114.80207058883929</v>
      </c>
      <c r="AB76" s="63">
        <f t="shared" ca="1" si="5"/>
        <v>114.80207058883929</v>
      </c>
      <c r="AC76" s="3">
        <f t="shared" ca="1" si="6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45077</v>
      </c>
      <c r="K77">
        <f ca="1"/>
        <v>114.67495868491552</v>
      </c>
      <c r="L77">
        <f ca="1"/>
        <v>8.8899315568843562E-2</v>
      </c>
      <c r="M77">
        <f ca="1"/>
        <v>9.6403793909429325E-2</v>
      </c>
      <c r="N77">
        <f ca="1"/>
        <v>0.14833456657668953</v>
      </c>
      <c r="O77">
        <f ca="1"/>
        <v>0</v>
      </c>
      <c r="P77">
        <f ca="1"/>
        <v>8.5526351564225074</v>
      </c>
      <c r="Q77">
        <f ca="1"/>
        <v>4.743403316576063</v>
      </c>
      <c r="R77">
        <f ca="1"/>
        <v>0</v>
      </c>
      <c r="S77">
        <f ca="1"/>
        <v>0.9889855072463769</v>
      </c>
      <c r="T77">
        <f ca="1"/>
        <v>0</v>
      </c>
      <c r="U77">
        <f ca="1"/>
        <v>0</v>
      </c>
      <c r="V77">
        <f ca="1"/>
        <v>3.9003909220828178E-2</v>
      </c>
      <c r="X77" s="2">
        <f t="shared" ca="1" si="8"/>
        <v>45077</v>
      </c>
      <c r="Y77">
        <f t="shared" ca="1" si="9"/>
        <v>0</v>
      </c>
      <c r="AA77" s="63">
        <f t="shared" ref="AA77:AA140" ca="1" si="11">K76+M77+N77+O77</f>
        <v>114.76385800048436</v>
      </c>
      <c r="AB77" s="63">
        <f t="shared" ref="AB77:AB140" ca="1" si="12">K77+L77+R77</f>
        <v>114.76385800048436</v>
      </c>
      <c r="AC77" s="3">
        <f t="shared" ref="AC77:AC140" ca="1" si="13">AB77-AA77</f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45078</v>
      </c>
      <c r="K78">
        <f ca="1"/>
        <v>114.47963704535536</v>
      </c>
      <c r="L78">
        <f ca="1"/>
        <v>9.0952901981150802E-2</v>
      </c>
      <c r="M78">
        <f ca="1"/>
        <v>9.5239823934923251E-2</v>
      </c>
      <c r="N78">
        <f ca="1"/>
        <v>0.14991017420592959</v>
      </c>
      <c r="O78">
        <f ca="1"/>
        <v>0</v>
      </c>
      <c r="P78">
        <f ca="1"/>
        <v>8.6435880584036582</v>
      </c>
      <c r="Q78">
        <f ca="1"/>
        <v>4.7938469855762111</v>
      </c>
      <c r="R78">
        <f ca="1"/>
        <v>0.34951873571985809</v>
      </c>
      <c r="S78">
        <f ca="1"/>
        <v>1</v>
      </c>
      <c r="T78">
        <f ca="1"/>
        <v>0.55438020031814972</v>
      </c>
      <c r="U78">
        <f ca="1"/>
        <v>0</v>
      </c>
      <c r="V78">
        <f ca="1"/>
        <v>4.002145708990703E-2</v>
      </c>
      <c r="X78" s="2">
        <f t="shared" ca="1" si="8"/>
        <v>45078</v>
      </c>
      <c r="Y78">
        <f t="shared" ca="1" si="9"/>
        <v>0</v>
      </c>
      <c r="AA78" s="63">
        <f t="shared" ca="1" si="11"/>
        <v>114.92010868305637</v>
      </c>
      <c r="AB78" s="63">
        <f t="shared" ca="1" si="12"/>
        <v>114.92010868305637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45079</v>
      </c>
      <c r="K79">
        <f ca="1"/>
        <v>114.28153490256835</v>
      </c>
      <c r="L79">
        <f ca="1"/>
        <v>8.8243839411980218E-2</v>
      </c>
      <c r="M79">
        <f ca="1"/>
        <v>9.1392580349449304E-2</v>
      </c>
      <c r="N79">
        <f ca="1"/>
        <v>0.14490622924127619</v>
      </c>
      <c r="O79">
        <f ca="1"/>
        <v>0</v>
      </c>
      <c r="P79">
        <f ca="1"/>
        <v>8.7318318978156384</v>
      </c>
      <c r="Q79">
        <f ca="1"/>
        <v>4.8427881730440134</v>
      </c>
      <c r="R79">
        <f ca="1"/>
        <v>0.34615711296575763</v>
      </c>
      <c r="S79">
        <f ca="1"/>
        <v>1</v>
      </c>
      <c r="T79">
        <f ca="1"/>
        <v>0.55000000000001137</v>
      </c>
      <c r="U79">
        <f ca="1"/>
        <v>0</v>
      </c>
      <c r="V79">
        <f ca="1"/>
        <v>4.1022569277039567E-2</v>
      </c>
      <c r="X79" s="2">
        <f t="shared" ca="1" si="8"/>
        <v>45079</v>
      </c>
      <c r="Y79">
        <f t="shared" ca="1" si="9"/>
        <v>0</v>
      </c>
      <c r="AA79" s="63">
        <f t="shared" ca="1" si="11"/>
        <v>114.71593585494608</v>
      </c>
      <c r="AB79" s="63">
        <f t="shared" ca="1" si="12"/>
        <v>114.71593585494608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45080</v>
      </c>
      <c r="K80">
        <f ca="1"/>
        <v>114.0096330753892</v>
      </c>
      <c r="L80">
        <f ca="1"/>
        <v>8.5664998853884455E-2</v>
      </c>
      <c r="M80">
        <f ca="1"/>
        <v>8.7848361786575069E-2</v>
      </c>
      <c r="N80">
        <f ca="1"/>
        <v>0.14031504141437479</v>
      </c>
      <c r="O80">
        <f ca="1"/>
        <v>0</v>
      </c>
      <c r="P80">
        <f ca="1"/>
        <v>8.8174968966695229</v>
      </c>
      <c r="Q80">
        <f ca="1"/>
        <v>4.8902991018099691</v>
      </c>
      <c r="R80">
        <f ca="1"/>
        <v>0.41440023152619521</v>
      </c>
      <c r="S80">
        <f ca="1"/>
        <v>1</v>
      </c>
      <c r="T80">
        <f ca="1"/>
        <v>0.65999999999999659</v>
      </c>
      <c r="U80">
        <f ca="1"/>
        <v>0</v>
      </c>
      <c r="V80">
        <f ca="1"/>
        <v>4.2007495377214848E-2</v>
      </c>
      <c r="X80" s="2">
        <f t="shared" ca="1" si="8"/>
        <v>45080</v>
      </c>
      <c r="Y80">
        <f t="shared" ca="1" si="9"/>
        <v>0</v>
      </c>
      <c r="AA80" s="63">
        <f t="shared" ca="1" si="11"/>
        <v>114.50969830576929</v>
      </c>
      <c r="AB80" s="63">
        <f t="shared" ca="1" si="12"/>
        <v>114.50969830576929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45081</v>
      </c>
      <c r="K81">
        <f ca="1"/>
        <v>113.6410724168436</v>
      </c>
      <c r="L81">
        <f ca="1"/>
        <v>8.4393737320164419E-2</v>
      </c>
      <c r="M81">
        <f ca="1"/>
        <v>8.5164575199351944E-2</v>
      </c>
      <c r="N81">
        <f ca="1"/>
        <v>0.13760650487817813</v>
      </c>
      <c r="O81">
        <f ca="1"/>
        <v>0</v>
      </c>
      <c r="P81">
        <f ca="1"/>
        <v>8.9018906339896873</v>
      </c>
      <c r="Q81">
        <f ca="1"/>
        <v>4.9371049723026568</v>
      </c>
      <c r="R81">
        <f ca="1"/>
        <v>0.50693800130296462</v>
      </c>
      <c r="S81">
        <f ca="1"/>
        <v>1</v>
      </c>
      <c r="T81">
        <f ca="1"/>
        <v>0.81000000000000227</v>
      </c>
      <c r="U81">
        <f ca="1"/>
        <v>0</v>
      </c>
      <c r="V81">
        <f ca="1"/>
        <v>4.2990395757379778E-2</v>
      </c>
      <c r="X81" s="2">
        <f t="shared" ca="1" si="8"/>
        <v>45081</v>
      </c>
      <c r="Y81">
        <f t="shared" ca="1" si="9"/>
        <v>0</v>
      </c>
      <c r="AA81" s="63">
        <f t="shared" ca="1" si="11"/>
        <v>114.23240415546674</v>
      </c>
      <c r="AB81" s="63">
        <f t="shared" ca="1" si="12"/>
        <v>114.23240415546674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45082</v>
      </c>
      <c r="K82">
        <f ca="1"/>
        <v>113.74514807696455</v>
      </c>
      <c r="L82">
        <f ca="1"/>
        <v>8.4365672490283927E-2</v>
      </c>
      <c r="M82">
        <f ca="1"/>
        <v>8.3199962278618145E-2</v>
      </c>
      <c r="N82">
        <f ca="1"/>
        <v>0.13656249806396009</v>
      </c>
      <c r="O82">
        <f ca="1"/>
        <v>0</v>
      </c>
      <c r="P82">
        <f ca="1"/>
        <v>8.9862563064799712</v>
      </c>
      <c r="Q82">
        <f ca="1"/>
        <v>4.9838952776736365</v>
      </c>
      <c r="R82">
        <f ca="1"/>
        <v>3.132112773134519E-2</v>
      </c>
      <c r="S82">
        <f ca="1"/>
        <v>1</v>
      </c>
      <c r="T82">
        <f ca="1"/>
        <v>5.0000000000011369E-2</v>
      </c>
      <c r="U82">
        <f ca="1"/>
        <v>0</v>
      </c>
      <c r="V82">
        <f ca="1"/>
        <v>4.3985456836395639E-2</v>
      </c>
      <c r="X82" s="2">
        <f t="shared" ca="1" si="8"/>
        <v>45082</v>
      </c>
      <c r="Y82">
        <f t="shared" ca="1" si="9"/>
        <v>0</v>
      </c>
      <c r="AA82" s="63">
        <f t="shared" ca="1" si="11"/>
        <v>113.86083487718618</v>
      </c>
      <c r="AB82" s="63">
        <f t="shared" ca="1" si="12"/>
        <v>113.86083487718618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45083</v>
      </c>
      <c r="K83">
        <f ca="1"/>
        <v>113.73132631317156</v>
      </c>
      <c r="L83">
        <f ca="1"/>
        <v>8.1114538435855366E-2</v>
      </c>
      <c r="M83">
        <f ca="1"/>
        <v>7.9787010282027282E-2</v>
      </c>
      <c r="N83">
        <f ca="1"/>
        <v>0.13156544435750425</v>
      </c>
      <c r="O83">
        <f ca="1"/>
        <v>0</v>
      </c>
      <c r="P83">
        <f ca="1"/>
        <v>9.0673708449158266</v>
      </c>
      <c r="Q83">
        <f ca="1"/>
        <v>5.0288824615768624</v>
      </c>
      <c r="R83">
        <f ca="1"/>
        <v>0.1440596799966776</v>
      </c>
      <c r="S83">
        <f ca="1"/>
        <v>1</v>
      </c>
      <c r="T83">
        <f ca="1"/>
        <v>0.22999999999998977</v>
      </c>
      <c r="U83">
        <f ca="1"/>
        <v>0</v>
      </c>
      <c r="V83">
        <f ca="1"/>
        <v>4.4953941122842074E-2</v>
      </c>
      <c r="X83" s="2">
        <f t="shared" ca="1" si="8"/>
        <v>45083</v>
      </c>
      <c r="Y83">
        <f t="shared" ca="1" si="9"/>
        <v>0</v>
      </c>
      <c r="AA83" s="63">
        <f t="shared" ca="1" si="11"/>
        <v>113.95650053160409</v>
      </c>
      <c r="AB83" s="63">
        <f t="shared" ca="1" si="12"/>
        <v>113.95650053160409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45084</v>
      </c>
      <c r="K84">
        <f ca="1"/>
        <v>113.28719200806601</v>
      </c>
      <c r="L84">
        <f ca="1"/>
        <v>8.4472370371528882E-2</v>
      </c>
      <c r="M84">
        <f ca="1"/>
        <v>7.9541634722442467E-2</v>
      </c>
      <c r="N84">
        <f ca="1"/>
        <v>0.13478487005106735</v>
      </c>
      <c r="O84">
        <f ca="1"/>
        <v>0</v>
      </c>
      <c r="P84">
        <f ca="1"/>
        <v>9.1518432152873554</v>
      </c>
      <c r="Q84">
        <f ca="1"/>
        <v>5.0757319429882672</v>
      </c>
      <c r="R84">
        <f ca="1"/>
        <v>0.57398843950752665</v>
      </c>
      <c r="S84">
        <f ca="1"/>
        <v>1</v>
      </c>
      <c r="T84">
        <f ca="1"/>
        <v>0.91999999999998749</v>
      </c>
      <c r="U84">
        <f ca="1"/>
        <v>0</v>
      </c>
      <c r="V84">
        <f ca="1"/>
        <v>4.5974775455116933E-2</v>
      </c>
      <c r="X84" s="2">
        <f t="shared" ca="1" si="8"/>
        <v>45084</v>
      </c>
      <c r="Y84">
        <f t="shared" ca="1" si="9"/>
        <v>0</v>
      </c>
      <c r="AA84" s="63">
        <f t="shared" ca="1" si="11"/>
        <v>113.94565281794507</v>
      </c>
      <c r="AB84" s="63">
        <f t="shared" ca="1" si="12"/>
        <v>113.94565281794507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45085</v>
      </c>
      <c r="K85">
        <f ca="1"/>
        <v>112.92183322400341</v>
      </c>
      <c r="L85">
        <f ca="1"/>
        <v>9.1781512988397651E-2</v>
      </c>
      <c r="M85">
        <f ca="1"/>
        <v>8.1028542896754985E-2</v>
      </c>
      <c r="N85">
        <f ca="1"/>
        <v>0.14290487153769529</v>
      </c>
      <c r="O85">
        <f ca="1"/>
        <v>0</v>
      </c>
      <c r="P85">
        <f ca="1"/>
        <v>9.2436247282757531</v>
      </c>
      <c r="Q85">
        <f ca="1"/>
        <v>5.1266351704903332</v>
      </c>
      <c r="R85">
        <f ca="1"/>
        <v>0.49751068550865096</v>
      </c>
      <c r="S85">
        <f ca="1"/>
        <v>1</v>
      </c>
      <c r="T85">
        <f ca="1"/>
        <v>0.79999999999999716</v>
      </c>
      <c r="U85">
        <f ca="1"/>
        <v>0</v>
      </c>
      <c r="V85">
        <f ca="1"/>
        <v>4.7098108016593816E-2</v>
      </c>
      <c r="X85" s="2">
        <f t="shared" ca="1" si="8"/>
        <v>45085</v>
      </c>
      <c r="Y85">
        <f t="shared" ca="1" si="9"/>
        <v>0</v>
      </c>
      <c r="AA85" s="63">
        <f t="shared" ca="1" si="11"/>
        <v>113.51112542250047</v>
      </c>
      <c r="AB85" s="63">
        <f t="shared" ca="1" si="12"/>
        <v>113.51112542250046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45086</v>
      </c>
      <c r="K86">
        <f ca="1"/>
        <v>112.90412426799278</v>
      </c>
      <c r="L86">
        <f ca="1"/>
        <v>9.5255382517951404E-2</v>
      </c>
      <c r="M86">
        <f ca="1"/>
        <v>8.0629362924344861E-2</v>
      </c>
      <c r="N86">
        <f ca="1"/>
        <v>0.1461468626154569</v>
      </c>
      <c r="O86">
        <f ca="1"/>
        <v>0</v>
      </c>
      <c r="P86">
        <f ca="1"/>
        <v>9.3388801107937045</v>
      </c>
      <c r="Q86">
        <f ca="1"/>
        <v>5.1794650514677851</v>
      </c>
      <c r="R86">
        <f ca="1"/>
        <v>0.14922979903247424</v>
      </c>
      <c r="S86">
        <f ca="1"/>
        <v>1</v>
      </c>
      <c r="T86">
        <f ca="1"/>
        <v>0.23999999999999488</v>
      </c>
      <c r="U86">
        <f ca="1"/>
        <v>0</v>
      </c>
      <c r="V86">
        <f ca="1"/>
        <v>4.8279549881657211E-2</v>
      </c>
      <c r="X86" s="2">
        <f t="shared" ca="1" si="8"/>
        <v>45086</v>
      </c>
      <c r="Y86">
        <f t="shared" ca="1" si="9"/>
        <v>0</v>
      </c>
      <c r="AA86" s="63">
        <f t="shared" ca="1" si="11"/>
        <v>113.1486094495432</v>
      </c>
      <c r="AB86" s="63">
        <f t="shared" ca="1" si="12"/>
        <v>113.1486094495432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45087</v>
      </c>
      <c r="K87">
        <f ca="1"/>
        <v>112.54345797051363</v>
      </c>
      <c r="L87">
        <f ca="1"/>
        <v>9.6222006517617586E-2</v>
      </c>
      <c r="M87">
        <f ca="1"/>
        <v>7.9054441825165966E-2</v>
      </c>
      <c r="N87">
        <f ca="1"/>
        <v>0.1461468626154569</v>
      </c>
      <c r="O87">
        <f ca="1"/>
        <v>0</v>
      </c>
      <c r="P87">
        <f ca="1"/>
        <v>9.4351021173113221</v>
      </c>
      <c r="Q87">
        <f ca="1"/>
        <v>5.2328310347578038</v>
      </c>
      <c r="R87">
        <f ca="1"/>
        <v>0.48964559540215169</v>
      </c>
      <c r="S87">
        <f ca="1"/>
        <v>1</v>
      </c>
      <c r="T87">
        <f ca="1"/>
        <v>0.79000000000000625</v>
      </c>
      <c r="U87">
        <f ca="1"/>
        <v>0</v>
      </c>
      <c r="V87">
        <f ca="1"/>
        <v>4.9489088704770617E-2</v>
      </c>
      <c r="X87" s="2">
        <f t="shared" ca="1" si="8"/>
        <v>45087</v>
      </c>
      <c r="Y87">
        <f t="shared" ca="1" si="9"/>
        <v>0</v>
      </c>
      <c r="AA87" s="63">
        <f t="shared" ca="1" si="11"/>
        <v>113.1293255724334</v>
      </c>
      <c r="AB87" s="63">
        <f t="shared" ca="1" si="12"/>
        <v>113.1293255724334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45088</v>
      </c>
      <c r="K88">
        <f ca="1"/>
        <v>112.65568956115798</v>
      </c>
      <c r="L88">
        <f ca="1"/>
        <v>9.4453733767760895E-2</v>
      </c>
      <c r="M88">
        <f ca="1"/>
        <v>7.6342105085320355E-2</v>
      </c>
      <c r="N88">
        <f ca="1"/>
        <v>0.14275167209005638</v>
      </c>
      <c r="O88">
        <f ca="1"/>
        <v>0</v>
      </c>
      <c r="P88">
        <f ca="1"/>
        <v>9.529555851079083</v>
      </c>
      <c r="Q88">
        <f ca="1"/>
        <v>5.2852163108537376</v>
      </c>
      <c r="R88">
        <f ca="1"/>
        <v>1.2408452763255511E-2</v>
      </c>
      <c r="S88">
        <f ca="1"/>
        <v>1</v>
      </c>
      <c r="T88">
        <f ca="1"/>
        <v>1.9999999999996021E-2</v>
      </c>
      <c r="U88">
        <f ca="1"/>
        <v>0</v>
      </c>
      <c r="V88">
        <f ca="1"/>
        <v>5.069212719142116E-2</v>
      </c>
      <c r="X88" s="2">
        <f t="shared" ca="1" si="8"/>
        <v>45088</v>
      </c>
      <c r="Y88">
        <f t="shared" ca="1" si="9"/>
        <v>0</v>
      </c>
      <c r="AA88" s="63">
        <f t="shared" ca="1" si="11"/>
        <v>112.762551747689</v>
      </c>
      <c r="AB88" s="63">
        <f t="shared" ca="1" si="12"/>
        <v>112.762551747689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45089</v>
      </c>
      <c r="K89">
        <f ca="1"/>
        <v>111.18656756209406</v>
      </c>
      <c r="L89">
        <f ca="1"/>
        <v>9.6518248295772935E-2</v>
      </c>
      <c r="M89">
        <f ca="1"/>
        <v>7.5324656064013951E-2</v>
      </c>
      <c r="N89">
        <f ca="1"/>
        <v>0.14413432869463669</v>
      </c>
      <c r="O89">
        <f ca="1"/>
        <v>0</v>
      </c>
      <c r="P89">
        <f ca="1"/>
        <v>9.6260740993748559</v>
      </c>
      <c r="Q89">
        <f ca="1"/>
        <v>5.3387465937084304</v>
      </c>
      <c r="R89">
        <f ca="1"/>
        <v>1.5920627355268013</v>
      </c>
      <c r="S89">
        <f ca="1"/>
        <v>1</v>
      </c>
      <c r="T89">
        <f ca="1"/>
        <v>2.6000000000000085</v>
      </c>
      <c r="U89">
        <f ca="1"/>
        <v>0</v>
      </c>
      <c r="V89">
        <f ca="1"/>
        <v>5.1937535411741689E-2</v>
      </c>
      <c r="X89" s="2">
        <f t="shared" ca="1" si="8"/>
        <v>45089</v>
      </c>
      <c r="Y89">
        <f t="shared" ca="1" si="9"/>
        <v>0</v>
      </c>
      <c r="AA89" s="63">
        <f t="shared" ca="1" si="11"/>
        <v>112.87514854591663</v>
      </c>
      <c r="AB89" s="63">
        <f t="shared" ca="1" si="12"/>
        <v>112.87514854591662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45090</v>
      </c>
      <c r="K90">
        <f ca="1"/>
        <v>110.76430448859367</v>
      </c>
      <c r="L90">
        <f ca="1"/>
        <v>8.692625221423711E-2</v>
      </c>
      <c r="M90">
        <f ca="1"/>
        <v>6.9758061281893546E-2</v>
      </c>
      <c r="N90">
        <f ca="1"/>
        <v>0.13171067425784272</v>
      </c>
      <c r="O90">
        <f ca="1"/>
        <v>0</v>
      </c>
      <c r="P90">
        <f ca="1"/>
        <v>9.713000351589093</v>
      </c>
      <c r="Q90">
        <f ca="1"/>
        <v>5.3869570300838099</v>
      </c>
      <c r="R90">
        <f ca="1"/>
        <v>0.53680555682588593</v>
      </c>
      <c r="S90">
        <f ca="1"/>
        <v>1</v>
      </c>
      <c r="T90">
        <f ca="1"/>
        <v>0.88000000000000966</v>
      </c>
      <c r="U90">
        <f ca="1"/>
        <v>0</v>
      </c>
      <c r="V90">
        <f ca="1"/>
        <v>5.3073060745866173E-2</v>
      </c>
      <c r="X90" s="2">
        <f t="shared" ca="1" si="8"/>
        <v>45090</v>
      </c>
      <c r="Y90">
        <f t="shared" ca="1" si="9"/>
        <v>0</v>
      </c>
      <c r="AA90" s="63">
        <f t="shared" ca="1" si="11"/>
        <v>111.38803629763379</v>
      </c>
      <c r="AB90" s="63">
        <f t="shared" ca="1" si="12"/>
        <v>111.38803629763379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45091</v>
      </c>
      <c r="K91">
        <f ca="1"/>
        <v>110.69628344471195</v>
      </c>
      <c r="L91">
        <f ca="1"/>
        <v>9.2315764715861448E-2</v>
      </c>
      <c r="M91">
        <f ca="1"/>
        <v>7.0174940552135467E-2</v>
      </c>
      <c r="N91">
        <f ca="1"/>
        <v>0.13700929206022769</v>
      </c>
      <c r="O91">
        <f ca="1"/>
        <v>0</v>
      </c>
      <c r="P91">
        <f ca="1"/>
        <v>9.8053161163049545</v>
      </c>
      <c r="Q91">
        <f ca="1"/>
        <v>5.4381565605813362</v>
      </c>
      <c r="R91">
        <f ca="1"/>
        <v>0.18288951177821799</v>
      </c>
      <c r="S91">
        <f ca="1"/>
        <v>1</v>
      </c>
      <c r="T91">
        <f ca="1"/>
        <v>0.29999999999999716</v>
      </c>
      <c r="U91">
        <f ca="1"/>
        <v>0</v>
      </c>
      <c r="V91">
        <f ca="1"/>
        <v>5.429337559226826E-2</v>
      </c>
      <c r="X91" s="2">
        <f t="shared" ca="1" si="8"/>
        <v>45091</v>
      </c>
      <c r="Y91">
        <f t="shared" ca="1" si="9"/>
        <v>0</v>
      </c>
      <c r="AA91" s="63">
        <f t="shared" ca="1" si="11"/>
        <v>110.97148872120603</v>
      </c>
      <c r="AB91" s="63">
        <f t="shared" ca="1" si="12"/>
        <v>110.97148872120603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45092</v>
      </c>
      <c r="K92">
        <f ca="1"/>
        <v>109.45342017739824</v>
      </c>
      <c r="L92">
        <f ca="1"/>
        <v>9.4603477879685371E-2</v>
      </c>
      <c r="M92">
        <f ca="1"/>
        <v>6.9355129457871811E-2</v>
      </c>
      <c r="N92">
        <f ca="1"/>
        <v>0.13865572243673976</v>
      </c>
      <c r="O92">
        <f ca="1"/>
        <v>0</v>
      </c>
      <c r="P92">
        <f ca="1"/>
        <v>9.8999195941846398</v>
      </c>
      <c r="Q92">
        <f ca="1"/>
        <v>5.4906248867202274</v>
      </c>
      <c r="R92">
        <f ca="1"/>
        <v>1.3562706413286303</v>
      </c>
      <c r="S92">
        <f ca="1"/>
        <v>1</v>
      </c>
      <c r="T92">
        <f ca="1"/>
        <v>2.25</v>
      </c>
      <c r="U92">
        <f ca="1"/>
        <v>0</v>
      </c>
      <c r="V92">
        <f ca="1"/>
        <v>5.5559278287706501E-2</v>
      </c>
      <c r="X92" s="2">
        <f t="shared" ca="1" si="8"/>
        <v>45092</v>
      </c>
      <c r="Y92">
        <f t="shared" ca="1" si="9"/>
        <v>0</v>
      </c>
      <c r="AA92" s="63">
        <f t="shared" ca="1" si="11"/>
        <v>110.90429429660657</v>
      </c>
      <c r="AB92" s="63">
        <f t="shared" ca="1" si="12"/>
        <v>110.90429429660657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45093</v>
      </c>
      <c r="K93">
        <f ca="1"/>
        <v>108.65681564156877</v>
      </c>
      <c r="L93">
        <f ca="1"/>
        <v>8.6615950193541735E-2</v>
      </c>
      <c r="M93">
        <f ca="1"/>
        <v>6.49122721630917E-2</v>
      </c>
      <c r="N93">
        <f ca="1"/>
        <v>0.12868292213042934</v>
      </c>
      <c r="O93">
        <f ca="1"/>
        <v>0</v>
      </c>
      <c r="P93">
        <f ca="1"/>
        <v>9.9865355443781816</v>
      </c>
      <c r="Q93">
        <f ca="1"/>
        <v>5.5386632255365287</v>
      </c>
      <c r="R93">
        <f ca="1"/>
        <v>0.90358377992944627</v>
      </c>
      <c r="S93">
        <f ca="1"/>
        <v>1</v>
      </c>
      <c r="T93">
        <f ca="1"/>
        <v>1.5099999999999909</v>
      </c>
      <c r="U93">
        <f ca="1"/>
        <v>0</v>
      </c>
      <c r="V93">
        <f ca="1"/>
        <v>5.6731895259262956E-2</v>
      </c>
      <c r="X93" s="2">
        <f t="shared" ca="1" si="8"/>
        <v>45093</v>
      </c>
      <c r="Y93">
        <f t="shared" ca="1" si="9"/>
        <v>0</v>
      </c>
      <c r="AA93" s="63">
        <f t="shared" ca="1" si="11"/>
        <v>109.64701537169177</v>
      </c>
      <c r="AB93" s="63">
        <f t="shared" ca="1" si="12"/>
        <v>109.64701537169177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45094</v>
      </c>
      <c r="K94">
        <f ca="1"/>
        <v>107.60889271452804</v>
      </c>
      <c r="L94">
        <f ca="1"/>
        <v>7.8933768834032136E-2</v>
      </c>
      <c r="M94">
        <f ca="1"/>
        <v>6.0971106574159606E-2</v>
      </c>
      <c r="N94">
        <f ca="1"/>
        <v>0.11973938317784497</v>
      </c>
      <c r="O94">
        <f ca="1"/>
        <v>0</v>
      </c>
      <c r="P94">
        <f ca="1"/>
        <v>10.065469313212214</v>
      </c>
      <c r="Q94">
        <f ca="1"/>
        <v>5.5824409260965755</v>
      </c>
      <c r="R94">
        <f ca="1"/>
        <v>1.1496996479587036</v>
      </c>
      <c r="S94">
        <f ca="1"/>
        <v>1</v>
      </c>
      <c r="T94">
        <f ca="1"/>
        <v>1.9400000000000119</v>
      </c>
      <c r="U94">
        <f ca="1"/>
        <v>0</v>
      </c>
      <c r="V94">
        <f ca="1"/>
        <v>5.7811807011309641E-2</v>
      </c>
      <c r="X94" s="2">
        <f t="shared" ca="1" si="8"/>
        <v>45094</v>
      </c>
      <c r="Y94">
        <f t="shared" ca="1" si="9"/>
        <v>0</v>
      </c>
      <c r="AA94" s="63">
        <f t="shared" ca="1" si="11"/>
        <v>108.83752613132077</v>
      </c>
      <c r="AB94" s="63">
        <f t="shared" ca="1" si="12"/>
        <v>108.83752613132077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45095</v>
      </c>
      <c r="K95">
        <f ca="1"/>
        <v>107.03915670660592</v>
      </c>
      <c r="L95">
        <f ca="1"/>
        <v>8.5651153409475711E-2</v>
      </c>
      <c r="M95">
        <f ca="1"/>
        <v>6.1810408206778078E-2</v>
      </c>
      <c r="N95">
        <f ca="1"/>
        <v>0.12612448634291479</v>
      </c>
      <c r="O95">
        <f ca="1"/>
        <v>0</v>
      </c>
      <c r="P95">
        <f ca="1"/>
        <v>10.151120466621689</v>
      </c>
      <c r="Q95">
        <f ca="1"/>
        <v>5.6299441759979798</v>
      </c>
      <c r="R95">
        <f ca="1"/>
        <v>0.67201974906234363</v>
      </c>
      <c r="S95">
        <f ca="1"/>
        <v>1</v>
      </c>
      <c r="T95">
        <f ca="1"/>
        <v>1.1400000000000006</v>
      </c>
      <c r="U95">
        <f ca="1"/>
        <v>0</v>
      </c>
      <c r="V95">
        <f ca="1"/>
        <v>5.8995783232073683E-2</v>
      </c>
      <c r="X95" s="2">
        <f t="shared" ca="1" si="8"/>
        <v>45095</v>
      </c>
      <c r="Y95">
        <f t="shared" ca="1" si="9"/>
        <v>0</v>
      </c>
      <c r="AA95" s="63">
        <f t="shared" ca="1" si="11"/>
        <v>107.79682760907774</v>
      </c>
      <c r="AB95" s="63">
        <f t="shared" ca="1" si="12"/>
        <v>107.79682760907774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45096</v>
      </c>
      <c r="K96">
        <f ca="1"/>
        <v>106.49979598251596</v>
      </c>
      <c r="L96">
        <f ca="1"/>
        <v>8.5029596068856961E-2</v>
      </c>
      <c r="M96">
        <f ca="1"/>
        <v>6.0258600804669271E-2</v>
      </c>
      <c r="N96">
        <f ca="1"/>
        <v>0.12471774213014523</v>
      </c>
      <c r="O96">
        <f ca="1"/>
        <v>0</v>
      </c>
      <c r="P96">
        <f ca="1"/>
        <v>10.236150062690546</v>
      </c>
      <c r="Q96">
        <f ca="1"/>
        <v>5.6771027020690079</v>
      </c>
      <c r="R96">
        <f ca="1"/>
        <v>0.63930747095591678</v>
      </c>
      <c r="S96">
        <f ca="1"/>
        <v>1</v>
      </c>
      <c r="T96">
        <f ca="1"/>
        <v>1.0900000000000034</v>
      </c>
      <c r="U96">
        <f ca="1"/>
        <v>0</v>
      </c>
      <c r="V96">
        <f ca="1"/>
        <v>6.0183661932084631E-2</v>
      </c>
      <c r="X96" s="2">
        <f t="shared" ca="1" si="8"/>
        <v>45096</v>
      </c>
      <c r="Y96">
        <f t="shared" ca="1" si="9"/>
        <v>0</v>
      </c>
      <c r="AA96" s="63">
        <f t="shared" ca="1" si="11"/>
        <v>107.22413304954074</v>
      </c>
      <c r="AB96" s="63">
        <f t="shared" ca="1" si="12"/>
        <v>107.22413304954074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45097</v>
      </c>
      <c r="K97">
        <f ca="1"/>
        <v>106.0085628708615</v>
      </c>
      <c r="L97">
        <f ca="1"/>
        <v>8.653950606148797E-2</v>
      </c>
      <c r="M97">
        <f ca="1"/>
        <v>5.9399282091067818E-2</v>
      </c>
      <c r="N97">
        <f ca="1"/>
        <v>0.12556053883533327</v>
      </c>
      <c r="O97">
        <f ca="1"/>
        <v>0</v>
      </c>
      <c r="P97">
        <f ca="1"/>
        <v>10.322689568752034</v>
      </c>
      <c r="Q97">
        <f ca="1"/>
        <v>5.7250986439698686</v>
      </c>
      <c r="R97">
        <f ca="1"/>
        <v>0.58965342651937458</v>
      </c>
      <c r="S97">
        <f ca="1"/>
        <v>1</v>
      </c>
      <c r="T97">
        <f ca="1"/>
        <v>1.0100000000000051</v>
      </c>
      <c r="U97">
        <f ca="1"/>
        <v>0</v>
      </c>
      <c r="V97">
        <f ca="1"/>
        <v>6.1405386849329398E-2</v>
      </c>
      <c r="X97" s="2">
        <f t="shared" ca="1" si="8"/>
        <v>45097</v>
      </c>
      <c r="Y97">
        <f t="shared" ca="1" si="9"/>
        <v>0</v>
      </c>
      <c r="AA97" s="63">
        <f t="shared" ca="1" si="11"/>
        <v>106.68475580344236</v>
      </c>
      <c r="AB97" s="63">
        <f t="shared" ca="1" si="12"/>
        <v>106.68475580344236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45098</v>
      </c>
      <c r="K98">
        <f ca="1"/>
        <v>105.54190710895534</v>
      </c>
      <c r="L98">
        <f ca="1"/>
        <v>8.889160122668649E-2</v>
      </c>
      <c r="M98">
        <f ca="1"/>
        <v>5.87863778358102E-2</v>
      </c>
      <c r="N98">
        <f ca="1"/>
        <v>0.12725738844647588</v>
      </c>
      <c r="O98">
        <f ca="1"/>
        <v>0</v>
      </c>
      <c r="P98">
        <f ca="1"/>
        <v>10.411581169978721</v>
      </c>
      <c r="Q98">
        <f ca="1"/>
        <v>5.7743990886121015</v>
      </c>
      <c r="R98">
        <f ca="1"/>
        <v>0.56380792696175208</v>
      </c>
      <c r="S98">
        <f ca="1"/>
        <v>1</v>
      </c>
      <c r="T98">
        <f ca="1"/>
        <v>0.96999999999999886</v>
      </c>
      <c r="U98">
        <f ca="1"/>
        <v>0</v>
      </c>
      <c r="V98">
        <f ca="1"/>
        <v>6.2673677853870929E-2</v>
      </c>
      <c r="X98" s="2">
        <f t="shared" ca="1" si="8"/>
        <v>45098</v>
      </c>
      <c r="Y98">
        <f t="shared" ca="1" si="9"/>
        <v>0</v>
      </c>
      <c r="AA98" s="63">
        <f t="shared" ca="1" si="11"/>
        <v>106.19460663714379</v>
      </c>
      <c r="AB98" s="63">
        <f t="shared" ca="1" si="12"/>
        <v>106.19460663714379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45099</v>
      </c>
      <c r="K99">
        <f ca="1"/>
        <v>105.01662227993965</v>
      </c>
      <c r="L99">
        <f ca="1"/>
        <v>8.3881977537906494E-2</v>
      </c>
      <c r="M99">
        <f ca="1"/>
        <v>5.605029145127105E-2</v>
      </c>
      <c r="N99">
        <f ca="1"/>
        <v>0.1213839385060894</v>
      </c>
      <c r="O99">
        <f ca="1"/>
        <v>0</v>
      </c>
      <c r="P99">
        <f ca="1"/>
        <v>10.495463147516627</v>
      </c>
      <c r="Q99">
        <f ca="1"/>
        <v>5.8209211304363082</v>
      </c>
      <c r="R99">
        <f ca="1"/>
        <v>0.61883708143512683</v>
      </c>
      <c r="S99">
        <f ca="1"/>
        <v>1</v>
      </c>
      <c r="T99">
        <f ca="1"/>
        <v>1.0700000000000074</v>
      </c>
      <c r="U99">
        <f ca="1"/>
        <v>0</v>
      </c>
      <c r="V99">
        <f ca="1"/>
        <v>6.3882875904304318E-2</v>
      </c>
      <c r="X99" s="2">
        <f t="shared" ca="1" si="8"/>
        <v>45099</v>
      </c>
      <c r="Y99">
        <f t="shared" ca="1" si="9"/>
        <v>0</v>
      </c>
      <c r="AA99" s="63">
        <f t="shared" ca="1" si="11"/>
        <v>105.7193413389127</v>
      </c>
      <c r="AB99" s="63">
        <f t="shared" ca="1" si="12"/>
        <v>105.71934133891268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45100</v>
      </c>
      <c r="K100">
        <f ca="1"/>
        <v>104.96424026191998</v>
      </c>
      <c r="L100">
        <f ca="1"/>
        <v>8.5513924665400864E-2</v>
      </c>
      <c r="M100">
        <f ca="1"/>
        <v>5.5297757794752656E-2</v>
      </c>
      <c r="N100">
        <f ca="1"/>
        <v>0.122350131820294</v>
      </c>
      <c r="O100">
        <f ca="1"/>
        <v>0</v>
      </c>
      <c r="P100">
        <f ca="1"/>
        <v>10.580977072182028</v>
      </c>
      <c r="Q100">
        <f ca="1"/>
        <v>5.8683482714814508</v>
      </c>
      <c r="R100">
        <f ca="1"/>
        <v>0.14451598296931012</v>
      </c>
      <c r="S100">
        <f ca="1"/>
        <v>1</v>
      </c>
      <c r="T100">
        <f ca="1"/>
        <v>0.25</v>
      </c>
      <c r="U100">
        <f ca="1"/>
        <v>0</v>
      </c>
      <c r="V100">
        <f ca="1"/>
        <v>6.5127942587761445E-2</v>
      </c>
      <c r="X100" s="2">
        <f t="shared" ca="1" si="8"/>
        <v>45100</v>
      </c>
      <c r="Y100">
        <f t="shared" ca="1" si="9"/>
        <v>0</v>
      </c>
      <c r="AA100" s="63">
        <f t="shared" ca="1" si="11"/>
        <v>105.1942701695547</v>
      </c>
      <c r="AB100" s="63">
        <f t="shared" ca="1" si="12"/>
        <v>105.1942701695547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45101</v>
      </c>
      <c r="K101">
        <f ca="1"/>
        <v>104.63516122516276</v>
      </c>
      <c r="L101">
        <f ca="1"/>
        <v>9.0380233653325703E-2</v>
      </c>
      <c r="M101">
        <f ca="1"/>
        <v>5.541633225183773E-2</v>
      </c>
      <c r="N101">
        <f ca="1"/>
        <v>0.12654854180164712</v>
      </c>
      <c r="O101">
        <f ca="1"/>
        <v>0</v>
      </c>
      <c r="P101">
        <f ca="1"/>
        <v>10.671357305835354</v>
      </c>
      <c r="Q101">
        <f ca="1"/>
        <v>5.9184743311371317</v>
      </c>
      <c r="R101">
        <f ca="1"/>
        <v>0.42066367715739578</v>
      </c>
      <c r="S101">
        <f ca="1"/>
        <v>1</v>
      </c>
      <c r="T101">
        <f ca="1"/>
        <v>0.73000000000000398</v>
      </c>
      <c r="U101">
        <f ca="1"/>
        <v>0</v>
      </c>
      <c r="V101">
        <f ca="1"/>
        <v>6.6457368335732903E-2</v>
      </c>
      <c r="X101" s="2">
        <f t="shared" ca="1" si="8"/>
        <v>45101</v>
      </c>
      <c r="Y101">
        <f t="shared" ca="1" si="9"/>
        <v>0</v>
      </c>
      <c r="AA101" s="63">
        <f t="shared" ca="1" si="11"/>
        <v>105.14620513597347</v>
      </c>
      <c r="AB101" s="63">
        <f t="shared" ca="1" si="12"/>
        <v>105.14620513597347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45102</v>
      </c>
      <c r="K102">
        <f ca="1"/>
        <v>104.51172395222009</v>
      </c>
      <c r="L102">
        <f ca="1"/>
        <v>9.0154728926901129E-2</v>
      </c>
      <c r="M102">
        <f ca="1"/>
        <v>5.4118487984874619E-2</v>
      </c>
      <c r="N102">
        <f ca="1"/>
        <v>0.12556053883533327</v>
      </c>
      <c r="O102">
        <f ca="1"/>
        <v>0</v>
      </c>
      <c r="P102">
        <f ca="1"/>
        <v>10.761512034762255</v>
      </c>
      <c r="Q102">
        <f ca="1"/>
        <v>5.9684753229221892</v>
      </c>
      <c r="R102">
        <f ca="1"/>
        <v>0.21296157083596753</v>
      </c>
      <c r="S102">
        <f ca="1"/>
        <v>1</v>
      </c>
      <c r="T102">
        <f ca="1"/>
        <v>0.36999999999999034</v>
      </c>
      <c r="U102">
        <f ca="1"/>
        <v>0</v>
      </c>
      <c r="V102">
        <f ca="1"/>
        <v>6.7797261830574038E-2</v>
      </c>
      <c r="X102" s="2">
        <f t="shared" ca="1" si="8"/>
        <v>45102</v>
      </c>
      <c r="Y102">
        <f t="shared" ca="1" si="9"/>
        <v>0</v>
      </c>
      <c r="AA102" s="63">
        <f t="shared" ca="1" si="11"/>
        <v>104.81484025198297</v>
      </c>
      <c r="AB102" s="63">
        <f t="shared" ca="1" si="12"/>
        <v>104.81484025198297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45103</v>
      </c>
      <c r="K103">
        <f ca="1"/>
        <v>104.51407951621552</v>
      </c>
      <c r="L103">
        <f ca="1"/>
        <v>9.444699267246115E-2</v>
      </c>
      <c r="M103">
        <f ca="1"/>
        <v>5.4027650661048199E-2</v>
      </c>
      <c r="N103">
        <f ca="1"/>
        <v>0.12911262386803601</v>
      </c>
      <c r="O103">
        <f ca="1"/>
        <v>0</v>
      </c>
      <c r="P103">
        <f ca="1"/>
        <v>10.855959027434716</v>
      </c>
      <c r="Q103">
        <f ca="1"/>
        <v>6.0208568603185046</v>
      </c>
      <c r="R103">
        <f ca="1"/>
        <v>8.6337717861216606E-2</v>
      </c>
      <c r="S103">
        <f ca="1"/>
        <v>1</v>
      </c>
      <c r="T103">
        <f ca="1"/>
        <v>0.14999999999999147</v>
      </c>
      <c r="U103">
        <f ca="1"/>
        <v>0</v>
      </c>
      <c r="V103">
        <f ca="1"/>
        <v>6.9215663598408944E-2</v>
      </c>
      <c r="X103" s="2">
        <f t="shared" ca="1" si="8"/>
        <v>45103</v>
      </c>
      <c r="Y103">
        <f t="shared" ca="1" si="9"/>
        <v>0</v>
      </c>
      <c r="AA103" s="63">
        <f t="shared" ca="1" si="11"/>
        <v>104.69486422674917</v>
      </c>
      <c r="AB103" s="63">
        <f t="shared" ca="1" si="12"/>
        <v>104.69486422674919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45104</v>
      </c>
      <c r="K104">
        <f ca="1"/>
        <v>104.18038484573557</v>
      </c>
      <c r="L104">
        <f ca="1"/>
        <v>8.79702918760632E-2</v>
      </c>
      <c r="M104">
        <f ca="1"/>
        <v>5.1175537401558557E-2</v>
      </c>
      <c r="N104">
        <f ca="1"/>
        <v>0.12193542828741699</v>
      </c>
      <c r="O104">
        <f ca="1"/>
        <v>0</v>
      </c>
      <c r="P104">
        <f ca="1"/>
        <v>10.943929319310779</v>
      </c>
      <c r="Q104">
        <f ca="1"/>
        <v>6.0696463347451948</v>
      </c>
      <c r="R104">
        <f ca="1"/>
        <v>0.41883534429285807</v>
      </c>
      <c r="S104">
        <f ca="1"/>
        <v>1</v>
      </c>
      <c r="T104">
        <f ca="1"/>
        <v>0.73000000000000398</v>
      </c>
      <c r="U104">
        <f ca="1"/>
        <v>0</v>
      </c>
      <c r="V104">
        <f ca="1"/>
        <v>7.0550295219987152E-2</v>
      </c>
      <c r="X104" s="2">
        <f t="shared" ca="1" si="8"/>
        <v>45104</v>
      </c>
      <c r="Y104">
        <f t="shared" ca="1" si="9"/>
        <v>0</v>
      </c>
      <c r="AA104" s="63">
        <f t="shared" ca="1" si="11"/>
        <v>104.68719048190449</v>
      </c>
      <c r="AB104" s="63">
        <f t="shared" ca="1" si="12"/>
        <v>104.68719048190449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45105</v>
      </c>
      <c r="K105">
        <f ca="1"/>
        <v>103.86278482599172</v>
      </c>
      <c r="L105">
        <f ca="1"/>
        <v>8.4925748795875222E-2</v>
      </c>
      <c r="M105">
        <f ca="1"/>
        <v>4.9344037333009183E-2</v>
      </c>
      <c r="N105">
        <f ca="1"/>
        <v>0.11838025351194643</v>
      </c>
      <c r="O105">
        <f ca="1"/>
        <v>0</v>
      </c>
      <c r="P105">
        <f ca="1"/>
        <v>11.028855068106655</v>
      </c>
      <c r="Q105">
        <f ca="1"/>
        <v>6.1167472657604209</v>
      </c>
      <c r="R105">
        <f ca="1"/>
        <v>0.40039856179294708</v>
      </c>
      <c r="S105">
        <f ca="1"/>
        <v>1</v>
      </c>
      <c r="T105">
        <f ca="1"/>
        <v>0.69999999999998863</v>
      </c>
      <c r="U105">
        <f ca="1"/>
        <v>0</v>
      </c>
      <c r="V105">
        <f ca="1"/>
        <v>7.1851041708868593E-2</v>
      </c>
      <c r="X105" s="2">
        <f t="shared" ca="1" si="8"/>
        <v>45105</v>
      </c>
      <c r="Y105">
        <f t="shared" ca="1" si="9"/>
        <v>0</v>
      </c>
      <c r="AA105" s="63">
        <f t="shared" ca="1" si="11"/>
        <v>104.34810913658053</v>
      </c>
      <c r="AB105" s="63">
        <f t="shared" ca="1" si="12"/>
        <v>104.34810913658055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45106</v>
      </c>
      <c r="K106">
        <f ca="1"/>
        <v>102.75062475861678</v>
      </c>
      <c r="L106">
        <f ca="1"/>
        <v>8.89106459446527E-2</v>
      </c>
      <c r="M106">
        <f ca="1"/>
        <v>4.9220965190883703E-2</v>
      </c>
      <c r="N106">
        <f ca="1"/>
        <v>0.12152165586373366</v>
      </c>
      <c r="O106">
        <f ca="1"/>
        <v>0</v>
      </c>
      <c r="P106">
        <f ca="1"/>
        <v>11.117765714051307</v>
      </c>
      <c r="Q106">
        <f ca="1"/>
        <v>6.1660582728523208</v>
      </c>
      <c r="R106">
        <f ca="1"/>
        <v>1.193992042484912</v>
      </c>
      <c r="S106">
        <f ca="1"/>
        <v>1</v>
      </c>
      <c r="T106">
        <f ca="1"/>
        <v>2.1099999999999994</v>
      </c>
      <c r="U106">
        <f ca="1"/>
        <v>0</v>
      </c>
      <c r="V106">
        <f ca="1"/>
        <v>7.3225726381292114E-2</v>
      </c>
      <c r="X106" s="2">
        <f t="shared" ca="1" si="8"/>
        <v>45106</v>
      </c>
      <c r="Y106">
        <f t="shared" ca="1" si="9"/>
        <v>0</v>
      </c>
      <c r="AA106" s="63">
        <f t="shared" ca="1" si="11"/>
        <v>104.03352744704634</v>
      </c>
      <c r="AB106" s="63">
        <f t="shared" ca="1" si="12"/>
        <v>104.03352744704634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45107</v>
      </c>
      <c r="K107">
        <f ca="1"/>
        <v>102.29094734452954</v>
      </c>
      <c r="L107">
        <f ca="1"/>
        <v>9.458930608794347E-2</v>
      </c>
      <c r="M107">
        <f ca="1"/>
        <v>4.9453949330656499E-2</v>
      </c>
      <c r="N107">
        <f ca="1"/>
        <v>0.12626573384808262</v>
      </c>
      <c r="O107">
        <f ca="1"/>
        <v>0</v>
      </c>
      <c r="P107">
        <f ca="1"/>
        <v>11.212355020139251</v>
      </c>
      <c r="Q107">
        <f ca="1"/>
        <v>6.218518739130162</v>
      </c>
      <c r="R107">
        <f ca="1"/>
        <v>0.5408077911780389</v>
      </c>
      <c r="S107">
        <f ca="1"/>
        <v>1</v>
      </c>
      <c r="T107">
        <f ca="1"/>
        <v>0.96000000000000796</v>
      </c>
      <c r="U107">
        <f ca="1"/>
        <v>0</v>
      </c>
      <c r="V107">
        <f ca="1"/>
        <v>7.470264582065167E-2</v>
      </c>
      <c r="X107" s="2">
        <f t="shared" ca="1" si="8"/>
        <v>45107</v>
      </c>
      <c r="Y107">
        <f t="shared" ca="1" si="9"/>
        <v>0</v>
      </c>
      <c r="AA107" s="63">
        <f t="shared" ca="1" si="11"/>
        <v>102.92634444179552</v>
      </c>
      <c r="AB107" s="63">
        <f t="shared" ca="1" si="12"/>
        <v>102.92634444179552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45108</v>
      </c>
      <c r="K108">
        <f ca="1"/>
        <v>102.21679006596311</v>
      </c>
      <c r="L108">
        <f ca="1"/>
        <v>8.5201101238677523E-2</v>
      </c>
      <c r="M108">
        <f ca="1"/>
        <v>4.6272889881477042E-2</v>
      </c>
      <c r="N108">
        <f ca="1"/>
        <v>0.11676285541060129</v>
      </c>
      <c r="O108">
        <f ca="1"/>
        <v>0</v>
      </c>
      <c r="P108">
        <f ca="1"/>
        <v>11.297556121377928</v>
      </c>
      <c r="Q108">
        <f ca="1"/>
        <v>6.2657723842114663</v>
      </c>
      <c r="R108">
        <f ca="1"/>
        <v>0.15199192261982919</v>
      </c>
      <c r="S108">
        <f ca="1"/>
        <v>1</v>
      </c>
      <c r="T108">
        <f ca="1"/>
        <v>0.27000000000001023</v>
      </c>
      <c r="U108">
        <f ca="1"/>
        <v>0</v>
      </c>
      <c r="V108">
        <f ca="1"/>
        <v>7.6045664533487933E-2</v>
      </c>
      <c r="X108" s="2">
        <f t="shared" ca="1" si="8"/>
        <v>45108</v>
      </c>
      <c r="Y108">
        <f t="shared" ca="1" si="9"/>
        <v>0</v>
      </c>
      <c r="AA108" s="63">
        <f t="shared" ca="1" si="11"/>
        <v>102.45398308982162</v>
      </c>
      <c r="AB108" s="63">
        <f t="shared" ca="1" si="12"/>
        <v>102.45398308982162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45109</v>
      </c>
      <c r="K109">
        <f ca="1"/>
        <v>101.97815675844072</v>
      </c>
      <c r="L109">
        <f ca="1"/>
        <v>8.0935639463604048E-2</v>
      </c>
      <c r="M109">
        <f ca="1"/>
        <v>4.4417997158785028E-2</v>
      </c>
      <c r="N109">
        <f ca="1"/>
        <v>0.11239088200265662</v>
      </c>
      <c r="O109">
        <f ca="1"/>
        <v>0</v>
      </c>
      <c r="P109">
        <f ca="1"/>
        <v>11.378491760841532</v>
      </c>
      <c r="Q109">
        <f ca="1"/>
        <v>6.310660348404884</v>
      </c>
      <c r="R109">
        <f ca="1"/>
        <v>0.31450654722023585</v>
      </c>
      <c r="S109">
        <f ca="1"/>
        <v>1</v>
      </c>
      <c r="T109">
        <f ca="1"/>
        <v>0.56000000000000227</v>
      </c>
      <c r="U109">
        <f ca="1"/>
        <v>0</v>
      </c>
      <c r="V109">
        <f ca="1"/>
        <v>7.7332537670636248E-2</v>
      </c>
      <c r="X109" s="2">
        <f t="shared" ca="1" si="8"/>
        <v>45109</v>
      </c>
      <c r="Y109">
        <f t="shared" ca="1" si="9"/>
        <v>0</v>
      </c>
      <c r="AA109" s="63">
        <f t="shared" ca="1" si="11"/>
        <v>102.37359894512456</v>
      </c>
      <c r="AB109" s="63">
        <f t="shared" ca="1" si="12"/>
        <v>102.37359894512456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45110</v>
      </c>
      <c r="K110">
        <f ca="1"/>
        <v>101.73968722407429</v>
      </c>
      <c r="L110">
        <f ca="1"/>
        <v>8.9581849992519835E-2</v>
      </c>
      <c r="M110">
        <f ca="1"/>
        <v>4.5280401845781526E-2</v>
      </c>
      <c r="N110">
        <f ca="1"/>
        <v>0.11960300713222705</v>
      </c>
      <c r="O110">
        <f ca="1"/>
        <v>0</v>
      </c>
      <c r="P110">
        <f ca="1"/>
        <v>11.468073610834052</v>
      </c>
      <c r="Q110">
        <f ca="1"/>
        <v>6.3603436140403247</v>
      </c>
      <c r="R110">
        <f ca="1"/>
        <v>0.31377109335192899</v>
      </c>
      <c r="S110">
        <f ca="1"/>
        <v>1</v>
      </c>
      <c r="T110">
        <f ca="1"/>
        <v>0.56000000000000227</v>
      </c>
      <c r="U110">
        <f ca="1"/>
        <v>0</v>
      </c>
      <c r="V110">
        <f ca="1"/>
        <v>7.8769431439378076E-2</v>
      </c>
      <c r="X110" s="2">
        <f t="shared" ca="1" si="8"/>
        <v>45110</v>
      </c>
      <c r="Y110">
        <f t="shared" ca="1" si="9"/>
        <v>0</v>
      </c>
      <c r="AA110" s="63">
        <f t="shared" ca="1" si="11"/>
        <v>102.14304016741873</v>
      </c>
      <c r="AB110" s="63">
        <f t="shared" ca="1" si="12"/>
        <v>102.14304016741875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45111</v>
      </c>
      <c r="K111">
        <f ca="1"/>
        <v>101.67393662513727</v>
      </c>
      <c r="L111">
        <f ca="1"/>
        <v>9.4194943574247958E-2</v>
      </c>
      <c r="M111">
        <f ca="1"/>
        <v>4.5247864206869437E-2</v>
      </c>
      <c r="N111">
        <f ca="1"/>
        <v>0.12318233520411302</v>
      </c>
      <c r="O111">
        <f ca="1"/>
        <v>0</v>
      </c>
      <c r="P111">
        <f ca="1"/>
        <v>11.5622685544083</v>
      </c>
      <c r="Q111">
        <f ca="1"/>
        <v>6.4125853617102528</v>
      </c>
      <c r="R111">
        <f ca="1"/>
        <v>0.13998585477373973</v>
      </c>
      <c r="S111">
        <f ca="1"/>
        <v>1</v>
      </c>
      <c r="T111">
        <f ca="1"/>
        <v>0.25</v>
      </c>
      <c r="U111">
        <f ca="1"/>
        <v>0</v>
      </c>
      <c r="V111">
        <f ca="1"/>
        <v>8.0294473635078828E-2</v>
      </c>
      <c r="X111" s="2">
        <f t="shared" ca="1" si="8"/>
        <v>45111</v>
      </c>
      <c r="Y111">
        <f t="shared" ca="1" si="9"/>
        <v>0</v>
      </c>
      <c r="AA111" s="63">
        <f t="shared" ca="1" si="11"/>
        <v>101.90811742348527</v>
      </c>
      <c r="AB111" s="63">
        <f t="shared" ca="1" si="12"/>
        <v>101.90811742348527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45112</v>
      </c>
      <c r="K112">
        <f ca="1"/>
        <v>101.74707970487756</v>
      </c>
      <c r="L112">
        <f ca="1"/>
        <v>9.9060052413765476E-2</v>
      </c>
      <c r="M112">
        <f ca="1"/>
        <v>4.5229595659211697E-2</v>
      </c>
      <c r="N112">
        <f ca="1"/>
        <v>0.12697353649483975</v>
      </c>
      <c r="O112">
        <f ca="1"/>
        <v>0</v>
      </c>
      <c r="P112">
        <f ca="1"/>
        <v>11.661328606822066</v>
      </c>
      <c r="Q112">
        <f ca="1"/>
        <v>6.4675253623727151</v>
      </c>
      <c r="R112">
        <f ca="1"/>
        <v>0</v>
      </c>
      <c r="S112">
        <f ca="1"/>
        <v>0.99840579710144928</v>
      </c>
      <c r="T112">
        <f ca="1"/>
        <v>0</v>
      </c>
      <c r="U112">
        <f ca="1"/>
        <v>0</v>
      </c>
      <c r="V112">
        <f ca="1"/>
        <v>8.1913858743476717E-2</v>
      </c>
      <c r="X112" s="2">
        <f t="shared" ca="1" si="8"/>
        <v>45112</v>
      </c>
      <c r="Y112">
        <f t="shared" ca="1" si="9"/>
        <v>0</v>
      </c>
      <c r="AA112" s="63">
        <f t="shared" ca="1" si="11"/>
        <v>101.84613975729133</v>
      </c>
      <c r="AB112" s="63">
        <f t="shared" ca="1" si="12"/>
        <v>101.84613975729133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45113</v>
      </c>
      <c r="K113">
        <f ca="1"/>
        <v>100.7134616760785</v>
      </c>
      <c r="L113">
        <f ca="1"/>
        <v>9.6671981739973489E-2</v>
      </c>
      <c r="M113">
        <f ca="1"/>
        <v>4.3728783765129009E-2</v>
      </c>
      <c r="N113">
        <f ca="1"/>
        <v>0.12401827197730717</v>
      </c>
      <c r="O113">
        <f ca="1"/>
        <v>0</v>
      </c>
      <c r="P113">
        <f ca="1"/>
        <v>11.758000588562039</v>
      </c>
      <c r="Q113">
        <f ca="1"/>
        <v>6.5211409078062212</v>
      </c>
      <c r="R113">
        <f ca="1"/>
        <v>1.104693102801539</v>
      </c>
      <c r="S113">
        <f ca="1"/>
        <v>1</v>
      </c>
      <c r="T113">
        <f ca="1"/>
        <v>1.9916802325493137</v>
      </c>
      <c r="U113">
        <f ca="1"/>
        <v>0</v>
      </c>
      <c r="V113">
        <f ca="1"/>
        <v>8.3509518553636267E-2</v>
      </c>
      <c r="X113" s="2">
        <f t="shared" ca="1" si="8"/>
        <v>45113</v>
      </c>
      <c r="Y113">
        <f t="shared" ca="1" si="9"/>
        <v>0</v>
      </c>
      <c r="AA113" s="63">
        <f t="shared" ca="1" si="11"/>
        <v>101.91482676062</v>
      </c>
      <c r="AB113" s="63">
        <f t="shared" ca="1" si="12"/>
        <v>101.91482676062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45114</v>
      </c>
      <c r="K114">
        <f ca="1"/>
        <v>100.7821713429676</v>
      </c>
      <c r="L114">
        <f ca="1"/>
        <v>8.5715125309025808E-2</v>
      </c>
      <c r="M114">
        <f ca="1"/>
        <v>4.0720782146413725E-2</v>
      </c>
      <c r="N114">
        <f ca="1"/>
        <v>0.11370401005172268</v>
      </c>
      <c r="O114">
        <f ca="1"/>
        <v>0</v>
      </c>
      <c r="P114">
        <f ca="1"/>
        <v>11.843715713871065</v>
      </c>
      <c r="Q114">
        <f ca="1"/>
        <v>6.5686796373597955</v>
      </c>
      <c r="R114">
        <f ca="1"/>
        <v>0</v>
      </c>
      <c r="S114">
        <f ca="1"/>
        <v>0.99898550724637691</v>
      </c>
      <c r="T114">
        <f ca="1"/>
        <v>0</v>
      </c>
      <c r="U114">
        <f ca="1"/>
        <v>0</v>
      </c>
      <c r="V114">
        <f ca="1"/>
        <v>8.4936910776857638E-2</v>
      </c>
      <c r="X114" s="2">
        <f t="shared" ca="1" si="8"/>
        <v>45114</v>
      </c>
      <c r="Y114">
        <f t="shared" ca="1" si="9"/>
        <v>0</v>
      </c>
      <c r="AA114" s="63">
        <f t="shared" ca="1" si="11"/>
        <v>100.86788646827662</v>
      </c>
      <c r="AB114" s="63">
        <f t="shared" ca="1" si="12"/>
        <v>100.86788646827662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45115</v>
      </c>
      <c r="K115">
        <f ca="1"/>
        <v>100.49471643653696</v>
      </c>
      <c r="L115">
        <f ca="1"/>
        <v>8.0885202076025564E-2</v>
      </c>
      <c r="M115">
        <f ca="1"/>
        <v>3.9039447531713733E-2</v>
      </c>
      <c r="N115">
        <f ca="1"/>
        <v>0.10915237217206758</v>
      </c>
      <c r="O115">
        <f ca="1"/>
        <v>0</v>
      </c>
      <c r="P115">
        <f ca="1"/>
        <v>11.92460091594709</v>
      </c>
      <c r="Q115">
        <f ca="1"/>
        <v>6.6135396283183994</v>
      </c>
      <c r="R115">
        <f ca="1"/>
        <v>0.35476152405839356</v>
      </c>
      <c r="S115">
        <f ca="1"/>
        <v>1</v>
      </c>
      <c r="T115">
        <f ca="1"/>
        <v>0.64100110323730064</v>
      </c>
      <c r="U115">
        <f ca="1"/>
        <v>0</v>
      </c>
      <c r="V115">
        <f ca="1"/>
        <v>8.6294664376448296E-2</v>
      </c>
      <c r="X115" s="2">
        <f t="shared" ca="1" si="8"/>
        <v>45115</v>
      </c>
      <c r="Y115">
        <f t="shared" ca="1" si="9"/>
        <v>0</v>
      </c>
      <c r="AA115" s="63">
        <f t="shared" ca="1" si="11"/>
        <v>100.93036316267138</v>
      </c>
      <c r="AB115" s="63">
        <f t="shared" ca="1" si="12"/>
        <v>100.93036316267138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45116</v>
      </c>
      <c r="K116">
        <f ca="1"/>
        <v>100.47225255492815</v>
      </c>
      <c r="L116">
        <f ca="1"/>
        <v>8.5183667226226945E-2</v>
      </c>
      <c r="M116">
        <f ca="1"/>
        <v>3.899172989555133E-2</v>
      </c>
      <c r="N116">
        <f ca="1"/>
        <v>0.11226012753837895</v>
      </c>
      <c r="O116">
        <f ca="1"/>
        <v>0</v>
      </c>
      <c r="P116">
        <f ca="1"/>
        <v>12.009784583173317</v>
      </c>
      <c r="Q116">
        <f ca="1"/>
        <v>6.6607836042683806</v>
      </c>
      <c r="R116">
        <f ca="1"/>
        <v>8.8532071816514527E-2</v>
      </c>
      <c r="S116">
        <f ca="1"/>
        <v>1</v>
      </c>
      <c r="T116">
        <f ca="1"/>
        <v>0.15999999999999659</v>
      </c>
      <c r="U116">
        <f ca="1"/>
        <v>0</v>
      </c>
      <c r="V116">
        <f ca="1"/>
        <v>8.7735845961622136E-2</v>
      </c>
      <c r="X116" s="2">
        <f t="shared" ca="1" si="8"/>
        <v>45116</v>
      </c>
      <c r="Y116">
        <f t="shared" ca="1" si="9"/>
        <v>0</v>
      </c>
      <c r="AA116" s="63">
        <f t="shared" ca="1" si="11"/>
        <v>100.6459682939709</v>
      </c>
      <c r="AB116" s="63">
        <f t="shared" ca="1" si="12"/>
        <v>100.6459682939709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45117</v>
      </c>
      <c r="K117">
        <f ca="1"/>
        <v>100.53703984771094</v>
      </c>
      <c r="L117">
        <f ca="1"/>
        <v>8.9091428299967745E-2</v>
      </c>
      <c r="M117">
        <f ca="1"/>
        <v>3.8851410881862947E-2</v>
      </c>
      <c r="N117">
        <f ca="1"/>
        <v>0.11502731020089781</v>
      </c>
      <c r="O117">
        <f ca="1"/>
        <v>0</v>
      </c>
      <c r="P117">
        <f ca="1"/>
        <v>12.098876011473285</v>
      </c>
      <c r="Q117">
        <f ca="1"/>
        <v>6.710194875618968</v>
      </c>
      <c r="R117">
        <f ca="1"/>
        <v>0</v>
      </c>
      <c r="S117">
        <f ca="1"/>
        <v>0.99927536231884062</v>
      </c>
      <c r="T117">
        <f ca="1"/>
        <v>0</v>
      </c>
      <c r="U117">
        <f ca="1"/>
        <v>0</v>
      </c>
      <c r="V117">
        <f ca="1"/>
        <v>8.9255449147777846E-2</v>
      </c>
      <c r="X117" s="2">
        <f t="shared" ca="1" si="8"/>
        <v>45117</v>
      </c>
      <c r="Y117">
        <f t="shared" ca="1" si="9"/>
        <v>0</v>
      </c>
      <c r="AA117" s="63">
        <f t="shared" ca="1" si="11"/>
        <v>100.62613127601091</v>
      </c>
      <c r="AB117" s="63">
        <f t="shared" ca="1" si="12"/>
        <v>100.62613127601091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45118</v>
      </c>
      <c r="K118">
        <f ca="1"/>
        <v>100.30728135716862</v>
      </c>
      <c r="L118">
        <f ca="1"/>
        <v>8.8309725530809402E-2</v>
      </c>
      <c r="M118">
        <f ca="1"/>
        <v>3.7911236579828866E-2</v>
      </c>
      <c r="N118">
        <f ca="1"/>
        <v>0.11383588184118526</v>
      </c>
      <c r="O118">
        <f ca="1"/>
        <v>0</v>
      </c>
      <c r="P118">
        <f ca="1"/>
        <v>12.187185737004095</v>
      </c>
      <c r="Q118">
        <f ca="1"/>
        <v>6.75917260438999</v>
      </c>
      <c r="R118">
        <f ca="1"/>
        <v>0.29319588343253511</v>
      </c>
      <c r="S118">
        <f ca="1"/>
        <v>1</v>
      </c>
      <c r="T118">
        <f ca="1"/>
        <v>0.5307510996820497</v>
      </c>
      <c r="U118">
        <f ca="1"/>
        <v>0</v>
      </c>
      <c r="V118">
        <f ca="1"/>
        <v>9.0774069104022803E-2</v>
      </c>
      <c r="X118" s="2">
        <f t="shared" ca="1" si="8"/>
        <v>45118</v>
      </c>
      <c r="Y118">
        <f t="shared" ca="1" si="9"/>
        <v>0</v>
      </c>
      <c r="AA118" s="63">
        <f t="shared" ca="1" si="11"/>
        <v>100.68878696613196</v>
      </c>
      <c r="AB118" s="63">
        <f t="shared" ca="1" si="12"/>
        <v>100.68878696613196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45119</v>
      </c>
      <c r="K119">
        <f ca="1"/>
        <v>100.3527969890378</v>
      </c>
      <c r="L119">
        <f ca="1"/>
        <v>9.2781113517041547E-2</v>
      </c>
      <c r="M119">
        <f ca="1"/>
        <v>3.7845376142845666E-2</v>
      </c>
      <c r="N119">
        <f ca="1"/>
        <v>0.11703139657199597</v>
      </c>
      <c r="O119">
        <f ca="1"/>
        <v>0</v>
      </c>
      <c r="P119">
        <f ca="1"/>
        <v>12.279966850521136</v>
      </c>
      <c r="Q119">
        <f ca="1"/>
        <v>6.8106302234188894</v>
      </c>
      <c r="R119">
        <f ca="1"/>
        <v>1.6580027328624267E-2</v>
      </c>
      <c r="S119">
        <f ca="1"/>
        <v>1</v>
      </c>
      <c r="T119">
        <f ca="1"/>
        <v>3.0000000000001137E-2</v>
      </c>
      <c r="U119">
        <f ca="1"/>
        <v>0</v>
      </c>
      <c r="V119">
        <f ca="1"/>
        <v>9.2382748818963009E-2</v>
      </c>
      <c r="X119" s="2">
        <f t="shared" ca="1" si="8"/>
        <v>45119</v>
      </c>
      <c r="Y119">
        <f t="shared" ca="1" si="9"/>
        <v>0</v>
      </c>
      <c r="AA119" s="63">
        <f t="shared" ca="1" si="11"/>
        <v>100.46215812988346</v>
      </c>
      <c r="AB119" s="63">
        <f t="shared" ca="1" si="12"/>
        <v>100.46215812988346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45120</v>
      </c>
      <c r="K120">
        <f ca="1"/>
        <v>100.27543787367237</v>
      </c>
      <c r="L120">
        <f ca="1"/>
        <v>9.4762952993283633E-2</v>
      </c>
      <c r="M120">
        <f ca="1"/>
        <v>3.7354561892778193E-2</v>
      </c>
      <c r="N120">
        <f ca="1"/>
        <v>0.11810966121330665</v>
      </c>
      <c r="O120">
        <f ca="1"/>
        <v>0</v>
      </c>
      <c r="P120">
        <f ca="1"/>
        <v>12.37472980351442</v>
      </c>
      <c r="Q120">
        <f ca="1"/>
        <v>6.8631869965415371</v>
      </c>
      <c r="R120">
        <f ca="1"/>
        <v>0.13806038547824456</v>
      </c>
      <c r="S120">
        <f ca="1"/>
        <v>1</v>
      </c>
      <c r="T120">
        <f ca="1"/>
        <v>0.25</v>
      </c>
      <c r="U120">
        <f ca="1"/>
        <v>0</v>
      </c>
      <c r="V120">
        <f ca="1"/>
        <v>9.4039632623099653E-2</v>
      </c>
      <c r="X120" s="2">
        <f t="shared" ca="1" si="8"/>
        <v>45120</v>
      </c>
      <c r="Y120">
        <f t="shared" ca="1" si="9"/>
        <v>0</v>
      </c>
      <c r="AA120" s="63">
        <f t="shared" ca="1" si="11"/>
        <v>100.50826121214389</v>
      </c>
      <c r="AB120" s="63">
        <f t="shared" ca="1" si="12"/>
        <v>100.50826121214389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45121</v>
      </c>
      <c r="K121">
        <f ca="1"/>
        <v>100.33471785757119</v>
      </c>
      <c r="L121">
        <f ca="1"/>
        <v>9.9703533274276168E-2</v>
      </c>
      <c r="M121">
        <f ca="1"/>
        <v>3.7324040578459616E-2</v>
      </c>
      <c r="N121">
        <f ca="1"/>
        <v>0.12165947659464088</v>
      </c>
      <c r="O121">
        <f ca="1"/>
        <v>0</v>
      </c>
      <c r="P121">
        <f ca="1"/>
        <v>12.474433336788696</v>
      </c>
      <c r="Q121">
        <f ca="1"/>
        <v>6.9184838801052431</v>
      </c>
      <c r="R121">
        <f ca="1"/>
        <v>0</v>
      </c>
      <c r="S121">
        <f ca="1"/>
        <v>0.99782608695652186</v>
      </c>
      <c r="T121">
        <f ca="1"/>
        <v>0</v>
      </c>
      <c r="U121">
        <f ca="1"/>
        <v>0</v>
      </c>
      <c r="V121">
        <f ca="1"/>
        <v>9.5797901634568999E-2</v>
      </c>
      <c r="X121" s="2">
        <f t="shared" ca="1" si="8"/>
        <v>45121</v>
      </c>
      <c r="Y121">
        <f t="shared" ca="1" si="9"/>
        <v>0</v>
      </c>
      <c r="AA121" s="63">
        <f t="shared" ca="1" si="11"/>
        <v>100.43442139084547</v>
      </c>
      <c r="AB121" s="63">
        <f t="shared" ca="1" si="12"/>
        <v>100.43442139084547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45122</v>
      </c>
      <c r="K122">
        <f ca="1"/>
        <v>100.39258338013953</v>
      </c>
      <c r="L122">
        <f ca="1"/>
        <v>9.5578092640284495E-2</v>
      </c>
      <c r="M122">
        <f ca="1"/>
        <v>3.5873906771413999E-2</v>
      </c>
      <c r="N122">
        <f ca="1"/>
        <v>0.11756970843719841</v>
      </c>
      <c r="O122">
        <f ca="1"/>
        <v>0</v>
      </c>
      <c r="P122">
        <f ca="1"/>
        <v>12.57001142942898</v>
      </c>
      <c r="Q122">
        <f ca="1"/>
        <v>6.9714927403372258</v>
      </c>
      <c r="R122">
        <f ca="1"/>
        <v>0</v>
      </c>
      <c r="S122">
        <f ca="1"/>
        <v>0.99640666752839624</v>
      </c>
      <c r="T122">
        <f ca="1"/>
        <v>0</v>
      </c>
      <c r="U122">
        <f ca="1"/>
        <v>0</v>
      </c>
      <c r="V122">
        <f ca="1"/>
        <v>9.74977606717609E-2</v>
      </c>
      <c r="X122" s="2">
        <f t="shared" ca="1" si="8"/>
        <v>45122</v>
      </c>
      <c r="Y122">
        <f t="shared" ca="1" si="9"/>
        <v>0</v>
      </c>
      <c r="AA122" s="63">
        <f t="shared" ca="1" si="11"/>
        <v>100.48816147277981</v>
      </c>
      <c r="AB122" s="63">
        <f t="shared" ca="1" si="12"/>
        <v>100.48816147277981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45123</v>
      </c>
      <c r="K123">
        <f ca="1"/>
        <v>100.13700767947753</v>
      </c>
      <c r="L123">
        <f ca="1"/>
        <v>0.1040498904109235</v>
      </c>
      <c r="M123">
        <f ca="1"/>
        <v>3.6365704557121958E-2</v>
      </c>
      <c r="N123">
        <f ca="1"/>
        <v>0.12401827197730717</v>
      </c>
      <c r="O123">
        <f ca="1"/>
        <v>0</v>
      </c>
      <c r="P123">
        <f ca="1"/>
        <v>12.674061319839904</v>
      </c>
      <c r="Q123">
        <f ca="1"/>
        <v>7.0292001704143665</v>
      </c>
      <c r="R123">
        <f ca="1"/>
        <v>0.31190978678550413</v>
      </c>
      <c r="S123">
        <f ca="1"/>
        <v>1</v>
      </c>
      <c r="T123">
        <f ca="1"/>
        <v>0.56558760912552941</v>
      </c>
      <c r="U123">
        <f ca="1"/>
        <v>0</v>
      </c>
      <c r="V123">
        <f ca="1"/>
        <v>9.936413538220093E-2</v>
      </c>
      <c r="X123" s="2">
        <f t="shared" ca="1" si="8"/>
        <v>45123</v>
      </c>
      <c r="Y123">
        <f t="shared" ca="1" si="9"/>
        <v>0</v>
      </c>
      <c r="AA123" s="63">
        <f t="shared" ca="1" si="11"/>
        <v>100.55296735667396</v>
      </c>
      <c r="AB123" s="63">
        <f t="shared" ca="1" si="12"/>
        <v>100.55296735667396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45124</v>
      </c>
      <c r="K124">
        <f ca="1"/>
        <v>99.446942811020733</v>
      </c>
      <c r="L124">
        <f ca="1"/>
        <v>0.10672356135450656</v>
      </c>
      <c r="M124">
        <f ca="1"/>
        <v>3.5941343116508762E-2</v>
      </c>
      <c r="N124">
        <f ca="1"/>
        <v>0.12556053883533327</v>
      </c>
      <c r="O124">
        <f ca="1"/>
        <v>0</v>
      </c>
      <c r="P124">
        <f ca="1"/>
        <v>12.78078488119441</v>
      </c>
      <c r="Q124">
        <f ca="1"/>
        <v>7.0883904533654194</v>
      </c>
      <c r="R124">
        <f ca="1"/>
        <v>0.7448431890541376</v>
      </c>
      <c r="S124">
        <f ca="1"/>
        <v>1</v>
      </c>
      <c r="T124">
        <f ca="1"/>
        <v>1.3599999999999994</v>
      </c>
      <c r="U124">
        <f ca="1"/>
        <v>0</v>
      </c>
      <c r="V124">
        <f ca="1"/>
        <v>0.10129549586443921</v>
      </c>
      <c r="X124" s="2">
        <f t="shared" ca="1" si="8"/>
        <v>45124</v>
      </c>
      <c r="Y124">
        <f t="shared" ca="1" si="9"/>
        <v>0</v>
      </c>
      <c r="AA124" s="63">
        <f t="shared" ca="1" si="11"/>
        <v>100.29850956142937</v>
      </c>
      <c r="AB124" s="63">
        <f t="shared" ca="1" si="12"/>
        <v>100.29850956142937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45125</v>
      </c>
      <c r="K125">
        <f ca="1"/>
        <v>98.100902458514796</v>
      </c>
      <c r="L125">
        <f ca="1"/>
        <v>0.10559028237010359</v>
      </c>
      <c r="M125">
        <f ca="1"/>
        <v>3.495976483055685E-2</v>
      </c>
      <c r="N125">
        <f ca="1"/>
        <v>0.12387868966650872</v>
      </c>
      <c r="O125">
        <f ca="1"/>
        <v>0</v>
      </c>
      <c r="P125">
        <f ca="1"/>
        <v>12.886375163564514</v>
      </c>
      <c r="Q125">
        <f ca="1"/>
        <v>7.1469522049697121</v>
      </c>
      <c r="R125">
        <f ca="1"/>
        <v>1.3992885246329041</v>
      </c>
      <c r="S125">
        <f ca="1"/>
        <v>1</v>
      </c>
      <c r="T125">
        <f ca="1"/>
        <v>2.5900000000000034</v>
      </c>
      <c r="U125">
        <f ca="1"/>
        <v>0</v>
      </c>
      <c r="V125">
        <f ca="1"/>
        <v>0.1032231787890675</v>
      </c>
      <c r="X125" s="2">
        <f t="shared" ca="1" si="8"/>
        <v>45125</v>
      </c>
      <c r="Y125">
        <f t="shared" ca="1" si="9"/>
        <v>0</v>
      </c>
      <c r="AA125" s="63">
        <f t="shared" ca="1" si="11"/>
        <v>99.605781265517805</v>
      </c>
      <c r="AB125" s="63">
        <f t="shared" ca="1" si="12"/>
        <v>99.605781265517805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45126</v>
      </c>
      <c r="K126">
        <f ca="1"/>
        <v>97.65772838471689</v>
      </c>
      <c r="L126">
        <f ca="1"/>
        <v>0.10999583869257279</v>
      </c>
      <c r="M126">
        <f ca="1"/>
        <v>3.4789154851118553E-2</v>
      </c>
      <c r="N126">
        <f ca="1"/>
        <v>0.1268317671927881</v>
      </c>
      <c r="O126">
        <f ca="1"/>
        <v>0</v>
      </c>
      <c r="P126">
        <f ca="1"/>
        <v>12.996371002257087</v>
      </c>
      <c r="Q126">
        <f ca="1"/>
        <v>7.2079573357301552</v>
      </c>
      <c r="R126">
        <f ca="1"/>
        <v>0.49479915714923312</v>
      </c>
      <c r="S126">
        <f ca="1"/>
        <v>1</v>
      </c>
      <c r="T126">
        <f ca="1"/>
        <v>0.92000000000000171</v>
      </c>
      <c r="U126">
        <f ca="1"/>
        <v>0</v>
      </c>
      <c r="V126">
        <f ca="1"/>
        <v>0.10524894207456045</v>
      </c>
      <c r="X126" s="2">
        <f t="shared" ca="1" si="8"/>
        <v>45126</v>
      </c>
      <c r="Y126">
        <f t="shared" ca="1" si="9"/>
        <v>0</v>
      </c>
      <c r="AA126" s="63">
        <f t="shared" ca="1" si="11"/>
        <v>98.26252338055869</v>
      </c>
      <c r="AB126" s="63">
        <f t="shared" ca="1" si="12"/>
        <v>98.26252338055869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45127</v>
      </c>
      <c r="K127">
        <f ca="1"/>
        <v>97.391229718419197</v>
      </c>
      <c r="L127">
        <f ca="1"/>
        <v>0.11398517684655296</v>
      </c>
      <c r="M127">
        <f ca="1"/>
        <v>3.4537817924389813E-2</v>
      </c>
      <c r="N127">
        <f ca="1"/>
        <v>0.12939961585446222</v>
      </c>
      <c r="O127">
        <f ca="1"/>
        <v>0</v>
      </c>
      <c r="P127">
        <f ca="1"/>
        <v>13.11035617910364</v>
      </c>
      <c r="Q127">
        <f ca="1"/>
        <v>7.2711750056068398</v>
      </c>
      <c r="R127">
        <f ca="1"/>
        <v>0.31645092322999585</v>
      </c>
      <c r="S127">
        <f ca="1"/>
        <v>1</v>
      </c>
      <c r="T127">
        <f ca="1"/>
        <v>0.59000000000000341</v>
      </c>
      <c r="U127">
        <f ca="1"/>
        <v>0</v>
      </c>
      <c r="V127">
        <f ca="1"/>
        <v>0.10736700862963428</v>
      </c>
      <c r="X127" s="2">
        <f t="shared" ca="1" si="8"/>
        <v>45127</v>
      </c>
      <c r="Y127">
        <f t="shared" ca="1" si="9"/>
        <v>0</v>
      </c>
      <c r="AA127" s="63">
        <f t="shared" ca="1" si="11"/>
        <v>97.821665818495745</v>
      </c>
      <c r="AB127" s="63">
        <f t="shared" ca="1" si="12"/>
        <v>97.821665818495745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45128</v>
      </c>
      <c r="K128">
        <f ca="1"/>
        <v>96.900854596756915</v>
      </c>
      <c r="L128">
        <f ca="1"/>
        <v>0.10773860289259218</v>
      </c>
      <c r="M128">
        <f ca="1"/>
        <v>3.2896364741551665E-2</v>
      </c>
      <c r="N128">
        <f ca="1"/>
        <v>0.12346056568057996</v>
      </c>
      <c r="O128">
        <f ca="1"/>
        <v>0</v>
      </c>
      <c r="P128">
        <f ca="1"/>
        <v>13.218094781996232</v>
      </c>
      <c r="Q128">
        <f ca="1"/>
        <v>7.330928243870515</v>
      </c>
      <c r="R128">
        <f ca="1"/>
        <v>0.53899344919181114</v>
      </c>
      <c r="S128">
        <f ca="1"/>
        <v>1</v>
      </c>
      <c r="T128">
        <f ca="1"/>
        <v>1.0099999999999909</v>
      </c>
      <c r="U128">
        <f ca="1"/>
        <v>0</v>
      </c>
      <c r="V128">
        <f ca="1"/>
        <v>0.10938645853913939</v>
      </c>
      <c r="X128" s="2">
        <f t="shared" ca="1" si="8"/>
        <v>45128</v>
      </c>
      <c r="Y128">
        <f t="shared" ca="1" si="9"/>
        <v>0</v>
      </c>
      <c r="AA128" s="63">
        <f t="shared" ca="1" si="11"/>
        <v>97.547586648841317</v>
      </c>
      <c r="AB128" s="63">
        <f t="shared" ca="1" si="12"/>
        <v>97.547586648841317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45129</v>
      </c>
      <c r="K129">
        <f ca="1"/>
        <v>96.247998242437504</v>
      </c>
      <c r="L129">
        <f ca="1"/>
        <v>0.11363298646591957</v>
      </c>
      <c r="M129">
        <f ca="1"/>
        <v>3.2916074039272658E-2</v>
      </c>
      <c r="N129">
        <f ca="1"/>
        <v>0.12754165837398429</v>
      </c>
      <c r="O129">
        <f ca="1"/>
        <v>0</v>
      </c>
      <c r="P129">
        <f ca="1"/>
        <v>13.331727768462152</v>
      </c>
      <c r="Q129">
        <f ca="1"/>
        <v>7.3939505843558466</v>
      </c>
      <c r="R129">
        <f ca="1"/>
        <v>0.69968110026675945</v>
      </c>
      <c r="S129">
        <f ca="1"/>
        <v>1</v>
      </c>
      <c r="T129">
        <f ca="1"/>
        <v>1.3199999999999932</v>
      </c>
      <c r="U129">
        <f ca="1"/>
        <v>0</v>
      </c>
      <c r="V129">
        <f ca="1"/>
        <v>0.11153459688120393</v>
      </c>
      <c r="X129" s="2">
        <f t="shared" ca="1" si="8"/>
        <v>45129</v>
      </c>
      <c r="Y129">
        <f t="shared" ca="1" si="9"/>
        <v>0</v>
      </c>
      <c r="AA129" s="63">
        <f t="shared" ca="1" si="11"/>
        <v>97.061312329170178</v>
      </c>
      <c r="AB129" s="63">
        <f t="shared" ca="1" si="12"/>
        <v>97.061312329170178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45130</v>
      </c>
      <c r="K130">
        <f ca="1"/>
        <v>96.292992187818342</v>
      </c>
      <c r="L130">
        <f ca="1"/>
        <v>0.11913602161915549</v>
      </c>
      <c r="M130">
        <f ca="1"/>
        <v>3.285466660187808E-2</v>
      </c>
      <c r="N130">
        <f ca="1"/>
        <v>0.13127530039810975</v>
      </c>
      <c r="O130">
        <f ca="1"/>
        <v>0</v>
      </c>
      <c r="P130">
        <f ca="1"/>
        <v>13.450863790081307</v>
      </c>
      <c r="Q130">
        <f ca="1"/>
        <v>7.4600249801106591</v>
      </c>
      <c r="R130">
        <f ca="1"/>
        <v>0</v>
      </c>
      <c r="S130">
        <f ca="1"/>
        <v>0.99231884057971009</v>
      </c>
      <c r="T130">
        <f ca="1"/>
        <v>0</v>
      </c>
      <c r="U130">
        <f ca="1"/>
        <v>0</v>
      </c>
      <c r="V130">
        <f ca="1"/>
        <v>0.11380663050793459</v>
      </c>
      <c r="X130" s="2">
        <f t="shared" ca="1" si="8"/>
        <v>45130</v>
      </c>
      <c r="Y130">
        <f t="shared" ca="1" si="9"/>
        <v>0</v>
      </c>
      <c r="AA130" s="63">
        <f t="shared" ca="1" si="11"/>
        <v>96.412128209437498</v>
      </c>
      <c r="AB130" s="63">
        <f t="shared" ca="1" si="12"/>
        <v>96.412128209437498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45131</v>
      </c>
      <c r="K131">
        <f ca="1"/>
        <v>96.336413165152138</v>
      </c>
      <c r="L131">
        <f ca="1"/>
        <v>0.11805973577799023</v>
      </c>
      <c r="M131">
        <f ca="1"/>
        <v>3.1937443936072896E-2</v>
      </c>
      <c r="N131">
        <f ca="1"/>
        <v>0.12954326917570574</v>
      </c>
      <c r="O131">
        <f ca="1"/>
        <v>0</v>
      </c>
      <c r="P131">
        <f ca="1"/>
        <v>13.568923525859297</v>
      </c>
      <c r="Q131">
        <f ca="1"/>
        <v>7.525502453661356</v>
      </c>
      <c r="R131">
        <f ca="1"/>
        <v>0</v>
      </c>
      <c r="S131">
        <f ca="1"/>
        <v>0.9824487275453575</v>
      </c>
      <c r="T131">
        <f ca="1"/>
        <v>0</v>
      </c>
      <c r="U131">
        <f ca="1"/>
        <v>0</v>
      </c>
      <c r="V131">
        <f ca="1"/>
        <v>0.11607798249417414</v>
      </c>
      <c r="X131" s="2">
        <f t="shared" ca="1" si="8"/>
        <v>45131</v>
      </c>
      <c r="Y131">
        <f t="shared" ca="1" si="9"/>
        <v>0</v>
      </c>
      <c r="AA131" s="63">
        <f t="shared" ca="1" si="11"/>
        <v>96.454472900930128</v>
      </c>
      <c r="AB131" s="63">
        <f t="shared" ca="1" si="12"/>
        <v>96.454472900930128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45132</v>
      </c>
      <c r="K132">
        <f ca="1"/>
        <v>96.377339007224691</v>
      </c>
      <c r="L132">
        <f ca="1"/>
        <v>0.12067449773901551</v>
      </c>
      <c r="M132">
        <f ca="1"/>
        <v>3.1501402238360399E-2</v>
      </c>
      <c r="N132">
        <f ca="1"/>
        <v>0.130840873669375</v>
      </c>
      <c r="O132">
        <f ca="1"/>
        <v>0</v>
      </c>
      <c r="P132">
        <f ca="1"/>
        <v>13.689598023598313</v>
      </c>
      <c r="Q132">
        <f ca="1"/>
        <v>7.5924301083937751</v>
      </c>
      <c r="R132">
        <f ca="1"/>
        <v>7.4193609615724656E-4</v>
      </c>
      <c r="S132">
        <f ca="1"/>
        <v>1</v>
      </c>
      <c r="T132">
        <f ca="1"/>
        <v>1.3978387112842938E-3</v>
      </c>
      <c r="U132">
        <f ca="1"/>
        <v>0</v>
      </c>
      <c r="V132">
        <f ca="1"/>
        <v>0.11841982458120745</v>
      </c>
      <c r="X132" s="2">
        <f t="shared" ca="1" si="8"/>
        <v>45132</v>
      </c>
      <c r="Y132">
        <f t="shared" ca="1" si="9"/>
        <v>0</v>
      </c>
      <c r="AA132" s="63">
        <f t="shared" ca="1" si="11"/>
        <v>96.49875544105987</v>
      </c>
      <c r="AB132" s="63">
        <f t="shared" ca="1" si="12"/>
        <v>96.49875544105987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45133</v>
      </c>
      <c r="K133">
        <f ca="1"/>
        <v>96.417402053304684</v>
      </c>
      <c r="L133">
        <f ca="1"/>
        <v>0.12082600914787811</v>
      </c>
      <c r="M133">
        <f ca="1"/>
        <v>3.0770123295745577E-2</v>
      </c>
      <c r="N133">
        <f ca="1"/>
        <v>0.13011893193213289</v>
      </c>
      <c r="O133">
        <f ca="1"/>
        <v>0</v>
      </c>
      <c r="P133">
        <f ca="1"/>
        <v>13.810424032746191</v>
      </c>
      <c r="Q133">
        <f ca="1"/>
        <v>7.659441793335148</v>
      </c>
      <c r="R133">
        <f ca="1"/>
        <v>0</v>
      </c>
      <c r="S133">
        <f ca="1"/>
        <v>0.99840579710144928</v>
      </c>
      <c r="T133">
        <f ca="1"/>
        <v>0</v>
      </c>
      <c r="U133">
        <f ca="1"/>
        <v>0</v>
      </c>
      <c r="V133">
        <f ca="1"/>
        <v>0.12078481240479402</v>
      </c>
      <c r="X133" s="2">
        <f t="shared" ca="1" si="8"/>
        <v>45133</v>
      </c>
      <c r="Y133">
        <f t="shared" ca="1" si="9"/>
        <v>0</v>
      </c>
      <c r="AA133" s="63">
        <f t="shared" ca="1" si="11"/>
        <v>96.538228062452575</v>
      </c>
      <c r="AB133" s="63">
        <f t="shared" ca="1" si="12"/>
        <v>96.538228062452561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45134</v>
      </c>
      <c r="K134">
        <f ca="1"/>
        <v>96.052149349933046</v>
      </c>
      <c r="L134">
        <f ca="1"/>
        <v>0.12802537576156148</v>
      </c>
      <c r="M134">
        <f ca="1"/>
        <v>3.0872890598761416E-2</v>
      </c>
      <c r="N134">
        <f ca="1"/>
        <v>0.13508008160444063</v>
      </c>
      <c r="O134">
        <f ca="1"/>
        <v>0</v>
      </c>
      <c r="P134">
        <f ca="1"/>
        <v>13.938449408507752</v>
      </c>
      <c r="Q134">
        <f ca="1"/>
        <v>7.730446341160067</v>
      </c>
      <c r="R134">
        <f ca="1"/>
        <v>0.40318029981326625</v>
      </c>
      <c r="S134">
        <f ca="1"/>
        <v>1</v>
      </c>
      <c r="T134">
        <f ca="1"/>
        <v>0.76218028368178636</v>
      </c>
      <c r="U134">
        <f ca="1"/>
        <v>0</v>
      </c>
      <c r="V134">
        <f ca="1"/>
        <v>0.12331250557929103</v>
      </c>
      <c r="X134" s="2">
        <f t="shared" ca="1" si="8"/>
        <v>45134</v>
      </c>
      <c r="Y134">
        <f t="shared" ca="1" si="9"/>
        <v>0</v>
      </c>
      <c r="AA134" s="63">
        <f t="shared" ca="1" si="11"/>
        <v>96.583355025507885</v>
      </c>
      <c r="AB134" s="63">
        <f t="shared" ca="1" si="12"/>
        <v>96.583355025507885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ca="1" si="7"/>
        <v>1</v>
      </c>
      <c r="J135" s="2">
        <f ca="1"/>
        <v>45135</v>
      </c>
      <c r="K135">
        <f ca="1"/>
        <v>96.088394560420952</v>
      </c>
      <c r="L135">
        <f ca="1"/>
        <v>0.12790564214391154</v>
      </c>
      <c r="M135">
        <f ca="1"/>
        <v>3.0102159382865423E-2</v>
      </c>
      <c r="N135">
        <f ca="1"/>
        <v>0.13404869324895483</v>
      </c>
      <c r="O135">
        <f ca="1"/>
        <v>0</v>
      </c>
      <c r="P135">
        <f ca="1"/>
        <v>14.066355050651664</v>
      </c>
      <c r="Q135">
        <f ca="1"/>
        <v>7.8013844831546573</v>
      </c>
      <c r="R135">
        <f ca="1"/>
        <v>0</v>
      </c>
      <c r="S135">
        <f ca="1"/>
        <v>0.99</v>
      </c>
      <c r="T135">
        <f ca="1"/>
        <v>0</v>
      </c>
      <c r="U135">
        <f ca="1"/>
        <v>0</v>
      </c>
      <c r="V135">
        <f ca="1"/>
        <v>0.12585993194347211</v>
      </c>
      <c r="X135" s="2">
        <f t="shared" ca="1" si="8"/>
        <v>45135</v>
      </c>
      <c r="Y135">
        <f t="shared" ca="1" si="9"/>
        <v>0</v>
      </c>
      <c r="AA135" s="63">
        <f t="shared" ca="1" si="11"/>
        <v>96.216300202564867</v>
      </c>
      <c r="AB135" s="63">
        <f t="shared" ca="1" si="12"/>
        <v>96.216300202564867</v>
      </c>
      <c r="AC135" s="3">
        <f t="shared" ca="1" si="13"/>
        <v>0</v>
      </c>
    </row>
    <row r="136" spans="8:29">
      <c r="H136" t="b">
        <f t="shared" ca="1" si="10"/>
        <v>1</v>
      </c>
      <c r="I136" t="b">
        <f t="shared" ca="1" si="7"/>
        <v>1</v>
      </c>
      <c r="J136" s="2">
        <f ca="1"/>
        <v>45136</v>
      </c>
      <c r="K136">
        <f ca="1"/>
        <v>96.12226767918709</v>
      </c>
      <c r="L136">
        <f ca="1"/>
        <v>0.1367988041127095</v>
      </c>
      <c r="M136">
        <f ca="1"/>
        <v>3.035688146448301E-2</v>
      </c>
      <c r="N136">
        <f ca="1"/>
        <v>0.14031504141437479</v>
      </c>
      <c r="O136">
        <f ca="1"/>
        <v>0</v>
      </c>
      <c r="P136">
        <f ca="1"/>
        <v>14.203153854764373</v>
      </c>
      <c r="Q136">
        <f ca="1"/>
        <v>7.8772548890896728</v>
      </c>
      <c r="R136">
        <f ca="1"/>
        <v>0</v>
      </c>
      <c r="S136">
        <f ca="1"/>
        <v>0.97946984678025262</v>
      </c>
      <c r="T136">
        <f ca="1"/>
        <v>0</v>
      </c>
      <c r="U136">
        <f ca="1"/>
        <v>0</v>
      </c>
      <c r="V136">
        <f ca="1"/>
        <v>0.12860858198536296</v>
      </c>
      <c r="X136" s="2">
        <f t="shared" ca="1" si="8"/>
        <v>45136</v>
      </c>
      <c r="Y136">
        <f t="shared" ca="1" si="9"/>
        <v>0</v>
      </c>
      <c r="AA136" s="63">
        <f t="shared" ca="1" si="11"/>
        <v>96.259066483299804</v>
      </c>
      <c r="AB136" s="63">
        <f t="shared" ca="1" si="12"/>
        <v>96.259066483299804</v>
      </c>
      <c r="AC136" s="3">
        <f t="shared" ca="1" si="13"/>
        <v>0</v>
      </c>
    </row>
    <row r="137" spans="8:29">
      <c r="H137" t="b">
        <f t="shared" ca="1" si="10"/>
        <v>1</v>
      </c>
      <c r="I137" t="b">
        <f t="shared" ca="1" si="7"/>
        <v>1</v>
      </c>
      <c r="J137" s="2">
        <f ca="1"/>
        <v>45137</v>
      </c>
      <c r="K137">
        <f ca="1"/>
        <v>96.155309258354492</v>
      </c>
      <c r="L137">
        <f ca="1"/>
        <v>0.12674162166193881</v>
      </c>
      <c r="M137">
        <f ca="1"/>
        <v>2.850790043122764E-2</v>
      </c>
      <c r="N137">
        <f ca="1"/>
        <v>0.13127530039810975</v>
      </c>
      <c r="O137">
        <f ca="1"/>
        <v>0</v>
      </c>
      <c r="P137">
        <f ca="1"/>
        <v>14.329895476426312</v>
      </c>
      <c r="Q137">
        <f ca="1"/>
        <v>7.9475474501008856</v>
      </c>
      <c r="R137">
        <f ca="1"/>
        <v>0</v>
      </c>
      <c r="S137">
        <f ca="1"/>
        <v>0.97959618995722364</v>
      </c>
      <c r="T137">
        <f ca="1"/>
        <v>0</v>
      </c>
      <c r="U137">
        <f ca="1"/>
        <v>0</v>
      </c>
      <c r="V137">
        <f ca="1"/>
        <v>0.13117707198782619</v>
      </c>
      <c r="X137" s="2">
        <f t="shared" ca="1" si="8"/>
        <v>45137</v>
      </c>
      <c r="Y137">
        <f t="shared" ca="1" si="9"/>
        <v>0</v>
      </c>
      <c r="AA137" s="63">
        <f t="shared" ca="1" si="11"/>
        <v>96.282050880016428</v>
      </c>
      <c r="AB137" s="63">
        <f t="shared" ca="1" si="12"/>
        <v>96.282050880016428</v>
      </c>
      <c r="AC137" s="3">
        <f t="shared" ca="1" si="13"/>
        <v>0</v>
      </c>
    </row>
    <row r="138" spans="8:29">
      <c r="H138" t="b">
        <f t="shared" ca="1" si="10"/>
        <v>1</v>
      </c>
      <c r="I138" t="b">
        <f t="shared" ca="1" si="7"/>
        <v>1</v>
      </c>
      <c r="J138" s="2">
        <f ca="1"/>
        <v>45138</v>
      </c>
      <c r="K138">
        <f ca="1"/>
        <v>96.185924309761646</v>
      </c>
      <c r="L138">
        <f ca="1"/>
        <v>0.13441762698271909</v>
      </c>
      <c r="M138">
        <f ca="1"/>
        <v>2.8618899294450273E-2</v>
      </c>
      <c r="N138">
        <f ca="1"/>
        <v>0.13641377909542163</v>
      </c>
      <c r="O138">
        <f ca="1"/>
        <v>0</v>
      </c>
      <c r="P138">
        <f ca="1"/>
        <v>14.464313103409031</v>
      </c>
      <c r="Q138">
        <f ca="1"/>
        <v>8.0220972240564965</v>
      </c>
      <c r="R138">
        <f ca="1"/>
        <v>0</v>
      </c>
      <c r="S138">
        <f ca="1"/>
        <v>0.96785765563786241</v>
      </c>
      <c r="T138">
        <f ca="1"/>
        <v>0</v>
      </c>
      <c r="U138">
        <f ca="1"/>
        <v>0</v>
      </c>
      <c r="V138">
        <f ca="1"/>
        <v>0.13392380837317311</v>
      </c>
      <c r="X138" s="2">
        <f t="shared" ca="1" si="8"/>
        <v>45138</v>
      </c>
      <c r="Y138">
        <f t="shared" ca="1" si="9"/>
        <v>0</v>
      </c>
      <c r="AA138" s="63">
        <f t="shared" ca="1" si="11"/>
        <v>96.32034193674437</v>
      </c>
      <c r="AB138" s="63">
        <f t="shared" ca="1" si="12"/>
        <v>96.32034193674437</v>
      </c>
      <c r="AC138" s="3">
        <f t="shared" ca="1" si="13"/>
        <v>0</v>
      </c>
    </row>
    <row r="139" spans="8:29">
      <c r="H139" t="b">
        <f t="shared" ca="1" si="10"/>
        <v>1</v>
      </c>
      <c r="I139" t="b">
        <f t="shared" ref="I139:I202" ca="1" si="14">AND(IF(J139&gt;($J$7-1),TRUE,FALSE),IF(J139&lt;($J$8+1),TRUE,FALSE))</f>
        <v>1</v>
      </c>
      <c r="J139" s="2">
        <f ca="1"/>
        <v>45139</v>
      </c>
      <c r="K139">
        <f ca="1"/>
        <v>96.214276868153632</v>
      </c>
      <c r="L139">
        <f ca="1"/>
        <v>0.1398185706330981</v>
      </c>
      <c r="M139">
        <f ca="1"/>
        <v>2.8460969672005731E-2</v>
      </c>
      <c r="N139">
        <f ca="1"/>
        <v>0.13971015935306871</v>
      </c>
      <c r="O139">
        <f ca="1"/>
        <v>0</v>
      </c>
      <c r="P139">
        <f ca="1"/>
        <v>14.604131674042129</v>
      </c>
      <c r="Q139">
        <f ca="1"/>
        <v>8.0996424319988609</v>
      </c>
      <c r="R139">
        <f ca="1"/>
        <v>0</v>
      </c>
      <c r="S139">
        <f ca="1"/>
        <v>0.9713915289679208</v>
      </c>
      <c r="T139">
        <f ca="1"/>
        <v>0</v>
      </c>
      <c r="U139">
        <f ca="1"/>
        <v>0</v>
      </c>
      <c r="V139">
        <f ca="1"/>
        <v>0.13680530548109526</v>
      </c>
      <c r="X139" s="2">
        <f t="shared" ref="X139:X202" ca="1" si="15">IFERROR(J139,$X$9)</f>
        <v>45139</v>
      </c>
      <c r="Y139">
        <f t="shared" ref="Y139:Y202" ca="1" si="16">IFERROR(O139,0)</f>
        <v>0</v>
      </c>
      <c r="AA139" s="63">
        <f t="shared" ca="1" si="11"/>
        <v>96.354095438786729</v>
      </c>
      <c r="AB139" s="63">
        <f t="shared" ca="1" si="12"/>
        <v>96.354095438786729</v>
      </c>
      <c r="AC139" s="3">
        <f t="shared" ca="1" si="13"/>
        <v>0</v>
      </c>
    </row>
    <row r="140" spans="8:29">
      <c r="H140" t="b">
        <f t="shared" ref="H140:H203" ca="1" si="17">IF(J140&lt;$J$8,TRUE,FALSE)</f>
        <v>1</v>
      </c>
      <c r="I140" t="b">
        <f t="shared" ca="1" si="14"/>
        <v>1</v>
      </c>
      <c r="J140" s="2">
        <f ca="1"/>
        <v>45140</v>
      </c>
      <c r="K140">
        <f ca="1"/>
        <v>96.241336615475973</v>
      </c>
      <c r="L140">
        <f ca="1"/>
        <v>0.13597165261169053</v>
      </c>
      <c r="M140">
        <f ca="1"/>
        <v>2.7359624096852997E-2</v>
      </c>
      <c r="N140">
        <f ca="1"/>
        <v>0.13567177583717724</v>
      </c>
      <c r="O140">
        <f ca="1"/>
        <v>0</v>
      </c>
      <c r="P140">
        <f ca="1"/>
        <v>14.74010332665382</v>
      </c>
      <c r="Q140">
        <f ca="1"/>
        <v>8.1750540888932033</v>
      </c>
      <c r="R140">
        <f ca="1"/>
        <v>0</v>
      </c>
      <c r="S140">
        <f ca="1"/>
        <v>0.97135046956569271</v>
      </c>
      <c r="T140">
        <f ca="1"/>
        <v>0</v>
      </c>
      <c r="U140">
        <f ca="1"/>
        <v>0</v>
      </c>
      <c r="V140">
        <f ca="1"/>
        <v>0.13963099050834599</v>
      </c>
      <c r="X140" s="2">
        <f t="shared" ca="1" si="15"/>
        <v>45140</v>
      </c>
      <c r="Y140">
        <f t="shared" ca="1" si="16"/>
        <v>0</v>
      </c>
      <c r="AA140" s="63">
        <f t="shared" ca="1" si="11"/>
        <v>96.37730826808766</v>
      </c>
      <c r="AB140" s="63">
        <f t="shared" ca="1" si="12"/>
        <v>96.37730826808766</v>
      </c>
      <c r="AC140" s="3">
        <f t="shared" ca="1" si="13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45141</v>
      </c>
      <c r="K141">
        <f ca="1"/>
        <v>96.267664585179858</v>
      </c>
      <c r="L141">
        <f ca="1"/>
        <v>0.13006620715664319</v>
      </c>
      <c r="M141">
        <f ca="1"/>
        <v>2.6131066739257136E-2</v>
      </c>
      <c r="N141">
        <f ca="1"/>
        <v>0.13026311012128278</v>
      </c>
      <c r="O141">
        <f ca="1"/>
        <v>0</v>
      </c>
      <c r="P141">
        <f ca="1"/>
        <v>14.870169533810463</v>
      </c>
      <c r="Q141">
        <f ca="1"/>
        <v>8.2471905085016086</v>
      </c>
      <c r="R141">
        <f ca="1"/>
        <v>0</v>
      </c>
      <c r="S141">
        <f ca="1"/>
        <v>0.96441497728958081</v>
      </c>
      <c r="T141">
        <f ca="1"/>
        <v>0</v>
      </c>
      <c r="U141">
        <f ca="1"/>
        <v>0</v>
      </c>
      <c r="V141">
        <f ca="1"/>
        <v>0.14235524567540317</v>
      </c>
      <c r="X141" s="2">
        <f t="shared" ca="1" si="15"/>
        <v>45141</v>
      </c>
      <c r="Y141">
        <f t="shared" ca="1" si="16"/>
        <v>0</v>
      </c>
      <c r="AA141" s="63">
        <f t="shared" ref="AA141:AA204" ca="1" si="18">K140+M141+N141+O141</f>
        <v>96.397730792336503</v>
      </c>
      <c r="AB141" s="63">
        <f t="shared" ref="AB141:AB204" ca="1" si="19">K141+L141+R141</f>
        <v>96.397730792336503</v>
      </c>
      <c r="AC141" s="3">
        <f t="shared" ref="AC141:AC204" ca="1" si="20">AB141-AA141</f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45142</v>
      </c>
      <c r="K142">
        <f ca="1"/>
        <v>96.291050553350928</v>
      </c>
      <c r="L142">
        <f ca="1"/>
        <v>0.13955616787496972</v>
      </c>
      <c r="M142">
        <f ca="1"/>
        <v>2.6379637982072879E-2</v>
      </c>
      <c r="N142">
        <f ca="1"/>
        <v>0.13656249806396009</v>
      </c>
      <c r="O142">
        <f ca="1"/>
        <v>0</v>
      </c>
      <c r="P142">
        <f ca="1"/>
        <v>15.009725701685433</v>
      </c>
      <c r="Q142">
        <f ca="1"/>
        <v>8.3245901844423837</v>
      </c>
      <c r="R142">
        <f ca="1"/>
        <v>0</v>
      </c>
      <c r="S142">
        <f ca="1"/>
        <v>0.96688969332414387</v>
      </c>
      <c r="T142">
        <f ca="1"/>
        <v>0</v>
      </c>
      <c r="U142">
        <f ca="1"/>
        <v>0</v>
      </c>
      <c r="V142">
        <f ca="1"/>
        <v>0.14530102666331376</v>
      </c>
      <c r="X142" s="2">
        <f t="shared" ca="1" si="15"/>
        <v>45142</v>
      </c>
      <c r="Y142">
        <f t="shared" ca="1" si="16"/>
        <v>0</v>
      </c>
      <c r="AA142" s="63">
        <f t="shared" ca="1" si="18"/>
        <v>96.430606721225899</v>
      </c>
      <c r="AB142" s="63">
        <f t="shared" ca="1" si="19"/>
        <v>96.430606721225899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45143</v>
      </c>
      <c r="K143">
        <f ca="1"/>
        <v>96.312127099219339</v>
      </c>
      <c r="L143">
        <f ca="1"/>
        <v>0.14417426848403636</v>
      </c>
      <c r="M143">
        <f ca="1"/>
        <v>2.6143829985411315E-2</v>
      </c>
      <c r="N143">
        <f ca="1"/>
        <v>0.13910698436703076</v>
      </c>
      <c r="O143">
        <f ca="1"/>
        <v>0</v>
      </c>
      <c r="P143">
        <f ca="1"/>
        <v>15.153899970169469</v>
      </c>
      <c r="Q143">
        <f ca="1"/>
        <v>8.4045511193804945</v>
      </c>
      <c r="R143">
        <f ca="1"/>
        <v>0</v>
      </c>
      <c r="S143">
        <f ca="1"/>
        <v>0.97056659991904981</v>
      </c>
      <c r="T143">
        <f ca="1"/>
        <v>0</v>
      </c>
      <c r="U143">
        <f ca="1"/>
        <v>0</v>
      </c>
      <c r="V143">
        <f ca="1"/>
        <v>0.14836858121851712</v>
      </c>
      <c r="X143" s="2">
        <f t="shared" ca="1" si="15"/>
        <v>45143</v>
      </c>
      <c r="Y143">
        <f t="shared" ca="1" si="16"/>
        <v>0</v>
      </c>
      <c r="AA143" s="63">
        <f t="shared" ca="1" si="18"/>
        <v>96.456301367703375</v>
      </c>
      <c r="AB143" s="63">
        <f t="shared" ca="1" si="19"/>
        <v>96.456301367703375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45144</v>
      </c>
      <c r="K144">
        <f ca="1"/>
        <v>96.330636573559801</v>
      </c>
      <c r="L144">
        <f ca="1"/>
        <v>0.1473100162984764</v>
      </c>
      <c r="M144">
        <f ca="1"/>
        <v>2.5762066327331468E-2</v>
      </c>
      <c r="N144">
        <f ca="1"/>
        <v>0.14005742431160761</v>
      </c>
      <c r="O144">
        <f ca="1"/>
        <v>0</v>
      </c>
      <c r="P144">
        <f ca="1"/>
        <v>15.301209986467946</v>
      </c>
      <c r="Q144">
        <f ca="1"/>
        <v>8.4862511810685408</v>
      </c>
      <c r="R144">
        <f ca="1"/>
        <v>0</v>
      </c>
      <c r="S144">
        <f ca="1"/>
        <v>0.95821094962793352</v>
      </c>
      <c r="T144">
        <f ca="1"/>
        <v>0</v>
      </c>
      <c r="U144">
        <f ca="1"/>
        <v>0</v>
      </c>
      <c r="V144">
        <f ca="1"/>
        <v>0.15152786041381602</v>
      </c>
      <c r="X144" s="2">
        <f t="shared" ca="1" si="15"/>
        <v>45144</v>
      </c>
      <c r="Y144">
        <f t="shared" ca="1" si="16"/>
        <v>0</v>
      </c>
      <c r="AA144" s="63">
        <f t="shared" ca="1" si="18"/>
        <v>96.477946589858277</v>
      </c>
      <c r="AB144" s="63">
        <f t="shared" ca="1" si="19"/>
        <v>96.477946589858277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45145</v>
      </c>
      <c r="K145">
        <f ca="1"/>
        <v>96.347224815969255</v>
      </c>
      <c r="L145">
        <f ca="1"/>
        <v>0.15130971258171577</v>
      </c>
      <c r="M145">
        <f ca="1"/>
        <v>2.5452360266259078E-2</v>
      </c>
      <c r="N145">
        <f ca="1"/>
        <v>0.14244559472492335</v>
      </c>
      <c r="O145">
        <f ca="1"/>
        <v>0</v>
      </c>
      <c r="P145">
        <f ca="1"/>
        <v>15.452519699049661</v>
      </c>
      <c r="Q145">
        <f ca="1"/>
        <v>8.5701695266267883</v>
      </c>
      <c r="R145">
        <f ca="1"/>
        <v>0</v>
      </c>
      <c r="S145">
        <f ca="1"/>
        <v>0.98594553866003409</v>
      </c>
      <c r="T145">
        <f ca="1"/>
        <v>0</v>
      </c>
      <c r="U145">
        <f ca="1"/>
        <v>0</v>
      </c>
      <c r="V145">
        <f ca="1"/>
        <v>0.15479869259148812</v>
      </c>
      <c r="X145" s="2">
        <f t="shared" ca="1" si="15"/>
        <v>45145</v>
      </c>
      <c r="Y145">
        <f t="shared" ca="1" si="16"/>
        <v>0</v>
      </c>
      <c r="AA145" s="63">
        <f t="shared" ca="1" si="18"/>
        <v>96.498534528550977</v>
      </c>
      <c r="AB145" s="63">
        <f t="shared" ca="1" si="19"/>
        <v>96.498534528550977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45146</v>
      </c>
      <c r="K146">
        <f ca="1"/>
        <v>96.060835156125407</v>
      </c>
      <c r="L146">
        <f ca="1"/>
        <v>0.14751041611693516</v>
      </c>
      <c r="M146">
        <f ca="1"/>
        <v>2.4478093379373789E-2</v>
      </c>
      <c r="N146">
        <f ca="1"/>
        <v>0.138505514861858</v>
      </c>
      <c r="O146">
        <f ca="1"/>
        <v>0</v>
      </c>
      <c r="P146">
        <f ca="1"/>
        <v>15.600030115166597</v>
      </c>
      <c r="Q146">
        <f ca="1"/>
        <v>8.6519807326751543</v>
      </c>
      <c r="R146">
        <f ca="1"/>
        <v>0.30186285196815282</v>
      </c>
      <c r="S146">
        <f ca="1"/>
        <v>1</v>
      </c>
      <c r="T146">
        <f ca="1"/>
        <v>0.57059611048480008</v>
      </c>
      <c r="U146">
        <f ca="1"/>
        <v>0</v>
      </c>
      <c r="V146">
        <f ca="1"/>
        <v>0.15801200266647356</v>
      </c>
      <c r="X146" s="2">
        <f t="shared" ca="1" si="15"/>
        <v>45146</v>
      </c>
      <c r="Y146">
        <f t="shared" ca="1" si="16"/>
        <v>0</v>
      </c>
      <c r="AA146" s="63">
        <f t="shared" ca="1" si="18"/>
        <v>96.510208424210489</v>
      </c>
      <c r="AB146" s="63">
        <f t="shared" ca="1" si="19"/>
        <v>96.510208424210489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45147</v>
      </c>
      <c r="K147">
        <f ca="1"/>
        <v>96.029736852753771</v>
      </c>
      <c r="L147">
        <f ca="1"/>
        <v>0.13460478280876131</v>
      </c>
      <c r="M147">
        <f ca="1"/>
        <v>2.2849664023466332E-2</v>
      </c>
      <c r="N147">
        <f ca="1"/>
        <v>0.1282541632450144</v>
      </c>
      <c r="O147">
        <f ca="1"/>
        <v>0</v>
      </c>
      <c r="P147">
        <f ca="1"/>
        <v>15.734634897975358</v>
      </c>
      <c r="Q147">
        <f ca="1"/>
        <v>8.726634305699676</v>
      </c>
      <c r="R147">
        <f ca="1"/>
        <v>4.7597347831359202E-2</v>
      </c>
      <c r="S147">
        <f ca="1"/>
        <v>1</v>
      </c>
      <c r="T147">
        <f ca="1"/>
        <v>8.99999999999892E-2</v>
      </c>
      <c r="U147">
        <f ca="1"/>
        <v>0</v>
      </c>
      <c r="V147">
        <f ca="1"/>
        <v>0.16096492618239042</v>
      </c>
      <c r="X147" s="2">
        <f t="shared" ca="1" si="15"/>
        <v>45147</v>
      </c>
      <c r="Y147">
        <f t="shared" ca="1" si="16"/>
        <v>0</v>
      </c>
      <c r="AA147" s="63">
        <f t="shared" ca="1" si="18"/>
        <v>96.211938983393892</v>
      </c>
      <c r="AB147" s="63">
        <f t="shared" ca="1" si="19"/>
        <v>96.211938983393892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45148</v>
      </c>
      <c r="K148">
        <f ca="1"/>
        <v>96.032100225505374</v>
      </c>
      <c r="L148">
        <f ca="1"/>
        <v>0.14478447117203608</v>
      </c>
      <c r="M148">
        <f ca="1"/>
        <v>2.3087869568604091E-2</v>
      </c>
      <c r="N148">
        <f ca="1"/>
        <v>0.13463742307553483</v>
      </c>
      <c r="O148">
        <f ca="1"/>
        <v>0</v>
      </c>
      <c r="P148">
        <f ca="1"/>
        <v>15.879419369147394</v>
      </c>
      <c r="Q148">
        <f ca="1"/>
        <v>8.8069336670293161</v>
      </c>
      <c r="R148">
        <f ca="1"/>
        <v>1.0577448720495861E-2</v>
      </c>
      <c r="S148">
        <f ca="1"/>
        <v>1</v>
      </c>
      <c r="T148">
        <f ca="1"/>
        <v>2.0000000000010232E-2</v>
      </c>
      <c r="U148">
        <f ca="1"/>
        <v>0</v>
      </c>
      <c r="V148">
        <f ca="1"/>
        <v>0.16416278663536527</v>
      </c>
      <c r="X148" s="2">
        <f t="shared" ca="1" si="15"/>
        <v>45148</v>
      </c>
      <c r="Y148">
        <f t="shared" ca="1" si="16"/>
        <v>0</v>
      </c>
      <c r="AA148" s="63">
        <f t="shared" ca="1" si="18"/>
        <v>96.187462145397902</v>
      </c>
      <c r="AB148" s="63">
        <f t="shared" ca="1" si="19"/>
        <v>96.187462145397902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45149</v>
      </c>
      <c r="K149">
        <f ca="1"/>
        <v>95.967431367859305</v>
      </c>
      <c r="L149">
        <f ca="1"/>
        <v>0.155216329049507</v>
      </c>
      <c r="M149">
        <f ca="1"/>
        <v>2.3314183074962358E-2</v>
      </c>
      <c r="N149">
        <f ca="1"/>
        <v>0.14122556874543588</v>
      </c>
      <c r="O149">
        <f ca="1"/>
        <v>0</v>
      </c>
      <c r="P149">
        <f ca="1"/>
        <v>16.034635698196901</v>
      </c>
      <c r="Q149">
        <f ca="1"/>
        <v>8.8930186731747387</v>
      </c>
      <c r="R149">
        <f ca="1"/>
        <v>7.3992280416958503E-2</v>
      </c>
      <c r="S149">
        <f ca="1"/>
        <v>1</v>
      </c>
      <c r="T149">
        <f ca="1"/>
        <v>0.14000000000000057</v>
      </c>
      <c r="U149">
        <f ca="1"/>
        <v>0</v>
      </c>
      <c r="V149">
        <f ca="1"/>
        <v>0.16761537320823391</v>
      </c>
      <c r="X149" s="2">
        <f t="shared" ca="1" si="15"/>
        <v>45149</v>
      </c>
      <c r="Y149">
        <f t="shared" ca="1" si="16"/>
        <v>0</v>
      </c>
      <c r="AA149" s="63">
        <f t="shared" ca="1" si="18"/>
        <v>96.196639977325773</v>
      </c>
      <c r="AB149" s="63">
        <f t="shared" ca="1" si="19"/>
        <v>96.196639977325773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45150</v>
      </c>
      <c r="K150">
        <f ca="1"/>
        <v>95.973858755328024</v>
      </c>
      <c r="L150">
        <f ca="1"/>
        <v>0.16151566919155158</v>
      </c>
      <c r="M150">
        <f ca="1"/>
        <v>2.3191422480119073E-2</v>
      </c>
      <c r="N150">
        <f ca="1"/>
        <v>0.14475163418014508</v>
      </c>
      <c r="O150">
        <f ca="1"/>
        <v>0</v>
      </c>
      <c r="P150">
        <f ca="1"/>
        <v>16.196151367388453</v>
      </c>
      <c r="Q150">
        <f ca="1"/>
        <v>8.9825973757512063</v>
      </c>
      <c r="R150">
        <f ca="1"/>
        <v>0</v>
      </c>
      <c r="S150">
        <f ca="1"/>
        <v>0.99362318840579711</v>
      </c>
      <c r="T150">
        <f ca="1"/>
        <v>0</v>
      </c>
      <c r="U150">
        <f ca="1"/>
        <v>0</v>
      </c>
      <c r="V150">
        <f ca="1"/>
        <v>0.17123412824210157</v>
      </c>
      <c r="X150" s="2">
        <f t="shared" ca="1" si="15"/>
        <v>45150</v>
      </c>
      <c r="Y150">
        <f t="shared" ca="1" si="16"/>
        <v>0</v>
      </c>
      <c r="AA150" s="63">
        <f t="shared" ca="1" si="18"/>
        <v>96.135374424519568</v>
      </c>
      <c r="AB150" s="63">
        <f t="shared" ca="1" si="19"/>
        <v>96.135374424519568</v>
      </c>
      <c r="AC150" s="3">
        <f t="shared" ca="1" si="20"/>
        <v>0</v>
      </c>
    </row>
    <row r="151" spans="8:29">
      <c r="H151" t="b">
        <f t="shared" ca="1" si="17"/>
        <v>1</v>
      </c>
      <c r="I151" t="b">
        <f t="shared" ca="1" si="14"/>
        <v>1</v>
      </c>
      <c r="J151" s="2">
        <f ca="1"/>
        <v>45151</v>
      </c>
      <c r="K151">
        <f ca="1"/>
        <v>95.979513187506313</v>
      </c>
      <c r="L151">
        <f ca="1"/>
        <v>0.15674773018300669</v>
      </c>
      <c r="M151">
        <f ca="1"/>
        <v>2.2238501587512616E-2</v>
      </c>
      <c r="N151">
        <f ca="1"/>
        <v>0.14016366077377368</v>
      </c>
      <c r="O151">
        <f ca="1"/>
        <v>0</v>
      </c>
      <c r="P151">
        <f ca="1"/>
        <v>16.352899097571459</v>
      </c>
      <c r="Q151">
        <f ca="1"/>
        <v>9.069531716994268</v>
      </c>
      <c r="R151">
        <f ca="1"/>
        <v>0</v>
      </c>
      <c r="S151">
        <f ca="1"/>
        <v>0.99810219144492018</v>
      </c>
      <c r="T151">
        <f ca="1"/>
        <v>0</v>
      </c>
      <c r="U151">
        <f ca="1"/>
        <v>0</v>
      </c>
      <c r="V151">
        <f ca="1"/>
        <v>0.17477078585488476</v>
      </c>
      <c r="X151" s="2">
        <f t="shared" ca="1" si="15"/>
        <v>45151</v>
      </c>
      <c r="Y151">
        <f t="shared" ca="1" si="16"/>
        <v>0</v>
      </c>
      <c r="AA151" s="63">
        <f t="shared" ca="1" si="18"/>
        <v>96.136260917689313</v>
      </c>
      <c r="AB151" s="63">
        <f t="shared" ca="1" si="19"/>
        <v>96.136260917689327</v>
      </c>
      <c r="AC151" s="3">
        <f t="shared" ca="1" si="20"/>
        <v>0</v>
      </c>
    </row>
    <row r="152" spans="8:29">
      <c r="H152" t="b">
        <f t="shared" ca="1" si="17"/>
        <v>1</v>
      </c>
      <c r="I152" t="b">
        <f t="shared" ca="1" si="14"/>
        <v>1</v>
      </c>
      <c r="J152" s="2">
        <f ca="1"/>
        <v>45152</v>
      </c>
      <c r="K152">
        <f ca="1"/>
        <v>95.771950661656859</v>
      </c>
      <c r="L152">
        <f ca="1"/>
        <v>0.15565999499527194</v>
      </c>
      <c r="M152">
        <f ca="1"/>
        <v>2.15993146451261E-2</v>
      </c>
      <c r="N152">
        <f ca="1"/>
        <v>0.13835541377953398</v>
      </c>
      <c r="O152">
        <f ca="1"/>
        <v>0</v>
      </c>
      <c r="P152">
        <f ca="1"/>
        <v>16.508559092566731</v>
      </c>
      <c r="Q152">
        <f ca="1"/>
        <v>9.155862786075863</v>
      </c>
      <c r="R152">
        <f ca="1"/>
        <v>0.21185725927884422</v>
      </c>
      <c r="S152">
        <f ca="1"/>
        <v>1</v>
      </c>
      <c r="T152">
        <f ca="1"/>
        <v>0.4016710306769653</v>
      </c>
      <c r="U152">
        <f ca="1"/>
        <v>0</v>
      </c>
      <c r="V152">
        <f ca="1"/>
        <v>0.17830634479451854</v>
      </c>
      <c r="X152" s="2">
        <f t="shared" ca="1" si="15"/>
        <v>45152</v>
      </c>
      <c r="Y152">
        <f t="shared" ca="1" si="16"/>
        <v>0</v>
      </c>
      <c r="AA152" s="63">
        <f t="shared" ca="1" si="18"/>
        <v>96.139467915930979</v>
      </c>
      <c r="AB152" s="63">
        <f t="shared" ca="1" si="19"/>
        <v>96.139467915930979</v>
      </c>
      <c r="AC152" s="3">
        <f t="shared" ca="1" si="20"/>
        <v>0</v>
      </c>
    </row>
    <row r="153" spans="8:29">
      <c r="H153" t="b">
        <f t="shared" ca="1" si="17"/>
        <v>1</v>
      </c>
      <c r="I153" t="b">
        <f t="shared" ca="1" si="14"/>
        <v>1</v>
      </c>
      <c r="J153" s="2">
        <f ca="1"/>
        <v>45153</v>
      </c>
      <c r="K153">
        <f ca="1"/>
        <v>95.565750064623813</v>
      </c>
      <c r="L153">
        <f ca="1"/>
        <v>0.14934110215396856</v>
      </c>
      <c r="M153">
        <f ca="1"/>
        <v>2.063967175864434E-2</v>
      </c>
      <c r="N153">
        <f ca="1"/>
        <v>0.13302248567855884</v>
      </c>
      <c r="O153">
        <f ca="1"/>
        <v>0</v>
      </c>
      <c r="P153">
        <f ca="1"/>
        <v>16.6579001947207</v>
      </c>
      <c r="Q153">
        <f ca="1"/>
        <v>9.2386893145436755</v>
      </c>
      <c r="R153">
        <f ca="1"/>
        <v>0.21052165231626827</v>
      </c>
      <c r="S153">
        <f ca="1"/>
        <v>1</v>
      </c>
      <c r="T153">
        <f ca="1"/>
        <v>0.39999999999999147</v>
      </c>
      <c r="U153">
        <f ca="1"/>
        <v>0</v>
      </c>
      <c r="V153">
        <f ca="1"/>
        <v>0.18171973218589421</v>
      </c>
      <c r="X153" s="2">
        <f t="shared" ca="1" si="15"/>
        <v>45153</v>
      </c>
      <c r="Y153">
        <f t="shared" ca="1" si="16"/>
        <v>0</v>
      </c>
      <c r="AA153" s="63">
        <f t="shared" ca="1" si="18"/>
        <v>95.925612819094056</v>
      </c>
      <c r="AB153" s="63">
        <f t="shared" ca="1" si="19"/>
        <v>95.925612819094056</v>
      </c>
      <c r="AC153" s="3">
        <f t="shared" ca="1" si="20"/>
        <v>0</v>
      </c>
    </row>
    <row r="154" spans="8:29">
      <c r="H154" t="b">
        <f t="shared" ca="1" si="17"/>
        <v>1</v>
      </c>
      <c r="I154" t="b">
        <f t="shared" ca="1" si="14"/>
        <v>1</v>
      </c>
      <c r="J154" s="2">
        <f ca="1"/>
        <v>45154</v>
      </c>
      <c r="K154">
        <f ca="1"/>
        <v>95.404177532571495</v>
      </c>
      <c r="L154">
        <f ca="1"/>
        <v>0.15565600605554408</v>
      </c>
      <c r="M154">
        <f ca="1"/>
        <v>2.0548131332970954E-2</v>
      </c>
      <c r="N154">
        <f ca="1"/>
        <v>0.13641377909542163</v>
      </c>
      <c r="O154">
        <f ca="1"/>
        <v>0</v>
      </c>
      <c r="P154">
        <f ca="1"/>
        <v>16.813556200776244</v>
      </c>
      <c r="Q154">
        <f ca="1"/>
        <v>9.3250181713071267</v>
      </c>
      <c r="R154">
        <f ca="1"/>
        <v>0.16287843642517402</v>
      </c>
      <c r="S154">
        <f ca="1"/>
        <v>1</v>
      </c>
      <c r="T154">
        <f ca="1"/>
        <v>0.31000000000000227</v>
      </c>
      <c r="U154">
        <f ca="1"/>
        <v>0</v>
      </c>
      <c r="V154">
        <f ca="1"/>
        <v>0.18529907458964009</v>
      </c>
      <c r="X154" s="2">
        <f t="shared" ca="1" si="15"/>
        <v>45154</v>
      </c>
      <c r="Y154">
        <f t="shared" ca="1" si="16"/>
        <v>0</v>
      </c>
      <c r="AA154" s="63">
        <f t="shared" ca="1" si="18"/>
        <v>95.722711975052206</v>
      </c>
      <c r="AB154" s="63">
        <f t="shared" ca="1" si="19"/>
        <v>95.722711975052206</v>
      </c>
      <c r="AC154" s="3">
        <f t="shared" ca="1" si="20"/>
        <v>0</v>
      </c>
    </row>
    <row r="155" spans="8:29">
      <c r="H155" t="b">
        <f t="shared" ca="1" si="17"/>
        <v>1</v>
      </c>
      <c r="I155" t="b">
        <f t="shared" ca="1" si="14"/>
        <v>1</v>
      </c>
      <c r="J155" s="2">
        <f ca="1"/>
        <v>45155</v>
      </c>
      <c r="K155">
        <f ca="1"/>
        <v>95.060401086884113</v>
      </c>
      <c r="L155">
        <f ca="1"/>
        <v>0.16914375045270447</v>
      </c>
      <c r="M155">
        <f ca="1"/>
        <v>2.0904352736780041E-2</v>
      </c>
      <c r="N155">
        <f ca="1"/>
        <v>0.14475163418014508</v>
      </c>
      <c r="O155">
        <f ca="1"/>
        <v>0</v>
      </c>
      <c r="P155">
        <f ca="1"/>
        <v>16.982699951228948</v>
      </c>
      <c r="Q155">
        <f ca="1"/>
        <v>9.4188275075177312</v>
      </c>
      <c r="R155">
        <f ca="1"/>
        <v>0.34028868215159513</v>
      </c>
      <c r="S155">
        <f ca="1"/>
        <v>1</v>
      </c>
      <c r="T155">
        <f ca="1"/>
        <v>0.64999999999999147</v>
      </c>
      <c r="U155">
        <f ca="1"/>
        <v>0</v>
      </c>
      <c r="V155">
        <f ca="1"/>
        <v>0.18921282924002381</v>
      </c>
      <c r="X155" s="2">
        <f t="shared" ca="1" si="15"/>
        <v>45155</v>
      </c>
      <c r="Y155">
        <f t="shared" ca="1" si="16"/>
        <v>0</v>
      </c>
      <c r="AA155" s="63">
        <f t="shared" ca="1" si="18"/>
        <v>95.569833519488412</v>
      </c>
      <c r="AB155" s="63">
        <f t="shared" ca="1" si="19"/>
        <v>95.569833519488412</v>
      </c>
      <c r="AC155" s="3">
        <f t="shared" ca="1" si="20"/>
        <v>0</v>
      </c>
    </row>
    <row r="156" spans="8:29">
      <c r="H156" t="b">
        <f t="shared" ca="1" si="17"/>
        <v>1</v>
      </c>
      <c r="I156" t="b">
        <f t="shared" ca="1" si="14"/>
        <v>1</v>
      </c>
      <c r="J156" s="2">
        <f ca="1"/>
        <v>45156</v>
      </c>
      <c r="K156">
        <f ca="1"/>
        <v>94.632358971674321</v>
      </c>
      <c r="L156">
        <f ca="1"/>
        <v>0.17212804328332254</v>
      </c>
      <c r="M156">
        <f ca="1"/>
        <v>2.0547720205877695E-2</v>
      </c>
      <c r="N156">
        <f ca="1"/>
        <v>0.14568081788911744</v>
      </c>
      <c r="O156">
        <f ca="1"/>
        <v>0</v>
      </c>
      <c r="P156">
        <f ca="1"/>
        <v>17.154827994512271</v>
      </c>
      <c r="Q156">
        <f ca="1"/>
        <v>9.5142919715633827</v>
      </c>
      <c r="R156">
        <f ca="1"/>
        <v>0.42214261002147008</v>
      </c>
      <c r="S156">
        <f ca="1"/>
        <v>1</v>
      </c>
      <c r="T156">
        <f ca="1"/>
        <v>0.81000000000000227</v>
      </c>
      <c r="U156">
        <f ca="1"/>
        <v>0</v>
      </c>
      <c r="V156">
        <f ca="1"/>
        <v>0.19322072032712651</v>
      </c>
      <c r="X156" s="2">
        <f t="shared" ca="1" si="15"/>
        <v>45156</v>
      </c>
      <c r="Y156">
        <f t="shared" ca="1" si="16"/>
        <v>0</v>
      </c>
      <c r="AA156" s="63">
        <f t="shared" ca="1" si="18"/>
        <v>95.226629624979111</v>
      </c>
      <c r="AB156" s="63">
        <f t="shared" ca="1" si="19"/>
        <v>95.226629624979111</v>
      </c>
      <c r="AC156" s="3">
        <f t="shared" ca="1" si="20"/>
        <v>0</v>
      </c>
    </row>
    <row r="157" spans="8:29">
      <c r="H157" t="b">
        <f t="shared" ca="1" si="17"/>
        <v>1</v>
      </c>
      <c r="I157" t="b">
        <f t="shared" ca="1" si="14"/>
        <v>1</v>
      </c>
      <c r="J157" s="2">
        <f ca="1"/>
        <v>45157</v>
      </c>
      <c r="K157">
        <f ca="1"/>
        <v>94.516602565996465</v>
      </c>
      <c r="L157">
        <f ca="1"/>
        <v>0.1675538108251331</v>
      </c>
      <c r="M157">
        <f ca="1"/>
        <v>1.9730213277863839E-2</v>
      </c>
      <c r="N157">
        <f ca="1"/>
        <v>0.14137769744573372</v>
      </c>
      <c r="O157">
        <f ca="1"/>
        <v>0</v>
      </c>
      <c r="P157">
        <f ca="1"/>
        <v>17.322381805337404</v>
      </c>
      <c r="Q157">
        <f ca="1"/>
        <v>9.6072195064619166</v>
      </c>
      <c r="R157">
        <f ca="1"/>
        <v>0.1093105055763305</v>
      </c>
      <c r="S157">
        <f ca="1"/>
        <v>1</v>
      </c>
      <c r="T157">
        <f ca="1"/>
        <v>0.21000000000000796</v>
      </c>
      <c r="U157">
        <f ca="1"/>
        <v>0</v>
      </c>
      <c r="V157">
        <f ca="1"/>
        <v>0.19714555594401184</v>
      </c>
      <c r="X157" s="2">
        <f t="shared" ca="1" si="15"/>
        <v>45157</v>
      </c>
      <c r="Y157">
        <f t="shared" ca="1" si="16"/>
        <v>0</v>
      </c>
      <c r="AA157" s="63">
        <f t="shared" ca="1" si="18"/>
        <v>94.793466882397922</v>
      </c>
      <c r="AB157" s="63">
        <f t="shared" ca="1" si="19"/>
        <v>94.793466882397922</v>
      </c>
      <c r="AC157" s="3">
        <f t="shared" ca="1" si="20"/>
        <v>0</v>
      </c>
    </row>
    <row r="158" spans="8:29">
      <c r="H158" t="b">
        <f t="shared" ca="1" si="17"/>
        <v>1</v>
      </c>
      <c r="I158" t="b">
        <f t="shared" ca="1" si="14"/>
        <v>1</v>
      </c>
      <c r="J158" s="2">
        <f ca="1"/>
        <v>45158</v>
      </c>
      <c r="K158">
        <f ca="1"/>
        <v>94.507856284915832</v>
      </c>
      <c r="L158">
        <f ca="1"/>
        <v>0.17027340674446734</v>
      </c>
      <c r="M158">
        <f ca="1"/>
        <v>1.9387179760014916E-2</v>
      </c>
      <c r="N158">
        <f ca="1"/>
        <v>0.14213994590381537</v>
      </c>
      <c r="O158">
        <f ca="1"/>
        <v>0</v>
      </c>
      <c r="P158">
        <f ca="1"/>
        <v>17.492655212081871</v>
      </c>
      <c r="Q158">
        <f ca="1"/>
        <v>9.7016553648265642</v>
      </c>
      <c r="R158">
        <f ca="1"/>
        <v>0</v>
      </c>
      <c r="S158">
        <f ca="1"/>
        <v>0.99144927536231897</v>
      </c>
      <c r="T158">
        <f ca="1"/>
        <v>0</v>
      </c>
      <c r="U158">
        <f ca="1"/>
        <v>0</v>
      </c>
      <c r="V158">
        <f ca="1"/>
        <v>0.20115693483401889</v>
      </c>
      <c r="X158" s="2">
        <f t="shared" ca="1" si="15"/>
        <v>45158</v>
      </c>
      <c r="Y158">
        <f t="shared" ca="1" si="16"/>
        <v>0</v>
      </c>
      <c r="AA158" s="63">
        <f t="shared" ca="1" si="18"/>
        <v>94.678129691660303</v>
      </c>
      <c r="AB158" s="63">
        <f t="shared" ca="1" si="19"/>
        <v>94.678129691660303</v>
      </c>
      <c r="AC158" s="3">
        <f t="shared" ca="1" si="20"/>
        <v>0</v>
      </c>
    </row>
    <row r="159" spans="8:29">
      <c r="H159" t="b">
        <f t="shared" ca="1" si="17"/>
        <v>1</v>
      </c>
      <c r="I159" t="b">
        <f t="shared" ca="1" si="14"/>
        <v>1</v>
      </c>
      <c r="J159" s="2">
        <f ca="1"/>
        <v>45159</v>
      </c>
      <c r="K159">
        <f ca="1"/>
        <v>94.254189260382162</v>
      </c>
      <c r="L159">
        <f ca="1"/>
        <v>0.16482713610888666</v>
      </c>
      <c r="M159">
        <f ca="1"/>
        <v>1.8584396696905259E-2</v>
      </c>
      <c r="N159">
        <f ca="1"/>
        <v>0.13745704222401184</v>
      </c>
      <c r="O159">
        <f ca="1"/>
        <v>0</v>
      </c>
      <c r="P159">
        <f ca="1"/>
        <v>17.657482348190758</v>
      </c>
      <c r="Q159">
        <f ca="1"/>
        <v>9.7930706502656388</v>
      </c>
      <c r="R159">
        <f ca="1"/>
        <v>0.24488132734571477</v>
      </c>
      <c r="S159">
        <f ca="1"/>
        <v>1</v>
      </c>
      <c r="T159">
        <f ca="1"/>
        <v>0.47175933503368128</v>
      </c>
      <c r="U159">
        <f ca="1"/>
        <v>0</v>
      </c>
      <c r="V159">
        <f ca="1"/>
        <v>0.20506111754338377</v>
      </c>
      <c r="X159" s="2">
        <f t="shared" ca="1" si="15"/>
        <v>45159</v>
      </c>
      <c r="Y159">
        <f t="shared" ca="1" si="16"/>
        <v>0</v>
      </c>
      <c r="AA159" s="63">
        <f t="shared" ca="1" si="18"/>
        <v>94.663897723836754</v>
      </c>
      <c r="AB159" s="63">
        <f t="shared" ca="1" si="19"/>
        <v>94.663897723836754</v>
      </c>
      <c r="AC159" s="3">
        <f t="shared" ca="1" si="20"/>
        <v>0</v>
      </c>
    </row>
    <row r="160" spans="8:29">
      <c r="H160" t="b">
        <f t="shared" ca="1" si="17"/>
        <v>1</v>
      </c>
      <c r="I160" t="b">
        <f t="shared" ca="1" si="14"/>
        <v>1</v>
      </c>
      <c r="J160" s="2">
        <f ca="1"/>
        <v>45160</v>
      </c>
      <c r="K160">
        <f ca="1"/>
        <v>93.286270401407577</v>
      </c>
      <c r="L160">
        <f ca="1"/>
        <v>0.17208965506973328</v>
      </c>
      <c r="M160">
        <f ca="1"/>
        <v>1.8521110244124728E-2</v>
      </c>
      <c r="N160">
        <f ca="1"/>
        <v>0.14122556874543588</v>
      </c>
      <c r="O160">
        <f ca="1"/>
        <v>0</v>
      </c>
      <c r="P160">
        <f ca="1"/>
        <v>17.829572003260491</v>
      </c>
      <c r="Q160">
        <f ca="1"/>
        <v>9.8885138237059582</v>
      </c>
      <c r="R160">
        <f ca="1"/>
        <v>0.9555758828944183</v>
      </c>
      <c r="S160">
        <f ca="1"/>
        <v>1</v>
      </c>
      <c r="T160">
        <f ca="1"/>
        <v>1.8599999999999994</v>
      </c>
      <c r="U160">
        <f ca="1"/>
        <v>0</v>
      </c>
      <c r="V160">
        <f ca="1"/>
        <v>0.20915861336856048</v>
      </c>
      <c r="X160" s="2">
        <f t="shared" ca="1" si="15"/>
        <v>45160</v>
      </c>
      <c r="Y160">
        <f t="shared" ca="1" si="16"/>
        <v>0</v>
      </c>
      <c r="AA160" s="63">
        <f t="shared" ca="1" si="18"/>
        <v>94.413935939371726</v>
      </c>
      <c r="AB160" s="63">
        <f t="shared" ca="1" si="19"/>
        <v>94.41393593937174</v>
      </c>
      <c r="AC160" s="3">
        <f t="shared" ca="1" si="20"/>
        <v>0</v>
      </c>
    </row>
    <row r="161" spans="8:29">
      <c r="H161" t="b">
        <f t="shared" ca="1" si="17"/>
        <v>1</v>
      </c>
      <c r="I161" t="b">
        <f t="shared" ca="1" si="14"/>
        <v>1</v>
      </c>
      <c r="J161" s="2">
        <f ca="1"/>
        <v>45161</v>
      </c>
      <c r="K161">
        <f ca="1"/>
        <v>93.158173714346972</v>
      </c>
      <c r="L161">
        <f ca="1"/>
        <v>0.17673883143942248</v>
      </c>
      <c r="M161">
        <f ca="1"/>
        <v>1.8300455518692971E-2</v>
      </c>
      <c r="N161">
        <f ca="1"/>
        <v>0.14321159208504017</v>
      </c>
      <c r="O161">
        <f ca="1"/>
        <v>0</v>
      </c>
      <c r="P161">
        <f ca="1"/>
        <v>18.006310834699914</v>
      </c>
      <c r="Q161">
        <f ca="1"/>
        <v>9.9865354911668902</v>
      </c>
      <c r="R161">
        <f ca="1"/>
        <v>0.11286990322491836</v>
      </c>
      <c r="S161">
        <f ca="1"/>
        <v>1</v>
      </c>
      <c r="T161">
        <f ca="1"/>
        <v>0.21999999999999886</v>
      </c>
      <c r="U161">
        <f ca="1"/>
        <v>0</v>
      </c>
      <c r="V161">
        <f ca="1"/>
        <v>0.2133885071437987</v>
      </c>
      <c r="X161" s="2">
        <f t="shared" ca="1" si="15"/>
        <v>45161</v>
      </c>
      <c r="Y161">
        <f t="shared" ca="1" si="16"/>
        <v>0</v>
      </c>
      <c r="AA161" s="63">
        <f t="shared" ca="1" si="18"/>
        <v>93.447782449011314</v>
      </c>
      <c r="AB161" s="63">
        <f t="shared" ca="1" si="19"/>
        <v>93.447782449011314</v>
      </c>
      <c r="AC161" s="3">
        <f t="shared" ca="1" si="20"/>
        <v>0</v>
      </c>
    </row>
    <row r="162" spans="8:29">
      <c r="H162" t="b">
        <f t="shared" ca="1" si="17"/>
        <v>1</v>
      </c>
      <c r="I162" t="b">
        <f t="shared" ca="1" si="14"/>
        <v>1</v>
      </c>
      <c r="J162" s="2">
        <f ca="1"/>
        <v>45162</v>
      </c>
      <c r="K162">
        <f ca="1"/>
        <v>93.137815016836527</v>
      </c>
      <c r="L162">
        <f ca="1"/>
        <v>0.18923679347813049</v>
      </c>
      <c r="M162">
        <f ca="1"/>
        <v>1.849312903343403E-2</v>
      </c>
      <c r="N162">
        <f ca="1"/>
        <v>0.15038496693425302</v>
      </c>
      <c r="O162">
        <f ca="1"/>
        <v>0</v>
      </c>
      <c r="P162">
        <f ca="1"/>
        <v>18.195547628178044</v>
      </c>
      <c r="Q162">
        <f ca="1"/>
        <v>10.091488691833742</v>
      </c>
      <c r="R162">
        <f ca="1"/>
        <v>0</v>
      </c>
      <c r="S162">
        <f ca="1"/>
        <v>0.97695652173913039</v>
      </c>
      <c r="T162">
        <f ca="1"/>
        <v>0</v>
      </c>
      <c r="U162">
        <f ca="1"/>
        <v>0</v>
      </c>
      <c r="V162">
        <f ca="1"/>
        <v>0.21794078825845667</v>
      </c>
      <c r="X162" s="2">
        <f t="shared" ca="1" si="15"/>
        <v>45162</v>
      </c>
      <c r="Y162">
        <f t="shared" ca="1" si="16"/>
        <v>0</v>
      </c>
      <c r="AA162" s="63">
        <f t="shared" ca="1" si="18"/>
        <v>93.327051810314657</v>
      </c>
      <c r="AB162" s="63">
        <f t="shared" ca="1" si="19"/>
        <v>93.327051810314657</v>
      </c>
      <c r="AC162" s="3">
        <f t="shared" ca="1" si="20"/>
        <v>0</v>
      </c>
    </row>
    <row r="163" spans="8:29">
      <c r="H163" t="b">
        <f t="shared" ca="1" si="17"/>
        <v>1</v>
      </c>
      <c r="I163" t="b">
        <f t="shared" ca="1" si="14"/>
        <v>1</v>
      </c>
      <c r="J163" s="2">
        <f ca="1"/>
        <v>45163</v>
      </c>
      <c r="K163">
        <f ca="1"/>
        <v>93.113825350725818</v>
      </c>
      <c r="L163">
        <f ca="1"/>
        <v>0.19591026698170921</v>
      </c>
      <c r="M163">
        <f ca="1"/>
        <v>1.8345397965806143E-2</v>
      </c>
      <c r="N163">
        <f ca="1"/>
        <v>0.15357520290519761</v>
      </c>
      <c r="O163">
        <f ca="1"/>
        <v>0</v>
      </c>
      <c r="P163">
        <f ca="1"/>
        <v>18.391457895159753</v>
      </c>
      <c r="Q163">
        <f ca="1"/>
        <v>10.200143088187188</v>
      </c>
      <c r="R163">
        <f ca="1"/>
        <v>0</v>
      </c>
      <c r="S163">
        <f ca="1"/>
        <v>0.9687644882041917</v>
      </c>
      <c r="T163">
        <f ca="1"/>
        <v>0</v>
      </c>
      <c r="U163">
        <f ca="1"/>
        <v>0</v>
      </c>
      <c r="V163">
        <f ca="1"/>
        <v>0.22267770856603181</v>
      </c>
      <c r="X163" s="2">
        <f t="shared" ca="1" si="15"/>
        <v>45163</v>
      </c>
      <c r="Y163">
        <f t="shared" ca="1" si="16"/>
        <v>0</v>
      </c>
      <c r="AA163" s="63">
        <f t="shared" ca="1" si="18"/>
        <v>93.309735617707531</v>
      </c>
      <c r="AB163" s="63">
        <f t="shared" ca="1" si="19"/>
        <v>93.309735617707531</v>
      </c>
      <c r="AC163" s="3">
        <f t="shared" ca="1" si="20"/>
        <v>0</v>
      </c>
    </row>
    <row r="164" spans="8:29">
      <c r="H164" t="b">
        <f t="shared" ca="1" si="17"/>
        <v>1</v>
      </c>
      <c r="I164" t="b">
        <f t="shared" ca="1" si="14"/>
        <v>1</v>
      </c>
      <c r="J164" s="2">
        <f ca="1"/>
        <v>45164</v>
      </c>
      <c r="K164">
        <f ca="1"/>
        <v>93.087794364170719</v>
      </c>
      <c r="L164">
        <f ca="1"/>
        <v>0.19651687399889894</v>
      </c>
      <c r="M164">
        <f ca="1"/>
        <v>1.7872317109651092E-2</v>
      </c>
      <c r="N164">
        <f ca="1"/>
        <v>0.15261357033415654</v>
      </c>
      <c r="O164">
        <f ca="1"/>
        <v>0</v>
      </c>
      <c r="P164">
        <f ca="1"/>
        <v>18.587974769158652</v>
      </c>
      <c r="Q164">
        <f ca="1"/>
        <v>10.309133916726102</v>
      </c>
      <c r="R164">
        <f ca="1"/>
        <v>0</v>
      </c>
      <c r="S164">
        <f ca="1"/>
        <v>0.98037700793892091</v>
      </c>
      <c r="T164">
        <f ca="1"/>
        <v>0</v>
      </c>
      <c r="U164">
        <f ca="1"/>
        <v>0</v>
      </c>
      <c r="V164">
        <f ca="1"/>
        <v>0.22745260489265334</v>
      </c>
      <c r="X164" s="2">
        <f t="shared" ca="1" si="15"/>
        <v>45164</v>
      </c>
      <c r="Y164">
        <f t="shared" ca="1" si="16"/>
        <v>0</v>
      </c>
      <c r="AA164" s="63">
        <f t="shared" ca="1" si="18"/>
        <v>93.284311238169622</v>
      </c>
      <c r="AB164" s="63">
        <f t="shared" ca="1" si="19"/>
        <v>93.284311238169622</v>
      </c>
      <c r="AC164" s="3">
        <f t="shared" ca="1" si="20"/>
        <v>0</v>
      </c>
    </row>
    <row r="165" spans="8:29">
      <c r="H165" t="b">
        <f t="shared" ca="1" si="17"/>
        <v>1</v>
      </c>
      <c r="I165" t="b">
        <f t="shared" ca="1" si="14"/>
        <v>1</v>
      </c>
      <c r="J165" s="2">
        <f ca="1"/>
        <v>45165</v>
      </c>
      <c r="K165">
        <f ca="1"/>
        <v>93.059271012644388</v>
      </c>
      <c r="L165">
        <f ca="1"/>
        <v>0.19879413848372707</v>
      </c>
      <c r="M165">
        <f ca="1"/>
        <v>1.7497216349539713E-2</v>
      </c>
      <c r="N165">
        <f ca="1"/>
        <v>0.15277357060784735</v>
      </c>
      <c r="O165">
        <f ca="1"/>
        <v>0</v>
      </c>
      <c r="P165">
        <f ca="1"/>
        <v>18.786768907642379</v>
      </c>
      <c r="Q165">
        <f ca="1"/>
        <v>10.419387745932355</v>
      </c>
      <c r="R165">
        <f ca="1"/>
        <v>0</v>
      </c>
      <c r="S165">
        <f ca="1"/>
        <v>0.99514620249642305</v>
      </c>
      <c r="T165">
        <f ca="1"/>
        <v>0</v>
      </c>
      <c r="U165">
        <f ca="1"/>
        <v>0</v>
      </c>
      <c r="V165">
        <f ca="1"/>
        <v>0.23230521679912286</v>
      </c>
      <c r="X165" s="2">
        <f t="shared" ca="1" si="15"/>
        <v>45165</v>
      </c>
      <c r="Y165">
        <f t="shared" ca="1" si="16"/>
        <v>0</v>
      </c>
      <c r="AA165" s="63">
        <f t="shared" ca="1" si="18"/>
        <v>93.258065151128108</v>
      </c>
      <c r="AB165" s="63">
        <f t="shared" ca="1" si="19"/>
        <v>93.258065151128108</v>
      </c>
      <c r="AC165" s="3">
        <f t="shared" ca="1" si="20"/>
        <v>0</v>
      </c>
    </row>
    <row r="166" spans="8:29">
      <c r="H166" t="b">
        <f t="shared" ca="1" si="17"/>
        <v>1</v>
      </c>
      <c r="I166" t="b">
        <f t="shared" ca="1" si="14"/>
        <v>1</v>
      </c>
      <c r="J166" s="2">
        <f ca="1"/>
        <v>45166</v>
      </c>
      <c r="K166">
        <f ca="1"/>
        <v>93.026103165321572</v>
      </c>
      <c r="L166">
        <f ca="1"/>
        <v>0.20844154896119349</v>
      </c>
      <c r="M166">
        <f ca="1"/>
        <v>1.7486095635906196E-2</v>
      </c>
      <c r="N166">
        <f ca="1"/>
        <v>0.15778760600247296</v>
      </c>
      <c r="O166">
        <f ca="1"/>
        <v>0</v>
      </c>
      <c r="P166">
        <f ca="1"/>
        <v>18.995210456603573</v>
      </c>
      <c r="Q166">
        <f ca="1"/>
        <v>10.534992155166659</v>
      </c>
      <c r="R166">
        <f ca="1"/>
        <v>0</v>
      </c>
      <c r="S166">
        <f ca="1"/>
        <v>0.99322504120570754</v>
      </c>
      <c r="T166">
        <f ca="1"/>
        <v>0</v>
      </c>
      <c r="U166">
        <f ca="1"/>
        <v>0</v>
      </c>
      <c r="V166">
        <f ca="1"/>
        <v>0.23741599728040474</v>
      </c>
      <c r="X166" s="2">
        <f t="shared" ca="1" si="15"/>
        <v>45166</v>
      </c>
      <c r="Y166">
        <f t="shared" ca="1" si="16"/>
        <v>0</v>
      </c>
      <c r="AA166" s="63">
        <f t="shared" ca="1" si="18"/>
        <v>93.234544714282762</v>
      </c>
      <c r="AB166" s="63">
        <f t="shared" ca="1" si="19"/>
        <v>93.234544714282762</v>
      </c>
      <c r="AC166" s="3">
        <f t="shared" ca="1" si="20"/>
        <v>0</v>
      </c>
    </row>
    <row r="167" spans="8:29">
      <c r="H167" t="b">
        <f t="shared" ca="1" si="17"/>
        <v>1</v>
      </c>
      <c r="I167" t="b">
        <f t="shared" ca="1" si="14"/>
        <v>1</v>
      </c>
      <c r="J167" s="2">
        <f ca="1"/>
        <v>45167</v>
      </c>
      <c r="K167">
        <f ca="1"/>
        <v>92.992909104516983</v>
      </c>
      <c r="L167">
        <f ca="1"/>
        <v>0.20202275387450186</v>
      </c>
      <c r="M167">
        <f ca="1"/>
        <v>1.669447159734716E-2</v>
      </c>
      <c r="N167">
        <f ca="1"/>
        <v>0.15213422147256167</v>
      </c>
      <c r="O167">
        <f ca="1"/>
        <v>0</v>
      </c>
      <c r="P167">
        <f ca="1"/>
        <v>19.197233210478075</v>
      </c>
      <c r="Q167">
        <f ca="1"/>
        <v>10.647036616695285</v>
      </c>
      <c r="R167">
        <f ca="1"/>
        <v>0</v>
      </c>
      <c r="S167">
        <f ca="1"/>
        <v>0.9966997118512485</v>
      </c>
      <c r="T167">
        <f ca="1"/>
        <v>0</v>
      </c>
      <c r="U167">
        <f ca="1"/>
        <v>0</v>
      </c>
      <c r="V167">
        <f ca="1"/>
        <v>0.24239006748946354</v>
      </c>
      <c r="X167" s="2">
        <f t="shared" ca="1" si="15"/>
        <v>45167</v>
      </c>
      <c r="Y167">
        <f t="shared" ca="1" si="16"/>
        <v>0</v>
      </c>
      <c r="AA167" s="63">
        <f t="shared" ca="1" si="18"/>
        <v>93.194931858391485</v>
      </c>
      <c r="AB167" s="63">
        <f t="shared" ca="1" si="19"/>
        <v>93.194931858391485</v>
      </c>
      <c r="AC167" s="3">
        <f t="shared" ca="1" si="20"/>
        <v>0</v>
      </c>
    </row>
    <row r="168" spans="8:29">
      <c r="H168" t="b">
        <f t="shared" ca="1" si="17"/>
        <v>1</v>
      </c>
      <c r="I168" t="b">
        <f t="shared" ca="1" si="14"/>
        <v>1</v>
      </c>
      <c r="J168" s="2">
        <f ca="1"/>
        <v>45168</v>
      </c>
      <c r="K168">
        <f ca="1"/>
        <v>92.952808759755612</v>
      </c>
      <c r="L168">
        <f ca="1"/>
        <v>0.21885105311082498</v>
      </c>
      <c r="M168">
        <f ca="1"/>
        <v>1.7009101942500493E-2</v>
      </c>
      <c r="N168">
        <f ca="1"/>
        <v>0.16174160640695076</v>
      </c>
      <c r="O168">
        <f ca="1"/>
        <v>0</v>
      </c>
      <c r="P168">
        <f ca="1"/>
        <v>19.4160842635889</v>
      </c>
      <c r="Q168">
        <f ca="1"/>
        <v>10.768414273075551</v>
      </c>
      <c r="R168">
        <f ca="1"/>
        <v>0</v>
      </c>
      <c r="S168">
        <f ca="1"/>
        <v>0.98648253220912663</v>
      </c>
      <c r="T168">
        <f ca="1"/>
        <v>0</v>
      </c>
      <c r="U168">
        <f ca="1"/>
        <v>0</v>
      </c>
      <c r="V168">
        <f ca="1"/>
        <v>0.24779974984247205</v>
      </c>
      <c r="X168" s="2">
        <f t="shared" ca="1" si="15"/>
        <v>45168</v>
      </c>
      <c r="Y168">
        <f t="shared" ca="1" si="16"/>
        <v>0</v>
      </c>
      <c r="AA168" s="63">
        <f t="shared" ca="1" si="18"/>
        <v>93.171659812866437</v>
      </c>
      <c r="AB168" s="63">
        <f t="shared" ca="1" si="19"/>
        <v>93.171659812866437</v>
      </c>
      <c r="AC168" s="3">
        <f t="shared" ca="1" si="20"/>
        <v>0</v>
      </c>
    </row>
    <row r="169" spans="8:29">
      <c r="H169" t="b">
        <f t="shared" ca="1" si="17"/>
        <v>1</v>
      </c>
      <c r="I169" t="b">
        <f t="shared" ca="1" si="14"/>
        <v>1</v>
      </c>
      <c r="J169" s="2">
        <f ca="1"/>
        <v>45169</v>
      </c>
      <c r="K169">
        <f ca="1"/>
        <v>92.917155559558594</v>
      </c>
      <c r="L169">
        <f ca="1"/>
        <v>0.19852446412100733</v>
      </c>
      <c r="M169">
        <f ca="1"/>
        <v>1.5633192445955402E-2</v>
      </c>
      <c r="N169">
        <f ca="1"/>
        <v>0.14723807147803325</v>
      </c>
      <c r="O169">
        <f ca="1"/>
        <v>0</v>
      </c>
      <c r="P169">
        <f ca="1"/>
        <v>19.614608727709907</v>
      </c>
      <c r="Q169">
        <f ca="1"/>
        <v>10.878518537353202</v>
      </c>
      <c r="R169">
        <f ca="1"/>
        <v>0</v>
      </c>
      <c r="S169">
        <f ca="1"/>
        <v>0.96636103538208107</v>
      </c>
      <c r="T169">
        <f ca="1"/>
        <v>0</v>
      </c>
      <c r="U169">
        <f ca="1"/>
        <v>0</v>
      </c>
      <c r="V169">
        <f ca="1"/>
        <v>0.25272464590883537</v>
      </c>
      <c r="X169" s="2">
        <f t="shared" ca="1" si="15"/>
        <v>45169</v>
      </c>
      <c r="Y169">
        <f t="shared" ca="1" si="16"/>
        <v>0</v>
      </c>
      <c r="AA169" s="63">
        <f t="shared" ca="1" si="18"/>
        <v>93.115680023679602</v>
      </c>
      <c r="AB169" s="63">
        <f t="shared" ca="1" si="19"/>
        <v>93.115680023679602</v>
      </c>
      <c r="AC169" s="3">
        <f t="shared" ca="1" si="20"/>
        <v>0</v>
      </c>
    </row>
    <row r="170" spans="8:29">
      <c r="H170" t="b">
        <f t="shared" ca="1" si="17"/>
        <v>1</v>
      </c>
      <c r="I170" t="b">
        <f t="shared" ca="1" si="14"/>
        <v>1</v>
      </c>
      <c r="J170" s="2">
        <f ca="1"/>
        <v>45170</v>
      </c>
      <c r="K170">
        <f ca="1"/>
        <v>92.872588780858734</v>
      </c>
      <c r="L170">
        <f ca="1"/>
        <v>0.21783776161594659</v>
      </c>
      <c r="M170">
        <f ca="1"/>
        <v>1.6034884394132476E-2</v>
      </c>
      <c r="N170">
        <f ca="1"/>
        <v>0.1572360985219648</v>
      </c>
      <c r="O170">
        <f ca="1"/>
        <v>0</v>
      </c>
      <c r="P170">
        <f ca="1"/>
        <v>19.832446489325854</v>
      </c>
      <c r="Q170">
        <f ca="1"/>
        <v>10.999334209017702</v>
      </c>
      <c r="R170">
        <f ca="1"/>
        <v>0</v>
      </c>
      <c r="S170">
        <f ca="1"/>
        <v>0.95608047175745325</v>
      </c>
      <c r="T170">
        <f ca="1"/>
        <v>0</v>
      </c>
      <c r="U170">
        <f ca="1"/>
        <v>0</v>
      </c>
      <c r="V170">
        <f ca="1"/>
        <v>0.25814633289142397</v>
      </c>
      <c r="X170" s="2">
        <f t="shared" ca="1" si="15"/>
        <v>45170</v>
      </c>
      <c r="Y170">
        <f t="shared" ca="1" si="16"/>
        <v>0</v>
      </c>
      <c r="AA170" s="63">
        <f t="shared" ca="1" si="18"/>
        <v>93.090426542474688</v>
      </c>
      <c r="AB170" s="63">
        <f t="shared" ca="1" si="19"/>
        <v>93.090426542474688</v>
      </c>
      <c r="AC170" s="3">
        <f t="shared" ca="1" si="20"/>
        <v>0</v>
      </c>
    </row>
    <row r="171" spans="8:29">
      <c r="H171" t="b">
        <f t="shared" ca="1" si="17"/>
        <v>1</v>
      </c>
      <c r="I171" t="b">
        <f t="shared" ca="1" si="14"/>
        <v>1</v>
      </c>
      <c r="J171" s="2">
        <f ca="1"/>
        <v>45171</v>
      </c>
      <c r="K171">
        <f ca="1"/>
        <v>92.818785333792746</v>
      </c>
      <c r="L171">
        <f ca="1"/>
        <v>0.23178999826138025</v>
      </c>
      <c r="M171">
        <f ca="1"/>
        <v>1.6173271567845759E-2</v>
      </c>
      <c r="N171">
        <f ca="1"/>
        <v>0.16181327962754186</v>
      </c>
      <c r="O171">
        <f ca="1"/>
        <v>0</v>
      </c>
      <c r="P171">
        <f ca="1"/>
        <v>20.064236487587234</v>
      </c>
      <c r="Q171">
        <f ca="1"/>
        <v>11.127887973605281</v>
      </c>
      <c r="R171">
        <f ca="1"/>
        <v>0</v>
      </c>
      <c r="S171">
        <f ca="1"/>
        <v>0.94207622718854789</v>
      </c>
      <c r="T171">
        <f ca="1"/>
        <v>0</v>
      </c>
      <c r="U171">
        <f ca="1"/>
        <v>0</v>
      </c>
      <c r="V171">
        <f ca="1"/>
        <v>0.26393366264387347</v>
      </c>
      <c r="X171" s="2">
        <f t="shared" ca="1" si="15"/>
        <v>45171</v>
      </c>
      <c r="Y171">
        <f t="shared" ca="1" si="16"/>
        <v>0</v>
      </c>
      <c r="AA171" s="63">
        <f t="shared" ca="1" si="18"/>
        <v>93.050575332054123</v>
      </c>
      <c r="AB171" s="63">
        <f t="shared" ca="1" si="19"/>
        <v>93.050575332054123</v>
      </c>
      <c r="AC171" s="3">
        <f t="shared" ca="1" si="20"/>
        <v>0</v>
      </c>
    </row>
    <row r="172" spans="8:29">
      <c r="H172" t="b">
        <f t="shared" ca="1" si="17"/>
        <v>1</v>
      </c>
      <c r="I172" t="b">
        <f t="shared" ca="1" si="14"/>
        <v>1</v>
      </c>
      <c r="J172" s="2">
        <f ca="1"/>
        <v>45172</v>
      </c>
      <c r="K172">
        <f ca="1"/>
        <v>92.761656381161586</v>
      </c>
      <c r="L172">
        <f ca="1"/>
        <v>0.22710043563465732</v>
      </c>
      <c r="M172">
        <f ca="1"/>
        <v>1.5506405693562542E-2</v>
      </c>
      <c r="N172">
        <f ca="1"/>
        <v>0.15446507730993028</v>
      </c>
      <c r="O172">
        <f ca="1"/>
        <v>0</v>
      </c>
      <c r="P172">
        <f ca="1"/>
        <v>20.291336923221891</v>
      </c>
      <c r="Q172">
        <f ca="1"/>
        <v>11.253840845425888</v>
      </c>
      <c r="R172">
        <f ca="1"/>
        <v>0</v>
      </c>
      <c r="S172">
        <f ca="1"/>
        <v>0.92788109071650293</v>
      </c>
      <c r="T172">
        <f ca="1"/>
        <v>0</v>
      </c>
      <c r="U172">
        <f ca="1"/>
        <v>0</v>
      </c>
      <c r="V172">
        <f ca="1"/>
        <v>0.26962030711651463</v>
      </c>
      <c r="X172" s="2">
        <f t="shared" ca="1" si="15"/>
        <v>45172</v>
      </c>
      <c r="Y172">
        <f t="shared" ca="1" si="16"/>
        <v>0</v>
      </c>
      <c r="AA172" s="63">
        <f t="shared" ca="1" si="18"/>
        <v>92.98875681679624</v>
      </c>
      <c r="AB172" s="63">
        <f t="shared" ca="1" si="19"/>
        <v>92.98875681679624</v>
      </c>
      <c r="AC172" s="3">
        <f t="shared" ca="1" si="20"/>
        <v>0</v>
      </c>
    </row>
    <row r="173" spans="8:29">
      <c r="H173" t="b">
        <f t="shared" ca="1" si="17"/>
        <v>1</v>
      </c>
      <c r="I173" t="b">
        <f t="shared" ca="1" si="14"/>
        <v>1</v>
      </c>
      <c r="J173" s="2">
        <f ca="1"/>
        <v>45173</v>
      </c>
      <c r="K173">
        <f ca="1"/>
        <v>92.699208775223966</v>
      </c>
      <c r="L173">
        <f ca="1"/>
        <v>0.22879265003475879</v>
      </c>
      <c r="M173">
        <f ca="1"/>
        <v>1.5131124777278515E-2</v>
      </c>
      <c r="N173">
        <f ca="1"/>
        <v>0.15121391931986181</v>
      </c>
      <c r="O173">
        <f ca="1"/>
        <v>0</v>
      </c>
      <c r="P173">
        <f ca="1"/>
        <v>20.52012957325665</v>
      </c>
      <c r="Q173">
        <f ca="1"/>
        <v>11.380732241485047</v>
      </c>
      <c r="R173">
        <f ca="1"/>
        <v>0</v>
      </c>
      <c r="S173">
        <f ca="1"/>
        <v>0.91346039430943926</v>
      </c>
      <c r="T173">
        <f ca="1"/>
        <v>0</v>
      </c>
      <c r="U173">
        <f ca="1"/>
        <v>0</v>
      </c>
      <c r="V173">
        <f ca="1"/>
        <v>0.27536374519368578</v>
      </c>
      <c r="X173" s="2">
        <f t="shared" ca="1" si="15"/>
        <v>45173</v>
      </c>
      <c r="Y173">
        <f t="shared" ca="1" si="16"/>
        <v>0</v>
      </c>
      <c r="AA173" s="63">
        <f t="shared" ca="1" si="18"/>
        <v>92.928001425258728</v>
      </c>
      <c r="AB173" s="63">
        <f t="shared" ca="1" si="19"/>
        <v>92.928001425258728</v>
      </c>
      <c r="AC173" s="3">
        <f t="shared" ca="1" si="20"/>
        <v>0</v>
      </c>
    </row>
    <row r="174" spans="8:29">
      <c r="H174" t="b">
        <f t="shared" ca="1" si="17"/>
        <v>1</v>
      </c>
      <c r="I174" t="b">
        <f t="shared" ca="1" si="14"/>
        <v>1</v>
      </c>
      <c r="J174" s="2">
        <f ca="1"/>
        <v>45174</v>
      </c>
      <c r="K174">
        <f ca="1"/>
        <v>92.633875757143912</v>
      </c>
      <c r="L174">
        <f ca="1"/>
        <v>0.22488502298820734</v>
      </c>
      <c r="M174">
        <f ca="1"/>
        <v>1.4555086568925901E-2</v>
      </c>
      <c r="N174">
        <f ca="1"/>
        <v>0.14499691833922845</v>
      </c>
      <c r="O174">
        <f ca="1"/>
        <v>0</v>
      </c>
      <c r="P174">
        <f ca="1"/>
        <v>20.745014596244857</v>
      </c>
      <c r="Q174">
        <f ca="1"/>
        <v>11.505456416476832</v>
      </c>
      <c r="R174">
        <f ca="1"/>
        <v>0</v>
      </c>
      <c r="S174">
        <f ca="1"/>
        <v>0.89991057504400152</v>
      </c>
      <c r="T174">
        <f ca="1"/>
        <v>0</v>
      </c>
      <c r="U174">
        <f ca="1"/>
        <v>0</v>
      </c>
      <c r="V174">
        <f ca="1"/>
        <v>0.2810212830004109</v>
      </c>
      <c r="X174" s="2">
        <f t="shared" ca="1" si="15"/>
        <v>45174</v>
      </c>
      <c r="Y174">
        <f t="shared" ca="1" si="16"/>
        <v>0</v>
      </c>
      <c r="AA174" s="63">
        <f t="shared" ca="1" si="18"/>
        <v>92.85876078013213</v>
      </c>
      <c r="AB174" s="63">
        <f t="shared" ca="1" si="19"/>
        <v>92.858760780132116</v>
      </c>
      <c r="AC174" s="3">
        <f t="shared" ca="1" si="20"/>
        <v>0</v>
      </c>
    </row>
    <row r="175" spans="8:29">
      <c r="H175" t="b">
        <f t="shared" ca="1" si="17"/>
        <v>1</v>
      </c>
      <c r="I175" t="b">
        <f t="shared" ca="1" si="14"/>
        <v>1</v>
      </c>
      <c r="J175" s="2">
        <f ca="1"/>
        <v>45175</v>
      </c>
      <c r="K175">
        <f ca="1"/>
        <v>92.558912147893395</v>
      </c>
      <c r="L175">
        <f ca="1"/>
        <v>0.2388522628894556</v>
      </c>
      <c r="M175">
        <f ca="1"/>
        <v>1.4664912053216739E-2</v>
      </c>
      <c r="N175">
        <f ca="1"/>
        <v>0.14922374158570836</v>
      </c>
      <c r="O175">
        <f ca="1"/>
        <v>0</v>
      </c>
      <c r="P175">
        <f ca="1"/>
        <v>20.983866859134313</v>
      </c>
      <c r="Q175">
        <f ca="1"/>
        <v>11.6379270053936</v>
      </c>
      <c r="R175">
        <f ca="1"/>
        <v>0</v>
      </c>
      <c r="S175">
        <f ca="1"/>
        <v>0.88765140800527975</v>
      </c>
      <c r="T175">
        <f ca="1"/>
        <v>0</v>
      </c>
      <c r="U175">
        <f ca="1"/>
        <v>0</v>
      </c>
      <c r="V175">
        <f ca="1"/>
        <v>0.28704135668994951</v>
      </c>
      <c r="X175" s="2">
        <f t="shared" ca="1" si="15"/>
        <v>45175</v>
      </c>
      <c r="Y175">
        <f t="shared" ca="1" si="16"/>
        <v>0</v>
      </c>
      <c r="AA175" s="63">
        <f t="shared" ca="1" si="18"/>
        <v>92.797764410782847</v>
      </c>
      <c r="AB175" s="63">
        <f t="shared" ca="1" si="19"/>
        <v>92.797764410782847</v>
      </c>
      <c r="AC175" s="3">
        <f t="shared" ca="1" si="20"/>
        <v>0</v>
      </c>
    </row>
    <row r="176" spans="8:29">
      <c r="H176" t="b">
        <f t="shared" ca="1" si="17"/>
        <v>1</v>
      </c>
      <c r="I176" t="b">
        <f t="shared" ca="1" si="14"/>
        <v>1</v>
      </c>
      <c r="J176" s="2">
        <f ca="1"/>
        <v>45176</v>
      </c>
      <c r="K176">
        <f ca="1"/>
        <v>92.475533089672155</v>
      </c>
      <c r="L176">
        <f ca="1"/>
        <v>0.24314149375850747</v>
      </c>
      <c r="M176">
        <f ca="1"/>
        <v>1.4396510968444076E-2</v>
      </c>
      <c r="N176">
        <f ca="1"/>
        <v>0.14536592456882946</v>
      </c>
      <c r="O176">
        <f ca="1"/>
        <v>0</v>
      </c>
      <c r="P176">
        <f ca="1"/>
        <v>21.22700835289282</v>
      </c>
      <c r="Q176">
        <f ca="1"/>
        <v>11.77277645784865</v>
      </c>
      <c r="R176">
        <f ca="1"/>
        <v>0</v>
      </c>
      <c r="S176">
        <f ca="1"/>
        <v>0.86236661688386951</v>
      </c>
      <c r="T176">
        <f ca="1"/>
        <v>0</v>
      </c>
      <c r="U176">
        <f ca="1"/>
        <v>0</v>
      </c>
      <c r="V176">
        <f ca="1"/>
        <v>0.2931791229020585</v>
      </c>
      <c r="X176" s="2">
        <f t="shared" ca="1" si="15"/>
        <v>45176</v>
      </c>
      <c r="Y176">
        <f t="shared" ca="1" si="16"/>
        <v>0</v>
      </c>
      <c r="AA176" s="63">
        <f t="shared" ca="1" si="18"/>
        <v>92.718674583430669</v>
      </c>
      <c r="AB176" s="63">
        <f t="shared" ca="1" si="19"/>
        <v>92.718674583430669</v>
      </c>
      <c r="AC176" s="3">
        <f t="shared" ca="1" si="20"/>
        <v>0</v>
      </c>
    </row>
    <row r="177" spans="8:29">
      <c r="H177" t="b">
        <f t="shared" ca="1" si="17"/>
        <v>1</v>
      </c>
      <c r="I177" t="b">
        <f t="shared" ca="1" si="14"/>
        <v>1</v>
      </c>
      <c r="J177" s="2">
        <f ca="1"/>
        <v>45177</v>
      </c>
      <c r="K177">
        <f ca="1"/>
        <v>92.390471480736508</v>
      </c>
      <c r="L177">
        <f ca="1"/>
        <v>0.23566360252347707</v>
      </c>
      <c r="M177">
        <f ca="1"/>
        <v>1.3721802564248264E-2</v>
      </c>
      <c r="N177">
        <f ca="1"/>
        <v>0.13688019102358048</v>
      </c>
      <c r="O177">
        <f ca="1"/>
        <v>0</v>
      </c>
      <c r="P177">
        <f ca="1"/>
        <v>21.462671955416297</v>
      </c>
      <c r="Q177">
        <f ca="1"/>
        <v>11.903478574022362</v>
      </c>
      <c r="R177">
        <f ca="1"/>
        <v>0</v>
      </c>
      <c r="S177">
        <f ca="1"/>
        <v>0.84515097343391532</v>
      </c>
      <c r="T177">
        <f ca="1"/>
        <v>0</v>
      </c>
      <c r="U177">
        <f ca="1"/>
        <v>0</v>
      </c>
      <c r="V177">
        <f ca="1"/>
        <v>0.29913521681721644</v>
      </c>
      <c r="X177" s="2">
        <f t="shared" ca="1" si="15"/>
        <v>45177</v>
      </c>
      <c r="Y177">
        <f t="shared" ca="1" si="16"/>
        <v>0</v>
      </c>
      <c r="AA177" s="63">
        <f t="shared" ca="1" si="18"/>
        <v>92.626135083259982</v>
      </c>
      <c r="AB177" s="63">
        <f t="shared" ca="1" si="19"/>
        <v>92.626135083259982</v>
      </c>
      <c r="AC177" s="3">
        <f t="shared" ca="1" si="20"/>
        <v>0</v>
      </c>
    </row>
    <row r="178" spans="8:29">
      <c r="H178" t="b">
        <f t="shared" ca="1" si="17"/>
        <v>1</v>
      </c>
      <c r="I178" t="b">
        <f t="shared" ca="1" si="14"/>
        <v>1</v>
      </c>
      <c r="J178" s="2">
        <f ca="1"/>
        <v>45178</v>
      </c>
      <c r="K178">
        <f ca="1"/>
        <v>92.307877539139739</v>
      </c>
      <c r="L178">
        <f ca="1"/>
        <v>0.22204273857408907</v>
      </c>
      <c r="M178">
        <f ca="1"/>
        <v>1.2899496373746544E-2</v>
      </c>
      <c r="N178">
        <f ca="1"/>
        <v>0.12654930060356487</v>
      </c>
      <c r="O178">
        <f ca="1"/>
        <v>0</v>
      </c>
      <c r="P178">
        <f ca="1"/>
        <v>21.684714693990387</v>
      </c>
      <c r="Q178">
        <f ca="1"/>
        <v>12.026626380904204</v>
      </c>
      <c r="R178">
        <f ca="1"/>
        <v>0</v>
      </c>
      <c r="S178">
        <f ca="1"/>
        <v>0.83133268429210017</v>
      </c>
      <c r="T178">
        <f ca="1"/>
        <v>0</v>
      </c>
      <c r="U178">
        <f ca="1"/>
        <v>0</v>
      </c>
      <c r="V178">
        <f ca="1"/>
        <v>0.30475160766312798</v>
      </c>
      <c r="X178" s="2">
        <f t="shared" ca="1" si="15"/>
        <v>45178</v>
      </c>
      <c r="Y178">
        <f t="shared" ca="1" si="16"/>
        <v>0</v>
      </c>
      <c r="AA178" s="63">
        <f t="shared" ca="1" si="18"/>
        <v>92.529920277713828</v>
      </c>
      <c r="AB178" s="63">
        <f t="shared" ca="1" si="19"/>
        <v>92.529920277713828</v>
      </c>
      <c r="AC178" s="3">
        <f t="shared" ca="1" si="20"/>
        <v>0</v>
      </c>
    </row>
    <row r="179" spans="8:29">
      <c r="H179" t="b">
        <f t="shared" ca="1" si="17"/>
        <v>1</v>
      </c>
      <c r="I179" t="b">
        <f t="shared" ca="1" si="14"/>
        <v>1</v>
      </c>
      <c r="J179" s="2">
        <f ca="1"/>
        <v>45179</v>
      </c>
      <c r="K179">
        <f ca="1"/>
        <v>92.206299240944148</v>
      </c>
      <c r="L179">
        <f ca="1"/>
        <v>0.25209393848750494</v>
      </c>
      <c r="M179">
        <f ca="1"/>
        <v>1.3516894183643657E-2</v>
      </c>
      <c r="N179">
        <f ca="1"/>
        <v>0.13699874610827092</v>
      </c>
      <c r="O179">
        <f ca="1"/>
        <v>0</v>
      </c>
      <c r="P179">
        <f ca="1"/>
        <v>21.936808632477891</v>
      </c>
      <c r="Q179">
        <f ca="1"/>
        <v>12.166440976293837</v>
      </c>
      <c r="R179">
        <f ca="1"/>
        <v>0</v>
      </c>
      <c r="S179">
        <f ca="1"/>
        <v>0.81329759349566755</v>
      </c>
      <c r="T179">
        <f ca="1"/>
        <v>0</v>
      </c>
      <c r="U179">
        <f ca="1"/>
        <v>0</v>
      </c>
      <c r="V179">
        <f ca="1"/>
        <v>0.31113130834064828</v>
      </c>
      <c r="X179" s="2">
        <f t="shared" ca="1" si="15"/>
        <v>45179</v>
      </c>
      <c r="Y179">
        <f t="shared" ca="1" si="16"/>
        <v>0</v>
      </c>
      <c r="AA179" s="63">
        <f t="shared" ca="1" si="18"/>
        <v>92.458393179431653</v>
      </c>
      <c r="AB179" s="63">
        <f t="shared" ca="1" si="19"/>
        <v>92.458393179431653</v>
      </c>
      <c r="AC179" s="3">
        <f t="shared" ca="1" si="20"/>
        <v>0</v>
      </c>
    </row>
    <row r="180" spans="8:29">
      <c r="H180" t="b">
        <f t="shared" ca="1" si="17"/>
        <v>1</v>
      </c>
      <c r="I180" t="b">
        <f t="shared" ca="1" si="14"/>
        <v>1</v>
      </c>
      <c r="J180" s="2">
        <f ca="1"/>
        <v>45180</v>
      </c>
      <c r="K180">
        <f ca="1"/>
        <v>92.091204168901413</v>
      </c>
      <c r="L180">
        <f ca="1"/>
        <v>0.27484120700606951</v>
      </c>
      <c r="M180">
        <f ca="1"/>
        <v>1.3864357124962368E-2</v>
      </c>
      <c r="N180">
        <f ca="1"/>
        <v>0.14588177783837342</v>
      </c>
      <c r="O180">
        <f ca="1"/>
        <v>0</v>
      </c>
      <c r="P180">
        <f ca="1"/>
        <v>22.211649839483961</v>
      </c>
      <c r="Q180">
        <f ca="1"/>
        <v>12.318871504312487</v>
      </c>
      <c r="R180">
        <f ca="1"/>
        <v>0</v>
      </c>
      <c r="S180">
        <f ca="1"/>
        <v>0.80744949206297756</v>
      </c>
      <c r="T180">
        <f ca="1"/>
        <v>0</v>
      </c>
      <c r="U180">
        <f ca="1"/>
        <v>0</v>
      </c>
      <c r="V180">
        <f ca="1"/>
        <v>0.3180878294522696</v>
      </c>
      <c r="X180" s="2">
        <f t="shared" ca="1" si="15"/>
        <v>45180</v>
      </c>
      <c r="Y180">
        <f t="shared" ca="1" si="16"/>
        <v>0</v>
      </c>
      <c r="AA180" s="63">
        <f t="shared" ca="1" si="18"/>
        <v>92.366045375907476</v>
      </c>
      <c r="AB180" s="63">
        <f t="shared" ca="1" si="19"/>
        <v>92.366045375907476</v>
      </c>
      <c r="AC180" s="3">
        <f t="shared" ca="1" si="20"/>
        <v>0</v>
      </c>
    </row>
    <row r="181" spans="8:29">
      <c r="H181" t="b">
        <f t="shared" ca="1" si="17"/>
        <v>1</v>
      </c>
      <c r="I181" t="b">
        <f t="shared" ca="1" si="14"/>
        <v>1</v>
      </c>
      <c r="J181" s="2">
        <f ca="1"/>
        <v>45181</v>
      </c>
      <c r="K181">
        <f ca="1"/>
        <v>91.971311491341567</v>
      </c>
      <c r="L181">
        <f ca="1"/>
        <v>0.27556322474429606</v>
      </c>
      <c r="M181">
        <f ca="1"/>
        <v>1.3457014507153531E-2</v>
      </c>
      <c r="N181">
        <f ca="1"/>
        <v>0.14221353267728895</v>
      </c>
      <c r="O181">
        <f ca="1"/>
        <v>0</v>
      </c>
      <c r="P181">
        <f ca="1"/>
        <v>22.487213064228257</v>
      </c>
      <c r="Q181">
        <f ca="1"/>
        <v>12.471702472811936</v>
      </c>
      <c r="R181">
        <f ca="1"/>
        <v>0</v>
      </c>
      <c r="S181">
        <f ca="1"/>
        <v>0.79477837989629585</v>
      </c>
      <c r="T181">
        <f ca="1"/>
        <v>0</v>
      </c>
      <c r="U181">
        <f ca="1"/>
        <v>0</v>
      </c>
      <c r="V181">
        <f ca="1"/>
        <v>0.32506086968859765</v>
      </c>
      <c r="X181" s="2">
        <f t="shared" ca="1" si="15"/>
        <v>45181</v>
      </c>
      <c r="Y181">
        <f t="shared" ca="1" si="16"/>
        <v>0</v>
      </c>
      <c r="AA181" s="63">
        <f t="shared" ca="1" si="18"/>
        <v>92.246874716085856</v>
      </c>
      <c r="AB181" s="63">
        <f t="shared" ca="1" si="19"/>
        <v>92.24687471608587</v>
      </c>
      <c r="AC181" s="3">
        <f t="shared" ca="1" si="20"/>
        <v>0</v>
      </c>
    </row>
    <row r="182" spans="8:29">
      <c r="H182" t="b">
        <f t="shared" ca="1" si="17"/>
        <v>1</v>
      </c>
      <c r="I182" t="b">
        <f t="shared" ca="1" si="14"/>
        <v>1</v>
      </c>
      <c r="J182" s="2">
        <f ca="1"/>
        <v>45182</v>
      </c>
      <c r="K182">
        <f ca="1"/>
        <v>91.84998540745562</v>
      </c>
      <c r="L182">
        <f ca="1"/>
        <v>0.27185619331616095</v>
      </c>
      <c r="M182">
        <f ca="1"/>
        <v>1.2930609018546591E-2</v>
      </c>
      <c r="N182">
        <f ca="1"/>
        <v>0.13759950041165078</v>
      </c>
      <c r="O182">
        <f ca="1"/>
        <v>0</v>
      </c>
      <c r="P182">
        <f ca="1"/>
        <v>22.759069257544418</v>
      </c>
      <c r="Q182">
        <f ca="1"/>
        <v>12.62247747319755</v>
      </c>
      <c r="R182">
        <f ca="1"/>
        <v>0</v>
      </c>
      <c r="S182">
        <f ca="1"/>
        <v>0.7879190171396121</v>
      </c>
      <c r="T182">
        <f ca="1"/>
        <v>0</v>
      </c>
      <c r="U182">
        <f ca="1"/>
        <v>0</v>
      </c>
      <c r="V182">
        <f ca="1"/>
        <v>0.33193546784407374</v>
      </c>
      <c r="X182" s="2">
        <f t="shared" ca="1" si="15"/>
        <v>45182</v>
      </c>
      <c r="Y182">
        <f t="shared" ca="1" si="16"/>
        <v>0</v>
      </c>
      <c r="AA182" s="63">
        <f t="shared" ca="1" si="18"/>
        <v>92.121841600771774</v>
      </c>
      <c r="AB182" s="63">
        <f t="shared" ca="1" si="19"/>
        <v>92.121841600771774</v>
      </c>
      <c r="AC182" s="3">
        <f t="shared" ca="1" si="20"/>
        <v>0</v>
      </c>
    </row>
    <row r="183" spans="8:29">
      <c r="H183" t="b">
        <f t="shared" ca="1" si="17"/>
        <v>1</v>
      </c>
      <c r="I183" t="b">
        <f t="shared" ca="1" si="14"/>
        <v>1</v>
      </c>
      <c r="J183" s="2">
        <f ca="1"/>
        <v>45183</v>
      </c>
      <c r="K183">
        <f ca="1"/>
        <v>91.714615102102698</v>
      </c>
      <c r="L183">
        <f ca="1"/>
        <v>0.28917667369276856</v>
      </c>
      <c r="M183">
        <f ca="1"/>
        <v>1.305871383674706E-2</v>
      </c>
      <c r="N183">
        <f ca="1"/>
        <v>0.14074765450309681</v>
      </c>
      <c r="O183">
        <f ca="1"/>
        <v>0</v>
      </c>
      <c r="P183">
        <f ca="1"/>
        <v>23.048245931237187</v>
      </c>
      <c r="Q183">
        <f ca="1"/>
        <v>12.782858638532383</v>
      </c>
      <c r="R183">
        <f ca="1"/>
        <v>0</v>
      </c>
      <c r="S183">
        <f ca="1"/>
        <v>0.76866055737637595</v>
      </c>
      <c r="T183">
        <f ca="1"/>
        <v>0</v>
      </c>
      <c r="U183">
        <f ca="1"/>
        <v>0</v>
      </c>
      <c r="V183">
        <f ca="1"/>
        <v>0.33923985768136244</v>
      </c>
      <c r="X183" s="2">
        <f t="shared" ca="1" si="15"/>
        <v>45183</v>
      </c>
      <c r="Y183">
        <f t="shared" ca="1" si="16"/>
        <v>0</v>
      </c>
      <c r="AA183" s="63">
        <f t="shared" ca="1" si="18"/>
        <v>92.003791775795463</v>
      </c>
      <c r="AB183" s="63">
        <f t="shared" ca="1" si="19"/>
        <v>92.003791775795463</v>
      </c>
      <c r="AC183" s="3">
        <f t="shared" ca="1" si="20"/>
        <v>0</v>
      </c>
    </row>
    <row r="184" spans="8:29">
      <c r="H184" t="b">
        <f t="shared" ca="1" si="17"/>
        <v>1</v>
      </c>
      <c r="I184" t="b">
        <f t="shared" ca="1" si="14"/>
        <v>1</v>
      </c>
      <c r="J184" s="2">
        <f ca="1"/>
        <v>45184</v>
      </c>
      <c r="K184">
        <f ca="1"/>
        <v>91.558768278029248</v>
      </c>
      <c r="L184">
        <f ca="1"/>
        <v>0.31631551780673917</v>
      </c>
      <c r="M184">
        <f ca="1"/>
        <v>1.3461011627038388E-2</v>
      </c>
      <c r="N184">
        <f ca="1"/>
        <v>0.14700768210625254</v>
      </c>
      <c r="O184">
        <f ca="1"/>
        <v>0</v>
      </c>
      <c r="P184">
        <f ca="1"/>
        <v>23.364561449043926</v>
      </c>
      <c r="Q184">
        <f ca="1"/>
        <v>12.958291361758306</v>
      </c>
      <c r="R184">
        <f ca="1"/>
        <v>0</v>
      </c>
      <c r="S184">
        <f ca="1"/>
        <v>0.74322464587421566</v>
      </c>
      <c r="T184">
        <f ca="1"/>
        <v>0</v>
      </c>
      <c r="U184">
        <f ca="1"/>
        <v>0</v>
      </c>
      <c r="V184">
        <f ca="1"/>
        <v>0.34721628725268322</v>
      </c>
      <c r="X184" s="2">
        <f t="shared" ca="1" si="15"/>
        <v>45184</v>
      </c>
      <c r="Y184">
        <f t="shared" ca="1" si="16"/>
        <v>0</v>
      </c>
      <c r="AA184" s="63">
        <f t="shared" ca="1" si="18"/>
        <v>91.875083795835991</v>
      </c>
      <c r="AB184" s="63">
        <f t="shared" ca="1" si="19"/>
        <v>91.875083795835991</v>
      </c>
      <c r="AC184" s="3">
        <f t="shared" ca="1" si="20"/>
        <v>0</v>
      </c>
    </row>
    <row r="185" spans="8:29">
      <c r="H185" t="b">
        <f t="shared" ca="1" si="17"/>
        <v>1</v>
      </c>
      <c r="I185" t="b">
        <f t="shared" ca="1" si="14"/>
        <v>1</v>
      </c>
      <c r="J185" s="2">
        <f ca="1"/>
        <v>45185</v>
      </c>
      <c r="K185">
        <f ca="1"/>
        <v>91.394764556200357</v>
      </c>
      <c r="L185">
        <f ca="1"/>
        <v>0.31533776995456364</v>
      </c>
      <c r="M185">
        <f ca="1"/>
        <v>1.2976373296789134E-2</v>
      </c>
      <c r="N185">
        <f ca="1"/>
        <v>0.13835767482888767</v>
      </c>
      <c r="O185">
        <f ca="1"/>
        <v>0</v>
      </c>
      <c r="P185">
        <f ca="1"/>
        <v>23.679899218998489</v>
      </c>
      <c r="Q185">
        <f ca="1"/>
        <v>13.133181813237572</v>
      </c>
      <c r="R185">
        <f ca="1"/>
        <v>0</v>
      </c>
      <c r="S185">
        <f ca="1"/>
        <v>0.70974908881048149</v>
      </c>
      <c r="T185">
        <f ca="1"/>
        <v>0</v>
      </c>
      <c r="U185">
        <f ca="1"/>
        <v>0</v>
      </c>
      <c r="V185">
        <f ca="1"/>
        <v>0.35515005373123648</v>
      </c>
      <c r="X185" s="2">
        <f t="shared" ca="1" si="15"/>
        <v>45185</v>
      </c>
      <c r="Y185">
        <f t="shared" ca="1" si="16"/>
        <v>0</v>
      </c>
      <c r="AA185" s="63">
        <f t="shared" ca="1" si="18"/>
        <v>91.710102326154924</v>
      </c>
      <c r="AB185" s="63">
        <f t="shared" ca="1" si="19"/>
        <v>91.710102326154924</v>
      </c>
      <c r="AC185" s="3">
        <f t="shared" ca="1" si="20"/>
        <v>0</v>
      </c>
    </row>
    <row r="186" spans="8:29">
      <c r="H186" t="b">
        <f t="shared" ca="1" si="17"/>
        <v>1</v>
      </c>
      <c r="I186" t="b">
        <f t="shared" ca="1" si="14"/>
        <v>1</v>
      </c>
      <c r="J186" s="2">
        <f ca="1"/>
        <v>45186</v>
      </c>
      <c r="K186">
        <f ca="1"/>
        <v>91.232094420642881</v>
      </c>
      <c r="L186">
        <f ca="1"/>
        <v>0.30010623238607792</v>
      </c>
      <c r="M186">
        <f ca="1"/>
        <v>1.2125483640264889E-2</v>
      </c>
      <c r="N186">
        <f ca="1"/>
        <v>0.12531061318835296</v>
      </c>
      <c r="O186">
        <f ca="1"/>
        <v>0</v>
      </c>
      <c r="P186">
        <f ca="1"/>
        <v>23.980005451384567</v>
      </c>
      <c r="Q186">
        <f ca="1"/>
        <v>13.299624654770019</v>
      </c>
      <c r="R186">
        <f ca="1"/>
        <v>0</v>
      </c>
      <c r="S186">
        <f ca="1"/>
        <v>0.6815339113591925</v>
      </c>
      <c r="T186">
        <f ca="1"/>
        <v>0</v>
      </c>
      <c r="U186">
        <f ca="1"/>
        <v>0</v>
      </c>
      <c r="V186">
        <f ca="1"/>
        <v>0.36268027523784518</v>
      </c>
      <c r="X186" s="2">
        <f t="shared" ca="1" si="15"/>
        <v>45186</v>
      </c>
      <c r="Y186">
        <f t="shared" ca="1" si="16"/>
        <v>0</v>
      </c>
      <c r="AA186" s="63">
        <f t="shared" ca="1" si="18"/>
        <v>91.532200653028966</v>
      </c>
      <c r="AB186" s="63">
        <f t="shared" ca="1" si="19"/>
        <v>91.532200653028951</v>
      </c>
      <c r="AC186" s="3">
        <f t="shared" ca="1" si="20"/>
        <v>0</v>
      </c>
    </row>
    <row r="187" spans="8:29">
      <c r="H187" t="b">
        <f t="shared" ca="1" si="17"/>
        <v>1</v>
      </c>
      <c r="I187" t="b">
        <f t="shared" ca="1" si="14"/>
        <v>1</v>
      </c>
      <c r="J187" s="2">
        <f ca="1"/>
        <v>45187</v>
      </c>
      <c r="K187">
        <f ca="1"/>
        <v>91.068049598917497</v>
      </c>
      <c r="L187">
        <f ca="1"/>
        <v>0.29600160928052333</v>
      </c>
      <c r="M187">
        <f ca="1"/>
        <v>1.1641949832487342E-2</v>
      </c>
      <c r="N187">
        <f ca="1"/>
        <v>0.12031483772264749</v>
      </c>
      <c r="O187">
        <f ca="1"/>
        <v>0</v>
      </c>
      <c r="P187">
        <f ca="1"/>
        <v>24.276007060665091</v>
      </c>
      <c r="Q187">
        <f ca="1"/>
        <v>13.463791018644285</v>
      </c>
      <c r="R187">
        <f ca="1"/>
        <v>0</v>
      </c>
      <c r="S187">
        <f ca="1"/>
        <v>0.66961544402290707</v>
      </c>
      <c r="T187">
        <f ca="1"/>
        <v>0</v>
      </c>
      <c r="U187">
        <f ca="1"/>
        <v>0</v>
      </c>
      <c r="V187">
        <f ca="1"/>
        <v>0.37008481685746553</v>
      </c>
      <c r="X187" s="2">
        <f t="shared" ca="1" si="15"/>
        <v>45187</v>
      </c>
      <c r="Y187">
        <f t="shared" ca="1" si="16"/>
        <v>0</v>
      </c>
      <c r="AA187" s="63">
        <f t="shared" ca="1" si="18"/>
        <v>91.364051208198021</v>
      </c>
      <c r="AB187" s="63">
        <f t="shared" ca="1" si="19"/>
        <v>91.364051208198021</v>
      </c>
      <c r="AC187" s="3">
        <f t="shared" ca="1" si="20"/>
        <v>0</v>
      </c>
    </row>
    <row r="188" spans="8:29">
      <c r="H188" t="b">
        <f t="shared" ca="1" si="17"/>
        <v>1</v>
      </c>
      <c r="I188" t="b">
        <f t="shared" ca="1" si="14"/>
        <v>1</v>
      </c>
      <c r="J188" s="2">
        <f ca="1"/>
        <v>45188</v>
      </c>
      <c r="K188">
        <f ca="1"/>
        <v>90.894066166774167</v>
      </c>
      <c r="L188">
        <f ca="1"/>
        <v>0.30829516519737865</v>
      </c>
      <c r="M188">
        <f ca="1"/>
        <v>1.1596348876082629E-2</v>
      </c>
      <c r="N188">
        <f ca="1"/>
        <v>0.12271538417796143</v>
      </c>
      <c r="O188">
        <f ca="1"/>
        <v>0</v>
      </c>
      <c r="P188">
        <f ca="1"/>
        <v>24.584302225862469</v>
      </c>
      <c r="Q188">
        <f ca="1"/>
        <v>13.634775549415885</v>
      </c>
      <c r="R188">
        <f ca="1"/>
        <v>0</v>
      </c>
      <c r="S188">
        <f ca="1"/>
        <v>0.6635840507248626</v>
      </c>
      <c r="T188">
        <f ca="1"/>
        <v>0</v>
      </c>
      <c r="U188">
        <f ca="1"/>
        <v>0</v>
      </c>
      <c r="V188">
        <f ca="1"/>
        <v>0.37776963252324158</v>
      </c>
      <c r="X188" s="2">
        <f t="shared" ca="1" si="15"/>
        <v>45188</v>
      </c>
      <c r="Y188">
        <f t="shared" ca="1" si="16"/>
        <v>0</v>
      </c>
      <c r="AA188" s="63">
        <f t="shared" ca="1" si="18"/>
        <v>91.202361331971545</v>
      </c>
      <c r="AB188" s="63">
        <f t="shared" ca="1" si="19"/>
        <v>91.202361331971545</v>
      </c>
      <c r="AC188" s="3">
        <f t="shared" ca="1" si="20"/>
        <v>0</v>
      </c>
    </row>
    <row r="189" spans="8:29">
      <c r="H189" t="b">
        <f t="shared" ca="1" si="17"/>
        <v>1</v>
      </c>
      <c r="I189" t="b">
        <f t="shared" ca="1" si="14"/>
        <v>1</v>
      </c>
      <c r="J189" s="2">
        <f ca="1"/>
        <v>45189</v>
      </c>
      <c r="K189">
        <f ca="1"/>
        <v>90.721660948918512</v>
      </c>
      <c r="L189">
        <f ca="1"/>
        <v>0.29997699952779655</v>
      </c>
      <c r="M189">
        <f ca="1"/>
        <v>1.1035880662431552E-2</v>
      </c>
      <c r="N189">
        <f ca="1"/>
        <v>0.11653590100971524</v>
      </c>
      <c r="O189">
        <f ca="1"/>
        <v>0</v>
      </c>
      <c r="P189">
        <f ca="1"/>
        <v>24.884279225390266</v>
      </c>
      <c r="Q189">
        <f ca="1"/>
        <v>13.801146716714911</v>
      </c>
      <c r="R189">
        <f ca="1"/>
        <v>0</v>
      </c>
      <c r="S189">
        <f ca="1"/>
        <v>0.65316130668204675</v>
      </c>
      <c r="T189">
        <f ca="1"/>
        <v>0</v>
      </c>
      <c r="U189">
        <f ca="1"/>
        <v>0</v>
      </c>
      <c r="V189">
        <f ca="1"/>
        <v>0.38521730695865186</v>
      </c>
      <c r="X189" s="2">
        <f t="shared" ca="1" si="15"/>
        <v>45189</v>
      </c>
      <c r="Y189">
        <f t="shared" ca="1" si="16"/>
        <v>0</v>
      </c>
      <c r="AA189" s="63">
        <f t="shared" ca="1" si="18"/>
        <v>91.021637948446312</v>
      </c>
      <c r="AB189" s="63">
        <f t="shared" ca="1" si="19"/>
        <v>91.021637948446312</v>
      </c>
      <c r="AC189" s="3">
        <f t="shared" ca="1" si="20"/>
        <v>0</v>
      </c>
    </row>
    <row r="190" spans="8:29">
      <c r="H190" t="b">
        <f t="shared" ca="1" si="17"/>
        <v>1</v>
      </c>
      <c r="I190" t="b">
        <f t="shared" ca="1" si="14"/>
        <v>1</v>
      </c>
      <c r="J190" s="2">
        <f ca="1"/>
        <v>45190</v>
      </c>
      <c r="K190">
        <f ca="1"/>
        <v>90.534134089052998</v>
      </c>
      <c r="L190">
        <f ca="1"/>
        <v>0.31859059083719643</v>
      </c>
      <c r="M190">
        <f ca="1"/>
        <v>1.1139727988746628E-2</v>
      </c>
      <c r="N190">
        <f ca="1"/>
        <v>0.11992400298293129</v>
      </c>
      <c r="O190">
        <f ca="1"/>
        <v>0</v>
      </c>
      <c r="P190">
        <f ca="1"/>
        <v>25.202869816227462</v>
      </c>
      <c r="Q190">
        <f ca="1"/>
        <v>13.977841225198913</v>
      </c>
      <c r="R190">
        <f ca="1"/>
        <v>0</v>
      </c>
      <c r="S190">
        <f ca="1"/>
        <v>0.63966663938378421</v>
      </c>
      <c r="T190">
        <f ca="1"/>
        <v>0</v>
      </c>
      <c r="U190">
        <f ca="1"/>
        <v>0</v>
      </c>
      <c r="V190">
        <f ca="1"/>
        <v>0.39309163319977813</v>
      </c>
      <c r="X190" s="2">
        <f t="shared" ca="1" si="15"/>
        <v>45190</v>
      </c>
      <c r="Y190">
        <f t="shared" ca="1" si="16"/>
        <v>0</v>
      </c>
      <c r="AA190" s="63">
        <f t="shared" ca="1" si="18"/>
        <v>90.852724679890187</v>
      </c>
      <c r="AB190" s="63">
        <f t="shared" ca="1" si="19"/>
        <v>90.852724679890201</v>
      </c>
      <c r="AC190" s="3">
        <f t="shared" ca="1" si="20"/>
        <v>0</v>
      </c>
    </row>
    <row r="191" spans="8:29">
      <c r="H191" t="b">
        <f t="shared" ca="1" si="17"/>
        <v>1</v>
      </c>
      <c r="I191" t="b">
        <f t="shared" ca="1" si="14"/>
        <v>1</v>
      </c>
      <c r="J191" s="2">
        <f ca="1"/>
        <v>45191</v>
      </c>
      <c r="K191">
        <f ca="1"/>
        <v>90.347415009791348</v>
      </c>
      <c r="L191">
        <f ca="1"/>
        <v>0.31143400705708046</v>
      </c>
      <c r="M191">
        <f ca="1"/>
        <v>1.0630122384114316E-2</v>
      </c>
      <c r="N191">
        <f ca="1"/>
        <v>0.11408480541131405</v>
      </c>
      <c r="O191">
        <f ca="1"/>
        <v>0</v>
      </c>
      <c r="P191">
        <f ca="1"/>
        <v>25.514303823284543</v>
      </c>
      <c r="Q191">
        <f ca="1"/>
        <v>14.15056659871842</v>
      </c>
      <c r="R191">
        <f ca="1"/>
        <v>0</v>
      </c>
      <c r="S191">
        <f ca="1"/>
        <v>0.62748863656230136</v>
      </c>
      <c r="T191">
        <f ca="1"/>
        <v>0</v>
      </c>
      <c r="U191">
        <f ca="1"/>
        <v>0</v>
      </c>
      <c r="V191">
        <f ca="1"/>
        <v>0.40075060349140834</v>
      </c>
      <c r="X191" s="2">
        <f t="shared" ca="1" si="15"/>
        <v>45191</v>
      </c>
      <c r="Y191">
        <f t="shared" ca="1" si="16"/>
        <v>0</v>
      </c>
      <c r="AA191" s="63">
        <f t="shared" ca="1" si="18"/>
        <v>90.658849016848421</v>
      </c>
      <c r="AB191" s="63">
        <f t="shared" ca="1" si="19"/>
        <v>90.658849016848421</v>
      </c>
      <c r="AC191" s="3">
        <f t="shared" ca="1" si="20"/>
        <v>0</v>
      </c>
    </row>
    <row r="192" spans="8:29">
      <c r="H192" t="b">
        <f t="shared" ca="1" si="17"/>
        <v>1</v>
      </c>
      <c r="I192" t="b">
        <f t="shared" ca="1" si="14"/>
        <v>1</v>
      </c>
      <c r="J192" s="2">
        <f ca="1"/>
        <v>45192</v>
      </c>
      <c r="K192">
        <f ca="1"/>
        <v>90.158047067356421</v>
      </c>
      <c r="L192">
        <f ca="1"/>
        <v>0.30853516259123026</v>
      </c>
      <c r="M192">
        <f ca="1"/>
        <v>1.02477774178098E-2</v>
      </c>
      <c r="N192">
        <f ca="1"/>
        <v>0.10891944273850365</v>
      </c>
      <c r="O192">
        <f ca="1"/>
        <v>0</v>
      </c>
      <c r="P192">
        <f ca="1"/>
        <v>25.822838985875773</v>
      </c>
      <c r="Q192">
        <f ca="1"/>
        <v>14.321684235183547</v>
      </c>
      <c r="R192">
        <f ca="1"/>
        <v>0</v>
      </c>
      <c r="S192">
        <f ca="1"/>
        <v>0.60775218717011381</v>
      </c>
      <c r="T192">
        <f ca="1"/>
        <v>0</v>
      </c>
      <c r="U192">
        <f ca="1"/>
        <v>0</v>
      </c>
      <c r="V192">
        <f ca="1"/>
        <v>0.40829781778684965</v>
      </c>
      <c r="X192" s="2">
        <f t="shared" ca="1" si="15"/>
        <v>45192</v>
      </c>
      <c r="Y192">
        <f t="shared" ca="1" si="16"/>
        <v>0</v>
      </c>
      <c r="AA192" s="63">
        <f t="shared" ca="1" si="18"/>
        <v>90.466582229947662</v>
      </c>
      <c r="AB192" s="63">
        <f t="shared" ca="1" si="19"/>
        <v>90.466582229947647</v>
      </c>
      <c r="AC192" s="3">
        <f t="shared" ca="1" si="20"/>
        <v>0</v>
      </c>
    </row>
    <row r="193" spans="8:29">
      <c r="H193" t="b">
        <f t="shared" ca="1" si="17"/>
        <v>1</v>
      </c>
      <c r="I193" t="b">
        <f t="shared" ca="1" si="14"/>
        <v>1</v>
      </c>
      <c r="J193" s="2">
        <f ca="1"/>
        <v>45193</v>
      </c>
      <c r="K193">
        <f ca="1"/>
        <v>89.954397063799675</v>
      </c>
      <c r="L193">
        <f ca="1"/>
        <v>0.32841991988297892</v>
      </c>
      <c r="M193">
        <f ca="1"/>
        <v>1.0361390038571727E-2</v>
      </c>
      <c r="N193">
        <f ca="1"/>
        <v>0.1144085262876627</v>
      </c>
      <c r="O193">
        <f ca="1"/>
        <v>0</v>
      </c>
      <c r="P193">
        <f ca="1"/>
        <v>26.151258905758752</v>
      </c>
      <c r="Q193">
        <f ca="1"/>
        <v>14.503830218112883</v>
      </c>
      <c r="R193">
        <f ca="1"/>
        <v>0</v>
      </c>
      <c r="S193">
        <f ca="1"/>
        <v>0.60807005924536317</v>
      </c>
      <c r="T193">
        <f ca="1"/>
        <v>0</v>
      </c>
      <c r="U193">
        <f ca="1"/>
        <v>0</v>
      </c>
      <c r="V193">
        <f ca="1"/>
        <v>0.4162840756637734</v>
      </c>
      <c r="X193" s="2">
        <f t="shared" ca="1" si="15"/>
        <v>45193</v>
      </c>
      <c r="Y193">
        <f t="shared" ca="1" si="16"/>
        <v>0</v>
      </c>
      <c r="AA193" s="63">
        <f t="shared" ca="1" si="18"/>
        <v>90.28281698368265</v>
      </c>
      <c r="AB193" s="63">
        <f t="shared" ca="1" si="19"/>
        <v>90.28281698368265</v>
      </c>
      <c r="AC193" s="3">
        <f t="shared" ca="1" si="20"/>
        <v>0</v>
      </c>
    </row>
    <row r="194" spans="8:29">
      <c r="H194" t="b">
        <f t="shared" ca="1" si="17"/>
        <v>1</v>
      </c>
      <c r="I194" t="b">
        <f t="shared" ca="1" si="14"/>
        <v>1</v>
      </c>
      <c r="J194" s="2">
        <f ca="1"/>
        <v>45194</v>
      </c>
      <c r="K194">
        <f ca="1"/>
        <v>89.757969138057419</v>
      </c>
      <c r="L194">
        <f ca="1"/>
        <v>0.31623588019209237</v>
      </c>
      <c r="M194">
        <f ca="1"/>
        <v>9.7955333726211791E-3</v>
      </c>
      <c r="N194">
        <f ca="1"/>
        <v>0.11001242107721468</v>
      </c>
      <c r="O194">
        <f ca="1"/>
        <v>0</v>
      </c>
      <c r="P194">
        <f ca="1"/>
        <v>26.467494785950844</v>
      </c>
      <c r="Q194">
        <f ca="1"/>
        <v>14.679218773276151</v>
      </c>
      <c r="R194">
        <f ca="1"/>
        <v>0</v>
      </c>
      <c r="S194">
        <f ca="1"/>
        <v>0.61448332139303952</v>
      </c>
      <c r="T194">
        <f ca="1"/>
        <v>0</v>
      </c>
      <c r="U194">
        <f ca="1"/>
        <v>0</v>
      </c>
      <c r="V194">
        <f ca="1"/>
        <v>0.42392499664799471</v>
      </c>
      <c r="X194" s="2">
        <f t="shared" ca="1" si="15"/>
        <v>45194</v>
      </c>
      <c r="Y194">
        <f t="shared" ca="1" si="16"/>
        <v>0</v>
      </c>
      <c r="AA194" s="63">
        <f t="shared" ca="1" si="18"/>
        <v>90.074205018249515</v>
      </c>
      <c r="AB194" s="63">
        <f t="shared" ca="1" si="19"/>
        <v>90.074205018249515</v>
      </c>
      <c r="AC194" s="3">
        <f t="shared" ca="1" si="20"/>
        <v>0</v>
      </c>
    </row>
    <row r="195" spans="8:29">
      <c r="H195" t="b">
        <f t="shared" ca="1" si="17"/>
        <v>1</v>
      </c>
      <c r="I195" t="b">
        <f t="shared" ca="1" si="14"/>
        <v>1</v>
      </c>
      <c r="J195" s="2">
        <f ca="1"/>
        <v>45195</v>
      </c>
      <c r="K195">
        <f ca="1"/>
        <v>89.538011302173814</v>
      </c>
      <c r="L195">
        <f ca="1"/>
        <v>0.34716807198559252</v>
      </c>
      <c r="M195">
        <f ca="1"/>
        <v>1.0117795284223519E-2</v>
      </c>
      <c r="N195">
        <f ca="1"/>
        <v>0.11709244081777005</v>
      </c>
      <c r="O195">
        <f ca="1"/>
        <v>0</v>
      </c>
      <c r="P195">
        <f ca="1"/>
        <v>26.814662857936437</v>
      </c>
      <c r="Q195">
        <f ca="1"/>
        <v>14.871762726566285</v>
      </c>
      <c r="R195">
        <f ca="1"/>
        <v>0</v>
      </c>
      <c r="S195">
        <f ca="1"/>
        <v>0.60193456646042476</v>
      </c>
      <c r="T195">
        <f ca="1"/>
        <v>0</v>
      </c>
      <c r="U195">
        <f ca="1"/>
        <v>0</v>
      </c>
      <c r="V195">
        <f ca="1"/>
        <v>0.4322546663048028</v>
      </c>
      <c r="X195" s="2">
        <f t="shared" ca="1" si="15"/>
        <v>45195</v>
      </c>
      <c r="Y195">
        <f t="shared" ca="1" si="16"/>
        <v>0</v>
      </c>
      <c r="AA195" s="63">
        <f t="shared" ca="1" si="18"/>
        <v>89.885179374159407</v>
      </c>
      <c r="AB195" s="63">
        <f t="shared" ca="1" si="19"/>
        <v>89.885179374159407</v>
      </c>
      <c r="AC195" s="3">
        <f t="shared" ca="1" si="20"/>
        <v>0</v>
      </c>
    </row>
    <row r="196" spans="8:29">
      <c r="H196" t="b">
        <f t="shared" ca="1" si="17"/>
        <v>1</v>
      </c>
      <c r="I196" t="b">
        <f t="shared" ca="1" si="14"/>
        <v>1</v>
      </c>
      <c r="J196" s="2">
        <f ca="1"/>
        <v>45196</v>
      </c>
      <c r="K196">
        <f ca="1"/>
        <v>89.304277557077654</v>
      </c>
      <c r="L196">
        <f ca="1"/>
        <v>0.35877062466719423</v>
      </c>
      <c r="M196">
        <f ca="1"/>
        <v>1.0024390351315304E-2</v>
      </c>
      <c r="N196">
        <f ca="1"/>
        <v>0.11501248921972491</v>
      </c>
      <c r="O196">
        <f ca="1"/>
        <v>0</v>
      </c>
      <c r="P196">
        <f ca="1"/>
        <v>27.173433482603631</v>
      </c>
      <c r="Q196">
        <f ca="1"/>
        <v>15.070741607321942</v>
      </c>
      <c r="R196">
        <f ca="1"/>
        <v>0</v>
      </c>
      <c r="S196">
        <f ca="1"/>
        <v>0.57319115760276884</v>
      </c>
      <c r="T196">
        <f ca="1"/>
        <v>0</v>
      </c>
      <c r="U196">
        <f ca="1"/>
        <v>0</v>
      </c>
      <c r="V196">
        <f ca="1"/>
        <v>0.4407948022477402</v>
      </c>
      <c r="X196" s="2">
        <f t="shared" ca="1" si="15"/>
        <v>45196</v>
      </c>
      <c r="Y196">
        <f t="shared" ca="1" si="16"/>
        <v>0</v>
      </c>
      <c r="AA196" s="63">
        <f t="shared" ca="1" si="18"/>
        <v>89.663048181744855</v>
      </c>
      <c r="AB196" s="63">
        <f t="shared" ca="1" si="19"/>
        <v>89.663048181744841</v>
      </c>
      <c r="AC196" s="3">
        <f t="shared" ca="1" si="20"/>
        <v>0</v>
      </c>
    </row>
    <row r="197" spans="8:29">
      <c r="H197" t="b">
        <f t="shared" ca="1" si="17"/>
        <v>1</v>
      </c>
      <c r="I197" t="b">
        <f t="shared" ca="1" si="14"/>
        <v>1</v>
      </c>
      <c r="J197" s="2">
        <f ca="1"/>
        <v>45197</v>
      </c>
      <c r="K197">
        <f ca="1"/>
        <v>89.072430418758557</v>
      </c>
      <c r="L197">
        <f ca="1"/>
        <v>0.35460429988875219</v>
      </c>
      <c r="M197">
        <f ca="1"/>
        <v>9.6211368524006247E-3</v>
      </c>
      <c r="N197">
        <f ca="1"/>
        <v>0.11313602471725252</v>
      </c>
      <c r="O197">
        <f ca="1"/>
        <v>0</v>
      </c>
      <c r="P197">
        <f ca="1"/>
        <v>27.528037782492383</v>
      </c>
      <c r="Q197">
        <f ca="1"/>
        <v>15.267409789864645</v>
      </c>
      <c r="R197">
        <f ca="1"/>
        <v>0</v>
      </c>
      <c r="S197">
        <f ca="1"/>
        <v>0.57908240617459905</v>
      </c>
      <c r="T197">
        <f ca="1"/>
        <v>0</v>
      </c>
      <c r="U197">
        <f ca="1"/>
        <v>0</v>
      </c>
      <c r="V197">
        <f ca="1"/>
        <v>0.44916459459667013</v>
      </c>
      <c r="X197" s="2">
        <f t="shared" ca="1" si="15"/>
        <v>45197</v>
      </c>
      <c r="Y197">
        <f t="shared" ca="1" si="16"/>
        <v>0</v>
      </c>
      <c r="AA197" s="63">
        <f t="shared" ca="1" si="18"/>
        <v>89.427034718647306</v>
      </c>
      <c r="AB197" s="63">
        <f t="shared" ca="1" si="19"/>
        <v>89.427034718647306</v>
      </c>
      <c r="AC197" s="3">
        <f t="shared" ca="1" si="20"/>
        <v>0</v>
      </c>
    </row>
    <row r="198" spans="8:29">
      <c r="H198" t="b">
        <f t="shared" ca="1" si="17"/>
        <v>1</v>
      </c>
      <c r="I198" t="b">
        <f t="shared" ca="1" si="14"/>
        <v>1</v>
      </c>
      <c r="J198" s="2">
        <f ca="1"/>
        <v>45198</v>
      </c>
      <c r="K198">
        <f ca="1"/>
        <v>88.838816921633367</v>
      </c>
      <c r="L198">
        <f ca="1"/>
        <v>0.35441312567107275</v>
      </c>
      <c r="M198">
        <f ca="1"/>
        <v>9.3147779732944969E-3</v>
      </c>
      <c r="N198">
        <f ca="1"/>
        <v>0.11148485057259273</v>
      </c>
      <c r="O198">
        <f ca="1"/>
        <v>0</v>
      </c>
      <c r="P198">
        <f ca="1"/>
        <v>27.882450908163456</v>
      </c>
      <c r="Q198">
        <f ca="1"/>
        <v>15.463971944685881</v>
      </c>
      <c r="R198">
        <f ca="1"/>
        <v>0</v>
      </c>
      <c r="S198">
        <f ca="1"/>
        <v>0.5775951963272743</v>
      </c>
      <c r="T198">
        <f ca="1"/>
        <v>0</v>
      </c>
      <c r="U198">
        <f ca="1"/>
        <v>0</v>
      </c>
      <c r="V198">
        <f ca="1"/>
        <v>0.45745606921192389</v>
      </c>
      <c r="X198" s="2">
        <f t="shared" ca="1" si="15"/>
        <v>45198</v>
      </c>
      <c r="Y198">
        <f t="shared" ca="1" si="16"/>
        <v>0</v>
      </c>
      <c r="AA198" s="63">
        <f t="shared" ca="1" si="18"/>
        <v>89.193230047304439</v>
      </c>
      <c r="AB198" s="63">
        <f t="shared" ca="1" si="19"/>
        <v>89.193230047304439</v>
      </c>
      <c r="AC198" s="3">
        <f t="shared" ca="1" si="20"/>
        <v>0</v>
      </c>
    </row>
    <row r="199" spans="8:29">
      <c r="H199" t="b">
        <f t="shared" ca="1" si="17"/>
        <v>1</v>
      </c>
      <c r="I199" t="b">
        <f t="shared" ca="1" si="14"/>
        <v>1</v>
      </c>
      <c r="J199" s="2">
        <f ca="1"/>
        <v>45199</v>
      </c>
      <c r="K199">
        <f ca="1"/>
        <v>88.56704254798548</v>
      </c>
      <c r="L199">
        <f ca="1"/>
        <v>0.4010876327780295</v>
      </c>
      <c r="M199">
        <f ca="1"/>
        <v>9.8674100718252333E-3</v>
      </c>
      <c r="N199">
        <f ca="1"/>
        <v>0.11944584905832308</v>
      </c>
      <c r="O199">
        <f ca="1"/>
        <v>0</v>
      </c>
      <c r="P199">
        <f ca="1"/>
        <v>28.283538540941485</v>
      </c>
      <c r="Q199">
        <f ca="1"/>
        <v>15.686420391598556</v>
      </c>
      <c r="R199">
        <f ca="1"/>
        <v>0</v>
      </c>
      <c r="S199">
        <f ca="1"/>
        <v>0.54423429774580911</v>
      </c>
      <c r="T199">
        <f ca="1"/>
        <v>0</v>
      </c>
      <c r="U199">
        <f ca="1"/>
        <v>0</v>
      </c>
      <c r="V199">
        <f ca="1"/>
        <v>0.46674687936456072</v>
      </c>
      <c r="X199" s="2">
        <f t="shared" ca="1" si="15"/>
        <v>45199</v>
      </c>
      <c r="Y199">
        <f t="shared" ca="1" si="16"/>
        <v>0</v>
      </c>
      <c r="AA199" s="63">
        <f t="shared" ca="1" si="18"/>
        <v>88.968130180763509</v>
      </c>
      <c r="AB199" s="63">
        <f t="shared" ca="1" si="19"/>
        <v>88.968130180763509</v>
      </c>
      <c r="AC199" s="3">
        <f t="shared" ca="1" si="20"/>
        <v>0</v>
      </c>
    </row>
    <row r="200" spans="8:29">
      <c r="H200" t="b">
        <f t="shared" ca="1" si="17"/>
        <v>1</v>
      </c>
      <c r="I200" t="b">
        <f t="shared" ca="1" si="14"/>
        <v>1</v>
      </c>
      <c r="J200" s="2">
        <f ca="1"/>
        <v>45200</v>
      </c>
      <c r="K200">
        <f ca="1"/>
        <v>88.283435032669587</v>
      </c>
      <c r="L200">
        <f ca="1"/>
        <v>0.40803668314558195</v>
      </c>
      <c r="M200">
        <f ca="1"/>
        <v>9.6495182278886205E-3</v>
      </c>
      <c r="N200">
        <f ca="1"/>
        <v>0.11477964960180022</v>
      </c>
      <c r="O200">
        <f ca="1"/>
        <v>0</v>
      </c>
      <c r="P200">
        <f ca="1"/>
        <v>28.691575224087067</v>
      </c>
      <c r="Q200">
        <f ca="1"/>
        <v>15.912722872730821</v>
      </c>
      <c r="R200">
        <f ca="1"/>
        <v>0</v>
      </c>
      <c r="S200">
        <f ca="1"/>
        <v>0.51128028725068475</v>
      </c>
      <c r="T200">
        <f ca="1"/>
        <v>0</v>
      </c>
      <c r="U200">
        <f ca="1"/>
        <v>0</v>
      </c>
      <c r="V200">
        <f ca="1"/>
        <v>0.47609396178794056</v>
      </c>
      <c r="X200" s="2">
        <f t="shared" ca="1" si="15"/>
        <v>45200</v>
      </c>
      <c r="Y200">
        <f t="shared" ca="1" si="16"/>
        <v>0</v>
      </c>
      <c r="AA200" s="63">
        <f t="shared" ca="1" si="18"/>
        <v>88.691471715815169</v>
      </c>
      <c r="AB200" s="63">
        <f t="shared" ca="1" si="19"/>
        <v>88.691471715815169</v>
      </c>
      <c r="AC200" s="3">
        <f t="shared" ca="1" si="20"/>
        <v>0</v>
      </c>
    </row>
    <row r="201" spans="8:29">
      <c r="H201" t="b">
        <f t="shared" ca="1" si="17"/>
        <v>1</v>
      </c>
      <c r="I201" t="b">
        <f t="shared" ca="1" si="14"/>
        <v>1</v>
      </c>
      <c r="J201" s="2">
        <f ca="1"/>
        <v>45201</v>
      </c>
      <c r="K201">
        <f ca="1"/>
        <v>87.982386682504568</v>
      </c>
      <c r="L201">
        <f ca="1"/>
        <v>0.42470561130190632</v>
      </c>
      <c r="M201">
        <f ca="1"/>
        <v>9.3551913946505749E-3</v>
      </c>
      <c r="N201">
        <f ca="1"/>
        <v>0.11430206974224105</v>
      </c>
      <c r="O201">
        <f ca="1"/>
        <v>0</v>
      </c>
      <c r="P201">
        <f ca="1"/>
        <v>29.116280835388974</v>
      </c>
      <c r="Q201">
        <f ca="1"/>
        <v>16.148270159429369</v>
      </c>
      <c r="R201">
        <f ca="1"/>
        <v>0</v>
      </c>
      <c r="S201">
        <f ca="1"/>
        <v>0.48678174602742086</v>
      </c>
      <c r="T201">
        <f ca="1"/>
        <v>0</v>
      </c>
      <c r="U201">
        <f ca="1"/>
        <v>0</v>
      </c>
      <c r="V201">
        <f ca="1"/>
        <v>0.48570680826399132</v>
      </c>
      <c r="X201" s="2">
        <f t="shared" ca="1" si="15"/>
        <v>45201</v>
      </c>
      <c r="Y201">
        <f t="shared" ca="1" si="16"/>
        <v>0</v>
      </c>
      <c r="AA201" s="63">
        <f t="shared" ca="1" si="18"/>
        <v>88.407092293806471</v>
      </c>
      <c r="AB201" s="63">
        <f t="shared" ca="1" si="19"/>
        <v>88.407092293806471</v>
      </c>
      <c r="AC201" s="3">
        <f t="shared" ca="1" si="20"/>
        <v>0</v>
      </c>
    </row>
    <row r="202" spans="8:29">
      <c r="H202" t="b">
        <f t="shared" ca="1" si="17"/>
        <v>1</v>
      </c>
      <c r="I202" t="b">
        <f t="shared" ca="1" si="14"/>
        <v>1</v>
      </c>
      <c r="J202" s="2">
        <f ca="1"/>
        <v>45202</v>
      </c>
      <c r="K202">
        <f ca="1"/>
        <v>87.695811988152315</v>
      </c>
      <c r="L202">
        <f ca="1"/>
        <v>0.4030037698835045</v>
      </c>
      <c r="M202">
        <f ca="1"/>
        <v>8.8026645937695491E-3</v>
      </c>
      <c r="N202">
        <f ca="1"/>
        <v>0.1076264109374783</v>
      </c>
      <c r="O202">
        <f ca="1"/>
        <v>0</v>
      </c>
      <c r="P202">
        <f ca="1"/>
        <v>29.519284605272478</v>
      </c>
      <c r="Q202">
        <f ca="1"/>
        <v>16.371781321041656</v>
      </c>
      <c r="R202">
        <f ca="1"/>
        <v>0</v>
      </c>
      <c r="S202">
        <f ca="1"/>
        <v>0.49403643330288466</v>
      </c>
      <c r="T202">
        <f ca="1"/>
        <v>0</v>
      </c>
      <c r="U202">
        <f ca="1"/>
        <v>0</v>
      </c>
      <c r="V202">
        <f ca="1"/>
        <v>0.49471562393045021</v>
      </c>
      <c r="X202" s="2">
        <f t="shared" ca="1" si="15"/>
        <v>45202</v>
      </c>
      <c r="Y202">
        <f t="shared" ca="1" si="16"/>
        <v>0</v>
      </c>
      <c r="AA202" s="63">
        <f t="shared" ca="1" si="18"/>
        <v>88.098815758035826</v>
      </c>
      <c r="AB202" s="63">
        <f t="shared" ca="1" si="19"/>
        <v>88.098815758035812</v>
      </c>
      <c r="AC202" s="3">
        <f t="shared" ca="1" si="20"/>
        <v>0</v>
      </c>
    </row>
    <row r="203" spans="8:29">
      <c r="H203" t="b">
        <f t="shared" ca="1" si="17"/>
        <v>1</v>
      </c>
      <c r="I203" t="b">
        <f t="shared" ref="I203:I266" ca="1" si="21">AND(IF(J203&gt;($J$7-1),TRUE,FALSE),IF(J203&lt;($J$8+1),TRUE,FALSE))</f>
        <v>1</v>
      </c>
      <c r="J203" s="2">
        <f ca="1"/>
        <v>45203</v>
      </c>
      <c r="K203">
        <f ca="1"/>
        <v>87.412798297092152</v>
      </c>
      <c r="L203">
        <f ca="1"/>
        <v>0.39807750473245562</v>
      </c>
      <c r="M203">
        <f ca="1"/>
        <v>8.538341024390661E-3</v>
      </c>
      <c r="N203">
        <f ca="1"/>
        <v>0.10652547264789962</v>
      </c>
      <c r="O203">
        <f ca="1"/>
        <v>0</v>
      </c>
      <c r="P203">
        <f ca="1"/>
        <v>29.917362110004934</v>
      </c>
      <c r="Q203">
        <f ca="1"/>
        <v>16.592560311571177</v>
      </c>
      <c r="R203">
        <f ca="1"/>
        <v>0</v>
      </c>
      <c r="S203">
        <f ca="1"/>
        <v>0.50589954502393453</v>
      </c>
      <c r="T203">
        <f ca="1"/>
        <v>0</v>
      </c>
      <c r="U203">
        <f ca="1"/>
        <v>0</v>
      </c>
      <c r="V203">
        <f ca="1"/>
        <v>0.50350360946037076</v>
      </c>
      <c r="X203" s="2">
        <f t="shared" ref="X203:X266" ca="1" si="22">IFERROR(J203,$X$9)</f>
        <v>45203</v>
      </c>
      <c r="Y203">
        <f t="shared" ref="Y203:Y266" ca="1" si="23">IFERROR(O203,0)</f>
        <v>0</v>
      </c>
      <c r="AA203" s="63">
        <f t="shared" ca="1" si="18"/>
        <v>87.810875801824608</v>
      </c>
      <c r="AB203" s="63">
        <f t="shared" ca="1" si="19"/>
        <v>87.810875801824608</v>
      </c>
      <c r="AC203" s="3">
        <f t="shared" ca="1" si="20"/>
        <v>0</v>
      </c>
    </row>
    <row r="204" spans="8:29">
      <c r="H204" t="b">
        <f t="shared" ref="H204:H267" ca="1" si="24">IF(J204&lt;$J$8,TRUE,FALSE)</f>
        <v>1</v>
      </c>
      <c r="I204" t="b">
        <f t="shared" ca="1" si="21"/>
        <v>1</v>
      </c>
      <c r="J204" s="2">
        <f ca="1"/>
        <v>45204</v>
      </c>
      <c r="K204">
        <f ca="1"/>
        <v>87.124434776251405</v>
      </c>
      <c r="L204">
        <f ca="1"/>
        <v>0.40010566788303592</v>
      </c>
      <c r="M204">
        <f ca="1"/>
        <v>8.1394505880929557E-3</v>
      </c>
      <c r="N204">
        <f ca="1"/>
        <v>0.10360269645420828</v>
      </c>
      <c r="O204">
        <f ca="1"/>
        <v>0</v>
      </c>
      <c r="P204">
        <f ca="1"/>
        <v>30.31746777788797</v>
      </c>
      <c r="Q204">
        <f ca="1"/>
        <v>16.814464147910098</v>
      </c>
      <c r="R204">
        <f ca="1"/>
        <v>0</v>
      </c>
      <c r="S204">
        <f ca="1"/>
        <v>0.49060413342185871</v>
      </c>
      <c r="T204">
        <f ca="1"/>
        <v>0</v>
      </c>
      <c r="U204">
        <f ca="1"/>
        <v>0</v>
      </c>
      <c r="V204">
        <f ca="1"/>
        <v>0.5122230189945447</v>
      </c>
      <c r="X204" s="2">
        <f t="shared" ca="1" si="22"/>
        <v>45204</v>
      </c>
      <c r="Y204">
        <f t="shared" ca="1" si="23"/>
        <v>0</v>
      </c>
      <c r="AA204" s="63">
        <f t="shared" ca="1" si="18"/>
        <v>87.524540444134445</v>
      </c>
      <c r="AB204" s="63">
        <f t="shared" ca="1" si="19"/>
        <v>87.524540444134445</v>
      </c>
      <c r="AC204" s="3">
        <f t="shared" ca="1" si="20"/>
        <v>0</v>
      </c>
    </row>
    <row r="205" spans="8:29">
      <c r="H205" t="b">
        <f t="shared" ca="1" si="24"/>
        <v>1</v>
      </c>
      <c r="I205" t="b">
        <f t="shared" ca="1" si="21"/>
        <v>1</v>
      </c>
      <c r="J205" s="2">
        <f ca="1"/>
        <v>45205</v>
      </c>
      <c r="K205">
        <f ca="1"/>
        <v>86.810661735801148</v>
      </c>
      <c r="L205">
        <f ca="1"/>
        <v>0.42771196402213718</v>
      </c>
      <c r="M205">
        <f ca="1"/>
        <v>7.8695080380448701E-3</v>
      </c>
      <c r="N205">
        <f ca="1"/>
        <v>0.10606941553384108</v>
      </c>
      <c r="O205">
        <f ca="1"/>
        <v>0</v>
      </c>
      <c r="P205">
        <f ca="1"/>
        <v>30.745179741910107</v>
      </c>
      <c r="Q205">
        <f ca="1"/>
        <v>17.051678797146987</v>
      </c>
      <c r="R205">
        <f ca="1"/>
        <v>0</v>
      </c>
      <c r="S205">
        <f ca="1"/>
        <v>0.46616943784056081</v>
      </c>
      <c r="T205">
        <f ca="1"/>
        <v>0</v>
      </c>
      <c r="U205">
        <f ca="1"/>
        <v>0</v>
      </c>
      <c r="V205">
        <f ca="1"/>
        <v>0.52141590688402106</v>
      </c>
      <c r="X205" s="2">
        <f t="shared" ca="1" si="22"/>
        <v>45205</v>
      </c>
      <c r="Y205">
        <f t="shared" ca="1" si="23"/>
        <v>0</v>
      </c>
      <c r="AA205" s="63">
        <f ca="1">K204+M205+N205+O205</f>
        <v>87.238373699823285</v>
      </c>
      <c r="AB205" s="63">
        <f ca="1">K205+L205+R205</f>
        <v>87.238373699823285</v>
      </c>
      <c r="AC205" s="3">
        <f ca="1">AB205-AA205</f>
        <v>0</v>
      </c>
    </row>
    <row r="206" spans="8:29">
      <c r="H206" t="b">
        <f t="shared" ca="1" si="24"/>
        <v>1</v>
      </c>
      <c r="I206" t="b">
        <f t="shared" ca="1" si="21"/>
        <v>1</v>
      </c>
      <c r="J206" s="2">
        <f ca="1"/>
        <v>45206</v>
      </c>
      <c r="K206">
        <f ca="1"/>
        <v>86.485484521576467</v>
      </c>
      <c r="L206">
        <f ca="1"/>
        <v>0.43658139799070028</v>
      </c>
      <c r="M206">
        <f ca="1"/>
        <v>7.3917286094555834E-3</v>
      </c>
      <c r="N206">
        <f ca="1"/>
        <v>0.1040124551565576</v>
      </c>
      <c r="O206">
        <f ca="1"/>
        <v>0</v>
      </c>
      <c r="P206">
        <f ca="1"/>
        <v>31.181761139900807</v>
      </c>
      <c r="Q206">
        <f ca="1"/>
        <v>17.293812550465038</v>
      </c>
      <c r="R206">
        <f ca="1"/>
        <v>0</v>
      </c>
      <c r="S206">
        <f ca="1"/>
        <v>0.44521856503593094</v>
      </c>
      <c r="T206">
        <f ca="1"/>
        <v>0</v>
      </c>
      <c r="U206">
        <f ca="1"/>
        <v>0</v>
      </c>
      <c r="V206">
        <f ca="1"/>
        <v>0.53066051466743036</v>
      </c>
      <c r="X206" s="2">
        <f t="shared" ca="1" si="22"/>
        <v>45206</v>
      </c>
      <c r="Y206">
        <f t="shared" ca="1" si="23"/>
        <v>0</v>
      </c>
      <c r="AA206" s="63">
        <f ca="1">K205+M206+N206+O206</f>
        <v>86.922065919567174</v>
      </c>
      <c r="AB206" s="63">
        <f ca="1">K206+L206+R206</f>
        <v>86.92206591956716</v>
      </c>
      <c r="AC206" s="3">
        <f ca="1">AB206-AA206</f>
        <v>0</v>
      </c>
    </row>
    <row r="207" spans="8:29">
      <c r="H207" t="b">
        <f t="shared" ca="1" si="24"/>
        <v>1</v>
      </c>
      <c r="I207" t="b">
        <f t="shared" ca="1" si="21"/>
        <v>1</v>
      </c>
      <c r="J207" s="2">
        <f ca="1"/>
        <v>45207</v>
      </c>
      <c r="K207">
        <f ca="1"/>
        <v>86.179232350478031</v>
      </c>
      <c r="L207">
        <f ca="1"/>
        <v>0.41372847355293985</v>
      </c>
      <c r="M207">
        <f ca="1"/>
        <v>7.2581995918561404E-3</v>
      </c>
      <c r="N207">
        <f ca="1"/>
        <v>0.10021810286264388</v>
      </c>
      <c r="O207">
        <f ca="1"/>
        <v>0</v>
      </c>
      <c r="P207">
        <f ca="1"/>
        <v>31.595489613453747</v>
      </c>
      <c r="Q207">
        <f ca="1"/>
        <v>17.523271772999426</v>
      </c>
      <c r="R207">
        <f ca="1"/>
        <v>0</v>
      </c>
      <c r="S207">
        <f ca="1"/>
        <v>0.46963410010356427</v>
      </c>
      <c r="T207">
        <f ca="1"/>
        <v>0</v>
      </c>
      <c r="U207">
        <f ca="1"/>
        <v>0</v>
      </c>
      <c r="V207">
        <f ca="1"/>
        <v>0.53928981204756354</v>
      </c>
      <c r="X207" s="2">
        <f t="shared" ca="1" si="22"/>
        <v>45207</v>
      </c>
      <c r="Y207">
        <f t="shared" ca="1" si="23"/>
        <v>0</v>
      </c>
      <c r="AA207" s="63">
        <f ca="1">K206+M207+N207+O207</f>
        <v>86.592960824030968</v>
      </c>
      <c r="AB207" s="63">
        <f ca="1">K207+L207+R207</f>
        <v>86.592960824030968</v>
      </c>
      <c r="AC207" s="3">
        <f ca="1">AB207-AA207</f>
        <v>0</v>
      </c>
    </row>
    <row r="208" spans="8:29">
      <c r="H208" t="b">
        <f t="shared" ca="1" si="24"/>
        <v>1</v>
      </c>
      <c r="I208" t="b">
        <f t="shared" ca="1" si="21"/>
        <v>1</v>
      </c>
      <c r="J208" s="2">
        <f ca="1"/>
        <v>45208</v>
      </c>
      <c r="K208">
        <f ca="1"/>
        <v>85.878551000274285</v>
      </c>
      <c r="L208">
        <f ca="1"/>
        <v>0.40640854385261704</v>
      </c>
      <c r="M208">
        <f ca="1"/>
        <v>7.110930279631944E-3</v>
      </c>
      <c r="N208">
        <f ca="1"/>
        <v>9.8616263369242618E-2</v>
      </c>
      <c r="O208">
        <f ca="1"/>
        <v>0</v>
      </c>
      <c r="P208">
        <f ca="1"/>
        <v>32.001898157306364</v>
      </c>
      <c r="Q208">
        <f ca="1"/>
        <v>17.748671266785585</v>
      </c>
      <c r="R208">
        <f ca="1"/>
        <v>0</v>
      </c>
      <c r="S208">
        <f ca="1"/>
        <v>0.48040739628451767</v>
      </c>
      <c r="T208">
        <f ca="1"/>
        <v>0</v>
      </c>
      <c r="U208">
        <f ca="1"/>
        <v>0</v>
      </c>
      <c r="V208">
        <f ca="1"/>
        <v>0.54764047229467228</v>
      </c>
      <c r="X208" s="2">
        <f t="shared" ca="1" si="22"/>
        <v>45208</v>
      </c>
      <c r="Y208">
        <f t="shared" ca="1" si="23"/>
        <v>0</v>
      </c>
      <c r="AA208" s="63">
        <f t="shared" ref="AA208:AA271" ca="1" si="25">K207+M208+N208+O208</f>
        <v>86.284959544126906</v>
      </c>
      <c r="AB208" s="63">
        <f t="shared" ref="AB208:AB271" ca="1" si="26">K208+L208+R208</f>
        <v>86.284959544126906</v>
      </c>
      <c r="AC208" s="3">
        <f t="shared" ref="AC208:AC271" ca="1" si="27">AB208-AA208</f>
        <v>0</v>
      </c>
    </row>
    <row r="209" spans="8:29">
      <c r="H209" t="b">
        <f t="shared" ca="1" si="24"/>
        <v>1</v>
      </c>
      <c r="I209" t="b">
        <f t="shared" ca="1" si="21"/>
        <v>1</v>
      </c>
      <c r="J209" s="2">
        <f ca="1"/>
        <v>45209</v>
      </c>
      <c r="K209">
        <f ca="1"/>
        <v>85.575558173774994</v>
      </c>
      <c r="L209">
        <f ca="1"/>
        <v>0.40849216890484286</v>
      </c>
      <c r="M209">
        <f ca="1"/>
        <v>6.9885285669428754E-3</v>
      </c>
      <c r="N209">
        <f ca="1"/>
        <v>9.8510813838596903E-2</v>
      </c>
      <c r="O209">
        <f ca="1"/>
        <v>0</v>
      </c>
      <c r="P209">
        <f ca="1"/>
        <v>32.410390326211207</v>
      </c>
      <c r="Q209">
        <f ca="1"/>
        <v>17.975226366277173</v>
      </c>
      <c r="R209">
        <f ca="1"/>
        <v>0</v>
      </c>
      <c r="S209">
        <f ca="1"/>
        <v>0.4848323226874523</v>
      </c>
      <c r="T209">
        <f ca="1"/>
        <v>0</v>
      </c>
      <c r="U209">
        <f ca="1"/>
        <v>0</v>
      </c>
      <c r="V209">
        <f ca="1"/>
        <v>0.55590698026044427</v>
      </c>
      <c r="X209" s="2">
        <f t="shared" ca="1" si="22"/>
        <v>45209</v>
      </c>
      <c r="Y209">
        <f t="shared" ca="1" si="23"/>
        <v>0</v>
      </c>
      <c r="AA209" s="63">
        <f t="shared" ca="1" si="25"/>
        <v>85.984050342679836</v>
      </c>
      <c r="AB209" s="63">
        <f t="shared" ca="1" si="26"/>
        <v>85.984050342679836</v>
      </c>
      <c r="AC209" s="3">
        <f t="shared" ca="1" si="27"/>
        <v>0</v>
      </c>
    </row>
    <row r="210" spans="8:29">
      <c r="H210" t="b">
        <f t="shared" ca="1" si="24"/>
        <v>1</v>
      </c>
      <c r="I210" t="b">
        <f t="shared" ca="1" si="21"/>
        <v>1</v>
      </c>
      <c r="J210" s="2">
        <f ca="1"/>
        <v>45210</v>
      </c>
      <c r="K210">
        <f ca="1"/>
        <v>85.244405234931577</v>
      </c>
      <c r="L210">
        <f ca="1"/>
        <v>0.44195663065952573</v>
      </c>
      <c r="M210">
        <f ca="1"/>
        <v>7.0066478992583114E-3</v>
      </c>
      <c r="N210">
        <f ca="1"/>
        <v>0.10379704391685707</v>
      </c>
      <c r="O210">
        <f ca="1"/>
        <v>0</v>
      </c>
      <c r="P210">
        <f ca="1"/>
        <v>32.852346956870733</v>
      </c>
      <c r="Q210">
        <f ca="1"/>
        <v>18.220341293935341</v>
      </c>
      <c r="R210">
        <f ca="1"/>
        <v>0</v>
      </c>
      <c r="S210">
        <f ca="1"/>
        <v>0.47365830100207468</v>
      </c>
      <c r="T210">
        <f ca="1"/>
        <v>0</v>
      </c>
      <c r="U210">
        <f ca="1"/>
        <v>0</v>
      </c>
      <c r="V210">
        <f ca="1"/>
        <v>0.56470628402523326</v>
      </c>
      <c r="X210" s="2">
        <f t="shared" ca="1" si="22"/>
        <v>45210</v>
      </c>
      <c r="Y210">
        <f t="shared" ca="1" si="23"/>
        <v>0</v>
      </c>
      <c r="AA210" s="63">
        <f t="shared" ca="1" si="25"/>
        <v>85.68636186559111</v>
      </c>
      <c r="AB210" s="63">
        <f t="shared" ca="1" si="26"/>
        <v>85.686361865591095</v>
      </c>
      <c r="AC210" s="3">
        <f t="shared" ca="1" si="27"/>
        <v>0</v>
      </c>
    </row>
    <row r="211" spans="8:29">
      <c r="H211" t="b">
        <f t="shared" ca="1" si="24"/>
        <v>1</v>
      </c>
      <c r="I211" t="b">
        <f t="shared" ca="1" si="21"/>
        <v>1</v>
      </c>
      <c r="J211" s="2">
        <f ca="1"/>
        <v>45211</v>
      </c>
      <c r="K211">
        <f ca="1"/>
        <v>84.865152990068594</v>
      </c>
      <c r="L211">
        <f ca="1"/>
        <v>0.50048974273688884</v>
      </c>
      <c r="M211">
        <f ca="1"/>
        <v>7.1859181291440422E-3</v>
      </c>
      <c r="N211">
        <f ca="1"/>
        <v>0.11405157974476324</v>
      </c>
      <c r="O211">
        <f ca="1"/>
        <v>0</v>
      </c>
      <c r="P211">
        <f ca="1"/>
        <v>33.352836699607622</v>
      </c>
      <c r="Q211">
        <f ca="1"/>
        <v>18.497919451098717</v>
      </c>
      <c r="R211">
        <f ca="1"/>
        <v>0</v>
      </c>
      <c r="S211">
        <f ca="1"/>
        <v>0.45535021354466759</v>
      </c>
      <c r="T211">
        <f ca="1"/>
        <v>0</v>
      </c>
      <c r="U211">
        <f ca="1"/>
        <v>0</v>
      </c>
      <c r="V211">
        <f ca="1"/>
        <v>0.57448871601632145</v>
      </c>
      <c r="X211" s="2">
        <f t="shared" ca="1" si="22"/>
        <v>45211</v>
      </c>
      <c r="Y211">
        <f t="shared" ca="1" si="23"/>
        <v>0</v>
      </c>
      <c r="AA211" s="63">
        <f t="shared" ca="1" si="25"/>
        <v>85.365642732805483</v>
      </c>
      <c r="AB211" s="63">
        <f t="shared" ca="1" si="26"/>
        <v>85.365642732805483</v>
      </c>
      <c r="AC211" s="3">
        <f t="shared" ca="1" si="27"/>
        <v>0</v>
      </c>
    </row>
    <row r="212" spans="8:29">
      <c r="H212" t="b">
        <f t="shared" ca="1" si="24"/>
        <v>1</v>
      </c>
      <c r="I212" t="b">
        <f t="shared" ca="1" si="21"/>
        <v>1</v>
      </c>
      <c r="J212" s="2">
        <f ca="1"/>
        <v>45212</v>
      </c>
      <c r="K212">
        <f ca="1"/>
        <v>84.497065185761471</v>
      </c>
      <c r="L212">
        <f ca="1"/>
        <v>0.48384712814109321</v>
      </c>
      <c r="M212">
        <f ca="1"/>
        <v>6.8242709839037019E-3</v>
      </c>
      <c r="N212">
        <f ca="1"/>
        <v>0.10893505285006723</v>
      </c>
      <c r="O212">
        <f ca="1"/>
        <v>0</v>
      </c>
      <c r="P212">
        <f ca="1"/>
        <v>33.836683827748715</v>
      </c>
      <c r="Q212">
        <f ca="1"/>
        <v>18.766267396540631</v>
      </c>
      <c r="R212">
        <f ca="1"/>
        <v>0</v>
      </c>
      <c r="S212">
        <f ca="1"/>
        <v>0.4599107297764905</v>
      </c>
      <c r="T212">
        <f ca="1"/>
        <v>0</v>
      </c>
      <c r="U212">
        <f ca="1"/>
        <v>0</v>
      </c>
      <c r="V212">
        <f ca="1"/>
        <v>0.58376113582569622</v>
      </c>
      <c r="X212" s="2">
        <f t="shared" ca="1" si="22"/>
        <v>45212</v>
      </c>
      <c r="Y212">
        <f t="shared" ca="1" si="23"/>
        <v>0</v>
      </c>
      <c r="AA212" s="63">
        <f t="shared" ca="1" si="25"/>
        <v>84.980912313902564</v>
      </c>
      <c r="AB212" s="63">
        <f t="shared" ca="1" si="26"/>
        <v>84.980912313902564</v>
      </c>
      <c r="AC212" s="3">
        <f t="shared" ca="1" si="27"/>
        <v>0</v>
      </c>
    </row>
    <row r="213" spans="8:29">
      <c r="H213" t="b">
        <f t="shared" ca="1" si="24"/>
        <v>1</v>
      </c>
      <c r="I213" t="b">
        <f t="shared" ca="1" si="21"/>
        <v>1</v>
      </c>
      <c r="J213" s="2">
        <f ca="1"/>
        <v>45213</v>
      </c>
      <c r="K213">
        <f ca="1"/>
        <v>84.13182497906169</v>
      </c>
      <c r="L213">
        <f ca="1"/>
        <v>0.4749386222785148</v>
      </c>
      <c r="M213">
        <f ca="1"/>
        <v>6.3111550524439508E-3</v>
      </c>
      <c r="N213">
        <f ca="1"/>
        <v>0.10338726052628756</v>
      </c>
      <c r="O213">
        <f ca="1"/>
        <v>0</v>
      </c>
      <c r="P213">
        <f ca="1"/>
        <v>34.31162245002723</v>
      </c>
      <c r="Q213">
        <f ca="1"/>
        <v>19.029674568117947</v>
      </c>
      <c r="R213">
        <f ca="1"/>
        <v>0</v>
      </c>
      <c r="S213">
        <f ca="1"/>
        <v>0.44567232008159147</v>
      </c>
      <c r="T213">
        <f ca="1"/>
        <v>0</v>
      </c>
      <c r="U213">
        <f ca="1"/>
        <v>0</v>
      </c>
      <c r="V213">
        <f ca="1"/>
        <v>0.59268593078443188</v>
      </c>
      <c r="X213" s="2">
        <f t="shared" ca="1" si="22"/>
        <v>45213</v>
      </c>
      <c r="Y213">
        <f t="shared" ca="1" si="23"/>
        <v>0</v>
      </c>
      <c r="AA213" s="63">
        <f t="shared" ca="1" si="25"/>
        <v>84.606763601340205</v>
      </c>
      <c r="AB213" s="63">
        <f t="shared" ca="1" si="26"/>
        <v>84.606763601340205</v>
      </c>
      <c r="AC213" s="3">
        <f t="shared" ca="1" si="27"/>
        <v>0</v>
      </c>
    </row>
    <row r="214" spans="8:29">
      <c r="H214" t="b">
        <f t="shared" ca="1" si="24"/>
        <v>1</v>
      </c>
      <c r="I214" t="b">
        <f t="shared" ca="1" si="21"/>
        <v>1</v>
      </c>
      <c r="J214" s="2">
        <f ca="1"/>
        <v>45214</v>
      </c>
      <c r="K214">
        <f ca="1"/>
        <v>83.766040252827366</v>
      </c>
      <c r="L214">
        <f ca="1"/>
        <v>0.46942337923854893</v>
      </c>
      <c r="M214">
        <f ca="1"/>
        <v>5.7605740593977828E-3</v>
      </c>
      <c r="N214">
        <f ca="1"/>
        <v>9.7878078944831914E-2</v>
      </c>
      <c r="O214">
        <f ca="1"/>
        <v>0</v>
      </c>
      <c r="P214">
        <f ca="1"/>
        <v>34.781045829265778</v>
      </c>
      <c r="Q214">
        <f ca="1"/>
        <v>19.290022913772141</v>
      </c>
      <c r="R214">
        <f ca="1"/>
        <v>0</v>
      </c>
      <c r="S214">
        <f ca="1"/>
        <v>0.42300099674508768</v>
      </c>
      <c r="T214">
        <f ca="1"/>
        <v>0</v>
      </c>
      <c r="U214">
        <f ca="1"/>
        <v>0</v>
      </c>
      <c r="V214">
        <f ca="1"/>
        <v>0.60133493650852343</v>
      </c>
      <c r="X214" s="2">
        <f t="shared" ca="1" si="22"/>
        <v>45214</v>
      </c>
      <c r="Y214">
        <f t="shared" ca="1" si="23"/>
        <v>0</v>
      </c>
      <c r="AA214" s="63">
        <f t="shared" ca="1" si="25"/>
        <v>84.235463632065915</v>
      </c>
      <c r="AB214" s="63">
        <f t="shared" ca="1" si="26"/>
        <v>84.235463632065915</v>
      </c>
      <c r="AC214" s="3">
        <f t="shared" ca="1" si="27"/>
        <v>0</v>
      </c>
    </row>
    <row r="215" spans="8:29">
      <c r="H215" t="b">
        <f t="shared" ca="1" si="24"/>
        <v>1</v>
      </c>
      <c r="I215" t="b">
        <f t="shared" ca="1" si="21"/>
        <v>1</v>
      </c>
      <c r="J215" s="2">
        <f ca="1"/>
        <v>45215</v>
      </c>
      <c r="K215">
        <f ca="1"/>
        <v>83.371030268810401</v>
      </c>
      <c r="L215">
        <f ca="1"/>
        <v>0.50023767984991707</v>
      </c>
      <c r="M215">
        <f ca="1"/>
        <v>5.49874138022588E-3</v>
      </c>
      <c r="N215">
        <f ca="1"/>
        <v>9.9728954452729598E-2</v>
      </c>
      <c r="O215">
        <f ca="1"/>
        <v>0</v>
      </c>
      <c r="P215">
        <f ca="1"/>
        <v>35.281283509115696</v>
      </c>
      <c r="Q215">
        <f ca="1"/>
        <v>19.567461273561705</v>
      </c>
      <c r="R215">
        <f ca="1"/>
        <v>0</v>
      </c>
      <c r="S215">
        <f ca="1"/>
        <v>0.39597329240609058</v>
      </c>
      <c r="T215">
        <f ca="1"/>
        <v>0</v>
      </c>
      <c r="U215">
        <f ca="1"/>
        <v>0</v>
      </c>
      <c r="V215">
        <f ca="1"/>
        <v>0.61036375033891066</v>
      </c>
      <c r="X215" s="2">
        <f t="shared" ca="1" si="22"/>
        <v>45215</v>
      </c>
      <c r="Y215">
        <f t="shared" ca="1" si="23"/>
        <v>0</v>
      </c>
      <c r="AA215" s="63">
        <f t="shared" ca="1" si="25"/>
        <v>83.871267948660318</v>
      </c>
      <c r="AB215" s="63">
        <f t="shared" ca="1" si="26"/>
        <v>83.871267948660318</v>
      </c>
      <c r="AC215" s="3">
        <f t="shared" ca="1" si="27"/>
        <v>0</v>
      </c>
    </row>
    <row r="216" spans="8:29">
      <c r="H216" t="b">
        <f t="shared" ca="1" si="24"/>
        <v>1</v>
      </c>
      <c r="I216" t="b">
        <f t="shared" ca="1" si="21"/>
        <v>1</v>
      </c>
      <c r="J216" s="2">
        <f ca="1"/>
        <v>45216</v>
      </c>
      <c r="K216">
        <f ca="1"/>
        <v>82.938447828671016</v>
      </c>
      <c r="L216">
        <f ca="1"/>
        <v>0.54244666254254525</v>
      </c>
      <c r="M216">
        <f ca="1"/>
        <v>5.3929749657175563E-3</v>
      </c>
      <c r="N216">
        <f ca="1"/>
        <v>0.10447124743744918</v>
      </c>
      <c r="O216">
        <f ca="1"/>
        <v>0</v>
      </c>
      <c r="P216">
        <f ca="1"/>
        <v>35.823730171658241</v>
      </c>
      <c r="Q216">
        <f ca="1"/>
        <v>19.868309287198496</v>
      </c>
      <c r="R216">
        <f ca="1"/>
        <v>0</v>
      </c>
      <c r="S216">
        <f ca="1"/>
        <v>0.37470656548458509</v>
      </c>
      <c r="T216">
        <f ca="1"/>
        <v>0</v>
      </c>
      <c r="U216">
        <f ca="1"/>
        <v>0</v>
      </c>
      <c r="V216">
        <f ca="1"/>
        <v>0.61993617990401961</v>
      </c>
      <c r="X216" s="2">
        <f t="shared" ca="1" si="22"/>
        <v>45216</v>
      </c>
      <c r="Y216">
        <f t="shared" ca="1" si="23"/>
        <v>0</v>
      </c>
      <c r="AA216" s="63">
        <f t="shared" ca="1" si="25"/>
        <v>83.480894491213562</v>
      </c>
      <c r="AB216" s="63">
        <f t="shared" ca="1" si="26"/>
        <v>83.480894491213562</v>
      </c>
      <c r="AC216" s="3">
        <f t="shared" ca="1" si="27"/>
        <v>0</v>
      </c>
    </row>
    <row r="217" spans="8:29">
      <c r="H217" t="b">
        <f t="shared" ca="1" si="24"/>
        <v>1</v>
      </c>
      <c r="I217" t="b">
        <f t="shared" ca="1" si="21"/>
        <v>1</v>
      </c>
      <c r="J217" s="2">
        <f ca="1"/>
        <v>45217</v>
      </c>
      <c r="K217">
        <f ca="1"/>
        <v>82.515459757047793</v>
      </c>
      <c r="L217">
        <f ca="1"/>
        <v>0.52250506559501275</v>
      </c>
      <c r="M217">
        <f ca="1"/>
        <v>4.634130864678454E-3</v>
      </c>
      <c r="N217">
        <f ca="1"/>
        <v>9.4882863107119977E-2</v>
      </c>
      <c r="O217">
        <f ca="1"/>
        <v>0</v>
      </c>
      <c r="P217">
        <f ca="1"/>
        <v>36.346235237253254</v>
      </c>
      <c r="Q217">
        <f ca="1"/>
        <v>20.158097430354584</v>
      </c>
      <c r="R217">
        <f ca="1"/>
        <v>0</v>
      </c>
      <c r="S217">
        <f ca="1"/>
        <v>0.34189684474153759</v>
      </c>
      <c r="T217">
        <f ca="1"/>
        <v>0</v>
      </c>
      <c r="U217">
        <f ca="1"/>
        <v>0</v>
      </c>
      <c r="V217">
        <f ca="1"/>
        <v>0.62894335021022829</v>
      </c>
      <c r="X217" s="2">
        <f t="shared" ca="1" si="22"/>
        <v>45217</v>
      </c>
      <c r="Y217">
        <f t="shared" ca="1" si="23"/>
        <v>0</v>
      </c>
      <c r="AA217" s="63">
        <f t="shared" ca="1" si="25"/>
        <v>83.037964822642806</v>
      </c>
      <c r="AB217" s="63">
        <f t="shared" ca="1" si="26"/>
        <v>83.037964822642806</v>
      </c>
      <c r="AC217" s="3">
        <f t="shared" ca="1" si="27"/>
        <v>0</v>
      </c>
    </row>
    <row r="218" spans="8:29">
      <c r="H218" t="b">
        <f t="shared" ca="1" si="24"/>
        <v>1</v>
      </c>
      <c r="I218" t="b">
        <f t="shared" ca="1" si="21"/>
        <v>1</v>
      </c>
      <c r="J218" s="2">
        <f ca="1"/>
        <v>45218</v>
      </c>
      <c r="K218">
        <f ca="1"/>
        <v>82.085055789081395</v>
      </c>
      <c r="L218">
        <f ca="1"/>
        <v>0.52826718630961267</v>
      </c>
      <c r="M218">
        <f ca="1"/>
        <v>4.4123107322970867E-3</v>
      </c>
      <c r="N218">
        <f ca="1"/>
        <v>9.3450907610928557E-2</v>
      </c>
      <c r="O218">
        <f ca="1"/>
        <v>0</v>
      </c>
      <c r="P218">
        <f ca="1"/>
        <v>36.874502423562866</v>
      </c>
      <c r="Q218">
        <f ca="1"/>
        <v>20.451081321021036</v>
      </c>
      <c r="R218">
        <f ca="1"/>
        <v>0</v>
      </c>
      <c r="S218">
        <f ca="1"/>
        <v>0.33154630994740963</v>
      </c>
      <c r="T218">
        <f ca="1"/>
        <v>0</v>
      </c>
      <c r="U218">
        <f ca="1"/>
        <v>0</v>
      </c>
      <c r="V218">
        <f ca="1"/>
        <v>0.63783872803431596</v>
      </c>
      <c r="X218" s="2">
        <f t="shared" ca="1" si="22"/>
        <v>45218</v>
      </c>
      <c r="Y218">
        <f t="shared" ca="1" si="23"/>
        <v>0</v>
      </c>
      <c r="AA218" s="63">
        <f t="shared" ca="1" si="25"/>
        <v>82.613322975391014</v>
      </c>
      <c r="AB218" s="63">
        <f t="shared" ca="1" si="26"/>
        <v>82.613322975391014</v>
      </c>
      <c r="AC218" s="3">
        <f t="shared" ca="1" si="27"/>
        <v>0</v>
      </c>
    </row>
    <row r="219" spans="8:29">
      <c r="H219" t="b">
        <f t="shared" ca="1" si="24"/>
        <v>1</v>
      </c>
      <c r="I219" t="b">
        <f t="shared" ca="1" si="21"/>
        <v>1</v>
      </c>
      <c r="J219" s="2">
        <f ca="1"/>
        <v>45219</v>
      </c>
      <c r="K219">
        <f ca="1"/>
        <v>81.641457029286244</v>
      </c>
      <c r="L219">
        <f ca="1"/>
        <v>0.53826465422014991</v>
      </c>
      <c r="M219">
        <f ca="1"/>
        <v>3.9664855768890561E-3</v>
      </c>
      <c r="N219">
        <f ca="1"/>
        <v>9.0699408848100307E-2</v>
      </c>
      <c r="O219">
        <f ca="1"/>
        <v>0</v>
      </c>
      <c r="P219">
        <f ca="1"/>
        <v>37.412767077783016</v>
      </c>
      <c r="Q219">
        <f ca="1"/>
        <v>20.749609938146275</v>
      </c>
      <c r="R219">
        <f ca="1"/>
        <v>0</v>
      </c>
      <c r="S219">
        <f ca="1"/>
        <v>0.30136328608948743</v>
      </c>
      <c r="T219">
        <f ca="1"/>
        <v>0</v>
      </c>
      <c r="U219">
        <f ca="1"/>
        <v>0</v>
      </c>
      <c r="V219">
        <f ca="1"/>
        <v>0.6466862168618247</v>
      </c>
      <c r="X219" s="2">
        <f t="shared" ca="1" si="22"/>
        <v>45219</v>
      </c>
      <c r="Y219">
        <f t="shared" ca="1" si="23"/>
        <v>0</v>
      </c>
      <c r="AA219" s="63">
        <f t="shared" ca="1" si="25"/>
        <v>82.179721683506372</v>
      </c>
      <c r="AB219" s="63">
        <f t="shared" ca="1" si="26"/>
        <v>82.179721683506386</v>
      </c>
      <c r="AC219" s="3">
        <f t="shared" ca="1" si="27"/>
        <v>0</v>
      </c>
    </row>
    <row r="220" spans="8:29">
      <c r="H220" t="b">
        <f t="shared" ca="1" si="24"/>
        <v>1</v>
      </c>
      <c r="I220" t="b">
        <f t="shared" ca="1" si="21"/>
        <v>1</v>
      </c>
      <c r="J220" s="2">
        <f ca="1"/>
        <v>45220</v>
      </c>
      <c r="K220">
        <f ca="1"/>
        <v>81.145992898112752</v>
      </c>
      <c r="L220">
        <f ca="1"/>
        <v>0.59683696457934587</v>
      </c>
      <c r="M220">
        <f ca="1"/>
        <v>3.8893266886041999E-3</v>
      </c>
      <c r="N220">
        <f ca="1"/>
        <v>9.748350671723445E-2</v>
      </c>
      <c r="O220">
        <f ca="1"/>
        <v>0</v>
      </c>
      <c r="P220">
        <f ca="1"/>
        <v>38.009604042362362</v>
      </c>
      <c r="Q220">
        <f ca="1"/>
        <v>21.080623524656502</v>
      </c>
      <c r="R220">
        <f ca="1"/>
        <v>0</v>
      </c>
      <c r="S220">
        <f ca="1"/>
        <v>0.27817941752754138</v>
      </c>
      <c r="T220">
        <f ca="1"/>
        <v>0</v>
      </c>
      <c r="U220">
        <f ca="1"/>
        <v>0</v>
      </c>
      <c r="V220">
        <f ca="1"/>
        <v>0.6562442762179963</v>
      </c>
      <c r="X220" s="2">
        <f t="shared" ca="1" si="22"/>
        <v>45220</v>
      </c>
      <c r="Y220">
        <f t="shared" ca="1" si="23"/>
        <v>0</v>
      </c>
      <c r="AA220" s="63">
        <f t="shared" ca="1" si="25"/>
        <v>81.742829862692091</v>
      </c>
      <c r="AB220" s="63">
        <f t="shared" ca="1" si="26"/>
        <v>81.742829862692105</v>
      </c>
      <c r="AC220" s="3">
        <f t="shared" ca="1" si="27"/>
        <v>0</v>
      </c>
    </row>
    <row r="221" spans="8:29">
      <c r="H221" t="b">
        <f t="shared" ca="1" si="24"/>
        <v>1</v>
      </c>
      <c r="I221" t="b">
        <f t="shared" ca="1" si="21"/>
        <v>1</v>
      </c>
      <c r="J221" s="2">
        <f ca="1"/>
        <v>45221</v>
      </c>
      <c r="K221">
        <f ca="1"/>
        <v>80.681822183605618</v>
      </c>
      <c r="L221">
        <f ca="1"/>
        <v>0.55423307364626595</v>
      </c>
      <c r="M221">
        <f ca="1"/>
        <v>3.339913716992271E-3</v>
      </c>
      <c r="N221">
        <f ca="1"/>
        <v>8.672244542214548E-2</v>
      </c>
      <c r="O221">
        <f ca="1"/>
        <v>0</v>
      </c>
      <c r="P221">
        <f ca="1"/>
        <v>38.563837116008628</v>
      </c>
      <c r="Q221">
        <f ca="1"/>
        <v>21.388008436044387</v>
      </c>
      <c r="R221">
        <f ca="1"/>
        <v>0</v>
      </c>
      <c r="S221">
        <f ca="1"/>
        <v>0.26075809723336374</v>
      </c>
      <c r="T221">
        <f ca="1"/>
        <v>0</v>
      </c>
      <c r="U221">
        <f ca="1"/>
        <v>0</v>
      </c>
      <c r="V221">
        <f ca="1"/>
        <v>0.66488576900603302</v>
      </c>
      <c r="X221" s="2">
        <f t="shared" ca="1" si="22"/>
        <v>45221</v>
      </c>
      <c r="Y221">
        <f t="shared" ca="1" si="23"/>
        <v>0</v>
      </c>
      <c r="AA221" s="63">
        <f t="shared" ca="1" si="25"/>
        <v>81.236055257251877</v>
      </c>
      <c r="AB221" s="63">
        <f t="shared" ca="1" si="26"/>
        <v>81.236055257251877</v>
      </c>
      <c r="AC221" s="3">
        <f t="shared" ca="1" si="27"/>
        <v>0</v>
      </c>
    </row>
    <row r="222" spans="8:29">
      <c r="H222" t="b">
        <f t="shared" ca="1" si="24"/>
        <v>1</v>
      </c>
      <c r="I222" t="b">
        <f t="shared" ca="1" si="21"/>
        <v>1</v>
      </c>
      <c r="J222" s="2">
        <f ca="1"/>
        <v>45222</v>
      </c>
      <c r="K222">
        <f ca="1"/>
        <v>80.212071006044084</v>
      </c>
      <c r="L222">
        <f ca="1"/>
        <v>0.55836530719366806</v>
      </c>
      <c r="M222">
        <f ca="1"/>
        <v>3.1849197305753307E-3</v>
      </c>
      <c r="N222">
        <f ca="1"/>
        <v>8.5429209901563996E-2</v>
      </c>
      <c r="O222">
        <f ca="1"/>
        <v>0</v>
      </c>
      <c r="P222">
        <f ca="1"/>
        <v>39.122202423202296</v>
      </c>
      <c r="Q222">
        <f ca="1"/>
        <v>21.697685138202615</v>
      </c>
      <c r="R222">
        <f ca="1"/>
        <v>0</v>
      </c>
      <c r="S222">
        <f ca="1"/>
        <v>0.25295191409342693</v>
      </c>
      <c r="T222">
        <f ca="1"/>
        <v>0</v>
      </c>
      <c r="U222">
        <f ca="1"/>
        <v>0</v>
      </c>
      <c r="V222">
        <f ca="1"/>
        <v>0.67336698226266034</v>
      </c>
      <c r="X222" s="2">
        <f t="shared" ca="1" si="22"/>
        <v>45222</v>
      </c>
      <c r="Y222">
        <f t="shared" ca="1" si="23"/>
        <v>0</v>
      </c>
      <c r="AA222" s="63">
        <f t="shared" ca="1" si="25"/>
        <v>80.770436313237752</v>
      </c>
      <c r="AB222" s="63">
        <f t="shared" ca="1" si="26"/>
        <v>80.770436313237752</v>
      </c>
      <c r="AC222" s="3">
        <f t="shared" ca="1" si="27"/>
        <v>0</v>
      </c>
    </row>
    <row r="223" spans="8:29">
      <c r="H223" t="b">
        <f t="shared" ca="1" si="24"/>
        <v>1</v>
      </c>
      <c r="I223" t="b">
        <f t="shared" ca="1" si="21"/>
        <v>1</v>
      </c>
      <c r="J223" s="2">
        <f ca="1"/>
        <v>45223</v>
      </c>
      <c r="K223">
        <f ca="1"/>
        <v>79.729765463910553</v>
      </c>
      <c r="L223">
        <f ca="1"/>
        <v>0.56985805036458004</v>
      </c>
      <c r="M223">
        <f ca="1"/>
        <v>2.9629544910800831E-3</v>
      </c>
      <c r="N223">
        <f ca="1"/>
        <v>8.4589553739957038E-2</v>
      </c>
      <c r="O223">
        <f ca="1"/>
        <v>0</v>
      </c>
      <c r="P223">
        <f ca="1"/>
        <v>39.692060473566876</v>
      </c>
      <c r="Q223">
        <f ca="1"/>
        <v>22.013735866035557</v>
      </c>
      <c r="R223">
        <f ca="1"/>
        <v>0</v>
      </c>
      <c r="S223">
        <f ca="1"/>
        <v>0.23677036914113189</v>
      </c>
      <c r="T223">
        <f ca="1"/>
        <v>0</v>
      </c>
      <c r="U223">
        <f ca="1"/>
        <v>0</v>
      </c>
      <c r="V223">
        <f ca="1"/>
        <v>0.68179396479917886</v>
      </c>
      <c r="X223" s="2">
        <f t="shared" ca="1" si="22"/>
        <v>45223</v>
      </c>
      <c r="Y223">
        <f t="shared" ca="1" si="23"/>
        <v>0</v>
      </c>
      <c r="AA223" s="63">
        <f t="shared" ca="1" si="25"/>
        <v>80.299623514275126</v>
      </c>
      <c r="AB223" s="63">
        <f t="shared" ca="1" si="26"/>
        <v>80.29962351427514</v>
      </c>
      <c r="AC223" s="3">
        <f t="shared" ca="1" si="27"/>
        <v>0</v>
      </c>
    </row>
    <row r="224" spans="8:29">
      <c r="H224" t="b">
        <f t="shared" ca="1" si="24"/>
        <v>1</v>
      </c>
      <c r="I224" t="b">
        <f t="shared" ca="1" si="21"/>
        <v>1</v>
      </c>
      <c r="J224" s="2">
        <f ca="1"/>
        <v>45224</v>
      </c>
      <c r="K224">
        <f ca="1"/>
        <v>79.228268773506642</v>
      </c>
      <c r="L224">
        <f ca="1"/>
        <v>0.58810963499434621</v>
      </c>
      <c r="M224">
        <f ca="1"/>
        <v>2.6477449312096724E-3</v>
      </c>
      <c r="N224">
        <f ca="1"/>
        <v>8.396519965923735E-2</v>
      </c>
      <c r="O224">
        <f ca="1"/>
        <v>0</v>
      </c>
      <c r="P224">
        <f ca="1"/>
        <v>40.280170108561222</v>
      </c>
      <c r="Q224">
        <f ca="1"/>
        <v>22.339909161414312</v>
      </c>
      <c r="R224">
        <f ca="1"/>
        <v>0</v>
      </c>
      <c r="S224">
        <f ca="1"/>
        <v>0.21077900041859177</v>
      </c>
      <c r="T224">
        <f ca="1"/>
        <v>0</v>
      </c>
      <c r="U224">
        <f ca="1"/>
        <v>0</v>
      </c>
      <c r="V224">
        <f ca="1"/>
        <v>0.69025279231435088</v>
      </c>
      <c r="X224" s="2">
        <f t="shared" ca="1" si="22"/>
        <v>45224</v>
      </c>
      <c r="Y224">
        <f t="shared" ca="1" si="23"/>
        <v>0</v>
      </c>
      <c r="AA224" s="63">
        <f t="shared" ca="1" si="25"/>
        <v>79.816378408500995</v>
      </c>
      <c r="AB224" s="63">
        <f t="shared" ca="1" si="26"/>
        <v>79.816378408500981</v>
      </c>
      <c r="AC224" s="3">
        <f t="shared" ca="1" si="27"/>
        <v>0</v>
      </c>
    </row>
    <row r="225" spans="8:29">
      <c r="H225" t="b">
        <f t="shared" ca="1" si="24"/>
        <v>1</v>
      </c>
      <c r="I225" t="b">
        <f t="shared" ca="1" si="21"/>
        <v>1</v>
      </c>
      <c r="J225" s="2">
        <f ca="1"/>
        <v>45225</v>
      </c>
      <c r="K225">
        <f ca="1"/>
        <v>78.672813649514566</v>
      </c>
      <c r="L225">
        <f ca="1"/>
        <v>0.64957628948211266</v>
      </c>
      <c r="M225">
        <f ca="1"/>
        <v>2.6860397892978227E-3</v>
      </c>
      <c r="N225">
        <f ca="1"/>
        <v>9.1435125700744482E-2</v>
      </c>
      <c r="O225">
        <f ca="1"/>
        <v>0</v>
      </c>
      <c r="P225">
        <f ca="1"/>
        <v>40.929746398043335</v>
      </c>
      <c r="Q225">
        <f ca="1"/>
        <v>22.700172667286513</v>
      </c>
      <c r="R225">
        <f ca="1"/>
        <v>0</v>
      </c>
      <c r="S225">
        <f ca="1"/>
        <v>0.20087909488879085</v>
      </c>
      <c r="T225">
        <f ca="1"/>
        <v>0</v>
      </c>
      <c r="U225">
        <f ca="1"/>
        <v>0</v>
      </c>
      <c r="V225">
        <f ca="1"/>
        <v>0.69932025498234263</v>
      </c>
      <c r="X225" s="2">
        <f t="shared" ca="1" si="22"/>
        <v>45225</v>
      </c>
      <c r="Y225">
        <f t="shared" ca="1" si="23"/>
        <v>0</v>
      </c>
      <c r="AA225" s="63">
        <f t="shared" ca="1" si="25"/>
        <v>79.322389938996679</v>
      </c>
      <c r="AB225" s="63">
        <f t="shared" ca="1" si="26"/>
        <v>79.322389938996679</v>
      </c>
      <c r="AC225" s="3">
        <f t="shared" ca="1" si="27"/>
        <v>0</v>
      </c>
    </row>
    <row r="226" spans="8:29">
      <c r="H226" t="b">
        <f t="shared" ca="1" si="24"/>
        <v>1</v>
      </c>
      <c r="I226" t="b">
        <f t="shared" ca="1" si="21"/>
        <v>1</v>
      </c>
      <c r="J226" s="2">
        <f ca="1"/>
        <v>45226</v>
      </c>
      <c r="K226">
        <f ca="1"/>
        <v>78.128480470509658</v>
      </c>
      <c r="L226">
        <f ca="1"/>
        <v>0.63454389618494389</v>
      </c>
      <c r="M226">
        <f ca="1"/>
        <v>2.5789943477239063E-3</v>
      </c>
      <c r="N226">
        <f ca="1"/>
        <v>8.7631722832308204E-2</v>
      </c>
      <c r="O226">
        <f ca="1"/>
        <v>0</v>
      </c>
      <c r="P226">
        <f ca="1"/>
        <v>41.564290294228279</v>
      </c>
      <c r="Q226">
        <f ca="1"/>
        <v>23.052099011229348</v>
      </c>
      <c r="R226">
        <f ca="1"/>
        <v>0</v>
      </c>
      <c r="S226">
        <f ca="1"/>
        <v>0.20145616353534743</v>
      </c>
      <c r="T226">
        <f ca="1"/>
        <v>0</v>
      </c>
      <c r="U226">
        <f ca="1"/>
        <v>0</v>
      </c>
      <c r="V226">
        <f ca="1"/>
        <v>0.70790481340040623</v>
      </c>
      <c r="X226" s="2">
        <f t="shared" ca="1" si="22"/>
        <v>45226</v>
      </c>
      <c r="Y226">
        <f t="shared" ca="1" si="23"/>
        <v>0</v>
      </c>
      <c r="AA226" s="63">
        <f t="shared" ca="1" si="25"/>
        <v>78.763024366694609</v>
      </c>
      <c r="AB226" s="63">
        <f t="shared" ca="1" si="26"/>
        <v>78.763024366694594</v>
      </c>
      <c r="AC226" s="3">
        <f t="shared" ca="1" si="27"/>
        <v>0</v>
      </c>
    </row>
    <row r="227" spans="8:29">
      <c r="H227" t="b">
        <f t="shared" ca="1" si="24"/>
        <v>1</v>
      </c>
      <c r="I227" t="b">
        <f t="shared" ca="1" si="21"/>
        <v>1</v>
      </c>
      <c r="J227" s="2">
        <f ca="1"/>
        <v>45227</v>
      </c>
      <c r="K227">
        <f ca="1"/>
        <v>77.547299719659364</v>
      </c>
      <c r="L227">
        <f ca="1"/>
        <v>0.67664852692162469</v>
      </c>
      <c r="M227">
        <f ca="1"/>
        <v>2.6774770706268214E-3</v>
      </c>
      <c r="N227">
        <f ca="1"/>
        <v>9.279029900069824E-2</v>
      </c>
      <c r="O227">
        <f ca="1"/>
        <v>0</v>
      </c>
      <c r="P227">
        <f ca="1"/>
        <v>42.240938821149904</v>
      </c>
      <c r="Q227">
        <f ca="1"/>
        <v>23.427377134059849</v>
      </c>
      <c r="R227">
        <f ca="1"/>
        <v>0</v>
      </c>
      <c r="S227">
        <f ca="1"/>
        <v>0.20229273902809855</v>
      </c>
      <c r="T227">
        <f ca="1"/>
        <v>0</v>
      </c>
      <c r="U227">
        <f ca="1"/>
        <v>0</v>
      </c>
      <c r="V227">
        <f ca="1"/>
        <v>0.71676883432253968</v>
      </c>
      <c r="X227" s="2">
        <f t="shared" ca="1" si="22"/>
        <v>45227</v>
      </c>
      <c r="Y227">
        <f t="shared" ca="1" si="23"/>
        <v>0</v>
      </c>
      <c r="AA227" s="63">
        <f t="shared" ca="1" si="25"/>
        <v>78.223948246580974</v>
      </c>
      <c r="AB227" s="63">
        <f t="shared" ca="1" si="26"/>
        <v>78.223948246580989</v>
      </c>
      <c r="AC227" s="3">
        <f t="shared" ca="1" si="27"/>
        <v>0</v>
      </c>
    </row>
    <row r="228" spans="8:29">
      <c r="H228" t="b">
        <f t="shared" ca="1" si="24"/>
        <v>1</v>
      </c>
      <c r="I228" t="b">
        <f t="shared" ca="1" si="21"/>
        <v>1</v>
      </c>
      <c r="J228" s="2">
        <f ca="1"/>
        <v>45228</v>
      </c>
      <c r="K228">
        <f ca="1"/>
        <v>76.946453162982181</v>
      </c>
      <c r="L228">
        <f ca="1"/>
        <v>0.6969564466222522</v>
      </c>
      <c r="M228">
        <f ca="1"/>
        <v>2.567549390922963E-3</v>
      </c>
      <c r="N228">
        <f ca="1"/>
        <v>9.3542340554145051E-2</v>
      </c>
      <c r="O228">
        <f ca="1"/>
        <v>0</v>
      </c>
      <c r="P228">
        <f ca="1"/>
        <v>42.937895267772156</v>
      </c>
      <c r="Q228">
        <f ca="1"/>
        <v>23.813918294761002</v>
      </c>
      <c r="R228">
        <f ca="1"/>
        <v>0</v>
      </c>
      <c r="S228">
        <f ca="1"/>
        <v>0.19345085642727616</v>
      </c>
      <c r="T228">
        <f ca="1"/>
        <v>0</v>
      </c>
      <c r="U228">
        <f ca="1"/>
        <v>0</v>
      </c>
      <c r="V228">
        <f ca="1"/>
        <v>0.72559389425844267</v>
      </c>
      <c r="X228" s="2">
        <f t="shared" ca="1" si="22"/>
        <v>45228</v>
      </c>
      <c r="Y228">
        <f t="shared" ca="1" si="23"/>
        <v>0</v>
      </c>
      <c r="AA228" s="63">
        <f t="shared" ca="1" si="25"/>
        <v>77.643409609604433</v>
      </c>
      <c r="AB228" s="63">
        <f t="shared" ca="1" si="26"/>
        <v>77.643409609604433</v>
      </c>
      <c r="AC228" s="3">
        <f t="shared" ca="1" si="27"/>
        <v>0</v>
      </c>
    </row>
    <row r="229" spans="8:29">
      <c r="H229" t="b">
        <f t="shared" ca="1" si="24"/>
        <v>1</v>
      </c>
      <c r="I229" t="b">
        <f t="shared" ca="1" si="21"/>
        <v>1</v>
      </c>
      <c r="J229" s="2">
        <f ca="1"/>
        <v>45229</v>
      </c>
      <c r="K229">
        <f ca="1"/>
        <v>76.350305707598224</v>
      </c>
      <c r="L229">
        <f ca="1"/>
        <v>0.68925154350567652</v>
      </c>
      <c r="M229">
        <f ca="1"/>
        <v>2.4636855744049058E-3</v>
      </c>
      <c r="N229">
        <f ca="1"/>
        <v>9.0640402547315951E-2</v>
      </c>
      <c r="O229">
        <f ca="1"/>
        <v>0</v>
      </c>
      <c r="P229">
        <f ca="1"/>
        <v>43.627146811277832</v>
      </c>
      <c r="Q229">
        <f ca="1"/>
        <v>24.196186215422259</v>
      </c>
      <c r="R229">
        <f ca="1"/>
        <v>0</v>
      </c>
      <c r="S229">
        <f ca="1"/>
        <v>0.19197342748200305</v>
      </c>
      <c r="T229">
        <f ca="1"/>
        <v>0</v>
      </c>
      <c r="U229">
        <f ca="1"/>
        <v>0</v>
      </c>
      <c r="V229">
        <f ca="1"/>
        <v>0.7340254390398947</v>
      </c>
      <c r="X229" s="2">
        <f t="shared" ca="1" si="22"/>
        <v>45229</v>
      </c>
      <c r="Y229">
        <f t="shared" ca="1" si="23"/>
        <v>0</v>
      </c>
      <c r="AA229" s="63">
        <f t="shared" ca="1" si="25"/>
        <v>77.039557251103915</v>
      </c>
      <c r="AB229" s="63">
        <f t="shared" ca="1" si="26"/>
        <v>77.039557251103901</v>
      </c>
      <c r="AC229" s="3">
        <f t="shared" ca="1" si="27"/>
        <v>0</v>
      </c>
    </row>
    <row r="230" spans="8:29">
      <c r="H230" t="b">
        <f t="shared" ca="1" si="24"/>
        <v>1</v>
      </c>
      <c r="I230" t="b">
        <f t="shared" ca="1" si="21"/>
        <v>1</v>
      </c>
      <c r="J230" s="2">
        <f ca="1"/>
        <v>45230</v>
      </c>
      <c r="K230">
        <f ca="1"/>
        <v>75.745532641120406</v>
      </c>
      <c r="L230">
        <f ca="1"/>
        <v>0.69564424714121031</v>
      </c>
      <c r="M230">
        <f ca="1"/>
        <v>2.2174548754190226E-3</v>
      </c>
      <c r="N230">
        <f ca="1"/>
        <v>8.8653725787969706E-2</v>
      </c>
      <c r="O230">
        <f ca="1"/>
        <v>0</v>
      </c>
      <c r="P230">
        <f ca="1"/>
        <v>44.322791058419043</v>
      </c>
      <c r="Q230">
        <f ca="1"/>
        <v>24.581999613129138</v>
      </c>
      <c r="R230">
        <f ca="1"/>
        <v>0</v>
      </c>
      <c r="S230">
        <f ca="1"/>
        <v>0.17527288296272248</v>
      </c>
      <c r="T230">
        <f ca="1"/>
        <v>0</v>
      </c>
      <c r="U230">
        <f ca="1"/>
        <v>0</v>
      </c>
      <c r="V230">
        <f ca="1"/>
        <v>0.7422454324914427</v>
      </c>
      <c r="X230" s="2">
        <f t="shared" ca="1" si="22"/>
        <v>45230</v>
      </c>
      <c r="Y230">
        <f t="shared" ca="1" si="23"/>
        <v>0</v>
      </c>
      <c r="AA230" s="63">
        <f t="shared" ca="1" si="25"/>
        <v>76.441176888261609</v>
      </c>
      <c r="AB230" s="63">
        <f t="shared" ca="1" si="26"/>
        <v>76.441176888261623</v>
      </c>
      <c r="AC230" s="3">
        <f t="shared" ca="1" si="27"/>
        <v>0</v>
      </c>
    </row>
    <row r="231" spans="8:29">
      <c r="H231" t="b">
        <f t="shared" ca="1" si="24"/>
        <v>1</v>
      </c>
      <c r="I231" t="b">
        <f t="shared" ca="1" si="21"/>
        <v>1</v>
      </c>
      <c r="J231" s="2">
        <f ca="1"/>
        <v>45231</v>
      </c>
      <c r="K231">
        <f ca="1"/>
        <v>75.099334187589946</v>
      </c>
      <c r="L231">
        <f ca="1"/>
        <v>0.74144592352008942</v>
      </c>
      <c r="M231">
        <f ca="1"/>
        <v>2.1851728690265304E-3</v>
      </c>
      <c r="N231">
        <f ca="1"/>
        <v>9.3062297120607096E-2</v>
      </c>
      <c r="O231">
        <f ca="1"/>
        <v>0</v>
      </c>
      <c r="P231">
        <f ca="1"/>
        <v>45.064236981939132</v>
      </c>
      <c r="Q231">
        <f ca="1"/>
        <v>24.993215219590027</v>
      </c>
      <c r="R231">
        <f ca="1"/>
        <v>0</v>
      </c>
      <c r="S231">
        <f ca="1"/>
        <v>0.16671023764244636</v>
      </c>
      <c r="T231">
        <f ca="1"/>
        <v>0</v>
      </c>
      <c r="U231">
        <f ca="1"/>
        <v>0</v>
      </c>
      <c r="V231">
        <f ca="1"/>
        <v>0.75069598687749739</v>
      </c>
      <c r="X231" s="2">
        <f t="shared" ca="1" si="22"/>
        <v>45231</v>
      </c>
      <c r="Y231">
        <f t="shared" ca="1" si="23"/>
        <v>0</v>
      </c>
      <c r="AA231" s="63">
        <f t="shared" ca="1" si="25"/>
        <v>75.840780111110035</v>
      </c>
      <c r="AB231" s="63">
        <f t="shared" ca="1" si="26"/>
        <v>75.840780111110035</v>
      </c>
      <c r="AC231" s="3">
        <f t="shared" ca="1" si="27"/>
        <v>0</v>
      </c>
    </row>
    <row r="232" spans="8:29">
      <c r="H232" t="b">
        <f t="shared" ca="1" si="24"/>
        <v>1</v>
      </c>
      <c r="I232" t="b">
        <f t="shared" ca="1" si="21"/>
        <v>1</v>
      </c>
      <c r="J232" s="2">
        <f ca="1"/>
        <v>45232</v>
      </c>
      <c r="K232">
        <f ca="1"/>
        <v>74.474861610704949</v>
      </c>
      <c r="L232">
        <f ca="1"/>
        <v>0.71450596950545986</v>
      </c>
      <c r="M232">
        <f ca="1"/>
        <v>2.1098410452573546E-3</v>
      </c>
      <c r="N232">
        <f ca="1"/>
        <v>8.7923551575213865E-2</v>
      </c>
      <c r="O232">
        <f ca="1"/>
        <v>0</v>
      </c>
      <c r="P232">
        <f ca="1"/>
        <v>45.778742951444592</v>
      </c>
      <c r="Q232">
        <f ca="1"/>
        <v>25.389489575210181</v>
      </c>
      <c r="R232">
        <f ca="1"/>
        <v>0</v>
      </c>
      <c r="S232">
        <f ca="1"/>
        <v>0.17022015351034456</v>
      </c>
      <c r="T232">
        <f ca="1"/>
        <v>0</v>
      </c>
      <c r="U232">
        <f ca="1"/>
        <v>0</v>
      </c>
      <c r="V232">
        <f ca="1"/>
        <v>0.75854589053449084</v>
      </c>
      <c r="X232" s="2">
        <f t="shared" ca="1" si="22"/>
        <v>45232</v>
      </c>
      <c r="Y232">
        <f t="shared" ca="1" si="23"/>
        <v>0</v>
      </c>
      <c r="AA232" s="63">
        <f t="shared" ca="1" si="25"/>
        <v>75.189367580210416</v>
      </c>
      <c r="AB232" s="63">
        <f t="shared" ca="1" si="26"/>
        <v>75.189367580210416</v>
      </c>
      <c r="AC232" s="3">
        <f t="shared" ca="1" si="27"/>
        <v>0</v>
      </c>
    </row>
    <row r="233" spans="8:29">
      <c r="H233" t="b">
        <f t="shared" ca="1" si="24"/>
        <v>1</v>
      </c>
      <c r="I233" t="b">
        <f t="shared" ca="1" si="21"/>
        <v>1</v>
      </c>
      <c r="J233" s="2">
        <f ca="1"/>
        <v>45233</v>
      </c>
      <c r="K233">
        <f ca="1"/>
        <v>73.829435678662293</v>
      </c>
      <c r="L233">
        <f ca="1"/>
        <v>0.73637625608649415</v>
      </c>
      <c r="M233">
        <f ca="1"/>
        <v>2.0320814335228476E-3</v>
      </c>
      <c r="N233">
        <f ca="1"/>
        <v>8.8918242610323217E-2</v>
      </c>
      <c r="O233">
        <f ca="1"/>
        <v>0</v>
      </c>
      <c r="P233">
        <f ca="1"/>
        <v>46.515119207531086</v>
      </c>
      <c r="Q233">
        <f ca="1"/>
        <v>25.797893477806863</v>
      </c>
      <c r="R233">
        <f ca="1"/>
        <v>0</v>
      </c>
      <c r="S233">
        <f ca="1"/>
        <v>0.16307461143415761</v>
      </c>
      <c r="T233">
        <f ca="1"/>
        <v>0</v>
      </c>
      <c r="U233">
        <f ca="1"/>
        <v>0</v>
      </c>
      <c r="V233">
        <f ca="1"/>
        <v>0.76634460390706438</v>
      </c>
      <c r="X233" s="2">
        <f t="shared" ca="1" si="22"/>
        <v>45233</v>
      </c>
      <c r="Y233">
        <f t="shared" ca="1" si="23"/>
        <v>0</v>
      </c>
      <c r="AA233" s="63">
        <f t="shared" ca="1" si="25"/>
        <v>74.565811934748794</v>
      </c>
      <c r="AB233" s="63">
        <f t="shared" ca="1" si="26"/>
        <v>74.56581193474878</v>
      </c>
      <c r="AC233" s="3">
        <f t="shared" ca="1" si="27"/>
        <v>0</v>
      </c>
    </row>
    <row r="234" spans="8:29">
      <c r="H234" t="b">
        <f t="shared" ca="1" si="24"/>
        <v>1</v>
      </c>
      <c r="I234" t="b">
        <f t="shared" ca="1" si="21"/>
        <v>1</v>
      </c>
      <c r="J234" s="2">
        <f ca="1"/>
        <v>45234</v>
      </c>
      <c r="K234">
        <f ca="1"/>
        <v>73.169666095865438</v>
      </c>
      <c r="L234">
        <f ca="1"/>
        <v>0.75074389802841779</v>
      </c>
      <c r="M234">
        <f ca="1"/>
        <v>1.9647727426708173E-3</v>
      </c>
      <c r="N234">
        <f ca="1"/>
        <v>8.9009542488896365E-2</v>
      </c>
      <c r="O234">
        <f ca="1"/>
        <v>0</v>
      </c>
      <c r="P234">
        <f ca="1"/>
        <v>47.265863105559504</v>
      </c>
      <c r="Q234">
        <f ca="1"/>
        <v>26.21426586253709</v>
      </c>
      <c r="R234">
        <f ca="1"/>
        <v>0</v>
      </c>
      <c r="S234">
        <f ca="1"/>
        <v>0.15832541525751676</v>
      </c>
      <c r="T234">
        <f ca="1"/>
        <v>0</v>
      </c>
      <c r="U234">
        <f ca="1"/>
        <v>0</v>
      </c>
      <c r="V234">
        <f ca="1"/>
        <v>0.77400135972727724</v>
      </c>
      <c r="X234" s="2">
        <f t="shared" ca="1" si="22"/>
        <v>45234</v>
      </c>
      <c r="Y234">
        <f t="shared" ca="1" si="23"/>
        <v>0</v>
      </c>
      <c r="AA234" s="63">
        <f t="shared" ca="1" si="25"/>
        <v>73.920409993893855</v>
      </c>
      <c r="AB234" s="63">
        <f t="shared" ca="1" si="26"/>
        <v>73.920409993893855</v>
      </c>
      <c r="AC234" s="3">
        <f t="shared" ca="1" si="27"/>
        <v>0</v>
      </c>
    </row>
    <row r="235" spans="8:29">
      <c r="H235" t="b">
        <f t="shared" ca="1" si="24"/>
        <v>1</v>
      </c>
      <c r="I235" t="b">
        <f t="shared" ca="1" si="21"/>
        <v>1</v>
      </c>
      <c r="J235" s="2">
        <f ca="1"/>
        <v>45235</v>
      </c>
      <c r="K235">
        <f ca="1"/>
        <v>72.508544679264531</v>
      </c>
      <c r="L235">
        <f ca="1"/>
        <v>0.75125004908007753</v>
      </c>
      <c r="M235">
        <f ca="1"/>
        <v>2.0047089445576205E-3</v>
      </c>
      <c r="N235">
        <f ca="1"/>
        <v>8.8123923534626863E-2</v>
      </c>
      <c r="O235">
        <f ca="1"/>
        <v>0</v>
      </c>
      <c r="P235">
        <f ca="1"/>
        <v>48.017113154639581</v>
      </c>
      <c r="Q235">
        <f ca="1"/>
        <v>26.630918965260452</v>
      </c>
      <c r="R235">
        <f ca="1"/>
        <v>0</v>
      </c>
      <c r="S235">
        <f ca="1"/>
        <v>0.16493279115387716</v>
      </c>
      <c r="T235">
        <f ca="1"/>
        <v>0</v>
      </c>
      <c r="U235">
        <f ca="1"/>
        <v>0</v>
      </c>
      <c r="V235">
        <f ca="1"/>
        <v>0.78137660497860872</v>
      </c>
      <c r="X235" s="2">
        <f t="shared" ca="1" si="22"/>
        <v>45235</v>
      </c>
      <c r="Y235">
        <f t="shared" ca="1" si="23"/>
        <v>0</v>
      </c>
      <c r="AA235" s="63">
        <f t="shared" ca="1" si="25"/>
        <v>73.259794728344616</v>
      </c>
      <c r="AB235" s="63">
        <f t="shared" ca="1" si="26"/>
        <v>73.259794728344616</v>
      </c>
      <c r="AC235" s="3">
        <f t="shared" ca="1" si="27"/>
        <v>0</v>
      </c>
    </row>
    <row r="236" spans="8:29">
      <c r="H236" t="b">
        <f t="shared" ca="1" si="24"/>
        <v>1</v>
      </c>
      <c r="I236" t="b">
        <f t="shared" ca="1" si="21"/>
        <v>1</v>
      </c>
      <c r="J236" s="2">
        <f ca="1"/>
        <v>45236</v>
      </c>
      <c r="K236">
        <f ca="1"/>
        <v>71.86334920477718</v>
      </c>
      <c r="L236">
        <f ca="1"/>
        <v>0.73110517007219755</v>
      </c>
      <c r="M236">
        <f ca="1"/>
        <v>1.9035320104219267E-3</v>
      </c>
      <c r="N236">
        <f ca="1"/>
        <v>8.4006163574435133E-2</v>
      </c>
      <c r="O236">
        <f ca="1"/>
        <v>0</v>
      </c>
      <c r="P236">
        <f ca="1"/>
        <v>48.748218324711779</v>
      </c>
      <c r="Q236">
        <f ca="1"/>
        <v>27.036399454613747</v>
      </c>
      <c r="R236">
        <f ca="1"/>
        <v>0</v>
      </c>
      <c r="S236">
        <f ca="1"/>
        <v>0.16369524356991938</v>
      </c>
      <c r="T236">
        <f ca="1"/>
        <v>0</v>
      </c>
      <c r="U236">
        <f ca="1"/>
        <v>0</v>
      </c>
      <c r="V236">
        <f ca="1"/>
        <v>0.78828871151991331</v>
      </c>
      <c r="X236" s="2">
        <f t="shared" ca="1" si="22"/>
        <v>45236</v>
      </c>
      <c r="Y236">
        <f t="shared" ca="1" si="23"/>
        <v>0</v>
      </c>
      <c r="AA236" s="63">
        <f t="shared" ca="1" si="25"/>
        <v>72.594454374849377</v>
      </c>
      <c r="AB236" s="63">
        <f t="shared" ca="1" si="26"/>
        <v>72.594454374849377</v>
      </c>
      <c r="AC236" s="3">
        <f t="shared" ca="1" si="27"/>
        <v>0</v>
      </c>
    </row>
    <row r="237" spans="8:29">
      <c r="H237" t="b">
        <f t="shared" ca="1" si="24"/>
        <v>1</v>
      </c>
      <c r="I237" t="b">
        <f t="shared" ca="1" si="21"/>
        <v>1</v>
      </c>
      <c r="J237" s="2">
        <f ca="1"/>
        <v>45237</v>
      </c>
      <c r="K237">
        <f ca="1"/>
        <v>71.194560169319288</v>
      </c>
      <c r="L237">
        <f ca="1"/>
        <v>0.75825280185615895</v>
      </c>
      <c r="M237">
        <f ca="1"/>
        <v>2.1009780658296506E-3</v>
      </c>
      <c r="N237">
        <f ca="1"/>
        <v>8.7362788332441349E-2</v>
      </c>
      <c r="O237">
        <f ca="1"/>
        <v>0</v>
      </c>
      <c r="P237">
        <f ca="1"/>
        <v>49.506471126567938</v>
      </c>
      <c r="Q237">
        <f ca="1"/>
        <v>27.456936375614838</v>
      </c>
      <c r="R237">
        <f ca="1"/>
        <v>0</v>
      </c>
      <c r="S237">
        <f ca="1"/>
        <v>0.17870980525501104</v>
      </c>
      <c r="T237">
        <f ca="1"/>
        <v>0</v>
      </c>
      <c r="U237">
        <f ca="1"/>
        <v>0</v>
      </c>
      <c r="V237">
        <f ca="1"/>
        <v>0.79519116129586842</v>
      </c>
      <c r="X237" s="2">
        <f t="shared" ca="1" si="22"/>
        <v>45237</v>
      </c>
      <c r="Y237">
        <f t="shared" ca="1" si="23"/>
        <v>0</v>
      </c>
      <c r="AA237" s="63">
        <f t="shared" ca="1" si="25"/>
        <v>71.952812971175447</v>
      </c>
      <c r="AB237" s="63">
        <f t="shared" ca="1" si="26"/>
        <v>71.952812971175447</v>
      </c>
      <c r="AC237" s="3">
        <f t="shared" ca="1" si="27"/>
        <v>0</v>
      </c>
    </row>
    <row r="238" spans="8:29">
      <c r="H238" t="b">
        <f t="shared" ca="1" si="24"/>
        <v>1</v>
      </c>
      <c r="I238" t="b">
        <f t="shared" ca="1" si="21"/>
        <v>1</v>
      </c>
      <c r="J238" s="2">
        <f ca="1"/>
        <v>45238</v>
      </c>
      <c r="K238">
        <f ca="1"/>
        <v>70.517053261578155</v>
      </c>
      <c r="L238">
        <f ca="1"/>
        <v>0.7659492920393447</v>
      </c>
      <c r="M238">
        <f ca="1"/>
        <v>1.9998730375867524E-3</v>
      </c>
      <c r="N238">
        <f ca="1"/>
        <v>8.6442511260628102E-2</v>
      </c>
      <c r="O238">
        <f ca="1"/>
        <v>0</v>
      </c>
      <c r="P238">
        <f ca="1"/>
        <v>50.272420418607282</v>
      </c>
      <c r="Q238">
        <f ca="1"/>
        <v>27.881741870732938</v>
      </c>
      <c r="R238">
        <f ca="1"/>
        <v>0</v>
      </c>
      <c r="S238">
        <f ca="1"/>
        <v>0.17219805801858321</v>
      </c>
      <c r="T238">
        <f ca="1"/>
        <v>0</v>
      </c>
      <c r="U238">
        <f ca="1"/>
        <v>0</v>
      </c>
      <c r="V238">
        <f ca="1"/>
        <v>0.80189872674240248</v>
      </c>
      <c r="X238" s="2">
        <f t="shared" ca="1" si="22"/>
        <v>45238</v>
      </c>
      <c r="Y238">
        <f t="shared" ca="1" si="23"/>
        <v>0</v>
      </c>
      <c r="AA238" s="63">
        <f t="shared" ca="1" si="25"/>
        <v>71.283002553617507</v>
      </c>
      <c r="AB238" s="63">
        <f t="shared" ca="1" si="26"/>
        <v>71.283002553617507</v>
      </c>
      <c r="AC238" s="3">
        <f t="shared" ca="1" si="27"/>
        <v>0</v>
      </c>
    </row>
    <row r="239" spans="8:29">
      <c r="H239" t="b">
        <f t="shared" ca="1" si="24"/>
        <v>1</v>
      </c>
      <c r="I239" t="b">
        <f t="shared" ca="1" si="21"/>
        <v>1</v>
      </c>
      <c r="J239" s="2">
        <f ca="1"/>
        <v>45239</v>
      </c>
      <c r="K239">
        <f ca="1"/>
        <v>69.813624079789989</v>
      </c>
      <c r="L239">
        <f ca="1"/>
        <v>0.79358373671902882</v>
      </c>
      <c r="M239">
        <f ca="1"/>
        <v>1.9671853483025359E-3</v>
      </c>
      <c r="N239">
        <f ca="1"/>
        <v>8.8187369582556074E-2</v>
      </c>
      <c r="O239">
        <f ca="1"/>
        <v>0</v>
      </c>
      <c r="P239">
        <f ca="1"/>
        <v>51.066004155326311</v>
      </c>
      <c r="Q239">
        <f ca="1"/>
        <v>28.321873790297762</v>
      </c>
      <c r="R239">
        <f ca="1"/>
        <v>0</v>
      </c>
      <c r="S239">
        <f ca="1"/>
        <v>0.16766368645634247</v>
      </c>
      <c r="T239">
        <f ca="1"/>
        <v>0</v>
      </c>
      <c r="U239">
        <f ca="1"/>
        <v>0</v>
      </c>
      <c r="V239">
        <f ca="1"/>
        <v>0.80857842711841132</v>
      </c>
      <c r="X239" s="2">
        <f t="shared" ca="1" si="22"/>
        <v>45239</v>
      </c>
      <c r="Y239">
        <f t="shared" ca="1" si="23"/>
        <v>0</v>
      </c>
      <c r="AA239" s="63">
        <f t="shared" ca="1" si="25"/>
        <v>70.607207816509018</v>
      </c>
      <c r="AB239" s="63">
        <f t="shared" ca="1" si="26"/>
        <v>70.607207816509018</v>
      </c>
      <c r="AC239" s="3">
        <f t="shared" ca="1" si="27"/>
        <v>0</v>
      </c>
    </row>
    <row r="240" spans="8:29">
      <c r="H240" t="b">
        <f t="shared" ca="1" si="24"/>
        <v>1</v>
      </c>
      <c r="I240" t="b">
        <f t="shared" ca="1" si="21"/>
        <v>1</v>
      </c>
      <c r="J240" s="2">
        <f ca="1"/>
        <v>45240</v>
      </c>
      <c r="K240">
        <f ca="1"/>
        <v>69.014588600767055</v>
      </c>
      <c r="L240">
        <f ca="1"/>
        <v>0.90055663369938088</v>
      </c>
      <c r="M240">
        <f ca="1"/>
        <v>2.0163163598425626E-3</v>
      </c>
      <c r="N240">
        <f ca="1"/>
        <v>9.950483831661E-2</v>
      </c>
      <c r="O240">
        <f ca="1"/>
        <v>0</v>
      </c>
      <c r="P240">
        <f ca="1"/>
        <v>51.966560789025692</v>
      </c>
      <c r="Q240">
        <f ca="1"/>
        <v>28.821334277612767</v>
      </c>
      <c r="R240">
        <f ca="1"/>
        <v>0</v>
      </c>
      <c r="S240">
        <f ca="1"/>
        <v>0.15611106427488541</v>
      </c>
      <c r="T240">
        <f ca="1"/>
        <v>0</v>
      </c>
      <c r="U240">
        <f ca="1"/>
        <v>0</v>
      </c>
      <c r="V240">
        <f ca="1"/>
        <v>0.81583982529000354</v>
      </c>
      <c r="X240" s="2">
        <f t="shared" ca="1" si="22"/>
        <v>45240</v>
      </c>
      <c r="Y240">
        <f t="shared" ca="1" si="23"/>
        <v>0</v>
      </c>
      <c r="AA240" s="63">
        <f t="shared" ca="1" si="25"/>
        <v>69.915145234466436</v>
      </c>
      <c r="AB240" s="63">
        <f t="shared" ca="1" si="26"/>
        <v>69.915145234466436</v>
      </c>
      <c r="AC240" s="3">
        <f t="shared" ca="1" si="27"/>
        <v>0</v>
      </c>
    </row>
    <row r="241" spans="8:29">
      <c r="H241" t="b">
        <f t="shared" ca="1" si="24"/>
        <v>1</v>
      </c>
      <c r="I241" t="b">
        <f t="shared" ca="1" si="21"/>
        <v>1</v>
      </c>
      <c r="J241" s="2">
        <f ca="1"/>
        <v>45241</v>
      </c>
      <c r="K241">
        <f ca="1"/>
        <v>68.238155661914647</v>
      </c>
      <c r="L241">
        <f ca="1"/>
        <v>0.87187700948368985</v>
      </c>
      <c r="M241">
        <f ca="1"/>
        <v>1.855059727754238E-3</v>
      </c>
      <c r="N241">
        <f ca="1"/>
        <v>9.3589010903523728E-2</v>
      </c>
      <c r="O241">
        <f ca="1"/>
        <v>0</v>
      </c>
      <c r="P241">
        <f ca="1"/>
        <v>52.838437798509382</v>
      </c>
      <c r="Q241">
        <f ca="1"/>
        <v>29.304888670240604</v>
      </c>
      <c r="R241">
        <f ca="1"/>
        <v>0</v>
      </c>
      <c r="S241">
        <f ca="1"/>
        <v>0.15172526785173793</v>
      </c>
      <c r="T241">
        <f ca="1"/>
        <v>0</v>
      </c>
      <c r="U241">
        <f ca="1"/>
        <v>0</v>
      </c>
      <c r="V241">
        <f ca="1"/>
        <v>0.82256142566328949</v>
      </c>
      <c r="X241" s="2">
        <f t="shared" ca="1" si="22"/>
        <v>45241</v>
      </c>
      <c r="Y241">
        <f t="shared" ca="1" si="23"/>
        <v>0</v>
      </c>
      <c r="AA241" s="63">
        <f t="shared" ca="1" si="25"/>
        <v>69.110032671398343</v>
      </c>
      <c r="AB241" s="63">
        <f t="shared" ca="1" si="26"/>
        <v>69.110032671398329</v>
      </c>
      <c r="AC241" s="3">
        <f t="shared" ca="1" si="27"/>
        <v>0</v>
      </c>
    </row>
    <row r="242" spans="8:29">
      <c r="H242" t="b">
        <f t="shared" ca="1" si="24"/>
        <v>1</v>
      </c>
      <c r="I242" t="b">
        <f t="shared" ca="1" si="21"/>
        <v>1</v>
      </c>
      <c r="J242" s="2">
        <f ca="1"/>
        <v>45242</v>
      </c>
      <c r="K242">
        <f ca="1"/>
        <v>67.470501610785931</v>
      </c>
      <c r="L242">
        <f ca="1"/>
        <v>0.86164079145938643</v>
      </c>
      <c r="M242">
        <f ca="1"/>
        <v>1.9819556685387596E-3</v>
      </c>
      <c r="N242">
        <f ca="1"/>
        <v>9.2004784662130509E-2</v>
      </c>
      <c r="O242">
        <f ca="1"/>
        <v>0</v>
      </c>
      <c r="P242">
        <f ca="1"/>
        <v>53.700078589968768</v>
      </c>
      <c r="Q242">
        <f ca="1"/>
        <v>29.782765922473967</v>
      </c>
      <c r="R242">
        <f ca="1"/>
        <v>0</v>
      </c>
      <c r="S242">
        <f ca="1"/>
        <v>0.16760221568712669</v>
      </c>
      <c r="T242">
        <f ca="1"/>
        <v>0</v>
      </c>
      <c r="U242">
        <f ca="1"/>
        <v>0</v>
      </c>
      <c r="V242">
        <f ca="1"/>
        <v>0.8289195319352749</v>
      </c>
      <c r="X242" s="2">
        <f t="shared" ca="1" si="22"/>
        <v>45242</v>
      </c>
      <c r="Y242">
        <f t="shared" ca="1" si="23"/>
        <v>0</v>
      </c>
      <c r="AA242" s="63">
        <f t="shared" ca="1" si="25"/>
        <v>68.332142402245324</v>
      </c>
      <c r="AB242" s="63">
        <f t="shared" ca="1" si="26"/>
        <v>68.332142402245324</v>
      </c>
      <c r="AC242" s="3">
        <f t="shared" ca="1" si="27"/>
        <v>0</v>
      </c>
    </row>
    <row r="243" spans="8:29">
      <c r="H243" t="b">
        <f t="shared" ca="1" si="24"/>
        <v>1</v>
      </c>
      <c r="I243" t="b">
        <f t="shared" ca="1" si="21"/>
        <v>1</v>
      </c>
      <c r="J243" s="2">
        <f ca="1"/>
        <v>45243</v>
      </c>
      <c r="K243">
        <f ca="1"/>
        <v>66.741189638242162</v>
      </c>
      <c r="L243">
        <f ca="1"/>
        <v>0.81610924935663576</v>
      </c>
      <c r="M243">
        <f ca="1"/>
        <v>1.8335553160628848E-3</v>
      </c>
      <c r="N243">
        <f ca="1"/>
        <v>8.4963721496811598E-2</v>
      </c>
      <c r="O243">
        <f ca="1"/>
        <v>0</v>
      </c>
      <c r="P243">
        <f ca="1"/>
        <v>54.516187839325404</v>
      </c>
      <c r="Q243">
        <f ca="1"/>
        <v>30.235390785955918</v>
      </c>
      <c r="R243">
        <f ca="1"/>
        <v>0</v>
      </c>
      <c r="S243">
        <f ca="1"/>
        <v>0.16619676624701629</v>
      </c>
      <c r="T243">
        <f ca="1"/>
        <v>0</v>
      </c>
      <c r="U243">
        <f ca="1"/>
        <v>0</v>
      </c>
      <c r="V243">
        <f ca="1"/>
        <v>0.83469243978181717</v>
      </c>
      <c r="X243" s="2">
        <f t="shared" ca="1" si="22"/>
        <v>45243</v>
      </c>
      <c r="Y243">
        <f t="shared" ca="1" si="23"/>
        <v>0</v>
      </c>
      <c r="AA243" s="63">
        <f t="shared" ca="1" si="25"/>
        <v>67.557298887598805</v>
      </c>
      <c r="AB243" s="63">
        <f t="shared" ca="1" si="26"/>
        <v>67.55729888759879</v>
      </c>
      <c r="AC243" s="3">
        <f t="shared" ca="1" si="27"/>
        <v>0</v>
      </c>
    </row>
    <row r="244" spans="8:29">
      <c r="H244" t="b">
        <f t="shared" ca="1" si="24"/>
        <v>1</v>
      </c>
      <c r="I244" t="b">
        <f t="shared" ca="1" si="21"/>
        <v>1</v>
      </c>
      <c r="J244" s="2">
        <f ca="1"/>
        <v>45244</v>
      </c>
      <c r="K244">
        <f ca="1"/>
        <v>65.965086872827428</v>
      </c>
      <c r="L244">
        <f ca="1"/>
        <v>0.86622631995864197</v>
      </c>
      <c r="M244">
        <f ca="1"/>
        <v>1.7368805638646734E-3</v>
      </c>
      <c r="N244">
        <f ca="1"/>
        <v>8.8386673980034733E-2</v>
      </c>
      <c r="O244">
        <f ca="1"/>
        <v>0</v>
      </c>
      <c r="P244">
        <f ca="1"/>
        <v>55.382414159284046</v>
      </c>
      <c r="Q244">
        <f ca="1"/>
        <v>30.715811232268514</v>
      </c>
      <c r="R244">
        <f ca="1"/>
        <v>0</v>
      </c>
      <c r="S244">
        <f ca="1"/>
        <v>0.15243292125427896</v>
      </c>
      <c r="T244">
        <f ca="1"/>
        <v>0</v>
      </c>
      <c r="U244">
        <f ca="1"/>
        <v>0</v>
      </c>
      <c r="V244">
        <f ca="1"/>
        <v>0.84056650479208994</v>
      </c>
      <c r="X244" s="2">
        <f t="shared" ca="1" si="22"/>
        <v>45244</v>
      </c>
      <c r="Y244">
        <f t="shared" ca="1" si="23"/>
        <v>0</v>
      </c>
      <c r="AA244" s="63">
        <f t="shared" ca="1" si="25"/>
        <v>66.83131319278607</v>
      </c>
      <c r="AB244" s="63">
        <f t="shared" ca="1" si="26"/>
        <v>66.83131319278607</v>
      </c>
      <c r="AC244" s="3">
        <f t="shared" ca="1" si="27"/>
        <v>0</v>
      </c>
    </row>
    <row r="245" spans="8:29">
      <c r="H245" t="b">
        <f t="shared" ca="1" si="24"/>
        <v>1</v>
      </c>
      <c r="I245" t="b">
        <f t="shared" ca="1" si="21"/>
        <v>1</v>
      </c>
      <c r="J245" s="2">
        <f ca="1"/>
        <v>45245</v>
      </c>
      <c r="K245">
        <f ca="1"/>
        <v>65.149813909056959</v>
      </c>
      <c r="L245">
        <f ca="1"/>
        <v>0.90791483151058117</v>
      </c>
      <c r="M245">
        <f ca="1"/>
        <v>1.6577290101000841E-3</v>
      </c>
      <c r="N245">
        <f ca="1"/>
        <v>9.098413873001418E-2</v>
      </c>
      <c r="O245">
        <f ca="1"/>
        <v>0</v>
      </c>
      <c r="P245">
        <f ca="1"/>
        <v>56.290328990794627</v>
      </c>
      <c r="Q245">
        <f ca="1"/>
        <v>31.219352672326544</v>
      </c>
      <c r="R245">
        <f ca="1"/>
        <v>0</v>
      </c>
      <c r="S245">
        <f ca="1"/>
        <v>0.14228823763947579</v>
      </c>
      <c r="T245">
        <f ca="1"/>
        <v>0</v>
      </c>
      <c r="U245">
        <f ca="1"/>
        <v>0</v>
      </c>
      <c r="V245">
        <f ca="1"/>
        <v>0.8464560617853264</v>
      </c>
      <c r="X245" s="2">
        <f t="shared" ca="1" si="22"/>
        <v>45245</v>
      </c>
      <c r="Y245">
        <f t="shared" ca="1" si="23"/>
        <v>0</v>
      </c>
      <c r="AA245" s="63">
        <f t="shared" ca="1" si="25"/>
        <v>66.057728740567541</v>
      </c>
      <c r="AB245" s="63">
        <f t="shared" ca="1" si="26"/>
        <v>66.057728740567541</v>
      </c>
      <c r="AC245" s="3">
        <f t="shared" ca="1" si="27"/>
        <v>0</v>
      </c>
    </row>
    <row r="246" spans="8:29">
      <c r="H246" t="b">
        <f t="shared" ca="1" si="24"/>
        <v>1</v>
      </c>
      <c r="I246" t="b">
        <f t="shared" ca="1" si="21"/>
        <v>1</v>
      </c>
      <c r="J246" s="2">
        <f ca="1"/>
        <v>45246</v>
      </c>
      <c r="K246">
        <f ca="1"/>
        <v>64.301374615858236</v>
      </c>
      <c r="L246">
        <f ca="1"/>
        <v>0.94480977066148597</v>
      </c>
      <c r="M246">
        <f ca="1"/>
        <v>1.8071141696562876E-3</v>
      </c>
      <c r="N246">
        <f ca="1"/>
        <v>9.4563363293111685E-2</v>
      </c>
      <c r="O246">
        <f ca="1"/>
        <v>0</v>
      </c>
      <c r="P246">
        <f ca="1"/>
        <v>57.235138761456113</v>
      </c>
      <c r="Q246">
        <f ca="1"/>
        <v>31.743356528181859</v>
      </c>
      <c r="R246">
        <f ca="1"/>
        <v>0</v>
      </c>
      <c r="S246">
        <f ca="1"/>
        <v>0.15268142898188178</v>
      </c>
      <c r="T246">
        <f ca="1"/>
        <v>0</v>
      </c>
      <c r="U246">
        <f ca="1"/>
        <v>0</v>
      </c>
      <c r="V246">
        <f ca="1"/>
        <v>0.85230857826881168</v>
      </c>
      <c r="X246" s="2">
        <f t="shared" ca="1" si="22"/>
        <v>45246</v>
      </c>
      <c r="Y246">
        <f t="shared" ca="1" si="23"/>
        <v>0</v>
      </c>
      <c r="AA246" s="63">
        <f t="shared" ca="1" si="25"/>
        <v>65.246184386519715</v>
      </c>
      <c r="AB246" s="63">
        <f t="shared" ca="1" si="26"/>
        <v>65.24618438651973</v>
      </c>
      <c r="AC246" s="3">
        <f t="shared" ca="1" si="27"/>
        <v>0</v>
      </c>
    </row>
    <row r="247" spans="8:29">
      <c r="H247" t="b">
        <f t="shared" ca="1" si="24"/>
        <v>1</v>
      </c>
      <c r="I247" t="b">
        <f t="shared" ca="1" si="21"/>
        <v>1</v>
      </c>
      <c r="J247" s="2">
        <f ca="1"/>
        <v>45247</v>
      </c>
      <c r="K247">
        <f ca="1"/>
        <v>63.493687537827824</v>
      </c>
      <c r="L247">
        <f ca="1"/>
        <v>0.89733298491771052</v>
      </c>
      <c r="M247">
        <f ca="1"/>
        <v>1.7376661083279288E-3</v>
      </c>
      <c r="N247">
        <f ca="1"/>
        <v>8.7908240778976743E-2</v>
      </c>
      <c r="O247">
        <f ca="1"/>
        <v>0</v>
      </c>
      <c r="P247">
        <f ca="1"/>
        <v>58.132471746373824</v>
      </c>
      <c r="Q247">
        <f ca="1"/>
        <v>32.241029137720858</v>
      </c>
      <c r="R247">
        <f ca="1"/>
        <v>0</v>
      </c>
      <c r="S247">
        <f ca="1"/>
        <v>0.15730302579725233</v>
      </c>
      <c r="T247">
        <f ca="1"/>
        <v>0</v>
      </c>
      <c r="U247">
        <f ca="1"/>
        <v>0</v>
      </c>
      <c r="V247">
        <f ca="1"/>
        <v>0.85761879041264288</v>
      </c>
      <c r="X247" s="2">
        <f t="shared" ca="1" si="22"/>
        <v>45247</v>
      </c>
      <c r="Y247">
        <f t="shared" ca="1" si="23"/>
        <v>0</v>
      </c>
      <c r="AA247" s="63">
        <f t="shared" ca="1" si="25"/>
        <v>64.391020522745535</v>
      </c>
      <c r="AB247" s="63">
        <f t="shared" ca="1" si="26"/>
        <v>64.391020522745535</v>
      </c>
      <c r="AC247" s="3">
        <f t="shared" ca="1" si="27"/>
        <v>0</v>
      </c>
    </row>
    <row r="248" spans="8:29">
      <c r="H248" t="b">
        <f t="shared" ca="1" si="24"/>
        <v>1</v>
      </c>
      <c r="I248" t="b">
        <f t="shared" ca="1" si="21"/>
        <v>1</v>
      </c>
      <c r="J248" s="2">
        <f ca="1"/>
        <v>45248</v>
      </c>
      <c r="K248">
        <f ca="1"/>
        <v>62.708740633998659</v>
      </c>
      <c r="L248">
        <f ca="1"/>
        <v>0.87228007701243371</v>
      </c>
      <c r="M248">
        <f ca="1"/>
        <v>1.8819027997878379E-3</v>
      </c>
      <c r="N248">
        <f ca="1"/>
        <v>8.5451270383481798E-2</v>
      </c>
      <c r="O248">
        <f ca="1"/>
        <v>0</v>
      </c>
      <c r="P248">
        <f ca="1"/>
        <v>59.004751823386258</v>
      </c>
      <c r="Q248">
        <f ca="1"/>
        <v>32.724807076871805</v>
      </c>
      <c r="R248">
        <f ca="1"/>
        <v>0</v>
      </c>
      <c r="S248">
        <f ca="1"/>
        <v>0.17819642316452333</v>
      </c>
      <c r="T248">
        <f ca="1"/>
        <v>0</v>
      </c>
      <c r="U248">
        <f ca="1"/>
        <v>0</v>
      </c>
      <c r="V248">
        <f ca="1"/>
        <v>0.86256018652298494</v>
      </c>
      <c r="X248" s="2">
        <f t="shared" ca="1" si="22"/>
        <v>45248</v>
      </c>
      <c r="Y248">
        <f t="shared" ca="1" si="23"/>
        <v>0</v>
      </c>
      <c r="AA248" s="63">
        <f t="shared" ca="1" si="25"/>
        <v>63.581020711011092</v>
      </c>
      <c r="AB248" s="63">
        <f t="shared" ca="1" si="26"/>
        <v>63.581020711011092</v>
      </c>
      <c r="AC248" s="3">
        <f t="shared" ca="1" si="27"/>
        <v>0</v>
      </c>
    </row>
    <row r="249" spans="8:29">
      <c r="H249" t="b">
        <f t="shared" ca="1" si="24"/>
        <v>1</v>
      </c>
      <c r="I249" t="b">
        <f t="shared" ca="1" si="21"/>
        <v>1</v>
      </c>
      <c r="J249" s="2">
        <f ca="1"/>
        <v>45249</v>
      </c>
      <c r="K249">
        <f ca="1"/>
        <v>61.926837471864388</v>
      </c>
      <c r="L249">
        <f ca="1"/>
        <v>0.86959396127578259</v>
      </c>
      <c r="M249">
        <f ca="1"/>
        <v>2.0566819983471873E-3</v>
      </c>
      <c r="N249">
        <f ca="1"/>
        <v>8.5634117143168056E-2</v>
      </c>
      <c r="O249">
        <f ca="1"/>
        <v>0</v>
      </c>
      <c r="P249">
        <f ca="1"/>
        <v>59.87434578466204</v>
      </c>
      <c r="Q249">
        <f ca="1"/>
        <v>33.207095261103838</v>
      </c>
      <c r="R249">
        <f ca="1"/>
        <v>0</v>
      </c>
      <c r="S249">
        <f ca="1"/>
        <v>0.19925447882070974</v>
      </c>
      <c r="T249">
        <f ca="1"/>
        <v>0</v>
      </c>
      <c r="U249">
        <f ca="1"/>
        <v>0</v>
      </c>
      <c r="V249">
        <f ca="1"/>
        <v>0.86728014268582199</v>
      </c>
      <c r="X249" s="2">
        <f t="shared" ca="1" si="22"/>
        <v>45249</v>
      </c>
      <c r="Y249">
        <f t="shared" ca="1" si="23"/>
        <v>0</v>
      </c>
      <c r="AA249" s="63">
        <f t="shared" ca="1" si="25"/>
        <v>62.796431433140171</v>
      </c>
      <c r="AB249" s="63">
        <f t="shared" ca="1" si="26"/>
        <v>62.796431433140171</v>
      </c>
      <c r="AC249" s="3">
        <f t="shared" ca="1" si="27"/>
        <v>0</v>
      </c>
    </row>
    <row r="250" spans="8:29">
      <c r="H250" t="b">
        <f t="shared" ca="1" si="24"/>
        <v>1</v>
      </c>
      <c r="I250" t="b">
        <f t="shared" ca="1" si="21"/>
        <v>1</v>
      </c>
      <c r="J250" s="2">
        <f ca="1"/>
        <v>45250</v>
      </c>
      <c r="K250">
        <f ca="1"/>
        <v>61.075797605387834</v>
      </c>
      <c r="L250">
        <f ca="1"/>
        <v>0.94597659218869978</v>
      </c>
      <c r="M250">
        <f ca="1"/>
        <v>2.1676710209028727E-3</v>
      </c>
      <c r="N250">
        <f ca="1"/>
        <v>9.2769054691247244E-2</v>
      </c>
      <c r="O250">
        <f ca="1"/>
        <v>0</v>
      </c>
      <c r="P250">
        <f ca="1"/>
        <v>60.82032237685074</v>
      </c>
      <c r="Q250">
        <f ca="1"/>
        <v>33.731746251438857</v>
      </c>
      <c r="R250">
        <f ca="1"/>
        <v>0</v>
      </c>
      <c r="S250">
        <f ca="1"/>
        <v>0.19937778962309402</v>
      </c>
      <c r="T250">
        <f ca="1"/>
        <v>0</v>
      </c>
      <c r="U250">
        <f ca="1"/>
        <v>0</v>
      </c>
      <c r="V250">
        <f ca="1"/>
        <v>0.87219208598949893</v>
      </c>
      <c r="X250" s="2">
        <f t="shared" ca="1" si="22"/>
        <v>45250</v>
      </c>
      <c r="Y250">
        <f t="shared" ca="1" si="23"/>
        <v>0</v>
      </c>
      <c r="AA250" s="63">
        <f t="shared" ca="1" si="25"/>
        <v>62.021774197576534</v>
      </c>
      <c r="AB250" s="63">
        <f t="shared" ca="1" si="26"/>
        <v>62.021774197576534</v>
      </c>
      <c r="AC250" s="3">
        <f t="shared" ca="1" si="27"/>
        <v>0</v>
      </c>
    </row>
    <row r="251" spans="8:29">
      <c r="H251" t="b">
        <f t="shared" ca="1" si="24"/>
        <v>1</v>
      </c>
      <c r="I251" t="b">
        <f t="shared" ca="1" si="21"/>
        <v>1</v>
      </c>
      <c r="J251" s="2">
        <f ca="1"/>
        <v>45251</v>
      </c>
      <c r="K251">
        <f ca="1"/>
        <v>60.219428914492575</v>
      </c>
      <c r="L251">
        <f ca="1"/>
        <v>0.95263388261274429</v>
      </c>
      <c r="M251">
        <f ca="1"/>
        <v>2.3472146393519466E-3</v>
      </c>
      <c r="N251">
        <f ca="1"/>
        <v>9.3917977078133513E-2</v>
      </c>
      <c r="O251">
        <f ca="1"/>
        <v>0</v>
      </c>
      <c r="P251">
        <f ca="1"/>
        <v>61.772956259463484</v>
      </c>
      <c r="Q251">
        <f ca="1"/>
        <v>34.260089462112909</v>
      </c>
      <c r="R251">
        <f ca="1"/>
        <v>0</v>
      </c>
      <c r="S251">
        <f ca="1"/>
        <v>0.21953690181143698</v>
      </c>
      <c r="T251">
        <f ca="1"/>
        <v>0</v>
      </c>
      <c r="U251">
        <f ca="1"/>
        <v>0</v>
      </c>
      <c r="V251">
        <f ca="1"/>
        <v>0.87691575953344025</v>
      </c>
      <c r="X251" s="2">
        <f t="shared" ca="1" si="22"/>
        <v>45251</v>
      </c>
      <c r="Y251">
        <f t="shared" ca="1" si="23"/>
        <v>0</v>
      </c>
      <c r="AA251" s="63">
        <f t="shared" ca="1" si="25"/>
        <v>61.172062797105319</v>
      </c>
      <c r="AB251" s="63">
        <f t="shared" ca="1" si="26"/>
        <v>61.172062797105319</v>
      </c>
      <c r="AC251" s="3">
        <f t="shared" ca="1" si="27"/>
        <v>0</v>
      </c>
    </row>
    <row r="252" spans="8:29">
      <c r="H252" t="b">
        <f t="shared" ca="1" si="24"/>
        <v>1</v>
      </c>
      <c r="I252" t="b">
        <f t="shared" ca="1" si="21"/>
        <v>1</v>
      </c>
      <c r="J252" s="2">
        <f ca="1"/>
        <v>45252</v>
      </c>
      <c r="K252">
        <f ca="1"/>
        <v>59.395505492511859</v>
      </c>
      <c r="L252">
        <f ca="1"/>
        <v>0.9141410059480819</v>
      </c>
      <c r="M252">
        <f ca="1"/>
        <v>2.1863059952433872E-3</v>
      </c>
      <c r="N252">
        <f ca="1"/>
        <v>8.8031277972121083E-2</v>
      </c>
      <c r="O252">
        <f ca="1"/>
        <v>0</v>
      </c>
      <c r="P252">
        <f ca="1"/>
        <v>62.687097265411566</v>
      </c>
      <c r="Q252">
        <f ca="1"/>
        <v>34.767084019945315</v>
      </c>
      <c r="R252">
        <f ca="1"/>
        <v>0</v>
      </c>
      <c r="S252">
        <f ca="1"/>
        <v>0.21679788230935185</v>
      </c>
      <c r="T252">
        <f ca="1"/>
        <v>0</v>
      </c>
      <c r="U252">
        <f ca="1"/>
        <v>0</v>
      </c>
      <c r="V252">
        <f ca="1"/>
        <v>0.88124886426527771</v>
      </c>
      <c r="X252" s="2">
        <f t="shared" ca="1" si="22"/>
        <v>45252</v>
      </c>
      <c r="Y252">
        <f t="shared" ca="1" si="23"/>
        <v>0</v>
      </c>
      <c r="AA252" s="63">
        <f t="shared" ca="1" si="25"/>
        <v>60.309646498459941</v>
      </c>
      <c r="AB252" s="63">
        <f t="shared" ca="1" si="26"/>
        <v>60.309646498459941</v>
      </c>
      <c r="AC252" s="3">
        <f t="shared" ca="1" si="27"/>
        <v>0</v>
      </c>
    </row>
    <row r="253" spans="8:29">
      <c r="H253" t="b">
        <f t="shared" ca="1" si="24"/>
        <v>1</v>
      </c>
      <c r="I253" t="b">
        <f t="shared" ca="1" si="21"/>
        <v>1</v>
      </c>
      <c r="J253" s="2">
        <f ca="1"/>
        <v>45253</v>
      </c>
      <c r="K253">
        <f ca="1"/>
        <v>58.467876005119301</v>
      </c>
      <c r="L253">
        <f ca="1"/>
        <v>1.0280236822550322</v>
      </c>
      <c r="M253">
        <f ca="1"/>
        <v>2.2620056923621235E-3</v>
      </c>
      <c r="N253">
        <f ca="1"/>
        <v>9.8132189170111517E-2</v>
      </c>
      <c r="O253">
        <f ca="1"/>
        <v>0</v>
      </c>
      <c r="P253">
        <f ca="1"/>
        <v>63.715120947666598</v>
      </c>
      <c r="Q253">
        <f ca="1"/>
        <v>35.337239399514552</v>
      </c>
      <c r="R253">
        <f ca="1"/>
        <v>0</v>
      </c>
      <c r="S253">
        <f ca="1"/>
        <v>0.20657135267752472</v>
      </c>
      <c r="T253">
        <f ca="1"/>
        <v>0</v>
      </c>
      <c r="U253">
        <f ca="1"/>
        <v>0</v>
      </c>
      <c r="V253">
        <f ca="1"/>
        <v>0.88590016492539214</v>
      </c>
      <c r="X253" s="2">
        <f t="shared" ca="1" si="22"/>
        <v>45253</v>
      </c>
      <c r="Y253">
        <f t="shared" ca="1" si="23"/>
        <v>0</v>
      </c>
      <c r="AA253" s="63">
        <f t="shared" ca="1" si="25"/>
        <v>59.495899687374326</v>
      </c>
      <c r="AB253" s="63">
        <f t="shared" ca="1" si="26"/>
        <v>59.495899687374333</v>
      </c>
      <c r="AC253" s="3">
        <f t="shared" ca="1" si="27"/>
        <v>0</v>
      </c>
    </row>
    <row r="254" spans="8:29">
      <c r="H254" t="b">
        <f t="shared" ca="1" si="24"/>
        <v>1</v>
      </c>
      <c r="I254" t="b">
        <f t="shared" ca="1" si="21"/>
        <v>1</v>
      </c>
      <c r="J254" s="2">
        <f ca="1"/>
        <v>45254</v>
      </c>
      <c r="K254">
        <f ca="1"/>
        <v>57.504743907097911</v>
      </c>
      <c r="L254">
        <f ca="1"/>
        <v>1.0653360336729847</v>
      </c>
      <c r="M254">
        <f ca="1"/>
        <v>2.2135473687701079E-3</v>
      </c>
      <c r="N254">
        <f ca="1"/>
        <v>9.99903882828235E-2</v>
      </c>
      <c r="O254">
        <f ca="1"/>
        <v>0</v>
      </c>
      <c r="P254">
        <f ca="1"/>
        <v>64.780456981339583</v>
      </c>
      <c r="Q254">
        <f ca="1"/>
        <v>35.928088697183661</v>
      </c>
      <c r="R254">
        <f ca="1"/>
        <v>0</v>
      </c>
      <c r="S254">
        <f ca="1"/>
        <v>0.20024972337581765</v>
      </c>
      <c r="T254">
        <f ca="1"/>
        <v>0</v>
      </c>
      <c r="U254">
        <f ca="1"/>
        <v>0</v>
      </c>
      <c r="V254">
        <f ca="1"/>
        <v>0.89048594243334567</v>
      </c>
      <c r="X254" s="2">
        <f t="shared" ca="1" si="22"/>
        <v>45254</v>
      </c>
      <c r="Y254">
        <f t="shared" ca="1" si="23"/>
        <v>0</v>
      </c>
      <c r="AA254" s="63">
        <f t="shared" ca="1" si="25"/>
        <v>58.570079940770896</v>
      </c>
      <c r="AB254" s="63">
        <f t="shared" ca="1" si="26"/>
        <v>58.570079940770896</v>
      </c>
      <c r="AC254" s="3">
        <f t="shared" ca="1" si="27"/>
        <v>0</v>
      </c>
    </row>
    <row r="255" spans="8:29">
      <c r="H255" t="b">
        <f t="shared" ca="1" si="24"/>
        <v>1</v>
      </c>
      <c r="I255" t="b">
        <f t="shared" ca="1" si="21"/>
        <v>1</v>
      </c>
      <c r="J255" s="2">
        <f ca="1"/>
        <v>45255</v>
      </c>
      <c r="K255">
        <f ca="1"/>
        <v>56.505455067131244</v>
      </c>
      <c r="L255">
        <f ca="1"/>
        <v>1.1069258998594051</v>
      </c>
      <c r="M255">
        <f ca="1"/>
        <v>2.4845114928826462E-3</v>
      </c>
      <c r="N255">
        <f ca="1"/>
        <v>0.1051525483998548</v>
      </c>
      <c r="O255">
        <f ca="1"/>
        <v>0</v>
      </c>
      <c r="P255">
        <f ca="1"/>
        <v>65.887382881198988</v>
      </c>
      <c r="Q255">
        <f ca="1"/>
        <v>36.542004278588323</v>
      </c>
      <c r="R255">
        <f ca="1"/>
        <v>0</v>
      </c>
      <c r="S255">
        <f ca="1"/>
        <v>0.22217782962004626</v>
      </c>
      <c r="T255">
        <f ca="1"/>
        <v>0</v>
      </c>
      <c r="U255">
        <f ca="1"/>
        <v>0</v>
      </c>
      <c r="V255">
        <f ca="1"/>
        <v>0.89501234999749357</v>
      </c>
      <c r="X255" s="2">
        <f t="shared" ca="1" si="22"/>
        <v>45255</v>
      </c>
      <c r="Y255">
        <f t="shared" ca="1" si="23"/>
        <v>0</v>
      </c>
      <c r="AA255" s="63">
        <f t="shared" ca="1" si="25"/>
        <v>57.612380966990649</v>
      </c>
      <c r="AB255" s="63">
        <f t="shared" ca="1" si="26"/>
        <v>57.612380966990649</v>
      </c>
      <c r="AC255" s="3">
        <f t="shared" ca="1" si="27"/>
        <v>0</v>
      </c>
    </row>
    <row r="256" spans="8:29">
      <c r="H256" t="b">
        <f t="shared" ca="1" si="24"/>
        <v>1</v>
      </c>
      <c r="I256" t="b">
        <f t="shared" ca="1" si="21"/>
        <v>1</v>
      </c>
      <c r="J256" s="2">
        <f ca="1"/>
        <v>45256</v>
      </c>
      <c r="K256">
        <f ca="1"/>
        <v>55.510312042127126</v>
      </c>
      <c r="L256">
        <f ca="1"/>
        <v>1.1005221734550474</v>
      </c>
      <c r="M256">
        <f ca="1"/>
        <v>2.4424891778558333E-3</v>
      </c>
      <c r="N256">
        <f ca="1"/>
        <v>0.1029366592730686</v>
      </c>
      <c r="O256">
        <f ca="1"/>
        <v>0</v>
      </c>
      <c r="P256">
        <f ca="1"/>
        <v>66.987905054654036</v>
      </c>
      <c r="Q256">
        <f ca="1"/>
        <v>37.152368269575604</v>
      </c>
      <c r="R256">
        <f ca="1"/>
        <v>0</v>
      </c>
      <c r="S256">
        <f ca="1"/>
        <v>0.22553729876162251</v>
      </c>
      <c r="T256">
        <f ca="1"/>
        <v>0</v>
      </c>
      <c r="U256">
        <f ca="1"/>
        <v>0</v>
      </c>
      <c r="V256">
        <f ca="1"/>
        <v>0.89928557809255483</v>
      </c>
      <c r="X256" s="2">
        <f t="shared" ca="1" si="22"/>
        <v>45256</v>
      </c>
      <c r="Y256">
        <f t="shared" ca="1" si="23"/>
        <v>0</v>
      </c>
      <c r="AA256" s="63">
        <f t="shared" ca="1" si="25"/>
        <v>56.610834215582173</v>
      </c>
      <c r="AB256" s="63">
        <f t="shared" ca="1" si="26"/>
        <v>56.610834215582173</v>
      </c>
      <c r="AC256" s="3">
        <f t="shared" ca="1" si="27"/>
        <v>0</v>
      </c>
    </row>
    <row r="257" spans="8:29">
      <c r="H257" t="b">
        <f t="shared" ca="1" si="24"/>
        <v>1</v>
      </c>
      <c r="I257" t="b">
        <f t="shared" ca="1" si="21"/>
        <v>1</v>
      </c>
      <c r="J257" s="2">
        <f ca="1"/>
        <v>45257</v>
      </c>
      <c r="K257">
        <f ca="1"/>
        <v>54.520693419663687</v>
      </c>
      <c r="L257">
        <f ca="1"/>
        <v>1.0908588106338044</v>
      </c>
      <c r="M257">
        <f ca="1"/>
        <v>2.2449707313949574E-3</v>
      </c>
      <c r="N257">
        <f ca="1"/>
        <v>9.8995217438968372E-2</v>
      </c>
      <c r="O257">
        <f ca="1"/>
        <v>0</v>
      </c>
      <c r="P257">
        <f ca="1"/>
        <v>68.07876386528784</v>
      </c>
      <c r="Q257">
        <f ca="1"/>
        <v>37.757372833156332</v>
      </c>
      <c r="R257">
        <f ca="1"/>
        <v>0</v>
      </c>
      <c r="S257">
        <f ca="1"/>
        <v>0.21439671422171014</v>
      </c>
      <c r="T257">
        <f ca="1"/>
        <v>0</v>
      </c>
      <c r="U257">
        <f ca="1"/>
        <v>0</v>
      </c>
      <c r="V257">
        <f ca="1"/>
        <v>0.90331082532215612</v>
      </c>
      <c r="X257" s="2">
        <f t="shared" ca="1" si="22"/>
        <v>45257</v>
      </c>
      <c r="Y257">
        <f t="shared" ca="1" si="23"/>
        <v>0</v>
      </c>
      <c r="AA257" s="63">
        <f t="shared" ca="1" si="25"/>
        <v>55.611552230297491</v>
      </c>
      <c r="AB257" s="63">
        <f t="shared" ca="1" si="26"/>
        <v>55.611552230297491</v>
      </c>
      <c r="AC257" s="3">
        <f t="shared" ca="1" si="27"/>
        <v>0</v>
      </c>
    </row>
    <row r="258" spans="8:29">
      <c r="H258" t="b">
        <f t="shared" ca="1" si="24"/>
        <v>1</v>
      </c>
      <c r="I258" t="b">
        <f t="shared" ca="1" si="21"/>
        <v>1</v>
      </c>
      <c r="J258" s="2">
        <f ca="1"/>
        <v>45258</v>
      </c>
      <c r="K258">
        <f ca="1"/>
        <v>53.532814238182809</v>
      </c>
      <c r="L258">
        <f ca="1"/>
        <v>1.0892515782255145</v>
      </c>
      <c r="M258">
        <f ca="1"/>
        <v>2.3689555937753681E-3</v>
      </c>
      <c r="N258">
        <f ca="1"/>
        <v>9.9003441150863722E-2</v>
      </c>
      <c r="O258">
        <f ca="1"/>
        <v>0</v>
      </c>
      <c r="P258">
        <f ca="1"/>
        <v>69.168015443513355</v>
      </c>
      <c r="Q258">
        <f ca="1"/>
        <v>38.361486004622641</v>
      </c>
      <c r="R258">
        <f ca="1"/>
        <v>0</v>
      </c>
      <c r="S258">
        <f ca="1"/>
        <v>0.23218919587995107</v>
      </c>
      <c r="T258">
        <f ca="1"/>
        <v>0</v>
      </c>
      <c r="U258">
        <f ca="1"/>
        <v>0</v>
      </c>
      <c r="V258">
        <f ca="1"/>
        <v>0.90713303551511026</v>
      </c>
      <c r="X258" s="2">
        <f t="shared" ca="1" si="22"/>
        <v>45258</v>
      </c>
      <c r="Y258">
        <f t="shared" ca="1" si="23"/>
        <v>0</v>
      </c>
      <c r="AA258" s="63">
        <f t="shared" ca="1" si="25"/>
        <v>54.622065816408323</v>
      </c>
      <c r="AB258" s="63">
        <f t="shared" ca="1" si="26"/>
        <v>54.622065816408323</v>
      </c>
      <c r="AC258" s="3">
        <f t="shared" ca="1" si="27"/>
        <v>0</v>
      </c>
    </row>
    <row r="259" spans="8:29">
      <c r="H259" t="b">
        <f t="shared" ca="1" si="24"/>
        <v>1</v>
      </c>
      <c r="I259" t="b">
        <f t="shared" ca="1" si="21"/>
        <v>1</v>
      </c>
      <c r="J259" s="2">
        <f ca="1"/>
        <v>45259</v>
      </c>
      <c r="K259">
        <f ca="1"/>
        <v>52.550280357927164</v>
      </c>
      <c r="L259">
        <f ca="1"/>
        <v>1.0804425711013579</v>
      </c>
      <c r="M259">
        <f ca="1"/>
        <v>2.2143496463353785E-3</v>
      </c>
      <c r="N259">
        <f ca="1"/>
        <v>9.5694341199377073E-2</v>
      </c>
      <c r="O259">
        <f ca="1"/>
        <v>0</v>
      </c>
      <c r="P259">
        <f ca="1"/>
        <v>70.248458014614712</v>
      </c>
      <c r="Q259">
        <f ca="1"/>
        <v>38.960713585526008</v>
      </c>
      <c r="R259">
        <f ca="1"/>
        <v>0</v>
      </c>
      <c r="S259">
        <f ca="1"/>
        <v>0.22398944830869166</v>
      </c>
      <c r="T259">
        <f ca="1"/>
        <v>0</v>
      </c>
      <c r="U259">
        <f ca="1"/>
        <v>0</v>
      </c>
      <c r="V259">
        <f ca="1"/>
        <v>0.91074076952841365</v>
      </c>
      <c r="X259" s="2">
        <f t="shared" ca="1" si="22"/>
        <v>45259</v>
      </c>
      <c r="Y259">
        <f t="shared" ca="1" si="23"/>
        <v>0</v>
      </c>
      <c r="AA259" s="63">
        <f t="shared" ca="1" si="25"/>
        <v>53.630722929028522</v>
      </c>
      <c r="AB259" s="63">
        <f t="shared" ca="1" si="26"/>
        <v>53.630722929028522</v>
      </c>
      <c r="AC259" s="3">
        <f t="shared" ca="1" si="27"/>
        <v>0</v>
      </c>
    </row>
    <row r="260" spans="8:29">
      <c r="H260" t="b">
        <f t="shared" ca="1" si="24"/>
        <v>1</v>
      </c>
      <c r="I260" t="b">
        <f t="shared" ca="1" si="21"/>
        <v>1</v>
      </c>
      <c r="J260" s="2">
        <f ca="1"/>
        <v>45260</v>
      </c>
      <c r="K260">
        <f ca="1"/>
        <v>51.522150956262003</v>
      </c>
      <c r="L260">
        <f ca="1"/>
        <v>1.1296254781250923</v>
      </c>
      <c r="M260">
        <f ca="1"/>
        <v>2.2570573095208601E-3</v>
      </c>
      <c r="N260">
        <f ca="1"/>
        <v>9.9239019150412236E-2</v>
      </c>
      <c r="O260">
        <f ca="1"/>
        <v>0</v>
      </c>
      <c r="P260">
        <f ca="1"/>
        <v>71.378083492739805</v>
      </c>
      <c r="Q260">
        <f ca="1"/>
        <v>39.587218649921695</v>
      </c>
      <c r="R260">
        <f ca="1"/>
        <v>0</v>
      </c>
      <c r="S260">
        <f ca="1"/>
        <v>0.22442479361718043</v>
      </c>
      <c r="T260">
        <f ca="1"/>
        <v>0</v>
      </c>
      <c r="U260">
        <f ca="1"/>
        <v>0</v>
      </c>
      <c r="V260">
        <f ca="1"/>
        <v>0.91432837063830696</v>
      </c>
      <c r="X260" s="2">
        <f t="shared" ca="1" si="22"/>
        <v>45260</v>
      </c>
      <c r="Y260">
        <f t="shared" ca="1" si="23"/>
        <v>0</v>
      </c>
      <c r="AA260" s="63">
        <f t="shared" ca="1" si="25"/>
        <v>52.651776434387095</v>
      </c>
      <c r="AB260" s="63">
        <f t="shared" ca="1" si="26"/>
        <v>52.651776434387095</v>
      </c>
      <c r="AC260" s="3">
        <f t="shared" ca="1" si="27"/>
        <v>0</v>
      </c>
    </row>
    <row r="261" spans="8:29">
      <c r="H261" t="b">
        <f t="shared" ca="1" si="24"/>
        <v>1</v>
      </c>
      <c r="I261" t="b">
        <f t="shared" ca="1" si="21"/>
        <v>1</v>
      </c>
      <c r="J261" s="2">
        <f ca="1"/>
        <v>45261</v>
      </c>
      <c r="K261">
        <f ca="1"/>
        <v>50.401833883026185</v>
      </c>
      <c r="L261">
        <f ca="1"/>
        <v>1.2298620983541326</v>
      </c>
      <c r="M261">
        <f ca="1"/>
        <v>2.3140649817783299E-3</v>
      </c>
      <c r="N261">
        <f ca="1"/>
        <v>0.1072309601365328</v>
      </c>
      <c r="O261">
        <f ca="1"/>
        <v>0</v>
      </c>
      <c r="P261">
        <f ca="1"/>
        <v>72.607945591093937</v>
      </c>
      <c r="Q261">
        <f ca="1"/>
        <v>40.26931625487839</v>
      </c>
      <c r="R261">
        <f ca="1"/>
        <v>0</v>
      </c>
      <c r="S261">
        <f ca="1"/>
        <v>0.21734263346742663</v>
      </c>
      <c r="T261">
        <f ca="1"/>
        <v>0</v>
      </c>
      <c r="U261">
        <f ca="1"/>
        <v>0</v>
      </c>
      <c r="V261">
        <f ca="1"/>
        <v>0.91803265281928126</v>
      </c>
      <c r="X261" s="2">
        <f t="shared" ca="1" si="22"/>
        <v>45261</v>
      </c>
      <c r="Y261">
        <f t="shared" ca="1" si="23"/>
        <v>0</v>
      </c>
      <c r="AA261" s="63">
        <f t="shared" ca="1" si="25"/>
        <v>51.631695981380318</v>
      </c>
      <c r="AB261" s="63">
        <f t="shared" ca="1" si="26"/>
        <v>51.631695981380318</v>
      </c>
      <c r="AC261" s="3">
        <f t="shared" ca="1" si="27"/>
        <v>0</v>
      </c>
    </row>
    <row r="262" spans="8:29">
      <c r="H262" t="b">
        <f t="shared" ca="1" si="24"/>
        <v>1</v>
      </c>
      <c r="I262" t="b">
        <f t="shared" ca="1" si="21"/>
        <v>1</v>
      </c>
      <c r="J262" s="2">
        <f ca="1"/>
        <v>45262</v>
      </c>
      <c r="K262">
        <f ca="1"/>
        <v>49.240660070623541</v>
      </c>
      <c r="L262">
        <f ca="1"/>
        <v>1.2716246944818295</v>
      </c>
      <c r="M262">
        <f ca="1"/>
        <v>2.1915969968144822E-3</v>
      </c>
      <c r="N262">
        <f ca="1"/>
        <v>0.10825928508236705</v>
      </c>
      <c r="O262">
        <f ca="1"/>
        <v>0</v>
      </c>
      <c r="P262">
        <f ca="1"/>
        <v>73.879570285575767</v>
      </c>
      <c r="Q262">
        <f ca="1"/>
        <v>40.974575941855171</v>
      </c>
      <c r="R262">
        <f ca="1"/>
        <v>0</v>
      </c>
      <c r="S262">
        <f ca="1"/>
        <v>0.20437021859278914</v>
      </c>
      <c r="T262">
        <f ca="1"/>
        <v>0</v>
      </c>
      <c r="U262">
        <f ca="1"/>
        <v>0</v>
      </c>
      <c r="V262">
        <f ca="1"/>
        <v>0.92165530509861782</v>
      </c>
      <c r="X262" s="2">
        <f t="shared" ca="1" si="22"/>
        <v>45262</v>
      </c>
      <c r="Y262">
        <f t="shared" ca="1" si="23"/>
        <v>0</v>
      </c>
      <c r="AA262" s="63">
        <f t="shared" ca="1" si="25"/>
        <v>50.51228476510537</v>
      </c>
      <c r="AB262" s="63">
        <f t="shared" ca="1" si="26"/>
        <v>50.51228476510537</v>
      </c>
      <c r="AC262" s="3">
        <f t="shared" ca="1" si="27"/>
        <v>0</v>
      </c>
    </row>
    <row r="263" spans="8:29">
      <c r="H263" t="b">
        <f t="shared" ca="1" si="24"/>
        <v>1</v>
      </c>
      <c r="I263" t="b">
        <f t="shared" ca="1" si="21"/>
        <v>1</v>
      </c>
      <c r="J263" s="2">
        <f ca="1"/>
        <v>45263</v>
      </c>
      <c r="K263">
        <f ca="1"/>
        <v>48.008910352057626</v>
      </c>
      <c r="L263">
        <f ca="1"/>
        <v>1.3471751789562916</v>
      </c>
      <c r="M263">
        <f ca="1"/>
        <v>2.1777930288440217E-3</v>
      </c>
      <c r="N263">
        <f ca="1"/>
        <v>0.11324766736153188</v>
      </c>
      <c r="O263">
        <f ca="1"/>
        <v>0</v>
      </c>
      <c r="P263">
        <f ca="1"/>
        <v>75.226745464532058</v>
      </c>
      <c r="Q263">
        <f ca="1"/>
        <v>41.721736915636633</v>
      </c>
      <c r="R263">
        <f ca="1"/>
        <v>0</v>
      </c>
      <c r="S263">
        <f ca="1"/>
        <v>0.19647856667737365</v>
      </c>
      <c r="T263">
        <f ca="1"/>
        <v>0</v>
      </c>
      <c r="U263">
        <f ca="1"/>
        <v>0</v>
      </c>
      <c r="V263">
        <f ca="1"/>
        <v>0.92527806008688063</v>
      </c>
      <c r="X263" s="2">
        <f t="shared" ca="1" si="22"/>
        <v>45263</v>
      </c>
      <c r="Y263">
        <f t="shared" ca="1" si="23"/>
        <v>0</v>
      </c>
      <c r="AA263" s="63">
        <f t="shared" ca="1" si="25"/>
        <v>49.356085531013917</v>
      </c>
      <c r="AB263" s="63">
        <f t="shared" ca="1" si="26"/>
        <v>49.356085531013917</v>
      </c>
      <c r="AC263" s="3">
        <f t="shared" ca="1" si="27"/>
        <v>0</v>
      </c>
    </row>
    <row r="264" spans="8:29">
      <c r="H264" t="b">
        <f t="shared" ca="1" si="24"/>
        <v>1</v>
      </c>
      <c r="I264" t="b">
        <f t="shared" ca="1" si="21"/>
        <v>1</v>
      </c>
      <c r="J264" s="2">
        <f ca="1"/>
        <v>45264</v>
      </c>
      <c r="K264">
        <f ca="1"/>
        <v>46.789648776451727</v>
      </c>
      <c r="L264">
        <f ca="1"/>
        <v>1.3299204289386495</v>
      </c>
      <c r="M264">
        <f ca="1"/>
        <v>2.0231408131436979E-3</v>
      </c>
      <c r="N264">
        <f ca="1"/>
        <v>0.10863571251960939</v>
      </c>
      <c r="O264">
        <f ca="1"/>
        <v>0</v>
      </c>
      <c r="P264">
        <f ca="1"/>
        <v>76.556665893470708</v>
      </c>
      <c r="Q264">
        <f ca="1"/>
        <v>42.459328179385643</v>
      </c>
      <c r="R264">
        <f ca="1"/>
        <v>0</v>
      </c>
      <c r="S264">
        <f ca="1"/>
        <v>0.19012004354262121</v>
      </c>
      <c r="T264">
        <f ca="1"/>
        <v>0</v>
      </c>
      <c r="U264">
        <f ca="1"/>
        <v>0</v>
      </c>
      <c r="V264">
        <f ca="1"/>
        <v>0.9286516402446704</v>
      </c>
      <c r="X264" s="2">
        <f t="shared" ca="1" si="22"/>
        <v>45264</v>
      </c>
      <c r="Y264">
        <f t="shared" ca="1" si="23"/>
        <v>0</v>
      </c>
      <c r="AA264" s="63">
        <f t="shared" ca="1" si="25"/>
        <v>48.119569205390377</v>
      </c>
      <c r="AB264" s="63">
        <f t="shared" ca="1" si="26"/>
        <v>48.119569205390377</v>
      </c>
      <c r="AC264" s="3">
        <f t="shared" ca="1" si="27"/>
        <v>0</v>
      </c>
    </row>
    <row r="265" spans="8:29">
      <c r="H265" t="b">
        <f t="shared" ca="1" si="24"/>
        <v>1</v>
      </c>
      <c r="I265" t="b">
        <f t="shared" ca="1" si="21"/>
        <v>1</v>
      </c>
      <c r="J265" s="2">
        <f ca="1"/>
        <v>45265</v>
      </c>
      <c r="K265">
        <f ca="1"/>
        <v>45.558674286240382</v>
      </c>
      <c r="L265">
        <f ca="1"/>
        <v>1.3410469401104024</v>
      </c>
      <c r="M265">
        <f ca="1"/>
        <v>2.0194023272264161E-3</v>
      </c>
      <c r="N265">
        <f ca="1"/>
        <v>0.10805304757182728</v>
      </c>
      <c r="O265">
        <f ca="1"/>
        <v>0</v>
      </c>
      <c r="P265">
        <f ca="1"/>
        <v>77.89771283358111</v>
      </c>
      <c r="Q265">
        <f ca="1"/>
        <v>43.203090351752721</v>
      </c>
      <c r="R265">
        <f ca="1"/>
        <v>0</v>
      </c>
      <c r="S265">
        <f ca="1"/>
        <v>0.19313171177774033</v>
      </c>
      <c r="T265">
        <f ca="1"/>
        <v>0</v>
      </c>
      <c r="U265">
        <f ca="1"/>
        <v>0</v>
      </c>
      <c r="V265">
        <f ca="1"/>
        <v>0.93186302765735052</v>
      </c>
      <c r="X265" s="2">
        <f t="shared" ca="1" si="22"/>
        <v>45265</v>
      </c>
      <c r="Y265">
        <f t="shared" ca="1" si="23"/>
        <v>0</v>
      </c>
      <c r="AA265" s="63">
        <f t="shared" ca="1" si="25"/>
        <v>46.899721226350785</v>
      </c>
      <c r="AB265" s="63">
        <f t="shared" ca="1" si="26"/>
        <v>46.899721226350785</v>
      </c>
      <c r="AC265" s="3">
        <f t="shared" ca="1" si="27"/>
        <v>0</v>
      </c>
    </row>
    <row r="266" spans="8:29">
      <c r="H266" t="b">
        <f t="shared" ca="1" si="24"/>
        <v>1</v>
      </c>
      <c r="I266" t="b">
        <f t="shared" ca="1" si="21"/>
        <v>1</v>
      </c>
      <c r="J266" s="2">
        <f ca="1"/>
        <v>45266</v>
      </c>
      <c r="K266">
        <f ca="1"/>
        <v>44.358126635050581</v>
      </c>
      <c r="L266">
        <f ca="1"/>
        <v>1.305955768156764</v>
      </c>
      <c r="M266">
        <f ca="1"/>
        <v>1.9835108463883699E-3</v>
      </c>
      <c r="N266">
        <f ca="1"/>
        <v>0.10342460612057991</v>
      </c>
      <c r="O266">
        <f ca="1"/>
        <v>0</v>
      </c>
      <c r="P266">
        <f ca="1"/>
        <v>79.203668601737874</v>
      </c>
      <c r="Q266">
        <f ca="1"/>
        <v>43.927390501201351</v>
      </c>
      <c r="R266">
        <f ca="1"/>
        <v>0</v>
      </c>
      <c r="S266">
        <f ca="1"/>
        <v>0.19986569726092571</v>
      </c>
      <c r="T266">
        <f ca="1"/>
        <v>0</v>
      </c>
      <c r="U266">
        <f ca="1"/>
        <v>0</v>
      </c>
      <c r="V266">
        <f ca="1"/>
        <v>0.93481862985153008</v>
      </c>
      <c r="X266" s="2">
        <f t="shared" ca="1" si="22"/>
        <v>45266</v>
      </c>
      <c r="Y266">
        <f t="shared" ca="1" si="23"/>
        <v>0</v>
      </c>
      <c r="AA266" s="63">
        <f t="shared" ca="1" si="25"/>
        <v>45.664082403207345</v>
      </c>
      <c r="AB266" s="63">
        <f t="shared" ca="1" si="26"/>
        <v>45.664082403207345</v>
      </c>
      <c r="AC266" s="3">
        <f t="shared" ca="1" si="27"/>
        <v>0</v>
      </c>
    </row>
    <row r="267" spans="8:29">
      <c r="H267" t="b">
        <f t="shared" ca="1" si="24"/>
        <v>1</v>
      </c>
      <c r="I267" t="b">
        <f t="shared" ref="I267:I330" ca="1" si="28">AND(IF(J267&gt;($J$7-1),TRUE,FALSE),IF(J267&lt;($J$8+1),TRUE,FALSE))</f>
        <v>1</v>
      </c>
      <c r="J267" s="2">
        <f ca="1"/>
        <v>45267</v>
      </c>
      <c r="K267">
        <f ca="1"/>
        <v>43.093664596555243</v>
      </c>
      <c r="L267">
        <f ca="1"/>
        <v>1.3740982610750905</v>
      </c>
      <c r="M267">
        <f ca="1"/>
        <v>1.9889420797234436E-3</v>
      </c>
      <c r="N267">
        <f ca="1"/>
        <v>0.10764728050002202</v>
      </c>
      <c r="O267">
        <f ca="1"/>
        <v>0</v>
      </c>
      <c r="P267">
        <f ca="1"/>
        <v>80.577766862812965</v>
      </c>
      <c r="Q267">
        <f ca="1"/>
        <v>44.689483368449459</v>
      </c>
      <c r="R267">
        <f ca="1"/>
        <v>0</v>
      </c>
      <c r="S267">
        <f ca="1"/>
        <v>0.19524741297309917</v>
      </c>
      <c r="T267">
        <f ca="1"/>
        <v>0</v>
      </c>
      <c r="U267">
        <f ca="1"/>
        <v>0</v>
      </c>
      <c r="V267">
        <f ca="1"/>
        <v>0.93775746762982959</v>
      </c>
      <c r="X267" s="2">
        <f t="shared" ref="X267:X330" ca="1" si="29">IFERROR(J267,$X$9)</f>
        <v>45267</v>
      </c>
      <c r="Y267">
        <f t="shared" ref="Y267:Y330" ca="1" si="30">IFERROR(O267,0)</f>
        <v>0</v>
      </c>
      <c r="AA267" s="63">
        <f t="shared" ca="1" si="25"/>
        <v>44.467762857630326</v>
      </c>
      <c r="AB267" s="63">
        <f t="shared" ca="1" si="26"/>
        <v>44.467762857630333</v>
      </c>
      <c r="AC267" s="3">
        <f t="shared" ca="1" si="27"/>
        <v>0</v>
      </c>
    </row>
    <row r="268" spans="8:29">
      <c r="H268" t="b">
        <f t="shared" ref="H268:H331" ca="1" si="31">IF(J268&lt;$J$8,TRUE,FALSE)</f>
        <v>1</v>
      </c>
      <c r="I268" t="b">
        <f t="shared" ca="1" si="28"/>
        <v>1</v>
      </c>
      <c r="J268" s="2">
        <f ca="1"/>
        <v>45268</v>
      </c>
      <c r="K268">
        <f ca="1"/>
        <v>41.807072608852643</v>
      </c>
      <c r="L268">
        <f ca="1"/>
        <v>1.3991088079343541</v>
      </c>
      <c r="M268">
        <f ca="1"/>
        <v>2.1811296625244836E-3</v>
      </c>
      <c r="N268">
        <f ca="1"/>
        <v>0.11033569056922683</v>
      </c>
      <c r="O268">
        <f ca="1"/>
        <v>0</v>
      </c>
      <c r="P268">
        <f ca="1"/>
        <v>81.976875670747319</v>
      </c>
      <c r="Q268">
        <f ca="1"/>
        <v>45.465447412095457</v>
      </c>
      <c r="R268">
        <f ca="1"/>
        <v>0</v>
      </c>
      <c r="S268">
        <f ca="1"/>
        <v>0.21578687084364787</v>
      </c>
      <c r="T268">
        <f ca="1"/>
        <v>0</v>
      </c>
      <c r="U268">
        <f ca="1"/>
        <v>0</v>
      </c>
      <c r="V268">
        <f ca="1"/>
        <v>0.94058151053781114</v>
      </c>
      <c r="X268" s="2">
        <f t="shared" ca="1" si="29"/>
        <v>45268</v>
      </c>
      <c r="Y268">
        <f t="shared" ca="1" si="30"/>
        <v>0</v>
      </c>
      <c r="AA268" s="63">
        <f t="shared" ca="1" si="25"/>
        <v>43.206181416786997</v>
      </c>
      <c r="AB268" s="63">
        <f t="shared" ca="1" si="26"/>
        <v>43.206181416786997</v>
      </c>
      <c r="AC268" s="3">
        <f t="shared" ca="1" si="27"/>
        <v>0</v>
      </c>
    </row>
    <row r="269" spans="8:29">
      <c r="H269" t="b">
        <f t="shared" ca="1" si="31"/>
        <v>1</v>
      </c>
      <c r="I269" t="b">
        <f t="shared" ca="1" si="28"/>
        <v>1</v>
      </c>
      <c r="J269" s="2">
        <f ca="1"/>
        <v>45269</v>
      </c>
      <c r="K269">
        <f ca="1"/>
        <v>40.555482323754809</v>
      </c>
      <c r="L269">
        <f ca="1"/>
        <v>1.3562883731523669</v>
      </c>
      <c r="M269">
        <f ca="1"/>
        <v>1.9140935592663055E-3</v>
      </c>
      <c r="N269">
        <f ca="1"/>
        <v>0.10278399449527219</v>
      </c>
      <c r="O269">
        <f ca="1"/>
        <v>0</v>
      </c>
      <c r="P269">
        <f ca="1"/>
        <v>83.333164043899686</v>
      </c>
      <c r="Q269">
        <f ca="1"/>
        <v>46.217662682568374</v>
      </c>
      <c r="R269">
        <f ca="1"/>
        <v>0</v>
      </c>
      <c r="S269">
        <f ca="1"/>
        <v>0.20045295449681863</v>
      </c>
      <c r="T269">
        <f ca="1"/>
        <v>0</v>
      </c>
      <c r="U269">
        <f ca="1"/>
        <v>0</v>
      </c>
      <c r="V269">
        <f ca="1"/>
        <v>0.94316774060870312</v>
      </c>
      <c r="X269" s="2">
        <f t="shared" ca="1" si="29"/>
        <v>45269</v>
      </c>
      <c r="Y269">
        <f t="shared" ca="1" si="30"/>
        <v>0</v>
      </c>
      <c r="AA269" s="63">
        <f t="shared" ca="1" si="25"/>
        <v>41.911770696907176</v>
      </c>
      <c r="AB269" s="63">
        <f t="shared" ca="1" si="26"/>
        <v>41.911770696907176</v>
      </c>
      <c r="AC269" s="3">
        <f t="shared" ca="1" si="27"/>
        <v>0</v>
      </c>
    </row>
    <row r="270" spans="8:29">
      <c r="H270" t="b">
        <f t="shared" ca="1" si="31"/>
        <v>1</v>
      </c>
      <c r="I270" t="b">
        <f t="shared" ca="1" si="28"/>
        <v>1</v>
      </c>
      <c r="J270" s="2">
        <f ca="1"/>
        <v>45270</v>
      </c>
      <c r="K270">
        <f ca="1"/>
        <v>39.222672375266249</v>
      </c>
      <c r="L270">
        <f ca="1"/>
        <v>1.4424592459512411</v>
      </c>
      <c r="M270">
        <f ca="1"/>
        <v>1.8792060064996008E-3</v>
      </c>
      <c r="N270">
        <f ca="1"/>
        <v>0.10777009145618273</v>
      </c>
      <c r="O270">
        <f ca="1"/>
        <v>0</v>
      </c>
      <c r="P270">
        <f ca="1"/>
        <v>84.775623289850927</v>
      </c>
      <c r="Q270">
        <f ca="1"/>
        <v>47.017669446113395</v>
      </c>
      <c r="R270">
        <f ca="1"/>
        <v>0</v>
      </c>
      <c r="S270">
        <f ca="1"/>
        <v>0.189571055750377</v>
      </c>
      <c r="T270">
        <f ca="1"/>
        <v>0</v>
      </c>
      <c r="U270">
        <f ca="1"/>
        <v>0</v>
      </c>
      <c r="V270">
        <f ca="1"/>
        <v>0.94576562183439594</v>
      </c>
      <c r="X270" s="2">
        <f t="shared" ca="1" si="29"/>
        <v>45270</v>
      </c>
      <c r="Y270">
        <f t="shared" ca="1" si="30"/>
        <v>0</v>
      </c>
      <c r="AA270" s="63">
        <f t="shared" ca="1" si="25"/>
        <v>40.66513162121749</v>
      </c>
      <c r="AB270" s="63">
        <f t="shared" ca="1" si="26"/>
        <v>40.66513162121749</v>
      </c>
      <c r="AC270" s="3">
        <f t="shared" ca="1" si="27"/>
        <v>0</v>
      </c>
    </row>
    <row r="271" spans="8:29">
      <c r="H271" t="b">
        <f t="shared" ca="1" si="31"/>
        <v>1</v>
      </c>
      <c r="I271" t="b">
        <f t="shared" ca="1" si="28"/>
        <v>1</v>
      </c>
      <c r="J271" s="2">
        <f ca="1"/>
        <v>45271</v>
      </c>
      <c r="K271">
        <f ca="1"/>
        <v>37.774560181747383</v>
      </c>
      <c r="L271">
        <f ca="1"/>
        <v>1.5653487546862408</v>
      </c>
      <c r="M271">
        <f ca="1"/>
        <v>1.8236732832974667E-3</v>
      </c>
      <c r="N271">
        <f ca="1"/>
        <v>0.11541288788407379</v>
      </c>
      <c r="O271">
        <f ca="1"/>
        <v>0</v>
      </c>
      <c r="P271">
        <f ca="1"/>
        <v>86.340972044537168</v>
      </c>
      <c r="Q271">
        <f ca="1"/>
        <v>47.885832338459053</v>
      </c>
      <c r="R271">
        <f ca="1"/>
        <v>0</v>
      </c>
      <c r="S271">
        <f ca="1"/>
        <v>0.17305552245386674</v>
      </c>
      <c r="T271">
        <f ca="1"/>
        <v>0</v>
      </c>
      <c r="U271">
        <f ca="1"/>
        <v>0</v>
      </c>
      <c r="V271">
        <f ca="1"/>
        <v>0.94841894174493457</v>
      </c>
      <c r="X271" s="2">
        <f t="shared" ca="1" si="29"/>
        <v>45271</v>
      </c>
      <c r="Y271">
        <f t="shared" ca="1" si="30"/>
        <v>0</v>
      </c>
      <c r="AA271" s="63">
        <f t="shared" ca="1" si="25"/>
        <v>39.339908936433623</v>
      </c>
      <c r="AB271" s="63">
        <f t="shared" ca="1" si="26"/>
        <v>39.339908936433623</v>
      </c>
      <c r="AC271" s="3">
        <f t="shared" ca="1" si="27"/>
        <v>0</v>
      </c>
    </row>
    <row r="272" spans="8:29">
      <c r="H272" t="b">
        <f t="shared" ca="1" si="31"/>
        <v>1</v>
      </c>
      <c r="I272" t="b">
        <f t="shared" ca="1" si="28"/>
        <v>1</v>
      </c>
      <c r="J272" s="2">
        <f ca="1"/>
        <v>45272</v>
      </c>
      <c r="K272">
        <f ca="1"/>
        <v>36.239412486168902</v>
      </c>
      <c r="L272">
        <f ca="1"/>
        <v>1.6589273621312657</v>
      </c>
      <c r="M272">
        <f ca="1"/>
        <v>1.8903691151130886E-3</v>
      </c>
      <c r="N272">
        <f ca="1"/>
        <v>0.12188929743766808</v>
      </c>
      <c r="O272">
        <f ca="1"/>
        <v>0</v>
      </c>
      <c r="P272">
        <f ca="1"/>
        <v>87.999899406668433</v>
      </c>
      <c r="Q272">
        <f ca="1"/>
        <v>48.805895150396388</v>
      </c>
      <c r="R272">
        <f ca="1"/>
        <v>0</v>
      </c>
      <c r="S272">
        <f ca="1"/>
        <v>0.17278667101859815</v>
      </c>
      <c r="T272">
        <f ca="1"/>
        <v>0</v>
      </c>
      <c r="U272">
        <f ca="1"/>
        <v>0</v>
      </c>
      <c r="V272">
        <f ca="1"/>
        <v>0.95105601180551858</v>
      </c>
      <c r="X272" s="2">
        <f t="shared" ca="1" si="29"/>
        <v>45272</v>
      </c>
      <c r="Y272">
        <f t="shared" ca="1" si="30"/>
        <v>0</v>
      </c>
      <c r="AA272" s="63">
        <f t="shared" ref="AA272:AA335" ca="1" si="32">K271+M272+N272+O272</f>
        <v>37.898339848300161</v>
      </c>
      <c r="AB272" s="63">
        <f t="shared" ref="AB272:AB335" ca="1" si="33">K272+L272+R272</f>
        <v>37.898339848300168</v>
      </c>
      <c r="AC272" s="3">
        <f t="shared" ref="AC272:AC335" ca="1" si="34">AB272-AA272</f>
        <v>0</v>
      </c>
    </row>
    <row r="273" spans="8:29">
      <c r="H273" t="b">
        <f t="shared" ca="1" si="31"/>
        <v>1</v>
      </c>
      <c r="I273" t="b">
        <f t="shared" ca="1" si="28"/>
        <v>1</v>
      </c>
      <c r="J273" s="2">
        <f ca="1"/>
        <v>45273</v>
      </c>
      <c r="K273">
        <f ca="1"/>
        <v>34.773547333404871</v>
      </c>
      <c r="L273">
        <f ca="1"/>
        <v>1.5823884343033683</v>
      </c>
      <c r="M273">
        <f ca="1"/>
        <v>1.9436349328572078E-3</v>
      </c>
      <c r="N273">
        <f ca="1"/>
        <v>0.11457964660647824</v>
      </c>
      <c r="O273">
        <f ca="1"/>
        <v>0</v>
      </c>
      <c r="P273">
        <f ca="1"/>
        <v>89.582287840971802</v>
      </c>
      <c r="Q273">
        <f ca="1"/>
        <v>49.683508471917506</v>
      </c>
      <c r="R273">
        <f ca="1"/>
        <v>0</v>
      </c>
      <c r="S273">
        <f ca="1"/>
        <v>0.19260239659623635</v>
      </c>
      <c r="T273">
        <f ca="1"/>
        <v>0</v>
      </c>
      <c r="U273">
        <f ca="1"/>
        <v>0</v>
      </c>
      <c r="V273">
        <f ca="1"/>
        <v>0.95341604501982891</v>
      </c>
      <c r="X273" s="2">
        <f t="shared" ca="1" si="29"/>
        <v>45273</v>
      </c>
      <c r="Y273">
        <f t="shared" ca="1" si="30"/>
        <v>0</v>
      </c>
      <c r="AA273" s="63">
        <f t="shared" ca="1" si="32"/>
        <v>36.355935767708239</v>
      </c>
      <c r="AB273" s="63">
        <f t="shared" ca="1" si="33"/>
        <v>36.355935767708239</v>
      </c>
      <c r="AC273" s="3">
        <f t="shared" ca="1" si="34"/>
        <v>0</v>
      </c>
    </row>
    <row r="274" spans="8:29">
      <c r="H274" t="b">
        <f t="shared" ca="1" si="31"/>
        <v>1</v>
      </c>
      <c r="I274" t="b">
        <f t="shared" ca="1" si="28"/>
        <v>1</v>
      </c>
      <c r="J274" s="2">
        <f ca="1"/>
        <v>45274</v>
      </c>
      <c r="K274">
        <f ca="1"/>
        <v>33.352306132419841</v>
      </c>
      <c r="L274">
        <f ca="1"/>
        <v>1.5304455682843354</v>
      </c>
      <c r="M274">
        <f ca="1"/>
        <v>1.7839307889211398E-3</v>
      </c>
      <c r="N274">
        <f ca="1"/>
        <v>0.10742043651039125</v>
      </c>
      <c r="O274">
        <f ca="1"/>
        <v>0</v>
      </c>
      <c r="P274">
        <f ca="1"/>
        <v>91.112733409256137</v>
      </c>
      <c r="Q274">
        <f ca="1"/>
        <v>50.532313600590342</v>
      </c>
      <c r="R274">
        <f ca="1"/>
        <v>0</v>
      </c>
      <c r="S274">
        <f ca="1"/>
        <v>0.18792573469493923</v>
      </c>
      <c r="T274">
        <f ca="1"/>
        <v>0</v>
      </c>
      <c r="U274">
        <f ca="1"/>
        <v>0</v>
      </c>
      <c r="V274">
        <f ca="1"/>
        <v>0.95556470982726083</v>
      </c>
      <c r="X274" s="2">
        <f t="shared" ca="1" si="29"/>
        <v>45274</v>
      </c>
      <c r="Y274">
        <f t="shared" ca="1" si="30"/>
        <v>0</v>
      </c>
      <c r="AA274" s="63">
        <f t="shared" ca="1" si="32"/>
        <v>34.882751700704183</v>
      </c>
      <c r="AB274" s="63">
        <f t="shared" ca="1" si="33"/>
        <v>34.882751700704176</v>
      </c>
      <c r="AC274" s="3">
        <f t="shared" ca="1" si="34"/>
        <v>0</v>
      </c>
    </row>
    <row r="275" spans="8:29">
      <c r="H275" t="b">
        <f t="shared" ca="1" si="31"/>
        <v>1</v>
      </c>
      <c r="I275" t="b">
        <f t="shared" ca="1" si="28"/>
        <v>1</v>
      </c>
      <c r="J275" s="2">
        <f ca="1"/>
        <v>45275</v>
      </c>
      <c r="K275">
        <f ca="1"/>
        <v>31.80263307122857</v>
      </c>
      <c r="L275">
        <f ca="1"/>
        <v>1.668661641448864</v>
      </c>
      <c r="M275">
        <f ca="1"/>
        <v>1.8625375305667546E-3</v>
      </c>
      <c r="N275">
        <f ca="1"/>
        <v>0.11712604272702984</v>
      </c>
      <c r="O275">
        <f ca="1"/>
        <v>0</v>
      </c>
      <c r="P275">
        <f ca="1"/>
        <v>92.781395050705001</v>
      </c>
      <c r="Q275">
        <f ca="1"/>
        <v>51.457775171150615</v>
      </c>
      <c r="R275">
        <f ca="1"/>
        <v>0</v>
      </c>
      <c r="S275">
        <f ca="1"/>
        <v>0.18357875964434225</v>
      </c>
      <c r="T275">
        <f ca="1"/>
        <v>0</v>
      </c>
      <c r="U275">
        <f ca="1"/>
        <v>0</v>
      </c>
      <c r="V275">
        <f ca="1"/>
        <v>0.95776810239698662</v>
      </c>
      <c r="X275" s="2">
        <f t="shared" ca="1" si="29"/>
        <v>45275</v>
      </c>
      <c r="Y275">
        <f t="shared" ca="1" si="30"/>
        <v>0</v>
      </c>
      <c r="AA275" s="63">
        <f t="shared" ca="1" si="32"/>
        <v>33.471294712677441</v>
      </c>
      <c r="AB275" s="63">
        <f t="shared" ca="1" si="33"/>
        <v>33.471294712677434</v>
      </c>
      <c r="AC275" s="3">
        <f t="shared" ca="1" si="34"/>
        <v>0</v>
      </c>
    </row>
    <row r="276" spans="8:29">
      <c r="H276" t="b">
        <f t="shared" ca="1" si="31"/>
        <v>1</v>
      </c>
      <c r="I276" t="b">
        <f t="shared" ca="1" si="28"/>
        <v>1</v>
      </c>
      <c r="J276" s="2">
        <f ca="1"/>
        <v>45276</v>
      </c>
      <c r="K276">
        <f ca="1"/>
        <v>30.271622171751119</v>
      </c>
      <c r="L276">
        <f ca="1"/>
        <v>1.6469200598579619</v>
      </c>
      <c r="M276">
        <f ca="1"/>
        <v>1.8760575912448729E-3</v>
      </c>
      <c r="N276">
        <f ca="1"/>
        <v>0.11403310278926704</v>
      </c>
      <c r="O276">
        <f ca="1"/>
        <v>0</v>
      </c>
      <c r="P276">
        <f ca="1"/>
        <v>94.428315110562963</v>
      </c>
      <c r="Q276">
        <f ca="1"/>
        <v>52.37117857620521</v>
      </c>
      <c r="R276">
        <f ca="1"/>
        <v>0</v>
      </c>
      <c r="S276">
        <f ca="1"/>
        <v>0.19270110449910319</v>
      </c>
      <c r="T276">
        <f ca="1"/>
        <v>0</v>
      </c>
      <c r="U276">
        <f ca="1"/>
        <v>0</v>
      </c>
      <c r="V276">
        <f ca="1"/>
        <v>0.95981046975908257</v>
      </c>
      <c r="X276" s="2">
        <f t="shared" ca="1" si="29"/>
        <v>45276</v>
      </c>
      <c r="Y276">
        <f t="shared" ca="1" si="30"/>
        <v>0</v>
      </c>
      <c r="AA276" s="63">
        <f t="shared" ca="1" si="32"/>
        <v>31.918542231609084</v>
      </c>
      <c r="AB276" s="63">
        <f t="shared" ca="1" si="33"/>
        <v>31.918542231609081</v>
      </c>
      <c r="AC276" s="3">
        <f t="shared" ca="1" si="34"/>
        <v>0</v>
      </c>
    </row>
    <row r="277" spans="8:29">
      <c r="H277" t="b">
        <f t="shared" ca="1" si="31"/>
        <v>1</v>
      </c>
      <c r="I277" t="b">
        <f t="shared" ca="1" si="28"/>
        <v>1</v>
      </c>
      <c r="J277" s="2">
        <f ca="1"/>
        <v>45277</v>
      </c>
      <c r="K277">
        <f ca="1"/>
        <v>28.749060223334773</v>
      </c>
      <c r="L277">
        <f ca="1"/>
        <v>1.637375274504322</v>
      </c>
      <c r="M277">
        <f ca="1"/>
        <v>1.9585785992628502E-3</v>
      </c>
      <c r="N277">
        <f ca="1"/>
        <v>0.11285474748871167</v>
      </c>
      <c r="O277">
        <f ca="1"/>
        <v>0</v>
      </c>
      <c r="P277">
        <f ca="1"/>
        <v>96.065690385067285</v>
      </c>
      <c r="Q277">
        <f ca="1"/>
        <v>53.279288318467636</v>
      </c>
      <c r="R277">
        <f ca="1"/>
        <v>0</v>
      </c>
      <c r="S277">
        <f ca="1"/>
        <v>0.20784858429174452</v>
      </c>
      <c r="T277">
        <f ca="1"/>
        <v>0</v>
      </c>
      <c r="U277">
        <f ca="1"/>
        <v>0</v>
      </c>
      <c r="V277">
        <f ca="1"/>
        <v>0.96172010937169294</v>
      </c>
      <c r="X277" s="2">
        <f t="shared" ca="1" si="29"/>
        <v>45277</v>
      </c>
      <c r="Y277">
        <f t="shared" ca="1" si="30"/>
        <v>0</v>
      </c>
      <c r="AA277" s="63">
        <f t="shared" ca="1" si="32"/>
        <v>30.386435497839095</v>
      </c>
      <c r="AB277" s="63">
        <f t="shared" ca="1" si="33"/>
        <v>30.386435497839095</v>
      </c>
      <c r="AC277" s="3">
        <f t="shared" ca="1" si="34"/>
        <v>0</v>
      </c>
    </row>
    <row r="278" spans="8:29">
      <c r="H278" t="b">
        <f t="shared" ca="1" si="31"/>
        <v>1</v>
      </c>
      <c r="I278" t="b">
        <f t="shared" ca="1" si="28"/>
        <v>1</v>
      </c>
      <c r="J278" s="2">
        <f ca="1"/>
        <v>45278</v>
      </c>
      <c r="K278">
        <f ca="1"/>
        <v>27.179095105363995</v>
      </c>
      <c r="L278">
        <f ca="1"/>
        <v>1.6879781511502188</v>
      </c>
      <c r="M278">
        <f ca="1"/>
        <v>2.0338840959368554E-3</v>
      </c>
      <c r="N278">
        <f ca="1"/>
        <v>0.11597914908350525</v>
      </c>
      <c r="O278">
        <f ca="1"/>
        <v>0</v>
      </c>
      <c r="P278">
        <f ca="1"/>
        <v>97.753668536217504</v>
      </c>
      <c r="Q278">
        <f ca="1"/>
        <v>54.215463077946445</v>
      </c>
      <c r="R278">
        <f ca="1"/>
        <v>0</v>
      </c>
      <c r="S278">
        <f ca="1"/>
        <v>0.2146277102403184</v>
      </c>
      <c r="T278">
        <f ca="1"/>
        <v>0</v>
      </c>
      <c r="U278">
        <f ca="1"/>
        <v>0</v>
      </c>
      <c r="V278">
        <f ca="1"/>
        <v>0.96357162548664976</v>
      </c>
      <c r="X278" s="2">
        <f t="shared" ca="1" si="29"/>
        <v>45278</v>
      </c>
      <c r="Y278">
        <f t="shared" ca="1" si="30"/>
        <v>0</v>
      </c>
      <c r="AA278" s="63">
        <f t="shared" ca="1" si="32"/>
        <v>28.867073256514214</v>
      </c>
      <c r="AB278" s="63">
        <f t="shared" ca="1" si="33"/>
        <v>28.867073256514214</v>
      </c>
      <c r="AC278" s="3">
        <f t="shared" ca="1" si="34"/>
        <v>0</v>
      </c>
    </row>
    <row r="279" spans="8:29">
      <c r="H279" t="b">
        <f t="shared" ca="1" si="31"/>
        <v>1</v>
      </c>
      <c r="I279" t="b">
        <f t="shared" ca="1" si="28"/>
        <v>1</v>
      </c>
      <c r="J279" s="2">
        <f ca="1"/>
        <v>45279</v>
      </c>
      <c r="K279">
        <f ca="1"/>
        <v>25.583450934790079</v>
      </c>
      <c r="L279">
        <f ca="1"/>
        <v>1.7143109335638229</v>
      </c>
      <c r="M279">
        <f ca="1"/>
        <v>2.0478727603414626E-3</v>
      </c>
      <c r="N279">
        <f ca="1"/>
        <v>0.11661889022956397</v>
      </c>
      <c r="O279">
        <f ca="1"/>
        <v>0</v>
      </c>
      <c r="P279">
        <f ca="1"/>
        <v>99.467979469781326</v>
      </c>
      <c r="Q279">
        <f ca="1"/>
        <v>55.166242342954952</v>
      </c>
      <c r="R279">
        <f ca="1"/>
        <v>0</v>
      </c>
      <c r="S279">
        <f ca="1"/>
        <v>0.21842404615248787</v>
      </c>
      <c r="T279">
        <f ca="1"/>
        <v>0</v>
      </c>
      <c r="U279">
        <f ca="1"/>
        <v>0</v>
      </c>
      <c r="V279">
        <f ca="1"/>
        <v>0.96533903903897633</v>
      </c>
      <c r="X279" s="2">
        <f t="shared" ca="1" si="29"/>
        <v>45279</v>
      </c>
      <c r="Y279">
        <f t="shared" ca="1" si="30"/>
        <v>0</v>
      </c>
      <c r="AA279" s="63">
        <f t="shared" ca="1" si="32"/>
        <v>27.297761868353899</v>
      </c>
      <c r="AB279" s="63">
        <f t="shared" ca="1" si="33"/>
        <v>27.297761868353902</v>
      </c>
      <c r="AC279" s="3">
        <f t="shared" ca="1" si="34"/>
        <v>0</v>
      </c>
    </row>
    <row r="280" spans="8:29">
      <c r="H280" t="b">
        <f t="shared" ca="1" si="31"/>
        <v>1</v>
      </c>
      <c r="I280" t="b">
        <f t="shared" ca="1" si="28"/>
        <v>1</v>
      </c>
      <c r="J280" s="2">
        <f ca="1"/>
        <v>45280</v>
      </c>
      <c r="K280">
        <f ca="1"/>
        <v>24.002533367360229</v>
      </c>
      <c r="L280">
        <f ca="1"/>
        <v>1.7014085012538942</v>
      </c>
      <c r="M280">
        <f ca="1"/>
        <v>2.3199930332218344E-3</v>
      </c>
      <c r="N280">
        <f ca="1"/>
        <v>0.11817094079082255</v>
      </c>
      <c r="O280">
        <f ca="1"/>
        <v>0</v>
      </c>
      <c r="P280">
        <f ca="1"/>
        <v>101.16938797103522</v>
      </c>
      <c r="Q280">
        <f ca="1"/>
        <v>56.109865750255096</v>
      </c>
      <c r="R280">
        <f ca="1"/>
        <v>0</v>
      </c>
      <c r="S280">
        <f ca="1"/>
        <v>0.25649601618596546</v>
      </c>
      <c r="T280">
        <f ca="1"/>
        <v>0</v>
      </c>
      <c r="U280">
        <f ca="1"/>
        <v>0</v>
      </c>
      <c r="V280">
        <f ca="1"/>
        <v>0.96698865412702528</v>
      </c>
      <c r="X280" s="2">
        <f t="shared" ca="1" si="29"/>
        <v>45280</v>
      </c>
      <c r="Y280">
        <f t="shared" ca="1" si="30"/>
        <v>0</v>
      </c>
      <c r="AA280" s="63">
        <f t="shared" ca="1" si="32"/>
        <v>25.703941868614123</v>
      </c>
      <c r="AB280" s="63">
        <f t="shared" ca="1" si="33"/>
        <v>25.703941868614123</v>
      </c>
      <c r="AC280" s="3">
        <f t="shared" ca="1" si="34"/>
        <v>0</v>
      </c>
    </row>
    <row r="281" spans="8:29">
      <c r="H281" t="b">
        <f t="shared" ca="1" si="31"/>
        <v>1</v>
      </c>
      <c r="I281" t="b">
        <f t="shared" ca="1" si="28"/>
        <v>1</v>
      </c>
      <c r="J281" s="2">
        <f ca="1"/>
        <v>45281</v>
      </c>
      <c r="K281">
        <f ca="1"/>
        <v>247.35586609564314</v>
      </c>
      <c r="L281">
        <f ca="1"/>
        <v>1.7019768105099757</v>
      </c>
      <c r="M281">
        <f ca="1"/>
        <v>2.3563871049248064E-3</v>
      </c>
      <c r="N281">
        <f ca="1"/>
        <v>0.11770091244610907</v>
      </c>
      <c r="O281">
        <f ca="1"/>
        <v>224.93525223924183</v>
      </c>
      <c r="P281">
        <f ca="1"/>
        <v>102.8713647815452</v>
      </c>
      <c r="Q281">
        <f ca="1"/>
        <v>57.053804349301515</v>
      </c>
      <c r="R281">
        <f ca="1"/>
        <v>0</v>
      </c>
      <c r="S281">
        <f ca="1"/>
        <v>0.26790779411731297</v>
      </c>
      <c r="T281">
        <f ca="1"/>
        <v>0</v>
      </c>
      <c r="U281">
        <f ca="1"/>
        <v>0</v>
      </c>
      <c r="V281">
        <f ca="1"/>
        <v>0.96854207564587302</v>
      </c>
      <c r="X281" s="2">
        <f t="shared" ca="1" si="29"/>
        <v>45281</v>
      </c>
      <c r="Y281">
        <f t="shared" ca="1" si="30"/>
        <v>224.93525223924183</v>
      </c>
      <c r="AA281" s="63">
        <f t="shared" ca="1" si="32"/>
        <v>249.0578429061531</v>
      </c>
      <c r="AB281" s="63">
        <f t="shared" ca="1" si="33"/>
        <v>249.0578429061531</v>
      </c>
      <c r="AC281" s="3">
        <f t="shared" ca="1" si="34"/>
        <v>0</v>
      </c>
    </row>
    <row r="282" spans="8:29">
      <c r="H282" t="b">
        <f t="shared" ca="1" si="31"/>
        <v>1</v>
      </c>
      <c r="I282" t="b">
        <f t="shared" ca="1" si="28"/>
        <v>1</v>
      </c>
      <c r="J282" s="2">
        <f ca="1"/>
        <v>45282</v>
      </c>
      <c r="K282">
        <f ca="1"/>
        <v>245.71653528719705</v>
      </c>
      <c r="L282">
        <f ca="1"/>
        <v>1.7631513300880215</v>
      </c>
      <c r="M282">
        <f ca="1"/>
        <v>2.4068838912203461E-3</v>
      </c>
      <c r="N282">
        <f ca="1"/>
        <v>0.12141363775072606</v>
      </c>
      <c r="O282">
        <f ca="1"/>
        <v>0</v>
      </c>
      <c r="P282">
        <f ca="1"/>
        <v>104.63451611163322</v>
      </c>
      <c r="Q282">
        <f ca="1"/>
        <v>58.031671136999648</v>
      </c>
      <c r="R282">
        <f ca="1"/>
        <v>0</v>
      </c>
      <c r="S282">
        <f ca="1"/>
        <v>0.27137271568944338</v>
      </c>
      <c r="T282">
        <f ca="1"/>
        <v>0</v>
      </c>
      <c r="U282">
        <f ca="1"/>
        <v>0</v>
      </c>
      <c r="V282">
        <f ca="1"/>
        <v>0.97005652843406998</v>
      </c>
      <c r="X282" s="2">
        <f t="shared" ca="1" si="29"/>
        <v>45282</v>
      </c>
      <c r="Y282">
        <f t="shared" ca="1" si="30"/>
        <v>0</v>
      </c>
      <c r="AA282" s="63">
        <f t="shared" ca="1" si="32"/>
        <v>247.47968661728507</v>
      </c>
      <c r="AB282" s="63">
        <f t="shared" ca="1" si="33"/>
        <v>247.47968661728507</v>
      </c>
      <c r="AC282" s="3">
        <f t="shared" ca="1" si="34"/>
        <v>0</v>
      </c>
    </row>
    <row r="283" spans="8:29">
      <c r="H283" t="b">
        <f t="shared" ca="1" si="31"/>
        <v>1</v>
      </c>
      <c r="I283" t="b">
        <f t="shared" ca="1" si="28"/>
        <v>1</v>
      </c>
      <c r="J283" s="2">
        <f ca="1"/>
        <v>45283</v>
      </c>
      <c r="K283">
        <f ca="1"/>
        <v>244.07639511325777</v>
      </c>
      <c r="L283">
        <f ca="1"/>
        <v>1.7614038242446242</v>
      </c>
      <c r="M283">
        <f ca="1"/>
        <v>2.3174116142570256E-3</v>
      </c>
      <c r="N283">
        <f ca="1"/>
        <v>0.11894623869111814</v>
      </c>
      <c r="O283">
        <f ca="1"/>
        <v>0</v>
      </c>
      <c r="P283">
        <f ca="1"/>
        <v>106.39591993587784</v>
      </c>
      <c r="Q283">
        <f ca="1"/>
        <v>59.008568735101626</v>
      </c>
      <c r="R283">
        <f ca="1"/>
        <v>0</v>
      </c>
      <c r="S283">
        <f ca="1"/>
        <v>0.26919082639791914</v>
      </c>
      <c r="T283">
        <f ca="1"/>
        <v>0</v>
      </c>
      <c r="U283">
        <f ca="1"/>
        <v>0</v>
      </c>
      <c r="V283">
        <f ca="1"/>
        <v>0.97147997184682766</v>
      </c>
      <c r="X283" s="2">
        <f t="shared" ca="1" si="29"/>
        <v>45283</v>
      </c>
      <c r="Y283">
        <f t="shared" ca="1" si="30"/>
        <v>0</v>
      </c>
      <c r="AA283" s="63">
        <f t="shared" ca="1" si="32"/>
        <v>245.83779893750241</v>
      </c>
      <c r="AB283" s="63">
        <f t="shared" ca="1" si="33"/>
        <v>245.83779893750238</v>
      </c>
      <c r="AC283" s="3">
        <f t="shared" ca="1" si="34"/>
        <v>0</v>
      </c>
    </row>
    <row r="284" spans="8:29">
      <c r="H284" t="b">
        <f t="shared" ca="1" si="31"/>
        <v>1</v>
      </c>
      <c r="I284" t="b">
        <f t="shared" ca="1" si="28"/>
        <v>1</v>
      </c>
      <c r="J284" s="2">
        <f ca="1"/>
        <v>45284</v>
      </c>
      <c r="K284">
        <f ca="1"/>
        <v>242.33891164218261</v>
      </c>
      <c r="L284">
        <f ca="1"/>
        <v>1.862283699342882</v>
      </c>
      <c r="M284">
        <f ca="1"/>
        <v>2.2042765796346231E-3</v>
      </c>
      <c r="N284">
        <f ca="1"/>
        <v>0.12259595168804423</v>
      </c>
      <c r="O284">
        <f ca="1"/>
        <v>0</v>
      </c>
      <c r="P284">
        <f ca="1"/>
        <v>108.25820363522072</v>
      </c>
      <c r="Q284">
        <f ca="1"/>
        <v>60.041415631328121</v>
      </c>
      <c r="R284">
        <f ca="1"/>
        <v>0</v>
      </c>
      <c r="S284">
        <f ca="1"/>
        <v>0.24824148599113763</v>
      </c>
      <c r="T284">
        <f ca="1"/>
        <v>0</v>
      </c>
      <c r="U284">
        <f ca="1"/>
        <v>0</v>
      </c>
      <c r="V284">
        <f ca="1"/>
        <v>0.97289465316958779</v>
      </c>
      <c r="X284" s="2">
        <f t="shared" ca="1" si="29"/>
        <v>45284</v>
      </c>
      <c r="Y284">
        <f t="shared" ca="1" si="30"/>
        <v>0</v>
      </c>
      <c r="AA284" s="63">
        <f t="shared" ca="1" si="32"/>
        <v>244.20119534152548</v>
      </c>
      <c r="AB284" s="63">
        <f t="shared" ca="1" si="33"/>
        <v>244.20119534152548</v>
      </c>
      <c r="AC284" s="3">
        <f t="shared" ca="1" si="34"/>
        <v>0</v>
      </c>
    </row>
    <row r="285" spans="8:29">
      <c r="H285" t="b">
        <f t="shared" ca="1" si="31"/>
        <v>1</v>
      </c>
      <c r="I285" t="b">
        <f t="shared" ca="1" si="28"/>
        <v>1</v>
      </c>
      <c r="J285" s="2">
        <f ca="1"/>
        <v>45285</v>
      </c>
      <c r="K285">
        <f ca="1"/>
        <v>240.56839294985264</v>
      </c>
      <c r="L285">
        <f ca="1"/>
        <v>1.8940242016658857</v>
      </c>
      <c r="M285">
        <f ca="1"/>
        <v>2.0704997524809698E-3</v>
      </c>
      <c r="N285">
        <f ca="1"/>
        <v>0.12143500958343351</v>
      </c>
      <c r="O285">
        <f ca="1"/>
        <v>0</v>
      </c>
      <c r="P285">
        <f ca="1"/>
        <v>110.15222783688661</v>
      </c>
      <c r="Q285">
        <f ca="1"/>
        <v>61.091866225272931</v>
      </c>
      <c r="R285">
        <f ca="1"/>
        <v>0</v>
      </c>
      <c r="S285">
        <f ca="1"/>
        <v>0.23551733983062864</v>
      </c>
      <c r="T285">
        <f ca="1"/>
        <v>0</v>
      </c>
      <c r="U285">
        <f ca="1"/>
        <v>0</v>
      </c>
      <c r="V285">
        <f ca="1"/>
        <v>0.97424519133740528</v>
      </c>
      <c r="X285" s="2">
        <f t="shared" ca="1" si="29"/>
        <v>45285</v>
      </c>
      <c r="Y285">
        <f t="shared" ca="1" si="30"/>
        <v>0</v>
      </c>
      <c r="AA285" s="63">
        <f t="shared" ca="1" si="32"/>
        <v>242.46241715151851</v>
      </c>
      <c r="AB285" s="63">
        <f t="shared" ca="1" si="33"/>
        <v>242.46241715151854</v>
      </c>
      <c r="AC285" s="3">
        <f t="shared" ca="1" si="34"/>
        <v>0</v>
      </c>
    </row>
    <row r="286" spans="8:29">
      <c r="H286" t="b">
        <f t="shared" ca="1" si="31"/>
        <v>1</v>
      </c>
      <c r="I286" t="b">
        <f t="shared" ca="1" si="28"/>
        <v>1</v>
      </c>
      <c r="J286" s="2">
        <f ca="1"/>
        <v>45286</v>
      </c>
      <c r="K286">
        <f ca="1"/>
        <v>238.84433404734011</v>
      </c>
      <c r="L286">
        <f ca="1"/>
        <v>1.8392839702392507</v>
      </c>
      <c r="M286">
        <f ca="1"/>
        <v>1.8364774548036422E-3</v>
      </c>
      <c r="N286">
        <f ca="1"/>
        <v>0.11338859027191091</v>
      </c>
      <c r="O286">
        <f ca="1"/>
        <v>0</v>
      </c>
      <c r="P286">
        <f ca="1"/>
        <v>111.99151180712586</v>
      </c>
      <c r="Q286">
        <f ca="1"/>
        <v>62.111957170928022</v>
      </c>
      <c r="R286">
        <f ca="1"/>
        <v>0</v>
      </c>
      <c r="S286">
        <f ca="1"/>
        <v>0.22140886575263005</v>
      </c>
      <c r="T286">
        <f ca="1"/>
        <v>0</v>
      </c>
      <c r="U286">
        <f ca="1"/>
        <v>0</v>
      </c>
      <c r="V286">
        <f ca="1"/>
        <v>0.97547772900816587</v>
      </c>
      <c r="X286" s="2">
        <f t="shared" ca="1" si="29"/>
        <v>45286</v>
      </c>
      <c r="Y286">
        <f t="shared" ca="1" si="30"/>
        <v>0</v>
      </c>
      <c r="AA286" s="63">
        <f t="shared" ca="1" si="32"/>
        <v>240.68361801757936</v>
      </c>
      <c r="AB286" s="63">
        <f t="shared" ca="1" si="33"/>
        <v>240.68361801757936</v>
      </c>
      <c r="AC286" s="3">
        <f t="shared" ca="1" si="34"/>
        <v>0</v>
      </c>
    </row>
    <row r="287" spans="8:29">
      <c r="H287" t="b">
        <f t="shared" ca="1" si="31"/>
        <v>1</v>
      </c>
      <c r="I287" t="b">
        <f t="shared" ca="1" si="28"/>
        <v>1</v>
      </c>
      <c r="J287" s="2">
        <f ca="1"/>
        <v>45287</v>
      </c>
      <c r="K287">
        <f ca="1"/>
        <v>236.89466325150062</v>
      </c>
      <c r="L287">
        <f ca="1"/>
        <v>2.0813926253165533</v>
      </c>
      <c r="M287">
        <f ca="1"/>
        <v>1.9907843059723263E-3</v>
      </c>
      <c r="N287">
        <f ca="1"/>
        <v>0.1297310451710931</v>
      </c>
      <c r="O287">
        <f ca="1"/>
        <v>0</v>
      </c>
      <c r="P287">
        <f ca="1"/>
        <v>114.07290443244241</v>
      </c>
      <c r="Q287">
        <f ca="1"/>
        <v>63.26632474319721</v>
      </c>
      <c r="R287">
        <f ca="1"/>
        <v>0</v>
      </c>
      <c r="S287">
        <f ca="1"/>
        <v>0.21507377633950742</v>
      </c>
      <c r="T287">
        <f ca="1"/>
        <v>0</v>
      </c>
      <c r="U287">
        <f ca="1"/>
        <v>0</v>
      </c>
      <c r="V287">
        <f ca="1"/>
        <v>0.97678566578499249</v>
      </c>
      <c r="X287" s="2">
        <f t="shared" ca="1" si="29"/>
        <v>45287</v>
      </c>
      <c r="Y287">
        <f t="shared" ca="1" si="30"/>
        <v>0</v>
      </c>
      <c r="AA287" s="63">
        <f t="shared" ca="1" si="32"/>
        <v>238.97605587681718</v>
      </c>
      <c r="AB287" s="63">
        <f t="shared" ca="1" si="33"/>
        <v>238.97605587681716</v>
      </c>
      <c r="AC287" s="3">
        <f t="shared" ca="1" si="34"/>
        <v>0</v>
      </c>
    </row>
    <row r="288" spans="8:29">
      <c r="H288" t="b">
        <f t="shared" ca="1" si="31"/>
        <v>1</v>
      </c>
      <c r="I288" t="b">
        <f t="shared" ca="1" si="28"/>
        <v>1</v>
      </c>
      <c r="J288" s="2">
        <f ca="1"/>
        <v>45288</v>
      </c>
      <c r="K288">
        <f ca="1"/>
        <v>234.89039858492526</v>
      </c>
      <c r="L288">
        <f ca="1"/>
        <v>2.1415570065268383</v>
      </c>
      <c r="M288">
        <f ca="1"/>
        <v>2.1931979190590312E-3</v>
      </c>
      <c r="N288">
        <f ca="1"/>
        <v>0.13509914203239656</v>
      </c>
      <c r="O288">
        <f ca="1"/>
        <v>0</v>
      </c>
      <c r="P288">
        <f ca="1"/>
        <v>116.21446143896925</v>
      </c>
      <c r="Q288">
        <f ca="1"/>
        <v>64.454060268167879</v>
      </c>
      <c r="R288">
        <f ca="1"/>
        <v>0</v>
      </c>
      <c r="S288">
        <f ca="1"/>
        <v>0.23621428431028313</v>
      </c>
      <c r="T288">
        <f ca="1"/>
        <v>0</v>
      </c>
      <c r="U288">
        <f ca="1"/>
        <v>0</v>
      </c>
      <c r="V288">
        <f ca="1"/>
        <v>0.9780425444462405</v>
      </c>
      <c r="X288" s="2">
        <f t="shared" ca="1" si="29"/>
        <v>45288</v>
      </c>
      <c r="Y288">
        <f t="shared" ca="1" si="30"/>
        <v>0</v>
      </c>
      <c r="AA288" s="63">
        <f t="shared" ca="1" si="32"/>
        <v>237.03195559145209</v>
      </c>
      <c r="AB288" s="63">
        <f t="shared" ca="1" si="33"/>
        <v>237.03195559145212</v>
      </c>
      <c r="AC288" s="3">
        <f t="shared" ca="1" si="34"/>
        <v>0</v>
      </c>
    </row>
    <row r="289" spans="8:29">
      <c r="H289" t="b">
        <f t="shared" ca="1" si="31"/>
        <v>1</v>
      </c>
      <c r="I289" t="b">
        <f t="shared" ca="1" si="28"/>
        <v>1</v>
      </c>
      <c r="J289" s="2">
        <f ca="1"/>
        <v>45289</v>
      </c>
      <c r="K289">
        <f ca="1"/>
        <v>233.01110634439766</v>
      </c>
      <c r="L289">
        <f ca="1"/>
        <v>2.0015289061433208</v>
      </c>
      <c r="M289">
        <f ca="1"/>
        <v>1.8941925101128021E-3</v>
      </c>
      <c r="N289">
        <f ca="1"/>
        <v>0.12034247310557858</v>
      </c>
      <c r="O289">
        <f ca="1"/>
        <v>0</v>
      </c>
      <c r="P289">
        <f ca="1"/>
        <v>118.21599034511257</v>
      </c>
      <c r="Q289">
        <f ca="1"/>
        <v>65.564134377256195</v>
      </c>
      <c r="R289">
        <f ca="1"/>
        <v>0</v>
      </c>
      <c r="S289">
        <f ca="1"/>
        <v>0.22688208117593109</v>
      </c>
      <c r="T289">
        <f ca="1"/>
        <v>0</v>
      </c>
      <c r="U289">
        <f ca="1"/>
        <v>0</v>
      </c>
      <c r="V289">
        <f ca="1"/>
        <v>0.97914208525560309</v>
      </c>
      <c r="X289" s="2">
        <f t="shared" ca="1" si="29"/>
        <v>45289</v>
      </c>
      <c r="Y289">
        <f t="shared" ca="1" si="30"/>
        <v>0</v>
      </c>
      <c r="AA289" s="63">
        <f t="shared" ca="1" si="32"/>
        <v>235.01263525054097</v>
      </c>
      <c r="AB289" s="63">
        <f t="shared" ca="1" si="33"/>
        <v>235.012635250541</v>
      </c>
      <c r="AC289" s="3">
        <f t="shared" ca="1" si="34"/>
        <v>0</v>
      </c>
    </row>
    <row r="290" spans="8:29">
      <c r="H290" t="b">
        <f t="shared" ca="1" si="31"/>
        <v>1</v>
      </c>
      <c r="I290" t="b">
        <f t="shared" ca="1" si="28"/>
        <v>1</v>
      </c>
      <c r="J290" s="2">
        <f ca="1"/>
        <v>45290</v>
      </c>
      <c r="K290">
        <f ca="1"/>
        <v>231.04305587735186</v>
      </c>
      <c r="L290">
        <f ca="1"/>
        <v>2.0976675673627483</v>
      </c>
      <c r="M290">
        <f ca="1"/>
        <v>2.0627332997964487E-3</v>
      </c>
      <c r="N290">
        <f ca="1"/>
        <v>0.12755436701716422</v>
      </c>
      <c r="O290">
        <f ca="1"/>
        <v>0</v>
      </c>
      <c r="P290">
        <f ca="1"/>
        <v>120.31365791247532</v>
      </c>
      <c r="Q290">
        <f ca="1"/>
        <v>66.727528245242084</v>
      </c>
      <c r="R290">
        <f ca="1"/>
        <v>0</v>
      </c>
      <c r="S290">
        <f ca="1"/>
        <v>0.24112744917252887</v>
      </c>
      <c r="T290">
        <f ca="1"/>
        <v>0</v>
      </c>
      <c r="U290">
        <f ca="1"/>
        <v>0</v>
      </c>
      <c r="V290">
        <f ca="1"/>
        <v>0.98022249378080051</v>
      </c>
      <c r="X290" s="2">
        <f t="shared" ca="1" si="29"/>
        <v>45290</v>
      </c>
      <c r="Y290">
        <f t="shared" ca="1" si="30"/>
        <v>0</v>
      </c>
      <c r="AA290" s="63">
        <f t="shared" ca="1" si="32"/>
        <v>233.14072344471461</v>
      </c>
      <c r="AB290" s="63">
        <f t="shared" ca="1" si="33"/>
        <v>233.14072344471461</v>
      </c>
      <c r="AC290" s="3">
        <f t="shared" ca="1" si="34"/>
        <v>0</v>
      </c>
    </row>
    <row r="291" spans="8:29">
      <c r="H291" t="b">
        <f t="shared" ca="1" si="31"/>
        <v>1</v>
      </c>
      <c r="I291" t="b">
        <f t="shared" ca="1" si="28"/>
        <v>1</v>
      </c>
      <c r="J291" s="2">
        <f ca="1"/>
        <v>45291</v>
      </c>
      <c r="K291">
        <f ca="1"/>
        <v>229.10697431436637</v>
      </c>
      <c r="L291">
        <f ca="1"/>
        <v>2.0591576200744299</v>
      </c>
      <c r="M291">
        <f ca="1"/>
        <v>1.884924692879153E-3</v>
      </c>
      <c r="N291">
        <f ca="1"/>
        <v>0.12119113239606431</v>
      </c>
      <c r="O291">
        <f ca="1"/>
        <v>0</v>
      </c>
      <c r="P291">
        <f ca="1"/>
        <v>122.37281553254975</v>
      </c>
      <c r="Q291">
        <f ca="1"/>
        <v>67.869563992795193</v>
      </c>
      <c r="R291">
        <f ca="1"/>
        <v>0</v>
      </c>
      <c r="S291">
        <f ca="1"/>
        <v>0.23129924347724107</v>
      </c>
      <c r="T291">
        <f ca="1"/>
        <v>0</v>
      </c>
      <c r="U291">
        <f ca="1"/>
        <v>0</v>
      </c>
      <c r="V291">
        <f ca="1"/>
        <v>0.98121680537386491</v>
      </c>
      <c r="X291" s="2">
        <f t="shared" ca="1" si="29"/>
        <v>45291</v>
      </c>
      <c r="Y291">
        <f t="shared" ca="1" si="30"/>
        <v>0</v>
      </c>
      <c r="AA291" s="63">
        <f t="shared" ca="1" si="32"/>
        <v>231.16613193444081</v>
      </c>
      <c r="AB291" s="63">
        <f t="shared" ca="1" si="33"/>
        <v>231.16613193444078</v>
      </c>
      <c r="AC291" s="3">
        <f t="shared" ca="1" si="34"/>
        <v>0</v>
      </c>
    </row>
    <row r="292" spans="8:29">
      <c r="H292" t="b">
        <f t="shared" ca="1" si="31"/>
        <v>1</v>
      </c>
      <c r="I292" t="b">
        <f t="shared" ca="1" si="28"/>
        <v>1</v>
      </c>
      <c r="J292" s="2">
        <f ca="1"/>
        <v>45292</v>
      </c>
      <c r="K292">
        <f ca="1"/>
        <v>227.0995195399081</v>
      </c>
      <c r="L292">
        <f ca="1"/>
        <v>2.1321678628198271</v>
      </c>
      <c r="M292">
        <f ca="1"/>
        <v>1.7963256493107593E-3</v>
      </c>
      <c r="N292">
        <f ca="1"/>
        <v>0.12291676271223181</v>
      </c>
      <c r="O292">
        <f ca="1"/>
        <v>0</v>
      </c>
      <c r="P292">
        <f ca="1"/>
        <v>124.50498339536958</v>
      </c>
      <c r="Q292">
        <f ca="1"/>
        <v>69.052092175866534</v>
      </c>
      <c r="R292">
        <f ca="1"/>
        <v>0</v>
      </c>
      <c r="S292">
        <f ca="1"/>
        <v>0.21783066421608671</v>
      </c>
      <c r="T292">
        <f ca="1"/>
        <v>0</v>
      </c>
      <c r="U292">
        <f ca="1"/>
        <v>0</v>
      </c>
      <c r="V292">
        <f ca="1"/>
        <v>0.98218240017888359</v>
      </c>
      <c r="X292" s="2">
        <f t="shared" ca="1" si="29"/>
        <v>45292</v>
      </c>
      <c r="Y292">
        <f t="shared" ca="1" si="30"/>
        <v>0</v>
      </c>
      <c r="AA292" s="63">
        <f t="shared" ca="1" si="32"/>
        <v>229.23168740272791</v>
      </c>
      <c r="AB292" s="63">
        <f t="shared" ca="1" si="33"/>
        <v>229.23168740272791</v>
      </c>
      <c r="AC292" s="3">
        <f t="shared" ca="1" si="34"/>
        <v>0</v>
      </c>
    </row>
    <row r="293" spans="8:29">
      <c r="H293" t="b">
        <f t="shared" ca="1" si="31"/>
        <v>1</v>
      </c>
      <c r="I293" t="b">
        <f t="shared" ca="1" si="28"/>
        <v>1</v>
      </c>
      <c r="J293" s="2">
        <f ca="1"/>
        <v>45293</v>
      </c>
      <c r="K293">
        <f ca="1"/>
        <v>224.94253998085406</v>
      </c>
      <c r="L293">
        <f ca="1"/>
        <v>2.2917246405810232</v>
      </c>
      <c r="M293">
        <f ca="1"/>
        <v>1.9044450668772583E-3</v>
      </c>
      <c r="N293">
        <f ca="1"/>
        <v>0.132840636460103</v>
      </c>
      <c r="O293">
        <f ca="1"/>
        <v>0</v>
      </c>
      <c r="P293">
        <f ca="1"/>
        <v>126.7967080359506</v>
      </c>
      <c r="Q293">
        <f ca="1"/>
        <v>70.323112634706987</v>
      </c>
      <c r="R293">
        <f ca="1"/>
        <v>0</v>
      </c>
      <c r="S293">
        <f ca="1"/>
        <v>0.2185103007246367</v>
      </c>
      <c r="T293">
        <f ca="1"/>
        <v>0</v>
      </c>
      <c r="U293">
        <f ca="1"/>
        <v>0</v>
      </c>
      <c r="V293">
        <f ca="1"/>
        <v>0.98315322742555045</v>
      </c>
      <c r="X293" s="2">
        <f t="shared" ca="1" si="29"/>
        <v>45293</v>
      </c>
      <c r="Y293">
        <f t="shared" ca="1" si="30"/>
        <v>0</v>
      </c>
      <c r="AA293" s="63">
        <f t="shared" ca="1" si="32"/>
        <v>227.2342646214351</v>
      </c>
      <c r="AB293" s="63">
        <f t="shared" ca="1" si="33"/>
        <v>227.2342646214351</v>
      </c>
      <c r="AC293" s="3">
        <f t="shared" ca="1" si="34"/>
        <v>0</v>
      </c>
    </row>
    <row r="294" spans="8:29">
      <c r="H294" t="b">
        <f t="shared" ca="1" si="31"/>
        <v>1</v>
      </c>
      <c r="I294" t="b">
        <f t="shared" ca="1" si="28"/>
        <v>1</v>
      </c>
      <c r="J294" s="2">
        <f ca="1"/>
        <v>45294</v>
      </c>
      <c r="K294">
        <f ca="1"/>
        <v>222.79997200840381</v>
      </c>
      <c r="L294">
        <f ca="1"/>
        <v>2.2753828689414064</v>
      </c>
      <c r="M294">
        <f ca="1"/>
        <v>1.9345813799347411E-3</v>
      </c>
      <c r="N294">
        <f ca="1"/>
        <v>0.13088031511123324</v>
      </c>
      <c r="O294">
        <f ca="1"/>
        <v>0</v>
      </c>
      <c r="P294">
        <f ca="1"/>
        <v>129.07209090489201</v>
      </c>
      <c r="Q294">
        <f ca="1"/>
        <v>71.585069733264163</v>
      </c>
      <c r="R294">
        <f ca="1"/>
        <v>0</v>
      </c>
      <c r="S294">
        <f ca="1"/>
        <v>0.23043899353712535</v>
      </c>
      <c r="T294">
        <f ca="1"/>
        <v>0</v>
      </c>
      <c r="U294">
        <f ca="1"/>
        <v>0</v>
      </c>
      <c r="V294">
        <f ca="1"/>
        <v>0.98405377709043229</v>
      </c>
      <c r="X294" s="2">
        <f t="shared" ca="1" si="29"/>
        <v>45294</v>
      </c>
      <c r="Y294">
        <f t="shared" ca="1" si="30"/>
        <v>0</v>
      </c>
      <c r="AA294" s="63">
        <f t="shared" ca="1" si="32"/>
        <v>225.07535487734523</v>
      </c>
      <c r="AB294" s="63">
        <f t="shared" ca="1" si="33"/>
        <v>225.07535487734521</v>
      </c>
      <c r="AC294" s="3">
        <f t="shared" ca="1" si="34"/>
        <v>0</v>
      </c>
    </row>
    <row r="295" spans="8:29">
      <c r="H295" t="b">
        <f t="shared" ca="1" si="31"/>
        <v>1</v>
      </c>
      <c r="I295" t="b">
        <f t="shared" ca="1" si="28"/>
        <v>1</v>
      </c>
      <c r="J295" s="2">
        <f ca="1"/>
        <v>45295</v>
      </c>
      <c r="K295">
        <f ca="1"/>
        <v>220.76094370026408</v>
      </c>
      <c r="L295">
        <f ca="1"/>
        <v>2.1619894607634649</v>
      </c>
      <c r="M295">
        <f ca="1"/>
        <v>1.8161485624741402E-3</v>
      </c>
      <c r="N295">
        <f ca="1"/>
        <v>0.12114500406126019</v>
      </c>
      <c r="O295">
        <f ca="1"/>
        <v>0</v>
      </c>
      <c r="P295">
        <f ca="1"/>
        <v>131.23408036565547</v>
      </c>
      <c r="Q295">
        <f ca="1"/>
        <v>72.78413736458792</v>
      </c>
      <c r="R295">
        <f ca="1"/>
        <v>0</v>
      </c>
      <c r="S295">
        <f ca="1"/>
        <v>0.2355480007478821</v>
      </c>
      <c r="T295">
        <f ca="1"/>
        <v>0</v>
      </c>
      <c r="U295">
        <f ca="1"/>
        <v>0</v>
      </c>
      <c r="V295">
        <f ca="1"/>
        <v>0.98485547364725201</v>
      </c>
      <c r="X295" s="2">
        <f t="shared" ca="1" si="29"/>
        <v>45295</v>
      </c>
      <c r="Y295">
        <f t="shared" ca="1" si="30"/>
        <v>0</v>
      </c>
      <c r="AA295" s="63">
        <f t="shared" ca="1" si="32"/>
        <v>222.92293316102754</v>
      </c>
      <c r="AB295" s="63">
        <f t="shared" ca="1" si="33"/>
        <v>222.92293316102754</v>
      </c>
      <c r="AC295" s="3">
        <f t="shared" ca="1" si="34"/>
        <v>0</v>
      </c>
    </row>
    <row r="296" spans="8:29">
      <c r="H296" t="b">
        <f t="shared" ca="1" si="31"/>
        <v>1</v>
      </c>
      <c r="I296" t="b">
        <f t="shared" ca="1" si="28"/>
        <v>1</v>
      </c>
      <c r="J296" s="2">
        <f ca="1"/>
        <v>45296</v>
      </c>
      <c r="K296">
        <f ca="1"/>
        <v>218.65890556478311</v>
      </c>
      <c r="L296">
        <f ca="1"/>
        <v>2.2276057659379944</v>
      </c>
      <c r="M296">
        <f ca="1"/>
        <v>1.8190011238559123E-3</v>
      </c>
      <c r="N296">
        <f ca="1"/>
        <v>0.1237486293331598</v>
      </c>
      <c r="O296">
        <f ca="1"/>
        <v>0</v>
      </c>
      <c r="P296">
        <f ca="1"/>
        <v>133.46168613159347</v>
      </c>
      <c r="Q296">
        <f ca="1"/>
        <v>74.019596656948778</v>
      </c>
      <c r="R296">
        <f ca="1"/>
        <v>0</v>
      </c>
      <c r="S296">
        <f ca="1"/>
        <v>0.23434927203484915</v>
      </c>
      <c r="T296">
        <f ca="1"/>
        <v>0</v>
      </c>
      <c r="U296">
        <f ca="1"/>
        <v>0</v>
      </c>
      <c r="V296">
        <f ca="1"/>
        <v>0.98563063601363454</v>
      </c>
      <c r="X296" s="2">
        <f t="shared" ca="1" si="29"/>
        <v>45296</v>
      </c>
      <c r="Y296">
        <f t="shared" ca="1" si="30"/>
        <v>0</v>
      </c>
      <c r="AA296" s="63">
        <f t="shared" ca="1" si="32"/>
        <v>220.88651133072111</v>
      </c>
      <c r="AB296" s="63">
        <f t="shared" ca="1" si="33"/>
        <v>220.88651133072111</v>
      </c>
      <c r="AC296" s="3">
        <f t="shared" ca="1" si="34"/>
        <v>0</v>
      </c>
    </row>
    <row r="297" spans="8:29">
      <c r="H297" t="b">
        <f t="shared" ca="1" si="31"/>
        <v>1</v>
      </c>
      <c r="I297" t="b">
        <f t="shared" ca="1" si="28"/>
        <v>1</v>
      </c>
      <c r="J297" s="2">
        <f ca="1"/>
        <v>45297</v>
      </c>
      <c r="K297">
        <f ca="1"/>
        <v>216.50732085113108</v>
      </c>
      <c r="L297">
        <f ca="1"/>
        <v>2.2762814013853756</v>
      </c>
      <c r="M297">
        <f ca="1"/>
        <v>1.6814202246067111E-3</v>
      </c>
      <c r="N297">
        <f ca="1"/>
        <v>0.12301526750873479</v>
      </c>
      <c r="O297">
        <f ca="1"/>
        <v>0</v>
      </c>
      <c r="P297">
        <f ca="1"/>
        <v>135.73796753297884</v>
      </c>
      <c r="Q297">
        <f ca="1"/>
        <v>75.282052093351155</v>
      </c>
      <c r="R297">
        <f ca="1"/>
        <v>0</v>
      </c>
      <c r="S297">
        <f ca="1"/>
        <v>0.21705373479295936</v>
      </c>
      <c r="T297">
        <f ca="1"/>
        <v>0</v>
      </c>
      <c r="U297">
        <f ca="1"/>
        <v>0</v>
      </c>
      <c r="V297">
        <f ca="1"/>
        <v>0.98637337188045504</v>
      </c>
      <c r="X297" s="2">
        <f t="shared" ca="1" si="29"/>
        <v>45297</v>
      </c>
      <c r="Y297">
        <f t="shared" ca="1" si="30"/>
        <v>0</v>
      </c>
      <c r="AA297" s="63">
        <f t="shared" ca="1" si="32"/>
        <v>218.78360225251646</v>
      </c>
      <c r="AB297" s="63">
        <f t="shared" ca="1" si="33"/>
        <v>218.78360225251646</v>
      </c>
      <c r="AC297" s="3">
        <f t="shared" ca="1" si="34"/>
        <v>0</v>
      </c>
    </row>
    <row r="298" spans="8:29">
      <c r="H298" t="b">
        <f t="shared" ca="1" si="31"/>
        <v>1</v>
      </c>
      <c r="I298" t="b">
        <f t="shared" ca="1" si="28"/>
        <v>1</v>
      </c>
      <c r="J298" s="2">
        <f ca="1"/>
        <v>45298</v>
      </c>
      <c r="K298">
        <f ca="1"/>
        <v>214.16696801091064</v>
      </c>
      <c r="L298">
        <f ca="1"/>
        <v>2.476054152852015</v>
      </c>
      <c r="M298">
        <f ca="1"/>
        <v>1.7348558876726372E-3</v>
      </c>
      <c r="N298">
        <f ca="1"/>
        <v>0.13396645674391777</v>
      </c>
      <c r="O298">
        <f ca="1"/>
        <v>0</v>
      </c>
      <c r="P298">
        <f ca="1"/>
        <v>138.21402168583086</v>
      </c>
      <c r="Q298">
        <f ca="1"/>
        <v>76.655304110519282</v>
      </c>
      <c r="R298">
        <f ca="1"/>
        <v>0</v>
      </c>
      <c r="S298">
        <f ca="1"/>
        <v>0.2086059600690689</v>
      </c>
      <c r="T298">
        <f ca="1"/>
        <v>0</v>
      </c>
      <c r="U298">
        <f ca="1"/>
        <v>0</v>
      </c>
      <c r="V298">
        <f ca="1"/>
        <v>0.98712897599614691</v>
      </c>
      <c r="X298" s="2">
        <f t="shared" ca="1" si="29"/>
        <v>45298</v>
      </c>
      <c r="Y298">
        <f t="shared" ca="1" si="30"/>
        <v>0</v>
      </c>
      <c r="AA298" s="63">
        <f t="shared" ca="1" si="32"/>
        <v>216.64302216376265</v>
      </c>
      <c r="AB298" s="63">
        <f t="shared" ca="1" si="33"/>
        <v>216.64302216376265</v>
      </c>
      <c r="AC298" s="3">
        <f t="shared" ca="1" si="34"/>
        <v>0</v>
      </c>
    </row>
    <row r="299" spans="8:29">
      <c r="H299" t="b">
        <f t="shared" ca="1" si="31"/>
        <v>1</v>
      </c>
      <c r="I299" t="b">
        <f t="shared" ca="1" si="28"/>
        <v>1</v>
      </c>
      <c r="J299" s="2">
        <f ca="1"/>
        <v>45299</v>
      </c>
      <c r="K299">
        <f ca="1"/>
        <v>211.83655676870143</v>
      </c>
      <c r="L299">
        <f ca="1"/>
        <v>2.4647757259190541</v>
      </c>
      <c r="M299">
        <f ca="1"/>
        <v>1.7787763474625962E-3</v>
      </c>
      <c r="N299">
        <f ca="1"/>
        <v>0.13258570736239084</v>
      </c>
      <c r="O299">
        <f ca="1"/>
        <v>0</v>
      </c>
      <c r="P299">
        <f ca="1"/>
        <v>140.67879741174991</v>
      </c>
      <c r="Q299">
        <f ca="1"/>
        <v>78.022300964601271</v>
      </c>
      <c r="R299">
        <f ca="1"/>
        <v>0</v>
      </c>
      <c r="S299">
        <f ca="1"/>
        <v>0.22116326672018952</v>
      </c>
      <c r="T299">
        <f ca="1"/>
        <v>0</v>
      </c>
      <c r="U299">
        <f ca="1"/>
        <v>0</v>
      </c>
      <c r="V299">
        <f ca="1"/>
        <v>0.9878312217163866</v>
      </c>
      <c r="X299" s="2">
        <f t="shared" ca="1" si="29"/>
        <v>45299</v>
      </c>
      <c r="Y299">
        <f t="shared" ca="1" si="30"/>
        <v>0</v>
      </c>
      <c r="AA299" s="63">
        <f t="shared" ca="1" si="32"/>
        <v>214.30133249462048</v>
      </c>
      <c r="AB299" s="63">
        <f t="shared" ca="1" si="33"/>
        <v>214.30133249462048</v>
      </c>
      <c r="AC299" s="3">
        <f t="shared" ca="1" si="34"/>
        <v>0</v>
      </c>
    </row>
    <row r="300" spans="8:29">
      <c r="H300" t="b">
        <f t="shared" ca="1" si="31"/>
        <v>1</v>
      </c>
      <c r="I300" t="b">
        <f t="shared" ca="1" si="28"/>
        <v>1</v>
      </c>
      <c r="J300" s="2">
        <f ca="1"/>
        <v>45300</v>
      </c>
      <c r="K300">
        <f ca="1"/>
        <v>209.59542978785998</v>
      </c>
      <c r="L300">
        <f ca="1"/>
        <v>2.3651993984524893</v>
      </c>
      <c r="M300">
        <f ca="1"/>
        <v>1.583928499556464E-3</v>
      </c>
      <c r="N300">
        <f ca="1"/>
        <v>0.12248848911147385</v>
      </c>
      <c r="O300">
        <f ca="1"/>
        <v>0</v>
      </c>
      <c r="P300">
        <f ca="1"/>
        <v>143.0439968102024</v>
      </c>
      <c r="Q300">
        <f ca="1"/>
        <v>79.334071485124227</v>
      </c>
      <c r="R300">
        <f ca="1"/>
        <v>0</v>
      </c>
      <c r="S300">
        <f ca="1"/>
        <v>0.21204488548964157</v>
      </c>
      <c r="T300">
        <f ca="1"/>
        <v>0</v>
      </c>
      <c r="U300">
        <f ca="1"/>
        <v>0</v>
      </c>
      <c r="V300">
        <f ca="1"/>
        <v>0.98846192237365149</v>
      </c>
      <c r="X300" s="2">
        <f t="shared" ca="1" si="29"/>
        <v>45300</v>
      </c>
      <c r="Y300">
        <f t="shared" ca="1" si="30"/>
        <v>0</v>
      </c>
      <c r="AA300" s="63">
        <f t="shared" ca="1" si="32"/>
        <v>211.96062918631245</v>
      </c>
      <c r="AB300" s="63">
        <f t="shared" ca="1" si="33"/>
        <v>211.96062918631247</v>
      </c>
      <c r="AC300" s="3">
        <f t="shared" ca="1" si="34"/>
        <v>0</v>
      </c>
    </row>
    <row r="301" spans="8:29">
      <c r="H301" t="b">
        <f t="shared" ca="1" si="31"/>
        <v>1</v>
      </c>
      <c r="I301" t="b">
        <f t="shared" ca="1" si="28"/>
        <v>1</v>
      </c>
      <c r="J301" s="2">
        <f ca="1"/>
        <v>45301</v>
      </c>
      <c r="K301">
        <f ca="1"/>
        <v>207.37310496931678</v>
      </c>
      <c r="L301">
        <f ca="1"/>
        <v>2.3455731556646526</v>
      </c>
      <c r="M301">
        <f ca="1"/>
        <v>1.6591230501941112E-3</v>
      </c>
      <c r="N301">
        <f ca="1"/>
        <v>0.121589214071261</v>
      </c>
      <c r="O301">
        <f ca="1"/>
        <v>0</v>
      </c>
      <c r="P301">
        <f ca="1"/>
        <v>145.38956996586705</v>
      </c>
      <c r="Q301">
        <f ca="1"/>
        <v>80.634957034707924</v>
      </c>
      <c r="R301">
        <f ca="1"/>
        <v>0</v>
      </c>
      <c r="S301">
        <f ca="1"/>
        <v>0.22981131018979223</v>
      </c>
      <c r="T301">
        <f ca="1"/>
        <v>0</v>
      </c>
      <c r="U301">
        <f ca="1"/>
        <v>0</v>
      </c>
      <c r="V301">
        <f ca="1"/>
        <v>0.9890487860627788</v>
      </c>
      <c r="X301" s="2">
        <f t="shared" ca="1" si="29"/>
        <v>45301</v>
      </c>
      <c r="Y301">
        <f t="shared" ca="1" si="30"/>
        <v>0</v>
      </c>
      <c r="AA301" s="63">
        <f t="shared" ca="1" si="32"/>
        <v>209.71867812498144</v>
      </c>
      <c r="AB301" s="63">
        <f t="shared" ca="1" si="33"/>
        <v>209.71867812498144</v>
      </c>
      <c r="AC301" s="3">
        <f t="shared" ca="1" si="34"/>
        <v>0</v>
      </c>
    </row>
    <row r="302" spans="8:29">
      <c r="H302" t="b">
        <f t="shared" ca="1" si="31"/>
        <v>1</v>
      </c>
      <c r="I302" t="b">
        <f t="shared" ca="1" si="28"/>
        <v>1</v>
      </c>
      <c r="J302" s="2">
        <f ca="1"/>
        <v>45302</v>
      </c>
      <c r="K302">
        <f ca="1"/>
        <v>205.07509759913938</v>
      </c>
      <c r="L302">
        <f ca="1"/>
        <v>2.4263583330194365</v>
      </c>
      <c r="M302">
        <f ca="1"/>
        <v>1.7594316438813706E-3</v>
      </c>
      <c r="N302">
        <f ca="1"/>
        <v>0.12659153119816927</v>
      </c>
      <c r="O302">
        <f ca="1"/>
        <v>0</v>
      </c>
      <c r="P302">
        <f ca="1"/>
        <v>147.81592829888649</v>
      </c>
      <c r="Q302">
        <f ca="1"/>
        <v>81.980647100231593</v>
      </c>
      <c r="R302">
        <f ca="1"/>
        <v>0</v>
      </c>
      <c r="S302">
        <f ca="1"/>
        <v>0.240727367551305</v>
      </c>
      <c r="T302">
        <f ca="1"/>
        <v>0</v>
      </c>
      <c r="U302">
        <f ca="1"/>
        <v>0</v>
      </c>
      <c r="V302">
        <f ca="1"/>
        <v>0.98961840988096739</v>
      </c>
      <c r="X302" s="2">
        <f t="shared" ca="1" si="29"/>
        <v>45302</v>
      </c>
      <c r="Y302">
        <f t="shared" ca="1" si="30"/>
        <v>0</v>
      </c>
      <c r="AA302" s="63">
        <f t="shared" ca="1" si="32"/>
        <v>207.50145593215882</v>
      </c>
      <c r="AB302" s="63">
        <f t="shared" ca="1" si="33"/>
        <v>207.50145593215882</v>
      </c>
      <c r="AC302" s="3">
        <f t="shared" ca="1" si="34"/>
        <v>0</v>
      </c>
    </row>
    <row r="303" spans="8:29">
      <c r="H303" t="b">
        <f t="shared" ca="1" si="31"/>
        <v>1</v>
      </c>
      <c r="I303" t="b">
        <f t="shared" ca="1" si="28"/>
        <v>1</v>
      </c>
      <c r="J303" s="2">
        <f ca="1"/>
        <v>45303</v>
      </c>
      <c r="K303">
        <f ca="1"/>
        <v>202.69346714661091</v>
      </c>
      <c r="L303">
        <f ca="1"/>
        <v>2.51651054433475</v>
      </c>
      <c r="M303">
        <f ca="1"/>
        <v>1.9013633833306898E-3</v>
      </c>
      <c r="N303">
        <f ca="1"/>
        <v>0.13297872842295763</v>
      </c>
      <c r="O303">
        <f ca="1"/>
        <v>0</v>
      </c>
      <c r="P303">
        <f ca="1"/>
        <v>150.33243884322124</v>
      </c>
      <c r="Q303">
        <f ca="1"/>
        <v>83.376336761240026</v>
      </c>
      <c r="R303">
        <f ca="1"/>
        <v>0</v>
      </c>
      <c r="S303">
        <f ca="1"/>
        <v>0.2563427203531275</v>
      </c>
      <c r="T303">
        <f ca="1"/>
        <v>0</v>
      </c>
      <c r="U303">
        <f ca="1"/>
        <v>0</v>
      </c>
      <c r="V303">
        <f ca="1"/>
        <v>0.99017196533209639</v>
      </c>
      <c r="X303" s="2">
        <f t="shared" ca="1" si="29"/>
        <v>45303</v>
      </c>
      <c r="Y303">
        <f t="shared" ca="1" si="30"/>
        <v>0</v>
      </c>
      <c r="AA303" s="63">
        <f t="shared" ca="1" si="32"/>
        <v>205.20997769094566</v>
      </c>
      <c r="AB303" s="63">
        <f t="shared" ca="1" si="33"/>
        <v>205.20997769094566</v>
      </c>
      <c r="AC303" s="3">
        <f t="shared" ca="1" si="34"/>
        <v>0</v>
      </c>
    </row>
    <row r="304" spans="8:29">
      <c r="H304" t="b">
        <f t="shared" ca="1" si="31"/>
        <v>1</v>
      </c>
      <c r="I304" t="b">
        <f t="shared" ca="1" si="28"/>
        <v>1</v>
      </c>
      <c r="J304" s="2">
        <f ca="1"/>
        <v>45304</v>
      </c>
      <c r="K304">
        <f ca="1"/>
        <v>200.25721276588195</v>
      </c>
      <c r="L304">
        <f ca="1"/>
        <v>2.5718245056175419</v>
      </c>
      <c r="M304">
        <f ca="1"/>
        <v>1.8442094224742078E-3</v>
      </c>
      <c r="N304">
        <f ca="1"/>
        <v>0.13372591546608859</v>
      </c>
      <c r="O304">
        <f ca="1"/>
        <v>0</v>
      </c>
      <c r="P304">
        <f ca="1"/>
        <v>152.90426334883878</v>
      </c>
      <c r="Q304">
        <f ca="1"/>
        <v>84.802704268620133</v>
      </c>
      <c r="R304">
        <f ca="1"/>
        <v>0</v>
      </c>
      <c r="S304">
        <f ca="1"/>
        <v>0.24922584820788765</v>
      </c>
      <c r="T304">
        <f ca="1"/>
        <v>0</v>
      </c>
      <c r="U304">
        <f ca="1"/>
        <v>0</v>
      </c>
      <c r="V304">
        <f ca="1"/>
        <v>0.99070148698650506</v>
      </c>
      <c r="X304" s="2">
        <f t="shared" ca="1" si="29"/>
        <v>45304</v>
      </c>
      <c r="Y304">
        <f t="shared" ca="1" si="30"/>
        <v>0</v>
      </c>
      <c r="AA304" s="63">
        <f t="shared" ca="1" si="32"/>
        <v>202.82903727149949</v>
      </c>
      <c r="AB304" s="63">
        <f t="shared" ca="1" si="33"/>
        <v>202.82903727149949</v>
      </c>
      <c r="AC304" s="3">
        <f t="shared" ca="1" si="34"/>
        <v>0</v>
      </c>
    </row>
    <row r="305" spans="8:29">
      <c r="H305" t="b">
        <f t="shared" ca="1" si="31"/>
        <v>1</v>
      </c>
      <c r="I305" t="b">
        <f t="shared" ca="1" si="28"/>
        <v>1</v>
      </c>
      <c r="J305" s="2">
        <f ca="1"/>
        <v>45305</v>
      </c>
      <c r="K305">
        <f ca="1"/>
        <v>197.78811310523619</v>
      </c>
      <c r="L305">
        <f ca="1"/>
        <v>2.6030371073430558</v>
      </c>
      <c r="M305">
        <f ca="1"/>
        <v>1.7366542984937894E-3</v>
      </c>
      <c r="N305">
        <f ca="1"/>
        <v>0.13220079239881252</v>
      </c>
      <c r="O305">
        <f ca="1"/>
        <v>0</v>
      </c>
      <c r="P305">
        <f ca="1"/>
        <v>155.50730045618184</v>
      </c>
      <c r="Q305">
        <f ca="1"/>
        <v>86.246382693142849</v>
      </c>
      <c r="R305">
        <f ca="1"/>
        <v>0</v>
      </c>
      <c r="S305">
        <f ca="1"/>
        <v>0.23775518772005538</v>
      </c>
      <c r="T305">
        <f ca="1"/>
        <v>0</v>
      </c>
      <c r="U305">
        <f ca="1"/>
        <v>0</v>
      </c>
      <c r="V305">
        <f ca="1"/>
        <v>0.99120302190398979</v>
      </c>
      <c r="X305" s="2">
        <f t="shared" ca="1" si="29"/>
        <v>45305</v>
      </c>
      <c r="Y305">
        <f t="shared" ca="1" si="30"/>
        <v>0</v>
      </c>
      <c r="AA305" s="63">
        <f t="shared" ca="1" si="32"/>
        <v>200.39115021257925</v>
      </c>
      <c r="AB305" s="63">
        <f t="shared" ca="1" si="33"/>
        <v>200.39115021257925</v>
      </c>
      <c r="AC305" s="3">
        <f t="shared" ca="1" si="34"/>
        <v>0</v>
      </c>
    </row>
    <row r="306" spans="8:29">
      <c r="H306" t="b">
        <f t="shared" ca="1" si="31"/>
        <v>1</v>
      </c>
      <c r="I306" t="b">
        <f t="shared" ca="1" si="28"/>
        <v>1</v>
      </c>
      <c r="J306" s="2">
        <f ca="1"/>
        <v>45306</v>
      </c>
      <c r="K306">
        <f ca="1"/>
        <v>195.21487846968691</v>
      </c>
      <c r="L306">
        <f ca="1"/>
        <v>2.7111987852530319</v>
      </c>
      <c r="M306">
        <f ca="1"/>
        <v>1.7133615566695681E-3</v>
      </c>
      <c r="N306">
        <f ca="1"/>
        <v>0.13625078814705657</v>
      </c>
      <c r="O306">
        <f ca="1"/>
        <v>0</v>
      </c>
      <c r="P306">
        <f ca="1"/>
        <v>158.21849924143487</v>
      </c>
      <c r="Q306">
        <f ca="1"/>
        <v>87.750048998867214</v>
      </c>
      <c r="R306">
        <f ca="1"/>
        <v>0</v>
      </c>
      <c r="S306">
        <f ca="1"/>
        <v>0.22960957669033358</v>
      </c>
      <c r="T306">
        <f ca="1"/>
        <v>0</v>
      </c>
      <c r="U306">
        <f ca="1"/>
        <v>0</v>
      </c>
      <c r="V306">
        <f ca="1"/>
        <v>0.99169143218840805</v>
      </c>
      <c r="X306" s="2">
        <f t="shared" ca="1" si="29"/>
        <v>45306</v>
      </c>
      <c r="Y306">
        <f t="shared" ca="1" si="30"/>
        <v>0</v>
      </c>
      <c r="AA306" s="63">
        <f t="shared" ca="1" si="32"/>
        <v>197.92607725493994</v>
      </c>
      <c r="AB306" s="63">
        <f t="shared" ca="1" si="33"/>
        <v>197.92607725493994</v>
      </c>
      <c r="AC306" s="3">
        <f t="shared" ca="1" si="34"/>
        <v>0</v>
      </c>
    </row>
    <row r="307" spans="8:29">
      <c r="H307" t="b">
        <f t="shared" ca="1" si="31"/>
        <v>1</v>
      </c>
      <c r="I307" t="b">
        <f t="shared" ca="1" si="28"/>
        <v>1</v>
      </c>
      <c r="J307" s="2">
        <f ca="1"/>
        <v>45307</v>
      </c>
      <c r="K307">
        <f ca="1"/>
        <v>192.68456525078903</v>
      </c>
      <c r="L307">
        <f ca="1"/>
        <v>2.6612463914684383</v>
      </c>
      <c r="M307">
        <f ca="1"/>
        <v>1.5490325212628164E-3</v>
      </c>
      <c r="N307">
        <f ca="1"/>
        <v>0.12938414004929763</v>
      </c>
      <c r="O307">
        <f ca="1"/>
        <v>0</v>
      </c>
      <c r="P307">
        <f ca="1"/>
        <v>160.87974563290331</v>
      </c>
      <c r="Q307">
        <f ca="1"/>
        <v>89.226011053677666</v>
      </c>
      <c r="R307">
        <f ca="1"/>
        <v>0</v>
      </c>
      <c r="S307">
        <f ca="1"/>
        <v>0.21780492161540865</v>
      </c>
      <c r="T307">
        <f ca="1"/>
        <v>0</v>
      </c>
      <c r="U307">
        <f ca="1"/>
        <v>0</v>
      </c>
      <c r="V307">
        <f ca="1"/>
        <v>0.99213973683816048</v>
      </c>
      <c r="X307" s="2">
        <f t="shared" ca="1" si="29"/>
        <v>45307</v>
      </c>
      <c r="Y307">
        <f t="shared" ca="1" si="30"/>
        <v>0</v>
      </c>
      <c r="AA307" s="63">
        <f t="shared" ca="1" si="32"/>
        <v>195.34581164225747</v>
      </c>
      <c r="AB307" s="63">
        <f t="shared" ca="1" si="33"/>
        <v>195.34581164225747</v>
      </c>
      <c r="AC307" s="3">
        <f t="shared" ca="1" si="34"/>
        <v>0</v>
      </c>
    </row>
    <row r="308" spans="8:29">
      <c r="H308" t="b">
        <f t="shared" ca="1" si="31"/>
        <v>1</v>
      </c>
      <c r="I308" t="b">
        <f t="shared" ca="1" si="28"/>
        <v>1</v>
      </c>
      <c r="J308" s="2">
        <f ca="1"/>
        <v>45308</v>
      </c>
      <c r="K308">
        <f ca="1"/>
        <v>190.13978394226712</v>
      </c>
      <c r="L308">
        <f ca="1"/>
        <v>2.6727268545965899</v>
      </c>
      <c r="M308">
        <f ca="1"/>
        <v>1.4242354252331779E-3</v>
      </c>
      <c r="N308">
        <f ca="1"/>
        <v>0.12652131064944197</v>
      </c>
      <c r="O308">
        <f ca="1"/>
        <v>0</v>
      </c>
      <c r="P308">
        <f ca="1"/>
        <v>163.5524724874999</v>
      </c>
      <c r="Q308">
        <f ca="1"/>
        <v>90.708340323490503</v>
      </c>
      <c r="R308">
        <f ca="1"/>
        <v>0</v>
      </c>
      <c r="S308">
        <f ca="1"/>
        <v>0.20416014616277373</v>
      </c>
      <c r="T308">
        <f ca="1"/>
        <v>0</v>
      </c>
      <c r="U308">
        <f ca="1"/>
        <v>0</v>
      </c>
      <c r="V308">
        <f ca="1"/>
        <v>0.99256133572387162</v>
      </c>
      <c r="X308" s="2">
        <f t="shared" ca="1" si="29"/>
        <v>45308</v>
      </c>
      <c r="Y308">
        <f t="shared" ca="1" si="30"/>
        <v>0</v>
      </c>
      <c r="AA308" s="63">
        <f t="shared" ca="1" si="32"/>
        <v>192.81251079686373</v>
      </c>
      <c r="AB308" s="63">
        <f t="shared" ca="1" si="33"/>
        <v>192.81251079686371</v>
      </c>
      <c r="AC308" s="3">
        <f t="shared" ca="1" si="34"/>
        <v>0</v>
      </c>
    </row>
    <row r="309" spans="8:29">
      <c r="H309" t="b">
        <f t="shared" ca="1" si="31"/>
        <v>1</v>
      </c>
      <c r="I309" t="b">
        <f t="shared" ca="1" si="28"/>
        <v>1</v>
      </c>
      <c r="J309" s="2">
        <f ca="1"/>
        <v>45309</v>
      </c>
      <c r="K309">
        <f ca="1"/>
        <v>187.48243027280256</v>
      </c>
      <c r="L309">
        <f ca="1"/>
        <v>2.7955238414148198</v>
      </c>
      <c r="M309">
        <f ca="1"/>
        <v>1.6801567365831716E-3</v>
      </c>
      <c r="N309">
        <f ca="1"/>
        <v>0.136490015213687</v>
      </c>
      <c r="O309">
        <f ca="1"/>
        <v>0</v>
      </c>
      <c r="P309">
        <f ca="1"/>
        <v>166.34799632891472</v>
      </c>
      <c r="Q309">
        <f ca="1"/>
        <v>92.25877440823885</v>
      </c>
      <c r="R309">
        <f ca="1"/>
        <v>0</v>
      </c>
      <c r="S309">
        <f ca="1"/>
        <v>0.23421948087127892</v>
      </c>
      <c r="T309">
        <f ca="1"/>
        <v>0</v>
      </c>
      <c r="U309">
        <f ca="1"/>
        <v>0</v>
      </c>
      <c r="V309">
        <f ca="1"/>
        <v>0.99297393943551759</v>
      </c>
      <c r="X309" s="2">
        <f t="shared" ca="1" si="29"/>
        <v>45309</v>
      </c>
      <c r="Y309">
        <f t="shared" ca="1" si="30"/>
        <v>0</v>
      </c>
      <c r="AA309" s="63">
        <f t="shared" ca="1" si="32"/>
        <v>190.27795411421741</v>
      </c>
      <c r="AB309" s="63">
        <f t="shared" ca="1" si="33"/>
        <v>190.27795411421738</v>
      </c>
      <c r="AC309" s="3">
        <f t="shared" ca="1" si="34"/>
        <v>0</v>
      </c>
    </row>
    <row r="310" spans="8:29">
      <c r="H310" t="b">
        <f t="shared" ca="1" si="31"/>
        <v>1</v>
      </c>
      <c r="I310" t="b">
        <f t="shared" ca="1" si="28"/>
        <v>1</v>
      </c>
      <c r="J310" s="2">
        <f ca="1"/>
        <v>45310</v>
      </c>
      <c r="K310">
        <f ca="1"/>
        <v>184.83176618399213</v>
      </c>
      <c r="L310">
        <f ca="1"/>
        <v>2.7848302104033849</v>
      </c>
      <c r="M310">
        <f ca="1"/>
        <v>1.5660030915327638E-3</v>
      </c>
      <c r="N310">
        <f ca="1"/>
        <v>0.13260011850142511</v>
      </c>
      <c r="O310">
        <f ca="1"/>
        <v>0</v>
      </c>
      <c r="P310">
        <f ca="1"/>
        <v>169.1328265393181</v>
      </c>
      <c r="Q310">
        <f ca="1"/>
        <v>93.803277665367631</v>
      </c>
      <c r="R310">
        <f ca="1"/>
        <v>0</v>
      </c>
      <c r="S310">
        <f ca="1"/>
        <v>0.22502429198696028</v>
      </c>
      <c r="T310">
        <f ca="1"/>
        <v>0</v>
      </c>
      <c r="U310">
        <f ca="1"/>
        <v>0</v>
      </c>
      <c r="V310">
        <f ca="1"/>
        <v>0.99335833209599367</v>
      </c>
      <c r="X310" s="2">
        <f t="shared" ca="1" si="29"/>
        <v>45310</v>
      </c>
      <c r="Y310">
        <f t="shared" ca="1" si="30"/>
        <v>0</v>
      </c>
      <c r="AA310" s="63">
        <f t="shared" ca="1" si="32"/>
        <v>187.61659639439551</v>
      </c>
      <c r="AB310" s="63">
        <f t="shared" ca="1" si="33"/>
        <v>187.61659639439551</v>
      </c>
      <c r="AC310" s="3">
        <f t="shared" ca="1" si="34"/>
        <v>0</v>
      </c>
    </row>
    <row r="311" spans="8:29">
      <c r="H311" t="b">
        <f t="shared" ca="1" si="31"/>
        <v>1</v>
      </c>
      <c r="I311" t="b">
        <f t="shared" ca="1" si="28"/>
        <v>1</v>
      </c>
      <c r="J311" s="2">
        <f ca="1"/>
        <v>45311</v>
      </c>
      <c r="K311">
        <f ca="1"/>
        <v>182.32226616843386</v>
      </c>
      <c r="L311">
        <f ca="1"/>
        <v>2.6299788061835727</v>
      </c>
      <c r="M311">
        <f ca="1"/>
        <v>1.3132581872810078E-3</v>
      </c>
      <c r="N311">
        <f ca="1"/>
        <v>0.11916553243800654</v>
      </c>
      <c r="O311">
        <f ca="1"/>
        <v>0</v>
      </c>
      <c r="P311">
        <f ca="1"/>
        <v>171.76280534550168</v>
      </c>
      <c r="Q311">
        <f ca="1"/>
        <v>95.26189830843434</v>
      </c>
      <c r="R311">
        <f ca="1"/>
        <v>0</v>
      </c>
      <c r="S311">
        <f ca="1"/>
        <v>0.20618003791449496</v>
      </c>
      <c r="T311">
        <f ca="1"/>
        <v>0</v>
      </c>
      <c r="U311">
        <f ca="1"/>
        <v>0</v>
      </c>
      <c r="V311">
        <f ca="1"/>
        <v>0.99369877684760377</v>
      </c>
      <c r="X311" s="2">
        <f t="shared" ca="1" si="29"/>
        <v>45311</v>
      </c>
      <c r="Y311">
        <f t="shared" ca="1" si="30"/>
        <v>0</v>
      </c>
      <c r="AA311" s="63">
        <f t="shared" ca="1" si="32"/>
        <v>184.95224497461743</v>
      </c>
      <c r="AB311" s="63">
        <f t="shared" ca="1" si="33"/>
        <v>184.95224497461743</v>
      </c>
      <c r="AC311" s="3">
        <f t="shared" ca="1" si="34"/>
        <v>0</v>
      </c>
    </row>
    <row r="312" spans="8:29">
      <c r="H312" t="b">
        <f t="shared" ca="1" si="31"/>
        <v>1</v>
      </c>
      <c r="I312" t="b">
        <f t="shared" ca="1" si="28"/>
        <v>1</v>
      </c>
      <c r="J312" s="2">
        <f ca="1"/>
        <v>45312</v>
      </c>
      <c r="K312">
        <f ca="1"/>
        <v>179.54284994953173</v>
      </c>
      <c r="L312">
        <f ca="1"/>
        <v>2.9131806626092498</v>
      </c>
      <c r="M312">
        <f ca="1"/>
        <v>1.3368774874340517E-3</v>
      </c>
      <c r="N312">
        <f ca="1"/>
        <v>0.13242756621968593</v>
      </c>
      <c r="O312">
        <f ca="1"/>
        <v>0</v>
      </c>
      <c r="P312">
        <f ca="1"/>
        <v>174.67598600811093</v>
      </c>
      <c r="Q312">
        <f ca="1"/>
        <v>96.877586405035672</v>
      </c>
      <c r="R312">
        <f ca="1"/>
        <v>0</v>
      </c>
      <c r="S312">
        <f ca="1"/>
        <v>0.19068363055030041</v>
      </c>
      <c r="T312">
        <f ca="1"/>
        <v>0</v>
      </c>
      <c r="U312">
        <f ca="1"/>
        <v>0</v>
      </c>
      <c r="V312">
        <f ca="1"/>
        <v>0.99405220495238644</v>
      </c>
      <c r="X312" s="2">
        <f t="shared" ca="1" si="29"/>
        <v>45312</v>
      </c>
      <c r="Y312">
        <f t="shared" ca="1" si="30"/>
        <v>0</v>
      </c>
      <c r="AA312" s="63">
        <f t="shared" ca="1" si="32"/>
        <v>182.45603061214098</v>
      </c>
      <c r="AB312" s="63">
        <f t="shared" ca="1" si="33"/>
        <v>182.45603061214098</v>
      </c>
      <c r="AC312" s="3">
        <f t="shared" ca="1" si="34"/>
        <v>0</v>
      </c>
    </row>
    <row r="313" spans="8:29">
      <c r="H313" t="b">
        <f t="shared" ca="1" si="31"/>
        <v>1</v>
      </c>
      <c r="I313" t="b">
        <f t="shared" ca="1" si="28"/>
        <v>1</v>
      </c>
      <c r="J313" s="2">
        <f ca="1"/>
        <v>45313</v>
      </c>
      <c r="K313">
        <f ca="1"/>
        <v>176.61225770848216</v>
      </c>
      <c r="L313">
        <f ca="1"/>
        <v>3.0736743510100553</v>
      </c>
      <c r="M313">
        <f ca="1"/>
        <v>1.4606528837166621E-3</v>
      </c>
      <c r="N313">
        <f ca="1"/>
        <v>0.14162145707677848</v>
      </c>
      <c r="O313">
        <f ca="1"/>
        <v>0</v>
      </c>
      <c r="P313">
        <f ca="1"/>
        <v>177.74966035912098</v>
      </c>
      <c r="Q313">
        <f ca="1"/>
        <v>98.582286400300575</v>
      </c>
      <c r="R313">
        <f ca="1"/>
        <v>0</v>
      </c>
      <c r="S313">
        <f ca="1"/>
        <v>0.19979071363159417</v>
      </c>
      <c r="T313">
        <f ca="1"/>
        <v>0</v>
      </c>
      <c r="U313">
        <f ca="1"/>
        <v>0</v>
      </c>
      <c r="V313">
        <f ca="1"/>
        <v>0.99440018601445734</v>
      </c>
      <c r="X313" s="2">
        <f t="shared" ca="1" si="29"/>
        <v>45313</v>
      </c>
      <c r="Y313">
        <f t="shared" ca="1" si="30"/>
        <v>0</v>
      </c>
      <c r="AA313" s="63">
        <f t="shared" ca="1" si="32"/>
        <v>179.68593205949222</v>
      </c>
      <c r="AB313" s="63">
        <f t="shared" ca="1" si="33"/>
        <v>179.68593205949222</v>
      </c>
      <c r="AC313" s="3">
        <f t="shared" ca="1" si="34"/>
        <v>0</v>
      </c>
    </row>
    <row r="314" spans="8:29">
      <c r="H314" t="b">
        <f t="shared" ca="1" si="31"/>
        <v>1</v>
      </c>
      <c r="I314" t="b">
        <f t="shared" ca="1" si="28"/>
        <v>1</v>
      </c>
      <c r="J314" s="2">
        <f ca="1"/>
        <v>45314</v>
      </c>
      <c r="K314">
        <f ca="1"/>
        <v>173.81976233757285</v>
      </c>
      <c r="L314">
        <f ca="1"/>
        <v>2.9231531868960019</v>
      </c>
      <c r="M314">
        <f ca="1"/>
        <v>1.278310677909289E-3</v>
      </c>
      <c r="N314">
        <f ca="1"/>
        <v>0.12937950530876924</v>
      </c>
      <c r="O314">
        <f ca="1"/>
        <v>0</v>
      </c>
      <c r="P314">
        <f ca="1"/>
        <v>180.67281354601698</v>
      </c>
      <c r="Q314">
        <f ca="1"/>
        <v>100.20350538930072</v>
      </c>
      <c r="R314">
        <f ca="1"/>
        <v>0</v>
      </c>
      <c r="S314">
        <f ca="1"/>
        <v>0.19045646539805053</v>
      </c>
      <c r="T314">
        <f ca="1"/>
        <v>0</v>
      </c>
      <c r="U314">
        <f ca="1"/>
        <v>0</v>
      </c>
      <c r="V314">
        <f ca="1"/>
        <v>0.9947092389568043</v>
      </c>
      <c r="X314" s="2">
        <f t="shared" ca="1" si="29"/>
        <v>45314</v>
      </c>
      <c r="Y314">
        <f t="shared" ca="1" si="30"/>
        <v>0</v>
      </c>
      <c r="AA314" s="63">
        <f t="shared" ca="1" si="32"/>
        <v>176.74291552446886</v>
      </c>
      <c r="AB314" s="63">
        <f t="shared" ca="1" si="33"/>
        <v>176.74291552446886</v>
      </c>
      <c r="AC314" s="3">
        <f t="shared" ca="1" si="34"/>
        <v>0</v>
      </c>
    </row>
    <row r="315" spans="8:29">
      <c r="H315" t="b">
        <f t="shared" ca="1" si="31"/>
        <v>1</v>
      </c>
      <c r="I315" t="b">
        <f t="shared" ca="1" si="28"/>
        <v>1</v>
      </c>
      <c r="J315" s="2">
        <f ca="1"/>
        <v>45315</v>
      </c>
      <c r="K315">
        <f ca="1"/>
        <v>171.05426600642096</v>
      </c>
      <c r="L315">
        <f ca="1"/>
        <v>2.892909867311289</v>
      </c>
      <c r="M315">
        <f ca="1"/>
        <v>1.2440593526434895E-3</v>
      </c>
      <c r="N315">
        <f ca="1"/>
        <v>0.12616947680674637</v>
      </c>
      <c r="O315">
        <f ca="1"/>
        <v>0</v>
      </c>
      <c r="P315">
        <f ca="1"/>
        <v>183.56572341332827</v>
      </c>
      <c r="Q315">
        <f ca="1"/>
        <v>101.80795103771065</v>
      </c>
      <c r="R315">
        <f ca="1"/>
        <v>0</v>
      </c>
      <c r="S315">
        <f ca="1"/>
        <v>0.19178054193412955</v>
      </c>
      <c r="T315">
        <f ca="1"/>
        <v>0</v>
      </c>
      <c r="U315">
        <f ca="1"/>
        <v>0</v>
      </c>
      <c r="V315">
        <f ca="1"/>
        <v>0.99499569923183795</v>
      </c>
      <c r="X315" s="2">
        <f t="shared" ca="1" si="29"/>
        <v>45315</v>
      </c>
      <c r="Y315">
        <f t="shared" ca="1" si="30"/>
        <v>0</v>
      </c>
      <c r="AA315" s="63">
        <f t="shared" ca="1" si="32"/>
        <v>173.94717587373225</v>
      </c>
      <c r="AB315" s="63">
        <f t="shared" ca="1" si="33"/>
        <v>173.94717587373225</v>
      </c>
      <c r="AC315" s="3">
        <f t="shared" ca="1" si="34"/>
        <v>0</v>
      </c>
    </row>
    <row r="316" spans="8:29">
      <c r="H316" t="b">
        <f t="shared" ca="1" si="31"/>
        <v>1</v>
      </c>
      <c r="I316" t="b">
        <f t="shared" ca="1" si="28"/>
        <v>1</v>
      </c>
      <c r="J316" s="2">
        <f ca="1"/>
        <v>45316</v>
      </c>
      <c r="K316">
        <f ca="1"/>
        <v>168.28628704240907</v>
      </c>
      <c r="L316">
        <f ca="1"/>
        <v>2.8937703060092588</v>
      </c>
      <c r="M316">
        <f ca="1"/>
        <v>1.2123555933989394E-3</v>
      </c>
      <c r="N316">
        <f ca="1"/>
        <v>0.12457898640397461</v>
      </c>
      <c r="O316">
        <f ca="1"/>
        <v>0</v>
      </c>
      <c r="P316">
        <f ca="1"/>
        <v>186.45949371933753</v>
      </c>
      <c r="Q316">
        <f ca="1"/>
        <v>103.41287389667606</v>
      </c>
      <c r="R316">
        <f ca="1"/>
        <v>0</v>
      </c>
      <c r="S316">
        <f ca="1"/>
        <v>0.19080636441876286</v>
      </c>
      <c r="T316">
        <f ca="1"/>
        <v>0</v>
      </c>
      <c r="U316">
        <f ca="1"/>
        <v>0</v>
      </c>
      <c r="V316">
        <f ca="1"/>
        <v>0.99526437492933062</v>
      </c>
      <c r="X316" s="2">
        <f t="shared" ca="1" si="29"/>
        <v>45316</v>
      </c>
      <c r="Y316">
        <f t="shared" ca="1" si="30"/>
        <v>0</v>
      </c>
      <c r="AA316" s="63">
        <f t="shared" ca="1" si="32"/>
        <v>171.18005734841833</v>
      </c>
      <c r="AB316" s="63">
        <f t="shared" ca="1" si="33"/>
        <v>171.18005734841833</v>
      </c>
      <c r="AC316" s="3">
        <f t="shared" ca="1" si="34"/>
        <v>0</v>
      </c>
    </row>
    <row r="317" spans="8:29">
      <c r="H317" t="b">
        <f t="shared" ca="1" si="31"/>
        <v>1</v>
      </c>
      <c r="I317" t="b">
        <f t="shared" ca="1" si="28"/>
        <v>1</v>
      </c>
      <c r="J317" s="2">
        <f ca="1"/>
        <v>45317</v>
      </c>
      <c r="K317">
        <f ca="1"/>
        <v>165.53454437173846</v>
      </c>
      <c r="L317">
        <f ca="1"/>
        <v>2.8742405603132397</v>
      </c>
      <c r="M317">
        <f ca="1"/>
        <v>1.1421227732739681E-3</v>
      </c>
      <c r="N317">
        <f ca="1"/>
        <v>0.12135576686935212</v>
      </c>
      <c r="O317">
        <f ca="1"/>
        <v>0</v>
      </c>
      <c r="P317">
        <f ca="1"/>
        <v>189.33373427965077</v>
      </c>
      <c r="Q317">
        <f ca="1"/>
        <v>105.00696530325141</v>
      </c>
      <c r="R317">
        <f ca="1"/>
        <v>0</v>
      </c>
      <c r="S317">
        <f ca="1"/>
        <v>0.18485546820030557</v>
      </c>
      <c r="T317">
        <f ca="1"/>
        <v>0</v>
      </c>
      <c r="U317">
        <f ca="1"/>
        <v>0</v>
      </c>
      <c r="V317">
        <f ca="1"/>
        <v>0.9955148350951073</v>
      </c>
      <c r="X317" s="2">
        <f t="shared" ca="1" si="29"/>
        <v>45317</v>
      </c>
      <c r="Y317">
        <f t="shared" ca="1" si="30"/>
        <v>0</v>
      </c>
      <c r="AA317" s="63">
        <f t="shared" ca="1" si="32"/>
        <v>168.4087849320517</v>
      </c>
      <c r="AB317" s="63">
        <f t="shared" ca="1" si="33"/>
        <v>168.4087849320517</v>
      </c>
      <c r="AC317" s="3">
        <f t="shared" ca="1" si="34"/>
        <v>0</v>
      </c>
    </row>
    <row r="318" spans="8:29">
      <c r="H318" t="b">
        <f t="shared" ca="1" si="31"/>
        <v>1</v>
      </c>
      <c r="I318" t="b">
        <f t="shared" ca="1" si="28"/>
        <v>1</v>
      </c>
      <c r="J318" s="2">
        <f ca="1"/>
        <v>45318</v>
      </c>
      <c r="K318">
        <f ca="1"/>
        <v>162.77645857116866</v>
      </c>
      <c r="L318">
        <f ca="1"/>
        <v>2.8815128075073062</v>
      </c>
      <c r="M318">
        <f ca="1"/>
        <v>1.2162498661769661E-3</v>
      </c>
      <c r="N318">
        <f ca="1"/>
        <v>0.12221075707132602</v>
      </c>
      <c r="O318">
        <f ca="1"/>
        <v>0</v>
      </c>
      <c r="P318">
        <f ca="1"/>
        <v>192.21524708715808</v>
      </c>
      <c r="Q318">
        <f ca="1"/>
        <v>106.60508999323336</v>
      </c>
      <c r="R318">
        <f ca="1"/>
        <v>0</v>
      </c>
      <c r="S318">
        <f ca="1"/>
        <v>0.20022695483718311</v>
      </c>
      <c r="T318">
        <f ca="1"/>
        <v>0</v>
      </c>
      <c r="U318">
        <f ca="1"/>
        <v>0</v>
      </c>
      <c r="V318">
        <f ca="1"/>
        <v>0.99575069969707775</v>
      </c>
      <c r="X318" s="2">
        <f t="shared" ca="1" si="29"/>
        <v>45318</v>
      </c>
      <c r="Y318">
        <f t="shared" ca="1" si="30"/>
        <v>0</v>
      </c>
      <c r="AA318" s="63">
        <f t="shared" ca="1" si="32"/>
        <v>165.65797137867597</v>
      </c>
      <c r="AB318" s="63">
        <f t="shared" ca="1" si="33"/>
        <v>165.65797137867597</v>
      </c>
      <c r="AC318" s="3">
        <f t="shared" ca="1" si="34"/>
        <v>0</v>
      </c>
    </row>
    <row r="319" spans="8:29">
      <c r="H319" t="b">
        <f t="shared" ca="1" si="31"/>
        <v>1</v>
      </c>
      <c r="I319" t="b">
        <f t="shared" ca="1" si="28"/>
        <v>1</v>
      </c>
      <c r="J319" s="2">
        <f ca="1"/>
        <v>45319</v>
      </c>
      <c r="K319">
        <f ca="1"/>
        <v>159.87352776974987</v>
      </c>
      <c r="L319">
        <f ca="1"/>
        <v>3.0327233242292664</v>
      </c>
      <c r="M319">
        <f ca="1"/>
        <v>1.2316907201856964E-3</v>
      </c>
      <c r="N319">
        <f ca="1"/>
        <v>0.12856083209030758</v>
      </c>
      <c r="O319">
        <f ca="1"/>
        <v>0</v>
      </c>
      <c r="P319">
        <f ca="1"/>
        <v>195.24797041138734</v>
      </c>
      <c r="Q319">
        <f ca="1"/>
        <v>108.28707801345239</v>
      </c>
      <c r="R319">
        <f ca="1"/>
        <v>0</v>
      </c>
      <c r="S319">
        <f ca="1"/>
        <v>0.1950735216857232</v>
      </c>
      <c r="T319">
        <f ca="1"/>
        <v>0</v>
      </c>
      <c r="U319">
        <f ca="1"/>
        <v>0</v>
      </c>
      <c r="V319">
        <f ca="1"/>
        <v>0.99598365856641013</v>
      </c>
      <c r="X319" s="2">
        <f t="shared" ca="1" si="29"/>
        <v>45319</v>
      </c>
      <c r="Y319">
        <f t="shared" ca="1" si="30"/>
        <v>0</v>
      </c>
      <c r="AA319" s="63">
        <f t="shared" ca="1" si="32"/>
        <v>162.90625109397914</v>
      </c>
      <c r="AB319" s="63">
        <f t="shared" ca="1" si="33"/>
        <v>162.90625109397914</v>
      </c>
      <c r="AC319" s="3">
        <f t="shared" ca="1" si="34"/>
        <v>0</v>
      </c>
    </row>
    <row r="320" spans="8:29">
      <c r="H320" t="b">
        <f t="shared" ca="1" si="31"/>
        <v>1</v>
      </c>
      <c r="I320" t="b">
        <f t="shared" ca="1" si="28"/>
        <v>1</v>
      </c>
      <c r="J320" s="2">
        <f ca="1"/>
        <v>45320</v>
      </c>
      <c r="K320">
        <f ca="1"/>
        <v>156.86720281449891</v>
      </c>
      <c r="L320">
        <f ca="1"/>
        <v>3.1380951386871914</v>
      </c>
      <c r="M320">
        <f ca="1"/>
        <v>1.1364325932330388E-3</v>
      </c>
      <c r="N320">
        <f ca="1"/>
        <v>0.13063375084300297</v>
      </c>
      <c r="O320">
        <f ca="1"/>
        <v>0</v>
      </c>
      <c r="P320">
        <f ca="1"/>
        <v>198.38606555007453</v>
      </c>
      <c r="Q320">
        <f ca="1"/>
        <v>110.02750662011429</v>
      </c>
      <c r="R320">
        <f ca="1"/>
        <v>0</v>
      </c>
      <c r="S320">
        <f ca="1"/>
        <v>0.17638000867548506</v>
      </c>
      <c r="T320">
        <f ca="1"/>
        <v>0</v>
      </c>
      <c r="U320">
        <f ca="1"/>
        <v>0</v>
      </c>
      <c r="V320">
        <f ca="1"/>
        <v>0.99620941924306838</v>
      </c>
      <c r="X320" s="2">
        <f t="shared" ca="1" si="29"/>
        <v>45320</v>
      </c>
      <c r="Y320">
        <f t="shared" ca="1" si="30"/>
        <v>0</v>
      </c>
      <c r="AA320" s="63">
        <f t="shared" ca="1" si="32"/>
        <v>160.0052979531861</v>
      </c>
      <c r="AB320" s="63">
        <f t="shared" ca="1" si="33"/>
        <v>160.0052979531861</v>
      </c>
      <c r="AC320" s="3">
        <f t="shared" ca="1" si="34"/>
        <v>0</v>
      </c>
    </row>
    <row r="321" spans="8:29">
      <c r="H321" t="b">
        <f t="shared" ca="1" si="31"/>
        <v>1</v>
      </c>
      <c r="I321" t="b">
        <f t="shared" ca="1" si="28"/>
        <v>1</v>
      </c>
      <c r="J321" s="2">
        <f ca="1"/>
        <v>45321</v>
      </c>
      <c r="K321">
        <f ca="1"/>
        <v>153.74180289410739</v>
      </c>
      <c r="L321">
        <f ca="1"/>
        <v>3.261391509066442</v>
      </c>
      <c r="M321">
        <f ca="1"/>
        <v>1.1089127377754693E-3</v>
      </c>
      <c r="N321">
        <f ca="1"/>
        <v>0.13488267593715897</v>
      </c>
      <c r="O321">
        <f ca="1"/>
        <v>0</v>
      </c>
      <c r="P321">
        <f ca="1"/>
        <v>201.64745705914098</v>
      </c>
      <c r="Q321">
        <f ca="1"/>
        <v>111.83631700636604</v>
      </c>
      <c r="R321">
        <f ca="1"/>
        <v>0</v>
      </c>
      <c r="S321">
        <f ca="1"/>
        <v>0.16753420489162321</v>
      </c>
      <c r="T321">
        <f ca="1"/>
        <v>0</v>
      </c>
      <c r="U321">
        <f ca="1"/>
        <v>0</v>
      </c>
      <c r="V321">
        <f ca="1"/>
        <v>0.99642880716226223</v>
      </c>
      <c r="X321" s="2">
        <f t="shared" ca="1" si="29"/>
        <v>45321</v>
      </c>
      <c r="Y321">
        <f t="shared" ca="1" si="30"/>
        <v>0</v>
      </c>
      <c r="AA321" s="63">
        <f t="shared" ca="1" si="32"/>
        <v>157.00319440317384</v>
      </c>
      <c r="AB321" s="63">
        <f t="shared" ca="1" si="33"/>
        <v>157.00319440317384</v>
      </c>
      <c r="AC321" s="3">
        <f t="shared" ca="1" si="34"/>
        <v>0</v>
      </c>
    </row>
    <row r="322" spans="8:29">
      <c r="H322" t="b">
        <f t="shared" ca="1" si="31"/>
        <v>1</v>
      </c>
      <c r="I322" t="b">
        <f t="shared" ca="1" si="28"/>
        <v>1</v>
      </c>
      <c r="J322" s="2">
        <f ca="1"/>
        <v>45322</v>
      </c>
      <c r="K322">
        <f ca="1"/>
        <v>150.56732156378229</v>
      </c>
      <c r="L322">
        <f ca="1"/>
        <v>3.3114091697172512</v>
      </c>
      <c r="M322">
        <f ca="1"/>
        <v>1.0931166736778408E-3</v>
      </c>
      <c r="N322">
        <f ca="1"/>
        <v>0.13583472271845901</v>
      </c>
      <c r="O322">
        <f ca="1"/>
        <v>0</v>
      </c>
      <c r="P322">
        <f ca="1"/>
        <v>204.95886622885823</v>
      </c>
      <c r="Q322">
        <f ca="1"/>
        <v>113.6728678413893</v>
      </c>
      <c r="R322">
        <f ca="1"/>
        <v>0</v>
      </c>
      <c r="S322">
        <f ca="1"/>
        <v>0.16537249227736422</v>
      </c>
      <c r="T322">
        <f ca="1"/>
        <v>0</v>
      </c>
      <c r="U322">
        <f ca="1"/>
        <v>0</v>
      </c>
      <c r="V322">
        <f ca="1"/>
        <v>0.99663687708895632</v>
      </c>
      <c r="X322" s="2">
        <f t="shared" ca="1" si="29"/>
        <v>45322</v>
      </c>
      <c r="Y322">
        <f t="shared" ca="1" si="30"/>
        <v>0</v>
      </c>
      <c r="AA322" s="63">
        <f t="shared" ca="1" si="32"/>
        <v>153.87873073349954</v>
      </c>
      <c r="AB322" s="63">
        <f t="shared" ca="1" si="33"/>
        <v>153.87873073349954</v>
      </c>
      <c r="AC322" s="3">
        <f t="shared" ca="1" si="34"/>
        <v>0</v>
      </c>
    </row>
    <row r="323" spans="8:29">
      <c r="H323" t="b">
        <f t="shared" ca="1" si="31"/>
        <v>1</v>
      </c>
      <c r="I323" t="b">
        <f t="shared" ca="1" si="28"/>
        <v>1</v>
      </c>
      <c r="J323" s="2">
        <f ca="1"/>
        <v>45323</v>
      </c>
      <c r="K323">
        <f ca="1"/>
        <v>147.46312270268706</v>
      </c>
      <c r="L323">
        <f ca="1"/>
        <v>3.2337881158859147</v>
      </c>
      <c r="M323">
        <f ca="1"/>
        <v>9.6150648468196209E-4</v>
      </c>
      <c r="N323">
        <f ca="1"/>
        <v>0.12862774830601037</v>
      </c>
      <c r="O323">
        <f ca="1"/>
        <v>0</v>
      </c>
      <c r="P323">
        <f ca="1"/>
        <v>208.19265434474414</v>
      </c>
      <c r="Q323">
        <f ca="1"/>
        <v>115.46636902476186</v>
      </c>
      <c r="R323">
        <f ca="1"/>
        <v>0</v>
      </c>
      <c r="S323">
        <f ca="1"/>
        <v>0.15270592650742845</v>
      </c>
      <c r="T323">
        <f ca="1"/>
        <v>0</v>
      </c>
      <c r="U323">
        <f ca="1"/>
        <v>0</v>
      </c>
      <c r="V323">
        <f ca="1"/>
        <v>0.99682687789003299</v>
      </c>
      <c r="X323" s="2">
        <f t="shared" ca="1" si="29"/>
        <v>45323</v>
      </c>
      <c r="Y323">
        <f t="shared" ca="1" si="30"/>
        <v>0</v>
      </c>
      <c r="AA323" s="63">
        <f t="shared" ca="1" si="32"/>
        <v>150.69691081857297</v>
      </c>
      <c r="AB323" s="63">
        <f t="shared" ca="1" si="33"/>
        <v>150.69691081857297</v>
      </c>
      <c r="AC323" s="3">
        <f t="shared" ca="1" si="34"/>
        <v>0</v>
      </c>
    </row>
    <row r="324" spans="8:29">
      <c r="H324" t="b">
        <f t="shared" ca="1" si="31"/>
        <v>1</v>
      </c>
      <c r="I324" t="b">
        <f t="shared" ca="1" si="28"/>
        <v>1</v>
      </c>
      <c r="J324" s="2">
        <f ca="1"/>
        <v>45324</v>
      </c>
      <c r="K324">
        <f ca="1"/>
        <v>144.51561805380737</v>
      </c>
      <c r="L324">
        <f ca="1"/>
        <v>3.0674057465986095</v>
      </c>
      <c r="M324">
        <f ca="1"/>
        <v>9.0168230001985705E-4</v>
      </c>
      <c r="N324">
        <f ca="1"/>
        <v>0.11899941541888705</v>
      </c>
      <c r="O324">
        <f ca="1"/>
        <v>0</v>
      </c>
      <c r="P324">
        <f ca="1"/>
        <v>211.26006009134275</v>
      </c>
      <c r="Q324">
        <f ca="1"/>
        <v>117.1675923700339</v>
      </c>
      <c r="R324">
        <f ca="1"/>
        <v>0</v>
      </c>
      <c r="S324">
        <f ca="1"/>
        <v>0.15508398277861912</v>
      </c>
      <c r="T324">
        <f ca="1"/>
        <v>0</v>
      </c>
      <c r="U324">
        <f ca="1"/>
        <v>0</v>
      </c>
      <c r="V324">
        <f ca="1"/>
        <v>0.99699594440200334</v>
      </c>
      <c r="X324" s="2">
        <f t="shared" ca="1" si="29"/>
        <v>45324</v>
      </c>
      <c r="Y324">
        <f t="shared" ca="1" si="30"/>
        <v>0</v>
      </c>
      <c r="AA324" s="63">
        <f t="shared" ca="1" si="32"/>
        <v>147.58302380040598</v>
      </c>
      <c r="AB324" s="63">
        <f t="shared" ca="1" si="33"/>
        <v>147.58302380040598</v>
      </c>
      <c r="AC324" s="3">
        <f t="shared" ca="1" si="34"/>
        <v>0</v>
      </c>
    </row>
    <row r="325" spans="8:29">
      <c r="H325" t="b">
        <f t="shared" ca="1" si="31"/>
        <v>1</v>
      </c>
      <c r="I325" t="b">
        <f t="shared" ca="1" si="28"/>
        <v>1</v>
      </c>
      <c r="J325" s="2">
        <f ca="1"/>
        <v>45325</v>
      </c>
      <c r="K325">
        <f ca="1"/>
        <v>141.57930870701469</v>
      </c>
      <c r="L325">
        <f ca="1"/>
        <v>3.053859465601704</v>
      </c>
      <c r="M325">
        <f ca="1"/>
        <v>8.5386142017185307E-4</v>
      </c>
      <c r="N325">
        <f ca="1"/>
        <v>0.11669625738884623</v>
      </c>
      <c r="O325">
        <f ca="1"/>
        <v>0</v>
      </c>
      <c r="P325">
        <f ca="1"/>
        <v>214.31391955694446</v>
      </c>
      <c r="Q325">
        <f ca="1"/>
        <v>118.86130277069498</v>
      </c>
      <c r="R325">
        <f ca="1"/>
        <v>0</v>
      </c>
      <c r="S325">
        <f ca="1"/>
        <v>0.14998094496687708</v>
      </c>
      <c r="T325">
        <f ca="1"/>
        <v>0</v>
      </c>
      <c r="U325">
        <f ca="1"/>
        <v>0</v>
      </c>
      <c r="V325">
        <f ca="1"/>
        <v>0.99715423778310519</v>
      </c>
      <c r="X325" s="2">
        <f t="shared" ca="1" si="29"/>
        <v>45325</v>
      </c>
      <c r="Y325">
        <f t="shared" ca="1" si="30"/>
        <v>0</v>
      </c>
      <c r="AA325" s="63">
        <f t="shared" ca="1" si="32"/>
        <v>144.63316817261639</v>
      </c>
      <c r="AB325" s="63">
        <f t="shared" ca="1" si="33"/>
        <v>144.63316817261639</v>
      </c>
      <c r="AC325" s="3">
        <f t="shared" ca="1" si="34"/>
        <v>0</v>
      </c>
    </row>
    <row r="326" spans="8:29">
      <c r="H326" t="b">
        <f t="shared" ca="1" si="31"/>
        <v>1</v>
      </c>
      <c r="I326" t="b">
        <f t="shared" ca="1" si="28"/>
        <v>1</v>
      </c>
      <c r="J326" s="2">
        <f ca="1"/>
        <v>45326</v>
      </c>
      <c r="K326">
        <f ca="1"/>
        <v>138.34003254884519</v>
      </c>
      <c r="L326">
        <f ca="1"/>
        <v>3.3733788493466648</v>
      </c>
      <c r="M326">
        <f ca="1"/>
        <v>1.0098055317584453E-3</v>
      </c>
      <c r="N326">
        <f ca="1"/>
        <v>0.1330928856453828</v>
      </c>
      <c r="O326">
        <f ca="1"/>
        <v>0</v>
      </c>
      <c r="P326">
        <f ca="1"/>
        <v>217.68729840629112</v>
      </c>
      <c r="Q326">
        <f ca="1"/>
        <v>120.73222280053426</v>
      </c>
      <c r="R326">
        <f ca="1"/>
        <v>0</v>
      </c>
      <c r="S326">
        <f ca="1"/>
        <v>0.16031439185213064</v>
      </c>
      <c r="T326">
        <f ca="1"/>
        <v>0</v>
      </c>
      <c r="U326">
        <f ca="1"/>
        <v>0</v>
      </c>
      <c r="V326">
        <f ca="1"/>
        <v>0.99731828983023285</v>
      </c>
      <c r="X326" s="2">
        <f t="shared" ca="1" si="29"/>
        <v>45326</v>
      </c>
      <c r="Y326">
        <f t="shared" ca="1" si="30"/>
        <v>0</v>
      </c>
      <c r="AA326" s="63">
        <f t="shared" ca="1" si="32"/>
        <v>141.71341139819185</v>
      </c>
      <c r="AB326" s="63">
        <f t="shared" ca="1" si="33"/>
        <v>141.71341139819185</v>
      </c>
      <c r="AC326" s="3">
        <f t="shared" ca="1" si="34"/>
        <v>0</v>
      </c>
    </row>
    <row r="327" spans="8:29">
      <c r="H327" t="b">
        <f t="shared" ca="1" si="31"/>
        <v>1</v>
      </c>
      <c r="I327" t="b">
        <f t="shared" ca="1" si="28"/>
        <v>1</v>
      </c>
      <c r="J327" s="2">
        <f ca="1"/>
        <v>45327</v>
      </c>
      <c r="K327">
        <f ca="1"/>
        <v>135.41003220136346</v>
      </c>
      <c r="L327">
        <f ca="1"/>
        <v>3.0480379634092571</v>
      </c>
      <c r="M327">
        <f ca="1"/>
        <v>9.6871893869021619E-4</v>
      </c>
      <c r="N327">
        <f ca="1"/>
        <v>0.11706889698886855</v>
      </c>
      <c r="O327">
        <f ca="1"/>
        <v>0</v>
      </c>
      <c r="P327">
        <f ca="1"/>
        <v>220.73533636970038</v>
      </c>
      <c r="Q327">
        <f ca="1"/>
        <v>122.42270451994071</v>
      </c>
      <c r="R327">
        <f ca="1"/>
        <v>0</v>
      </c>
      <c r="S327">
        <f ca="1"/>
        <v>0.17628671378834257</v>
      </c>
      <c r="T327">
        <f ca="1"/>
        <v>0</v>
      </c>
      <c r="U327">
        <f ca="1"/>
        <v>0</v>
      </c>
      <c r="V327">
        <f ca="1"/>
        <v>0.99745745115804407</v>
      </c>
      <c r="X327" s="2">
        <f t="shared" ca="1" si="29"/>
        <v>45327</v>
      </c>
      <c r="Y327">
        <f t="shared" ca="1" si="30"/>
        <v>0</v>
      </c>
      <c r="AA327" s="63">
        <f t="shared" ca="1" si="32"/>
        <v>138.45807016477272</v>
      </c>
      <c r="AB327" s="63">
        <f t="shared" ca="1" si="33"/>
        <v>138.45807016477272</v>
      </c>
      <c r="AC327" s="3">
        <f t="shared" ca="1" si="34"/>
        <v>0</v>
      </c>
    </row>
    <row r="328" spans="8:29">
      <c r="H328" t="b">
        <f t="shared" ca="1" si="31"/>
        <v>1</v>
      </c>
      <c r="I328" t="b">
        <f t="shared" ca="1" si="28"/>
        <v>1</v>
      </c>
      <c r="J328" s="2">
        <f ca="1"/>
        <v>45328</v>
      </c>
      <c r="K328">
        <f ca="1"/>
        <v>132.37577123203238</v>
      </c>
      <c r="L328">
        <f ca="1"/>
        <v>3.1554362579343262</v>
      </c>
      <c r="M328">
        <f ca="1"/>
        <v>9.3208448038595293E-4</v>
      </c>
      <c r="N328">
        <f ca="1"/>
        <v>0.12024320412286253</v>
      </c>
      <c r="O328">
        <f ca="1"/>
        <v>0</v>
      </c>
      <c r="P328">
        <f ca="1"/>
        <v>223.8907726276347</v>
      </c>
      <c r="Q328">
        <f ca="1"/>
        <v>124.17275073813937</v>
      </c>
      <c r="R328">
        <f ca="1"/>
        <v>0</v>
      </c>
      <c r="S328">
        <f ca="1"/>
        <v>0.16572899071700678</v>
      </c>
      <c r="T328">
        <f ca="1"/>
        <v>0</v>
      </c>
      <c r="U328">
        <f ca="1"/>
        <v>0</v>
      </c>
      <c r="V328">
        <f ca="1"/>
        <v>0.99759308112361011</v>
      </c>
      <c r="X328" s="2">
        <f t="shared" ca="1" si="29"/>
        <v>45328</v>
      </c>
      <c r="Y328">
        <f t="shared" ca="1" si="30"/>
        <v>0</v>
      </c>
      <c r="AA328" s="63">
        <f t="shared" ca="1" si="32"/>
        <v>135.5312074899667</v>
      </c>
      <c r="AB328" s="63">
        <f t="shared" ca="1" si="33"/>
        <v>135.5312074899667</v>
      </c>
      <c r="AC328" s="3">
        <f t="shared" ca="1" si="34"/>
        <v>0</v>
      </c>
    </row>
    <row r="329" spans="8:29">
      <c r="H329" t="b">
        <f t="shared" ca="1" si="31"/>
        <v>1</v>
      </c>
      <c r="I329" t="b">
        <f t="shared" ca="1" si="28"/>
        <v>1</v>
      </c>
      <c r="J329" s="2">
        <f ca="1"/>
        <v>45329</v>
      </c>
      <c r="K329">
        <f ca="1"/>
        <v>129.32483125281252</v>
      </c>
      <c r="L329">
        <f ca="1"/>
        <v>3.1734356392348957</v>
      </c>
      <c r="M329">
        <f ca="1"/>
        <v>9.9063541753885431E-4</v>
      </c>
      <c r="N329">
        <f ca="1"/>
        <v>0.12150502459750212</v>
      </c>
      <c r="O329">
        <f ca="1"/>
        <v>0</v>
      </c>
      <c r="P329">
        <f ca="1"/>
        <v>227.0642082668696</v>
      </c>
      <c r="Q329">
        <f ca="1"/>
        <v>125.93277964861893</v>
      </c>
      <c r="R329">
        <f ca="1"/>
        <v>0</v>
      </c>
      <c r="S329">
        <f ca="1"/>
        <v>0.17782607611147491</v>
      </c>
      <c r="T329">
        <f ca="1"/>
        <v>0</v>
      </c>
      <c r="U329">
        <f ca="1"/>
        <v>0</v>
      </c>
      <c r="V329">
        <f ca="1"/>
        <v>0.99772141702451667</v>
      </c>
      <c r="X329" s="2">
        <f t="shared" ca="1" si="29"/>
        <v>45329</v>
      </c>
      <c r="Y329">
        <f t="shared" ca="1" si="30"/>
        <v>0</v>
      </c>
      <c r="AA329" s="63">
        <f t="shared" ca="1" si="32"/>
        <v>132.49826689204741</v>
      </c>
      <c r="AB329" s="63">
        <f t="shared" ca="1" si="33"/>
        <v>132.49826689204741</v>
      </c>
      <c r="AC329" s="3">
        <f t="shared" ca="1" si="34"/>
        <v>0</v>
      </c>
    </row>
    <row r="330" spans="8:29">
      <c r="H330" t="b">
        <f t="shared" ca="1" si="31"/>
        <v>1</v>
      </c>
      <c r="I330" t="b">
        <f t="shared" ca="1" si="28"/>
        <v>1</v>
      </c>
      <c r="J330" s="2">
        <f ca="1"/>
        <v>45330</v>
      </c>
      <c r="K330">
        <f ca="1"/>
        <v>126.19306803712129</v>
      </c>
      <c r="L330">
        <f ca="1"/>
        <v>3.2566844356569788</v>
      </c>
      <c r="M330">
        <f ca="1"/>
        <v>9.6848334865917707E-4</v>
      </c>
      <c r="N330">
        <f ca="1"/>
        <v>0.12395273661708743</v>
      </c>
      <c r="O330">
        <f ca="1"/>
        <v>0</v>
      </c>
      <c r="P330">
        <f ca="1"/>
        <v>230.32089270252658</v>
      </c>
      <c r="Q330">
        <f ca="1"/>
        <v>127.73897943039456</v>
      </c>
      <c r="R330">
        <f ca="1"/>
        <v>0</v>
      </c>
      <c r="S330">
        <f ca="1"/>
        <v>0.17146486723851329</v>
      </c>
      <c r="T330">
        <f ca="1"/>
        <v>0</v>
      </c>
      <c r="U330">
        <f ca="1"/>
        <v>0</v>
      </c>
      <c r="V330">
        <f ca="1"/>
        <v>0.99784528364795078</v>
      </c>
      <c r="X330" s="2">
        <f t="shared" ca="1" si="29"/>
        <v>45330</v>
      </c>
      <c r="Y330">
        <f t="shared" ca="1" si="30"/>
        <v>0</v>
      </c>
      <c r="AA330" s="63">
        <f t="shared" ca="1" si="32"/>
        <v>129.44975247277827</v>
      </c>
      <c r="AB330" s="63">
        <f t="shared" ca="1" si="33"/>
        <v>129.44975247277827</v>
      </c>
      <c r="AC330" s="3">
        <f t="shared" ca="1" si="34"/>
        <v>0</v>
      </c>
    </row>
    <row r="331" spans="8:29">
      <c r="H331" t="b">
        <f t="shared" ca="1" si="31"/>
        <v>1</v>
      </c>
      <c r="I331" t="b">
        <f t="shared" ref="I331:I394" ca="1" si="35">AND(IF(J331&gt;($J$7-1),TRUE,FALSE),IF(J331&lt;($J$8+1),TRUE,FALSE))</f>
        <v>1</v>
      </c>
      <c r="J331" s="2">
        <f ca="1"/>
        <v>45331</v>
      </c>
      <c r="K331">
        <f ca="1"/>
        <v>123.02324686498491</v>
      </c>
      <c r="L331">
        <f ca="1"/>
        <v>3.2956312931292473</v>
      </c>
      <c r="M331">
        <f ca="1"/>
        <v>9.6283616581871456E-4</v>
      </c>
      <c r="N331">
        <f ca="1"/>
        <v>0.12484728482704421</v>
      </c>
      <c r="O331">
        <f ca="1"/>
        <v>0</v>
      </c>
      <c r="P331">
        <f ca="1"/>
        <v>233.61652399565583</v>
      </c>
      <c r="Q331">
        <f ca="1"/>
        <v>129.56677964870531</v>
      </c>
      <c r="R331">
        <f ca="1"/>
        <v>0</v>
      </c>
      <c r="S331">
        <f ca="1"/>
        <v>0.1708167853108831</v>
      </c>
      <c r="T331">
        <f ca="1"/>
        <v>0</v>
      </c>
      <c r="U331">
        <f ca="1"/>
        <v>0</v>
      </c>
      <c r="V331">
        <f ca="1"/>
        <v>0.99796310598681404</v>
      </c>
      <c r="X331" s="2">
        <f t="shared" ref="X331:X394" ca="1" si="36">IFERROR(J331,$X$9)</f>
        <v>45331</v>
      </c>
      <c r="Y331">
        <f t="shared" ref="Y331:Y394" ca="1" si="37">IFERROR(O331,0)</f>
        <v>0</v>
      </c>
      <c r="AA331" s="63">
        <f t="shared" ca="1" si="32"/>
        <v>126.31887815811416</v>
      </c>
      <c r="AB331" s="63">
        <f t="shared" ca="1" si="33"/>
        <v>126.31887815811416</v>
      </c>
      <c r="AC331" s="3">
        <f t="shared" ca="1" si="34"/>
        <v>0</v>
      </c>
    </row>
    <row r="332" spans="8:29">
      <c r="H332" t="b">
        <f t="shared" ref="H332:H395" ca="1" si="38">IF(J332&lt;$J$8,TRUE,FALSE)</f>
        <v>1</v>
      </c>
      <c r="I332" t="b">
        <f t="shared" ca="1" si="35"/>
        <v>1</v>
      </c>
      <c r="J332" s="2">
        <f ca="1"/>
        <v>45332</v>
      </c>
      <c r="K332">
        <f ca="1"/>
        <v>119.85046250625767</v>
      </c>
      <c r="L332">
        <f ca="1"/>
        <v>3.2970163081383816</v>
      </c>
      <c r="M332">
        <f ca="1"/>
        <v>9.1626358958585286E-4</v>
      </c>
      <c r="N332">
        <f ca="1"/>
        <v>0.12331568582154678</v>
      </c>
      <c r="O332">
        <f ca="1"/>
        <v>0</v>
      </c>
      <c r="P332">
        <f ca="1"/>
        <v>236.91354030379421</v>
      </c>
      <c r="Q332">
        <f ca="1"/>
        <v>131.39534801445453</v>
      </c>
      <c r="R332">
        <f ca="1"/>
        <v>0</v>
      </c>
      <c r="S332">
        <f ca="1"/>
        <v>0.16501842681675402</v>
      </c>
      <c r="T332">
        <f ca="1"/>
        <v>0</v>
      </c>
      <c r="U332">
        <f ca="1"/>
        <v>0</v>
      </c>
      <c r="V332">
        <f ca="1"/>
        <v>0.99807392333342093</v>
      </c>
      <c r="X332" s="2">
        <f t="shared" ca="1" si="36"/>
        <v>45332</v>
      </c>
      <c r="Y332">
        <f t="shared" ca="1" si="37"/>
        <v>0</v>
      </c>
      <c r="AA332" s="63">
        <f t="shared" ca="1" si="32"/>
        <v>123.14747881439605</v>
      </c>
      <c r="AB332" s="63">
        <f t="shared" ca="1" si="33"/>
        <v>123.14747881439605</v>
      </c>
      <c r="AC332" s="3">
        <f t="shared" ca="1" si="34"/>
        <v>0</v>
      </c>
    </row>
    <row r="333" spans="8:29">
      <c r="H333" t="b">
        <f t="shared" ca="1" si="38"/>
        <v>1</v>
      </c>
      <c r="I333" t="b">
        <f t="shared" ca="1" si="35"/>
        <v>1</v>
      </c>
      <c r="J333" s="2">
        <f ca="1"/>
        <v>45333</v>
      </c>
      <c r="K333">
        <f ca="1"/>
        <v>116.54327528558626</v>
      </c>
      <c r="L333">
        <f ca="1"/>
        <v>3.437340057002757</v>
      </c>
      <c r="M333">
        <f ca="1"/>
        <v>9.4066458208352799E-4</v>
      </c>
      <c r="N333">
        <f ca="1"/>
        <v>0.12921217174925778</v>
      </c>
      <c r="O333">
        <f ca="1"/>
        <v>0</v>
      </c>
      <c r="P333">
        <f ca="1"/>
        <v>240.35088036079696</v>
      </c>
      <c r="Q333">
        <f ca="1"/>
        <v>133.30174176660037</v>
      </c>
      <c r="R333">
        <f ca="1"/>
        <v>0</v>
      </c>
      <c r="S333">
        <f ca="1"/>
        <v>0.1637145453884857</v>
      </c>
      <c r="T333">
        <f ca="1"/>
        <v>0</v>
      </c>
      <c r="U333">
        <f ca="1"/>
        <v>0</v>
      </c>
      <c r="V333">
        <f ca="1"/>
        <v>0.99818246382167253</v>
      </c>
      <c r="X333" s="2">
        <f t="shared" ca="1" si="36"/>
        <v>45333</v>
      </c>
      <c r="Y333">
        <f t="shared" ca="1" si="37"/>
        <v>0</v>
      </c>
      <c r="AA333" s="63">
        <f t="shared" ca="1" si="32"/>
        <v>119.98061534258902</v>
      </c>
      <c r="AB333" s="63">
        <f t="shared" ca="1" si="33"/>
        <v>119.98061534258902</v>
      </c>
      <c r="AC333" s="3">
        <f t="shared" ca="1" si="34"/>
        <v>0</v>
      </c>
    </row>
    <row r="334" spans="8:29">
      <c r="H334" t="b">
        <f t="shared" ca="1" si="38"/>
        <v>1</v>
      </c>
      <c r="I334" t="b">
        <f t="shared" ca="1" si="35"/>
        <v>1</v>
      </c>
      <c r="J334" s="2">
        <f ca="1"/>
        <v>45334</v>
      </c>
      <c r="K334">
        <f ca="1"/>
        <v>113.12715584018365</v>
      </c>
      <c r="L334">
        <f ca="1"/>
        <v>3.5531664346627281</v>
      </c>
      <c r="M334">
        <f ca="1"/>
        <v>1.0526698945785284E-3</v>
      </c>
      <c r="N334">
        <f ca="1"/>
        <v>0.13599431936553069</v>
      </c>
      <c r="O334">
        <f ca="1"/>
        <v>0</v>
      </c>
      <c r="P334">
        <f ca="1"/>
        <v>243.90404679545969</v>
      </c>
      <c r="Q334">
        <f ca="1"/>
        <v>135.27237434267482</v>
      </c>
      <c r="R334">
        <f ca="1"/>
        <v>0</v>
      </c>
      <c r="S334">
        <f ca="1"/>
        <v>0.17877465253528399</v>
      </c>
      <c r="T334">
        <f ca="1"/>
        <v>0</v>
      </c>
      <c r="U334">
        <f ca="1"/>
        <v>0</v>
      </c>
      <c r="V334">
        <f ca="1"/>
        <v>0.99828768347382368</v>
      </c>
      <c r="X334" s="2">
        <f t="shared" ca="1" si="36"/>
        <v>45334</v>
      </c>
      <c r="Y334">
        <f t="shared" ca="1" si="37"/>
        <v>0</v>
      </c>
      <c r="AA334" s="63">
        <f t="shared" ca="1" si="32"/>
        <v>116.68032227484638</v>
      </c>
      <c r="AB334" s="63">
        <f t="shared" ca="1" si="33"/>
        <v>116.68032227484638</v>
      </c>
      <c r="AC334" s="3">
        <f t="shared" ca="1" si="34"/>
        <v>0</v>
      </c>
    </row>
    <row r="335" spans="8:29">
      <c r="H335" t="b">
        <f t="shared" ca="1" si="38"/>
        <v>1</v>
      </c>
      <c r="I335" t="b">
        <f t="shared" ca="1" si="35"/>
        <v>1</v>
      </c>
      <c r="J335" s="2">
        <f ca="1"/>
        <v>45335</v>
      </c>
      <c r="K335">
        <f ca="1"/>
        <v>109.9919353126889</v>
      </c>
      <c r="L335">
        <f ca="1"/>
        <v>3.2574756985569024</v>
      </c>
      <c r="M335">
        <f ca="1"/>
        <v>9.7567058222125524E-4</v>
      </c>
      <c r="N335">
        <f ca="1"/>
        <v>0.12127950047993254</v>
      </c>
      <c r="O335">
        <f ca="1"/>
        <v>0</v>
      </c>
      <c r="P335">
        <f ca="1"/>
        <v>247.16152249401659</v>
      </c>
      <c r="Q335">
        <f ca="1"/>
        <v>137.0790129692036</v>
      </c>
      <c r="R335">
        <f ca="1"/>
        <v>0</v>
      </c>
      <c r="S335">
        <f ca="1"/>
        <v>0.18667756633410004</v>
      </c>
      <c r="T335">
        <f ca="1"/>
        <v>0</v>
      </c>
      <c r="U335">
        <f ca="1"/>
        <v>0</v>
      </c>
      <c r="V335">
        <f ca="1"/>
        <v>0.99837834448309881</v>
      </c>
      <c r="X335" s="2">
        <f t="shared" ca="1" si="36"/>
        <v>45335</v>
      </c>
      <c r="Y335">
        <f t="shared" ca="1" si="37"/>
        <v>0</v>
      </c>
      <c r="AA335" s="63">
        <f t="shared" ca="1" si="32"/>
        <v>113.2494110112458</v>
      </c>
      <c r="AB335" s="63">
        <f t="shared" ca="1" si="33"/>
        <v>113.2494110112458</v>
      </c>
      <c r="AC335" s="3">
        <f t="shared" ca="1" si="34"/>
        <v>0</v>
      </c>
    </row>
    <row r="336" spans="8:29">
      <c r="H336" t="b">
        <f t="shared" ca="1" si="38"/>
        <v>1</v>
      </c>
      <c r="I336" t="b">
        <f t="shared" ca="1" si="35"/>
        <v>1</v>
      </c>
      <c r="J336" s="2">
        <f ca="1"/>
        <v>45336</v>
      </c>
      <c r="K336">
        <f ca="1"/>
        <v>106.94093324887213</v>
      </c>
      <c r="L336">
        <f ca="1"/>
        <v>3.1705856412381195</v>
      </c>
      <c r="M336">
        <f ca="1"/>
        <v>1.0247803907805775E-3</v>
      </c>
      <c r="N336">
        <f ca="1"/>
        <v>0.11855879703057993</v>
      </c>
      <c r="O336">
        <f ca="1"/>
        <v>0</v>
      </c>
      <c r="P336">
        <f ca="1"/>
        <v>250.33210813525471</v>
      </c>
      <c r="Q336">
        <f ca="1"/>
        <v>138.83746123351938</v>
      </c>
      <c r="R336">
        <f ca="1"/>
        <v>0</v>
      </c>
      <c r="S336">
        <f ca="1"/>
        <v>0.20509598419603975</v>
      </c>
      <c r="T336">
        <f ca="1"/>
        <v>0</v>
      </c>
      <c r="U336">
        <f ca="1"/>
        <v>0</v>
      </c>
      <c r="V336">
        <f ca="1"/>
        <v>0.99846161208259865</v>
      </c>
      <c r="X336" s="2">
        <f t="shared" ca="1" si="36"/>
        <v>45336</v>
      </c>
      <c r="Y336">
        <f t="shared" ca="1" si="37"/>
        <v>0</v>
      </c>
      <c r="AA336" s="63">
        <f t="shared" ref="AA336:AA399" ca="1" si="39">K335+M336+N336+O336</f>
        <v>110.11151889011025</v>
      </c>
      <c r="AB336" s="63">
        <f t="shared" ref="AB336:AB399" ca="1" si="40">K336+L336+R336</f>
        <v>110.11151889011025</v>
      </c>
      <c r="AC336" s="3">
        <f t="shared" ref="AC336:AC399" ca="1" si="41">AB336-AA336</f>
        <v>0</v>
      </c>
    </row>
    <row r="337" spans="8:29">
      <c r="H337" t="b">
        <f t="shared" ca="1" si="38"/>
        <v>1</v>
      </c>
      <c r="I337" t="b">
        <f t="shared" ca="1" si="35"/>
        <v>1</v>
      </c>
      <c r="J337" s="2">
        <f ca="1"/>
        <v>45337</v>
      </c>
      <c r="K337">
        <f ca="1"/>
        <v>103.95817764667838</v>
      </c>
      <c r="L337">
        <f ca="1"/>
        <v>3.0998134890285769</v>
      </c>
      <c r="M337">
        <f ca="1"/>
        <v>1.044180983239329E-3</v>
      </c>
      <c r="N337">
        <f ca="1"/>
        <v>0.11601370585158355</v>
      </c>
      <c r="O337">
        <f ca="1"/>
        <v>0</v>
      </c>
      <c r="P337">
        <f ca="1"/>
        <v>253.43192162428329</v>
      </c>
      <c r="Q337">
        <f ca="1"/>
        <v>140.55665833659978</v>
      </c>
      <c r="R337">
        <f ca="1"/>
        <v>0</v>
      </c>
      <c r="S337">
        <f ca="1"/>
        <v>0.217322589738497</v>
      </c>
      <c r="T337">
        <f ca="1"/>
        <v>0</v>
      </c>
      <c r="U337">
        <f ca="1"/>
        <v>0</v>
      </c>
      <c r="V337">
        <f ca="1"/>
        <v>0.99853857536602042</v>
      </c>
      <c r="X337" s="2">
        <f t="shared" ca="1" si="36"/>
        <v>45337</v>
      </c>
      <c r="Y337">
        <f t="shared" ca="1" si="37"/>
        <v>0</v>
      </c>
      <c r="AA337" s="63">
        <f t="shared" ca="1" si="39"/>
        <v>107.05799113570696</v>
      </c>
      <c r="AB337" s="63">
        <f t="shared" ca="1" si="40"/>
        <v>107.05799113570696</v>
      </c>
      <c r="AC337" s="3">
        <f t="shared" ca="1" si="41"/>
        <v>0</v>
      </c>
    </row>
    <row r="338" spans="8:29">
      <c r="H338" t="b">
        <f t="shared" ca="1" si="38"/>
        <v>1</v>
      </c>
      <c r="I338" t="b">
        <f t="shared" ca="1" si="35"/>
        <v>1</v>
      </c>
      <c r="J338" s="2">
        <f ca="1"/>
        <v>45338</v>
      </c>
      <c r="K338">
        <f ca="1"/>
        <v>100.8534773181148</v>
      </c>
      <c r="L338">
        <f ca="1"/>
        <v>3.2269801846897508</v>
      </c>
      <c r="M338">
        <f ca="1"/>
        <v>1.0643116696513744E-3</v>
      </c>
      <c r="N338">
        <f ca="1"/>
        <v>0.12121554445652086</v>
      </c>
      <c r="O338">
        <f ca="1"/>
        <v>0</v>
      </c>
      <c r="P338">
        <f ca="1"/>
        <v>256.65890180897304</v>
      </c>
      <c r="Q338">
        <f ca="1"/>
        <v>142.3463837522909</v>
      </c>
      <c r="R338">
        <f ca="1"/>
        <v>0</v>
      </c>
      <c r="S338">
        <f ca="1"/>
        <v>0.21513713059202788</v>
      </c>
      <c r="T338">
        <f ca="1"/>
        <v>0</v>
      </c>
      <c r="U338">
        <f ca="1"/>
        <v>0</v>
      </c>
      <c r="V338">
        <f ca="1"/>
        <v>0.99861431679251234</v>
      </c>
      <c r="X338" s="2">
        <f t="shared" ca="1" si="36"/>
        <v>45338</v>
      </c>
      <c r="Y338">
        <f t="shared" ca="1" si="37"/>
        <v>0</v>
      </c>
      <c r="AA338" s="63">
        <f t="shared" ca="1" si="39"/>
        <v>104.08045750280455</v>
      </c>
      <c r="AB338" s="63">
        <f t="shared" ca="1" si="40"/>
        <v>104.08045750280455</v>
      </c>
      <c r="AC338" s="3">
        <f t="shared" ca="1" si="41"/>
        <v>0</v>
      </c>
    </row>
    <row r="339" spans="8:29">
      <c r="H339" t="b">
        <f t="shared" ca="1" si="38"/>
        <v>1</v>
      </c>
      <c r="I339" t="b">
        <f t="shared" ca="1" si="35"/>
        <v>1</v>
      </c>
      <c r="J339" s="2">
        <f ca="1"/>
        <v>45339</v>
      </c>
      <c r="K339">
        <f ca="1"/>
        <v>97.520615143164818</v>
      </c>
      <c r="L339">
        <f ca="1"/>
        <v>3.4661704221580862</v>
      </c>
      <c r="M339">
        <f ca="1"/>
        <v>1.1297597351038746E-3</v>
      </c>
      <c r="N339">
        <f ca="1"/>
        <v>0.13217848747299485</v>
      </c>
      <c r="O339">
        <f ca="1"/>
        <v>0</v>
      </c>
      <c r="P339">
        <f ca="1"/>
        <v>260.12507223113113</v>
      </c>
      <c r="Q339">
        <f ca="1"/>
        <v>144.26876720202054</v>
      </c>
      <c r="R339">
        <f ca="1"/>
        <v>0</v>
      </c>
      <c r="S339">
        <f ca="1"/>
        <v>0.21360517397395806</v>
      </c>
      <c r="T339">
        <f ca="1"/>
        <v>0</v>
      </c>
      <c r="U339">
        <f ca="1"/>
        <v>0</v>
      </c>
      <c r="V339">
        <f ca="1"/>
        <v>0.99869101172012498</v>
      </c>
      <c r="X339" s="2">
        <f t="shared" ca="1" si="36"/>
        <v>45339</v>
      </c>
      <c r="Y339">
        <f t="shared" ca="1" si="37"/>
        <v>0</v>
      </c>
      <c r="AA339" s="63">
        <f t="shared" ca="1" si="39"/>
        <v>100.9867855653229</v>
      </c>
      <c r="AB339" s="63">
        <f t="shared" ca="1" si="40"/>
        <v>100.9867855653229</v>
      </c>
      <c r="AC339" s="3">
        <f t="shared" ca="1" si="41"/>
        <v>0</v>
      </c>
    </row>
    <row r="340" spans="8:29">
      <c r="H340" t="b">
        <f t="shared" ca="1" si="38"/>
        <v>1</v>
      </c>
      <c r="I340" t="b">
        <f t="shared" ca="1" si="35"/>
        <v>1</v>
      </c>
      <c r="J340" s="2">
        <f ca="1"/>
        <v>45340</v>
      </c>
      <c r="K340">
        <f ca="1"/>
        <v>94.096593628534265</v>
      </c>
      <c r="L340">
        <f ca="1"/>
        <v>3.5630019313352363</v>
      </c>
      <c r="M340">
        <f ca="1"/>
        <v>1.201549781734812E-3</v>
      </c>
      <c r="N340">
        <f ca="1"/>
        <v>0.13777886692293753</v>
      </c>
      <c r="O340">
        <f ca="1"/>
        <v>0</v>
      </c>
      <c r="P340">
        <f ca="1"/>
        <v>263.68807416246636</v>
      </c>
      <c r="Q340">
        <f ca="1"/>
        <v>146.24485467318681</v>
      </c>
      <c r="R340">
        <f ca="1"/>
        <v>0</v>
      </c>
      <c r="S340">
        <f ca="1"/>
        <v>0.22338534532217613</v>
      </c>
      <c r="T340">
        <f ca="1"/>
        <v>0</v>
      </c>
      <c r="U340">
        <f ca="1"/>
        <v>0</v>
      </c>
      <c r="V340">
        <f ca="1"/>
        <v>0.99876514823998996</v>
      </c>
      <c r="X340" s="2">
        <f t="shared" ca="1" si="36"/>
        <v>45340</v>
      </c>
      <c r="Y340">
        <f t="shared" ca="1" si="37"/>
        <v>0</v>
      </c>
      <c r="AA340" s="63">
        <f t="shared" ca="1" si="39"/>
        <v>97.659595559869501</v>
      </c>
      <c r="AB340" s="63">
        <f t="shared" ca="1" si="40"/>
        <v>97.659595559869501</v>
      </c>
      <c r="AC340" s="3">
        <f t="shared" ca="1" si="41"/>
        <v>0</v>
      </c>
    </row>
    <row r="341" spans="8:29">
      <c r="H341" t="b">
        <f t="shared" ca="1" si="38"/>
        <v>1</v>
      </c>
      <c r="I341" t="b">
        <f t="shared" ca="1" si="35"/>
        <v>1</v>
      </c>
      <c r="J341" s="2">
        <f ca="1"/>
        <v>45341</v>
      </c>
      <c r="K341">
        <f ca="1"/>
        <v>90.769643531153818</v>
      </c>
      <c r="L341">
        <f ca="1"/>
        <v>3.4580382804192595</v>
      </c>
      <c r="M341">
        <f ca="1"/>
        <v>1.0743064412839232E-3</v>
      </c>
      <c r="N341">
        <f ca="1"/>
        <v>0.13001387659753022</v>
      </c>
      <c r="O341">
        <f ca="1"/>
        <v>0</v>
      </c>
      <c r="P341">
        <f ca="1"/>
        <v>267.14611244288562</v>
      </c>
      <c r="Q341">
        <f ca="1"/>
        <v>148.16272793074882</v>
      </c>
      <c r="R341">
        <f ca="1"/>
        <v>0</v>
      </c>
      <c r="S341">
        <f ca="1"/>
        <v>0.21030566052463823</v>
      </c>
      <c r="T341">
        <f ca="1"/>
        <v>0</v>
      </c>
      <c r="U341">
        <f ca="1"/>
        <v>0</v>
      </c>
      <c r="V341">
        <f ca="1"/>
        <v>0.99883284638618286</v>
      </c>
      <c r="X341" s="2">
        <f t="shared" ca="1" si="36"/>
        <v>45341</v>
      </c>
      <c r="Y341">
        <f t="shared" ca="1" si="37"/>
        <v>0</v>
      </c>
      <c r="AA341" s="63">
        <f t="shared" ca="1" si="39"/>
        <v>94.227681811573078</v>
      </c>
      <c r="AB341" s="63">
        <f t="shared" ca="1" si="40"/>
        <v>94.227681811573078</v>
      </c>
      <c r="AC341" s="3">
        <f t="shared" ca="1" si="41"/>
        <v>0</v>
      </c>
    </row>
    <row r="342" spans="8:29">
      <c r="H342" t="b">
        <f t="shared" ca="1" si="38"/>
        <v>1</v>
      </c>
      <c r="I342" t="b">
        <f t="shared" ca="1" si="35"/>
        <v>1</v>
      </c>
      <c r="J342" s="2">
        <f ca="1"/>
        <v>45342</v>
      </c>
      <c r="K342">
        <f ca="1"/>
        <v>87.497429421953399</v>
      </c>
      <c r="L342">
        <f ca="1"/>
        <v>3.4021547819361331</v>
      </c>
      <c r="M342">
        <f ca="1"/>
        <v>1.1184390322434012E-3</v>
      </c>
      <c r="N342">
        <f ca="1"/>
        <v>0.12882223370347393</v>
      </c>
      <c r="O342">
        <f ca="1"/>
        <v>0</v>
      </c>
      <c r="P342">
        <f ca="1"/>
        <v>270.54826722482176</v>
      </c>
      <c r="Q342">
        <f ca="1"/>
        <v>150.04960746915899</v>
      </c>
      <c r="R342">
        <f ca="1"/>
        <v>0</v>
      </c>
      <c r="S342">
        <f ca="1"/>
        <v>0.22650578561479953</v>
      </c>
      <c r="T342">
        <f ca="1"/>
        <v>0</v>
      </c>
      <c r="U342">
        <f ca="1"/>
        <v>0</v>
      </c>
      <c r="V342">
        <f ca="1"/>
        <v>0.99889562833015966</v>
      </c>
      <c r="X342" s="2">
        <f t="shared" ca="1" si="36"/>
        <v>45342</v>
      </c>
      <c r="Y342">
        <f t="shared" ca="1" si="37"/>
        <v>0</v>
      </c>
      <c r="AA342" s="63">
        <f t="shared" ca="1" si="39"/>
        <v>90.899584203889532</v>
      </c>
      <c r="AB342" s="63">
        <f t="shared" ca="1" si="40"/>
        <v>90.899584203889532</v>
      </c>
      <c r="AC342" s="3">
        <f t="shared" ca="1" si="41"/>
        <v>0</v>
      </c>
    </row>
    <row r="343" spans="8:29">
      <c r="H343" t="b">
        <f t="shared" ca="1" si="38"/>
        <v>1</v>
      </c>
      <c r="I343" t="b">
        <f t="shared" ca="1" si="35"/>
        <v>1</v>
      </c>
      <c r="J343" s="2">
        <f ca="1"/>
        <v>45343</v>
      </c>
      <c r="K343">
        <f ca="1"/>
        <v>84.205426997912397</v>
      </c>
      <c r="L343">
        <f ca="1"/>
        <v>3.42074421777221</v>
      </c>
      <c r="M343">
        <f ca="1"/>
        <v>1.0521592560355231E-3</v>
      </c>
      <c r="N343">
        <f ca="1"/>
        <v>0.12768963447517623</v>
      </c>
      <c r="O343">
        <f ca="1"/>
        <v>0</v>
      </c>
      <c r="P343">
        <f ca="1"/>
        <v>273.96901144259397</v>
      </c>
      <c r="Q343">
        <f ca="1"/>
        <v>151.94679695181267</v>
      </c>
      <c r="R343">
        <f ca="1"/>
        <v>0</v>
      </c>
      <c r="S343">
        <f ca="1"/>
        <v>0.21485436843216318</v>
      </c>
      <c r="T343">
        <f ca="1"/>
        <v>0</v>
      </c>
      <c r="U343">
        <f ca="1"/>
        <v>0</v>
      </c>
      <c r="V343">
        <f ca="1"/>
        <v>0.99895517545090318</v>
      </c>
      <c r="X343" s="2">
        <f t="shared" ca="1" si="36"/>
        <v>45343</v>
      </c>
      <c r="Y343">
        <f t="shared" ca="1" si="37"/>
        <v>0</v>
      </c>
      <c r="AA343" s="63">
        <f t="shared" ca="1" si="39"/>
        <v>87.626171215684607</v>
      </c>
      <c r="AB343" s="63">
        <f t="shared" ca="1" si="40"/>
        <v>87.626171215684607</v>
      </c>
      <c r="AC343" s="3">
        <f t="shared" ca="1" si="41"/>
        <v>0</v>
      </c>
    </row>
    <row r="344" spans="8:29">
      <c r="H344" t="b">
        <f t="shared" ca="1" si="38"/>
        <v>1</v>
      </c>
      <c r="I344" t="b">
        <f t="shared" ca="1" si="35"/>
        <v>1</v>
      </c>
      <c r="J344" s="2">
        <f ca="1"/>
        <v>45344</v>
      </c>
      <c r="K344">
        <f ca="1"/>
        <v>80.96452239030252</v>
      </c>
      <c r="L344">
        <f ca="1"/>
        <v>3.3666194051149319</v>
      </c>
      <c r="M344">
        <f ca="1"/>
        <v>1.0220866645322957E-3</v>
      </c>
      <c r="N344">
        <f ca="1"/>
        <v>0.12469271084051527</v>
      </c>
      <c r="O344">
        <f ca="1"/>
        <v>0</v>
      </c>
      <c r="P344">
        <f ca="1"/>
        <v>277.3356308477089</v>
      </c>
      <c r="Q344">
        <f ca="1"/>
        <v>153.81396810547514</v>
      </c>
      <c r="R344">
        <f ca="1"/>
        <v>0</v>
      </c>
      <c r="S344">
        <f ca="1"/>
        <v>0.21552925678530974</v>
      </c>
      <c r="T344">
        <f ca="1"/>
        <v>0</v>
      </c>
      <c r="U344">
        <f ca="1"/>
        <v>0</v>
      </c>
      <c r="V344">
        <f ca="1"/>
        <v>0.99901049734281333</v>
      </c>
      <c r="X344" s="2">
        <f t="shared" ca="1" si="36"/>
        <v>45344</v>
      </c>
      <c r="Y344">
        <f t="shared" ca="1" si="37"/>
        <v>0</v>
      </c>
      <c r="AA344" s="63">
        <f t="shared" ca="1" si="39"/>
        <v>84.331141795417452</v>
      </c>
      <c r="AB344" s="63">
        <f t="shared" ca="1" si="40"/>
        <v>84.331141795417452</v>
      </c>
      <c r="AC344" s="3">
        <f t="shared" ca="1" si="41"/>
        <v>0</v>
      </c>
    </row>
    <row r="345" spans="8:29">
      <c r="H345" t="b">
        <f t="shared" ca="1" si="38"/>
        <v>1</v>
      </c>
      <c r="I345" t="b">
        <f t="shared" ca="1" si="35"/>
        <v>1</v>
      </c>
      <c r="J345" s="2">
        <f ca="1"/>
        <v>45345</v>
      </c>
      <c r="K345">
        <f ca="1"/>
        <v>77.774541639467557</v>
      </c>
      <c r="L345">
        <f ca="1"/>
        <v>3.3132875522425138</v>
      </c>
      <c r="M345">
        <f ca="1"/>
        <v>1.0107002160246736E-3</v>
      </c>
      <c r="N345">
        <f ca="1"/>
        <v>0.12229610119152341</v>
      </c>
      <c r="O345">
        <f ca="1"/>
        <v>0</v>
      </c>
      <c r="P345">
        <f ca="1"/>
        <v>280.64891839995141</v>
      </c>
      <c r="Q345">
        <f ca="1"/>
        <v>155.65156071601405</v>
      </c>
      <c r="R345">
        <f ca="1"/>
        <v>0</v>
      </c>
      <c r="S345">
        <f ca="1"/>
        <v>0.2199069034942906</v>
      </c>
      <c r="T345">
        <f ca="1"/>
        <v>0</v>
      </c>
      <c r="U345">
        <f ca="1"/>
        <v>0</v>
      </c>
      <c r="V345">
        <f ca="1"/>
        <v>0.99906195909660778</v>
      </c>
      <c r="X345" s="2">
        <f t="shared" ca="1" si="36"/>
        <v>45345</v>
      </c>
      <c r="Y345">
        <f t="shared" ca="1" si="37"/>
        <v>0</v>
      </c>
      <c r="AA345" s="63">
        <f t="shared" ca="1" si="39"/>
        <v>81.087829191710071</v>
      </c>
      <c r="AB345" s="63">
        <f t="shared" ca="1" si="40"/>
        <v>81.087829191710071</v>
      </c>
      <c r="AC345" s="3">
        <f t="shared" ca="1" si="41"/>
        <v>0</v>
      </c>
    </row>
    <row r="346" spans="8:29">
      <c r="H346" t="b">
        <f t="shared" ca="1" si="38"/>
        <v>1</v>
      </c>
      <c r="I346" t="b">
        <f t="shared" ca="1" si="35"/>
        <v>1</v>
      </c>
      <c r="J346" s="2">
        <f ca="1"/>
        <v>45346</v>
      </c>
      <c r="K346">
        <f ca="1"/>
        <v>74.441740117303198</v>
      </c>
      <c r="L346">
        <f ca="1"/>
        <v>3.4633301923811359</v>
      </c>
      <c r="M346">
        <f ca="1"/>
        <v>1.060004282081195E-3</v>
      </c>
      <c r="N346">
        <f ca="1"/>
        <v>0.1294686659346983</v>
      </c>
      <c r="O346">
        <f ca="1"/>
        <v>0</v>
      </c>
      <c r="P346">
        <f ca="1"/>
        <v>284.11224859233255</v>
      </c>
      <c r="Q346">
        <f ca="1"/>
        <v>157.57236893716242</v>
      </c>
      <c r="R346">
        <f ca="1"/>
        <v>0</v>
      </c>
      <c r="S346">
        <f ca="1"/>
        <v>0.22225038184672571</v>
      </c>
      <c r="T346">
        <f ca="1"/>
        <v>0</v>
      </c>
      <c r="U346">
        <f ca="1"/>
        <v>0</v>
      </c>
      <c r="V346">
        <f ca="1"/>
        <v>0.99911278137148352</v>
      </c>
      <c r="X346" s="2">
        <f t="shared" ca="1" si="36"/>
        <v>45346</v>
      </c>
      <c r="Y346">
        <f t="shared" ca="1" si="37"/>
        <v>0</v>
      </c>
      <c r="AA346" s="63">
        <f t="shared" ca="1" si="39"/>
        <v>77.905070309684334</v>
      </c>
      <c r="AB346" s="63">
        <f t="shared" ca="1" si="40"/>
        <v>77.905070309684334</v>
      </c>
      <c r="AC346" s="3">
        <f t="shared" ca="1" si="41"/>
        <v>0</v>
      </c>
    </row>
    <row r="347" spans="8:29">
      <c r="H347" t="b">
        <f t="shared" ca="1" si="38"/>
        <v>1</v>
      </c>
      <c r="I347" t="b">
        <f t="shared" ca="1" si="35"/>
        <v>1</v>
      </c>
      <c r="J347" s="2">
        <f ca="1"/>
        <v>45347</v>
      </c>
      <c r="K347">
        <f ca="1"/>
        <v>71.216065492914254</v>
      </c>
      <c r="L347">
        <f ca="1"/>
        <v>3.3484846381024909</v>
      </c>
      <c r="M347">
        <f ca="1"/>
        <v>9.448620804839436E-4</v>
      </c>
      <c r="N347">
        <f ca="1"/>
        <v>0.12186515163306259</v>
      </c>
      <c r="O347">
        <f ca="1"/>
        <v>0</v>
      </c>
      <c r="P347">
        <f ca="1"/>
        <v>287.46073323043504</v>
      </c>
      <c r="Q347">
        <f ca="1"/>
        <v>159.42948231185747</v>
      </c>
      <c r="R347">
        <f ca="1"/>
        <v>0</v>
      </c>
      <c r="S347">
        <f ca="1"/>
        <v>0.20856393551720756</v>
      </c>
      <c r="T347">
        <f ca="1"/>
        <v>0</v>
      </c>
      <c r="U347">
        <f ca="1"/>
        <v>0</v>
      </c>
      <c r="V347">
        <f ca="1"/>
        <v>0.99915920721916396</v>
      </c>
      <c r="X347" s="2">
        <f t="shared" ca="1" si="36"/>
        <v>45347</v>
      </c>
      <c r="Y347">
        <f t="shared" ca="1" si="37"/>
        <v>0</v>
      </c>
      <c r="AA347" s="63">
        <f t="shared" ca="1" si="39"/>
        <v>74.564550131016745</v>
      </c>
      <c r="AB347" s="63">
        <f t="shared" ca="1" si="40"/>
        <v>74.564550131016745</v>
      </c>
      <c r="AC347" s="3">
        <f t="shared" ca="1" si="41"/>
        <v>0</v>
      </c>
    </row>
    <row r="348" spans="8:29">
      <c r="H348" t="b">
        <f t="shared" ca="1" si="38"/>
        <v>1</v>
      </c>
      <c r="I348" t="b">
        <f t="shared" ca="1" si="35"/>
        <v>1</v>
      </c>
      <c r="J348" s="2">
        <f ca="1"/>
        <v>45348</v>
      </c>
      <c r="K348">
        <f ca="1"/>
        <v>67.985253262911002</v>
      </c>
      <c r="L348">
        <f ca="1"/>
        <v>3.3545231755415443</v>
      </c>
      <c r="M348">
        <f ca="1"/>
        <v>9.6720197009503295E-4</v>
      </c>
      <c r="N348">
        <f ca="1"/>
        <v>0.12274374356819566</v>
      </c>
      <c r="O348">
        <f ca="1"/>
        <v>0</v>
      </c>
      <c r="P348">
        <f ca="1"/>
        <v>290.81525640597658</v>
      </c>
      <c r="Q348">
        <f ca="1"/>
        <v>161.28994473839347</v>
      </c>
      <c r="R348">
        <f ca="1"/>
        <v>0</v>
      </c>
      <c r="S348">
        <f ca="1"/>
        <v>0.21566798339370491</v>
      </c>
      <c r="T348">
        <f ca="1"/>
        <v>0</v>
      </c>
      <c r="U348">
        <f ca="1"/>
        <v>0</v>
      </c>
      <c r="V348">
        <f ca="1"/>
        <v>0.99920320566015974</v>
      </c>
      <c r="X348" s="2">
        <f t="shared" ca="1" si="36"/>
        <v>45348</v>
      </c>
      <c r="Y348">
        <f t="shared" ca="1" si="37"/>
        <v>0</v>
      </c>
      <c r="AA348" s="63">
        <f t="shared" ca="1" si="39"/>
        <v>71.339776438452546</v>
      </c>
      <c r="AB348" s="63">
        <f t="shared" ca="1" si="40"/>
        <v>71.339776438452546</v>
      </c>
      <c r="AC348" s="3">
        <f t="shared" ca="1" si="41"/>
        <v>0</v>
      </c>
    </row>
    <row r="349" spans="8:29">
      <c r="H349" t="b">
        <f t="shared" ca="1" si="38"/>
        <v>1</v>
      </c>
      <c r="I349" t="b">
        <f t="shared" ca="1" si="35"/>
        <v>1</v>
      </c>
      <c r="J349" s="2">
        <f ca="1"/>
        <v>45349</v>
      </c>
      <c r="K349">
        <f ca="1"/>
        <v>64.744603710396575</v>
      </c>
      <c r="L349">
        <f ca="1"/>
        <v>3.3639529731487983</v>
      </c>
      <c r="M349">
        <f ca="1"/>
        <v>9.3820943008182667E-4</v>
      </c>
      <c r="N349">
        <f ca="1"/>
        <v>0.12236521120429367</v>
      </c>
      <c r="O349">
        <f ca="1"/>
        <v>0</v>
      </c>
      <c r="P349">
        <f ca="1"/>
        <v>294.17920937912538</v>
      </c>
      <c r="Q349">
        <f ca="1"/>
        <v>163.1556370540136</v>
      </c>
      <c r="R349">
        <f ca="1"/>
        <v>0</v>
      </c>
      <c r="S349">
        <f ca="1"/>
        <v>0.21104803083241569</v>
      </c>
      <c r="T349">
        <f ca="1"/>
        <v>0</v>
      </c>
      <c r="U349">
        <f ca="1"/>
        <v>0</v>
      </c>
      <c r="V349">
        <f ca="1"/>
        <v>0.99924495355350007</v>
      </c>
      <c r="X349" s="2">
        <f t="shared" ca="1" si="36"/>
        <v>45349</v>
      </c>
      <c r="Y349">
        <f t="shared" ca="1" si="37"/>
        <v>0</v>
      </c>
      <c r="AA349" s="63">
        <f t="shared" ca="1" si="39"/>
        <v>68.108556683545388</v>
      </c>
      <c r="AB349" s="63">
        <f t="shared" ca="1" si="40"/>
        <v>68.108556683545373</v>
      </c>
      <c r="AC349" s="3">
        <f t="shared" ca="1" si="41"/>
        <v>0</v>
      </c>
    </row>
    <row r="350" spans="8:29">
      <c r="H350" t="b">
        <f t="shared" ca="1" si="38"/>
        <v>1</v>
      </c>
      <c r="I350" t="b">
        <f t="shared" ca="1" si="35"/>
        <v>1</v>
      </c>
      <c r="J350" s="2">
        <f ca="1"/>
        <v>45350</v>
      </c>
      <c r="K350">
        <f ca="1"/>
        <v>61.524969749412392</v>
      </c>
      <c r="L350">
        <f ca="1"/>
        <v>3.341442347506927</v>
      </c>
      <c r="M350">
        <f ca="1"/>
        <v>9.1319891593322211E-4</v>
      </c>
      <c r="N350">
        <f ca="1"/>
        <v>0.12089518760680106</v>
      </c>
      <c r="O350">
        <f ca="1"/>
        <v>0</v>
      </c>
      <c r="P350">
        <f ca="1"/>
        <v>297.52065172663231</v>
      </c>
      <c r="Q350">
        <f ca="1"/>
        <v>165.00884468223913</v>
      </c>
      <c r="R350">
        <f ca="1"/>
        <v>0</v>
      </c>
      <c r="S350">
        <f ca="1"/>
        <v>0.20935449738636885</v>
      </c>
      <c r="T350">
        <f ca="1"/>
        <v>0</v>
      </c>
      <c r="U350">
        <f ca="1"/>
        <v>0</v>
      </c>
      <c r="V350">
        <f ca="1"/>
        <v>0.99928420675083884</v>
      </c>
      <c r="X350" s="2">
        <f t="shared" ca="1" si="36"/>
        <v>45350</v>
      </c>
      <c r="Y350">
        <f t="shared" ca="1" si="37"/>
        <v>0</v>
      </c>
      <c r="AA350" s="63">
        <f t="shared" ca="1" si="39"/>
        <v>64.866412096919319</v>
      </c>
      <c r="AB350" s="63">
        <f t="shared" ca="1" si="40"/>
        <v>64.866412096919319</v>
      </c>
      <c r="AC350" s="3">
        <f t="shared" ca="1" si="41"/>
        <v>0</v>
      </c>
    </row>
    <row r="351" spans="8:29">
      <c r="H351" t="b">
        <f t="shared" ca="1" si="38"/>
        <v>1</v>
      </c>
      <c r="I351" t="b">
        <f t="shared" ca="1" si="35"/>
        <v>1</v>
      </c>
      <c r="J351" s="2">
        <f ca="1"/>
        <v>45351</v>
      </c>
      <c r="K351">
        <f ca="1"/>
        <v>58.264180213390844</v>
      </c>
      <c r="L351">
        <f ca="1"/>
        <v>3.3825977627378165</v>
      </c>
      <c r="M351">
        <f ca="1"/>
        <v>8.5466262430422546E-4</v>
      </c>
      <c r="N351">
        <f ca="1"/>
        <v>0.12095356409196062</v>
      </c>
      <c r="O351">
        <f ca="1"/>
        <v>0</v>
      </c>
      <c r="P351">
        <f ca="1"/>
        <v>300.90324948937013</v>
      </c>
      <c r="Q351">
        <f ca="1"/>
        <v>166.88487764201813</v>
      </c>
      <c r="R351">
        <f ca="1"/>
        <v>0</v>
      </c>
      <c r="S351">
        <f ca="1"/>
        <v>0.19536635105584044</v>
      </c>
      <c r="T351">
        <f ca="1"/>
        <v>0</v>
      </c>
      <c r="U351">
        <f ca="1"/>
        <v>0</v>
      </c>
      <c r="V351">
        <f ca="1"/>
        <v>0.99932182608534093</v>
      </c>
      <c r="X351" s="2">
        <f t="shared" ca="1" si="36"/>
        <v>45351</v>
      </c>
      <c r="Y351">
        <f t="shared" ca="1" si="37"/>
        <v>0</v>
      </c>
      <c r="AA351" s="63">
        <f t="shared" ca="1" si="39"/>
        <v>61.646777976128661</v>
      </c>
      <c r="AB351" s="63">
        <f t="shared" ca="1" si="40"/>
        <v>61.646777976128661</v>
      </c>
      <c r="AC351" s="3">
        <f t="shared" ca="1" si="41"/>
        <v>0</v>
      </c>
    </row>
    <row r="352" spans="8:29">
      <c r="H352" t="b">
        <f t="shared" ca="1" si="38"/>
        <v>1</v>
      </c>
      <c r="I352" t="b">
        <f t="shared" ca="1" si="35"/>
        <v>1</v>
      </c>
      <c r="J352" s="2">
        <f ca="1"/>
        <v>45352</v>
      </c>
      <c r="K352">
        <f ca="1"/>
        <v>55.05853556944583</v>
      </c>
      <c r="L352">
        <f ca="1"/>
        <v>3.3251838619385694</v>
      </c>
      <c r="M352">
        <f ca="1"/>
        <v>8.4846921187953228E-4</v>
      </c>
      <c r="N352">
        <f ca="1"/>
        <v>0.11869074878167232</v>
      </c>
      <c r="O352">
        <f ca="1"/>
        <v>0</v>
      </c>
      <c r="P352">
        <f ca="1"/>
        <v>304.22843335130869</v>
      </c>
      <c r="Q352">
        <f ca="1"/>
        <v>168.72906810150477</v>
      </c>
      <c r="R352">
        <f ca="1"/>
        <v>0</v>
      </c>
      <c r="S352">
        <f ca="1"/>
        <v>0.19973487445079324</v>
      </c>
      <c r="T352">
        <f ca="1"/>
        <v>0</v>
      </c>
      <c r="U352">
        <f ca="1"/>
        <v>0</v>
      </c>
      <c r="V352">
        <f ca="1"/>
        <v>0.99935685055374601</v>
      </c>
      <c r="X352" s="2">
        <f t="shared" ca="1" si="36"/>
        <v>45352</v>
      </c>
      <c r="Y352">
        <f t="shared" ca="1" si="37"/>
        <v>0</v>
      </c>
      <c r="AA352" s="63">
        <f t="shared" ca="1" si="39"/>
        <v>58.383719431384399</v>
      </c>
      <c r="AB352" s="63">
        <f t="shared" ca="1" si="40"/>
        <v>58.383719431384399</v>
      </c>
      <c r="AC352" s="3">
        <f t="shared" ca="1" si="41"/>
        <v>0</v>
      </c>
    </row>
    <row r="353" spans="8:29">
      <c r="H353" t="b">
        <f t="shared" ca="1" si="38"/>
        <v>1</v>
      </c>
      <c r="I353" t="b">
        <f t="shared" ca="1" si="35"/>
        <v>1</v>
      </c>
      <c r="J353" s="2">
        <f ca="1"/>
        <v>45353</v>
      </c>
      <c r="K353">
        <f ca="1"/>
        <v>52.003703077641021</v>
      </c>
      <c r="L353">
        <f ca="1"/>
        <v>3.1710242120982457</v>
      </c>
      <c r="M353">
        <f ca="1"/>
        <v>9.2221521720148303E-4</v>
      </c>
      <c r="N353">
        <f ca="1"/>
        <v>0.11526950507623464</v>
      </c>
      <c r="O353">
        <f ca="1"/>
        <v>0</v>
      </c>
      <c r="P353">
        <f ca="1"/>
        <v>307.39945756340694</v>
      </c>
      <c r="Q353">
        <f ca="1"/>
        <v>170.48775960295561</v>
      </c>
      <c r="R353">
        <f ca="1"/>
        <v>0</v>
      </c>
      <c r="S353">
        <f ca="1"/>
        <v>0.23091406367240991</v>
      </c>
      <c r="T353">
        <f ca="1"/>
        <v>0</v>
      </c>
      <c r="U353">
        <f ca="1"/>
        <v>0</v>
      </c>
      <c r="V353">
        <f ca="1"/>
        <v>0.99938854639817432</v>
      </c>
      <c r="X353" s="2">
        <f t="shared" ca="1" si="36"/>
        <v>45353</v>
      </c>
      <c r="Y353">
        <f t="shared" ca="1" si="37"/>
        <v>0</v>
      </c>
      <c r="AA353" s="63">
        <f t="shared" ca="1" si="39"/>
        <v>55.174727289739266</v>
      </c>
      <c r="AB353" s="63">
        <f t="shared" ca="1" si="40"/>
        <v>55.174727289739266</v>
      </c>
      <c r="AC353" s="3">
        <f t="shared" ca="1" si="41"/>
        <v>0</v>
      </c>
    </row>
    <row r="354" spans="8:29">
      <c r="H354" t="b">
        <f t="shared" ca="1" si="38"/>
        <v>1</v>
      </c>
      <c r="I354" t="b">
        <f t="shared" ca="1" si="35"/>
        <v>1</v>
      </c>
      <c r="J354" s="2">
        <f ca="1"/>
        <v>45354</v>
      </c>
      <c r="K354">
        <f ca="1"/>
        <v>49.069902667343086</v>
      </c>
      <c r="L354">
        <f ca="1"/>
        <v>3.0451595334083663</v>
      </c>
      <c r="M354">
        <f ca="1"/>
        <v>9.0405043198060753E-4</v>
      </c>
      <c r="N354">
        <f ca="1"/>
        <v>0.11045507267844547</v>
      </c>
      <c r="O354">
        <f ca="1"/>
        <v>0</v>
      </c>
      <c r="P354">
        <f ca="1"/>
        <v>310.44461709681531</v>
      </c>
      <c r="Q354">
        <f ca="1"/>
        <v>172.17664490743695</v>
      </c>
      <c r="R354">
        <f ca="1"/>
        <v>0</v>
      </c>
      <c r="S354">
        <f ca="1"/>
        <v>0.23853971191681611</v>
      </c>
      <c r="T354">
        <f ca="1"/>
        <v>0</v>
      </c>
      <c r="U354">
        <f ca="1"/>
        <v>0</v>
      </c>
      <c r="V354">
        <f ca="1"/>
        <v>0.99941750239729621</v>
      </c>
      <c r="X354" s="2">
        <f t="shared" ca="1" si="36"/>
        <v>45354</v>
      </c>
      <c r="Y354">
        <f t="shared" ca="1" si="37"/>
        <v>0</v>
      </c>
      <c r="AA354" s="63">
        <f t="shared" ca="1" si="39"/>
        <v>52.115062200751453</v>
      </c>
      <c r="AB354" s="63">
        <f t="shared" ca="1" si="40"/>
        <v>52.115062200751453</v>
      </c>
      <c r="AC354" s="3">
        <f t="shared" ca="1" si="41"/>
        <v>0</v>
      </c>
    </row>
    <row r="355" spans="8:29">
      <c r="H355" t="b">
        <f t="shared" ca="1" si="38"/>
        <v>0</v>
      </c>
      <c r="I355" t="b">
        <f t="shared" ca="1" si="35"/>
        <v>1</v>
      </c>
      <c r="J355" s="2">
        <f ca="1"/>
        <v>45355</v>
      </c>
      <c r="K355">
        <f ca="1"/>
        <v>45.906573280061387</v>
      </c>
      <c r="L355">
        <f ca="1"/>
        <v>3.2876164699723063</v>
      </c>
      <c r="M355">
        <f ca="1"/>
        <v>1.0230695373945053E-3</v>
      </c>
      <c r="N355">
        <f ca="1"/>
        <v>0.12326401315320909</v>
      </c>
      <c r="O355">
        <f ca="1"/>
        <v>0</v>
      </c>
      <c r="P355">
        <f ca="1"/>
        <v>313.73223356678761</v>
      </c>
      <c r="Q355">
        <f ca="1"/>
        <v>174</v>
      </c>
      <c r="R355">
        <f ca="1"/>
        <v>0</v>
      </c>
      <c r="S355">
        <f ca="1"/>
        <v>0.25177933575137401</v>
      </c>
      <c r="T355">
        <f ca="1"/>
        <v>0</v>
      </c>
      <c r="U355">
        <f ca="1"/>
        <v>0</v>
      </c>
      <c r="V355">
        <f ca="1"/>
        <v>0.9994472213630764</v>
      </c>
      <c r="X355" s="2">
        <f t="shared" ca="1" si="36"/>
        <v>45355</v>
      </c>
      <c r="Y355">
        <f t="shared" ca="1" si="37"/>
        <v>0</v>
      </c>
      <c r="AA355" s="63">
        <f t="shared" ca="1" si="39"/>
        <v>49.194189750033694</v>
      </c>
      <c r="AB355" s="63">
        <f t="shared" ca="1" si="40"/>
        <v>49.194189750033694</v>
      </c>
      <c r="AC355" s="3">
        <f t="shared" ca="1" si="41"/>
        <v>0</v>
      </c>
    </row>
    <row r="356" spans="8:29">
      <c r="H356" t="b">
        <f t="shared" ca="1" si="38"/>
        <v>0</v>
      </c>
      <c r="I356" t="b">
        <f t="shared" ca="1" si="35"/>
        <v>0</v>
      </c>
      <c r="J356" s="2">
        <f ca="1"/>
        <v>45356</v>
      </c>
      <c r="K356">
        <f ca="1"/>
        <v>43.655267734557242</v>
      </c>
      <c r="L356">
        <f ca="1"/>
        <v>0</v>
      </c>
      <c r="M356">
        <f ca="1"/>
        <v>-2.3758456799830352</v>
      </c>
      <c r="N356">
        <f ca="1"/>
        <v>0.12454013447889388</v>
      </c>
      <c r="O356">
        <f ca="1"/>
        <v>0</v>
      </c>
      <c r="P356">
        <f ca="1"/>
        <v>0</v>
      </c>
      <c r="Q356">
        <f ca="1"/>
        <v>0</v>
      </c>
      <c r="R356">
        <f ca="1"/>
        <v>0</v>
      </c>
      <c r="S356">
        <f ca="1"/>
        <v>0.24413789097071306</v>
      </c>
      <c r="T356">
        <f ca="1"/>
        <v>0</v>
      </c>
      <c r="U356">
        <f ca="1"/>
        <v>0</v>
      </c>
      <c r="V356">
        <f ca="1"/>
        <v>0</v>
      </c>
      <c r="X356" s="2">
        <f t="shared" ca="1" si="36"/>
        <v>45356</v>
      </c>
      <c r="Y356">
        <f t="shared" ca="1" si="37"/>
        <v>0</v>
      </c>
      <c r="AA356" s="63">
        <f t="shared" ca="1" si="39"/>
        <v>43.655267734557242</v>
      </c>
      <c r="AB356" s="63">
        <f t="shared" ca="1" si="40"/>
        <v>43.655267734557242</v>
      </c>
      <c r="AC356" s="3">
        <f t="shared" ca="1" si="41"/>
        <v>0</v>
      </c>
    </row>
    <row r="357" spans="8:29">
      <c r="H357" t="b">
        <f t="shared" ca="1" si="38"/>
        <v>0</v>
      </c>
      <c r="I357" t="b">
        <f t="shared" ca="1" si="35"/>
        <v>0</v>
      </c>
      <c r="J357" s="2">
        <f ca="1"/>
        <v>45357</v>
      </c>
      <c r="K357">
        <f ca="1"/>
        <v>41.615532496662325</v>
      </c>
      <c r="L357">
        <f ca="1"/>
        <v>0</v>
      </c>
      <c r="M357">
        <f ca="1"/>
        <v>-2.1545904526215462</v>
      </c>
      <c r="N357">
        <f ca="1"/>
        <v>0.11485521472663138</v>
      </c>
      <c r="O357">
        <f ca="1"/>
        <v>0</v>
      </c>
      <c r="P357">
        <f ca="1"/>
        <v>0</v>
      </c>
      <c r="Q357">
        <f ca="1"/>
        <v>0</v>
      </c>
      <c r="R357">
        <f ca="1"/>
        <v>0</v>
      </c>
      <c r="S357">
        <f ca="1"/>
        <v>0.24312779827685688</v>
      </c>
      <c r="T357">
        <f ca="1"/>
        <v>0</v>
      </c>
      <c r="U357">
        <f ca="1"/>
        <v>0</v>
      </c>
      <c r="V357">
        <f ca="1"/>
        <v>0</v>
      </c>
      <c r="X357" s="2">
        <f t="shared" ca="1" si="36"/>
        <v>45357</v>
      </c>
      <c r="Y357">
        <f t="shared" ca="1" si="37"/>
        <v>0</v>
      </c>
      <c r="AA357" s="63">
        <f t="shared" ca="1" si="39"/>
        <v>41.615532496662325</v>
      </c>
      <c r="AB357" s="63">
        <f t="shared" ca="1" si="40"/>
        <v>41.615532496662325</v>
      </c>
      <c r="AC357" s="3">
        <f t="shared" ca="1" si="41"/>
        <v>0</v>
      </c>
    </row>
    <row r="358" spans="8:29">
      <c r="H358" t="b">
        <f t="shared" ca="1" si="38"/>
        <v>0</v>
      </c>
      <c r="I358" t="b">
        <f t="shared" ca="1" si="35"/>
        <v>0</v>
      </c>
      <c r="J358" s="2">
        <f ca="1"/>
        <v>45358</v>
      </c>
      <c r="K358">
        <f ca="1"/>
        <v>39.574985289245859</v>
      </c>
      <c r="L358">
        <f ca="1"/>
        <v>0</v>
      </c>
      <c r="M358">
        <f ca="1"/>
        <v>-2.1585435329989515</v>
      </c>
      <c r="N358">
        <f ca="1"/>
        <v>0.11799632558249173</v>
      </c>
      <c r="O358">
        <f ca="1"/>
        <v>0</v>
      </c>
      <c r="P358">
        <f ca="1"/>
        <v>0</v>
      </c>
      <c r="Q358">
        <f ca="1"/>
        <v>0</v>
      </c>
      <c r="R358">
        <f ca="1"/>
        <v>0</v>
      </c>
      <c r="S358">
        <f ca="1"/>
        <v>0.24447357254292063</v>
      </c>
      <c r="T358">
        <f ca="1"/>
        <v>0</v>
      </c>
      <c r="U358">
        <f ca="1"/>
        <v>0</v>
      </c>
      <c r="V358">
        <f ca="1"/>
        <v>0</v>
      </c>
      <c r="X358" s="2">
        <f t="shared" ca="1" si="36"/>
        <v>45358</v>
      </c>
      <c r="Y358">
        <f t="shared" ca="1" si="37"/>
        <v>0</v>
      </c>
      <c r="AA358" s="63">
        <f t="shared" ca="1" si="39"/>
        <v>39.574985289245866</v>
      </c>
      <c r="AB358" s="63">
        <f t="shared" ca="1" si="40"/>
        <v>39.574985289245859</v>
      </c>
      <c r="AC358" s="3">
        <f t="shared" ca="1" si="41"/>
        <v>0</v>
      </c>
    </row>
    <row r="359" spans="8:29">
      <c r="H359" t="b">
        <f t="shared" ca="1" si="38"/>
        <v>0</v>
      </c>
      <c r="I359" t="b">
        <f t="shared" ca="1" si="35"/>
        <v>0</v>
      </c>
      <c r="J359" s="2">
        <f ca="1"/>
        <v>45359</v>
      </c>
      <c r="K359">
        <f ca="1"/>
        <v>37.686328029231333</v>
      </c>
      <c r="L359">
        <f ca="1"/>
        <v>0</v>
      </c>
      <c r="M359">
        <f ca="1"/>
        <v>-1.9999164887909462</v>
      </c>
      <c r="N359">
        <f ca="1"/>
        <v>0.11125922877641686</v>
      </c>
      <c r="O359">
        <f ca="1"/>
        <v>0</v>
      </c>
      <c r="P359">
        <f ca="1"/>
        <v>0</v>
      </c>
      <c r="Q359">
        <f ca="1"/>
        <v>0</v>
      </c>
      <c r="R359">
        <f ca="1"/>
        <v>0</v>
      </c>
      <c r="S359">
        <f ca="1"/>
        <v>0.24377964236136454</v>
      </c>
      <c r="T359">
        <f ca="1"/>
        <v>0</v>
      </c>
      <c r="U359">
        <f ca="1"/>
        <v>0</v>
      </c>
      <c r="V359">
        <f ca="1"/>
        <v>0</v>
      </c>
      <c r="X359" s="2">
        <f t="shared" ca="1" si="36"/>
        <v>45359</v>
      </c>
      <c r="Y359">
        <f t="shared" ca="1" si="37"/>
        <v>0</v>
      </c>
      <c r="AA359" s="63">
        <f t="shared" ca="1" si="39"/>
        <v>37.686328029231333</v>
      </c>
      <c r="AB359" s="63">
        <f t="shared" ca="1" si="40"/>
        <v>37.686328029231333</v>
      </c>
      <c r="AC359" s="3">
        <f t="shared" ca="1" si="41"/>
        <v>0</v>
      </c>
    </row>
    <row r="360" spans="8:29">
      <c r="H360" t="b">
        <f t="shared" ca="1" si="38"/>
        <v>0</v>
      </c>
      <c r="I360" t="b">
        <f t="shared" ca="1" si="35"/>
        <v>0</v>
      </c>
      <c r="J360" s="2">
        <f ca="1"/>
        <v>45360</v>
      </c>
      <c r="K360">
        <f ca="1"/>
        <v>35.624652617661255</v>
      </c>
      <c r="L360">
        <f ca="1"/>
        <v>0</v>
      </c>
      <c r="M360">
        <f ca="1"/>
        <v>-2.1851991236364494</v>
      </c>
      <c r="N360">
        <f ca="1"/>
        <v>0.12352371206637464</v>
      </c>
      <c r="O360">
        <f ca="1"/>
        <v>0</v>
      </c>
      <c r="P360">
        <f ca="1"/>
        <v>0</v>
      </c>
      <c r="Q360">
        <f ca="1"/>
        <v>0</v>
      </c>
      <c r="R360">
        <f ca="1"/>
        <v>0</v>
      </c>
      <c r="S360">
        <f ca="1"/>
        <v>0.25223094280217212</v>
      </c>
      <c r="T360">
        <f ca="1"/>
        <v>0</v>
      </c>
      <c r="U360">
        <f ca="1"/>
        <v>0</v>
      </c>
      <c r="V360">
        <f ca="1"/>
        <v>0</v>
      </c>
      <c r="X360" s="2">
        <f t="shared" ca="1" si="36"/>
        <v>45360</v>
      </c>
      <c r="Y360">
        <f t="shared" ca="1" si="37"/>
        <v>0</v>
      </c>
      <c r="AA360" s="63">
        <f t="shared" ca="1" si="39"/>
        <v>35.624652617661255</v>
      </c>
      <c r="AB360" s="63">
        <f t="shared" ca="1" si="40"/>
        <v>35.624652617661255</v>
      </c>
      <c r="AC360" s="3">
        <f t="shared" ca="1" si="41"/>
        <v>0</v>
      </c>
    </row>
    <row r="361" spans="8:29">
      <c r="H361" t="b">
        <f t="shared" ca="1" si="38"/>
        <v>0</v>
      </c>
      <c r="I361" t="b">
        <f t="shared" ca="1" si="35"/>
        <v>0</v>
      </c>
      <c r="J361" s="2">
        <f ca="1"/>
        <v>45361</v>
      </c>
      <c r="K361">
        <f ca="1"/>
        <v>33.592285825569384</v>
      </c>
      <c r="L361">
        <f ca="1"/>
        <v>0</v>
      </c>
      <c r="M361">
        <f ca="1"/>
        <v>-2.1508252107973789</v>
      </c>
      <c r="N361">
        <f ca="1"/>
        <v>0.11845841870551121</v>
      </c>
      <c r="O361">
        <f ca="1"/>
        <v>0</v>
      </c>
      <c r="P361">
        <f ca="1"/>
        <v>0</v>
      </c>
      <c r="Q361">
        <f ca="1"/>
        <v>0</v>
      </c>
      <c r="R361">
        <f ca="1"/>
        <v>0</v>
      </c>
      <c r="S361">
        <f ca="1"/>
        <v>0.26846644187308433</v>
      </c>
      <c r="T361">
        <f ca="1"/>
        <v>0</v>
      </c>
      <c r="U361">
        <f ca="1"/>
        <v>0</v>
      </c>
      <c r="V361">
        <f ca="1"/>
        <v>0</v>
      </c>
      <c r="X361" s="2">
        <f t="shared" ca="1" si="36"/>
        <v>45361</v>
      </c>
      <c r="Y361">
        <f t="shared" ca="1" si="37"/>
        <v>0</v>
      </c>
      <c r="AA361" s="63">
        <f t="shared" ca="1" si="39"/>
        <v>33.592285825569384</v>
      </c>
      <c r="AB361" s="63">
        <f t="shared" ca="1" si="40"/>
        <v>33.592285825569384</v>
      </c>
      <c r="AC361" s="3">
        <f t="shared" ca="1" si="41"/>
        <v>0</v>
      </c>
    </row>
    <row r="362" spans="8:29">
      <c r="H362" t="b">
        <f t="shared" ca="1" si="38"/>
        <v>0</v>
      </c>
      <c r="I362" t="b">
        <f t="shared" ca="1" si="35"/>
        <v>0</v>
      </c>
      <c r="J362" s="2">
        <f ca="1"/>
        <v>45362</v>
      </c>
      <c r="K362">
        <f ca="1"/>
        <v>31.372579071352668</v>
      </c>
      <c r="L362">
        <f ca="1"/>
        <v>0</v>
      </c>
      <c r="M362">
        <f ca="1"/>
        <v>-2.3419075342494935</v>
      </c>
      <c r="N362">
        <f ca="1"/>
        <v>0.12220078003277662</v>
      </c>
      <c r="O362">
        <f ca="1"/>
        <v>0</v>
      </c>
      <c r="P362">
        <f ca="1"/>
        <v>0</v>
      </c>
      <c r="Q362">
        <f ca="1"/>
        <v>0</v>
      </c>
      <c r="R362">
        <f ca="1"/>
        <v>0</v>
      </c>
      <c r="S362">
        <f ca="1"/>
        <v>0.30319508991429578</v>
      </c>
      <c r="T362">
        <f ca="1"/>
        <v>0</v>
      </c>
      <c r="U362">
        <f ca="1"/>
        <v>0</v>
      </c>
      <c r="V362">
        <f ca="1"/>
        <v>0</v>
      </c>
      <c r="X362" s="2">
        <f t="shared" ca="1" si="36"/>
        <v>45362</v>
      </c>
      <c r="Y362">
        <f t="shared" ca="1" si="37"/>
        <v>0</v>
      </c>
      <c r="AA362" s="63">
        <f t="shared" ca="1" si="39"/>
        <v>31.372579071352668</v>
      </c>
      <c r="AB362" s="63">
        <f t="shared" ca="1" si="40"/>
        <v>31.372579071352668</v>
      </c>
      <c r="AC362" s="3">
        <f t="shared" ca="1" si="41"/>
        <v>0</v>
      </c>
    </row>
    <row r="363" spans="8:29">
      <c r="H363" t="b">
        <f t="shared" ca="1" si="38"/>
        <v>0</v>
      </c>
      <c r="I363" t="b">
        <f t="shared" ca="1" si="35"/>
        <v>0</v>
      </c>
      <c r="J363" s="2">
        <f ca="1"/>
        <v>45363</v>
      </c>
      <c r="K363">
        <f ca="1"/>
        <v>28.986314378040838</v>
      </c>
      <c r="L363">
        <f ca="1"/>
        <v>0</v>
      </c>
      <c r="M363">
        <f ca="1"/>
        <v>-2.5151359431807521</v>
      </c>
      <c r="N363">
        <f ca="1"/>
        <v>0.1288712498689234</v>
      </c>
      <c r="O363">
        <f ca="1"/>
        <v>0</v>
      </c>
      <c r="P363">
        <f ca="1"/>
        <v>0</v>
      </c>
      <c r="Q363">
        <f ca="1"/>
        <v>0</v>
      </c>
      <c r="R363">
        <f ca="1"/>
        <v>0</v>
      </c>
      <c r="S363">
        <f ca="1"/>
        <v>0.33082442690536357</v>
      </c>
      <c r="T363">
        <f ca="1"/>
        <v>0</v>
      </c>
      <c r="U363">
        <f ca="1"/>
        <v>0</v>
      </c>
      <c r="V363">
        <f ca="1"/>
        <v>0</v>
      </c>
      <c r="X363" s="2">
        <f t="shared" ca="1" si="36"/>
        <v>45363</v>
      </c>
      <c r="Y363">
        <f t="shared" ca="1" si="37"/>
        <v>0</v>
      </c>
      <c r="AA363" s="63">
        <f t="shared" ca="1" si="39"/>
        <v>28.986314378040838</v>
      </c>
      <c r="AB363" s="63">
        <f t="shared" ca="1" si="40"/>
        <v>28.986314378040838</v>
      </c>
      <c r="AC363" s="3">
        <f t="shared" ca="1" si="41"/>
        <v>0</v>
      </c>
    </row>
    <row r="364" spans="8:29">
      <c r="H364" t="b">
        <f t="shared" ca="1" si="38"/>
        <v>0</v>
      </c>
      <c r="I364" t="b">
        <f t="shared" ca="1" si="35"/>
        <v>0</v>
      </c>
      <c r="J364" s="2">
        <f ca="1"/>
        <v>45364</v>
      </c>
      <c r="K364">
        <f ca="1"/>
        <v>26.615950548700006</v>
      </c>
      <c r="L364">
        <f ca="1"/>
        <v>0</v>
      </c>
      <c r="M364">
        <f ca="1"/>
        <v>-2.4985162992947476</v>
      </c>
      <c r="N364">
        <f ca="1"/>
        <v>0.12815246995391719</v>
      </c>
      <c r="O364">
        <f ca="1"/>
        <v>0</v>
      </c>
      <c r="P364">
        <f ca="1"/>
        <v>0</v>
      </c>
      <c r="Q364">
        <f ca="1"/>
        <v>0</v>
      </c>
      <c r="R364">
        <f ca="1"/>
        <v>0</v>
      </c>
      <c r="S364">
        <f ca="1"/>
        <v>0.34819188572282939</v>
      </c>
      <c r="T364">
        <f ca="1"/>
        <v>0</v>
      </c>
      <c r="U364">
        <f ca="1"/>
        <v>0</v>
      </c>
      <c r="V364">
        <f ca="1"/>
        <v>0</v>
      </c>
      <c r="X364" s="2">
        <f t="shared" ca="1" si="36"/>
        <v>45364</v>
      </c>
      <c r="Y364">
        <f t="shared" ca="1" si="37"/>
        <v>0</v>
      </c>
      <c r="AA364" s="63">
        <f t="shared" ca="1" si="39"/>
        <v>26.615950548700006</v>
      </c>
      <c r="AB364" s="63">
        <f t="shared" ca="1" si="40"/>
        <v>26.615950548700006</v>
      </c>
      <c r="AC364" s="3">
        <f t="shared" ca="1" si="41"/>
        <v>0</v>
      </c>
    </row>
    <row r="365" spans="8:29">
      <c r="H365" t="b">
        <f t="shared" ca="1" si="38"/>
        <v>0</v>
      </c>
      <c r="I365" t="b">
        <f t="shared" ca="1" si="35"/>
        <v>0</v>
      </c>
      <c r="J365" s="2">
        <f ca="1"/>
        <v>45365</v>
      </c>
      <c r="K365">
        <f ca="1"/>
        <v>24.420555434828863</v>
      </c>
      <c r="L365">
        <f ca="1"/>
        <v>0</v>
      </c>
      <c r="M365">
        <f ca="1"/>
        <v>-2.3222132539745193</v>
      </c>
      <c r="N365">
        <f ca="1"/>
        <v>0.12681814010337791</v>
      </c>
      <c r="O365">
        <f ca="1"/>
        <v>0</v>
      </c>
      <c r="P365">
        <f ca="1"/>
        <v>0</v>
      </c>
      <c r="Q365">
        <f ca="1"/>
        <v>0</v>
      </c>
      <c r="R365">
        <f ca="1"/>
        <v>0</v>
      </c>
      <c r="S365">
        <f ca="1"/>
        <v>0.3332876232461523</v>
      </c>
      <c r="T365">
        <f ca="1"/>
        <v>0</v>
      </c>
      <c r="U365">
        <f ca="1"/>
        <v>0</v>
      </c>
      <c r="V365">
        <f ca="1"/>
        <v>0</v>
      </c>
      <c r="X365" s="2">
        <f t="shared" ca="1" si="36"/>
        <v>45365</v>
      </c>
      <c r="Y365">
        <f t="shared" ca="1" si="37"/>
        <v>0</v>
      </c>
      <c r="AA365" s="63">
        <f t="shared" ca="1" si="39"/>
        <v>24.420555434828866</v>
      </c>
      <c r="AB365" s="63">
        <f t="shared" ca="1" si="40"/>
        <v>24.420555434828863</v>
      </c>
      <c r="AC365" s="3">
        <f t="shared" ca="1" si="41"/>
        <v>0</v>
      </c>
    </row>
    <row r="366" spans="8:29">
      <c r="H366" t="b">
        <f t="shared" ca="1" si="38"/>
        <v>0</v>
      </c>
      <c r="I366" t="b">
        <f t="shared" ca="1" si="35"/>
        <v>0</v>
      </c>
      <c r="J366" s="2">
        <f ca="1"/>
        <v>45366</v>
      </c>
      <c r="K366">
        <f ca="1"/>
        <v>22.284173677740352</v>
      </c>
      <c r="L366">
        <f ca="1"/>
        <v>0</v>
      </c>
      <c r="M366">
        <f ca="1"/>
        <v>-2.2638448272095637</v>
      </c>
      <c r="N366">
        <f ca="1"/>
        <v>0.12746307012105407</v>
      </c>
      <c r="O366">
        <f ca="1"/>
        <v>0</v>
      </c>
      <c r="P366">
        <f ca="1"/>
        <v>0</v>
      </c>
      <c r="Q366">
        <f ca="1"/>
        <v>0</v>
      </c>
      <c r="R366">
        <f ca="1"/>
        <v>0</v>
      </c>
      <c r="S366">
        <f ca="1"/>
        <v>0.33614015692105537</v>
      </c>
      <c r="T366">
        <f ca="1"/>
        <v>0</v>
      </c>
      <c r="U366">
        <f ca="1"/>
        <v>0</v>
      </c>
      <c r="V366">
        <f ca="1"/>
        <v>0</v>
      </c>
      <c r="X366" s="2">
        <f t="shared" ca="1" si="36"/>
        <v>45366</v>
      </c>
      <c r="Y366">
        <f t="shared" ca="1" si="37"/>
        <v>0</v>
      </c>
      <c r="AA366" s="63">
        <f t="shared" ca="1" si="39"/>
        <v>22.284173677740352</v>
      </c>
      <c r="AB366" s="63">
        <f t="shared" ca="1" si="40"/>
        <v>22.284173677740352</v>
      </c>
      <c r="AC366" s="3">
        <f t="shared" ca="1" si="41"/>
        <v>0</v>
      </c>
    </row>
    <row r="367" spans="8:29">
      <c r="H367" t="b">
        <f t="shared" ca="1" si="38"/>
        <v>0</v>
      </c>
      <c r="I367" t="b">
        <f t="shared" ca="1" si="35"/>
        <v>0</v>
      </c>
      <c r="J367" s="2">
        <f ca="1"/>
        <v>45367</v>
      </c>
      <c r="K367">
        <f ca="1"/>
        <v>20.228532991678719</v>
      </c>
      <c r="L367">
        <f ca="1"/>
        <v>0</v>
      </c>
      <c r="M367">
        <f ca="1"/>
        <v>-2.1817872625669885</v>
      </c>
      <c r="N367">
        <f ca="1"/>
        <v>0.12614657650535507</v>
      </c>
      <c r="O367">
        <f ca="1"/>
        <v>0</v>
      </c>
      <c r="P367">
        <f ca="1"/>
        <v>0</v>
      </c>
      <c r="Q367">
        <f ca="1"/>
        <v>0</v>
      </c>
      <c r="R367">
        <f ca="1"/>
        <v>0</v>
      </c>
      <c r="S367">
        <f ca="1"/>
        <v>0.33995303267812993</v>
      </c>
      <c r="T367">
        <f ca="1"/>
        <v>0</v>
      </c>
      <c r="U367">
        <f ca="1"/>
        <v>0</v>
      </c>
      <c r="V367">
        <f ca="1"/>
        <v>0</v>
      </c>
      <c r="X367" s="2">
        <f t="shared" ca="1" si="36"/>
        <v>45367</v>
      </c>
      <c r="Y367">
        <f t="shared" ca="1" si="37"/>
        <v>0</v>
      </c>
      <c r="AA367" s="63">
        <f t="shared" ca="1" si="39"/>
        <v>20.228532991678719</v>
      </c>
      <c r="AB367" s="63">
        <f t="shared" ca="1" si="40"/>
        <v>20.228532991678719</v>
      </c>
      <c r="AC367" s="3">
        <f t="shared" ca="1" si="41"/>
        <v>0</v>
      </c>
    </row>
    <row r="368" spans="8:29">
      <c r="H368" t="b">
        <f t="shared" ca="1" si="38"/>
        <v>0</v>
      </c>
      <c r="I368" t="b">
        <f t="shared" ca="1" si="35"/>
        <v>0</v>
      </c>
      <c r="J368" s="2">
        <f ca="1"/>
        <v>45368</v>
      </c>
      <c r="K368">
        <f ca="1"/>
        <v>18.328278059918119</v>
      </c>
      <c r="L368">
        <f ca="1"/>
        <v>0</v>
      </c>
      <c r="M368">
        <f ca="1"/>
        <v>-2.0168727108074709</v>
      </c>
      <c r="N368">
        <f ca="1"/>
        <v>0.11661777904686962</v>
      </c>
      <c r="O368">
        <f ca="1"/>
        <v>0</v>
      </c>
      <c r="P368">
        <f ca="1"/>
        <v>0</v>
      </c>
      <c r="Q368">
        <f ca="1"/>
        <v>0</v>
      </c>
      <c r="R368">
        <f ca="1"/>
        <v>0</v>
      </c>
      <c r="S368">
        <f ca="1"/>
        <v>0.35080161491179462</v>
      </c>
      <c r="T368">
        <f ca="1"/>
        <v>0</v>
      </c>
      <c r="U368">
        <f ca="1"/>
        <v>0</v>
      </c>
      <c r="V368">
        <f ca="1"/>
        <v>0</v>
      </c>
      <c r="X368" s="2">
        <f t="shared" ca="1" si="36"/>
        <v>45368</v>
      </c>
      <c r="Y368">
        <f t="shared" ca="1" si="37"/>
        <v>0</v>
      </c>
      <c r="AA368" s="63">
        <f t="shared" ca="1" si="39"/>
        <v>18.328278059918119</v>
      </c>
      <c r="AB368" s="63">
        <f t="shared" ca="1" si="40"/>
        <v>18.328278059918119</v>
      </c>
      <c r="AC368" s="3">
        <f t="shared" ca="1" si="41"/>
        <v>0</v>
      </c>
    </row>
    <row r="369" spans="8:29">
      <c r="H369" t="b">
        <f t="shared" ca="1" si="38"/>
        <v>0</v>
      </c>
      <c r="I369" t="b">
        <f t="shared" ca="1" si="35"/>
        <v>0</v>
      </c>
      <c r="J369" s="2">
        <f ca="1"/>
        <v>45369</v>
      </c>
      <c r="K369">
        <f ca="1"/>
        <v>16.39622249950623</v>
      </c>
      <c r="L369">
        <f ca="1"/>
        <v>0</v>
      </c>
      <c r="M369">
        <f ca="1"/>
        <v>-2.0572428715862916</v>
      </c>
      <c r="N369">
        <f ca="1"/>
        <v>0.12518731117440512</v>
      </c>
      <c r="O369">
        <f ca="1"/>
        <v>0</v>
      </c>
      <c r="P369">
        <f ca="1"/>
        <v>0</v>
      </c>
      <c r="Q369">
        <f ca="1"/>
        <v>0</v>
      </c>
      <c r="R369">
        <f ca="1"/>
        <v>0</v>
      </c>
      <c r="S369">
        <f ca="1"/>
        <v>0.34956472023155005</v>
      </c>
      <c r="T369">
        <f ca="1"/>
        <v>0</v>
      </c>
      <c r="U369">
        <f ca="1"/>
        <v>0</v>
      </c>
      <c r="V369">
        <f ca="1"/>
        <v>0</v>
      </c>
      <c r="X369" s="2">
        <f t="shared" ca="1" si="36"/>
        <v>45369</v>
      </c>
      <c r="Y369">
        <f t="shared" ca="1" si="37"/>
        <v>0</v>
      </c>
      <c r="AA369" s="63">
        <f t="shared" ca="1" si="39"/>
        <v>16.396222499506234</v>
      </c>
      <c r="AB369" s="63">
        <f t="shared" ca="1" si="40"/>
        <v>16.39622249950623</v>
      </c>
      <c r="AC369" s="3">
        <f t="shared" ca="1" si="41"/>
        <v>0</v>
      </c>
    </row>
    <row r="370" spans="8:29">
      <c r="H370" t="b">
        <f t="shared" ca="1" si="38"/>
        <v>0</v>
      </c>
      <c r="I370" t="b">
        <f t="shared" ca="1" si="35"/>
        <v>0</v>
      </c>
      <c r="J370" s="2">
        <f ca="1"/>
        <v>45370</v>
      </c>
      <c r="K370">
        <f ca="1"/>
        <v>14.493560235859828</v>
      </c>
      <c r="L370">
        <f ca="1"/>
        <v>0</v>
      </c>
      <c r="M370">
        <f ca="1"/>
        <v>-2.0346033393367975</v>
      </c>
      <c r="N370">
        <f ca="1"/>
        <v>0.1319410756903962</v>
      </c>
      <c r="O370">
        <f ca="1"/>
        <v>0</v>
      </c>
      <c r="P370">
        <f ca="1"/>
        <v>3.1383073592145814</v>
      </c>
      <c r="Q370">
        <f ca="1"/>
        <v>2.678722599496965</v>
      </c>
      <c r="R370">
        <f ca="1"/>
        <v>0</v>
      </c>
      <c r="S370">
        <f ca="1"/>
        <v>0.34019587296436887</v>
      </c>
      <c r="T370">
        <f ca="1"/>
        <v>0</v>
      </c>
      <c r="U370">
        <f ca="1"/>
        <v>0</v>
      </c>
      <c r="V370">
        <f ca="1"/>
        <v>9.8646739042144646E-3</v>
      </c>
      <c r="X370" s="2">
        <f t="shared" ca="1" si="36"/>
        <v>45370</v>
      </c>
      <c r="Y370">
        <f t="shared" ca="1" si="37"/>
        <v>0</v>
      </c>
      <c r="AA370" s="63">
        <f t="shared" ca="1" si="39"/>
        <v>14.493560235859828</v>
      </c>
      <c r="AB370" s="63">
        <f t="shared" ca="1" si="40"/>
        <v>14.493560235859828</v>
      </c>
      <c r="AC370" s="3">
        <f t="shared" ca="1" si="41"/>
        <v>0</v>
      </c>
    </row>
    <row r="371" spans="8:29">
      <c r="H371" t="b">
        <f t="shared" ca="1" si="38"/>
        <v>0</v>
      </c>
      <c r="I371" t="b">
        <f t="shared" ca="1" si="35"/>
        <v>0</v>
      </c>
      <c r="J371" s="2">
        <f ca="1"/>
        <v>45371</v>
      </c>
      <c r="K371">
        <f ca="1"/>
        <v>12.315725213104749</v>
      </c>
      <c r="L371">
        <f ca="1"/>
        <v>0.41500865726823832</v>
      </c>
      <c r="M371">
        <f ca="1"/>
        <v>-1.8899674596564395</v>
      </c>
      <c r="N371">
        <f ca="1"/>
        <v>0.12714109416959862</v>
      </c>
      <c r="O371">
        <f ca="1"/>
        <v>0</v>
      </c>
      <c r="P371">
        <f ca="1"/>
        <v>3.5533160164828197</v>
      </c>
      <c r="Q371">
        <f ca="1"/>
        <v>3.0329559303870091</v>
      </c>
      <c r="R371">
        <f ca="1"/>
        <v>0</v>
      </c>
      <c r="S371">
        <f ca="1"/>
        <v>0.33748883868858953</v>
      </c>
      <c r="T371">
        <f ca="1"/>
        <v>0</v>
      </c>
      <c r="U371">
        <f ca="1"/>
        <v>0</v>
      </c>
      <c r="V371">
        <f ca="1"/>
        <v>1.4297897071375833E-2</v>
      </c>
      <c r="X371" s="2">
        <f t="shared" ca="1" si="36"/>
        <v>45371</v>
      </c>
      <c r="Y371">
        <f t="shared" ca="1" si="37"/>
        <v>0</v>
      </c>
      <c r="AA371" s="63">
        <f t="shared" ca="1" si="39"/>
        <v>12.730733870372987</v>
      </c>
      <c r="AB371" s="63">
        <f t="shared" ca="1" si="40"/>
        <v>12.730733870372987</v>
      </c>
      <c r="AC371" s="3">
        <f t="shared" ca="1" si="41"/>
        <v>0</v>
      </c>
    </row>
    <row r="372" spans="8:29">
      <c r="H372" t="b">
        <f t="shared" ca="1" si="38"/>
        <v>0</v>
      </c>
      <c r="I372" t="b">
        <f t="shared" ca="1" si="35"/>
        <v>0</v>
      </c>
      <c r="J372" s="2">
        <f ca="1"/>
        <v>45372</v>
      </c>
      <c r="K372">
        <f ca="1"/>
        <v>10.221735719288523</v>
      </c>
      <c r="L372">
        <f ca="1"/>
        <v>0.44884871615138744</v>
      </c>
      <c r="M372">
        <f ca="1"/>
        <v>-1.7678998168167119</v>
      </c>
      <c r="N372">
        <f ca="1"/>
        <v>0.12275903915187264</v>
      </c>
      <c r="O372">
        <f ca="1"/>
        <v>0</v>
      </c>
      <c r="P372">
        <f ca="1"/>
        <v>4.0021647326342071</v>
      </c>
      <c r="Q372">
        <f ca="1"/>
        <v>3.4160736630015829</v>
      </c>
      <c r="R372">
        <f ca="1"/>
        <v>0</v>
      </c>
      <c r="S372">
        <f ca="1"/>
        <v>0.33681259843164535</v>
      </c>
      <c r="T372">
        <f ca="1"/>
        <v>0</v>
      </c>
      <c r="U372">
        <f ca="1"/>
        <v>0</v>
      </c>
      <c r="V372">
        <f ca="1"/>
        <v>2.0370622796204524E-2</v>
      </c>
      <c r="X372" s="2">
        <f t="shared" ca="1" si="36"/>
        <v>45372</v>
      </c>
      <c r="Y372">
        <f t="shared" ca="1" si="37"/>
        <v>0</v>
      </c>
      <c r="AA372" s="63">
        <f t="shared" ca="1" si="39"/>
        <v>10.67058443543991</v>
      </c>
      <c r="AB372" s="63">
        <f t="shared" ca="1" si="40"/>
        <v>10.67058443543991</v>
      </c>
      <c r="AC372" s="3">
        <f t="shared" ca="1" si="41"/>
        <v>0</v>
      </c>
    </row>
    <row r="373" spans="8:29">
      <c r="H373" t="b">
        <f t="shared" ca="1" si="38"/>
        <v>0</v>
      </c>
      <c r="I373" t="b">
        <f t="shared" ca="1" si="35"/>
        <v>0</v>
      </c>
      <c r="J373" s="2">
        <f ca="1"/>
        <v>45373</v>
      </c>
      <c r="K373">
        <f ca="1"/>
        <v>8.1473517585576047</v>
      </c>
      <c r="L373">
        <f ca="1"/>
        <v>0.47361409728869219</v>
      </c>
      <c r="M373">
        <f ca="1"/>
        <v>-1.7201753699084961</v>
      </c>
      <c r="N373">
        <f ca="1"/>
        <v>0.11940550646627103</v>
      </c>
      <c r="O373">
        <f ca="1"/>
        <v>0</v>
      </c>
      <c r="P373">
        <f ca="1"/>
        <v>4.4757788299228993</v>
      </c>
      <c r="Q373">
        <f ca="1"/>
        <v>3.8203300472982065</v>
      </c>
      <c r="R373">
        <f ca="1"/>
        <v>0</v>
      </c>
      <c r="S373">
        <f ca="1"/>
        <v>0.35324462500011222</v>
      </c>
      <c r="T373">
        <f ca="1"/>
        <v>0</v>
      </c>
      <c r="U373">
        <f ca="1"/>
        <v>0</v>
      </c>
      <c r="V373">
        <f ca="1"/>
        <v>2.83584795140393E-2</v>
      </c>
      <c r="X373" s="2">
        <f t="shared" ca="1" si="36"/>
        <v>45373</v>
      </c>
      <c r="Y373">
        <f t="shared" ca="1" si="37"/>
        <v>0</v>
      </c>
      <c r="AA373" s="63">
        <f t="shared" ca="1" si="39"/>
        <v>8.6209658558462969</v>
      </c>
      <c r="AB373" s="63">
        <f t="shared" ca="1" si="40"/>
        <v>8.6209658558462969</v>
      </c>
      <c r="AC373" s="3">
        <f t="shared" ca="1" si="41"/>
        <v>0</v>
      </c>
    </row>
    <row r="374" spans="8:29">
      <c r="H374" t="b">
        <f t="shared" ca="1" si="38"/>
        <v>0</v>
      </c>
      <c r="I374" t="b">
        <f t="shared" ca="1" si="35"/>
        <v>0</v>
      </c>
      <c r="J374" s="2">
        <f ca="1"/>
        <v>45374</v>
      </c>
      <c r="K374">
        <f ca="1"/>
        <v>6.071372856070627</v>
      </c>
      <c r="L374">
        <f ca="1"/>
        <v>0.53644520411759178</v>
      </c>
      <c r="M374">
        <f ca="1"/>
        <v>-1.6597874599699018</v>
      </c>
      <c r="N374">
        <f ca="1"/>
        <v>0.12025376160051589</v>
      </c>
      <c r="O374">
        <f ca="1"/>
        <v>0</v>
      </c>
      <c r="P374">
        <f ca="1"/>
        <v>5.0122240340404911</v>
      </c>
      <c r="Q374">
        <f ca="1"/>
        <v>4.2782163303107117</v>
      </c>
      <c r="R374">
        <f ca="1"/>
        <v>0</v>
      </c>
      <c r="S374">
        <f ca="1"/>
        <v>0.35062406088459225</v>
      </c>
      <c r="T374">
        <f ca="1"/>
        <v>0</v>
      </c>
      <c r="U374">
        <f ca="1"/>
        <v>0</v>
      </c>
      <c r="V374">
        <f ca="1"/>
        <v>3.9524382053178465E-2</v>
      </c>
      <c r="X374" s="2">
        <f t="shared" ca="1" si="36"/>
        <v>45374</v>
      </c>
      <c r="Y374">
        <f t="shared" ca="1" si="37"/>
        <v>0</v>
      </c>
      <c r="AA374" s="63">
        <f t="shared" ca="1" si="39"/>
        <v>6.6078180601882188</v>
      </c>
      <c r="AB374" s="63">
        <f t="shared" ca="1" si="40"/>
        <v>6.6078180601882188</v>
      </c>
      <c r="AC374" s="3">
        <f t="shared" ca="1" si="41"/>
        <v>0</v>
      </c>
    </row>
    <row r="375" spans="8:29">
      <c r="H375" t="b">
        <f t="shared" ca="1" si="38"/>
        <v>0</v>
      </c>
      <c r="I375" t="b">
        <f t="shared" ca="1" si="35"/>
        <v>0</v>
      </c>
      <c r="J375" s="2">
        <f ca="1"/>
        <v>45375</v>
      </c>
      <c r="K375">
        <f ca="1"/>
        <v>3.8857256456631308</v>
      </c>
      <c r="L375">
        <f ca="1"/>
        <v>0.62079238715785401</v>
      </c>
      <c r="M375">
        <f ca="1"/>
        <v>-1.6901221691591211</v>
      </c>
      <c r="N375">
        <f ca="1"/>
        <v>0.12526734590947861</v>
      </c>
      <c r="O375">
        <f ca="1"/>
        <v>0</v>
      </c>
      <c r="P375">
        <f ca="1"/>
        <v>5.6330164211983451</v>
      </c>
      <c r="Q375">
        <f ca="1"/>
        <v>4.8080976984287132</v>
      </c>
      <c r="R375">
        <f ca="1"/>
        <v>0</v>
      </c>
      <c r="S375">
        <f ca="1"/>
        <v>0.36320792859035861</v>
      </c>
      <c r="T375">
        <f ca="1"/>
        <v>0</v>
      </c>
      <c r="U375">
        <f ca="1"/>
        <v>0</v>
      </c>
      <c r="V375">
        <f ca="1"/>
        <v>5.5428628509181163E-2</v>
      </c>
      <c r="X375" s="2">
        <f t="shared" ca="1" si="36"/>
        <v>45375</v>
      </c>
      <c r="Y375">
        <f t="shared" ca="1" si="37"/>
        <v>0</v>
      </c>
      <c r="AA375" s="63">
        <f t="shared" ca="1" si="39"/>
        <v>4.5065180328209848</v>
      </c>
      <c r="AB375" s="63">
        <f t="shared" ca="1" si="40"/>
        <v>4.5065180328209848</v>
      </c>
      <c r="AC375" s="3">
        <f t="shared" ca="1" si="41"/>
        <v>0</v>
      </c>
    </row>
    <row r="376" spans="8:29">
      <c r="H376" t="b">
        <f t="shared" ca="1" si="38"/>
        <v>0</v>
      </c>
      <c r="I376" t="b">
        <f t="shared" ca="1" si="35"/>
        <v>0</v>
      </c>
      <c r="J376" s="2">
        <f ca="1"/>
        <v>45376</v>
      </c>
      <c r="K376">
        <f ca="1"/>
        <v>1.8778103775294088</v>
      </c>
      <c r="L376">
        <f ca="1"/>
        <v>0.63482445592581982</v>
      </c>
      <c r="M376">
        <f ca="1"/>
        <v>-1.4884055171506354</v>
      </c>
      <c r="N376">
        <f ca="1"/>
        <v>0.11531470494273328</v>
      </c>
      <c r="O376">
        <f ca="1"/>
        <v>0</v>
      </c>
      <c r="P376">
        <f ca="1"/>
        <v>6.2678408771241649</v>
      </c>
      <c r="Q376">
        <f ca="1"/>
        <v>5.3499562298465682</v>
      </c>
      <c r="R376">
        <f ca="1"/>
        <v>0</v>
      </c>
      <c r="S376">
        <f ca="1"/>
        <v>0.35081793602996508</v>
      </c>
      <c r="T376">
        <f ca="1"/>
        <v>0</v>
      </c>
      <c r="U376">
        <f ca="1"/>
        <v>0</v>
      </c>
      <c r="V376">
        <f ca="1"/>
        <v>7.5119533453800305E-2</v>
      </c>
      <c r="X376" s="2">
        <f t="shared" ca="1" si="36"/>
        <v>45376</v>
      </c>
      <c r="Y376">
        <f t="shared" ca="1" si="37"/>
        <v>0</v>
      </c>
      <c r="AA376" s="63">
        <f t="shared" ca="1" si="39"/>
        <v>2.5126348334552286</v>
      </c>
      <c r="AB376" s="63">
        <f t="shared" ca="1" si="40"/>
        <v>2.5126348334552286</v>
      </c>
      <c r="AC376" s="3">
        <f t="shared" ca="1" si="41"/>
        <v>0</v>
      </c>
    </row>
    <row r="377" spans="8:29">
      <c r="H377" t="b">
        <f t="shared" ca="1" si="38"/>
        <v>0</v>
      </c>
      <c r="I377" t="b">
        <f t="shared" ca="1" si="35"/>
        <v>0</v>
      </c>
      <c r="J377" s="2">
        <f ca="1"/>
        <v>45377</v>
      </c>
      <c r="K377">
        <f ca="1"/>
        <v>-0.29356580861144854</v>
      </c>
      <c r="L377">
        <f ca="1"/>
        <v>0.77971622499089399</v>
      </c>
      <c r="M377">
        <f ca="1"/>
        <v>-1.5155512163924314</v>
      </c>
      <c r="N377">
        <f ca="1"/>
        <v>0.12389125524246787</v>
      </c>
      <c r="O377">
        <f ca="1"/>
        <v>0</v>
      </c>
      <c r="P377">
        <f ca="1"/>
        <v>7.0475571021150589</v>
      </c>
      <c r="Q377">
        <f ca="1"/>
        <v>6.0154880704245688</v>
      </c>
      <c r="R377">
        <f ca="1"/>
        <v>0</v>
      </c>
      <c r="S377">
        <f ca="1"/>
        <v>0.34931119800245897</v>
      </c>
      <c r="T377">
        <f ca="1"/>
        <v>0</v>
      </c>
      <c r="U377">
        <f ca="1"/>
        <v>0</v>
      </c>
      <c r="V377">
        <f ca="1"/>
        <v>0.10404512330254424</v>
      </c>
      <c r="X377" s="2">
        <f t="shared" ca="1" si="36"/>
        <v>45377</v>
      </c>
      <c r="Y377">
        <f t="shared" ca="1" si="37"/>
        <v>0</v>
      </c>
      <c r="AA377" s="63">
        <f t="shared" ca="1" si="39"/>
        <v>0.48615041637944528</v>
      </c>
      <c r="AB377" s="63">
        <f t="shared" ca="1" si="40"/>
        <v>0.48615041637944545</v>
      </c>
      <c r="AC377" s="3">
        <f t="shared" ca="1" si="41"/>
        <v>0</v>
      </c>
    </row>
    <row r="378" spans="8:29">
      <c r="H378" t="b">
        <f t="shared" ca="1" si="38"/>
        <v>0</v>
      </c>
      <c r="I378" t="b">
        <f t="shared" ca="1" si="35"/>
        <v>0</v>
      </c>
      <c r="J378" s="2">
        <f ca="1"/>
        <v>45378</v>
      </c>
      <c r="K378">
        <f ca="1"/>
        <v>-2.5610981861637767</v>
      </c>
      <c r="L378">
        <f ca="1"/>
        <v>0.91992261239391926</v>
      </c>
      <c r="M378">
        <f ca="1"/>
        <v>-1.4752903565927546</v>
      </c>
      <c r="N378">
        <f ca="1"/>
        <v>0.12768059143434579</v>
      </c>
      <c r="O378">
        <f ca="1"/>
        <v>0</v>
      </c>
      <c r="P378">
        <f ca="1"/>
        <v>7.9674797145089782</v>
      </c>
      <c r="Q378">
        <f ca="1"/>
        <v>6.8006939822587098</v>
      </c>
      <c r="R378">
        <f ca="1"/>
        <v>0</v>
      </c>
      <c r="S378">
        <f ca="1"/>
        <v>0.34238946482158161</v>
      </c>
      <c r="T378">
        <f ca="1"/>
        <v>0</v>
      </c>
      <c r="U378">
        <f ca="1"/>
        <v>0</v>
      </c>
      <c r="V378">
        <f ca="1"/>
        <v>0.14452793944725059</v>
      </c>
      <c r="X378" s="2">
        <f t="shared" ca="1" si="36"/>
        <v>45378</v>
      </c>
      <c r="Y378">
        <f t="shared" ca="1" si="37"/>
        <v>0</v>
      </c>
      <c r="AA378" s="63">
        <f t="shared" ca="1" si="39"/>
        <v>-1.6411755737698575</v>
      </c>
      <c r="AB378" s="63">
        <f t="shared" ca="1" si="40"/>
        <v>-1.6411755737698575</v>
      </c>
      <c r="AC378" s="3">
        <f t="shared" ca="1" si="41"/>
        <v>0</v>
      </c>
    </row>
    <row r="379" spans="8:29">
      <c r="H379" t="b">
        <f t="shared" ca="1" si="38"/>
        <v>0</v>
      </c>
      <c r="I379" t="b">
        <f t="shared" ca="1" si="35"/>
        <v>0</v>
      </c>
      <c r="J379" s="2">
        <f ca="1"/>
        <v>45379</v>
      </c>
      <c r="K379">
        <f ca="1"/>
        <v>-4.8505995252861105</v>
      </c>
      <c r="L379">
        <f ca="1"/>
        <v>1.0306823279896014</v>
      </c>
      <c r="M379">
        <f ca="1"/>
        <v>-1.3848204370230519</v>
      </c>
      <c r="N379">
        <f ca="1"/>
        <v>0.1260014258903189</v>
      </c>
      <c r="O379">
        <f ca="1"/>
        <v>0</v>
      </c>
      <c r="P379">
        <f ca="1"/>
        <v>8.9981620424985795</v>
      </c>
      <c r="Q379">
        <f ca="1"/>
        <v>7.6804395676556902</v>
      </c>
      <c r="R379">
        <f ca="1"/>
        <v>0</v>
      </c>
      <c r="S379">
        <f ca="1"/>
        <v>0.33552479371145699</v>
      </c>
      <c r="T379">
        <f ca="1"/>
        <v>0</v>
      </c>
      <c r="U379">
        <f ca="1"/>
        <v>0</v>
      </c>
      <c r="V379">
        <f ca="1"/>
        <v>0.19693515019693444</v>
      </c>
      <c r="X379" s="2">
        <f t="shared" ca="1" si="36"/>
        <v>45379</v>
      </c>
      <c r="Y379">
        <f t="shared" ca="1" si="37"/>
        <v>0</v>
      </c>
      <c r="AA379" s="63">
        <f t="shared" ca="1" si="39"/>
        <v>-3.8199171972965096</v>
      </c>
      <c r="AB379" s="63">
        <f t="shared" ca="1" si="40"/>
        <v>-3.8199171972965091</v>
      </c>
      <c r="AC379" s="3">
        <f t="shared" ca="1" si="41"/>
        <v>0</v>
      </c>
    </row>
    <row r="380" spans="8:29">
      <c r="H380" t="b">
        <f t="shared" ca="1" si="38"/>
        <v>0</v>
      </c>
      <c r="I380" t="b">
        <f t="shared" ca="1" si="35"/>
        <v>0</v>
      </c>
      <c r="J380" s="2">
        <f ca="1"/>
        <v>45380</v>
      </c>
      <c r="K380">
        <f ca="1"/>
        <v>-7.2889620159499176</v>
      </c>
      <c r="L380">
        <f ca="1"/>
        <v>1.1693918200732298</v>
      </c>
      <c r="M380">
        <f ca="1"/>
        <v>-1.3980552187717237</v>
      </c>
      <c r="N380">
        <f ca="1"/>
        <v>0.12908454818114673</v>
      </c>
      <c r="O380">
        <f ca="1"/>
        <v>0</v>
      </c>
      <c r="P380">
        <f ca="1"/>
        <v>10.167553862571809</v>
      </c>
      <c r="Q380">
        <f ca="1"/>
        <v>8.6785815396010424</v>
      </c>
      <c r="R380">
        <f ca="1"/>
        <v>0</v>
      </c>
      <c r="S380">
        <f ca="1"/>
        <v>0.35074044272466787</v>
      </c>
      <c r="T380">
        <f ca="1"/>
        <v>0</v>
      </c>
      <c r="U380">
        <f ca="1"/>
        <v>0</v>
      </c>
      <c r="V380">
        <f ca="1"/>
        <v>0.26302620297138624</v>
      </c>
      <c r="X380" s="2">
        <f t="shared" ca="1" si="36"/>
        <v>45380</v>
      </c>
      <c r="Y380">
        <f t="shared" ca="1" si="37"/>
        <v>0</v>
      </c>
      <c r="AA380" s="63">
        <f t="shared" ca="1" si="39"/>
        <v>-6.1195701958766877</v>
      </c>
      <c r="AB380" s="63">
        <f t="shared" ca="1" si="40"/>
        <v>-6.1195701958766877</v>
      </c>
      <c r="AC380" s="3">
        <f t="shared" ca="1" si="41"/>
        <v>0</v>
      </c>
    </row>
    <row r="381" spans="8:29">
      <c r="H381" t="b">
        <f t="shared" ca="1" si="38"/>
        <v>0</v>
      </c>
      <c r="I381" t="b">
        <f t="shared" ca="1" si="35"/>
        <v>0</v>
      </c>
      <c r="J381" s="2">
        <f ca="1"/>
        <v>45381</v>
      </c>
      <c r="K381">
        <f ca="1"/>
        <v>-9.6276830112396858</v>
      </c>
      <c r="L381">
        <f ca="1"/>
        <v>1.1898711771945312</v>
      </c>
      <c r="M381">
        <f ca="1"/>
        <v>-1.2687043729703333</v>
      </c>
      <c r="N381">
        <f ca="1"/>
        <v>0.11985455487509698</v>
      </c>
      <c r="O381">
        <f ca="1"/>
        <v>0</v>
      </c>
      <c r="P381">
        <f ca="1"/>
        <v>11.357425039766341</v>
      </c>
      <c r="Q381">
        <f ca="1"/>
        <v>9.6942037996331933</v>
      </c>
      <c r="R381">
        <f ca="1"/>
        <v>0</v>
      </c>
      <c r="S381">
        <f ca="1"/>
        <v>0.35281044686790036</v>
      </c>
      <c r="T381">
        <f ca="1"/>
        <v>0</v>
      </c>
      <c r="U381">
        <f ca="1"/>
        <v>0</v>
      </c>
      <c r="V381">
        <f ca="1"/>
        <v>0.33416847822631024</v>
      </c>
      <c r="X381" s="2">
        <f t="shared" ca="1" si="36"/>
        <v>45381</v>
      </c>
      <c r="Y381">
        <f t="shared" ca="1" si="37"/>
        <v>0</v>
      </c>
      <c r="AA381" s="63">
        <f t="shared" ca="1" si="39"/>
        <v>-8.4378118340451529</v>
      </c>
      <c r="AB381" s="63">
        <f t="shared" ca="1" si="40"/>
        <v>-8.4378118340451547</v>
      </c>
      <c r="AC381" s="3">
        <f t="shared" ca="1" si="41"/>
        <v>0</v>
      </c>
    </row>
    <row r="382" spans="8:29">
      <c r="H382" t="b">
        <f t="shared" ca="1" si="38"/>
        <v>0</v>
      </c>
      <c r="I382" t="b">
        <f t="shared" ca="1" si="35"/>
        <v>0</v>
      </c>
      <c r="J382" s="2">
        <f ca="1"/>
        <v>45382</v>
      </c>
      <c r="K382">
        <f ca="1"/>
        <v>-11.889307217037803</v>
      </c>
      <c r="L382">
        <f ca="1"/>
        <v>1.2368495815486398</v>
      </c>
      <c r="M382">
        <f ca="1"/>
        <v>-1.1373433761856262</v>
      </c>
      <c r="N382">
        <f ca="1"/>
        <v>0.11256875193614811</v>
      </c>
      <c r="O382">
        <f ca="1"/>
        <v>0</v>
      </c>
      <c r="P382">
        <f ca="1"/>
        <v>12.59427462131498</v>
      </c>
      <c r="Q382">
        <f ca="1"/>
        <v>10.749924781373457</v>
      </c>
      <c r="R382">
        <f ca="1"/>
        <v>0</v>
      </c>
      <c r="S382">
        <f ca="1"/>
        <v>0.34168273026214302</v>
      </c>
      <c r="T382">
        <f ca="1"/>
        <v>0</v>
      </c>
      <c r="U382">
        <f ca="1"/>
        <v>0</v>
      </c>
      <c r="V382">
        <f ca="1"/>
        <v>0.40854026304110769</v>
      </c>
      <c r="X382" s="2">
        <f t="shared" ca="1" si="36"/>
        <v>45382</v>
      </c>
      <c r="Y382">
        <f t="shared" ca="1" si="37"/>
        <v>0</v>
      </c>
      <c r="AA382" s="63">
        <f t="shared" ca="1" si="39"/>
        <v>-10.652457635489164</v>
      </c>
      <c r="AB382" s="63">
        <f t="shared" ca="1" si="40"/>
        <v>-10.652457635489164</v>
      </c>
      <c r="AC382" s="3">
        <f t="shared" ca="1" si="41"/>
        <v>0</v>
      </c>
    </row>
    <row r="383" spans="8:29">
      <c r="H383" t="b">
        <f t="shared" ca="1" si="38"/>
        <v>0</v>
      </c>
      <c r="I383" t="b">
        <f t="shared" ca="1" si="35"/>
        <v>0</v>
      </c>
      <c r="J383" s="2">
        <f ca="1"/>
        <v>45383</v>
      </c>
      <c r="K383">
        <f ca="1"/>
        <v>-14.317606591871314</v>
      </c>
      <c r="L383">
        <f ca="1"/>
        <v>1.4622165432634784</v>
      </c>
      <c r="M383">
        <f ca="1"/>
        <v>-1.0817931343790619</v>
      </c>
      <c r="N383">
        <f ca="1"/>
        <v>0.11571030280902878</v>
      </c>
      <c r="O383">
        <f ca="1"/>
        <v>0</v>
      </c>
      <c r="P383">
        <f ca="1"/>
        <v>14.056491164578459</v>
      </c>
      <c r="Q383">
        <f ca="1"/>
        <v>11.998009194870317</v>
      </c>
      <c r="R383">
        <f ca="1"/>
        <v>0</v>
      </c>
      <c r="S383">
        <f ca="1"/>
        <v>0.32422633819210095</v>
      </c>
      <c r="T383">
        <f ca="1"/>
        <v>0</v>
      </c>
      <c r="U383">
        <f ca="1"/>
        <v>0</v>
      </c>
      <c r="V383">
        <f ca="1"/>
        <v>0.4926321924739277</v>
      </c>
      <c r="X383" s="2">
        <f t="shared" ca="1" si="36"/>
        <v>45383</v>
      </c>
      <c r="Y383">
        <f t="shared" ca="1" si="37"/>
        <v>0</v>
      </c>
      <c r="AA383" s="63">
        <f t="shared" ca="1" si="39"/>
        <v>-12.855390048607836</v>
      </c>
      <c r="AB383" s="63">
        <f t="shared" ca="1" si="40"/>
        <v>-12.855390048607836</v>
      </c>
      <c r="AC383" s="3">
        <f t="shared" ca="1" si="41"/>
        <v>0</v>
      </c>
    </row>
    <row r="384" spans="8:29">
      <c r="H384" t="b">
        <f t="shared" ca="1" si="38"/>
        <v>0</v>
      </c>
      <c r="I384" t="b">
        <f t="shared" ca="1" si="35"/>
        <v>0</v>
      </c>
      <c r="J384" s="2">
        <f ca="1"/>
        <v>45384</v>
      </c>
      <c r="K384">
        <f ca="1"/>
        <v>-16.738240545169283</v>
      </c>
      <c r="L384">
        <f ca="1"/>
        <v>1.5476705829423132</v>
      </c>
      <c r="M384">
        <f ca="1"/>
        <v>-0.9833382929225607</v>
      </c>
      <c r="N384">
        <f ca="1"/>
        <v>0.11037492256690712</v>
      </c>
      <c r="O384">
        <f ca="1"/>
        <v>0</v>
      </c>
      <c r="P384">
        <f ca="1"/>
        <v>15.604161747520772</v>
      </c>
      <c r="Q384">
        <f ca="1"/>
        <v>13.319033458134884</v>
      </c>
      <c r="R384">
        <f ca="1"/>
        <v>0</v>
      </c>
      <c r="S384">
        <f ca="1"/>
        <v>0.31415555204741513</v>
      </c>
      <c r="T384">
        <f ca="1"/>
        <v>0</v>
      </c>
      <c r="U384">
        <f ca="1"/>
        <v>0</v>
      </c>
      <c r="V384">
        <f ca="1"/>
        <v>0.57336111560377889</v>
      </c>
      <c r="X384" s="2">
        <f t="shared" ca="1" si="36"/>
        <v>45384</v>
      </c>
      <c r="Y384">
        <f t="shared" ca="1" si="37"/>
        <v>0</v>
      </c>
      <c r="AA384" s="63">
        <f t="shared" ca="1" si="39"/>
        <v>-15.190569962226968</v>
      </c>
      <c r="AB384" s="63">
        <f t="shared" ca="1" si="40"/>
        <v>-15.19056996222697</v>
      </c>
      <c r="AC384" s="3">
        <f t="shared" ca="1" si="41"/>
        <v>0</v>
      </c>
    </row>
    <row r="385" spans="8:29">
      <c r="H385" t="b">
        <f t="shared" ca="1" si="38"/>
        <v>0</v>
      </c>
      <c r="I385" t="b">
        <f t="shared" ca="1" si="35"/>
        <v>0</v>
      </c>
      <c r="J385" s="2">
        <f ca="1"/>
        <v>45385</v>
      </c>
      <c r="K385">
        <f ca="1"/>
        <v>-19.137060397648582</v>
      </c>
      <c r="L385">
        <f ca="1"/>
        <v>1.6024417066190626</v>
      </c>
      <c r="M385">
        <f ca="1"/>
        <v>-0.90117363581091325</v>
      </c>
      <c r="N385">
        <f ca="1"/>
        <v>0.10479548995067649</v>
      </c>
      <c r="O385">
        <f ca="1"/>
        <v>0</v>
      </c>
      <c r="P385">
        <f ca="1"/>
        <v>17.206603454139834</v>
      </c>
      <c r="Q385">
        <f ca="1"/>
        <v>14.686807969223961</v>
      </c>
      <c r="R385">
        <f ca="1"/>
        <v>0</v>
      </c>
      <c r="S385">
        <f ca="1"/>
        <v>0.30872328365256374</v>
      </c>
      <c r="T385">
        <f ca="1"/>
        <v>0</v>
      </c>
      <c r="U385">
        <f ca="1"/>
        <v>0</v>
      </c>
      <c r="V385">
        <f ca="1"/>
        <v>0.64588448697065814</v>
      </c>
      <c r="X385" s="2">
        <f t="shared" ca="1" si="36"/>
        <v>45385</v>
      </c>
      <c r="Y385">
        <f t="shared" ca="1" si="37"/>
        <v>0</v>
      </c>
      <c r="AA385" s="63">
        <f t="shared" ca="1" si="39"/>
        <v>-17.534618691029522</v>
      </c>
      <c r="AB385" s="63">
        <f t="shared" ca="1" si="40"/>
        <v>-17.534618691029522</v>
      </c>
      <c r="AC385" s="3">
        <f t="shared" ca="1" si="41"/>
        <v>0</v>
      </c>
    </row>
    <row r="386" spans="8:29">
      <c r="H386" t="b">
        <f t="shared" ca="1" si="38"/>
        <v>0</v>
      </c>
      <c r="I386" t="b">
        <f t="shared" ca="1" si="35"/>
        <v>0</v>
      </c>
      <c r="J386" s="2">
        <f ca="1"/>
        <v>45386</v>
      </c>
      <c r="K386">
        <f ca="1"/>
        <v>-21.568344301265078</v>
      </c>
      <c r="L386">
        <f ca="1"/>
        <v>1.7045588140895305</v>
      </c>
      <c r="M386">
        <f ca="1"/>
        <v>-0.82803448359879184</v>
      </c>
      <c r="N386">
        <f ca="1"/>
        <v>0.10130939407182592</v>
      </c>
      <c r="O386">
        <f ca="1"/>
        <v>0</v>
      </c>
      <c r="P386">
        <f ca="1"/>
        <v>18.911162268229365</v>
      </c>
      <c r="Q386">
        <f ca="1"/>
        <v>16.14174519966021</v>
      </c>
      <c r="R386">
        <f ca="1"/>
        <v>0</v>
      </c>
      <c r="S386">
        <f ca="1"/>
        <v>0.29788987604737122</v>
      </c>
      <c r="T386">
        <f ca="1"/>
        <v>0</v>
      </c>
      <c r="U386">
        <f ca="1"/>
        <v>0</v>
      </c>
      <c r="V386">
        <f ca="1"/>
        <v>0.71040597399249028</v>
      </c>
      <c r="X386" s="2">
        <f t="shared" ca="1" si="36"/>
        <v>45386</v>
      </c>
      <c r="Y386">
        <f t="shared" ca="1" si="37"/>
        <v>0</v>
      </c>
      <c r="AA386" s="63">
        <f t="shared" ca="1" si="39"/>
        <v>-19.863785487175548</v>
      </c>
      <c r="AB386" s="63">
        <f t="shared" ca="1" si="40"/>
        <v>-19.863785487175548</v>
      </c>
      <c r="AC386" s="3">
        <f t="shared" ca="1" si="41"/>
        <v>0</v>
      </c>
    </row>
    <row r="387" spans="8:29">
      <c r="H387" t="b">
        <f t="shared" ca="1" si="38"/>
        <v>0</v>
      </c>
      <c r="I387" t="b">
        <f t="shared" ca="1" si="35"/>
        <v>0</v>
      </c>
      <c r="J387" s="2">
        <f ca="1"/>
        <v>45387</v>
      </c>
      <c r="K387">
        <f ca="1"/>
        <v>-24.180722058670142</v>
      </c>
      <c r="L387">
        <f ca="1"/>
        <v>1.8993170316981853</v>
      </c>
      <c r="M387">
        <f ca="1"/>
        <v>-0.81590331603189981</v>
      </c>
      <c r="N387">
        <f ca="1"/>
        <v>0.10284259032502203</v>
      </c>
      <c r="O387">
        <f ca="1"/>
        <v>0</v>
      </c>
      <c r="P387">
        <f ca="1"/>
        <v>20.81047929992755</v>
      </c>
      <c r="Q387">
        <f ca="1"/>
        <v>17.762919569812638</v>
      </c>
      <c r="R387">
        <f ca="1"/>
        <v>0</v>
      </c>
      <c r="S387">
        <f ca="1"/>
        <v>0.30013258688351802</v>
      </c>
      <c r="T387">
        <f ca="1"/>
        <v>0</v>
      </c>
      <c r="U387">
        <f ca="1"/>
        <v>0</v>
      </c>
      <c r="V387">
        <f ca="1"/>
        <v>0.76834702205847183</v>
      </c>
      <c r="X387" s="2">
        <f t="shared" ca="1" si="36"/>
        <v>45387</v>
      </c>
      <c r="Y387">
        <f t="shared" ca="1" si="37"/>
        <v>0</v>
      </c>
      <c r="AA387" s="63">
        <f t="shared" ca="1" si="39"/>
        <v>-22.281405026971957</v>
      </c>
      <c r="AB387" s="63">
        <f t="shared" ca="1" si="40"/>
        <v>-22.281405026971957</v>
      </c>
      <c r="AC387" s="3">
        <f t="shared" ca="1" si="41"/>
        <v>0</v>
      </c>
    </row>
    <row r="388" spans="8:29">
      <c r="H388" t="b">
        <f t="shared" ca="1" si="38"/>
        <v>0</v>
      </c>
      <c r="I388" t="b">
        <f t="shared" ca="1" si="35"/>
        <v>0</v>
      </c>
      <c r="J388" s="2">
        <f ca="1"/>
        <v>45388</v>
      </c>
      <c r="K388">
        <f ca="1"/>
        <v>-26.961029621825446</v>
      </c>
      <c r="L388">
        <f ca="1"/>
        <v>2.05177494884596</v>
      </c>
      <c r="M388">
        <f ca="1"/>
        <v>-0.83272609224959382</v>
      </c>
      <c r="N388">
        <f ca="1"/>
        <v>0.10419347794024944</v>
      </c>
      <c r="O388">
        <f ca="1"/>
        <v>0</v>
      </c>
      <c r="P388">
        <f ca="1"/>
        <v>22.86225424877351</v>
      </c>
      <c r="Q388">
        <f ca="1"/>
        <v>19.514225383890363</v>
      </c>
      <c r="R388">
        <f ca="1"/>
        <v>0</v>
      </c>
      <c r="S388">
        <f ca="1"/>
        <v>0.31892845135603393</v>
      </c>
      <c r="T388">
        <f ca="1"/>
        <v>0</v>
      </c>
      <c r="U388">
        <f ca="1"/>
        <v>0</v>
      </c>
      <c r="V388">
        <f ca="1"/>
        <v>0.81710721169698053</v>
      </c>
      <c r="X388" s="2">
        <f t="shared" ca="1" si="36"/>
        <v>45388</v>
      </c>
      <c r="Y388">
        <f t="shared" ca="1" si="37"/>
        <v>0</v>
      </c>
      <c r="AA388" s="63">
        <f t="shared" ca="1" si="39"/>
        <v>-24.909254672979486</v>
      </c>
      <c r="AB388" s="63">
        <f t="shared" ca="1" si="40"/>
        <v>-24.909254672979486</v>
      </c>
      <c r="AC388" s="3">
        <f t="shared" ca="1" si="41"/>
        <v>0</v>
      </c>
    </row>
    <row r="389" spans="8:29">
      <c r="H389" t="b">
        <f t="shared" ca="1" si="38"/>
        <v>0</v>
      </c>
      <c r="I389" t="b">
        <f t="shared" ca="1" si="35"/>
        <v>0</v>
      </c>
      <c r="J389" s="2">
        <f ca="1"/>
        <v>45389</v>
      </c>
      <c r="K389">
        <f ca="1"/>
        <v>-29.904967505070964</v>
      </c>
      <c r="L389">
        <f ca="1"/>
        <v>2.2499852090281998</v>
      </c>
      <c r="M389">
        <f ca="1"/>
        <v>-0.79802831672726171</v>
      </c>
      <c r="N389">
        <f ca="1"/>
        <v>0.10407564250994465</v>
      </c>
      <c r="O389">
        <f ca="1"/>
        <v>0</v>
      </c>
      <c r="P389">
        <f ca="1"/>
        <v>25.11223945780171</v>
      </c>
      <c r="Q389">
        <f ca="1"/>
        <v>21.434714851010668</v>
      </c>
      <c r="R389">
        <f ca="1"/>
        <v>0</v>
      </c>
      <c r="S389">
        <f ca="1"/>
        <v>0.31570041401643406</v>
      </c>
      <c r="T389">
        <f ca="1"/>
        <v>0</v>
      </c>
      <c r="U389">
        <f ca="1"/>
        <v>0</v>
      </c>
      <c r="V389">
        <f ca="1"/>
        <v>0.85764568596085267</v>
      </c>
      <c r="X389" s="2">
        <f t="shared" ca="1" si="36"/>
        <v>45389</v>
      </c>
      <c r="Y389">
        <f t="shared" ca="1" si="37"/>
        <v>0</v>
      </c>
      <c r="AA389" s="63">
        <f t="shared" ca="1" si="39"/>
        <v>-27.654982296042764</v>
      </c>
      <c r="AB389" s="63">
        <f t="shared" ca="1" si="40"/>
        <v>-27.654982296042764</v>
      </c>
      <c r="AC389" s="3">
        <f t="shared" ca="1" si="41"/>
        <v>0</v>
      </c>
    </row>
    <row r="390" spans="8:29">
      <c r="H390" t="b">
        <f t="shared" ca="1" si="38"/>
        <v>0</v>
      </c>
      <c r="I390" t="b">
        <f t="shared" ca="1" si="35"/>
        <v>0</v>
      </c>
      <c r="J390" s="2">
        <f ca="1"/>
        <v>45390</v>
      </c>
      <c r="K390">
        <f ca="1"/>
        <v>-32.845661662802733</v>
      </c>
      <c r="L390">
        <f ca="1"/>
        <v>2.2750052829367071</v>
      </c>
      <c r="M390">
        <f ca="1"/>
        <v>-0.7658830515920414</v>
      </c>
      <c r="N390">
        <f ca="1"/>
        <v>0.10019417679697915</v>
      </c>
      <c r="O390">
        <f ca="1"/>
        <v>0</v>
      </c>
      <c r="P390">
        <f ca="1"/>
        <v>27.387244740738417</v>
      </c>
      <c r="Q390">
        <f ca="1"/>
        <v>23.376560364479651</v>
      </c>
      <c r="R390">
        <f ca="1"/>
        <v>0</v>
      </c>
      <c r="S390">
        <f ca="1"/>
        <v>0.32604060869563378</v>
      </c>
      <c r="T390">
        <f ca="1"/>
        <v>0</v>
      </c>
      <c r="U390">
        <f ca="1"/>
        <v>0</v>
      </c>
      <c r="V390">
        <f ca="1"/>
        <v>0.88832374585170037</v>
      </c>
      <c r="X390" s="2">
        <f t="shared" ca="1" si="36"/>
        <v>45390</v>
      </c>
      <c r="Y390">
        <f t="shared" ca="1" si="37"/>
        <v>0</v>
      </c>
      <c r="AA390" s="63">
        <f t="shared" ca="1" si="39"/>
        <v>-30.570656379866026</v>
      </c>
      <c r="AB390" s="63">
        <f t="shared" ca="1" si="40"/>
        <v>-30.570656379866026</v>
      </c>
      <c r="AC390" s="3">
        <f t="shared" ca="1" si="41"/>
        <v>0</v>
      </c>
    </row>
    <row r="391" spans="8:29">
      <c r="H391" t="b">
        <f t="shared" ca="1" si="38"/>
        <v>0</v>
      </c>
      <c r="I391" t="b">
        <f t="shared" ca="1" si="35"/>
        <v>0</v>
      </c>
      <c r="J391" s="2">
        <f ca="1"/>
        <v>45391</v>
      </c>
      <c r="K391">
        <f ca="1"/>
        <v>-35.557817080792475</v>
      </c>
      <c r="L391">
        <f ca="1"/>
        <v>2.1186225377735823</v>
      </c>
      <c r="M391">
        <f ca="1"/>
        <v>-0.68457716900034882</v>
      </c>
      <c r="N391">
        <f ca="1"/>
        <v>9.1044288784189381E-2</v>
      </c>
      <c r="O391">
        <f ca="1"/>
        <v>0</v>
      </c>
      <c r="P391">
        <f ca="1"/>
        <v>29.505867278512</v>
      </c>
      <c r="Q391">
        <f ca="1"/>
        <v>25.18492437161694</v>
      </c>
      <c r="R391">
        <f ca="1"/>
        <v>0</v>
      </c>
      <c r="S391">
        <f ca="1"/>
        <v>0.3229589777563886</v>
      </c>
      <c r="T391">
        <f ca="1"/>
        <v>0</v>
      </c>
      <c r="U391">
        <f ca="1"/>
        <v>0</v>
      </c>
      <c r="V391">
        <f ca="1"/>
        <v>0.9100167633441858</v>
      </c>
      <c r="X391" s="2">
        <f t="shared" ca="1" si="36"/>
        <v>45391</v>
      </c>
      <c r="Y391">
        <f t="shared" ca="1" si="37"/>
        <v>0</v>
      </c>
      <c r="AA391" s="63">
        <f t="shared" ca="1" si="39"/>
        <v>-33.439194543018893</v>
      </c>
      <c r="AB391" s="63">
        <f t="shared" ca="1" si="40"/>
        <v>-33.439194543018893</v>
      </c>
      <c r="AC391" s="3">
        <f t="shared" ca="1" si="41"/>
        <v>0</v>
      </c>
    </row>
    <row r="392" spans="8:29">
      <c r="H392" t="b">
        <f t="shared" ca="1" si="38"/>
        <v>0</v>
      </c>
      <c r="I392" t="b">
        <f t="shared" ca="1" si="35"/>
        <v>0</v>
      </c>
      <c r="J392" s="2">
        <f ca="1"/>
        <v>45392</v>
      </c>
      <c r="K392">
        <f ca="1"/>
        <v>-38.47300880500093</v>
      </c>
      <c r="L392">
        <f ca="1"/>
        <v>2.3576524009373827</v>
      </c>
      <c r="M392">
        <f ca="1"/>
        <v>-0.64935663123340959</v>
      </c>
      <c r="N392">
        <f ca="1"/>
        <v>9.1817307962340541E-2</v>
      </c>
      <c r="O392">
        <f ca="1"/>
        <v>0</v>
      </c>
      <c r="P392">
        <f ca="1"/>
        <v>31.863519679449382</v>
      </c>
      <c r="Q392">
        <f ca="1"/>
        <v>27.197313868651356</v>
      </c>
      <c r="R392">
        <f ca="1"/>
        <v>0</v>
      </c>
      <c r="S392">
        <f ca="1"/>
        <v>0.31110264939820786</v>
      </c>
      <c r="T392">
        <f ca="1"/>
        <v>0</v>
      </c>
      <c r="U392">
        <f ca="1"/>
        <v>0</v>
      </c>
      <c r="V392">
        <f ca="1"/>
        <v>0.92844254164231665</v>
      </c>
      <c r="X392" s="2">
        <f t="shared" ca="1" si="36"/>
        <v>45392</v>
      </c>
      <c r="Y392">
        <f t="shared" ca="1" si="37"/>
        <v>0</v>
      </c>
      <c r="AA392" s="63">
        <f t="shared" ca="1" si="39"/>
        <v>-36.115356404063547</v>
      </c>
      <c r="AB392" s="63">
        <f t="shared" ca="1" si="40"/>
        <v>-36.115356404063547</v>
      </c>
      <c r="AC392" s="3">
        <f t="shared" ca="1" si="41"/>
        <v>0</v>
      </c>
    </row>
    <row r="393" spans="8:29">
      <c r="H393" t="b">
        <f t="shared" ca="1" si="38"/>
        <v>0</v>
      </c>
      <c r="I393" t="b">
        <f t="shared" ca="1" si="35"/>
        <v>0</v>
      </c>
      <c r="J393" s="2">
        <f ca="1"/>
        <v>45393</v>
      </c>
      <c r="K393">
        <f ca="1"/>
        <v>-41.468226663560088</v>
      </c>
      <c r="L393">
        <f ca="1"/>
        <v>2.4696448894359833</v>
      </c>
      <c r="M393">
        <f ca="1"/>
        <v>-0.61575474750744519</v>
      </c>
      <c r="N393">
        <f ca="1"/>
        <v>9.018177838427098E-2</v>
      </c>
      <c r="O393">
        <f ca="1"/>
        <v>0</v>
      </c>
      <c r="P393">
        <f ca="1"/>
        <v>34.333164568885365</v>
      </c>
      <c r="Q393">
        <f ca="1"/>
        <v>29.305295280554869</v>
      </c>
      <c r="R393">
        <f ca="1"/>
        <v>0</v>
      </c>
      <c r="S393">
        <f ca="1"/>
        <v>0.30767655898247959</v>
      </c>
      <c r="T393">
        <f ca="1"/>
        <v>0</v>
      </c>
      <c r="U393">
        <f ca="1"/>
        <v>0</v>
      </c>
      <c r="V393">
        <f ca="1"/>
        <v>0.94302675979521455</v>
      </c>
      <c r="X393" s="2">
        <f t="shared" ca="1" si="36"/>
        <v>45393</v>
      </c>
      <c r="Y393">
        <f t="shared" ca="1" si="37"/>
        <v>0</v>
      </c>
      <c r="AA393" s="63">
        <f t="shared" ca="1" si="39"/>
        <v>-38.998581774124105</v>
      </c>
      <c r="AB393" s="63">
        <f t="shared" ca="1" si="40"/>
        <v>-38.998581774124105</v>
      </c>
      <c r="AC393" s="3">
        <f t="shared" ca="1" si="41"/>
        <v>0</v>
      </c>
    </row>
    <row r="394" spans="8:29">
      <c r="H394" t="b">
        <f t="shared" ca="1" si="38"/>
        <v>0</v>
      </c>
      <c r="I394" t="b">
        <f t="shared" ca="1" si="35"/>
        <v>0</v>
      </c>
      <c r="J394" s="2">
        <f ca="1"/>
        <v>45394</v>
      </c>
      <c r="K394">
        <f ca="1"/>
        <v>-44.802812969199415</v>
      </c>
      <c r="L394">
        <f ca="1"/>
        <v>2.8334791521278433</v>
      </c>
      <c r="M394">
        <f ca="1"/>
        <v>-0.59396402046809982</v>
      </c>
      <c r="N394">
        <f ca="1"/>
        <v>9.2856866956616102E-2</v>
      </c>
      <c r="O394">
        <f ca="1"/>
        <v>0</v>
      </c>
      <c r="P394">
        <f ca="1"/>
        <v>37.166643721013209</v>
      </c>
      <c r="Q394">
        <f ca="1"/>
        <v>31.723829786973621</v>
      </c>
      <c r="R394">
        <f ca="1"/>
        <v>0</v>
      </c>
      <c r="S394">
        <f ca="1"/>
        <v>0.29688939654785779</v>
      </c>
      <c r="T394">
        <f ca="1"/>
        <v>0</v>
      </c>
      <c r="U394">
        <f ca="1"/>
        <v>0</v>
      </c>
      <c r="V394">
        <f ca="1"/>
        <v>0.95551111121642607</v>
      </c>
      <c r="X394" s="2">
        <f t="shared" ca="1" si="36"/>
        <v>45394</v>
      </c>
      <c r="Y394">
        <f t="shared" ca="1" si="37"/>
        <v>0</v>
      </c>
      <c r="AA394" s="63">
        <f t="shared" ca="1" si="39"/>
        <v>-41.969333817071572</v>
      </c>
      <c r="AB394" s="63">
        <f t="shared" ca="1" si="40"/>
        <v>-41.969333817071572</v>
      </c>
      <c r="AC394" s="3">
        <f t="shared" ca="1" si="41"/>
        <v>0</v>
      </c>
    </row>
    <row r="395" spans="8:29">
      <c r="H395" t="b">
        <f t="shared" ca="1" si="38"/>
        <v>0</v>
      </c>
      <c r="I395" t="b">
        <f t="shared" ref="I395:I458" ca="1" si="42">AND(IF(J395&gt;($J$7-1),TRUE,FALSE),IF(J395&lt;($J$8+1),TRUE,FALSE))</f>
        <v>0</v>
      </c>
      <c r="J395" s="2">
        <f ca="1"/>
        <v>45395</v>
      </c>
      <c r="K395">
        <f ca="1"/>
        <v>-48.112743469576088</v>
      </c>
      <c r="L395">
        <f ca="1"/>
        <v>2.8601484312846424</v>
      </c>
      <c r="M395">
        <f ca="1"/>
        <v>-0.53806876647439594</v>
      </c>
      <c r="N395">
        <f ca="1"/>
        <v>8.828669738236844E-2</v>
      </c>
      <c r="O395">
        <f ca="1"/>
        <v>0</v>
      </c>
      <c r="P395">
        <f ca="1"/>
        <v>40.026792152297851</v>
      </c>
      <c r="Q395">
        <f ca="1"/>
        <v>34.165128029576408</v>
      </c>
      <c r="R395">
        <f ca="1"/>
        <v>0</v>
      </c>
      <c r="S395">
        <f ca="1"/>
        <v>0.28513314882735474</v>
      </c>
      <c r="T395">
        <f ca="1"/>
        <v>0</v>
      </c>
      <c r="U395">
        <f ca="1"/>
        <v>0</v>
      </c>
      <c r="V395">
        <f ca="1"/>
        <v>0.96485175495833664</v>
      </c>
      <c r="X395" s="2">
        <f t="shared" ref="X395:X458" ca="1" si="43">IFERROR(J395,$X$9)</f>
        <v>45395</v>
      </c>
      <c r="Y395">
        <f t="shared" ref="Y395:Y458" ca="1" si="44">IFERROR(O395,0)</f>
        <v>0</v>
      </c>
      <c r="AA395" s="63">
        <f t="shared" ca="1" si="39"/>
        <v>-45.252595038291446</v>
      </c>
      <c r="AB395" s="63">
        <f t="shared" ca="1" si="40"/>
        <v>-45.252595038291446</v>
      </c>
      <c r="AC395" s="3">
        <f t="shared" ca="1" si="41"/>
        <v>0</v>
      </c>
    </row>
    <row r="396" spans="8:29">
      <c r="H396" t="b">
        <f t="shared" ref="H396:H459" ca="1" si="45">IF(J396&lt;$J$8,TRUE,FALSE)</f>
        <v>0</v>
      </c>
      <c r="I396" t="b">
        <f t="shared" ca="1" si="42"/>
        <v>0</v>
      </c>
      <c r="J396" s="2">
        <f ca="1"/>
        <v>45396</v>
      </c>
      <c r="K396">
        <f ca="1"/>
        <v>-52.057610299311435</v>
      </c>
      <c r="L396">
        <f ca="1"/>
        <v>3.5232202850868859</v>
      </c>
      <c r="M396">
        <f ca="1"/>
        <v>-0.51575028326335826</v>
      </c>
      <c r="N396">
        <f ca="1"/>
        <v>9.4103738614898264E-2</v>
      </c>
      <c r="O396">
        <f ca="1"/>
        <v>0</v>
      </c>
      <c r="P396">
        <f ca="1"/>
        <v>43.550012437384737</v>
      </c>
      <c r="Q396">
        <f ca="1"/>
        <v>37.172395553248897</v>
      </c>
      <c r="R396">
        <f ca="1"/>
        <v>0</v>
      </c>
      <c r="S396">
        <f ca="1"/>
        <v>0.26342832992106474</v>
      </c>
      <c r="T396">
        <f ca="1"/>
        <v>0</v>
      </c>
      <c r="U396">
        <f ca="1"/>
        <v>0</v>
      </c>
      <c r="V396">
        <f ca="1"/>
        <v>0.97324814513964109</v>
      </c>
      <c r="X396" s="2">
        <f t="shared" ca="1" si="43"/>
        <v>45396</v>
      </c>
      <c r="Y396">
        <f t="shared" ca="1" si="44"/>
        <v>0</v>
      </c>
      <c r="AA396" s="63">
        <f t="shared" ca="1" si="39"/>
        <v>-48.534390014224549</v>
      </c>
      <c r="AB396" s="63">
        <f t="shared" ca="1" si="40"/>
        <v>-48.534390014224549</v>
      </c>
      <c r="AC396" s="3">
        <f t="shared" ca="1" si="41"/>
        <v>0</v>
      </c>
    </row>
    <row r="397" spans="8:29">
      <c r="H397" t="b">
        <f t="shared" ca="1" si="45"/>
        <v>0</v>
      </c>
      <c r="I397" t="b">
        <f t="shared" ca="1" si="42"/>
        <v>0</v>
      </c>
      <c r="J397" s="2">
        <f ca="1"/>
        <v>45397</v>
      </c>
      <c r="K397">
        <f ca="1"/>
        <v>-56.031576054568781</v>
      </c>
      <c r="L397">
        <f ca="1"/>
        <v>3.5938528043523519</v>
      </c>
      <c r="M397">
        <f ca="1"/>
        <v>-0.47006551179833878</v>
      </c>
      <c r="N397">
        <f ca="1"/>
        <v>8.9952560893342484E-2</v>
      </c>
      <c r="O397">
        <f ca="1"/>
        <v>0</v>
      </c>
      <c r="P397">
        <f ca="1"/>
        <v>47.143865241737089</v>
      </c>
      <c r="Q397">
        <f ca="1"/>
        <v>40.239951921817429</v>
      </c>
      <c r="R397">
        <f ca="1"/>
        <v>0</v>
      </c>
      <c r="S397">
        <f ca="1"/>
        <v>0.25372558681267243</v>
      </c>
      <c r="T397">
        <f ca="1"/>
        <v>0</v>
      </c>
      <c r="U397">
        <f ca="1"/>
        <v>0</v>
      </c>
      <c r="V397">
        <f ca="1"/>
        <v>0.97939345506639819</v>
      </c>
      <c r="X397" s="2">
        <f t="shared" ca="1" si="43"/>
        <v>45397</v>
      </c>
      <c r="Y397">
        <f t="shared" ca="1" si="44"/>
        <v>0</v>
      </c>
      <c r="AA397" s="63">
        <f t="shared" ca="1" si="39"/>
        <v>-52.437723250216429</v>
      </c>
      <c r="AB397" s="63">
        <f t="shared" ca="1" si="40"/>
        <v>-52.437723250216429</v>
      </c>
      <c r="AC397" s="3">
        <f t="shared" ca="1" si="41"/>
        <v>0</v>
      </c>
    </row>
    <row r="398" spans="8:29">
      <c r="H398" t="b">
        <f t="shared" ca="1" si="45"/>
        <v>0</v>
      </c>
      <c r="I398" t="b">
        <f t="shared" ca="1" si="42"/>
        <v>0</v>
      </c>
      <c r="J398" s="2">
        <f ca="1"/>
        <v>45398</v>
      </c>
      <c r="K398">
        <f ca="1"/>
        <v>-60.381092381895606</v>
      </c>
      <c r="L398">
        <f ca="1"/>
        <v>3.9788433756305324</v>
      </c>
      <c r="M398">
        <f ca="1"/>
        <v>-0.46242952430329609</v>
      </c>
      <c r="N398">
        <f ca="1"/>
        <v>9.1756572607003178E-2</v>
      </c>
      <c r="O398">
        <f ca="1"/>
        <v>0</v>
      </c>
      <c r="P398">
        <f ca="1"/>
        <v>51.122708617367621</v>
      </c>
      <c r="Q398">
        <f ca="1"/>
        <v>43.636119489301237</v>
      </c>
      <c r="R398">
        <f ca="1"/>
        <v>0</v>
      </c>
      <c r="S398">
        <f ca="1"/>
        <v>0.25272558465883938</v>
      </c>
      <c r="T398">
        <f ca="1"/>
        <v>0</v>
      </c>
      <c r="U398">
        <f ca="1"/>
        <v>0</v>
      </c>
      <c r="V398">
        <f ca="1"/>
        <v>0.98428496095535489</v>
      </c>
      <c r="X398" s="2">
        <f t="shared" ca="1" si="43"/>
        <v>45398</v>
      </c>
      <c r="Y398">
        <f t="shared" ca="1" si="44"/>
        <v>0</v>
      </c>
      <c r="AA398" s="63">
        <f t="shared" ca="1" si="39"/>
        <v>-56.402249006265073</v>
      </c>
      <c r="AB398" s="63">
        <f t="shared" ca="1" si="40"/>
        <v>-56.402249006265073</v>
      </c>
      <c r="AC398" s="3">
        <f t="shared" ca="1" si="41"/>
        <v>0</v>
      </c>
    </row>
    <row r="399" spans="8:29">
      <c r="H399" t="b">
        <f t="shared" ca="1" si="45"/>
        <v>0</v>
      </c>
      <c r="I399" t="b">
        <f t="shared" ca="1" si="42"/>
        <v>0</v>
      </c>
      <c r="J399" s="2">
        <f ca="1"/>
        <v>45399</v>
      </c>
      <c r="K399">
        <f ca="1"/>
        <v>-64.547076720281098</v>
      </c>
      <c r="L399">
        <f ca="1"/>
        <v>3.8367301494483002</v>
      </c>
      <c r="M399">
        <f ca="1"/>
        <v>-0.41447321899691048</v>
      </c>
      <c r="N399">
        <f ca="1"/>
        <v>8.5219030059713041E-2</v>
      </c>
      <c r="O399">
        <f ca="1"/>
        <v>0</v>
      </c>
      <c r="P399">
        <f ca="1"/>
        <v>54.959438766815921</v>
      </c>
      <c r="Q399">
        <f ca="1"/>
        <v>46.91098539092237</v>
      </c>
      <c r="R399">
        <f ca="1"/>
        <v>0</v>
      </c>
      <c r="S399">
        <f ca="1"/>
        <v>0.24461701533928781</v>
      </c>
      <c r="T399">
        <f ca="1"/>
        <v>0</v>
      </c>
      <c r="U399">
        <f ca="1"/>
        <v>0</v>
      </c>
      <c r="V399">
        <f ca="1"/>
        <v>0.98770832731555569</v>
      </c>
      <c r="X399" s="2">
        <f t="shared" ca="1" si="43"/>
        <v>45399</v>
      </c>
      <c r="Y399">
        <f t="shared" ca="1" si="44"/>
        <v>0</v>
      </c>
      <c r="AA399" s="63">
        <f t="shared" ca="1" si="39"/>
        <v>-60.710346570832805</v>
      </c>
      <c r="AB399" s="63">
        <f t="shared" ca="1" si="40"/>
        <v>-60.710346570832797</v>
      </c>
      <c r="AC399" s="3">
        <f t="shared" ca="1" si="41"/>
        <v>0</v>
      </c>
    </row>
    <row r="400" spans="8:29">
      <c r="H400" t="b">
        <f t="shared" ca="1" si="45"/>
        <v>0</v>
      </c>
      <c r="I400" t="b">
        <f t="shared" ca="1" si="42"/>
        <v>0</v>
      </c>
      <c r="J400" s="2">
        <f ca="1"/>
        <v>45400</v>
      </c>
      <c r="K400">
        <f ca="1"/>
        <v>-68.996920823379824</v>
      </c>
      <c r="L400">
        <f ca="1"/>
        <v>4.1476117498300908</v>
      </c>
      <c r="M400">
        <f ca="1"/>
        <v>-0.3872575820270896</v>
      </c>
      <c r="N400">
        <f ca="1"/>
        <v>8.5025228758447272E-2</v>
      </c>
      <c r="O400">
        <f ca="1"/>
        <v>0</v>
      </c>
      <c r="P400">
        <f ca="1"/>
        <v>59.107050516646012</v>
      </c>
      <c r="Q400">
        <f ca="1"/>
        <v>50.451206298727136</v>
      </c>
      <c r="R400">
        <f ca="1"/>
        <v>0</v>
      </c>
      <c r="S400">
        <f ca="1"/>
        <v>0.23284144037934132</v>
      </c>
      <c r="T400">
        <f ca="1"/>
        <v>0</v>
      </c>
      <c r="U400">
        <f ca="1"/>
        <v>0</v>
      </c>
      <c r="V400">
        <f ca="1"/>
        <v>0.99043265707119976</v>
      </c>
      <c r="X400" s="2">
        <f t="shared" ca="1" si="43"/>
        <v>45400</v>
      </c>
      <c r="Y400">
        <f t="shared" ca="1" si="44"/>
        <v>0</v>
      </c>
      <c r="AA400" s="63">
        <f t="shared" ref="AA400:AA463" ca="1" si="46">K399+M400+N400+O400</f>
        <v>-64.849309073549733</v>
      </c>
      <c r="AB400" s="63">
        <f t="shared" ref="AB400:AB463" ca="1" si="47">K400+L400+R400</f>
        <v>-64.849309073549733</v>
      </c>
      <c r="AC400" s="3">
        <f t="shared" ref="AC400:AC463" ca="1" si="48">AB400-AA400</f>
        <v>0</v>
      </c>
    </row>
    <row r="401" spans="8:29">
      <c r="H401" t="b">
        <f t="shared" ca="1" si="45"/>
        <v>0</v>
      </c>
      <c r="I401" t="b">
        <f t="shared" ca="1" si="42"/>
        <v>0</v>
      </c>
      <c r="J401" s="2">
        <f ca="1"/>
        <v>45401</v>
      </c>
      <c r="K401">
        <f ca="1"/>
        <v>-73.958416706475859</v>
      </c>
      <c r="L401">
        <f ca="1"/>
        <v>4.6622532579154949</v>
      </c>
      <c r="M401">
        <f ca="1"/>
        <v>-0.38729143000976762</v>
      </c>
      <c r="N401">
        <f ca="1"/>
        <v>8.8048804829232274E-2</v>
      </c>
      <c r="O401">
        <f ca="1"/>
        <v>0</v>
      </c>
      <c r="P401">
        <f ca="1"/>
        <v>63.769303774561507</v>
      </c>
      <c r="Q401">
        <f ca="1"/>
        <v>54.430702803391412</v>
      </c>
      <c r="R401">
        <f ca="1"/>
        <v>0</v>
      </c>
      <c r="S401">
        <f ca="1"/>
        <v>0.23283318879535175</v>
      </c>
      <c r="T401">
        <f ca="1"/>
        <v>0</v>
      </c>
      <c r="U401">
        <f ca="1"/>
        <v>0</v>
      </c>
      <c r="V401">
        <f ca="1"/>
        <v>0.99266294273460065</v>
      </c>
      <c r="X401" s="2">
        <f t="shared" ca="1" si="43"/>
        <v>45401</v>
      </c>
      <c r="Y401">
        <f t="shared" ca="1" si="44"/>
        <v>0</v>
      </c>
      <c r="AA401" s="63">
        <f t="shared" ca="1" si="46"/>
        <v>-69.296163448560364</v>
      </c>
      <c r="AB401" s="63">
        <f t="shared" ca="1" si="47"/>
        <v>-69.296163448560364</v>
      </c>
      <c r="AC401" s="3">
        <f t="shared" ca="1" si="48"/>
        <v>0</v>
      </c>
    </row>
    <row r="402" spans="8:29">
      <c r="H402" t="b">
        <f t="shared" ca="1" si="45"/>
        <v>0</v>
      </c>
      <c r="I402" t="b">
        <f t="shared" ca="1" si="42"/>
        <v>0</v>
      </c>
      <c r="J402" s="2">
        <f ca="1"/>
        <v>45402</v>
      </c>
      <c r="K402">
        <f ca="1"/>
        <v>-78.544877792956896</v>
      </c>
      <c r="L402">
        <f ca="1"/>
        <v>4.3122804886642996</v>
      </c>
      <c r="M402">
        <f ca="1"/>
        <v>-0.35521131283520191</v>
      </c>
      <c r="N402">
        <f ca="1"/>
        <v>8.1030715018475183E-2</v>
      </c>
      <c r="O402">
        <f ca="1"/>
        <v>0</v>
      </c>
      <c r="P402">
        <f ca="1"/>
        <v>68.081584263225807</v>
      </c>
      <c r="Q402">
        <f ca="1"/>
        <v>58.111477781163451</v>
      </c>
      <c r="R402">
        <f ca="1"/>
        <v>0</v>
      </c>
      <c r="S402">
        <f ca="1"/>
        <v>0.23328108384710622</v>
      </c>
      <c r="T402">
        <f ca="1"/>
        <v>0</v>
      </c>
      <c r="U402">
        <f ca="1"/>
        <v>0</v>
      </c>
      <c r="V402">
        <f ca="1"/>
        <v>0.99418303586332235</v>
      </c>
      <c r="X402" s="2">
        <f t="shared" ca="1" si="43"/>
        <v>45402</v>
      </c>
      <c r="Y402">
        <f t="shared" ca="1" si="44"/>
        <v>0</v>
      </c>
      <c r="AA402" s="63">
        <f t="shared" ca="1" si="46"/>
        <v>-74.232597304292597</v>
      </c>
      <c r="AB402" s="63">
        <f t="shared" ca="1" si="47"/>
        <v>-74.232597304292597</v>
      </c>
      <c r="AC402" s="3">
        <f t="shared" ca="1" si="48"/>
        <v>0</v>
      </c>
    </row>
    <row r="403" spans="8:29">
      <c r="H403" t="b">
        <f t="shared" ca="1" si="45"/>
        <v>0</v>
      </c>
      <c r="I403" t="b">
        <f t="shared" ca="1" si="42"/>
        <v>0</v>
      </c>
      <c r="J403" s="2">
        <f ca="1"/>
        <v>45403</v>
      </c>
      <c r="K403">
        <f ca="1"/>
        <v>-83.191388892555665</v>
      </c>
      <c r="L403">
        <f ca="1"/>
        <v>4.4001453117879521</v>
      </c>
      <c r="M403">
        <f ca="1"/>
        <v>-0.32499742759558359</v>
      </c>
      <c r="N403">
        <f ca="1"/>
        <v>7.8631639784763008E-2</v>
      </c>
      <c r="O403">
        <f ca="1"/>
        <v>0</v>
      </c>
      <c r="P403">
        <f ca="1"/>
        <v>72.481729575013759</v>
      </c>
      <c r="Q403">
        <f ca="1"/>
        <v>61.867250348547309</v>
      </c>
      <c r="R403">
        <f ca="1"/>
        <v>0</v>
      </c>
      <c r="S403">
        <f ca="1"/>
        <v>0.22166196434913163</v>
      </c>
      <c r="T403">
        <f ca="1"/>
        <v>0</v>
      </c>
      <c r="U403">
        <f ca="1"/>
        <v>0</v>
      </c>
      <c r="V403">
        <f ca="1"/>
        <v>0.99535662358447807</v>
      </c>
      <c r="X403" s="2">
        <f t="shared" ca="1" si="43"/>
        <v>45403</v>
      </c>
      <c r="Y403">
        <f t="shared" ca="1" si="44"/>
        <v>0</v>
      </c>
      <c r="AA403" s="63">
        <f t="shared" ca="1" si="46"/>
        <v>-78.791243580767713</v>
      </c>
      <c r="AB403" s="63">
        <f t="shared" ca="1" si="47"/>
        <v>-78.791243580767713</v>
      </c>
      <c r="AC403" s="3">
        <f t="shared" ca="1" si="48"/>
        <v>0</v>
      </c>
    </row>
    <row r="404" spans="8:29">
      <c r="H404" t="b">
        <f t="shared" ca="1" si="45"/>
        <v>0</v>
      </c>
      <c r="I404" t="b">
        <f t="shared" ca="1" si="42"/>
        <v>0</v>
      </c>
      <c r="J404" s="2">
        <f ca="1"/>
        <v>45404</v>
      </c>
      <c r="K404">
        <f ca="1"/>
        <v>-88.510492286553045</v>
      </c>
      <c r="L404">
        <f ca="1"/>
        <v>5.0871740118390818</v>
      </c>
      <c r="M404">
        <f ca="1"/>
        <v>-0.31411289102766204</v>
      </c>
      <c r="N404">
        <f ca="1"/>
        <v>8.218350886935917E-2</v>
      </c>
      <c r="O404">
        <f ca="1"/>
        <v>0</v>
      </c>
      <c r="P404">
        <f ca="1"/>
        <v>77.568903586852841</v>
      </c>
      <c r="Q404">
        <f ca="1"/>
        <v>66.209440718485268</v>
      </c>
      <c r="R404">
        <f ca="1"/>
        <v>0</v>
      </c>
      <c r="S404">
        <f ca="1"/>
        <v>0.21063062107295971</v>
      </c>
      <c r="T404">
        <f ca="1"/>
        <v>0</v>
      </c>
      <c r="U404">
        <f ca="1"/>
        <v>0</v>
      </c>
      <c r="V404">
        <f ca="1"/>
        <v>0.996375651910548</v>
      </c>
      <c r="X404" s="2">
        <f t="shared" ca="1" si="43"/>
        <v>45404</v>
      </c>
      <c r="Y404">
        <f t="shared" ca="1" si="44"/>
        <v>0</v>
      </c>
      <c r="AA404" s="63">
        <f t="shared" ca="1" si="46"/>
        <v>-83.423318274713964</v>
      </c>
      <c r="AB404" s="63">
        <f t="shared" ca="1" si="47"/>
        <v>-83.423318274713964</v>
      </c>
      <c r="AC404" s="3">
        <f t="shared" ca="1" si="48"/>
        <v>0</v>
      </c>
    </row>
    <row r="405" spans="8:29">
      <c r="H405" t="b">
        <f t="shared" ca="1" si="45"/>
        <v>0</v>
      </c>
      <c r="I405" t="b">
        <f t="shared" ca="1" si="42"/>
        <v>0</v>
      </c>
      <c r="J405" s="2">
        <f ca="1"/>
        <v>45405</v>
      </c>
      <c r="K405">
        <f ca="1"/>
        <v>-93.599173134127398</v>
      </c>
      <c r="L405">
        <f ca="1"/>
        <v>4.8663304707585695</v>
      </c>
      <c r="M405">
        <f ca="1"/>
        <v>-0.30044110137008317</v>
      </c>
      <c r="N405">
        <f ca="1"/>
        <v>7.8090724554293903E-2</v>
      </c>
      <c r="O405">
        <f ca="1"/>
        <v>0</v>
      </c>
      <c r="P405">
        <f ca="1"/>
        <v>82.43523405761141</v>
      </c>
      <c r="Q405">
        <f ca="1"/>
        <v>70.363128651685045</v>
      </c>
      <c r="R405">
        <f ca="1"/>
        <v>0</v>
      </c>
      <c r="S405">
        <f ca="1"/>
        <v>0.21491381142701391</v>
      </c>
      <c r="T405">
        <f ca="1"/>
        <v>0</v>
      </c>
      <c r="U405">
        <f ca="1"/>
        <v>0</v>
      </c>
      <c r="V405">
        <f ca="1"/>
        <v>0.99710816034878214</v>
      </c>
      <c r="X405" s="2">
        <f t="shared" ca="1" si="43"/>
        <v>45405</v>
      </c>
      <c r="Y405">
        <f t="shared" ca="1" si="44"/>
        <v>0</v>
      </c>
      <c r="AA405" s="63">
        <f t="shared" ca="1" si="46"/>
        <v>-88.732842663368828</v>
      </c>
      <c r="AB405" s="63">
        <f t="shared" ca="1" si="47"/>
        <v>-88.732842663368828</v>
      </c>
      <c r="AC405" s="3">
        <f t="shared" ca="1" si="48"/>
        <v>0</v>
      </c>
    </row>
    <row r="406" spans="8:29">
      <c r="H406" t="b">
        <f t="shared" ca="1" si="45"/>
        <v>0</v>
      </c>
      <c r="I406" t="b">
        <f t="shared" ca="1" si="42"/>
        <v>0</v>
      </c>
      <c r="J406" s="2">
        <f ca="1"/>
        <v>45406</v>
      </c>
      <c r="K406">
        <f ca="1"/>
        <v>-99.395494454023719</v>
      </c>
      <c r="L406">
        <f ca="1"/>
        <v>5.5697605623474828</v>
      </c>
      <c r="M406">
        <f ca="1"/>
        <v>-0.30905794196007008</v>
      </c>
      <c r="N406">
        <f ca="1"/>
        <v>8.249718441122364E-2</v>
      </c>
      <c r="O406">
        <f ca="1"/>
        <v>0</v>
      </c>
      <c r="P406">
        <f ca="1"/>
        <v>88.004994619958893</v>
      </c>
      <c r="Q406">
        <f ca="1"/>
        <v>75.117233901554869</v>
      </c>
      <c r="R406">
        <f ca="1"/>
        <v>0</v>
      </c>
      <c r="S406">
        <f ca="1"/>
        <v>0.21804687930729844</v>
      </c>
      <c r="T406">
        <f ca="1"/>
        <v>0</v>
      </c>
      <c r="U406">
        <f ca="1"/>
        <v>0</v>
      </c>
      <c r="V406">
        <f ca="1"/>
        <v>0.99774026826196738</v>
      </c>
      <c r="X406" s="2">
        <f t="shared" ca="1" si="43"/>
        <v>45406</v>
      </c>
      <c r="Y406">
        <f t="shared" ca="1" si="44"/>
        <v>0</v>
      </c>
      <c r="AA406" s="63">
        <f t="shared" ca="1" si="46"/>
        <v>-93.825733891676251</v>
      </c>
      <c r="AB406" s="63">
        <f t="shared" ca="1" si="47"/>
        <v>-93.825733891676236</v>
      </c>
      <c r="AC406" s="3">
        <f t="shared" ca="1" si="48"/>
        <v>0</v>
      </c>
    </row>
    <row r="407" spans="8:29">
      <c r="H407" t="b">
        <f t="shared" ca="1" si="45"/>
        <v>0</v>
      </c>
      <c r="I407" t="b">
        <f t="shared" ca="1" si="42"/>
        <v>0</v>
      </c>
      <c r="J407" s="2">
        <f ca="1"/>
        <v>45407</v>
      </c>
      <c r="K407">
        <f ca="1"/>
        <v>-105.57152597060491</v>
      </c>
      <c r="L407">
        <f ca="1"/>
        <v>5.9757778693780637</v>
      </c>
      <c r="M407">
        <f ca="1"/>
        <v>-0.28258104654492655</v>
      </c>
      <c r="N407">
        <f ca="1"/>
        <v>8.2327399341813073E-2</v>
      </c>
      <c r="O407">
        <f ca="1"/>
        <v>0</v>
      </c>
      <c r="P407">
        <f ca="1"/>
        <v>93.980772489336957</v>
      </c>
      <c r="Q407">
        <f ca="1"/>
        <v>80.217897857007273</v>
      </c>
      <c r="R407">
        <f ca="1"/>
        <v>0</v>
      </c>
      <c r="S407">
        <f ca="1"/>
        <v>0.2021737349154428</v>
      </c>
      <c r="T407">
        <f ca="1"/>
        <v>0</v>
      </c>
      <c r="U407">
        <f ca="1"/>
        <v>0</v>
      </c>
      <c r="V407">
        <f ca="1"/>
        <v>0.99824440495937372</v>
      </c>
      <c r="X407" s="2">
        <f t="shared" ca="1" si="43"/>
        <v>45407</v>
      </c>
      <c r="Y407">
        <f t="shared" ca="1" si="44"/>
        <v>0</v>
      </c>
      <c r="AA407" s="63">
        <f t="shared" ca="1" si="46"/>
        <v>-99.595748101226832</v>
      </c>
      <c r="AB407" s="63">
        <f t="shared" ca="1" si="47"/>
        <v>-99.595748101226846</v>
      </c>
      <c r="AC407" s="3">
        <f t="shared" ca="1" si="48"/>
        <v>0</v>
      </c>
    </row>
    <row r="408" spans="8:29">
      <c r="H408" t="b">
        <f t="shared" ca="1" si="45"/>
        <v>0</v>
      </c>
      <c r="I408" t="b">
        <f t="shared" ca="1" si="42"/>
        <v>0</v>
      </c>
      <c r="J408" s="2">
        <f ca="1"/>
        <v>45408</v>
      </c>
      <c r="K408">
        <f ca="1"/>
        <v>-112.15423502405324</v>
      </c>
      <c r="L408">
        <f ca="1"/>
        <v>6.3801385530563692</v>
      </c>
      <c r="M408">
        <f ca="1"/>
        <v>-0.28638160043735894</v>
      </c>
      <c r="N408">
        <f ca="1"/>
        <v>8.3811100045397768E-2</v>
      </c>
      <c r="O408">
        <f ca="1"/>
        <v>0</v>
      </c>
      <c r="P408">
        <f ca="1"/>
        <v>100.36091104239333</v>
      </c>
      <c r="Q408">
        <f ca="1"/>
        <v>85.663706496436149</v>
      </c>
      <c r="R408">
        <f ca="1"/>
        <v>0</v>
      </c>
      <c r="S408">
        <f ca="1"/>
        <v>0.2080363194836542</v>
      </c>
      <c r="T408">
        <f ca="1"/>
        <v>0</v>
      </c>
      <c r="U408">
        <f ca="1"/>
        <v>0</v>
      </c>
      <c r="V408">
        <f ca="1"/>
        <v>0.99864289235662995</v>
      </c>
      <c r="X408" s="2">
        <f t="shared" ca="1" si="43"/>
        <v>45408</v>
      </c>
      <c r="Y408">
        <f t="shared" ca="1" si="44"/>
        <v>0</v>
      </c>
      <c r="AA408" s="63">
        <f t="shared" ca="1" si="46"/>
        <v>-105.77409647099687</v>
      </c>
      <c r="AB408" s="63">
        <f t="shared" ca="1" si="47"/>
        <v>-105.77409647099687</v>
      </c>
      <c r="AC408" s="3">
        <f t="shared" ca="1" si="48"/>
        <v>0</v>
      </c>
    </row>
    <row r="409" spans="8:29">
      <c r="H409" t="b">
        <f t="shared" ca="1" si="45"/>
        <v>0</v>
      </c>
      <c r="I409" t="b">
        <f t="shared" ca="1" si="42"/>
        <v>0</v>
      </c>
      <c r="J409" s="2">
        <f ca="1"/>
        <v>45409</v>
      </c>
      <c r="K409">
        <f ca="1"/>
        <v>-119.33333618017892</v>
      </c>
      <c r="L409">
        <f ca="1"/>
        <v>6.9668491717217478</v>
      </c>
      <c r="M409">
        <f ca="1"/>
        <v>-0.2993225102076309</v>
      </c>
      <c r="N409">
        <f ca="1"/>
        <v>8.7070525803699561E-2</v>
      </c>
      <c r="O409">
        <f ca="1"/>
        <v>0</v>
      </c>
      <c r="P409">
        <f ca="1"/>
        <v>107.32776021411507</v>
      </c>
      <c r="Q409">
        <f ca="1"/>
        <v>91.610305789453875</v>
      </c>
      <c r="R409">
        <f ca="1"/>
        <v>0</v>
      </c>
      <c r="S409">
        <f ca="1"/>
        <v>0.21853093752216193</v>
      </c>
      <c r="T409">
        <f ca="1"/>
        <v>0</v>
      </c>
      <c r="U409">
        <f ca="1"/>
        <v>0</v>
      </c>
      <c r="V409">
        <f ca="1"/>
        <v>0.99896282679970072</v>
      </c>
      <c r="X409" s="2">
        <f t="shared" ca="1" si="43"/>
        <v>45409</v>
      </c>
      <c r="Y409">
        <f t="shared" ca="1" si="44"/>
        <v>0</v>
      </c>
      <c r="AA409" s="63">
        <f t="shared" ca="1" si="46"/>
        <v>-112.36648700845717</v>
      </c>
      <c r="AB409" s="63">
        <f t="shared" ca="1" si="47"/>
        <v>-112.36648700845717</v>
      </c>
      <c r="AC409" s="3">
        <f t="shared" ca="1" si="48"/>
        <v>0</v>
      </c>
    </row>
    <row r="410" spans="8:29">
      <c r="H410" t="b">
        <f t="shared" ca="1" si="45"/>
        <v>0</v>
      </c>
      <c r="I410" t="b">
        <f t="shared" ca="1" si="42"/>
        <v>0</v>
      </c>
      <c r="J410" s="2">
        <f ca="1"/>
        <v>45410</v>
      </c>
      <c r="K410">
        <f ca="1"/>
        <v>-125.51059211931221</v>
      </c>
      <c r="L410">
        <f ca="1"/>
        <v>5.9242522487282372</v>
      </c>
      <c r="M410">
        <f ca="1"/>
        <v>-0.33498836282792155</v>
      </c>
      <c r="N410">
        <f ca="1"/>
        <v>8.1984672422863614E-2</v>
      </c>
      <c r="O410">
        <f ca="1"/>
        <v>0</v>
      </c>
      <c r="P410">
        <f ca="1"/>
        <v>113.25201246284331</v>
      </c>
      <c r="Q410">
        <f ca="1"/>
        <v>96.66698971723865</v>
      </c>
      <c r="R410">
        <f ca="1"/>
        <v>0</v>
      </c>
      <c r="S410">
        <f ca="1"/>
        <v>0.27551409973182672</v>
      </c>
      <c r="T410">
        <f ca="1"/>
        <v>0</v>
      </c>
      <c r="U410">
        <f ca="1"/>
        <v>0</v>
      </c>
      <c r="V410">
        <f ca="1"/>
        <v>0.99916756043344235</v>
      </c>
      <c r="X410" s="2">
        <f t="shared" ca="1" si="43"/>
        <v>45410</v>
      </c>
      <c r="Y410">
        <f t="shared" ca="1" si="44"/>
        <v>0</v>
      </c>
      <c r="AA410" s="63">
        <f t="shared" ca="1" si="46"/>
        <v>-119.58633987058397</v>
      </c>
      <c r="AB410" s="63">
        <f t="shared" ca="1" si="47"/>
        <v>-119.58633987058397</v>
      </c>
      <c r="AC410" s="3">
        <f t="shared" ca="1" si="48"/>
        <v>0</v>
      </c>
    </row>
    <row r="411" spans="8:29">
      <c r="H411" t="b">
        <f t="shared" ca="1" si="45"/>
        <v>0</v>
      </c>
      <c r="I411" t="b">
        <f t="shared" ca="1" si="42"/>
        <v>0</v>
      </c>
      <c r="J411" s="2">
        <f ca="1"/>
        <v>45411</v>
      </c>
      <c r="K411">
        <f ca="1"/>
        <v>-131.58812475866188</v>
      </c>
      <c r="L411">
        <f ca="1"/>
        <v>5.824596523633204</v>
      </c>
      <c r="M411">
        <f ca="1"/>
        <v>-0.33398614526221593</v>
      </c>
      <c r="N411">
        <f ca="1"/>
        <v>8.1050029545714997E-2</v>
      </c>
      <c r="O411">
        <f ca="1"/>
        <v>0</v>
      </c>
      <c r="P411">
        <f ca="1"/>
        <v>119.07660898647651</v>
      </c>
      <c r="Q411">
        <f ca="1"/>
        <v>101.63861185456572</v>
      </c>
      <c r="R411">
        <f ca="1"/>
        <v>0</v>
      </c>
      <c r="S411">
        <f ca="1"/>
        <v>0.28914898553133722</v>
      </c>
      <c r="T411">
        <f ca="1"/>
        <v>0</v>
      </c>
      <c r="U411">
        <f ca="1"/>
        <v>0</v>
      </c>
      <c r="V411">
        <f ca="1"/>
        <v>0.99932481261964567</v>
      </c>
      <c r="X411" s="2">
        <f t="shared" ca="1" si="43"/>
        <v>45411</v>
      </c>
      <c r="Y411">
        <f t="shared" ca="1" si="44"/>
        <v>0</v>
      </c>
      <c r="AA411" s="63">
        <f t="shared" ca="1" si="46"/>
        <v>-125.7635282350287</v>
      </c>
      <c r="AB411" s="63">
        <f t="shared" ca="1" si="47"/>
        <v>-125.76352823502867</v>
      </c>
      <c r="AC411" s="3">
        <f t="shared" ca="1" si="48"/>
        <v>0</v>
      </c>
    </row>
    <row r="412" spans="8:29">
      <c r="H412" t="b">
        <f t="shared" ca="1" si="45"/>
        <v>0</v>
      </c>
      <c r="I412" t="b">
        <f t="shared" ca="1" si="42"/>
        <v>0</v>
      </c>
      <c r="J412" s="2">
        <f ca="1"/>
        <v>45412</v>
      </c>
      <c r="K412">
        <f ca="1"/>
        <v>-137.43252671300996</v>
      </c>
      <c r="L412">
        <f ca="1"/>
        <v>5.6154216204074601</v>
      </c>
      <c r="M412">
        <f ca="1"/>
        <v>-0.30658242855918161</v>
      </c>
      <c r="N412">
        <f ca="1"/>
        <v>7.7602094618545392E-2</v>
      </c>
      <c r="O412">
        <f ca="1"/>
        <v>0</v>
      </c>
      <c r="P412">
        <f ca="1"/>
        <v>124.69203060688397</v>
      </c>
      <c r="Q412">
        <f ca="1"/>
        <v>106.43169139667084</v>
      </c>
      <c r="R412">
        <f ca="1"/>
        <v>0</v>
      </c>
      <c r="S412">
        <f ca="1"/>
        <v>0.28075227803461977</v>
      </c>
      <c r="T412">
        <f ca="1"/>
        <v>0</v>
      </c>
      <c r="U412">
        <f ca="1"/>
        <v>0</v>
      </c>
      <c r="V412">
        <f ca="1"/>
        <v>0.99944509533371273</v>
      </c>
      <c r="X412" s="2">
        <f t="shared" ca="1" si="43"/>
        <v>45412</v>
      </c>
      <c r="Y412">
        <f t="shared" ca="1" si="44"/>
        <v>0</v>
      </c>
      <c r="AA412" s="63">
        <f t="shared" ca="1" si="46"/>
        <v>-131.8171050926025</v>
      </c>
      <c r="AB412" s="63">
        <f t="shared" ca="1" si="47"/>
        <v>-131.8171050926025</v>
      </c>
      <c r="AC412" s="3">
        <f t="shared" ca="1" si="48"/>
        <v>0</v>
      </c>
    </row>
    <row r="413" spans="8:29">
      <c r="H413" t="b">
        <f t="shared" ca="1" si="45"/>
        <v>0</v>
      </c>
      <c r="I413" t="b">
        <f t="shared" ca="1" si="42"/>
        <v>0</v>
      </c>
      <c r="J413" s="2">
        <f ca="1"/>
        <v>45413</v>
      </c>
      <c r="K413">
        <f ca="1"/>
        <v>-143.5418590142188</v>
      </c>
      <c r="L413">
        <f ca="1"/>
        <v>5.8969440863399427</v>
      </c>
      <c r="M413">
        <f ca="1"/>
        <v>-0.29011691025034736</v>
      </c>
      <c r="N413">
        <f ca="1"/>
        <v>7.772869538143394E-2</v>
      </c>
      <c r="O413">
        <f ca="1"/>
        <v>0</v>
      </c>
      <c r="P413">
        <f ca="1"/>
        <v>130.58897469322392</v>
      </c>
      <c r="Q413">
        <f ca="1"/>
        <v>111.46506626534595</v>
      </c>
      <c r="R413">
        <f ca="1"/>
        <v>0</v>
      </c>
      <c r="S413">
        <f ca="1"/>
        <v>0.27177401110152649</v>
      </c>
      <c r="T413">
        <f ca="1"/>
        <v>0</v>
      </c>
      <c r="U413">
        <f ca="1"/>
        <v>0</v>
      </c>
      <c r="V413">
        <f ca="1"/>
        <v>0.99954602020635563</v>
      </c>
      <c r="X413" s="2">
        <f t="shared" ca="1" si="43"/>
        <v>45413</v>
      </c>
      <c r="Y413">
        <f t="shared" ca="1" si="44"/>
        <v>0</v>
      </c>
      <c r="AA413" s="63">
        <f t="shared" ca="1" si="46"/>
        <v>-137.64491492787886</v>
      </c>
      <c r="AB413" s="63">
        <f t="shared" ca="1" si="47"/>
        <v>-137.64491492787886</v>
      </c>
      <c r="AC413" s="3">
        <f t="shared" ca="1" si="48"/>
        <v>0</v>
      </c>
    </row>
    <row r="414" spans="8:29">
      <c r="H414" t="b">
        <f t="shared" ca="1" si="45"/>
        <v>0</v>
      </c>
      <c r="I414" t="b">
        <f t="shared" ca="1" si="42"/>
        <v>0</v>
      </c>
      <c r="J414" s="2">
        <f ca="1"/>
        <v>45414</v>
      </c>
      <c r="K414">
        <f ca="1"/>
        <v>-149.71921286946932</v>
      </c>
      <c r="L414">
        <f ca="1"/>
        <v>5.9857346298692846</v>
      </c>
      <c r="M414">
        <f ca="1"/>
        <v>-0.26793834523465421</v>
      </c>
      <c r="N414">
        <f ca="1"/>
        <v>7.6319119853432191E-2</v>
      </c>
      <c r="O414">
        <f ca="1"/>
        <v>0</v>
      </c>
      <c r="P414">
        <f ca="1"/>
        <v>136.5747093230932</v>
      </c>
      <c r="Q414">
        <f ca="1"/>
        <v>116.57422887828875</v>
      </c>
      <c r="R414">
        <f ca="1"/>
        <v>0</v>
      </c>
      <c r="S414">
        <f ca="1"/>
        <v>0.2596070099339145</v>
      </c>
      <c r="T414">
        <f ca="1"/>
        <v>0</v>
      </c>
      <c r="U414">
        <f ca="1"/>
        <v>0</v>
      </c>
      <c r="V414">
        <f ca="1"/>
        <v>0.9996278944232927</v>
      </c>
      <c r="X414" s="2">
        <f t="shared" ca="1" si="43"/>
        <v>45414</v>
      </c>
      <c r="Y414">
        <f t="shared" ca="1" si="44"/>
        <v>0</v>
      </c>
      <c r="AA414" s="63">
        <f t="shared" ca="1" si="46"/>
        <v>-143.73347823960003</v>
      </c>
      <c r="AB414" s="63">
        <f t="shared" ca="1" si="47"/>
        <v>-143.73347823960003</v>
      </c>
      <c r="AC414" s="3">
        <f t="shared" ca="1" si="48"/>
        <v>0</v>
      </c>
    </row>
    <row r="415" spans="8:29">
      <c r="H415" t="b">
        <f t="shared" ca="1" si="45"/>
        <v>0</v>
      </c>
      <c r="I415" t="b">
        <f t="shared" ca="1" si="42"/>
        <v>0</v>
      </c>
      <c r="J415" s="2">
        <f ca="1"/>
        <v>45415</v>
      </c>
      <c r="K415">
        <f ca="1"/>
        <v>-156.66405349596204</v>
      </c>
      <c r="L415">
        <f ca="1"/>
        <v>6.7554387905522617</v>
      </c>
      <c r="M415">
        <f ca="1"/>
        <v>-0.26979966458620197</v>
      </c>
      <c r="N415">
        <f ca="1"/>
        <v>8.0397828645740688E-2</v>
      </c>
      <c r="O415">
        <f ca="1"/>
        <v>0</v>
      </c>
      <c r="P415">
        <f ca="1"/>
        <v>143.33014811364546</v>
      </c>
      <c r="Q415">
        <f ca="1"/>
        <v>122.34037746938776</v>
      </c>
      <c r="R415">
        <f ca="1"/>
        <v>0</v>
      </c>
      <c r="S415">
        <f ca="1"/>
        <v>0.25958623537141523</v>
      </c>
      <c r="T415">
        <f ca="1"/>
        <v>0</v>
      </c>
      <c r="U415">
        <f ca="1"/>
        <v>0</v>
      </c>
      <c r="V415">
        <f ca="1"/>
        <v>0.99970116025667899</v>
      </c>
      <c r="X415" s="2">
        <f t="shared" ca="1" si="43"/>
        <v>45415</v>
      </c>
      <c r="Y415">
        <f t="shared" ca="1" si="44"/>
        <v>0</v>
      </c>
      <c r="AA415" s="63">
        <f t="shared" ca="1" si="46"/>
        <v>-149.90861470540978</v>
      </c>
      <c r="AB415" s="63">
        <f t="shared" ca="1" si="47"/>
        <v>-149.90861470540978</v>
      </c>
      <c r="AC415" s="3">
        <f t="shared" ca="1" si="48"/>
        <v>0</v>
      </c>
    </row>
    <row r="416" spans="8:29">
      <c r="H416" t="b">
        <f t="shared" ca="1" si="45"/>
        <v>0</v>
      </c>
      <c r="I416" t="b">
        <f t="shared" ca="1" si="42"/>
        <v>0</v>
      </c>
      <c r="J416" s="2">
        <f ca="1"/>
        <v>45416</v>
      </c>
      <c r="K416">
        <f ca="1"/>
        <v>-163.69756803661352</v>
      </c>
      <c r="L416">
        <f ca="1"/>
        <v>6.8592560298649232</v>
      </c>
      <c r="M416">
        <f ca="1"/>
        <v>-0.25373283439554228</v>
      </c>
      <c r="N416">
        <f ca="1"/>
        <v>7.9474323609005068E-2</v>
      </c>
      <c r="O416">
        <f ca="1"/>
        <v>0</v>
      </c>
      <c r="P416">
        <f ca="1"/>
        <v>150.18940414351039</v>
      </c>
      <c r="Q416">
        <f ca="1"/>
        <v>128.19513993839379</v>
      </c>
      <c r="R416">
        <f ca="1"/>
        <v>0</v>
      </c>
      <c r="S416">
        <f ca="1"/>
        <v>0.25248886123497338</v>
      </c>
      <c r="T416">
        <f ca="1"/>
        <v>0</v>
      </c>
      <c r="U416">
        <f ca="1"/>
        <v>0</v>
      </c>
      <c r="V416">
        <f ca="1"/>
        <v>0.99975964124920402</v>
      </c>
      <c r="X416" s="2">
        <f t="shared" ca="1" si="43"/>
        <v>45416</v>
      </c>
      <c r="Y416">
        <f t="shared" ca="1" si="44"/>
        <v>0</v>
      </c>
      <c r="AA416" s="63">
        <f t="shared" ca="1" si="46"/>
        <v>-156.83831200674859</v>
      </c>
      <c r="AB416" s="63">
        <f t="shared" ca="1" si="47"/>
        <v>-156.83831200674859</v>
      </c>
      <c r="AC416" s="3">
        <f t="shared" ca="1" si="48"/>
        <v>0</v>
      </c>
    </row>
    <row r="417" spans="8:29">
      <c r="H417" t="b">
        <f t="shared" ca="1" si="45"/>
        <v>0</v>
      </c>
      <c r="I417" t="b">
        <f t="shared" ca="1" si="42"/>
        <v>0</v>
      </c>
      <c r="J417" s="2">
        <f ca="1"/>
        <v>45417</v>
      </c>
      <c r="K417">
        <f ca="1"/>
        <v>-171.8794875559997</v>
      </c>
      <c r="L417">
        <f ca="1"/>
        <v>7.9875458510454678</v>
      </c>
      <c r="M417">
        <f ca="1"/>
        <v>-0.2822607894756004</v>
      </c>
      <c r="N417">
        <f ca="1"/>
        <v>8.7887121134882243E-2</v>
      </c>
      <c r="O417">
        <f ca="1"/>
        <v>0</v>
      </c>
      <c r="P417">
        <f ca="1"/>
        <v>158.17694999455586</v>
      </c>
      <c r="Q417">
        <f ca="1"/>
        <v>135.01296150162926</v>
      </c>
      <c r="R417">
        <f ca="1"/>
        <v>0</v>
      </c>
      <c r="S417">
        <f ca="1"/>
        <v>0.27448502773730588</v>
      </c>
      <c r="T417">
        <f ca="1"/>
        <v>0</v>
      </c>
      <c r="U417">
        <f ca="1"/>
        <v>0</v>
      </c>
      <c r="V417">
        <f ca="1"/>
        <v>0.99981250120852616</v>
      </c>
      <c r="X417" s="2">
        <f t="shared" ca="1" si="43"/>
        <v>45417</v>
      </c>
      <c r="Y417">
        <f t="shared" ca="1" si="44"/>
        <v>0</v>
      </c>
      <c r="AA417" s="63">
        <f t="shared" ca="1" si="46"/>
        <v>-163.89194170495423</v>
      </c>
      <c r="AB417" s="63">
        <f t="shared" ca="1" si="47"/>
        <v>-163.89194170495423</v>
      </c>
      <c r="AC417" s="3">
        <f t="shared" ca="1" si="48"/>
        <v>0</v>
      </c>
    </row>
    <row r="418" spans="8:29">
      <c r="H418" t="b">
        <f t="shared" ca="1" si="45"/>
        <v>0</v>
      </c>
      <c r="I418" t="b">
        <f t="shared" ca="1" si="42"/>
        <v>0</v>
      </c>
      <c r="J418" s="2">
        <f ca="1"/>
        <v>45418</v>
      </c>
      <c r="K418">
        <f ca="1"/>
        <v>-179.64598468679645</v>
      </c>
      <c r="L418">
        <f ca="1"/>
        <v>7.5936193503365814</v>
      </c>
      <c r="M418">
        <f ca="1"/>
        <v>-0.25644386530568397</v>
      </c>
      <c r="N418">
        <f ca="1"/>
        <v>8.3566084845503541E-2</v>
      </c>
      <c r="O418">
        <f ca="1"/>
        <v>0</v>
      </c>
      <c r="P418">
        <f ca="1"/>
        <v>165.77056934489244</v>
      </c>
      <c r="Q418">
        <f ca="1"/>
        <v>141.49454454543121</v>
      </c>
      <c r="R418">
        <f ca="1"/>
        <v>0</v>
      </c>
      <c r="S418">
        <f ca="1"/>
        <v>0.26622680075756006</v>
      </c>
      <c r="T418">
        <f ca="1"/>
        <v>0</v>
      </c>
      <c r="U418">
        <f ca="1"/>
        <v>0</v>
      </c>
      <c r="V418">
        <f ca="1"/>
        <v>0.99985128833029835</v>
      </c>
      <c r="X418" s="2">
        <f t="shared" ca="1" si="43"/>
        <v>45418</v>
      </c>
      <c r="Y418">
        <f t="shared" ca="1" si="44"/>
        <v>0</v>
      </c>
      <c r="AA418" s="63">
        <f t="shared" ca="1" si="46"/>
        <v>-172.05236533645987</v>
      </c>
      <c r="AB418" s="63">
        <f t="shared" ca="1" si="47"/>
        <v>-172.05236533645987</v>
      </c>
      <c r="AC418" s="3">
        <f t="shared" ca="1" si="48"/>
        <v>0</v>
      </c>
    </row>
    <row r="419" spans="8:29">
      <c r="H419" t="b">
        <f t="shared" ca="1" si="45"/>
        <v>0</v>
      </c>
      <c r="I419" t="b">
        <f t="shared" ca="1" si="42"/>
        <v>0</v>
      </c>
      <c r="J419" s="2">
        <f ca="1"/>
        <v>45419</v>
      </c>
      <c r="K419">
        <f ca="1"/>
        <v>-186.18690820568727</v>
      </c>
      <c r="L419">
        <f ca="1"/>
        <v>6.3707696259272382</v>
      </c>
      <c r="M419">
        <f ca="1"/>
        <v>-0.24730147578274142</v>
      </c>
      <c r="N419">
        <f ca="1"/>
        <v>7.7147582819163799E-2</v>
      </c>
      <c r="O419">
        <f ca="1"/>
        <v>0</v>
      </c>
      <c r="P419">
        <f ca="1"/>
        <v>172.14133897081967</v>
      </c>
      <c r="Q419">
        <f ca="1"/>
        <v>146.93235627634817</v>
      </c>
      <c r="R419">
        <f ca="1"/>
        <v>0</v>
      </c>
      <c r="S419">
        <f ca="1"/>
        <v>0.28593916504269323</v>
      </c>
      <c r="T419">
        <f ca="1"/>
        <v>0</v>
      </c>
      <c r="U419">
        <f ca="1"/>
        <v>0</v>
      </c>
      <c r="V419">
        <f ca="1"/>
        <v>0.99987723753273872</v>
      </c>
      <c r="X419" s="2">
        <f t="shared" ca="1" si="43"/>
        <v>45419</v>
      </c>
      <c r="Y419">
        <f t="shared" ca="1" si="44"/>
        <v>0</v>
      </c>
      <c r="AA419" s="63">
        <f t="shared" ca="1" si="46"/>
        <v>-179.81613857976004</v>
      </c>
      <c r="AB419" s="63">
        <f t="shared" ca="1" si="47"/>
        <v>-179.81613857976004</v>
      </c>
      <c r="AC419" s="3">
        <f t="shared" ca="1" si="48"/>
        <v>0</v>
      </c>
    </row>
    <row r="420" spans="8:29">
      <c r="H420" t="b">
        <f t="shared" ca="1" si="45"/>
        <v>0</v>
      </c>
      <c r="I420" t="b">
        <f t="shared" ca="1" si="42"/>
        <v>0</v>
      </c>
      <c r="J420" s="2">
        <f ca="1"/>
        <v>45420</v>
      </c>
      <c r="K420">
        <f ca="1"/>
        <v>-192.97002267379548</v>
      </c>
      <c r="L420">
        <f ca="1"/>
        <v>6.6290136043641894</v>
      </c>
      <c r="M420">
        <f ca="1"/>
        <v>-0.23133535628149104</v>
      </c>
      <c r="N420">
        <f ca="1"/>
        <v>7.7234492537480007E-2</v>
      </c>
      <c r="O420">
        <f ca="1"/>
        <v>0</v>
      </c>
      <c r="P420">
        <f ca="1"/>
        <v>178.77035257518386</v>
      </c>
      <c r="Q420">
        <f ca="1"/>
        <v>152.59059382986408</v>
      </c>
      <c r="R420">
        <f ca="1"/>
        <v>0</v>
      </c>
      <c r="S420">
        <f ca="1"/>
        <v>0.27391185848279048</v>
      </c>
      <c r="T420">
        <f ca="1"/>
        <v>0</v>
      </c>
      <c r="U420">
        <f ca="1"/>
        <v>0</v>
      </c>
      <c r="V420">
        <f ca="1"/>
        <v>0.99989923143431059</v>
      </c>
      <c r="X420" s="2">
        <f t="shared" ca="1" si="43"/>
        <v>45420</v>
      </c>
      <c r="Y420">
        <f t="shared" ca="1" si="44"/>
        <v>0</v>
      </c>
      <c r="AA420" s="63">
        <f t="shared" ca="1" si="46"/>
        <v>-186.34100906943129</v>
      </c>
      <c r="AB420" s="63">
        <f t="shared" ca="1" si="47"/>
        <v>-186.34100906943129</v>
      </c>
      <c r="AC420" s="3">
        <f t="shared" ca="1" si="48"/>
        <v>0</v>
      </c>
    </row>
    <row r="421" spans="8:29">
      <c r="H421" t="b">
        <f t="shared" ca="1" si="45"/>
        <v>0</v>
      </c>
      <c r="I421" t="b">
        <f t="shared" ca="1" si="42"/>
        <v>0</v>
      </c>
      <c r="J421" s="2">
        <f ca="1"/>
        <v>45421</v>
      </c>
      <c r="K421">
        <f ca="1"/>
        <v>-199.64141604829717</v>
      </c>
      <c r="L421">
        <f ca="1"/>
        <v>6.520085051857194</v>
      </c>
      <c r="M421">
        <f ca="1"/>
        <v>-0.22829113269609991</v>
      </c>
      <c r="N421">
        <f ca="1"/>
        <v>7.698281005162072E-2</v>
      </c>
      <c r="O421">
        <f ca="1"/>
        <v>0</v>
      </c>
      <c r="P421">
        <f ca="1"/>
        <v>185.29043762704106</v>
      </c>
      <c r="Q421">
        <f ca="1"/>
        <v>158.15585471094718</v>
      </c>
      <c r="R421">
        <f ca="1"/>
        <v>0</v>
      </c>
      <c r="S421">
        <f ca="1"/>
        <v>0.28231888889772044</v>
      </c>
      <c r="T421">
        <f ca="1"/>
        <v>0</v>
      </c>
      <c r="U421">
        <f ca="1"/>
        <v>0</v>
      </c>
      <c r="V421">
        <f ca="1"/>
        <v>0.99991687835819465</v>
      </c>
      <c r="X421" s="2">
        <f t="shared" ca="1" si="43"/>
        <v>45421</v>
      </c>
      <c r="Y421">
        <f t="shared" ca="1" si="44"/>
        <v>0</v>
      </c>
      <c r="AA421" s="63">
        <f t="shared" ca="1" si="46"/>
        <v>-193.12133099643995</v>
      </c>
      <c r="AB421" s="63">
        <f t="shared" ca="1" si="47"/>
        <v>-193.12133099643998</v>
      </c>
      <c r="AC421" s="3">
        <f t="shared" ca="1" si="48"/>
        <v>0</v>
      </c>
    </row>
    <row r="422" spans="8:29">
      <c r="H422" t="b">
        <f t="shared" ca="1" si="45"/>
        <v>0</v>
      </c>
      <c r="I422" t="b">
        <f t="shared" ca="1" si="42"/>
        <v>0</v>
      </c>
      <c r="J422" s="2">
        <f ca="1"/>
        <v>45422</v>
      </c>
      <c r="K422">
        <f ca="1"/>
        <v>-206.78080528214682</v>
      </c>
      <c r="L422">
        <f ca="1"/>
        <v>7.0009105500225814</v>
      </c>
      <c r="M422">
        <f ca="1"/>
        <v>-0.21710181090202241</v>
      </c>
      <c r="N422">
        <f ca="1"/>
        <v>7.862312707496466E-2</v>
      </c>
      <c r="O422">
        <f ca="1"/>
        <v>0</v>
      </c>
      <c r="P422">
        <f ca="1"/>
        <v>192.29134817706364</v>
      </c>
      <c r="Q422">
        <f ca="1"/>
        <v>164.1315273143137</v>
      </c>
      <c r="R422">
        <f ca="1"/>
        <v>0</v>
      </c>
      <c r="S422">
        <f ca="1"/>
        <v>0.27159541995714265</v>
      </c>
      <c r="T422">
        <f ca="1"/>
        <v>0</v>
      </c>
      <c r="U422">
        <f ca="1"/>
        <v>0</v>
      </c>
      <c r="V422">
        <f ca="1"/>
        <v>0.99993230951734602</v>
      </c>
      <c r="X422" s="2">
        <f t="shared" ca="1" si="43"/>
        <v>45422</v>
      </c>
      <c r="Y422">
        <f t="shared" ca="1" si="44"/>
        <v>0</v>
      </c>
      <c r="AA422" s="63">
        <f t="shared" ca="1" si="46"/>
        <v>-199.77989473212423</v>
      </c>
      <c r="AB422" s="63">
        <f t="shared" ca="1" si="47"/>
        <v>-199.77989473212423</v>
      </c>
      <c r="AC422" s="3">
        <f t="shared" ca="1" si="48"/>
        <v>0</v>
      </c>
    </row>
    <row r="423" spans="8:29">
      <c r="H423" t="b">
        <f t="shared" ca="1" si="45"/>
        <v>0</v>
      </c>
      <c r="I423" t="b">
        <f t="shared" ca="1" si="42"/>
        <v>0</v>
      </c>
      <c r="J423" s="2">
        <f ca="1"/>
        <v>45423</v>
      </c>
      <c r="K423">
        <f ca="1"/>
        <v>-214.41482881725298</v>
      </c>
      <c r="L423">
        <f ca="1"/>
        <v>7.4989738749006563</v>
      </c>
      <c r="M423">
        <f ca="1"/>
        <v>-0.21666690915449038</v>
      </c>
      <c r="N423">
        <f ca="1"/>
        <v>8.1617248948995816E-2</v>
      </c>
      <c r="O423">
        <f ca="1"/>
        <v>0</v>
      </c>
      <c r="P423">
        <f ca="1"/>
        <v>199.7903220519643</v>
      </c>
      <c r="Q423">
        <f ca="1"/>
        <v>170.53232509874775</v>
      </c>
      <c r="R423">
        <f ca="1"/>
        <v>0</v>
      </c>
      <c r="S423">
        <f ca="1"/>
        <v>0.2740600893555582</v>
      </c>
      <c r="T423">
        <f ca="1"/>
        <v>0</v>
      </c>
      <c r="U423">
        <f ca="1"/>
        <v>0</v>
      </c>
      <c r="V423">
        <f ca="1"/>
        <v>0.9999456201886977</v>
      </c>
      <c r="X423" s="2">
        <f t="shared" ca="1" si="43"/>
        <v>45423</v>
      </c>
      <c r="Y423">
        <f t="shared" ca="1" si="44"/>
        <v>0</v>
      </c>
      <c r="AA423" s="63">
        <f t="shared" ca="1" si="46"/>
        <v>-206.91585494235233</v>
      </c>
      <c r="AB423" s="63">
        <f t="shared" ca="1" si="47"/>
        <v>-206.91585494235233</v>
      </c>
      <c r="AC423" s="3">
        <f t="shared" ca="1" si="48"/>
        <v>0</v>
      </c>
    </row>
    <row r="424" spans="8:29">
      <c r="H424" t="b">
        <f t="shared" ca="1" si="45"/>
        <v>0</v>
      </c>
      <c r="I424" t="b">
        <f t="shared" ca="1" si="42"/>
        <v>0</v>
      </c>
      <c r="J424" s="2">
        <f ca="1"/>
        <v>45424</v>
      </c>
      <c r="K424">
        <f ca="1"/>
        <v>-221.20725144750639</v>
      </c>
      <c r="L424">
        <f ca="1"/>
        <v>6.6730058831477947</v>
      </c>
      <c r="M424">
        <f ca="1"/>
        <v>-0.19557008513287144</v>
      </c>
      <c r="N424">
        <f ca="1"/>
        <v>7.6153338027248871E-2</v>
      </c>
      <c r="O424">
        <f ca="1"/>
        <v>0</v>
      </c>
      <c r="P424">
        <f ca="1"/>
        <v>206.46332793511209</v>
      </c>
      <c r="Q424">
        <f ca="1"/>
        <v>176.22811254712497</v>
      </c>
      <c r="R424">
        <f ca="1"/>
        <v>0</v>
      </c>
      <c r="S424">
        <f ca="1"/>
        <v>0.26826375569661121</v>
      </c>
      <c r="T424">
        <f ca="1"/>
        <v>0</v>
      </c>
      <c r="U424">
        <f ca="1"/>
        <v>0</v>
      </c>
      <c r="V424">
        <f ca="1"/>
        <v>0.9999552283139379</v>
      </c>
      <c r="X424" s="2">
        <f t="shared" ca="1" si="43"/>
        <v>45424</v>
      </c>
      <c r="Y424">
        <f t="shared" ca="1" si="44"/>
        <v>0</v>
      </c>
      <c r="AA424" s="63">
        <f t="shared" ca="1" si="46"/>
        <v>-214.5342455643586</v>
      </c>
      <c r="AB424" s="63">
        <f t="shared" ca="1" si="47"/>
        <v>-214.5342455643586</v>
      </c>
      <c r="AC424" s="3">
        <f t="shared" ca="1" si="48"/>
        <v>0</v>
      </c>
    </row>
    <row r="425" spans="8:29">
      <c r="H425" t="b">
        <f t="shared" ca="1" si="45"/>
        <v>0</v>
      </c>
      <c r="I425" t="b">
        <f t="shared" ca="1" si="42"/>
        <v>0</v>
      </c>
      <c r="J425" s="2">
        <f ca="1"/>
        <v>45425</v>
      </c>
      <c r="K425">
        <f ca="1"/>
        <v>-227.83666647364942</v>
      </c>
      <c r="L425">
        <f ca="1"/>
        <v>6.5166573393175042</v>
      </c>
      <c r="M425">
        <f ca="1"/>
        <v>-0.18812967489326127</v>
      </c>
      <c r="N425">
        <f ca="1"/>
        <v>7.5371988067732251E-2</v>
      </c>
      <c r="O425">
        <f ca="1"/>
        <v>0</v>
      </c>
      <c r="P425">
        <f ca="1"/>
        <v>212.97998527442959</v>
      </c>
      <c r="Q425">
        <f ca="1"/>
        <v>181.7904476819399</v>
      </c>
      <c r="R425">
        <f ca="1"/>
        <v>0</v>
      </c>
      <c r="S425">
        <f ca="1"/>
        <v>0.26956873574126056</v>
      </c>
      <c r="T425">
        <f ca="1"/>
        <v>0</v>
      </c>
      <c r="U425">
        <f ca="1"/>
        <v>0</v>
      </c>
      <c r="V425">
        <f ca="1"/>
        <v>0.99996297151951175</v>
      </c>
      <c r="X425" s="2">
        <f t="shared" ca="1" si="43"/>
        <v>45425</v>
      </c>
      <c r="Y425">
        <f t="shared" ca="1" si="44"/>
        <v>0</v>
      </c>
      <c r="AA425" s="63">
        <f t="shared" ca="1" si="46"/>
        <v>-221.32000913433194</v>
      </c>
      <c r="AB425" s="63">
        <f t="shared" ca="1" si="47"/>
        <v>-221.32000913433191</v>
      </c>
      <c r="AC425" s="3">
        <f t="shared" ca="1" si="48"/>
        <v>0</v>
      </c>
    </row>
    <row r="426" spans="8:29">
      <c r="H426" t="b">
        <f t="shared" ca="1" si="45"/>
        <v>0</v>
      </c>
      <c r="I426" t="b">
        <f t="shared" ca="1" si="42"/>
        <v>0</v>
      </c>
      <c r="J426" s="2">
        <f ca="1"/>
        <v>45426</v>
      </c>
      <c r="K426">
        <f ca="1"/>
        <v>-233.91361395396939</v>
      </c>
      <c r="L426">
        <f ca="1"/>
        <v>5.9734672328044098</v>
      </c>
      <c r="M426">
        <f ca="1"/>
        <v>-0.17576289348959762</v>
      </c>
      <c r="N426">
        <f ca="1"/>
        <v>7.2282645974052442E-2</v>
      </c>
      <c r="O426">
        <f ca="1"/>
        <v>0</v>
      </c>
      <c r="P426">
        <f ca="1"/>
        <v>218.953452507234</v>
      </c>
      <c r="Q426">
        <f ca="1"/>
        <v>186.88913937855955</v>
      </c>
      <c r="R426">
        <f ca="1"/>
        <v>0</v>
      </c>
      <c r="S426">
        <f ca="1"/>
        <v>0.26840984224449577</v>
      </c>
      <c r="T426">
        <f ca="1"/>
        <v>0</v>
      </c>
      <c r="U426">
        <f ca="1"/>
        <v>0</v>
      </c>
      <c r="V426">
        <f ca="1"/>
        <v>0.99996889789206722</v>
      </c>
      <c r="X426" s="2">
        <f t="shared" ca="1" si="43"/>
        <v>45426</v>
      </c>
      <c r="Y426">
        <f t="shared" ca="1" si="44"/>
        <v>0</v>
      </c>
      <c r="AA426" s="63">
        <f t="shared" ca="1" si="46"/>
        <v>-227.94014672116498</v>
      </c>
      <c r="AB426" s="63">
        <f t="shared" ca="1" si="47"/>
        <v>-227.94014672116498</v>
      </c>
      <c r="AC426" s="3">
        <f t="shared" ca="1" si="48"/>
        <v>0</v>
      </c>
    </row>
    <row r="427" spans="8:29">
      <c r="H427" t="b">
        <f t="shared" ca="1" si="45"/>
        <v>0</v>
      </c>
      <c r="I427" t="b">
        <f t="shared" ca="1" si="42"/>
        <v>0</v>
      </c>
      <c r="J427" s="2">
        <f ca="1"/>
        <v>45427</v>
      </c>
      <c r="K427">
        <f ca="1"/>
        <v>-240.68661938510223</v>
      </c>
      <c r="L427">
        <f ca="1"/>
        <v>6.6711045567190013</v>
      </c>
      <c r="M427">
        <f ca="1"/>
        <v>-0.17859847421294717</v>
      </c>
      <c r="N427">
        <f ca="1"/>
        <v>7.6697599799093394E-2</v>
      </c>
      <c r="O427">
        <f ca="1"/>
        <v>0</v>
      </c>
      <c r="P427">
        <f ca="1"/>
        <v>225.62455706395301</v>
      </c>
      <c r="Q427">
        <f ca="1"/>
        <v>192.5833039374327</v>
      </c>
      <c r="R427">
        <f ca="1"/>
        <v>0</v>
      </c>
      <c r="S427">
        <f ca="1"/>
        <v>0.27203350795241033</v>
      </c>
      <c r="T427">
        <f ca="1"/>
        <v>0</v>
      </c>
      <c r="U427">
        <f ca="1"/>
        <v>0</v>
      </c>
      <c r="V427">
        <f ca="1"/>
        <v>0.99997442227405486</v>
      </c>
      <c r="X427" s="2">
        <f t="shared" ca="1" si="43"/>
        <v>45427</v>
      </c>
      <c r="Y427">
        <f t="shared" ca="1" si="44"/>
        <v>0</v>
      </c>
      <c r="AA427" s="63">
        <f t="shared" ca="1" si="46"/>
        <v>-234.01551482838323</v>
      </c>
      <c r="AB427" s="63">
        <f t="shared" ca="1" si="47"/>
        <v>-234.01551482838323</v>
      </c>
      <c r="AC427" s="3">
        <f t="shared" ca="1" si="48"/>
        <v>0</v>
      </c>
    </row>
    <row r="428" spans="8:29">
      <c r="H428" t="b">
        <f t="shared" ca="1" si="45"/>
        <v>0</v>
      </c>
      <c r="I428" t="b">
        <f t="shared" ca="1" si="42"/>
        <v>0</v>
      </c>
      <c r="J428" s="2">
        <f ca="1"/>
        <v>45428</v>
      </c>
      <c r="K428">
        <f ca="1"/>
        <v>-246.26851766110599</v>
      </c>
      <c r="L428">
        <f ca="1"/>
        <v>5.4814579224410807</v>
      </c>
      <c r="M428">
        <f ca="1"/>
        <v>-0.17198207445333935</v>
      </c>
      <c r="N428">
        <f ca="1"/>
        <v>7.1541720890662366E-2</v>
      </c>
      <c r="O428">
        <f ca="1"/>
        <v>0</v>
      </c>
      <c r="P428">
        <f ca="1"/>
        <v>231.10601498639409</v>
      </c>
      <c r="Q428">
        <f ca="1"/>
        <v>197.26203789633641</v>
      </c>
      <c r="R428">
        <f ca="1"/>
        <v>0</v>
      </c>
      <c r="S428">
        <f ca="1"/>
        <v>0.28957008651645244</v>
      </c>
      <c r="T428">
        <f ca="1"/>
        <v>0</v>
      </c>
      <c r="U428">
        <f ca="1"/>
        <v>0</v>
      </c>
      <c r="V428">
        <f ca="1"/>
        <v>0.99997823846519784</v>
      </c>
      <c r="X428" s="2">
        <f t="shared" ca="1" si="43"/>
        <v>45428</v>
      </c>
      <c r="Y428">
        <f t="shared" ca="1" si="44"/>
        <v>0</v>
      </c>
      <c r="AA428" s="63">
        <f t="shared" ca="1" si="46"/>
        <v>-240.78705973866494</v>
      </c>
      <c r="AB428" s="63">
        <f t="shared" ca="1" si="47"/>
        <v>-240.78705973866491</v>
      </c>
      <c r="AC428" s="3">
        <f t="shared" ca="1" si="48"/>
        <v>0</v>
      </c>
    </row>
    <row r="429" spans="8:29">
      <c r="H429" t="b">
        <f t="shared" ca="1" si="45"/>
        <v>0</v>
      </c>
      <c r="I429" t="b">
        <f t="shared" ca="1" si="42"/>
        <v>0</v>
      </c>
      <c r="J429" s="2">
        <f ca="1"/>
        <v>45429</v>
      </c>
      <c r="K429">
        <f ca="1"/>
        <v>-251.51599479906014</v>
      </c>
      <c r="L429">
        <f ca="1"/>
        <v>5.1539811475836359</v>
      </c>
      <c r="M429">
        <f ca="1"/>
        <v>-0.16347072871449342</v>
      </c>
      <c r="N429">
        <f ca="1"/>
        <v>6.997473834397068E-2</v>
      </c>
      <c r="O429">
        <f ca="1"/>
        <v>0</v>
      </c>
      <c r="P429">
        <f ca="1"/>
        <v>236.25999613397772</v>
      </c>
      <c r="Q429">
        <f ca="1"/>
        <v>201.66125193025712</v>
      </c>
      <c r="R429">
        <f ca="1"/>
        <v>0</v>
      </c>
      <c r="S429">
        <f ca="1"/>
        <v>0.29058485424685415</v>
      </c>
      <c r="T429">
        <f ca="1"/>
        <v>0</v>
      </c>
      <c r="U429">
        <f ca="1"/>
        <v>0</v>
      </c>
      <c r="V429">
        <f ca="1"/>
        <v>0.99998132382936245</v>
      </c>
      <c r="X429" s="2">
        <f t="shared" ca="1" si="43"/>
        <v>45429</v>
      </c>
      <c r="Y429">
        <f t="shared" ca="1" si="44"/>
        <v>0</v>
      </c>
      <c r="AA429" s="63">
        <f t="shared" ca="1" si="46"/>
        <v>-246.3620136514765</v>
      </c>
      <c r="AB429" s="63">
        <f t="shared" ca="1" si="47"/>
        <v>-246.3620136514765</v>
      </c>
      <c r="AC429" s="3">
        <f t="shared" ca="1" si="48"/>
        <v>0</v>
      </c>
    </row>
    <row r="430" spans="8:29">
      <c r="H430" t="b">
        <f t="shared" ca="1" si="45"/>
        <v>0</v>
      </c>
      <c r="I430" t="b">
        <f t="shared" ca="1" si="42"/>
        <v>0</v>
      </c>
      <c r="J430" s="2">
        <f ca="1"/>
        <v>45430</v>
      </c>
      <c r="K430">
        <f ca="1"/>
        <v>-257.11064369080543</v>
      </c>
      <c r="L430">
        <f ca="1"/>
        <v>5.5053262621939325</v>
      </c>
      <c r="M430">
        <f ca="1"/>
        <v>-0.16169445394788795</v>
      </c>
      <c r="N430">
        <f ca="1"/>
        <v>7.2371824396531698E-2</v>
      </c>
      <c r="O430">
        <f ca="1"/>
        <v>0</v>
      </c>
      <c r="P430">
        <f ca="1"/>
        <v>241.76532239617165</v>
      </c>
      <c r="Q430">
        <f ca="1"/>
        <v>206.36035886535154</v>
      </c>
      <c r="R430">
        <f ca="1"/>
        <v>0</v>
      </c>
      <c r="S430">
        <f ca="1"/>
        <v>0.29261407266549605</v>
      </c>
      <c r="T430">
        <f ca="1"/>
        <v>0</v>
      </c>
      <c r="U430">
        <f ca="1"/>
        <v>0</v>
      </c>
      <c r="V430">
        <f ca="1"/>
        <v>0.99998415824346742</v>
      </c>
      <c r="X430" s="2">
        <f t="shared" ca="1" si="43"/>
        <v>45430</v>
      </c>
      <c r="Y430">
        <f t="shared" ca="1" si="44"/>
        <v>0</v>
      </c>
      <c r="AA430" s="63">
        <f t="shared" ca="1" si="46"/>
        <v>-251.6053174286115</v>
      </c>
      <c r="AB430" s="63">
        <f t="shared" ca="1" si="47"/>
        <v>-251.6053174286115</v>
      </c>
      <c r="AC430" s="3">
        <f t="shared" ca="1" si="48"/>
        <v>0</v>
      </c>
    </row>
    <row r="431" spans="8:29">
      <c r="H431" t="b">
        <f t="shared" ca="1" si="45"/>
        <v>0</v>
      </c>
      <c r="I431" t="b">
        <f t="shared" ca="1" si="42"/>
        <v>0</v>
      </c>
      <c r="J431" s="2">
        <f ca="1"/>
        <v>45431</v>
      </c>
      <c r="K431">
        <f ca="1"/>
        <v>-262.74977906573889</v>
      </c>
      <c r="L431">
        <f ca="1"/>
        <v>5.5526442164505738</v>
      </c>
      <c r="M431">
        <f ca="1"/>
        <v>-0.16009390349845631</v>
      </c>
      <c r="N431">
        <f ca="1"/>
        <v>7.3602745015582449E-2</v>
      </c>
      <c r="O431">
        <f ca="1"/>
        <v>0</v>
      </c>
      <c r="P431">
        <f ca="1"/>
        <v>247.31796661262223</v>
      </c>
      <c r="Q431">
        <f ca="1"/>
        <v>211.09985434717544</v>
      </c>
      <c r="R431">
        <f ca="1"/>
        <v>0</v>
      </c>
      <c r="S431">
        <f ca="1"/>
        <v>0.3002954257428927</v>
      </c>
      <c r="T431">
        <f ca="1"/>
        <v>0</v>
      </c>
      <c r="U431">
        <f ca="1"/>
        <v>0</v>
      </c>
      <c r="V431">
        <f ca="1"/>
        <v>0.99998660301714271</v>
      </c>
      <c r="X431" s="2">
        <f t="shared" ca="1" si="43"/>
        <v>45431</v>
      </c>
      <c r="Y431">
        <f t="shared" ca="1" si="44"/>
        <v>0</v>
      </c>
      <c r="AA431" s="63">
        <f t="shared" ca="1" si="46"/>
        <v>-257.19713484928832</v>
      </c>
      <c r="AB431" s="63">
        <f t="shared" ca="1" si="47"/>
        <v>-257.19713484928832</v>
      </c>
      <c r="AC431" s="3">
        <f t="shared" ca="1" si="48"/>
        <v>0</v>
      </c>
    </row>
    <row r="432" spans="8:29">
      <c r="H432" t="b">
        <f t="shared" ca="1" si="45"/>
        <v>0</v>
      </c>
      <c r="I432" t="b">
        <f t="shared" ca="1" si="42"/>
        <v>0</v>
      </c>
      <c r="J432" s="2">
        <f ca="1"/>
        <v>45432</v>
      </c>
      <c r="K432">
        <f ca="1"/>
        <v>-267.99378883791024</v>
      </c>
      <c r="L432">
        <f ca="1"/>
        <v>5.1587636726466712</v>
      </c>
      <c r="M432">
        <f ca="1"/>
        <v>-0.1581778972344523</v>
      </c>
      <c r="N432">
        <f ca="1"/>
        <v>7.2931797709785973E-2</v>
      </c>
      <c r="O432">
        <f ca="1"/>
        <v>0</v>
      </c>
      <c r="P432">
        <f ca="1"/>
        <v>252.4767302852689</v>
      </c>
      <c r="Q432">
        <f ca="1"/>
        <v>215.50315053638013</v>
      </c>
      <c r="R432">
        <f ca="1"/>
        <v>0</v>
      </c>
      <c r="S432">
        <f ca="1"/>
        <v>0.31580282068347548</v>
      </c>
      <c r="T432">
        <f ca="1"/>
        <v>0</v>
      </c>
      <c r="U432">
        <f ca="1"/>
        <v>0</v>
      </c>
      <c r="V432">
        <f ca="1"/>
        <v>0.99998855443270518</v>
      </c>
      <c r="X432" s="2">
        <f t="shared" ca="1" si="43"/>
        <v>45432</v>
      </c>
      <c r="Y432">
        <f t="shared" ca="1" si="44"/>
        <v>0</v>
      </c>
      <c r="AA432" s="63">
        <f t="shared" ca="1" si="46"/>
        <v>-262.83502516526357</v>
      </c>
      <c r="AB432" s="63">
        <f t="shared" ca="1" si="47"/>
        <v>-262.83502516526357</v>
      </c>
      <c r="AC432" s="3">
        <f t="shared" ca="1" si="48"/>
        <v>0</v>
      </c>
    </row>
    <row r="433" spans="8:29">
      <c r="H433" t="b">
        <f t="shared" ca="1" si="45"/>
        <v>0</v>
      </c>
      <c r="I433" t="b">
        <f t="shared" ca="1" si="42"/>
        <v>0</v>
      </c>
      <c r="J433" s="2">
        <f ca="1"/>
        <v>45433</v>
      </c>
      <c r="K433">
        <f ca="1"/>
        <v>-272.17262767919607</v>
      </c>
      <c r="L433">
        <f ca="1"/>
        <v>4.1006240598874228</v>
      </c>
      <c r="M433">
        <f ca="1"/>
        <v>-0.14574316018059363</v>
      </c>
      <c r="N433">
        <f ca="1"/>
        <v>6.7528378782183665E-2</v>
      </c>
      <c r="O433">
        <f ca="1"/>
        <v>0</v>
      </c>
      <c r="P433">
        <f ca="1"/>
        <v>256.57735434515632</v>
      </c>
      <c r="Q433">
        <f ca="1"/>
        <v>219.00326479670247</v>
      </c>
      <c r="R433">
        <f ca="1"/>
        <v>0</v>
      </c>
      <c r="S433">
        <f ca="1"/>
        <v>0.32203482075323697</v>
      </c>
      <c r="T433">
        <f ca="1"/>
        <v>0</v>
      </c>
      <c r="U433">
        <f ca="1"/>
        <v>0</v>
      </c>
      <c r="V433">
        <f ca="1"/>
        <v>0.99998991416285021</v>
      </c>
      <c r="X433" s="2">
        <f t="shared" ca="1" si="43"/>
        <v>45433</v>
      </c>
      <c r="Y433">
        <f t="shared" ca="1" si="44"/>
        <v>0</v>
      </c>
      <c r="AA433" s="63">
        <f t="shared" ca="1" si="46"/>
        <v>-268.07200361930865</v>
      </c>
      <c r="AB433" s="63">
        <f t="shared" ca="1" si="47"/>
        <v>-268.07200361930865</v>
      </c>
      <c r="AC433" s="3">
        <f t="shared" ca="1" si="48"/>
        <v>0</v>
      </c>
    </row>
    <row r="434" spans="8:29">
      <c r="H434" t="b">
        <f t="shared" ca="1" si="45"/>
        <v>0</v>
      </c>
      <c r="I434" t="b">
        <f t="shared" ca="1" si="42"/>
        <v>0</v>
      </c>
      <c r="J434" s="2">
        <f ca="1"/>
        <v>45434</v>
      </c>
      <c r="K434">
        <f ca="1"/>
        <v>-277.09997908718947</v>
      </c>
      <c r="L434">
        <f ca="1"/>
        <v>4.8527223183050978</v>
      </c>
      <c r="M434">
        <f ca="1"/>
        <v>-0.14719974107135414</v>
      </c>
      <c r="N434">
        <f ca="1"/>
        <v>7.2570651383032744E-2</v>
      </c>
      <c r="O434">
        <f ca="1"/>
        <v>0</v>
      </c>
      <c r="P434">
        <f ca="1"/>
        <v>261.43007666346142</v>
      </c>
      <c r="Q434">
        <f ca="1"/>
        <v>223.14533740312189</v>
      </c>
      <c r="R434">
        <f ca="1"/>
        <v>0</v>
      </c>
      <c r="S434">
        <f ca="1"/>
        <v>0.32536827248296252</v>
      </c>
      <c r="T434">
        <f ca="1"/>
        <v>0</v>
      </c>
      <c r="U434">
        <f ca="1"/>
        <v>0</v>
      </c>
      <c r="V434">
        <f ca="1"/>
        <v>0.99999133107250771</v>
      </c>
      <c r="X434" s="2">
        <f t="shared" ca="1" si="43"/>
        <v>45434</v>
      </c>
      <c r="Y434">
        <f t="shared" ca="1" si="44"/>
        <v>0</v>
      </c>
      <c r="AA434" s="63">
        <f t="shared" ca="1" si="46"/>
        <v>-272.24725676888437</v>
      </c>
      <c r="AB434" s="63">
        <f t="shared" ca="1" si="47"/>
        <v>-272.24725676888437</v>
      </c>
      <c r="AC434" s="3">
        <f t="shared" ca="1" si="48"/>
        <v>0</v>
      </c>
    </row>
    <row r="435" spans="8:29">
      <c r="H435" t="b">
        <f t="shared" ca="1" si="45"/>
        <v>0</v>
      </c>
      <c r="I435" t="b">
        <f t="shared" ca="1" si="42"/>
        <v>0</v>
      </c>
      <c r="J435" s="2">
        <f ca="1"/>
        <v>45435</v>
      </c>
      <c r="K435">
        <f ca="1"/>
        <v>-281.70349988610684</v>
      </c>
      <c r="L435">
        <f ca="1"/>
        <v>4.5264013419612183</v>
      </c>
      <c r="M435">
        <f ca="1"/>
        <v>-0.15072200757636978</v>
      </c>
      <c r="N435">
        <f ca="1"/>
        <v>7.3602550620190499E-2</v>
      </c>
      <c r="O435">
        <f ca="1"/>
        <v>0</v>
      </c>
      <c r="P435">
        <f ca="1"/>
        <v>265.95647800542264</v>
      </c>
      <c r="Q435">
        <f ca="1"/>
        <v>227.00887662387541</v>
      </c>
      <c r="R435">
        <f ca="1"/>
        <v>0</v>
      </c>
      <c r="S435">
        <f ca="1"/>
        <v>0.35580314911883465</v>
      </c>
      <c r="T435">
        <f ca="1"/>
        <v>0</v>
      </c>
      <c r="U435">
        <f ca="1"/>
        <v>0</v>
      </c>
      <c r="V435">
        <f ca="1"/>
        <v>0.99999248678608676</v>
      </c>
      <c r="X435" s="2">
        <f t="shared" ca="1" si="43"/>
        <v>45435</v>
      </c>
      <c r="Y435">
        <f t="shared" ca="1" si="44"/>
        <v>0</v>
      </c>
      <c r="AA435" s="63">
        <f t="shared" ca="1" si="46"/>
        <v>-277.17709854414562</v>
      </c>
      <c r="AB435" s="63">
        <f t="shared" ca="1" si="47"/>
        <v>-277.17709854414562</v>
      </c>
      <c r="AC435" s="3">
        <f t="shared" ca="1" si="48"/>
        <v>0</v>
      </c>
    </row>
    <row r="436" spans="8:29">
      <c r="H436" t="b">
        <f t="shared" ca="1" si="45"/>
        <v>0</v>
      </c>
      <c r="I436" t="b">
        <f t="shared" ca="1" si="42"/>
        <v>0</v>
      </c>
      <c r="J436" s="2">
        <f ca="1"/>
        <v>45436</v>
      </c>
      <c r="K436">
        <f ca="1"/>
        <v>-285.74697308374465</v>
      </c>
      <c r="L436">
        <f ca="1"/>
        <v>3.9724955488271121</v>
      </c>
      <c r="M436">
        <f ca="1"/>
        <v>-0.14222857169058045</v>
      </c>
      <c r="N436">
        <f ca="1"/>
        <v>7.1250922879878095E-2</v>
      </c>
      <c r="O436">
        <f ca="1"/>
        <v>0</v>
      </c>
      <c r="P436">
        <f ca="1"/>
        <v>269.92897355424975</v>
      </c>
      <c r="Q436">
        <f ca="1"/>
        <v>230.39962596262325</v>
      </c>
      <c r="R436">
        <f ca="1"/>
        <v>0</v>
      </c>
      <c r="S436">
        <f ca="1"/>
        <v>0.3647887360419379</v>
      </c>
      <c r="T436">
        <f ca="1"/>
        <v>0</v>
      </c>
      <c r="U436">
        <f ca="1"/>
        <v>0</v>
      </c>
      <c r="V436">
        <f ca="1"/>
        <v>0.99999338435388896</v>
      </c>
      <c r="X436" s="2">
        <f t="shared" ca="1" si="43"/>
        <v>45436</v>
      </c>
      <c r="Y436">
        <f t="shared" ca="1" si="44"/>
        <v>0</v>
      </c>
      <c r="AA436" s="63">
        <f t="shared" ca="1" si="46"/>
        <v>-281.77447753491754</v>
      </c>
      <c r="AB436" s="63">
        <f t="shared" ca="1" si="47"/>
        <v>-281.77447753491754</v>
      </c>
      <c r="AC436" s="3">
        <f t="shared" ca="1" si="48"/>
        <v>0</v>
      </c>
    </row>
    <row r="437" spans="8:29">
      <c r="H437" t="b">
        <f t="shared" ca="1" si="45"/>
        <v>0</v>
      </c>
      <c r="I437" t="b">
        <f t="shared" ca="1" si="42"/>
        <v>0</v>
      </c>
      <c r="J437" s="2">
        <f ca="1"/>
        <v>45437</v>
      </c>
      <c r="K437">
        <f ca="1"/>
        <v>-289.96241766195357</v>
      </c>
      <c r="L437">
        <f ca="1"/>
        <v>4.1399911775886835</v>
      </c>
      <c r="M437">
        <f ca="1"/>
        <v>-0.15223375840630382</v>
      </c>
      <c r="N437">
        <f ca="1"/>
        <v>7.6780357786076947E-2</v>
      </c>
      <c r="O437">
        <f ca="1"/>
        <v>0</v>
      </c>
      <c r="P437">
        <f ca="1"/>
        <v>274.06896473183843</v>
      </c>
      <c r="Q437">
        <f ca="1"/>
        <v>233.9333422815692</v>
      </c>
      <c r="R437">
        <f ca="1"/>
        <v>0</v>
      </c>
      <c r="S437">
        <f ca="1"/>
        <v>0.40884677840371431</v>
      </c>
      <c r="T437">
        <f ca="1"/>
        <v>0</v>
      </c>
      <c r="U437">
        <f ca="1"/>
        <v>0</v>
      </c>
      <c r="V437">
        <f ca="1"/>
        <v>0.99999421632947527</v>
      </c>
      <c r="X437" s="2">
        <f t="shared" ca="1" si="43"/>
        <v>45437</v>
      </c>
      <c r="Y437">
        <f t="shared" ca="1" si="44"/>
        <v>0</v>
      </c>
      <c r="AA437" s="63">
        <f t="shared" ca="1" si="46"/>
        <v>-285.82242648436488</v>
      </c>
      <c r="AB437" s="63">
        <f t="shared" ca="1" si="47"/>
        <v>-285.82242648436488</v>
      </c>
      <c r="AC437" s="3">
        <f t="shared" ca="1" si="48"/>
        <v>0</v>
      </c>
    </row>
    <row r="438" spans="8:29">
      <c r="H438" t="b">
        <f t="shared" ca="1" si="45"/>
        <v>0</v>
      </c>
      <c r="I438" t="b">
        <f t="shared" ca="1" si="42"/>
        <v>0</v>
      </c>
      <c r="J438" s="2">
        <f ca="1"/>
        <v>45438</v>
      </c>
      <c r="K438">
        <f ca="1"/>
        <v>-293.99191215436895</v>
      </c>
      <c r="L438">
        <f ca="1"/>
        <v>3.9654220422286812</v>
      </c>
      <c r="M438">
        <f ca="1"/>
        <v>-0.13942276440577928</v>
      </c>
      <c r="N438">
        <f ca="1"/>
        <v>7.5350314219065559E-2</v>
      </c>
      <c r="O438">
        <f ca="1"/>
        <v>0</v>
      </c>
      <c r="P438">
        <f ca="1"/>
        <v>278.03438677406712</v>
      </c>
      <c r="Q438">
        <f ca="1"/>
        <v>237.31805398288574</v>
      </c>
      <c r="R438">
        <f ca="1"/>
        <v>0</v>
      </c>
      <c r="S438">
        <f ca="1"/>
        <v>0.40218017522307864</v>
      </c>
      <c r="T438">
        <f ca="1"/>
        <v>0</v>
      </c>
      <c r="U438">
        <f ca="1"/>
        <v>0</v>
      </c>
      <c r="V438">
        <f ca="1"/>
        <v>0.99999492455236738</v>
      </c>
      <c r="X438" s="2">
        <f t="shared" ca="1" si="43"/>
        <v>45438</v>
      </c>
      <c r="Y438">
        <f t="shared" ca="1" si="44"/>
        <v>0</v>
      </c>
      <c r="AA438" s="63">
        <f t="shared" ca="1" si="46"/>
        <v>-290.02649011214027</v>
      </c>
      <c r="AB438" s="63">
        <f t="shared" ca="1" si="47"/>
        <v>-290.02649011214027</v>
      </c>
      <c r="AC438" s="3">
        <f t="shared" ca="1" si="48"/>
        <v>0</v>
      </c>
    </row>
    <row r="439" spans="8:29">
      <c r="H439" t="b">
        <f t="shared" ca="1" si="45"/>
        <v>0</v>
      </c>
      <c r="I439" t="b">
        <f t="shared" ca="1" si="42"/>
        <v>0</v>
      </c>
      <c r="J439" s="2">
        <f ca="1"/>
        <v>45439</v>
      </c>
      <c r="K439">
        <f ca="1"/>
        <v>-297.65210085330324</v>
      </c>
      <c r="L439">
        <f ca="1"/>
        <v>3.6029413230919545</v>
      </c>
      <c r="M439">
        <f ca="1"/>
        <v>-0.13152983055491774</v>
      </c>
      <c r="N439">
        <f ca="1"/>
        <v>7.4282454712619767E-2</v>
      </c>
      <c r="O439">
        <f ca="1"/>
        <v>0</v>
      </c>
      <c r="P439">
        <f ca="1"/>
        <v>281.63732809715907</v>
      </c>
      <c r="Q439">
        <f ca="1"/>
        <v>240.39336791556673</v>
      </c>
      <c r="R439">
        <f ca="1"/>
        <v>0</v>
      </c>
      <c r="S439">
        <f ca="1"/>
        <v>0.41319473074192353</v>
      </c>
      <c r="T439">
        <f ca="1"/>
        <v>0</v>
      </c>
      <c r="U439">
        <f ca="1"/>
        <v>0</v>
      </c>
      <c r="V439">
        <f ca="1"/>
        <v>0.99999550042009389</v>
      </c>
      <c r="X439" s="2">
        <f t="shared" ca="1" si="43"/>
        <v>45439</v>
      </c>
      <c r="Y439">
        <f t="shared" ca="1" si="44"/>
        <v>0</v>
      </c>
      <c r="AA439" s="63">
        <f t="shared" ca="1" si="46"/>
        <v>-294.04915953021128</v>
      </c>
      <c r="AB439" s="63">
        <f t="shared" ca="1" si="47"/>
        <v>-294.04915953021128</v>
      </c>
      <c r="AC439" s="3">
        <f t="shared" ca="1" si="48"/>
        <v>0</v>
      </c>
    </row>
    <row r="440" spans="8:29">
      <c r="H440" t="b">
        <f t="shared" ca="1" si="45"/>
        <v>0</v>
      </c>
      <c r="I440" t="b">
        <f t="shared" ca="1" si="42"/>
        <v>0</v>
      </c>
      <c r="J440" s="2">
        <f ca="1"/>
        <v>45440</v>
      </c>
      <c r="K440">
        <f ca="1"/>
        <v>-301.46426306119594</v>
      </c>
      <c r="L440">
        <f ca="1"/>
        <v>3.7599729624722045</v>
      </c>
      <c r="M440">
        <f ca="1"/>
        <v>-0.12986428293900332</v>
      </c>
      <c r="N440">
        <f ca="1"/>
        <v>7.7675037518509141E-2</v>
      </c>
      <c r="O440">
        <f ca="1"/>
        <v>0</v>
      </c>
      <c r="P440">
        <f ca="1"/>
        <v>285.39730105963127</v>
      </c>
      <c r="Q440">
        <f ca="1"/>
        <v>243.60271722244676</v>
      </c>
      <c r="R440">
        <f ca="1"/>
        <v>0</v>
      </c>
      <c r="S440">
        <f ca="1"/>
        <v>0.43261506808877004</v>
      </c>
      <c r="T440">
        <f ca="1"/>
        <v>0</v>
      </c>
      <c r="U440">
        <f ca="1"/>
        <v>0</v>
      </c>
      <c r="V440">
        <f ca="1"/>
        <v>0.99999603946034177</v>
      </c>
      <c r="X440" s="2">
        <f t="shared" ca="1" si="43"/>
        <v>45440</v>
      </c>
      <c r="Y440">
        <f t="shared" ca="1" si="44"/>
        <v>0</v>
      </c>
      <c r="AA440" s="63">
        <f t="shared" ca="1" si="46"/>
        <v>-297.70429009872373</v>
      </c>
      <c r="AB440" s="63">
        <f t="shared" ca="1" si="47"/>
        <v>-297.70429009872373</v>
      </c>
      <c r="AC440" s="3">
        <f t="shared" ca="1" si="48"/>
        <v>0</v>
      </c>
    </row>
    <row r="441" spans="8:29">
      <c r="H441" t="b">
        <f t="shared" ca="1" si="45"/>
        <v>0</v>
      </c>
      <c r="I441" t="b">
        <f t="shared" ca="1" si="42"/>
        <v>0</v>
      </c>
      <c r="J441" s="2">
        <f ca="1"/>
        <v>45441</v>
      </c>
      <c r="K441">
        <f ca="1"/>
        <v>-304.70664342286739</v>
      </c>
      <c r="L441">
        <f ca="1"/>
        <v>3.1990988690279778</v>
      </c>
      <c r="M441">
        <f ca="1"/>
        <v>-0.11771678443474798</v>
      </c>
      <c r="N441">
        <f ca="1"/>
        <v>7.4435291791231095E-2</v>
      </c>
      <c r="O441">
        <f ca="1"/>
        <v>0</v>
      </c>
      <c r="P441">
        <f ca="1"/>
        <v>288.59639992865925</v>
      </c>
      <c r="Q441">
        <f ca="1"/>
        <v>246.33332880939952</v>
      </c>
      <c r="R441">
        <f ca="1"/>
        <v>0</v>
      </c>
      <c r="S441">
        <f ca="1"/>
        <v>0.43710785729698715</v>
      </c>
      <c r="T441">
        <f ca="1"/>
        <v>0</v>
      </c>
      <c r="U441">
        <f ca="1"/>
        <v>0</v>
      </c>
      <c r="V441">
        <f ca="1"/>
        <v>0.99999645285630667</v>
      </c>
      <c r="X441" s="2">
        <f t="shared" ca="1" si="43"/>
        <v>45441</v>
      </c>
      <c r="Y441">
        <f t="shared" ca="1" si="44"/>
        <v>0</v>
      </c>
      <c r="AA441" s="63">
        <f t="shared" ca="1" si="46"/>
        <v>-301.50754455383947</v>
      </c>
      <c r="AB441" s="63">
        <f t="shared" ca="1" si="47"/>
        <v>-301.50754455383941</v>
      </c>
      <c r="AC441" s="3">
        <f t="shared" ca="1" si="48"/>
        <v>0</v>
      </c>
    </row>
    <row r="442" spans="8:29">
      <c r="H442" t="b">
        <f t="shared" ca="1" si="45"/>
        <v>0</v>
      </c>
      <c r="I442" t="b">
        <f t="shared" ca="1" si="42"/>
        <v>0</v>
      </c>
      <c r="J442" s="2">
        <f ca="1"/>
        <v>45442</v>
      </c>
      <c r="K442">
        <f ca="1"/>
        <v>-307.94515112369112</v>
      </c>
      <c r="L442">
        <f ca="1"/>
        <v>3.2058683657094207</v>
      </c>
      <c r="M442">
        <f ca="1"/>
        <v>-0.1064210515323083</v>
      </c>
      <c r="N442">
        <f ca="1"/>
        <v>7.3781716418020601E-2</v>
      </c>
      <c r="O442">
        <f ca="1"/>
        <v>0</v>
      </c>
      <c r="P442">
        <f ca="1"/>
        <v>291.80226829436867</v>
      </c>
      <c r="Q442">
        <f ca="1"/>
        <v>249.06971854414732</v>
      </c>
      <c r="R442">
        <f ca="1"/>
        <v>0</v>
      </c>
      <c r="S442">
        <f ca="1"/>
        <v>0.42609340101696125</v>
      </c>
      <c r="T442">
        <f ca="1"/>
        <v>0</v>
      </c>
      <c r="U442">
        <f ca="1"/>
        <v>0</v>
      </c>
      <c r="V442">
        <f ca="1"/>
        <v>0.99999682909383147</v>
      </c>
      <c r="X442" s="2">
        <f t="shared" ca="1" si="43"/>
        <v>45442</v>
      </c>
      <c r="Y442">
        <f t="shared" ca="1" si="44"/>
        <v>0</v>
      </c>
      <c r="AA442" s="63">
        <f t="shared" ca="1" si="46"/>
        <v>-304.7392827579817</v>
      </c>
      <c r="AB442" s="63">
        <f t="shared" ca="1" si="47"/>
        <v>-304.7392827579817</v>
      </c>
      <c r="AC442" s="3">
        <f t="shared" ca="1" si="48"/>
        <v>0</v>
      </c>
    </row>
    <row r="443" spans="8:29">
      <c r="H443" t="b">
        <f t="shared" ca="1" si="45"/>
        <v>0</v>
      </c>
      <c r="I443" t="b">
        <f t="shared" ca="1" si="42"/>
        <v>0</v>
      </c>
      <c r="J443" s="2">
        <f ca="1"/>
        <v>45443</v>
      </c>
      <c r="K443">
        <f ca="1"/>
        <v>-311.23335055482681</v>
      </c>
      <c r="L443">
        <f ca="1"/>
        <v>3.2617416484592923</v>
      </c>
      <c r="M443">
        <f ca="1"/>
        <v>-0.1028491410208261</v>
      </c>
      <c r="N443">
        <f ca="1"/>
        <v>7.6391358344431073E-2</v>
      </c>
      <c r="O443">
        <f ca="1"/>
        <v>0</v>
      </c>
      <c r="P443">
        <f ca="1"/>
        <v>295.06400994282797</v>
      </c>
      <c r="Q443">
        <f ca="1"/>
        <v>251.85379928174436</v>
      </c>
      <c r="R443">
        <f ca="1"/>
        <v>0</v>
      </c>
      <c r="S443">
        <f ca="1"/>
        <v>0.4449340126703813</v>
      </c>
      <c r="T443">
        <f ca="1"/>
        <v>0</v>
      </c>
      <c r="U443">
        <f ca="1"/>
        <v>0</v>
      </c>
      <c r="V443">
        <f ca="1"/>
        <v>0.99999717610589955</v>
      </c>
      <c r="X443" s="2">
        <f t="shared" ca="1" si="43"/>
        <v>45443</v>
      </c>
      <c r="Y443">
        <f t="shared" ca="1" si="44"/>
        <v>0</v>
      </c>
      <c r="AA443" s="63">
        <f t="shared" ca="1" si="46"/>
        <v>-307.97160890636752</v>
      </c>
      <c r="AB443" s="63">
        <f t="shared" ca="1" si="47"/>
        <v>-307.97160890636752</v>
      </c>
      <c r="AC443" s="3">
        <f t="shared" ca="1" si="48"/>
        <v>0</v>
      </c>
    </row>
    <row r="444" spans="8:29">
      <c r="H444" t="b">
        <f t="shared" ca="1" si="45"/>
        <v>0</v>
      </c>
      <c r="I444" t="b">
        <f t="shared" ca="1" si="42"/>
        <v>0</v>
      </c>
      <c r="J444" s="2">
        <f ca="1"/>
        <v>45444</v>
      </c>
      <c r="K444">
        <f ca="1"/>
        <v>-314.1280888591275</v>
      </c>
      <c r="L444">
        <f ca="1"/>
        <v>2.8759056370055305</v>
      </c>
      <c r="M444">
        <f ca="1"/>
        <v>-9.3438488391001329E-2</v>
      </c>
      <c r="N444">
        <f ca="1"/>
        <v>7.4605821095803326E-2</v>
      </c>
      <c r="O444">
        <f ca="1"/>
        <v>0</v>
      </c>
      <c r="P444">
        <f ca="1"/>
        <v>297.9399155798335</v>
      </c>
      <c r="Q444">
        <f ca="1"/>
        <v>254.30854718948129</v>
      </c>
      <c r="R444">
        <f ca="1"/>
        <v>0</v>
      </c>
      <c r="S444">
        <f ca="1"/>
        <v>0.45290505030157202</v>
      </c>
      <c r="T444">
        <f ca="1"/>
        <v>0</v>
      </c>
      <c r="U444">
        <f ca="1"/>
        <v>0</v>
      </c>
      <c r="V444">
        <f ca="1"/>
        <v>0.99999745457649192</v>
      </c>
      <c r="X444" s="2">
        <f t="shared" ca="1" si="43"/>
        <v>45444</v>
      </c>
      <c r="Y444">
        <f t="shared" ca="1" si="44"/>
        <v>0</v>
      </c>
      <c r="AA444" s="63">
        <f t="shared" ca="1" si="46"/>
        <v>-311.25218322212197</v>
      </c>
      <c r="AB444" s="63">
        <f t="shared" ca="1" si="47"/>
        <v>-311.25218322212197</v>
      </c>
      <c r="AC444" s="3">
        <f t="shared" ca="1" si="48"/>
        <v>0</v>
      </c>
    </row>
    <row r="445" spans="8:29">
      <c r="H445" t="b">
        <f t="shared" ca="1" si="45"/>
        <v>0</v>
      </c>
      <c r="I445" t="b">
        <f t="shared" ca="1" si="42"/>
        <v>0</v>
      </c>
      <c r="J445" s="2">
        <f ca="1"/>
        <v>45445</v>
      </c>
      <c r="K445">
        <f ca="1"/>
        <v>-316.66477069119156</v>
      </c>
      <c r="L445">
        <f ca="1"/>
        <v>2.5250586095813787</v>
      </c>
      <c r="M445">
        <f ca="1"/>
        <v>-8.4766849657953003E-2</v>
      </c>
      <c r="N445">
        <f ca="1"/>
        <v>7.3143627175303677E-2</v>
      </c>
      <c r="O445">
        <f ca="1"/>
        <v>0</v>
      </c>
      <c r="P445">
        <f ca="1"/>
        <v>300.46497418941487</v>
      </c>
      <c r="Q445">
        <f ca="1"/>
        <v>256.46382734159261</v>
      </c>
      <c r="R445">
        <f ca="1"/>
        <v>0</v>
      </c>
      <c r="S445">
        <f ca="1"/>
        <v>0.4624702906921459</v>
      </c>
      <c r="T445">
        <f ca="1"/>
        <v>0</v>
      </c>
      <c r="U445">
        <f ca="1"/>
        <v>0</v>
      </c>
      <c r="V445">
        <f ca="1"/>
        <v>0.99999767945275486</v>
      </c>
      <c r="X445" s="2">
        <f t="shared" ca="1" si="43"/>
        <v>45445</v>
      </c>
      <c r="Y445">
        <f t="shared" ca="1" si="44"/>
        <v>0</v>
      </c>
      <c r="AA445" s="63">
        <f t="shared" ca="1" si="46"/>
        <v>-314.13971208161018</v>
      </c>
      <c r="AB445" s="63">
        <f t="shared" ca="1" si="47"/>
        <v>-314.13971208161018</v>
      </c>
      <c r="AC445" s="3">
        <f t="shared" ca="1" si="48"/>
        <v>0</v>
      </c>
    </row>
    <row r="446" spans="8:29">
      <c r="H446" t="b">
        <f t="shared" ca="1" si="45"/>
        <v>0</v>
      </c>
      <c r="I446" t="b">
        <f t="shared" ca="1" si="42"/>
        <v>0</v>
      </c>
      <c r="J446" s="2">
        <f ca="1"/>
        <v>45446</v>
      </c>
      <c r="K446">
        <f ca="1"/>
        <v>-318.9770943922133</v>
      </c>
      <c r="L446">
        <f ca="1"/>
        <v>2.3079109798412674</v>
      </c>
      <c r="M446">
        <f ca="1"/>
        <v>-7.7249211357461434E-2</v>
      </c>
      <c r="N446">
        <f ca="1"/>
        <v>7.283649017701592E-2</v>
      </c>
      <c r="O446">
        <f ca="1"/>
        <v>0</v>
      </c>
      <c r="P446">
        <f ca="1"/>
        <v>302.77288516925614</v>
      </c>
      <c r="Q446">
        <f ca="1"/>
        <v>258.43375972605963</v>
      </c>
      <c r="R446">
        <f ca="1"/>
        <v>0</v>
      </c>
      <c r="S446">
        <f ca="1"/>
        <v>0.47420944170227119</v>
      </c>
      <c r="T446">
        <f ca="1"/>
        <v>0</v>
      </c>
      <c r="U446">
        <f ca="1"/>
        <v>0</v>
      </c>
      <c r="V446">
        <f ca="1"/>
        <v>0.99999787003724239</v>
      </c>
      <c r="X446" s="2">
        <f t="shared" ca="1" si="43"/>
        <v>45446</v>
      </c>
      <c r="Y446">
        <f t="shared" ca="1" si="44"/>
        <v>0</v>
      </c>
      <c r="AA446" s="63">
        <f t="shared" ca="1" si="46"/>
        <v>-316.66918341237204</v>
      </c>
      <c r="AB446" s="63">
        <f t="shared" ca="1" si="47"/>
        <v>-316.66918341237204</v>
      </c>
      <c r="AC446" s="3">
        <f t="shared" ca="1" si="48"/>
        <v>0</v>
      </c>
    </row>
    <row r="447" spans="8:29">
      <c r="H447" t="b">
        <f t="shared" ca="1" si="45"/>
        <v>0</v>
      </c>
      <c r="I447" t="b">
        <f t="shared" ca="1" si="42"/>
        <v>0</v>
      </c>
      <c r="J447" s="2">
        <f ca="1"/>
        <v>45447</v>
      </c>
      <c r="K447">
        <f ca="1"/>
        <v>-321.18076765018276</v>
      </c>
      <c r="L447">
        <f ca="1"/>
        <v>2.2073845249458941</v>
      </c>
      <c r="M447">
        <f ca="1"/>
        <v>-6.8641003061415518E-2</v>
      </c>
      <c r="N447">
        <f ca="1"/>
        <v>7.2352270037893213E-2</v>
      </c>
      <c r="O447">
        <f ca="1"/>
        <v>0</v>
      </c>
      <c r="P447">
        <f ca="1"/>
        <v>304.98026969420204</v>
      </c>
      <c r="Q447">
        <f ca="1"/>
        <v>260.31788710300088</v>
      </c>
      <c r="R447">
        <f ca="1"/>
        <v>0</v>
      </c>
      <c r="S447">
        <f ca="1"/>
        <v>0.47493409700915606</v>
      </c>
      <c r="T447">
        <f ca="1"/>
        <v>0</v>
      </c>
      <c r="U447">
        <f ca="1"/>
        <v>0</v>
      </c>
      <c r="V447">
        <f ca="1"/>
        <v>0.99999803979585822</v>
      </c>
      <c r="X447" s="2">
        <f t="shared" ca="1" si="43"/>
        <v>45447</v>
      </c>
      <c r="Y447">
        <f t="shared" ca="1" si="44"/>
        <v>0</v>
      </c>
      <c r="AA447" s="63">
        <f t="shared" ca="1" si="46"/>
        <v>-318.97338312523686</v>
      </c>
      <c r="AB447" s="63">
        <f t="shared" ca="1" si="47"/>
        <v>-318.97338312523686</v>
      </c>
      <c r="AC447" s="3">
        <f t="shared" ca="1" si="48"/>
        <v>0</v>
      </c>
    </row>
    <row r="448" spans="8:29">
      <c r="H448" t="b">
        <f t="shared" ca="1" si="45"/>
        <v>0</v>
      </c>
      <c r="I448" t="b">
        <f t="shared" ca="1" si="42"/>
        <v>0</v>
      </c>
      <c r="J448" s="2">
        <f ca="1"/>
        <v>45448</v>
      </c>
      <c r="K448">
        <f ca="1"/>
        <v>-323.01387038200835</v>
      </c>
      <c r="L448">
        <f ca="1"/>
        <v>1.8434943783259428</v>
      </c>
      <c r="M448">
        <f ca="1"/>
        <v>-5.9617191185978413E-2</v>
      </c>
      <c r="N448">
        <f ca="1"/>
        <v>7.0008837686313857E-2</v>
      </c>
      <c r="O448">
        <f ca="1"/>
        <v>0</v>
      </c>
      <c r="P448">
        <f ca="1"/>
        <v>306.82376407252798</v>
      </c>
      <c r="Q448">
        <f ca="1"/>
        <v>261.89141368533768</v>
      </c>
      <c r="R448">
        <f ca="1"/>
        <v>0</v>
      </c>
      <c r="S448">
        <f ca="1"/>
        <v>0.47826744591604958</v>
      </c>
      <c r="T448">
        <f ca="1"/>
        <v>0</v>
      </c>
      <c r="U448">
        <f ca="1"/>
        <v>0</v>
      </c>
      <c r="V448">
        <f ca="1"/>
        <v>0.99999817271977454</v>
      </c>
      <c r="X448" s="2">
        <f t="shared" ca="1" si="43"/>
        <v>45448</v>
      </c>
      <c r="Y448">
        <f t="shared" ca="1" si="44"/>
        <v>0</v>
      </c>
      <c r="AA448" s="63">
        <f t="shared" ca="1" si="46"/>
        <v>-321.17037600368241</v>
      </c>
      <c r="AB448" s="63">
        <f t="shared" ca="1" si="47"/>
        <v>-321.17037600368241</v>
      </c>
      <c r="AC448" s="3">
        <f t="shared" ca="1" si="48"/>
        <v>0</v>
      </c>
    </row>
    <row r="449" spans="8:29">
      <c r="H449" t="b">
        <f t="shared" ca="1" si="45"/>
        <v>0</v>
      </c>
      <c r="I449" t="b">
        <f t="shared" ca="1" si="42"/>
        <v>0</v>
      </c>
      <c r="J449" s="2">
        <f ca="1"/>
        <v>45449</v>
      </c>
      <c r="K449">
        <f ca="1"/>
        <v>-325.0316633458047</v>
      </c>
      <c r="L449">
        <f ca="1"/>
        <v>2.0366604530808559</v>
      </c>
      <c r="M449">
        <f ca="1"/>
        <v>-5.4117545222844399E-2</v>
      </c>
      <c r="N449">
        <f ca="1"/>
        <v>7.2985034507320481E-2</v>
      </c>
      <c r="O449">
        <f ca="1"/>
        <v>0</v>
      </c>
      <c r="P449">
        <f ca="1"/>
        <v>308.86042452560883</v>
      </c>
      <c r="Q449">
        <f ca="1"/>
        <v>263.62981842353224</v>
      </c>
      <c r="R449">
        <f ca="1"/>
        <v>0</v>
      </c>
      <c r="S449">
        <f ca="1"/>
        <v>0.49160079483272512</v>
      </c>
      <c r="T449">
        <f ca="1"/>
        <v>0</v>
      </c>
      <c r="U449">
        <f ca="1"/>
        <v>0</v>
      </c>
      <c r="V449">
        <f ca="1"/>
        <v>0.99999831071887191</v>
      </c>
      <c r="X449" s="2">
        <f t="shared" ca="1" si="43"/>
        <v>45449</v>
      </c>
      <c r="Y449">
        <f t="shared" ca="1" si="44"/>
        <v>0</v>
      </c>
      <c r="AA449" s="63">
        <f t="shared" ca="1" si="46"/>
        <v>-322.99500289272385</v>
      </c>
      <c r="AB449" s="63">
        <f t="shared" ca="1" si="47"/>
        <v>-322.99500289272385</v>
      </c>
      <c r="AC449" s="3">
        <f t="shared" ca="1" si="48"/>
        <v>0</v>
      </c>
    </row>
    <row r="450" spans="8:29">
      <c r="H450" t="b">
        <f t="shared" ca="1" si="45"/>
        <v>0</v>
      </c>
      <c r="I450" t="b">
        <f t="shared" ca="1" si="42"/>
        <v>0</v>
      </c>
      <c r="J450" s="2">
        <f ca="1"/>
        <v>45450</v>
      </c>
      <c r="K450">
        <f ca="1"/>
        <v>-327.52927337656837</v>
      </c>
      <c r="L450">
        <f ca="1"/>
        <v>2.5277469407942021</v>
      </c>
      <c r="M450">
        <f ca="1"/>
        <v>-4.8433078251555628E-2</v>
      </c>
      <c r="N450">
        <f ca="1"/>
        <v>7.8569988282094466E-2</v>
      </c>
      <c r="O450">
        <f ca="1"/>
        <v>0</v>
      </c>
      <c r="P450">
        <f ca="1"/>
        <v>311.38817146640304</v>
      </c>
      <c r="Q450">
        <f ca="1"/>
        <v>265.78739321818506</v>
      </c>
      <c r="R450">
        <f ca="1"/>
        <v>0</v>
      </c>
      <c r="S450">
        <f ca="1"/>
        <v>0.50319501205000494</v>
      </c>
      <c r="T450">
        <f ca="1"/>
        <v>0</v>
      </c>
      <c r="U450">
        <f ca="1"/>
        <v>0</v>
      </c>
      <c r="V450">
        <f ca="1"/>
        <v>0.99999846981134288</v>
      </c>
      <c r="X450" s="2">
        <f t="shared" ca="1" si="43"/>
        <v>45450</v>
      </c>
      <c r="Y450">
        <f t="shared" ca="1" si="44"/>
        <v>0</v>
      </c>
      <c r="AA450" s="63">
        <f t="shared" ca="1" si="46"/>
        <v>-325.00152643577417</v>
      </c>
      <c r="AB450" s="63">
        <f t="shared" ca="1" si="47"/>
        <v>-325.00152643577417</v>
      </c>
      <c r="AC450" s="3">
        <f t="shared" ca="1" si="48"/>
        <v>0</v>
      </c>
    </row>
    <row r="451" spans="8:29">
      <c r="H451" t="b">
        <f t="shared" ca="1" si="45"/>
        <v>0</v>
      </c>
      <c r="I451" t="b">
        <f t="shared" ca="1" si="42"/>
        <v>0</v>
      </c>
      <c r="J451" s="2">
        <f ca="1"/>
        <v>45451</v>
      </c>
      <c r="K451">
        <f ca="1"/>
        <v>-330.1716839579164</v>
      </c>
      <c r="L451">
        <f ca="1"/>
        <v>2.6828398333779546</v>
      </c>
      <c r="M451">
        <f ca="1"/>
        <v>-4.0292066374512103E-2</v>
      </c>
      <c r="N451">
        <f ca="1"/>
        <v>8.072131840440791E-2</v>
      </c>
      <c r="O451">
        <f ca="1"/>
        <v>0</v>
      </c>
      <c r="P451">
        <f ca="1"/>
        <v>314.07101129978099</v>
      </c>
      <c r="Q451">
        <f ca="1"/>
        <v>268.07734855713522</v>
      </c>
      <c r="R451">
        <f ca="1"/>
        <v>0</v>
      </c>
      <c r="S451">
        <f ca="1"/>
        <v>0.50667328519688637</v>
      </c>
      <c r="T451">
        <f ca="1"/>
        <v>0</v>
      </c>
      <c r="U451">
        <f ca="1"/>
        <v>0</v>
      </c>
      <c r="V451">
        <f ca="1"/>
        <v>0.99999862486636582</v>
      </c>
      <c r="X451" s="2">
        <f t="shared" ca="1" si="43"/>
        <v>45451</v>
      </c>
      <c r="Y451">
        <f t="shared" ca="1" si="44"/>
        <v>0</v>
      </c>
      <c r="AA451" s="63">
        <f t="shared" ca="1" si="46"/>
        <v>-327.48884412453845</v>
      </c>
      <c r="AB451" s="63">
        <f t="shared" ca="1" si="47"/>
        <v>-327.48884412453845</v>
      </c>
      <c r="AC451" s="3">
        <f t="shared" ca="1" si="48"/>
        <v>0</v>
      </c>
    </row>
    <row r="452" spans="8:29">
      <c r="H452" t="b">
        <f t="shared" ca="1" si="45"/>
        <v>0</v>
      </c>
      <c r="I452" t="b">
        <f t="shared" ca="1" si="42"/>
        <v>0</v>
      </c>
      <c r="J452" s="2">
        <f ca="1"/>
        <v>45452</v>
      </c>
      <c r="K452">
        <f ca="1"/>
        <v>-332.75457818293711</v>
      </c>
      <c r="L452">
        <f ca="1"/>
        <v>2.6331750113454291</v>
      </c>
      <c r="M452">
        <f ca="1"/>
        <v>-3.1668941069767698E-2</v>
      </c>
      <c r="N452">
        <f ca="1"/>
        <v>8.1949727394484598E-2</v>
      </c>
      <c r="O452">
        <f ca="1"/>
        <v>0</v>
      </c>
      <c r="P452">
        <f ca="1"/>
        <v>316.70418631112642</v>
      </c>
      <c r="Q452">
        <f ca="1"/>
        <v>270.32491216514552</v>
      </c>
      <c r="R452">
        <f ca="1"/>
        <v>0</v>
      </c>
      <c r="S452">
        <f ca="1"/>
        <v>0.51812257018988328</v>
      </c>
      <c r="T452">
        <f ca="1"/>
        <v>0</v>
      </c>
      <c r="U452">
        <f ca="1"/>
        <v>0</v>
      </c>
      <c r="V452">
        <f ca="1"/>
        <v>0.99999876420958089</v>
      </c>
      <c r="X452" s="2">
        <f t="shared" ca="1" si="43"/>
        <v>45452</v>
      </c>
      <c r="Y452">
        <f t="shared" ca="1" si="44"/>
        <v>0</v>
      </c>
      <c r="AA452" s="63">
        <f t="shared" ca="1" si="46"/>
        <v>-330.12140317159168</v>
      </c>
      <c r="AB452" s="63">
        <f t="shared" ca="1" si="47"/>
        <v>-330.12140317159168</v>
      </c>
      <c r="AC452" s="3">
        <f t="shared" ca="1" si="48"/>
        <v>0</v>
      </c>
    </row>
    <row r="453" spans="8:29">
      <c r="H453" t="b">
        <f t="shared" ca="1" si="45"/>
        <v>0</v>
      </c>
      <c r="I453" t="b">
        <f t="shared" ca="1" si="42"/>
        <v>0</v>
      </c>
      <c r="J453" s="2">
        <f ca="1"/>
        <v>45453</v>
      </c>
      <c r="K453">
        <f ca="1"/>
        <v>-335.08177032376869</v>
      </c>
      <c r="L453">
        <f ca="1"/>
        <v>2.3842292839635206</v>
      </c>
      <c r="M453">
        <f ca="1"/>
        <v>-2.3039434936741543E-2</v>
      </c>
      <c r="N453">
        <f ca="1"/>
        <v>8.0076578068641546E-2</v>
      </c>
      <c r="O453">
        <f ca="1"/>
        <v>0</v>
      </c>
      <c r="P453">
        <f ca="1"/>
        <v>319.08841559508994</v>
      </c>
      <c r="Q453">
        <f ca="1"/>
        <v>272.3599865330475</v>
      </c>
      <c r="R453">
        <f ca="1"/>
        <v>0</v>
      </c>
      <c r="S453">
        <f ca="1"/>
        <v>0.51841243511628576</v>
      </c>
      <c r="T453">
        <f ca="1"/>
        <v>0</v>
      </c>
      <c r="U453">
        <f ca="1"/>
        <v>0</v>
      </c>
      <c r="V453">
        <f ca="1"/>
        <v>0.99999888017073923</v>
      </c>
      <c r="X453" s="2">
        <f t="shared" ca="1" si="43"/>
        <v>45453</v>
      </c>
      <c r="Y453">
        <f t="shared" ca="1" si="44"/>
        <v>0</v>
      </c>
      <c r="AA453" s="63">
        <f t="shared" ca="1" si="46"/>
        <v>-332.69754103980517</v>
      </c>
      <c r="AB453" s="63">
        <f t="shared" ca="1" si="47"/>
        <v>-332.69754103980517</v>
      </c>
      <c r="AC453" s="3">
        <f t="shared" ca="1" si="48"/>
        <v>0</v>
      </c>
    </row>
    <row r="454" spans="8:29">
      <c r="H454" t="b">
        <f t="shared" ca="1" si="45"/>
        <v>0</v>
      </c>
      <c r="I454" t="b">
        <f t="shared" ca="1" si="42"/>
        <v>0</v>
      </c>
      <c r="J454" s="2">
        <f ca="1"/>
        <v>45454</v>
      </c>
      <c r="K454">
        <f ca="1"/>
        <v>-337.43367042077807</v>
      </c>
      <c r="L454">
        <f ca="1"/>
        <v>2.4216036357460666</v>
      </c>
      <c r="M454">
        <f ca="1"/>
        <v>-1.5289721263478384E-2</v>
      </c>
      <c r="N454">
        <f ca="1"/>
        <v>8.4993260000157583E-2</v>
      </c>
      <c r="O454">
        <f ca="1"/>
        <v>0</v>
      </c>
      <c r="P454">
        <f ca="1"/>
        <v>321.51001923083601</v>
      </c>
      <c r="Q454">
        <f ca="1"/>
        <v>274.42696202129935</v>
      </c>
      <c r="R454">
        <f ca="1"/>
        <v>0</v>
      </c>
      <c r="S454">
        <f ca="1"/>
        <v>0.55609360378314521</v>
      </c>
      <c r="T454">
        <f ca="1"/>
        <v>0</v>
      </c>
      <c r="U454">
        <f ca="1"/>
        <v>0</v>
      </c>
      <c r="V454">
        <f ca="1"/>
        <v>0.99999898869262926</v>
      </c>
      <c r="X454" s="2">
        <f t="shared" ca="1" si="43"/>
        <v>45454</v>
      </c>
      <c r="Y454">
        <f t="shared" ca="1" si="44"/>
        <v>0</v>
      </c>
      <c r="AA454" s="63">
        <f t="shared" ca="1" si="46"/>
        <v>-335.012066785032</v>
      </c>
      <c r="AB454" s="63">
        <f t="shared" ca="1" si="47"/>
        <v>-335.012066785032</v>
      </c>
      <c r="AC454" s="3">
        <f t="shared" ca="1" si="48"/>
        <v>0</v>
      </c>
    </row>
    <row r="455" spans="8:29">
      <c r="H455" t="b">
        <f t="shared" ca="1" si="45"/>
        <v>0</v>
      </c>
      <c r="I455" t="b">
        <f t="shared" ca="1" si="42"/>
        <v>0</v>
      </c>
      <c r="J455" s="2">
        <f ca="1"/>
        <v>45455</v>
      </c>
      <c r="K455">
        <f ca="1"/>
        <v>-339.0124783789322</v>
      </c>
      <c r="L455">
        <f ca="1"/>
        <v>1.6503992414795334</v>
      </c>
      <c r="M455">
        <f ca="1"/>
        <v>-7.4050615822116583E-3</v>
      </c>
      <c r="N455">
        <f ca="1"/>
        <v>7.8996344907645719E-2</v>
      </c>
      <c r="O455">
        <f ca="1"/>
        <v>0</v>
      </c>
      <c r="P455">
        <f ca="1"/>
        <v>323.16041847231554</v>
      </c>
      <c r="Q455">
        <f ca="1"/>
        <v>275.83567099729032</v>
      </c>
      <c r="R455">
        <f ca="1"/>
        <v>0</v>
      </c>
      <c r="S455">
        <f ca="1"/>
        <v>0.56884723394364434</v>
      </c>
      <c r="T455">
        <f ca="1"/>
        <v>0</v>
      </c>
      <c r="U455">
        <f ca="1"/>
        <v>0</v>
      </c>
      <c r="V455">
        <f ca="1"/>
        <v>0.9999990576265575</v>
      </c>
      <c r="X455" s="2">
        <f t="shared" ca="1" si="43"/>
        <v>45455</v>
      </c>
      <c r="Y455">
        <f t="shared" ca="1" si="44"/>
        <v>0</v>
      </c>
      <c r="AA455" s="63">
        <f t="shared" ca="1" si="46"/>
        <v>-337.36207913745267</v>
      </c>
      <c r="AB455" s="63">
        <f t="shared" ca="1" si="47"/>
        <v>-337.36207913745267</v>
      </c>
      <c r="AC455" s="3">
        <f t="shared" ca="1" si="48"/>
        <v>0</v>
      </c>
    </row>
    <row r="456" spans="8:29">
      <c r="H456" t="b">
        <f t="shared" ca="1" si="45"/>
        <v>0</v>
      </c>
      <c r="I456" t="b">
        <f t="shared" ca="1" si="42"/>
        <v>0</v>
      </c>
      <c r="J456" s="2">
        <f ca="1"/>
        <v>45456</v>
      </c>
      <c r="K456">
        <f ca="1"/>
        <v>-340.86999490224696</v>
      </c>
      <c r="L456">
        <f ca="1"/>
        <v>1.9394337953769991</v>
      </c>
      <c r="M456">
        <f ca="1"/>
        <v>-7.3416337247067531E-4</v>
      </c>
      <c r="N456">
        <f ca="1"/>
        <v>8.2651435434742737E-2</v>
      </c>
      <c r="O456">
        <f ca="1"/>
        <v>0</v>
      </c>
      <c r="P456">
        <f ca="1"/>
        <v>325.09985226769254</v>
      </c>
      <c r="Q456">
        <f ca="1"/>
        <v>277.4910872912522</v>
      </c>
      <c r="R456">
        <f ca="1"/>
        <v>0</v>
      </c>
      <c r="S456">
        <f ca="1"/>
        <v>0.57319506685105126</v>
      </c>
      <c r="T456">
        <f ca="1"/>
        <v>0</v>
      </c>
      <c r="U456">
        <f ca="1"/>
        <v>0</v>
      </c>
      <c r="V456">
        <f ca="1"/>
        <v>0.99999913371575466</v>
      </c>
      <c r="X456" s="2">
        <f t="shared" ca="1" si="43"/>
        <v>45456</v>
      </c>
      <c r="Y456">
        <f t="shared" ca="1" si="44"/>
        <v>0</v>
      </c>
      <c r="AA456" s="63">
        <f t="shared" ca="1" si="46"/>
        <v>-338.93056110686996</v>
      </c>
      <c r="AB456" s="63">
        <f t="shared" ca="1" si="47"/>
        <v>-338.93056110686996</v>
      </c>
      <c r="AC456" s="3">
        <f t="shared" ca="1" si="48"/>
        <v>0</v>
      </c>
    </row>
    <row r="457" spans="8:29">
      <c r="H457" t="b">
        <f t="shared" ca="1" si="45"/>
        <v>0</v>
      </c>
      <c r="I457" t="b">
        <f t="shared" ca="1" si="42"/>
        <v>0</v>
      </c>
      <c r="J457" s="2">
        <f ca="1"/>
        <v>45457</v>
      </c>
      <c r="K457">
        <f ca="1"/>
        <v>-342.77811424018904</v>
      </c>
      <c r="L457">
        <f ca="1"/>
        <v>2.0015363341234433</v>
      </c>
      <c r="M457">
        <f ca="1"/>
        <v>6.0556351464668978E-3</v>
      </c>
      <c r="N457">
        <f ca="1"/>
        <v>8.736136103490208E-2</v>
      </c>
      <c r="O457">
        <f ca="1"/>
        <v>0</v>
      </c>
      <c r="P457">
        <f ca="1"/>
        <v>327.10138860181598</v>
      </c>
      <c r="Q457">
        <f ca="1"/>
        <v>279.19951160991826</v>
      </c>
      <c r="R457">
        <f ca="1"/>
        <v>0</v>
      </c>
      <c r="S457">
        <f ca="1"/>
        <v>0.60580376824254534</v>
      </c>
      <c r="T457">
        <f ca="1"/>
        <v>0</v>
      </c>
      <c r="U457">
        <f ca="1"/>
        <v>0</v>
      </c>
      <c r="V457">
        <f ca="1"/>
        <v>0.99999920696153322</v>
      </c>
      <c r="X457" s="2">
        <f t="shared" ca="1" si="43"/>
        <v>45457</v>
      </c>
      <c r="Y457">
        <f t="shared" ca="1" si="44"/>
        <v>0</v>
      </c>
      <c r="AA457" s="63">
        <f t="shared" ca="1" si="46"/>
        <v>-340.7765779060656</v>
      </c>
      <c r="AB457" s="63">
        <f t="shared" ca="1" si="47"/>
        <v>-340.7765779060656</v>
      </c>
      <c r="AC457" s="3">
        <f t="shared" ca="1" si="48"/>
        <v>0</v>
      </c>
    </row>
    <row r="458" spans="8:29">
      <c r="H458" t="b">
        <f t="shared" ca="1" si="45"/>
        <v>0</v>
      </c>
      <c r="I458" t="b">
        <f t="shared" ca="1" si="42"/>
        <v>0</v>
      </c>
      <c r="J458" s="2">
        <f ca="1"/>
        <v>45458</v>
      </c>
      <c r="K458">
        <f ca="1"/>
        <v>-344.08176727303339</v>
      </c>
      <c r="L458">
        <f ca="1"/>
        <v>1.3990607423608594</v>
      </c>
      <c r="M458">
        <f ca="1"/>
        <v>1.1927414777282763E-2</v>
      </c>
      <c r="N458">
        <f ca="1"/>
        <v>8.3480294739222916E-2</v>
      </c>
      <c r="O458">
        <f ca="1"/>
        <v>0</v>
      </c>
      <c r="P458">
        <f ca="1"/>
        <v>328.50044934417684</v>
      </c>
      <c r="Q458">
        <f ca="1"/>
        <v>280.39368897996684</v>
      </c>
      <c r="R458">
        <f ca="1"/>
        <v>0</v>
      </c>
      <c r="S458">
        <f ca="1"/>
        <v>0.62768783072428602</v>
      </c>
      <c r="T458">
        <f ca="1"/>
        <v>0</v>
      </c>
      <c r="U458">
        <f ca="1"/>
        <v>0</v>
      </c>
      <c r="V458">
        <f ca="1"/>
        <v>0.99999925513557864</v>
      </c>
      <c r="X458" s="2">
        <f t="shared" ca="1" si="43"/>
        <v>45458</v>
      </c>
      <c r="Y458">
        <f t="shared" ca="1" si="44"/>
        <v>0</v>
      </c>
      <c r="AA458" s="63">
        <f t="shared" ca="1" si="46"/>
        <v>-342.68270653067253</v>
      </c>
      <c r="AB458" s="63">
        <f t="shared" ca="1" si="47"/>
        <v>-342.68270653067253</v>
      </c>
      <c r="AC458" s="3">
        <f t="shared" ca="1" si="48"/>
        <v>0</v>
      </c>
    </row>
    <row r="459" spans="8:29">
      <c r="H459" t="b">
        <f t="shared" ca="1" si="45"/>
        <v>0</v>
      </c>
      <c r="I459" t="b">
        <f t="shared" ref="I459:I500" ca="1" si="49">AND(IF(J459&gt;($J$7-1),TRUE,FALSE),IF(J459&lt;($J$8+1),TRUE,FALSE))</f>
        <v>0</v>
      </c>
      <c r="J459" s="2">
        <f ca="1"/>
        <v>45459</v>
      </c>
      <c r="K459">
        <f ca="1"/>
        <v>-344.8353640464818</v>
      </c>
      <c r="L459">
        <f ca="1"/>
        <v>0.8510941250074211</v>
      </c>
      <c r="M459">
        <f ca="1"/>
        <v>1.6851037194186347E-2</v>
      </c>
      <c r="N459">
        <f ca="1"/>
        <v>8.0646314364835603E-2</v>
      </c>
      <c r="O459">
        <f ca="1"/>
        <v>0</v>
      </c>
      <c r="P459">
        <f ca="1"/>
        <v>329.35154346918426</v>
      </c>
      <c r="Q459">
        <f ca="1"/>
        <v>281.12014589001507</v>
      </c>
      <c r="R459">
        <f ca="1"/>
        <v>0</v>
      </c>
      <c r="S459">
        <f ca="1"/>
        <v>0.65580377689131875</v>
      </c>
      <c r="T459">
        <f ca="1"/>
        <v>0</v>
      </c>
      <c r="U459">
        <f ca="1"/>
        <v>0</v>
      </c>
      <c r="V459">
        <f ca="1"/>
        <v>0.99999928327340959</v>
      </c>
      <c r="X459" s="2">
        <f t="shared" ref="X459:X500" ca="1" si="50">IFERROR(J459,$X$9)</f>
        <v>45459</v>
      </c>
      <c r="Y459">
        <f t="shared" ref="Y459:Y500" ca="1" si="51">IFERROR(O459,0)</f>
        <v>0</v>
      </c>
      <c r="AA459" s="63">
        <f t="shared" ca="1" si="46"/>
        <v>-343.98426992147432</v>
      </c>
      <c r="AB459" s="63">
        <f t="shared" ca="1" si="47"/>
        <v>-343.98426992147438</v>
      </c>
      <c r="AC459" s="3">
        <f t="shared" ca="1" si="48"/>
        <v>0</v>
      </c>
    </row>
    <row r="460" spans="8:29">
      <c r="H460" t="b">
        <f t="shared" ref="H460:H500" ca="1" si="52">IF(J460&lt;$J$8,TRUE,FALSE)</f>
        <v>0</v>
      </c>
      <c r="I460" t="b">
        <f t="shared" ca="1" si="49"/>
        <v>0</v>
      </c>
      <c r="J460" s="2">
        <f ca="1"/>
        <v>45460</v>
      </c>
      <c r="K460">
        <f ca="1"/>
        <v>-345.94905705713097</v>
      </c>
      <c r="L460">
        <f ca="1"/>
        <v>1.223333083801549</v>
      </c>
      <c r="M460">
        <f ca="1"/>
        <v>2.2803220193374329E-2</v>
      </c>
      <c r="N460">
        <f ca="1"/>
        <v>8.683685295896823E-2</v>
      </c>
      <c r="O460">
        <f ca="1"/>
        <v>0</v>
      </c>
      <c r="P460">
        <f ca="1"/>
        <v>330.57487655298581</v>
      </c>
      <c r="Q460">
        <f ca="1"/>
        <v>282.16432977744392</v>
      </c>
      <c r="R460">
        <f ca="1"/>
        <v>0</v>
      </c>
      <c r="S460">
        <f ca="1"/>
        <v>0.67232551984227984</v>
      </c>
      <c r="T460">
        <f ca="1"/>
        <v>0</v>
      </c>
      <c r="U460">
        <f ca="1"/>
        <v>0</v>
      </c>
      <c r="V460">
        <f ca="1"/>
        <v>0.99999932222158217</v>
      </c>
      <c r="X460" s="2">
        <f t="shared" ca="1" si="50"/>
        <v>45460</v>
      </c>
      <c r="Y460">
        <f t="shared" ca="1" si="51"/>
        <v>0</v>
      </c>
      <c r="AA460" s="63">
        <f t="shared" ca="1" si="46"/>
        <v>-344.72572397332942</v>
      </c>
      <c r="AB460" s="63">
        <f t="shared" ca="1" si="47"/>
        <v>-344.72572397332942</v>
      </c>
      <c r="AC460" s="3">
        <f t="shared" ca="1" si="48"/>
        <v>0</v>
      </c>
    </row>
    <row r="461" spans="8:29">
      <c r="H461" t="b">
        <f t="shared" ca="1" si="52"/>
        <v>0</v>
      </c>
      <c r="I461" t="b">
        <f t="shared" ca="1" si="49"/>
        <v>0</v>
      </c>
      <c r="J461" s="2">
        <f ca="1"/>
        <v>45461</v>
      </c>
      <c r="K461">
        <f ca="1"/>
        <v>-346.96178456630611</v>
      </c>
      <c r="L461">
        <f ca="1"/>
        <v>1.1283293950517645</v>
      </c>
      <c r="M461">
        <f ca="1"/>
        <v>2.7910264811630725E-2</v>
      </c>
      <c r="N461">
        <f ca="1"/>
        <v>8.7691621064998643E-2</v>
      </c>
      <c r="O461">
        <f ca="1"/>
        <v>0</v>
      </c>
      <c r="P461">
        <f ca="1"/>
        <v>331.70320594803758</v>
      </c>
      <c r="Q461">
        <f ca="1"/>
        <v>283.12742265020779</v>
      </c>
      <c r="R461">
        <f ca="1"/>
        <v>0</v>
      </c>
      <c r="S461">
        <f ca="1"/>
        <v>0.68812262465239438</v>
      </c>
      <c r="T461">
        <f ca="1"/>
        <v>0</v>
      </c>
      <c r="U461">
        <f ca="1"/>
        <v>0</v>
      </c>
      <c r="V461">
        <f ca="1"/>
        <v>0.99999935662892248</v>
      </c>
      <c r="X461" s="2">
        <f t="shared" ca="1" si="50"/>
        <v>45461</v>
      </c>
      <c r="Y461">
        <f t="shared" ca="1" si="51"/>
        <v>0</v>
      </c>
      <c r="AA461" s="63">
        <f t="shared" ca="1" si="46"/>
        <v>-345.83345517125434</v>
      </c>
      <c r="AB461" s="63">
        <f t="shared" ca="1" si="47"/>
        <v>-345.83345517125434</v>
      </c>
      <c r="AC461" s="3">
        <f t="shared" ca="1" si="48"/>
        <v>0</v>
      </c>
    </row>
    <row r="462" spans="8:29">
      <c r="H462" t="b">
        <f t="shared" ca="1" si="52"/>
        <v>0</v>
      </c>
      <c r="I462" t="b">
        <f t="shared" ca="1" si="49"/>
        <v>0</v>
      </c>
      <c r="J462" s="2">
        <f ca="1"/>
        <v>45462</v>
      </c>
      <c r="K462">
        <f ca="1"/>
        <v>-348.00333550684383</v>
      </c>
      <c r="L462">
        <f ca="1"/>
        <v>1.1647047541207485</v>
      </c>
      <c r="M462">
        <f ca="1"/>
        <v>3.3136811982572567E-2</v>
      </c>
      <c r="N462">
        <f ca="1"/>
        <v>9.0017001600444776E-2</v>
      </c>
      <c r="O462">
        <f ca="1"/>
        <v>0</v>
      </c>
      <c r="P462">
        <f ca="1"/>
        <v>332.86791070215833</v>
      </c>
      <c r="Q462">
        <f ca="1"/>
        <v>284.12156394661213</v>
      </c>
      <c r="R462">
        <f ca="1"/>
        <v>0</v>
      </c>
      <c r="S462">
        <f ca="1"/>
        <v>0.7027603088413712</v>
      </c>
      <c r="T462">
        <f ca="1"/>
        <v>0</v>
      </c>
      <c r="U462">
        <f ca="1"/>
        <v>0</v>
      </c>
      <c r="V462">
        <f ca="1"/>
        <v>0.99999939067137289</v>
      </c>
      <c r="X462" s="2">
        <f t="shared" ca="1" si="50"/>
        <v>45462</v>
      </c>
      <c r="Y462">
        <f t="shared" ca="1" si="51"/>
        <v>0</v>
      </c>
      <c r="AA462" s="63">
        <f t="shared" ca="1" si="46"/>
        <v>-346.83863075272308</v>
      </c>
      <c r="AB462" s="63">
        <f t="shared" ca="1" si="47"/>
        <v>-346.83863075272308</v>
      </c>
      <c r="AC462" s="3">
        <f t="shared" ca="1" si="48"/>
        <v>0</v>
      </c>
    </row>
    <row r="463" spans="8:29">
      <c r="H463" t="b">
        <f t="shared" ca="1" si="52"/>
        <v>0</v>
      </c>
      <c r="I463" t="b">
        <f t="shared" ca="1" si="49"/>
        <v>0</v>
      </c>
      <c r="J463" s="2">
        <f ca="1"/>
        <v>45463</v>
      </c>
      <c r="K463">
        <f ca="1"/>
        <v>-349.11913001501017</v>
      </c>
      <c r="L463">
        <f ca="1"/>
        <v>1.2471752898322848</v>
      </c>
      <c r="M463">
        <f ca="1"/>
        <v>3.843135408459375E-2</v>
      </c>
      <c r="N463">
        <f ca="1"/>
        <v>9.2949427581373756E-2</v>
      </c>
      <c r="O463">
        <f ca="1"/>
        <v>0</v>
      </c>
      <c r="P463">
        <f ca="1"/>
        <v>334.11508599199061</v>
      </c>
      <c r="Q463">
        <f ca="1"/>
        <v>285.18609850362378</v>
      </c>
      <c r="R463">
        <f ca="1"/>
        <v>0</v>
      </c>
      <c r="S463">
        <f ca="1"/>
        <v>0.71681828247910206</v>
      </c>
      <c r="T463">
        <f ca="1"/>
        <v>0</v>
      </c>
      <c r="U463">
        <f ca="1"/>
        <v>0</v>
      </c>
      <c r="V463">
        <f ca="1"/>
        <v>0.9999994255210306</v>
      </c>
      <c r="X463" s="2">
        <f t="shared" ca="1" si="50"/>
        <v>45463</v>
      </c>
      <c r="Y463">
        <f t="shared" ca="1" si="51"/>
        <v>0</v>
      </c>
      <c r="AA463" s="63">
        <f t="shared" ca="1" si="46"/>
        <v>-347.87195472517789</v>
      </c>
      <c r="AB463" s="63">
        <f t="shared" ca="1" si="47"/>
        <v>-347.87195472517789</v>
      </c>
      <c r="AC463" s="3">
        <f t="shared" ca="1" si="48"/>
        <v>0</v>
      </c>
    </row>
    <row r="464" spans="8:29">
      <c r="H464" t="b">
        <f t="shared" ca="1" si="52"/>
        <v>0</v>
      </c>
      <c r="I464" t="b">
        <f t="shared" ca="1" si="49"/>
        <v>0</v>
      </c>
      <c r="J464" s="2">
        <f ca="1"/>
        <v>45464</v>
      </c>
      <c r="K464">
        <f ca="1"/>
        <v>-349.88845971760918</v>
      </c>
      <c r="L464">
        <f ca="1"/>
        <v>0.90182274294551235</v>
      </c>
      <c r="M464">
        <f ca="1"/>
        <v>4.1996432210865464E-2</v>
      </c>
      <c r="N464">
        <f ca="1"/>
        <v>9.0496608135643891E-2</v>
      </c>
      <c r="O464">
        <f ca="1"/>
        <v>0</v>
      </c>
      <c r="P464">
        <f ca="1"/>
        <v>335.01690873493612</v>
      </c>
      <c r="Q464">
        <f ca="1"/>
        <v>285.95585515450614</v>
      </c>
      <c r="R464">
        <f ca="1"/>
        <v>0</v>
      </c>
      <c r="S464">
        <f ca="1"/>
        <v>0.73232553115947197</v>
      </c>
      <c r="T464">
        <f ca="1"/>
        <v>0</v>
      </c>
      <c r="U464">
        <f ca="1"/>
        <v>0</v>
      </c>
      <c r="V464">
        <f ca="1"/>
        <v>0.99999944972102173</v>
      </c>
      <c r="X464" s="2">
        <f t="shared" ca="1" si="50"/>
        <v>45464</v>
      </c>
      <c r="Y464">
        <f t="shared" ca="1" si="51"/>
        <v>0</v>
      </c>
      <c r="AA464" s="63">
        <f t="shared" ref="AA464:AA500" ca="1" si="53">K463+M464+N464+O464</f>
        <v>-348.98663697466367</v>
      </c>
      <c r="AB464" s="63">
        <f t="shared" ref="AB464:AB500" ca="1" si="54">K464+L464+R464</f>
        <v>-348.98663697466367</v>
      </c>
      <c r="AC464" s="3">
        <f t="shared" ref="AC464:AC500" ca="1" si="55">AB464-AA464</f>
        <v>0</v>
      </c>
    </row>
    <row r="465" spans="8:29">
      <c r="H465" t="b">
        <f t="shared" ca="1" si="52"/>
        <v>0</v>
      </c>
      <c r="I465" t="b">
        <f t="shared" ca="1" si="49"/>
        <v>0</v>
      </c>
      <c r="J465" s="2">
        <f ca="1"/>
        <v>45465</v>
      </c>
      <c r="K465">
        <f ca="1"/>
        <v>-350.6984935733368</v>
      </c>
      <c r="L465">
        <f ca="1"/>
        <v>0.94837215788180629</v>
      </c>
      <c r="M465">
        <f ca="1"/>
        <v>4.6683860137783029E-2</v>
      </c>
      <c r="N465">
        <f ca="1"/>
        <v>9.165444201642417E-2</v>
      </c>
      <c r="O465">
        <f ca="1"/>
        <v>0</v>
      </c>
      <c r="P465">
        <f ca="1"/>
        <v>335.96528089281793</v>
      </c>
      <c r="Q465">
        <f ca="1"/>
        <v>286.76534436039691</v>
      </c>
      <c r="R465">
        <f ca="1"/>
        <v>0</v>
      </c>
      <c r="S465">
        <f ca="1"/>
        <v>0.73594872195136407</v>
      </c>
      <c r="T465">
        <f ca="1"/>
        <v>0</v>
      </c>
      <c r="U465">
        <f ca="1"/>
        <v>0</v>
      </c>
      <c r="V465">
        <f ca="1"/>
        <v>0.9999994742927053</v>
      </c>
      <c r="X465" s="2">
        <f t="shared" ca="1" si="50"/>
        <v>45465</v>
      </c>
      <c r="Y465">
        <f t="shared" ca="1" si="51"/>
        <v>0</v>
      </c>
      <c r="AA465" s="63">
        <f t="shared" ca="1" si="53"/>
        <v>-349.750121415455</v>
      </c>
      <c r="AB465" s="63">
        <f t="shared" ca="1" si="54"/>
        <v>-349.750121415455</v>
      </c>
      <c r="AC465" s="3">
        <f t="shared" ca="1" si="55"/>
        <v>0</v>
      </c>
    </row>
    <row r="466" spans="8:29">
      <c r="H466" t="b">
        <f t="shared" ca="1" si="52"/>
        <v>0</v>
      </c>
      <c r="I466" t="b">
        <f t="shared" ca="1" si="49"/>
        <v>0</v>
      </c>
      <c r="J466" s="2">
        <f ca="1"/>
        <v>45466</v>
      </c>
      <c r="K466">
        <f ca="1"/>
        <v>-351.72100023527361</v>
      </c>
      <c r="L466">
        <f ca="1"/>
        <v>1.1707884678511391</v>
      </c>
      <c r="M466">
        <f ca="1"/>
        <v>5.2150098837124403E-2</v>
      </c>
      <c r="N466">
        <f ca="1"/>
        <v>9.613170707721487E-2</v>
      </c>
      <c r="O466">
        <f ca="1"/>
        <v>0</v>
      </c>
      <c r="P466">
        <f ca="1"/>
        <v>337.13606936066907</v>
      </c>
      <c r="Q466">
        <f ca="1"/>
        <v>287.76467845011081</v>
      </c>
      <c r="R466">
        <f ca="1"/>
        <v>0</v>
      </c>
      <c r="S466">
        <f ca="1"/>
        <v>0.74652843409162206</v>
      </c>
      <c r="T466">
        <f ca="1"/>
        <v>0</v>
      </c>
      <c r="U466">
        <f ca="1"/>
        <v>0</v>
      </c>
      <c r="V466">
        <f ca="1"/>
        <v>0.99999950342329391</v>
      </c>
      <c r="X466" s="2">
        <f t="shared" ca="1" si="50"/>
        <v>45466</v>
      </c>
      <c r="Y466">
        <f t="shared" ca="1" si="51"/>
        <v>0</v>
      </c>
      <c r="AA466" s="63">
        <f t="shared" ca="1" si="53"/>
        <v>-350.55021176742247</v>
      </c>
      <c r="AB466" s="63">
        <f t="shared" ca="1" si="54"/>
        <v>-350.55021176742247</v>
      </c>
      <c r="AC466" s="3">
        <f t="shared" ca="1" si="55"/>
        <v>0</v>
      </c>
    </row>
    <row r="467" spans="8:29">
      <c r="H467" t="b">
        <f t="shared" ca="1" si="52"/>
        <v>0</v>
      </c>
      <c r="I467" t="b">
        <f t="shared" ca="1" si="49"/>
        <v>0</v>
      </c>
      <c r="J467" s="2">
        <f ca="1"/>
        <v>45467</v>
      </c>
      <c r="K467">
        <f ca="1"/>
        <v>-352.67209280268912</v>
      </c>
      <c r="L467">
        <f ca="1"/>
        <v>1.1033975059846171</v>
      </c>
      <c r="M467">
        <f ca="1"/>
        <v>5.6247705291745831E-2</v>
      </c>
      <c r="N467">
        <f ca="1"/>
        <v>9.6057233277334647E-2</v>
      </c>
      <c r="O467">
        <f ca="1"/>
        <v>0</v>
      </c>
      <c r="P467">
        <f ca="1"/>
        <v>338.23946686665369</v>
      </c>
      <c r="Q467">
        <f ca="1"/>
        <v>288.70649054726925</v>
      </c>
      <c r="R467">
        <f ca="1"/>
        <v>0</v>
      </c>
      <c r="S467">
        <f ca="1"/>
        <v>0.75189075486717316</v>
      </c>
      <c r="T467">
        <f ca="1"/>
        <v>0</v>
      </c>
      <c r="U467">
        <f ca="1"/>
        <v>0</v>
      </c>
      <c r="V467">
        <f ca="1"/>
        <v>0.99999952969847272</v>
      </c>
      <c r="X467" s="2">
        <f t="shared" ca="1" si="50"/>
        <v>45467</v>
      </c>
      <c r="Y467">
        <f t="shared" ca="1" si="51"/>
        <v>0</v>
      </c>
      <c r="AA467" s="63">
        <f t="shared" ca="1" si="53"/>
        <v>-351.5686952967045</v>
      </c>
      <c r="AB467" s="63">
        <f t="shared" ca="1" si="54"/>
        <v>-351.5686952967045</v>
      </c>
      <c r="AC467" s="3">
        <f t="shared" ca="1" si="55"/>
        <v>0</v>
      </c>
    </row>
    <row r="468" spans="8:29">
      <c r="H468" t="b">
        <f t="shared" ca="1" si="52"/>
        <v>0</v>
      </c>
      <c r="I468" t="b">
        <f t="shared" ca="1" si="49"/>
        <v>0</v>
      </c>
      <c r="J468" s="2">
        <f ca="1"/>
        <v>45468</v>
      </c>
      <c r="K468">
        <f ca="1"/>
        <v>-353.79018427115761</v>
      </c>
      <c r="L468">
        <f ca="1"/>
        <v>1.2786835638030425</v>
      </c>
      <c r="M468">
        <f ca="1"/>
        <v>6.1534384178145274E-2</v>
      </c>
      <c r="N468">
        <f ca="1"/>
        <v>9.9057711156357836E-2</v>
      </c>
      <c r="O468">
        <f ca="1"/>
        <v>0</v>
      </c>
      <c r="P468">
        <f ca="1"/>
        <v>339.51815043045673</v>
      </c>
      <c r="Q468">
        <f ca="1"/>
        <v>289.79791919587103</v>
      </c>
      <c r="R468">
        <f ca="1"/>
        <v>0</v>
      </c>
      <c r="S468">
        <f ca="1"/>
        <v>0.75406466975108155</v>
      </c>
      <c r="T468">
        <f ca="1"/>
        <v>0</v>
      </c>
      <c r="U468">
        <f ca="1"/>
        <v>0</v>
      </c>
      <c r="V468">
        <f ca="1"/>
        <v>0.99999955876751079</v>
      </c>
      <c r="X468" s="2">
        <f t="shared" ca="1" si="50"/>
        <v>45468</v>
      </c>
      <c r="Y468">
        <f t="shared" ca="1" si="51"/>
        <v>0</v>
      </c>
      <c r="AA468" s="63">
        <f t="shared" ca="1" si="53"/>
        <v>-352.51150070735463</v>
      </c>
      <c r="AB468" s="63">
        <f t="shared" ca="1" si="54"/>
        <v>-352.51150070735457</v>
      </c>
      <c r="AC468" s="3">
        <f t="shared" ca="1" si="55"/>
        <v>0</v>
      </c>
    </row>
    <row r="469" spans="8:29">
      <c r="H469" t="b">
        <f t="shared" ca="1" si="52"/>
        <v>0</v>
      </c>
      <c r="I469" t="b">
        <f t="shared" ca="1" si="49"/>
        <v>0</v>
      </c>
      <c r="J469" s="2">
        <f ca="1"/>
        <v>45469</v>
      </c>
      <c r="K469">
        <f ca="1"/>
        <v>-354.51437211849458</v>
      </c>
      <c r="L469">
        <f ca="1"/>
        <v>0.8824244492014941</v>
      </c>
      <c r="M469">
        <f ca="1"/>
        <v>6.3375125365546126E-2</v>
      </c>
      <c r="N469">
        <f ca="1"/>
        <v>9.4861476498962871E-2</v>
      </c>
      <c r="O469">
        <f ca="1"/>
        <v>0</v>
      </c>
      <c r="P469">
        <f ca="1"/>
        <v>340.40057487965822</v>
      </c>
      <c r="Q469">
        <f ca="1"/>
        <v>290.55111830732329</v>
      </c>
      <c r="R469">
        <f ca="1"/>
        <v>0</v>
      </c>
      <c r="S469">
        <f ca="1"/>
        <v>0.76464438152049541</v>
      </c>
      <c r="T469">
        <f ca="1"/>
        <v>0</v>
      </c>
      <c r="U469">
        <f ca="1"/>
        <v>0</v>
      </c>
      <c r="V469">
        <f ca="1"/>
        <v>0.99999957799224037</v>
      </c>
      <c r="X469" s="2">
        <f t="shared" ca="1" si="50"/>
        <v>45469</v>
      </c>
      <c r="Y469">
        <f t="shared" ca="1" si="51"/>
        <v>0</v>
      </c>
      <c r="AA469" s="63">
        <f t="shared" ca="1" si="53"/>
        <v>-353.63194766929308</v>
      </c>
      <c r="AB469" s="63">
        <f t="shared" ca="1" si="54"/>
        <v>-353.63194766929308</v>
      </c>
      <c r="AC469" s="3">
        <f t="shared" ca="1" si="55"/>
        <v>0</v>
      </c>
    </row>
    <row r="470" spans="8:29">
      <c r="H470" t="b">
        <f t="shared" ca="1" si="52"/>
        <v>0</v>
      </c>
      <c r="I470" t="b">
        <f t="shared" ca="1" si="49"/>
        <v>0</v>
      </c>
      <c r="J470" s="2">
        <f ca="1"/>
        <v>45470</v>
      </c>
      <c r="K470">
        <f ca="1"/>
        <v>-355.03721107776016</v>
      </c>
      <c r="L470">
        <f ca="1"/>
        <v>0.68208720384126309</v>
      </c>
      <c r="M470">
        <f ca="1"/>
        <v>6.5918610804949651E-2</v>
      </c>
      <c r="N470">
        <f ca="1"/>
        <v>9.3329633770742437E-2</v>
      </c>
      <c r="O470">
        <f ca="1"/>
        <v>0</v>
      </c>
      <c r="P470">
        <f ca="1"/>
        <v>341.08266208349949</v>
      </c>
      <c r="Q470">
        <f ca="1"/>
        <v>291.13331826374019</v>
      </c>
      <c r="R470">
        <f ca="1"/>
        <v>0</v>
      </c>
      <c r="S470">
        <f ca="1"/>
        <v>0.77478931046094079</v>
      </c>
      <c r="T470">
        <f ca="1"/>
        <v>0</v>
      </c>
      <c r="U470">
        <f ca="1"/>
        <v>0</v>
      </c>
      <c r="V470">
        <f ca="1"/>
        <v>0.99999959239800784</v>
      </c>
      <c r="X470" s="2">
        <f t="shared" ca="1" si="50"/>
        <v>45470</v>
      </c>
      <c r="Y470">
        <f t="shared" ca="1" si="51"/>
        <v>0</v>
      </c>
      <c r="AA470" s="63">
        <f t="shared" ca="1" si="53"/>
        <v>-354.3551238739189</v>
      </c>
      <c r="AB470" s="63">
        <f t="shared" ca="1" si="54"/>
        <v>-354.3551238739189</v>
      </c>
      <c r="AC470" s="3">
        <f t="shared" ca="1" si="55"/>
        <v>0</v>
      </c>
    </row>
    <row r="471" spans="8:29">
      <c r="H471" t="b">
        <f t="shared" ca="1" si="52"/>
        <v>0</v>
      </c>
      <c r="I471" t="b">
        <f t="shared" ca="1" si="49"/>
        <v>0</v>
      </c>
      <c r="J471" s="2">
        <f ca="1"/>
        <v>45471</v>
      </c>
      <c r="K471">
        <f ca="1"/>
        <v>-355.71227218100728</v>
      </c>
      <c r="L471">
        <f ca="1"/>
        <v>0.84535500447992717</v>
      </c>
      <c r="M471">
        <f ca="1"/>
        <v>7.0583154820702987E-2</v>
      </c>
      <c r="N471">
        <f ca="1"/>
        <v>9.9710746412066634E-2</v>
      </c>
      <c r="O471">
        <f ca="1"/>
        <v>0</v>
      </c>
      <c r="P471">
        <f ca="1"/>
        <v>341.92801708797941</v>
      </c>
      <c r="Q471">
        <f ca="1"/>
        <v>291.85487651024187</v>
      </c>
      <c r="R471">
        <f ca="1"/>
        <v>0</v>
      </c>
      <c r="S471">
        <f ca="1"/>
        <v>0.80536902193068072</v>
      </c>
      <c r="T471">
        <f ca="1"/>
        <v>0</v>
      </c>
      <c r="U471">
        <f ca="1"/>
        <v>0</v>
      </c>
      <c r="V471">
        <f ca="1"/>
        <v>0.99999960971566115</v>
      </c>
      <c r="X471" s="2">
        <f t="shared" ca="1" si="50"/>
        <v>45471</v>
      </c>
      <c r="Y471">
        <f t="shared" ca="1" si="51"/>
        <v>0</v>
      </c>
      <c r="AA471" s="63">
        <f t="shared" ca="1" si="53"/>
        <v>-354.86691717652735</v>
      </c>
      <c r="AB471" s="63">
        <f t="shared" ca="1" si="54"/>
        <v>-354.86691717652735</v>
      </c>
      <c r="AC471" s="3">
        <f t="shared" ca="1" si="55"/>
        <v>0</v>
      </c>
    </row>
    <row r="472" spans="8:29">
      <c r="H472" t="b">
        <f t="shared" ca="1" si="52"/>
        <v>0</v>
      </c>
      <c r="I472" t="b">
        <f t="shared" ca="1" si="49"/>
        <v>0</v>
      </c>
      <c r="J472" s="2">
        <f ca="1"/>
        <v>45472</v>
      </c>
      <c r="K472">
        <f ca="1"/>
        <v>-356.61421581979459</v>
      </c>
      <c r="L472">
        <f ca="1"/>
        <v>1.0833401228262005</v>
      </c>
      <c r="M472">
        <f ca="1"/>
        <v>7.5902791758764465E-2</v>
      </c>
      <c r="N472">
        <f ca="1"/>
        <v>0.10549369228008358</v>
      </c>
      <c r="O472">
        <f ca="1"/>
        <v>0</v>
      </c>
      <c r="P472">
        <f ca="1"/>
        <v>343.01135721080561</v>
      </c>
      <c r="Q472">
        <f ca="1"/>
        <v>292.77956849792616</v>
      </c>
      <c r="R472">
        <f ca="1"/>
        <v>0</v>
      </c>
      <c r="S472">
        <f ca="1"/>
        <v>0.81928206667856263</v>
      </c>
      <c r="T472">
        <f ca="1"/>
        <v>0</v>
      </c>
      <c r="U472">
        <f ca="1"/>
        <v>0</v>
      </c>
      <c r="V472">
        <f ca="1"/>
        <v>0.99999963106370893</v>
      </c>
      <c r="X472" s="2">
        <f t="shared" ca="1" si="50"/>
        <v>45472</v>
      </c>
      <c r="Y472">
        <f t="shared" ca="1" si="51"/>
        <v>0</v>
      </c>
      <c r="AA472" s="63">
        <f t="shared" ca="1" si="53"/>
        <v>-355.53087569696839</v>
      </c>
      <c r="AB472" s="63">
        <f t="shared" ca="1" si="54"/>
        <v>-355.53087569696839</v>
      </c>
      <c r="AC472" s="3">
        <f t="shared" ca="1" si="55"/>
        <v>0</v>
      </c>
    </row>
    <row r="473" spans="8:29">
      <c r="H473" t="b">
        <f t="shared" ca="1" si="52"/>
        <v>0</v>
      </c>
      <c r="I473" t="b">
        <f t="shared" ca="1" si="49"/>
        <v>0</v>
      </c>
      <c r="J473" s="2">
        <f ca="1"/>
        <v>45473</v>
      </c>
      <c r="K473">
        <f ca="1"/>
        <v>-357.01661420411341</v>
      </c>
      <c r="L473">
        <f ca="1"/>
        <v>0.57611464701517434</v>
      </c>
      <c r="M473">
        <f ca="1"/>
        <v>7.566583702084273E-2</v>
      </c>
      <c r="N473">
        <f ca="1"/>
        <v>9.8050425675552208E-2</v>
      </c>
      <c r="O473">
        <f ca="1"/>
        <v>0</v>
      </c>
      <c r="P473">
        <f ca="1"/>
        <v>343.58747185782079</v>
      </c>
      <c r="Q473">
        <f ca="1"/>
        <v>293.27131489119432</v>
      </c>
      <c r="R473">
        <f ca="1"/>
        <v>0</v>
      </c>
      <c r="S473">
        <f ca="1"/>
        <v>0.82319511117873523</v>
      </c>
      <c r="T473">
        <f ca="1"/>
        <v>0</v>
      </c>
      <c r="U473">
        <f ca="1"/>
        <v>0</v>
      </c>
      <c r="V473">
        <f ca="1"/>
        <v>0.99999964203980629</v>
      </c>
      <c r="X473" s="2">
        <f t="shared" ca="1" si="50"/>
        <v>45473</v>
      </c>
      <c r="Y473">
        <f t="shared" ca="1" si="51"/>
        <v>0</v>
      </c>
      <c r="AA473" s="63">
        <f t="shared" ca="1" si="53"/>
        <v>-356.44049955709824</v>
      </c>
      <c r="AB473" s="63">
        <f t="shared" ca="1" si="54"/>
        <v>-356.44049955709824</v>
      </c>
      <c r="AC473" s="3">
        <f t="shared" ca="1" si="55"/>
        <v>0</v>
      </c>
    </row>
    <row r="474" spans="8:29">
      <c r="H474" t="b">
        <f t="shared" ca="1" si="52"/>
        <v>0</v>
      </c>
      <c r="I474" t="b">
        <f t="shared" ca="1" si="49"/>
        <v>0</v>
      </c>
      <c r="J474" s="2">
        <f ca="1"/>
        <v>45474</v>
      </c>
      <c r="K474">
        <f ca="1"/>
        <v>-357.18093598865693</v>
      </c>
      <c r="L474">
        <f ca="1"/>
        <v>0.33666602998903272</v>
      </c>
      <c r="M474">
        <f ca="1"/>
        <v>7.6968088991968386E-2</v>
      </c>
      <c r="N474">
        <f ca="1"/>
        <v>9.5376156453530064E-2</v>
      </c>
      <c r="O474">
        <f ca="1"/>
        <v>0</v>
      </c>
      <c r="P474">
        <f ca="1"/>
        <v>343.92413788780982</v>
      </c>
      <c r="Q474">
        <f ca="1"/>
        <v>293.55867836449045</v>
      </c>
      <c r="R474">
        <f ca="1"/>
        <v>0</v>
      </c>
      <c r="S474">
        <f ca="1"/>
        <v>0.8313110541989327</v>
      </c>
      <c r="T474">
        <f ca="1"/>
        <v>0</v>
      </c>
      <c r="U474">
        <f ca="1"/>
        <v>0</v>
      </c>
      <c r="V474">
        <f ca="1"/>
        <v>0.99999964833535615</v>
      </c>
      <c r="X474" s="2">
        <f t="shared" ca="1" si="50"/>
        <v>45474</v>
      </c>
      <c r="Y474">
        <f t="shared" ca="1" si="51"/>
        <v>0</v>
      </c>
      <c r="AA474" s="63">
        <f t="shared" ca="1" si="53"/>
        <v>-356.84426995866789</v>
      </c>
      <c r="AB474" s="63">
        <f t="shared" ca="1" si="54"/>
        <v>-356.84426995866789</v>
      </c>
      <c r="AC474" s="3">
        <f t="shared" ca="1" si="55"/>
        <v>0</v>
      </c>
    </row>
    <row r="475" spans="8:29">
      <c r="H475" t="b">
        <f t="shared" ca="1" si="52"/>
        <v>0</v>
      </c>
      <c r="I475" t="b">
        <f t="shared" ca="1" si="49"/>
        <v>0</v>
      </c>
      <c r="J475" s="2">
        <f ca="1"/>
        <v>45475</v>
      </c>
      <c r="K475">
        <f ca="1"/>
        <v>-357.71439582150862</v>
      </c>
      <c r="L475">
        <f ca="1"/>
        <v>0.71897383718584251</v>
      </c>
      <c r="M475">
        <f ca="1"/>
        <v>8.2947545047701965E-2</v>
      </c>
      <c r="N475">
        <f ca="1"/>
        <v>0.10256645928644711</v>
      </c>
      <c r="O475">
        <f ca="1"/>
        <v>0</v>
      </c>
      <c r="P475">
        <f ca="1"/>
        <v>344.64311172499566</v>
      </c>
      <c r="Q475">
        <f ca="1"/>
        <v>294.17236314602144</v>
      </c>
      <c r="R475">
        <f ca="1"/>
        <v>0</v>
      </c>
      <c r="S475">
        <f ca="1"/>
        <v>0.83942699719617897</v>
      </c>
      <c r="T475">
        <f ca="1"/>
        <v>0</v>
      </c>
      <c r="U475">
        <f ca="1"/>
        <v>0</v>
      </c>
      <c r="V475">
        <f ca="1"/>
        <v>0.99999966149199393</v>
      </c>
      <c r="X475" s="2">
        <f t="shared" ca="1" si="50"/>
        <v>45475</v>
      </c>
      <c r="Y475">
        <f t="shared" ca="1" si="51"/>
        <v>0</v>
      </c>
      <c r="AA475" s="63">
        <f t="shared" ca="1" si="53"/>
        <v>-356.99542198432277</v>
      </c>
      <c r="AB475" s="63">
        <f t="shared" ca="1" si="54"/>
        <v>-356.99542198432277</v>
      </c>
      <c r="AC475" s="3">
        <f t="shared" ca="1" si="55"/>
        <v>0</v>
      </c>
    </row>
    <row r="476" spans="8:29">
      <c r="H476" t="b">
        <f t="shared" ca="1" si="52"/>
        <v>0</v>
      </c>
      <c r="I476" t="b">
        <f t="shared" ca="1" si="49"/>
        <v>0</v>
      </c>
      <c r="J476" s="2">
        <f ca="1"/>
        <v>45476</v>
      </c>
      <c r="K476">
        <f ca="1"/>
        <v>-358.41609971574161</v>
      </c>
      <c r="L476">
        <f ca="1"/>
        <v>0.89536576215391506</v>
      </c>
      <c r="M476">
        <f ca="1"/>
        <v>8.7530962521633171E-2</v>
      </c>
      <c r="N476">
        <f ca="1"/>
        <v>0.10613090539930636</v>
      </c>
      <c r="O476">
        <f ca="1"/>
        <v>0</v>
      </c>
      <c r="P476">
        <f ca="1"/>
        <v>345.53847748714958</v>
      </c>
      <c r="Q476">
        <f ca="1"/>
        <v>294.93660839907329</v>
      </c>
      <c r="R476">
        <f ca="1"/>
        <v>0</v>
      </c>
      <c r="S476">
        <f ca="1"/>
        <v>0.84305018645797769</v>
      </c>
      <c r="T476">
        <f ca="1"/>
        <v>0</v>
      </c>
      <c r="U476">
        <f ca="1"/>
        <v>0</v>
      </c>
      <c r="V476">
        <f ca="1"/>
        <v>0.99999967733915018</v>
      </c>
      <c r="X476" s="2">
        <f t="shared" ca="1" si="50"/>
        <v>45476</v>
      </c>
      <c r="Y476">
        <f t="shared" ca="1" si="51"/>
        <v>0</v>
      </c>
      <c r="AA476" s="63">
        <f t="shared" ca="1" si="53"/>
        <v>-357.52073395358769</v>
      </c>
      <c r="AB476" s="63">
        <f t="shared" ca="1" si="54"/>
        <v>-357.52073395358769</v>
      </c>
      <c r="AC476" s="3">
        <f t="shared" ca="1" si="55"/>
        <v>0</v>
      </c>
    </row>
    <row r="477" spans="8:29">
      <c r="H477" t="b">
        <f t="shared" ca="1" si="52"/>
        <v>0</v>
      </c>
      <c r="I477" t="b">
        <f t="shared" ca="1" si="49"/>
        <v>0</v>
      </c>
      <c r="J477" s="2">
        <f ca="1"/>
        <v>45477</v>
      </c>
      <c r="K477">
        <f ca="1"/>
        <v>-359.28745481876246</v>
      </c>
      <c r="L477">
        <f ca="1"/>
        <v>1.0727882911862139</v>
      </c>
      <c r="M477">
        <f ca="1"/>
        <v>9.2260597837039882E-2</v>
      </c>
      <c r="N477">
        <f ca="1"/>
        <v>0.10917259032835427</v>
      </c>
      <c r="O477">
        <f ca="1"/>
        <v>0</v>
      </c>
      <c r="P477">
        <f ca="1"/>
        <v>346.61126577833579</v>
      </c>
      <c r="Q477">
        <f ca="1"/>
        <v>295.85229380242885</v>
      </c>
      <c r="R477">
        <f ca="1"/>
        <v>0</v>
      </c>
      <c r="S477">
        <f ca="1"/>
        <v>0.84145598446657832</v>
      </c>
      <c r="T477">
        <f ca="1"/>
        <v>0</v>
      </c>
      <c r="U477">
        <f ca="1"/>
        <v>0</v>
      </c>
      <c r="V477">
        <f ca="1"/>
        <v>0.99999969556349011</v>
      </c>
      <c r="X477" s="2">
        <f t="shared" ca="1" si="50"/>
        <v>45477</v>
      </c>
      <c r="Y477">
        <f t="shared" ca="1" si="51"/>
        <v>0</v>
      </c>
      <c r="AA477" s="63">
        <f t="shared" ca="1" si="53"/>
        <v>-358.21466652757624</v>
      </c>
      <c r="AB477" s="63">
        <f t="shared" ca="1" si="54"/>
        <v>-358.21466652757624</v>
      </c>
      <c r="AC477" s="3">
        <f t="shared" ca="1" si="55"/>
        <v>0</v>
      </c>
    </row>
    <row r="478" spans="8:29">
      <c r="H478" t="b">
        <f t="shared" ca="1" si="52"/>
        <v>0</v>
      </c>
      <c r="I478" t="b">
        <f t="shared" ca="1" si="49"/>
        <v>0</v>
      </c>
      <c r="J478" s="2">
        <f ca="1"/>
        <v>45478</v>
      </c>
      <c r="K478">
        <f ca="1"/>
        <v>-359.99786650591648</v>
      </c>
      <c r="L478">
        <f ca="1"/>
        <v>0.91514931853748749</v>
      </c>
      <c r="M478">
        <f ca="1"/>
        <v>9.3853648877228579E-2</v>
      </c>
      <c r="N478">
        <f ca="1"/>
        <v>0.11088398250625606</v>
      </c>
      <c r="O478">
        <f ca="1"/>
        <v>0</v>
      </c>
      <c r="P478">
        <f ca="1"/>
        <v>347.52641509687328</v>
      </c>
      <c r="Q478">
        <f ca="1"/>
        <v>296.63342543833539</v>
      </c>
      <c r="R478">
        <f ca="1"/>
        <v>0</v>
      </c>
      <c r="S478">
        <f ca="1"/>
        <v>0.87189076784032238</v>
      </c>
      <c r="T478">
        <f ca="1"/>
        <v>0</v>
      </c>
      <c r="U478">
        <f ca="1"/>
        <v>0</v>
      </c>
      <c r="V478">
        <f ca="1"/>
        <v>0.99999971047217062</v>
      </c>
      <c r="X478" s="2">
        <f t="shared" ca="1" si="50"/>
        <v>45478</v>
      </c>
      <c r="Y478">
        <f t="shared" ca="1" si="51"/>
        <v>0</v>
      </c>
      <c r="AA478" s="63">
        <f t="shared" ca="1" si="53"/>
        <v>-359.08271718737899</v>
      </c>
      <c r="AB478" s="63">
        <f t="shared" ca="1" si="54"/>
        <v>-359.08271718737899</v>
      </c>
      <c r="AC478" s="3">
        <f t="shared" ca="1" si="55"/>
        <v>0</v>
      </c>
    </row>
    <row r="479" spans="8:29">
      <c r="H479" t="b">
        <f t="shared" ca="1" si="52"/>
        <v>0</v>
      </c>
      <c r="I479" t="b">
        <f t="shared" ca="1" si="49"/>
        <v>0</v>
      </c>
      <c r="J479" s="2">
        <f ca="1"/>
        <v>45479</v>
      </c>
      <c r="K479">
        <f ca="1"/>
        <v>-360.19371227829669</v>
      </c>
      <c r="L479">
        <f ca="1"/>
        <v>0.38900038269872539</v>
      </c>
      <c r="M479">
        <f ca="1"/>
        <v>9.1624437299010708E-2</v>
      </c>
      <c r="N479">
        <f ca="1"/>
        <v>0.10153017301950891</v>
      </c>
      <c r="O479">
        <f ca="1"/>
        <v>0</v>
      </c>
      <c r="P479">
        <f ca="1"/>
        <v>347.915415479572</v>
      </c>
      <c r="Q479">
        <f ca="1"/>
        <v>296.96545923779365</v>
      </c>
      <c r="R479">
        <f ca="1"/>
        <v>0</v>
      </c>
      <c r="S479">
        <f ca="1"/>
        <v>0.87087627571276938</v>
      </c>
      <c r="T479">
        <f ca="1"/>
        <v>0</v>
      </c>
      <c r="U479">
        <f ca="1"/>
        <v>0</v>
      </c>
      <c r="V479">
        <f ca="1"/>
        <v>0.99999971663597964</v>
      </c>
      <c r="X479" s="2">
        <f t="shared" ca="1" si="50"/>
        <v>45479</v>
      </c>
      <c r="Y479">
        <f t="shared" ca="1" si="51"/>
        <v>0</v>
      </c>
      <c r="AA479" s="63">
        <f t="shared" ca="1" si="53"/>
        <v>-359.80471189559796</v>
      </c>
      <c r="AB479" s="63">
        <f t="shared" ca="1" si="54"/>
        <v>-359.80471189559796</v>
      </c>
      <c r="AC479" s="3">
        <f t="shared" ca="1" si="55"/>
        <v>0</v>
      </c>
    </row>
    <row r="480" spans="8:29">
      <c r="H480" t="b">
        <f t="shared" ca="1" si="52"/>
        <v>0</v>
      </c>
      <c r="I480" t="b">
        <f t="shared" ca="1" si="49"/>
        <v>0</v>
      </c>
      <c r="J480" s="2">
        <f ca="1"/>
        <v>45480</v>
      </c>
      <c r="K480">
        <f ca="1"/>
        <v>-360.15281348683476</v>
      </c>
      <c r="L480">
        <f ca="1"/>
        <v>0.14962730968329652</v>
      </c>
      <c r="M480">
        <f ca="1"/>
        <v>9.1770104080467263E-2</v>
      </c>
      <c r="N480">
        <f ca="1"/>
        <v>9.8755997064773129E-2</v>
      </c>
      <c r="O480">
        <f ca="1"/>
        <v>0</v>
      </c>
      <c r="P480">
        <f ca="1"/>
        <v>348.0650427892553</v>
      </c>
      <c r="Q480">
        <f ca="1"/>
        <v>297.09317459836012</v>
      </c>
      <c r="R480">
        <f ca="1"/>
        <v>0</v>
      </c>
      <c r="S480">
        <f ca="1"/>
        <v>0.88116613135319388</v>
      </c>
      <c r="T480">
        <f ca="1"/>
        <v>0</v>
      </c>
      <c r="U480">
        <f ca="1"/>
        <v>0</v>
      </c>
      <c r="V480">
        <f ca="1"/>
        <v>0.99999971897974171</v>
      </c>
      <c r="X480" s="2">
        <f t="shared" ca="1" si="50"/>
        <v>45480</v>
      </c>
      <c r="Y480">
        <f t="shared" ca="1" si="51"/>
        <v>0</v>
      </c>
      <c r="AA480" s="63">
        <f t="shared" ca="1" si="53"/>
        <v>-360.00318617715146</v>
      </c>
      <c r="AB480" s="63">
        <f t="shared" ca="1" si="54"/>
        <v>-360.00318617715146</v>
      </c>
      <c r="AC480" s="3">
        <f t="shared" ca="1" si="55"/>
        <v>0</v>
      </c>
    </row>
    <row r="481" spans="8:29">
      <c r="H481" t="b">
        <f t="shared" ca="1" si="52"/>
        <v>0</v>
      </c>
      <c r="I481" t="b">
        <f t="shared" ca="1" si="49"/>
        <v>0</v>
      </c>
      <c r="J481" s="2">
        <f ca="1"/>
        <v>45481</v>
      </c>
      <c r="K481">
        <f ca="1"/>
        <v>-360.26728288556092</v>
      </c>
      <c r="L481">
        <f ca="1"/>
        <v>0.31193497331923936</v>
      </c>
      <c r="M481">
        <f ca="1"/>
        <v>9.5596941265220892E-2</v>
      </c>
      <c r="N481">
        <f ca="1"/>
        <v>0.10186863332788192</v>
      </c>
      <c r="O481">
        <f ca="1"/>
        <v>0</v>
      </c>
      <c r="P481">
        <f ca="1"/>
        <v>348.37697776257454</v>
      </c>
      <c r="Q481">
        <f ca="1"/>
        <v>297.35942871784607</v>
      </c>
      <c r="R481">
        <f ca="1"/>
        <v>0</v>
      </c>
      <c r="S481">
        <f ca="1"/>
        <v>0.88348497248465707</v>
      </c>
      <c r="T481">
        <f ca="1"/>
        <v>0</v>
      </c>
      <c r="U481">
        <f ca="1"/>
        <v>0</v>
      </c>
      <c r="V481">
        <f ca="1"/>
        <v>0.99999972381788049</v>
      </c>
      <c r="X481" s="2">
        <f t="shared" ca="1" si="50"/>
        <v>45481</v>
      </c>
      <c r="Y481">
        <f t="shared" ca="1" si="51"/>
        <v>0</v>
      </c>
      <c r="AA481" s="63">
        <f t="shared" ca="1" si="53"/>
        <v>-359.95534791224168</v>
      </c>
      <c r="AB481" s="63">
        <f t="shared" ca="1" si="54"/>
        <v>-359.95534791224168</v>
      </c>
      <c r="AC481" s="3">
        <f t="shared" ca="1" si="55"/>
        <v>0</v>
      </c>
    </row>
    <row r="482" spans="8:29">
      <c r="H482" t="b">
        <f t="shared" ca="1" si="52"/>
        <v>0</v>
      </c>
      <c r="I482" t="b">
        <f t="shared" ca="1" si="49"/>
        <v>0</v>
      </c>
      <c r="J482" s="2">
        <f ca="1"/>
        <v>45482</v>
      </c>
      <c r="K482">
        <f ca="1"/>
        <v>-360.51584079066726</v>
      </c>
      <c r="L482">
        <f ca="1"/>
        <v>0.45211209950309694</v>
      </c>
      <c r="M482">
        <f ca="1"/>
        <v>9.927094548266524E-2</v>
      </c>
      <c r="N482">
        <f ca="1"/>
        <v>0.10428324891408025</v>
      </c>
      <c r="O482">
        <f ca="1"/>
        <v>0</v>
      </c>
      <c r="P482">
        <f ca="1"/>
        <v>348.82908986207764</v>
      </c>
      <c r="Q482">
        <f ca="1"/>
        <v>297.7453319324847</v>
      </c>
      <c r="R482">
        <f ca="1"/>
        <v>0</v>
      </c>
      <c r="S482">
        <f ca="1"/>
        <v>0.88276033534006626</v>
      </c>
      <c r="T482">
        <f ca="1"/>
        <v>0</v>
      </c>
      <c r="U482">
        <f ca="1"/>
        <v>0</v>
      </c>
      <c r="V482">
        <f ca="1"/>
        <v>0.99999973071611226</v>
      </c>
      <c r="X482" s="2">
        <f t="shared" ca="1" si="50"/>
        <v>45482</v>
      </c>
      <c r="Y482">
        <f t="shared" ca="1" si="51"/>
        <v>0</v>
      </c>
      <c r="AA482" s="63">
        <f t="shared" ca="1" si="53"/>
        <v>-360.06372869116416</v>
      </c>
      <c r="AB482" s="63">
        <f t="shared" ca="1" si="54"/>
        <v>-360.06372869116416</v>
      </c>
      <c r="AC482" s="3">
        <f t="shared" ca="1" si="55"/>
        <v>0</v>
      </c>
    </row>
    <row r="483" spans="8:29">
      <c r="H483" t="b">
        <f t="shared" ca="1" si="52"/>
        <v>0</v>
      </c>
      <c r="I483" t="b">
        <f t="shared" ca="1" si="49"/>
        <v>0</v>
      </c>
      <c r="J483" s="2">
        <f ca="1"/>
        <v>45483</v>
      </c>
      <c r="K483">
        <f ca="1"/>
        <v>-360.69994099307041</v>
      </c>
      <c r="L483">
        <f ca="1"/>
        <v>0.3892519557211358</v>
      </c>
      <c r="M483">
        <f ca="1"/>
        <v>0.10083757664773429</v>
      </c>
      <c r="N483">
        <f ca="1"/>
        <v>0.10431417667026026</v>
      </c>
      <c r="O483">
        <f ca="1"/>
        <v>0</v>
      </c>
      <c r="P483">
        <f ca="1"/>
        <v>349.21834181779877</v>
      </c>
      <c r="Q483">
        <f ca="1"/>
        <v>298.07758046372783</v>
      </c>
      <c r="R483">
        <f ca="1"/>
        <v>0</v>
      </c>
      <c r="S483">
        <f ca="1"/>
        <v>0.89116613295182201</v>
      </c>
      <c r="T483">
        <f ca="1"/>
        <v>0</v>
      </c>
      <c r="U483">
        <f ca="1"/>
        <v>0</v>
      </c>
      <c r="V483">
        <f ca="1"/>
        <v>0.99999973654842356</v>
      </c>
      <c r="X483" s="2">
        <f t="shared" ca="1" si="50"/>
        <v>45483</v>
      </c>
      <c r="Y483">
        <f t="shared" ca="1" si="51"/>
        <v>0</v>
      </c>
      <c r="AA483" s="63">
        <f t="shared" ca="1" si="53"/>
        <v>-360.31068903734928</v>
      </c>
      <c r="AB483" s="63">
        <f t="shared" ca="1" si="54"/>
        <v>-360.31068903734928</v>
      </c>
      <c r="AC483" s="3">
        <f t="shared" ca="1" si="55"/>
        <v>0</v>
      </c>
    </row>
    <row r="484" spans="8:29">
      <c r="H484" t="b">
        <f t="shared" ca="1" si="52"/>
        <v>0</v>
      </c>
      <c r="I484" t="b">
        <f t="shared" ca="1" si="49"/>
        <v>0</v>
      </c>
      <c r="J484" s="2">
        <f ca="1"/>
        <v>45484</v>
      </c>
      <c r="K484">
        <f ca="1"/>
        <v>-361.0349223789687</v>
      </c>
      <c r="L484">
        <f ca="1"/>
        <v>0.54696050175419941</v>
      </c>
      <c r="M484">
        <f ca="1"/>
        <v>0.10467737164158564</v>
      </c>
      <c r="N484">
        <f ca="1"/>
        <v>0.10730174421431321</v>
      </c>
      <c r="O484">
        <f ca="1"/>
        <v>0</v>
      </c>
      <c r="P484">
        <f ca="1"/>
        <v>349.76530231955297</v>
      </c>
      <c r="Q484">
        <f ca="1"/>
        <v>298.54444214723344</v>
      </c>
      <c r="R484">
        <f ca="1"/>
        <v>0</v>
      </c>
      <c r="S484">
        <f ca="1"/>
        <v>0.89160091606008385</v>
      </c>
      <c r="T484">
        <f ca="1"/>
        <v>0</v>
      </c>
      <c r="U484">
        <f ca="1"/>
        <v>0</v>
      </c>
      <c r="V484">
        <f ca="1"/>
        <v>0.99999974457921148</v>
      </c>
      <c r="X484" s="2">
        <f t="shared" ca="1" si="50"/>
        <v>45484</v>
      </c>
      <c r="Y484">
        <f t="shared" ca="1" si="51"/>
        <v>0</v>
      </c>
      <c r="AA484" s="63">
        <f t="shared" ca="1" si="53"/>
        <v>-360.4879618772145</v>
      </c>
      <c r="AB484" s="63">
        <f t="shared" ca="1" si="54"/>
        <v>-360.4879618772145</v>
      </c>
      <c r="AC484" s="3">
        <f t="shared" ca="1" si="55"/>
        <v>0</v>
      </c>
    </row>
    <row r="485" spans="8:29">
      <c r="H485" t="b">
        <f t="shared" ca="1" si="52"/>
        <v>0</v>
      </c>
      <c r="I485" t="b">
        <f t="shared" ca="1" si="49"/>
        <v>0</v>
      </c>
      <c r="J485" s="2">
        <f ca="1"/>
        <v>45485</v>
      </c>
      <c r="K485">
        <f ca="1"/>
        <v>-361.41457643060522</v>
      </c>
      <c r="L485">
        <f ca="1"/>
        <v>0.59580443036696806</v>
      </c>
      <c r="M485">
        <f ca="1"/>
        <v>0.10735997742722958</v>
      </c>
      <c r="N485">
        <f ca="1"/>
        <v>0.10879040130322734</v>
      </c>
      <c r="O485">
        <f ca="1"/>
        <v>0</v>
      </c>
      <c r="P485">
        <f ca="1"/>
        <v>350.36110674991994</v>
      </c>
      <c r="Q485">
        <f ca="1"/>
        <v>299.05299488277689</v>
      </c>
      <c r="R485">
        <f ca="1"/>
        <v>0</v>
      </c>
      <c r="S485">
        <f ca="1"/>
        <v>0.89522410493131466</v>
      </c>
      <c r="T485">
        <f ca="1"/>
        <v>0</v>
      </c>
      <c r="U485">
        <f ca="1"/>
        <v>0</v>
      </c>
      <c r="V485">
        <f ca="1"/>
        <v>0.99999975311198031</v>
      </c>
      <c r="X485" s="2">
        <f t="shared" ca="1" si="50"/>
        <v>45485</v>
      </c>
      <c r="Y485">
        <f t="shared" ca="1" si="51"/>
        <v>0</v>
      </c>
      <c r="AA485" s="63">
        <f t="shared" ca="1" si="53"/>
        <v>-360.81877200023825</v>
      </c>
      <c r="AB485" s="63">
        <f t="shared" ca="1" si="54"/>
        <v>-360.81877200023825</v>
      </c>
      <c r="AC485" s="3">
        <f t="shared" ca="1" si="55"/>
        <v>0</v>
      </c>
    </row>
    <row r="486" spans="8:29">
      <c r="H486" t="b">
        <f t="shared" ca="1" si="52"/>
        <v>0</v>
      </c>
      <c r="I486" t="b">
        <f t="shared" ca="1" si="49"/>
        <v>0</v>
      </c>
      <c r="J486" s="2">
        <f ca="1"/>
        <v>45486</v>
      </c>
      <c r="K486">
        <f ca="1"/>
        <v>-361.95241372758261</v>
      </c>
      <c r="L486">
        <f ca="1"/>
        <v>0.76097946783511361</v>
      </c>
      <c r="M486">
        <f ca="1"/>
        <v>0.11139130422736798</v>
      </c>
      <c r="N486">
        <f ca="1"/>
        <v>0.11175086663036715</v>
      </c>
      <c r="O486">
        <f ca="1"/>
        <v>0</v>
      </c>
      <c r="P486">
        <f ca="1"/>
        <v>351.12208621775505</v>
      </c>
      <c r="Q486">
        <f ca="1"/>
        <v>299.70253384276998</v>
      </c>
      <c r="R486">
        <f ca="1"/>
        <v>0</v>
      </c>
      <c r="S486">
        <f ca="1"/>
        <v>0.89305019227537674</v>
      </c>
      <c r="T486">
        <f ca="1"/>
        <v>0</v>
      </c>
      <c r="U486">
        <f ca="1"/>
        <v>0</v>
      </c>
      <c r="V486">
        <f ca="1"/>
        <v>0.9999997636906629</v>
      </c>
      <c r="X486" s="2">
        <f t="shared" ca="1" si="50"/>
        <v>45486</v>
      </c>
      <c r="Y486">
        <f t="shared" ca="1" si="51"/>
        <v>0</v>
      </c>
      <c r="AA486" s="63">
        <f t="shared" ca="1" si="53"/>
        <v>-361.1914342597475</v>
      </c>
      <c r="AB486" s="63">
        <f t="shared" ca="1" si="54"/>
        <v>-361.1914342597475</v>
      </c>
      <c r="AC486" s="3">
        <f t="shared" ca="1" si="55"/>
        <v>0</v>
      </c>
    </row>
    <row r="487" spans="8:29">
      <c r="H487" t="b">
        <f t="shared" ca="1" si="52"/>
        <v>0</v>
      </c>
      <c r="I487" t="b">
        <f t="shared" ca="1" si="49"/>
        <v>0</v>
      </c>
      <c r="J487" s="2">
        <f ca="1"/>
        <v>45487</v>
      </c>
      <c r="K487">
        <f ca="1"/>
        <v>-362.29271319876335</v>
      </c>
      <c r="L487">
        <f ca="1"/>
        <v>0.55914577103931151</v>
      </c>
      <c r="M487">
        <f ca="1"/>
        <v>0.11105099730503554</v>
      </c>
      <c r="N487">
        <f ca="1"/>
        <v>0.10779530255356432</v>
      </c>
      <c r="O487">
        <f ca="1"/>
        <v>0</v>
      </c>
      <c r="P487">
        <f ca="1"/>
        <v>351.68123198879437</v>
      </c>
      <c r="Q487">
        <f ca="1"/>
        <v>300.17979634189982</v>
      </c>
      <c r="R487">
        <f ca="1"/>
        <v>0</v>
      </c>
      <c r="S487">
        <f ca="1"/>
        <v>0.8916009172853645</v>
      </c>
      <c r="T487">
        <f ca="1"/>
        <v>0</v>
      </c>
      <c r="U487">
        <f ca="1"/>
        <v>0</v>
      </c>
      <c r="V487">
        <f ca="1"/>
        <v>0.99999977123978867</v>
      </c>
      <c r="X487" s="2">
        <f t="shared" ca="1" si="50"/>
        <v>45487</v>
      </c>
      <c r="Y487">
        <f t="shared" ca="1" si="51"/>
        <v>0</v>
      </c>
      <c r="AA487" s="63">
        <f t="shared" ca="1" si="53"/>
        <v>-361.73356742772404</v>
      </c>
      <c r="AB487" s="63">
        <f t="shared" ca="1" si="54"/>
        <v>-361.73356742772404</v>
      </c>
      <c r="AC487" s="3">
        <f t="shared" ca="1" si="55"/>
        <v>0</v>
      </c>
    </row>
    <row r="488" spans="8:29">
      <c r="H488" t="b">
        <f t="shared" ca="1" si="52"/>
        <v>0</v>
      </c>
      <c r="I488" t="b">
        <f t="shared" ca="1" si="49"/>
        <v>0</v>
      </c>
      <c r="J488" s="2">
        <f ca="1"/>
        <v>45488</v>
      </c>
      <c r="K488">
        <f ca="1"/>
        <v>-362.91695903494912</v>
      </c>
      <c r="L488">
        <f ca="1"/>
        <v>0.8563355402372963</v>
      </c>
      <c r="M488">
        <f ca="1"/>
        <v>0.11667405184994095</v>
      </c>
      <c r="N488">
        <f ca="1"/>
        <v>0.11541565220157983</v>
      </c>
      <c r="O488">
        <f ca="1"/>
        <v>0</v>
      </c>
      <c r="P488">
        <f ca="1"/>
        <v>352.53756752903166</v>
      </c>
      <c r="Q488">
        <f ca="1"/>
        <v>300.91072709590992</v>
      </c>
      <c r="R488">
        <f ca="1"/>
        <v>0</v>
      </c>
      <c r="S488">
        <f ca="1"/>
        <v>0.90334004809269075</v>
      </c>
      <c r="T488">
        <f ca="1"/>
        <v>0</v>
      </c>
      <c r="U488">
        <f ca="1"/>
        <v>0</v>
      </c>
      <c r="V488">
        <f ca="1"/>
        <v>0.99999978244249621</v>
      </c>
      <c r="X488" s="2">
        <f t="shared" ca="1" si="50"/>
        <v>45488</v>
      </c>
      <c r="Y488">
        <f t="shared" ca="1" si="51"/>
        <v>0</v>
      </c>
      <c r="AA488" s="63">
        <f t="shared" ca="1" si="53"/>
        <v>-362.06062349471182</v>
      </c>
      <c r="AB488" s="63">
        <f t="shared" ca="1" si="54"/>
        <v>-362.06062349471182</v>
      </c>
      <c r="AC488" s="3">
        <f t="shared" ca="1" si="55"/>
        <v>0</v>
      </c>
    </row>
    <row r="489" spans="8:29">
      <c r="H489" t="b">
        <f t="shared" ca="1" si="52"/>
        <v>0</v>
      </c>
      <c r="I489" t="b">
        <f t="shared" ca="1" si="49"/>
        <v>0</v>
      </c>
      <c r="J489" s="2">
        <f ca="1"/>
        <v>45489</v>
      </c>
      <c r="K489">
        <f ca="1"/>
        <v>-363.59341070155125</v>
      </c>
      <c r="L489">
        <f ca="1"/>
        <v>0.91573358899148616</v>
      </c>
      <c r="M489">
        <f ca="1"/>
        <v>0.11948337239728346</v>
      </c>
      <c r="N489">
        <f ca="1"/>
        <v>0.11979854999206342</v>
      </c>
      <c r="O489">
        <f ca="1"/>
        <v>0</v>
      </c>
      <c r="P489">
        <f ca="1"/>
        <v>353.45330111802315</v>
      </c>
      <c r="Q489">
        <f ca="1"/>
        <v>301.69235743965152</v>
      </c>
      <c r="R489">
        <f ca="1"/>
        <v>0</v>
      </c>
      <c r="S489">
        <f ca="1"/>
        <v>0.9230501933059837</v>
      </c>
      <c r="T489">
        <f ca="1"/>
        <v>0</v>
      </c>
      <c r="U489">
        <f ca="1"/>
        <v>0</v>
      </c>
      <c r="V489">
        <f ca="1"/>
        <v>0.99999979395403882</v>
      </c>
      <c r="X489" s="2">
        <f t="shared" ca="1" si="50"/>
        <v>45489</v>
      </c>
      <c r="Y489">
        <f t="shared" ca="1" si="51"/>
        <v>0</v>
      </c>
      <c r="AA489" s="63">
        <f t="shared" ca="1" si="53"/>
        <v>-362.67767711255976</v>
      </c>
      <c r="AB489" s="63">
        <f t="shared" ca="1" si="54"/>
        <v>-362.67767711255976</v>
      </c>
      <c r="AC489" s="3">
        <f t="shared" ca="1" si="55"/>
        <v>0</v>
      </c>
    </row>
    <row r="490" spans="8:29">
      <c r="H490" t="b">
        <f t="shared" ca="1" si="52"/>
        <v>0</v>
      </c>
      <c r="I490" t="b">
        <f t="shared" ca="1" si="49"/>
        <v>0</v>
      </c>
      <c r="J490" s="2">
        <f ca="1"/>
        <v>45490</v>
      </c>
      <c r="K490">
        <f ca="1"/>
        <v>-364.17827213019933</v>
      </c>
      <c r="L490">
        <f ca="1"/>
        <v>0.82905182315329284</v>
      </c>
      <c r="M490">
        <f ca="1"/>
        <v>0.12031170483865594</v>
      </c>
      <c r="N490">
        <f ca="1"/>
        <v>0.12387868966650872</v>
      </c>
      <c r="O490">
        <f ca="1"/>
        <v>0</v>
      </c>
      <c r="P490">
        <f ca="1"/>
        <v>354.28235294117644</v>
      </c>
      <c r="Q490">
        <f ca="1"/>
        <v>302.40000000000003</v>
      </c>
      <c r="R490">
        <f ca="1"/>
        <v>0</v>
      </c>
      <c r="S490">
        <f ca="1"/>
        <v>0.96058642519004156</v>
      </c>
      <c r="T490">
        <f ca="1"/>
        <v>0</v>
      </c>
      <c r="U490">
        <f ca="1"/>
        <v>0</v>
      </c>
      <c r="V490">
        <f ca="1"/>
        <v>1</v>
      </c>
      <c r="X490" s="2">
        <f t="shared" ca="1" si="50"/>
        <v>45490</v>
      </c>
      <c r="Y490">
        <f t="shared" ca="1" si="51"/>
        <v>0</v>
      </c>
      <c r="AA490" s="63">
        <f t="shared" ca="1" si="53"/>
        <v>-363.34922030704604</v>
      </c>
      <c r="AB490" s="63">
        <f t="shared" ca="1" si="54"/>
        <v>-363.34922030704604</v>
      </c>
      <c r="AC490" s="3">
        <f t="shared" ca="1" si="55"/>
        <v>0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ca="1" si="52"/>
        <v>#N/A</v>
      </c>
      <c r="I497" t="e">
        <f t="shared" ca="1" si="49"/>
        <v>#N/A</v>
      </c>
      <c r="J497" s="2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ca="1" si="50"/>
        <v>0</v>
      </c>
      <c r="Y497">
        <f t="shared" ca="1" si="51"/>
        <v>0</v>
      </c>
      <c r="AA497" s="63" t="e">
        <f t="shared" ca="1" si="53"/>
        <v>#N/A</v>
      </c>
      <c r="AB497" s="63" t="e">
        <f t="shared" ca="1" si="54"/>
        <v>#N/A</v>
      </c>
      <c r="AC497" s="3" t="e">
        <f t="shared" ca="1" si="55"/>
        <v>#N/A</v>
      </c>
    </row>
    <row r="498" spans="8:29">
      <c r="H498" t="e">
        <f t="shared" ca="1" si="52"/>
        <v>#N/A</v>
      </c>
      <c r="I498" t="e">
        <f t="shared" ca="1" si="49"/>
        <v>#N/A</v>
      </c>
      <c r="J498" s="2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0"/>
        <v>0</v>
      </c>
      <c r="Y498">
        <f t="shared" ca="1" si="51"/>
        <v>0</v>
      </c>
      <c r="AA498" s="63" t="e">
        <f t="shared" ca="1" si="53"/>
        <v>#N/A</v>
      </c>
      <c r="AB498" s="63" t="e">
        <f t="shared" ca="1" si="54"/>
        <v>#N/A</v>
      </c>
      <c r="AC498" s="3" t="e">
        <f t="shared" ca="1" si="55"/>
        <v>#N/A</v>
      </c>
    </row>
    <row r="499" spans="8:29">
      <c r="H499" t="e">
        <f t="shared" ca="1" si="52"/>
        <v>#N/A</v>
      </c>
      <c r="I499" t="e">
        <f t="shared" ca="1" si="49"/>
        <v>#N/A</v>
      </c>
      <c r="J499" s="2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0"/>
        <v>0</v>
      </c>
      <c r="Y499">
        <f t="shared" ca="1" si="51"/>
        <v>0</v>
      </c>
      <c r="AA499" s="63" t="e">
        <f t="shared" ca="1" si="53"/>
        <v>#N/A</v>
      </c>
      <c r="AB499" s="63" t="e">
        <f t="shared" ca="1" si="54"/>
        <v>#N/A</v>
      </c>
      <c r="AC499" s="3" t="e">
        <f t="shared" ca="1" si="55"/>
        <v>#N/A</v>
      </c>
    </row>
    <row r="500" spans="8:29">
      <c r="H500" t="e">
        <f t="shared" ca="1" si="52"/>
        <v>#N/A</v>
      </c>
      <c r="I500" t="e">
        <f t="shared" ca="1" si="49"/>
        <v>#N/A</v>
      </c>
      <c r="J500" s="2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0"/>
        <v>0</v>
      </c>
      <c r="Y500">
        <f t="shared" ca="1" si="51"/>
        <v>0</v>
      </c>
      <c r="AA500" s="63" t="e">
        <f t="shared" ca="1" si="53"/>
        <v>#N/A</v>
      </c>
      <c r="AB500" s="63" t="e">
        <f t="shared" ca="1" si="54"/>
        <v>#N/A</v>
      </c>
      <c r="AC500" s="3" t="e">
        <f t="shared" ca="1" si="55"/>
        <v>#N/A</v>
      </c>
    </row>
    <row r="501" spans="8:29">
      <c r="H501" t="e">
        <f t="shared" ref="H501:H564" ca="1" si="56">IF(J501&lt;$J$8,TRUE,FALSE)</f>
        <v>#N/A</v>
      </c>
      <c r="I501" t="e">
        <f t="shared" ref="I501:I564" ca="1" si="57">AND(IF(J501&gt;($J$7-1),TRUE,FALSE),IF(J501&lt;($J$8+1),TRUE,FALSE))</f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ref="X501:X564" ca="1" si="58">IFERROR(J501,$X$9)</f>
        <v>0</v>
      </c>
      <c r="Y501">
        <f t="shared" ref="Y501:Y564" ca="1" si="59">IFERROR(O501,0)</f>
        <v>0</v>
      </c>
      <c r="AA501" s="63" t="e">
        <f t="shared" ref="AA501:AA564" ca="1" si="60">K500+M501+N501+O501</f>
        <v>#N/A</v>
      </c>
      <c r="AB501" s="63" t="e">
        <f t="shared" ref="AB501:AB564" ca="1" si="61">K501+L501+R501</f>
        <v>#N/A</v>
      </c>
      <c r="AC501" s="3" t="e">
        <f t="shared" ref="AC501:AC564" ca="1" si="62">AB501-AA501</f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ca="1" si="56"/>
        <v>#N/A</v>
      </c>
      <c r="I561" t="e">
        <f t="shared" ca="1" si="57"/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ca="1" si="58"/>
        <v>0</v>
      </c>
      <c r="Y561">
        <f t="shared" ca="1" si="59"/>
        <v>0</v>
      </c>
      <c r="AA561" s="63" t="e">
        <f t="shared" ca="1" si="60"/>
        <v>#N/A</v>
      </c>
      <c r="AB561" s="63" t="e">
        <f t="shared" ca="1" si="61"/>
        <v>#N/A</v>
      </c>
      <c r="AC561" s="3" t="e">
        <f t="shared" ca="1" si="62"/>
        <v>#N/A</v>
      </c>
    </row>
    <row r="562" spans="8:29">
      <c r="H562" t="e">
        <f t="shared" ca="1" si="56"/>
        <v>#N/A</v>
      </c>
      <c r="I562" t="e">
        <f t="shared" ca="1" si="57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58"/>
        <v>0</v>
      </c>
      <c r="Y562">
        <f t="shared" ca="1" si="59"/>
        <v>0</v>
      </c>
      <c r="AA562" s="63" t="e">
        <f t="shared" ca="1" si="60"/>
        <v>#N/A</v>
      </c>
      <c r="AB562" s="63" t="e">
        <f t="shared" ca="1" si="61"/>
        <v>#N/A</v>
      </c>
      <c r="AC562" s="3" t="e">
        <f t="shared" ca="1" si="62"/>
        <v>#N/A</v>
      </c>
    </row>
    <row r="563" spans="8:29">
      <c r="H563" t="e">
        <f t="shared" ca="1" si="56"/>
        <v>#N/A</v>
      </c>
      <c r="I563" t="e">
        <f t="shared" ca="1" si="57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58"/>
        <v>0</v>
      </c>
      <c r="Y563">
        <f t="shared" ca="1" si="59"/>
        <v>0</v>
      </c>
      <c r="AA563" s="63" t="e">
        <f t="shared" ca="1" si="60"/>
        <v>#N/A</v>
      </c>
      <c r="AB563" s="63" t="e">
        <f t="shared" ca="1" si="61"/>
        <v>#N/A</v>
      </c>
      <c r="AC563" s="3" t="e">
        <f t="shared" ca="1" si="62"/>
        <v>#N/A</v>
      </c>
    </row>
    <row r="564" spans="8:29">
      <c r="H564" t="e">
        <f t="shared" ca="1" si="56"/>
        <v>#N/A</v>
      </c>
      <c r="I564" t="e">
        <f t="shared" ca="1" si="57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58"/>
        <v>0</v>
      </c>
      <c r="Y564">
        <f t="shared" ca="1" si="59"/>
        <v>0</v>
      </c>
      <c r="AA564" s="63" t="e">
        <f t="shared" ca="1" si="60"/>
        <v>#N/A</v>
      </c>
      <c r="AB564" s="63" t="e">
        <f t="shared" ca="1" si="61"/>
        <v>#N/A</v>
      </c>
      <c r="AC564" s="3" t="e">
        <f t="shared" ca="1" si="62"/>
        <v>#N/A</v>
      </c>
    </row>
    <row r="565" spans="8:29">
      <c r="H565" t="e">
        <f t="shared" ref="H565:H628" ca="1" si="63">IF(J565&lt;$J$8,TRUE,FALSE)</f>
        <v>#N/A</v>
      </c>
      <c r="I565" t="e">
        <f t="shared" ref="I565:I628" ca="1" si="64">AND(IF(J565&gt;($J$7-1),TRUE,FALSE),IF(J565&lt;($J$8+1),TRUE,FALSE))</f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ref="X565:X628" ca="1" si="65">IFERROR(J565,$X$9)</f>
        <v>0</v>
      </c>
      <c r="Y565">
        <f t="shared" ref="Y565:Y628" ca="1" si="66">IFERROR(O565,0)</f>
        <v>0</v>
      </c>
      <c r="AA565" s="63" t="e">
        <f t="shared" ref="AA565:AA628" ca="1" si="67">K564+M565+N565+O565</f>
        <v>#N/A</v>
      </c>
      <c r="AB565" s="63" t="e">
        <f t="shared" ref="AB565:AB628" ca="1" si="68">K565+L565+R565</f>
        <v>#N/A</v>
      </c>
      <c r="AC565" s="3" t="e">
        <f t="shared" ref="AC565:AC628" ca="1" si="69">AB565-AA565</f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ca="1" si="63"/>
        <v>#N/A</v>
      </c>
      <c r="I625" t="e">
        <f t="shared" ca="1" si="64"/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ca="1" si="65"/>
        <v>0</v>
      </c>
      <c r="Y625">
        <f t="shared" ca="1" si="66"/>
        <v>0</v>
      </c>
      <c r="AA625" s="63" t="e">
        <f t="shared" ca="1" si="67"/>
        <v>#N/A</v>
      </c>
      <c r="AB625" s="63" t="e">
        <f t="shared" ca="1" si="68"/>
        <v>#N/A</v>
      </c>
      <c r="AC625" s="3" t="e">
        <f t="shared" ca="1" si="69"/>
        <v>#N/A</v>
      </c>
    </row>
    <row r="626" spans="8:29">
      <c r="H626" t="e">
        <f t="shared" ca="1" si="63"/>
        <v>#N/A</v>
      </c>
      <c r="I626" t="e">
        <f t="shared" ca="1" si="64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65"/>
        <v>0</v>
      </c>
      <c r="Y626">
        <f t="shared" ca="1" si="66"/>
        <v>0</v>
      </c>
      <c r="AA626" s="63" t="e">
        <f t="shared" ca="1" si="67"/>
        <v>#N/A</v>
      </c>
      <c r="AB626" s="63" t="e">
        <f t="shared" ca="1" si="68"/>
        <v>#N/A</v>
      </c>
      <c r="AC626" s="3" t="e">
        <f t="shared" ca="1" si="69"/>
        <v>#N/A</v>
      </c>
    </row>
    <row r="627" spans="8:29">
      <c r="H627" t="e">
        <f t="shared" ca="1" si="63"/>
        <v>#N/A</v>
      </c>
      <c r="I627" t="e">
        <f t="shared" ca="1" si="64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65"/>
        <v>0</v>
      </c>
      <c r="Y627">
        <f t="shared" ca="1" si="66"/>
        <v>0</v>
      </c>
      <c r="AA627" s="63" t="e">
        <f t="shared" ca="1" si="67"/>
        <v>#N/A</v>
      </c>
      <c r="AB627" s="63" t="e">
        <f t="shared" ca="1" si="68"/>
        <v>#N/A</v>
      </c>
      <c r="AC627" s="3" t="e">
        <f t="shared" ca="1" si="69"/>
        <v>#N/A</v>
      </c>
    </row>
    <row r="628" spans="8:29">
      <c r="H628" t="e">
        <f t="shared" ca="1" si="63"/>
        <v>#N/A</v>
      </c>
      <c r="I628" t="e">
        <f t="shared" ca="1" si="64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65"/>
        <v>0</v>
      </c>
      <c r="Y628">
        <f t="shared" ca="1" si="66"/>
        <v>0</v>
      </c>
      <c r="AA628" s="63" t="e">
        <f t="shared" ca="1" si="67"/>
        <v>#N/A</v>
      </c>
      <c r="AB628" s="63" t="e">
        <f t="shared" ca="1" si="68"/>
        <v>#N/A</v>
      </c>
      <c r="AC628" s="3" t="e">
        <f t="shared" ca="1" si="69"/>
        <v>#N/A</v>
      </c>
    </row>
    <row r="629" spans="8:29">
      <c r="H629" t="e">
        <f t="shared" ref="H629:H692" ca="1" si="70">IF(J629&lt;$J$8,TRUE,FALSE)</f>
        <v>#N/A</v>
      </c>
      <c r="I629" t="e">
        <f t="shared" ref="I629:I692" ca="1" si="71">AND(IF(J629&gt;($J$7-1),TRUE,FALSE),IF(J629&lt;($J$8+1),TRUE,FALSE))</f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ref="X629:X692" ca="1" si="72">IFERROR(J629,$X$9)</f>
        <v>0</v>
      </c>
      <c r="Y629">
        <f t="shared" ref="Y629:Y692" ca="1" si="73">IFERROR(O629,0)</f>
        <v>0</v>
      </c>
      <c r="AA629" s="63" t="e">
        <f t="shared" ref="AA629:AA692" ca="1" si="74">K628+M629+N629+O629</f>
        <v>#N/A</v>
      </c>
      <c r="AB629" s="63" t="e">
        <f t="shared" ref="AB629:AB692" ca="1" si="75">K629+L629+R629</f>
        <v>#N/A</v>
      </c>
      <c r="AC629" s="3" t="e">
        <f t="shared" ref="AC629:AC692" ca="1" si="76">AB629-AA629</f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ca="1" si="70"/>
        <v>#N/A</v>
      </c>
      <c r="I689" t="e">
        <f t="shared" ca="1" si="71"/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ca="1" si="72"/>
        <v>0</v>
      </c>
      <c r="Y689">
        <f t="shared" ca="1" si="73"/>
        <v>0</v>
      </c>
      <c r="AA689" s="63" t="e">
        <f t="shared" ca="1" si="74"/>
        <v>#N/A</v>
      </c>
      <c r="AB689" s="63" t="e">
        <f t="shared" ca="1" si="75"/>
        <v>#N/A</v>
      </c>
      <c r="AC689" s="3" t="e">
        <f t="shared" ca="1" si="76"/>
        <v>#N/A</v>
      </c>
    </row>
    <row r="690" spans="8:29">
      <c r="H690" t="e">
        <f t="shared" ca="1" si="70"/>
        <v>#N/A</v>
      </c>
      <c r="I690" t="e">
        <f t="shared" ca="1" si="71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2"/>
        <v>0</v>
      </c>
      <c r="Y690">
        <f t="shared" ca="1" si="73"/>
        <v>0</v>
      </c>
      <c r="AA690" s="63" t="e">
        <f t="shared" ca="1" si="74"/>
        <v>#N/A</v>
      </c>
      <c r="AB690" s="63" t="e">
        <f t="shared" ca="1" si="75"/>
        <v>#N/A</v>
      </c>
      <c r="AC690" s="3" t="e">
        <f t="shared" ca="1" si="76"/>
        <v>#N/A</v>
      </c>
    </row>
    <row r="691" spans="8:29">
      <c r="H691" t="e">
        <f t="shared" ca="1" si="70"/>
        <v>#N/A</v>
      </c>
      <c r="I691" t="e">
        <f t="shared" ca="1" si="71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2"/>
        <v>0</v>
      </c>
      <c r="Y691">
        <f t="shared" ca="1" si="73"/>
        <v>0</v>
      </c>
      <c r="AA691" s="63" t="e">
        <f t="shared" ca="1" si="74"/>
        <v>#N/A</v>
      </c>
      <c r="AB691" s="63" t="e">
        <f t="shared" ca="1" si="75"/>
        <v>#N/A</v>
      </c>
      <c r="AC691" s="3" t="e">
        <f t="shared" ca="1" si="76"/>
        <v>#N/A</v>
      </c>
    </row>
    <row r="692" spans="8:29">
      <c r="H692" t="e">
        <f t="shared" ca="1" si="70"/>
        <v>#N/A</v>
      </c>
      <c r="I692" t="e">
        <f t="shared" ca="1" si="71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2"/>
        <v>0</v>
      </c>
      <c r="Y692">
        <f t="shared" ca="1" si="73"/>
        <v>0</v>
      </c>
      <c r="AA692" s="63" t="e">
        <f t="shared" ca="1" si="74"/>
        <v>#N/A</v>
      </c>
      <c r="AB692" s="63" t="e">
        <f t="shared" ca="1" si="75"/>
        <v>#N/A</v>
      </c>
      <c r="AC692" s="3" t="e">
        <f t="shared" ca="1" si="76"/>
        <v>#N/A</v>
      </c>
    </row>
    <row r="693" spans="8:29">
      <c r="H693" t="e">
        <f t="shared" ref="H693:H756" ca="1" si="77">IF(J693&lt;$J$8,TRUE,FALSE)</f>
        <v>#N/A</v>
      </c>
      <c r="I693" t="e">
        <f t="shared" ref="I693:I756" ca="1" si="78">AND(IF(J693&gt;($J$7-1),TRUE,FALSE),IF(J693&lt;($J$8+1),TRUE,FALSE))</f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ref="X693:X756" ca="1" si="79">IFERROR(J693,$X$9)</f>
        <v>0</v>
      </c>
      <c r="Y693">
        <f t="shared" ref="Y693:Y756" ca="1" si="80">IFERROR(O693,0)</f>
        <v>0</v>
      </c>
      <c r="AA693" s="63" t="e">
        <f t="shared" ref="AA693:AA756" ca="1" si="81">K692+M693+N693+O693</f>
        <v>#N/A</v>
      </c>
      <c r="AB693" s="63" t="e">
        <f t="shared" ref="AB693:AB756" ca="1" si="82">K693+L693+R693</f>
        <v>#N/A</v>
      </c>
      <c r="AC693" s="3" t="e">
        <f t="shared" ref="AC693:AC756" ca="1" si="83">AB693-AA693</f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ca="1" si="77"/>
        <v>#N/A</v>
      </c>
      <c r="I753" t="e">
        <f t="shared" ca="1" si="78"/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ca="1" si="79"/>
        <v>0</v>
      </c>
      <c r="Y753">
        <f t="shared" ca="1" si="80"/>
        <v>0</v>
      </c>
      <c r="AA753" s="63" t="e">
        <f t="shared" ca="1" si="81"/>
        <v>#N/A</v>
      </c>
      <c r="AB753" s="63" t="e">
        <f t="shared" ca="1" si="82"/>
        <v>#N/A</v>
      </c>
      <c r="AC753" s="3" t="e">
        <f t="shared" ca="1" si="83"/>
        <v>#N/A</v>
      </c>
    </row>
    <row r="754" spans="8:29">
      <c r="H754" t="e">
        <f t="shared" ca="1" si="77"/>
        <v>#N/A</v>
      </c>
      <c r="I754" t="e">
        <f t="shared" ca="1" si="78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79"/>
        <v>0</v>
      </c>
      <c r="Y754">
        <f t="shared" ca="1" si="80"/>
        <v>0</v>
      </c>
      <c r="AA754" s="63" t="e">
        <f t="shared" ca="1" si="81"/>
        <v>#N/A</v>
      </c>
      <c r="AB754" s="63" t="e">
        <f t="shared" ca="1" si="82"/>
        <v>#N/A</v>
      </c>
      <c r="AC754" s="3" t="e">
        <f t="shared" ca="1" si="83"/>
        <v>#N/A</v>
      </c>
    </row>
    <row r="755" spans="8:29">
      <c r="H755" t="e">
        <f t="shared" ca="1" si="77"/>
        <v>#N/A</v>
      </c>
      <c r="I755" t="e">
        <f t="shared" ca="1" si="78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79"/>
        <v>0</v>
      </c>
      <c r="Y755">
        <f t="shared" ca="1" si="80"/>
        <v>0</v>
      </c>
      <c r="AA755" s="63" t="e">
        <f t="shared" ca="1" si="81"/>
        <v>#N/A</v>
      </c>
      <c r="AB755" s="63" t="e">
        <f t="shared" ca="1" si="82"/>
        <v>#N/A</v>
      </c>
      <c r="AC755" s="3" t="e">
        <f t="shared" ca="1" si="83"/>
        <v>#N/A</v>
      </c>
    </row>
    <row r="756" spans="8:29">
      <c r="H756" t="e">
        <f t="shared" ca="1" si="77"/>
        <v>#N/A</v>
      </c>
      <c r="I756" t="e">
        <f t="shared" ca="1" si="78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79"/>
        <v>0</v>
      </c>
      <c r="Y756">
        <f t="shared" ca="1" si="80"/>
        <v>0</v>
      </c>
      <c r="AA756" s="63" t="e">
        <f t="shared" ca="1" si="81"/>
        <v>#N/A</v>
      </c>
      <c r="AB756" s="63" t="e">
        <f t="shared" ca="1" si="82"/>
        <v>#N/A</v>
      </c>
      <c r="AC756" s="3" t="e">
        <f t="shared" ca="1" si="83"/>
        <v>#N/A</v>
      </c>
    </row>
    <row r="757" spans="8:29">
      <c r="H757" t="e">
        <f t="shared" ref="H757:H820" ca="1" si="84">IF(J757&lt;$J$8,TRUE,FALSE)</f>
        <v>#N/A</v>
      </c>
      <c r="I757" t="e">
        <f t="shared" ref="I757:I820" ca="1" si="85">AND(IF(J757&gt;($J$7-1),TRUE,FALSE),IF(J757&lt;($J$8+1),TRUE,FALSE))</f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ref="X757:X820" ca="1" si="86">IFERROR(J757,$X$9)</f>
        <v>0</v>
      </c>
      <c r="Y757">
        <f t="shared" ref="Y757:Y820" ca="1" si="87">IFERROR(O757,0)</f>
        <v>0</v>
      </c>
      <c r="AA757" s="63" t="e">
        <f t="shared" ref="AA757:AA820" ca="1" si="88">K756+M757+N757+O757</f>
        <v>#N/A</v>
      </c>
      <c r="AB757" s="63" t="e">
        <f t="shared" ref="AB757:AB820" ca="1" si="89">K757+L757+R757</f>
        <v>#N/A</v>
      </c>
      <c r="AC757" s="3" t="e">
        <f t="shared" ref="AC757:AC820" ca="1" si="90">AB757-AA757</f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ca="1" si="84"/>
        <v>#N/A</v>
      </c>
      <c r="I817" t="e">
        <f t="shared" ca="1" si="85"/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ca="1" si="86"/>
        <v>0</v>
      </c>
      <c r="Y817">
        <f t="shared" ca="1" si="87"/>
        <v>0</v>
      </c>
      <c r="AA817" s="63" t="e">
        <f t="shared" ca="1" si="88"/>
        <v>#N/A</v>
      </c>
      <c r="AB817" s="63" t="e">
        <f t="shared" ca="1" si="89"/>
        <v>#N/A</v>
      </c>
      <c r="AC817" s="3" t="e">
        <f t="shared" ca="1" si="90"/>
        <v>#N/A</v>
      </c>
    </row>
    <row r="818" spans="8:29">
      <c r="H818" t="e">
        <f t="shared" ca="1" si="84"/>
        <v>#N/A</v>
      </c>
      <c r="I818" t="e">
        <f t="shared" ca="1" si="85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86"/>
        <v>0</v>
      </c>
      <c r="Y818">
        <f t="shared" ca="1" si="87"/>
        <v>0</v>
      </c>
      <c r="AA818" s="63" t="e">
        <f t="shared" ca="1" si="88"/>
        <v>#N/A</v>
      </c>
      <c r="AB818" s="63" t="e">
        <f t="shared" ca="1" si="89"/>
        <v>#N/A</v>
      </c>
      <c r="AC818" s="3" t="e">
        <f t="shared" ca="1" si="90"/>
        <v>#N/A</v>
      </c>
    </row>
    <row r="819" spans="8:29">
      <c r="H819" t="e">
        <f t="shared" ca="1" si="84"/>
        <v>#N/A</v>
      </c>
      <c r="I819" t="e">
        <f t="shared" ca="1" si="85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86"/>
        <v>0</v>
      </c>
      <c r="Y819">
        <f t="shared" ca="1" si="87"/>
        <v>0</v>
      </c>
      <c r="AA819" s="63" t="e">
        <f t="shared" ca="1" si="88"/>
        <v>#N/A</v>
      </c>
      <c r="AB819" s="63" t="e">
        <f t="shared" ca="1" si="89"/>
        <v>#N/A</v>
      </c>
      <c r="AC819" s="3" t="e">
        <f t="shared" ca="1" si="90"/>
        <v>#N/A</v>
      </c>
    </row>
    <row r="820" spans="8:29">
      <c r="H820" t="e">
        <f t="shared" ca="1" si="84"/>
        <v>#N/A</v>
      </c>
      <c r="I820" t="e">
        <f t="shared" ca="1" si="85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86"/>
        <v>0</v>
      </c>
      <c r="Y820">
        <f t="shared" ca="1" si="87"/>
        <v>0</v>
      </c>
      <c r="AA820" s="63" t="e">
        <f t="shared" ca="1" si="88"/>
        <v>#N/A</v>
      </c>
      <c r="AB820" s="63" t="e">
        <f t="shared" ca="1" si="89"/>
        <v>#N/A</v>
      </c>
      <c r="AC820" s="3" t="e">
        <f t="shared" ca="1" si="90"/>
        <v>#N/A</v>
      </c>
    </row>
    <row r="821" spans="8:29">
      <c r="H821" t="e">
        <f t="shared" ref="H821:H884" ca="1" si="91">IF(J821&lt;$J$8,TRUE,FALSE)</f>
        <v>#N/A</v>
      </c>
      <c r="I821" t="e">
        <f t="shared" ref="I821:I884" ca="1" si="92">AND(IF(J821&gt;($J$7-1),TRUE,FALSE),IF(J821&lt;($J$8+1),TRUE,FALSE))</f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ref="X821:X884" ca="1" si="93">IFERROR(J821,$X$9)</f>
        <v>0</v>
      </c>
      <c r="Y821">
        <f t="shared" ref="Y821:Y884" ca="1" si="94">IFERROR(O821,0)</f>
        <v>0</v>
      </c>
      <c r="AA821" s="63" t="e">
        <f t="shared" ref="AA821:AA884" ca="1" si="95">K820+M821+N821+O821</f>
        <v>#N/A</v>
      </c>
      <c r="AB821" s="63" t="e">
        <f t="shared" ref="AB821:AB884" ca="1" si="96">K821+L821+R821</f>
        <v>#N/A</v>
      </c>
      <c r="AC821" s="3" t="e">
        <f t="shared" ref="AC821:AC884" ca="1" si="97">AB821-AA821</f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ca="1" si="91"/>
        <v>#N/A</v>
      </c>
      <c r="I881" t="e">
        <f t="shared" ca="1" si="92"/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ca="1" si="93"/>
        <v>0</v>
      </c>
      <c r="Y881">
        <f t="shared" ca="1" si="94"/>
        <v>0</v>
      </c>
      <c r="AA881" s="63" t="e">
        <f t="shared" ca="1" si="95"/>
        <v>#N/A</v>
      </c>
      <c r="AB881" s="63" t="e">
        <f t="shared" ca="1" si="96"/>
        <v>#N/A</v>
      </c>
      <c r="AC881" s="3" t="e">
        <f t="shared" ca="1" si="97"/>
        <v>#N/A</v>
      </c>
    </row>
    <row r="882" spans="8:29">
      <c r="H882" t="e">
        <f t="shared" ca="1" si="91"/>
        <v>#N/A</v>
      </c>
      <c r="I882" t="e">
        <f t="shared" ca="1" si="92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93"/>
        <v>0</v>
      </c>
      <c r="Y882">
        <f t="shared" ca="1" si="94"/>
        <v>0</v>
      </c>
      <c r="AA882" s="63" t="e">
        <f t="shared" ca="1" si="95"/>
        <v>#N/A</v>
      </c>
      <c r="AB882" s="63" t="e">
        <f t="shared" ca="1" si="96"/>
        <v>#N/A</v>
      </c>
      <c r="AC882" s="3" t="e">
        <f t="shared" ca="1" si="97"/>
        <v>#N/A</v>
      </c>
    </row>
    <row r="883" spans="8:29">
      <c r="H883" t="e">
        <f t="shared" ca="1" si="91"/>
        <v>#N/A</v>
      </c>
      <c r="I883" t="e">
        <f t="shared" ca="1" si="92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93"/>
        <v>0</v>
      </c>
      <c r="Y883">
        <f t="shared" ca="1" si="94"/>
        <v>0</v>
      </c>
      <c r="AA883" s="63" t="e">
        <f t="shared" ca="1" si="95"/>
        <v>#N/A</v>
      </c>
      <c r="AB883" s="63" t="e">
        <f t="shared" ca="1" si="96"/>
        <v>#N/A</v>
      </c>
      <c r="AC883" s="3" t="e">
        <f t="shared" ca="1" si="97"/>
        <v>#N/A</v>
      </c>
    </row>
    <row r="884" spans="8:29">
      <c r="H884" t="e">
        <f t="shared" ca="1" si="91"/>
        <v>#N/A</v>
      </c>
      <c r="I884" t="e">
        <f t="shared" ca="1" si="92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93"/>
        <v>0</v>
      </c>
      <c r="Y884">
        <f t="shared" ca="1" si="94"/>
        <v>0</v>
      </c>
      <c r="AA884" s="63" t="e">
        <f t="shared" ca="1" si="95"/>
        <v>#N/A</v>
      </c>
      <c r="AB884" s="63" t="e">
        <f t="shared" ca="1" si="96"/>
        <v>#N/A</v>
      </c>
      <c r="AC884" s="3" t="e">
        <f t="shared" ca="1" si="97"/>
        <v>#N/A</v>
      </c>
    </row>
    <row r="885" spans="8:29">
      <c r="H885" t="e">
        <f t="shared" ref="H885:H948" ca="1" si="98">IF(J885&lt;$J$8,TRUE,FALSE)</f>
        <v>#N/A</v>
      </c>
      <c r="I885" t="e">
        <f t="shared" ref="I885:I948" ca="1" si="99">AND(IF(J885&gt;($J$7-1),TRUE,FALSE),IF(J885&lt;($J$8+1),TRUE,FALSE))</f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ref="X885:X948" ca="1" si="100">IFERROR(J885,$X$9)</f>
        <v>0</v>
      </c>
      <c r="Y885">
        <f t="shared" ref="Y885:Y948" ca="1" si="101">IFERROR(O885,0)</f>
        <v>0</v>
      </c>
      <c r="AA885" s="63" t="e">
        <f t="shared" ref="AA885:AA948" ca="1" si="102">K884+M885+N885+O885</f>
        <v>#N/A</v>
      </c>
      <c r="AB885" s="63" t="e">
        <f t="shared" ref="AB885:AB948" ca="1" si="103">K885+L885+R885</f>
        <v>#N/A</v>
      </c>
      <c r="AC885" s="3" t="e">
        <f t="shared" ref="AC885:AC948" ca="1" si="104">AB885-AA885</f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ca="1" si="98"/>
        <v>#N/A</v>
      </c>
      <c r="I945" t="e">
        <f t="shared" ca="1" si="99"/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ca="1" si="100"/>
        <v>0</v>
      </c>
      <c r="Y945">
        <f t="shared" ca="1" si="101"/>
        <v>0</v>
      </c>
      <c r="AA945" s="63" t="e">
        <f t="shared" ca="1" si="102"/>
        <v>#N/A</v>
      </c>
      <c r="AB945" s="63" t="e">
        <f t="shared" ca="1" si="103"/>
        <v>#N/A</v>
      </c>
      <c r="AC945" s="3" t="e">
        <f t="shared" ca="1" si="104"/>
        <v>#N/A</v>
      </c>
    </row>
    <row r="946" spans="8:29">
      <c r="H946" t="e">
        <f t="shared" ca="1" si="98"/>
        <v>#N/A</v>
      </c>
      <c r="I946" t="e">
        <f t="shared" ca="1" si="99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0"/>
        <v>0</v>
      </c>
      <c r="Y946">
        <f t="shared" ca="1" si="101"/>
        <v>0</v>
      </c>
      <c r="AA946" s="63" t="e">
        <f t="shared" ca="1" si="102"/>
        <v>#N/A</v>
      </c>
      <c r="AB946" s="63" t="e">
        <f t="shared" ca="1" si="103"/>
        <v>#N/A</v>
      </c>
      <c r="AC946" s="3" t="e">
        <f t="shared" ca="1" si="104"/>
        <v>#N/A</v>
      </c>
    </row>
    <row r="947" spans="8:29">
      <c r="H947" t="e">
        <f t="shared" ca="1" si="98"/>
        <v>#N/A</v>
      </c>
      <c r="I947" t="e">
        <f t="shared" ca="1" si="99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0"/>
        <v>0</v>
      </c>
      <c r="Y947">
        <f t="shared" ca="1" si="101"/>
        <v>0</v>
      </c>
      <c r="AA947" s="63" t="e">
        <f t="shared" ca="1" si="102"/>
        <v>#N/A</v>
      </c>
      <c r="AB947" s="63" t="e">
        <f t="shared" ca="1" si="103"/>
        <v>#N/A</v>
      </c>
      <c r="AC947" s="3" t="e">
        <f t="shared" ca="1" si="104"/>
        <v>#N/A</v>
      </c>
    </row>
    <row r="948" spans="8:29">
      <c r="H948" t="e">
        <f t="shared" ca="1" si="98"/>
        <v>#N/A</v>
      </c>
      <c r="I948" t="e">
        <f t="shared" ca="1" si="99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0"/>
        <v>0</v>
      </c>
      <c r="Y948">
        <f t="shared" ca="1" si="101"/>
        <v>0</v>
      </c>
      <c r="AA948" s="63" t="e">
        <f t="shared" ca="1" si="102"/>
        <v>#N/A</v>
      </c>
      <c r="AB948" s="63" t="e">
        <f t="shared" ca="1" si="103"/>
        <v>#N/A</v>
      </c>
      <c r="AC948" s="3" t="e">
        <f t="shared" ca="1" si="104"/>
        <v>#N/A</v>
      </c>
    </row>
    <row r="949" spans="8:29">
      <c r="H949" t="e">
        <f t="shared" ref="H949:H1004" ca="1" si="105">IF(J949&lt;$J$8,TRUE,FALSE)</f>
        <v>#N/A</v>
      </c>
      <c r="I949" t="e">
        <f t="shared" ref="I949:I1004" ca="1" si="106">AND(IF(J949&gt;($J$7-1),TRUE,FALSE),IF(J949&lt;($J$8+1),TRUE,FALSE))</f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ref="X949:X1004" ca="1" si="107">IFERROR(J949,$X$9)</f>
        <v>0</v>
      </c>
      <c r="Y949">
        <f t="shared" ref="Y949:Y1004" ca="1" si="108">IFERROR(O949,0)</f>
        <v>0</v>
      </c>
      <c r="AA949" s="63" t="e">
        <f t="shared" ref="AA949:AA1004" ca="1" si="109">K948+M949+N949+O949</f>
        <v>#N/A</v>
      </c>
      <c r="AB949" s="63" t="e">
        <f t="shared" ref="AB949:AB1004" ca="1" si="110">K949+L949+R949</f>
        <v>#N/A</v>
      </c>
      <c r="AC949" s="3" t="e">
        <f t="shared" ref="AC949:AC1004" ca="1" si="111">AB949-AA949</f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  <row r="1001" spans="8:29">
      <c r="H1001" t="e">
        <f t="shared" ca="1" si="105"/>
        <v>#N/A</v>
      </c>
      <c r="I1001" t="e">
        <f t="shared" ca="1" si="106"/>
        <v>#N/A</v>
      </c>
      <c r="J1001" t="e">
        <f ca="1"/>
        <v>#N/A</v>
      </c>
      <c r="K1001" t="e">
        <f ca="1"/>
        <v>#N/A</v>
      </c>
      <c r="L1001" t="e">
        <f ca="1"/>
        <v>#N/A</v>
      </c>
      <c r="M1001" t="e">
        <f ca="1"/>
        <v>#N/A</v>
      </c>
      <c r="N1001" t="e">
        <f ca="1"/>
        <v>#N/A</v>
      </c>
      <c r="O1001" t="e">
        <f ca="1"/>
        <v>#N/A</v>
      </c>
      <c r="P1001" t="e">
        <f ca="1"/>
        <v>#N/A</v>
      </c>
      <c r="Q1001" t="e">
        <f ca="1"/>
        <v>#N/A</v>
      </c>
      <c r="R1001" t="e">
        <f ca="1"/>
        <v>#N/A</v>
      </c>
      <c r="S1001" t="e">
        <f ca="1"/>
        <v>#N/A</v>
      </c>
      <c r="T1001" t="e">
        <f ca="1"/>
        <v>#N/A</v>
      </c>
      <c r="U1001" t="e">
        <f ca="1"/>
        <v>#N/A</v>
      </c>
      <c r="V1001" t="e">
        <f ca="1"/>
        <v>#N/A</v>
      </c>
      <c r="X1001" s="2">
        <f t="shared" ca="1" si="107"/>
        <v>0</v>
      </c>
      <c r="Y1001">
        <f t="shared" ca="1" si="108"/>
        <v>0</v>
      </c>
      <c r="AA1001" s="63" t="e">
        <f t="shared" ca="1" si="109"/>
        <v>#N/A</v>
      </c>
      <c r="AB1001" s="63" t="e">
        <f t="shared" ca="1" si="110"/>
        <v>#N/A</v>
      </c>
      <c r="AC1001" s="3" t="e">
        <f t="shared" ca="1" si="111"/>
        <v>#N/A</v>
      </c>
    </row>
    <row r="1002" spans="8:29">
      <c r="H1002" t="e">
        <f t="shared" ca="1" si="105"/>
        <v>#N/A</v>
      </c>
      <c r="I1002" t="e">
        <f t="shared" ca="1" si="106"/>
        <v>#N/A</v>
      </c>
      <c r="J1002" t="e">
        <f ca="1"/>
        <v>#N/A</v>
      </c>
      <c r="K1002" t="e">
        <f ca="1"/>
        <v>#N/A</v>
      </c>
      <c r="L1002" t="e">
        <f ca="1"/>
        <v>#N/A</v>
      </c>
      <c r="M1002" t="e">
        <f ca="1"/>
        <v>#N/A</v>
      </c>
      <c r="N1002" t="e">
        <f ca="1"/>
        <v>#N/A</v>
      </c>
      <c r="O1002" t="e">
        <f ca="1"/>
        <v>#N/A</v>
      </c>
      <c r="P1002" t="e">
        <f ca="1"/>
        <v>#N/A</v>
      </c>
      <c r="Q1002" t="e">
        <f ca="1"/>
        <v>#N/A</v>
      </c>
      <c r="R1002" t="e">
        <f ca="1"/>
        <v>#N/A</v>
      </c>
      <c r="S1002" t="e">
        <f ca="1"/>
        <v>#N/A</v>
      </c>
      <c r="T1002" t="e">
        <f ca="1"/>
        <v>#N/A</v>
      </c>
      <c r="U1002" t="e">
        <f ca="1"/>
        <v>#N/A</v>
      </c>
      <c r="V1002" t="e">
        <f ca="1"/>
        <v>#N/A</v>
      </c>
      <c r="X1002" s="2">
        <f t="shared" ca="1" si="107"/>
        <v>0</v>
      </c>
      <c r="Y1002">
        <f t="shared" ca="1" si="108"/>
        <v>0</v>
      </c>
      <c r="AA1002" s="63" t="e">
        <f t="shared" ca="1" si="109"/>
        <v>#N/A</v>
      </c>
      <c r="AB1002" s="63" t="e">
        <f t="shared" ca="1" si="110"/>
        <v>#N/A</v>
      </c>
      <c r="AC1002" s="3" t="e">
        <f t="shared" ca="1" si="111"/>
        <v>#N/A</v>
      </c>
    </row>
    <row r="1003" spans="8:29">
      <c r="H1003" t="e">
        <f t="shared" ca="1" si="105"/>
        <v>#N/A</v>
      </c>
      <c r="I1003" t="e">
        <f t="shared" ca="1" si="106"/>
        <v>#N/A</v>
      </c>
      <c r="J1003" t="e">
        <f ca="1"/>
        <v>#N/A</v>
      </c>
      <c r="K1003" t="e">
        <f ca="1"/>
        <v>#N/A</v>
      </c>
      <c r="L1003" t="e">
        <f ca="1"/>
        <v>#N/A</v>
      </c>
      <c r="M1003" t="e">
        <f ca="1"/>
        <v>#N/A</v>
      </c>
      <c r="N1003" t="e">
        <f ca="1"/>
        <v>#N/A</v>
      </c>
      <c r="O1003" t="e">
        <f ca="1"/>
        <v>#N/A</v>
      </c>
      <c r="P1003" t="e">
        <f ca="1"/>
        <v>#N/A</v>
      </c>
      <c r="Q1003" t="e">
        <f ca="1"/>
        <v>#N/A</v>
      </c>
      <c r="R1003" t="e">
        <f ca="1"/>
        <v>#N/A</v>
      </c>
      <c r="S1003" t="e">
        <f ca="1"/>
        <v>#N/A</v>
      </c>
      <c r="T1003" t="e">
        <f ca="1"/>
        <v>#N/A</v>
      </c>
      <c r="U1003" t="e">
        <f ca="1"/>
        <v>#N/A</v>
      </c>
      <c r="V1003" t="e">
        <f ca="1"/>
        <v>#N/A</v>
      </c>
      <c r="X1003" s="2">
        <f t="shared" ca="1" si="107"/>
        <v>0</v>
      </c>
      <c r="Y1003">
        <f t="shared" ca="1" si="108"/>
        <v>0</v>
      </c>
      <c r="AA1003" s="63" t="e">
        <f t="shared" ca="1" si="109"/>
        <v>#N/A</v>
      </c>
      <c r="AB1003" s="63" t="e">
        <f t="shared" ca="1" si="110"/>
        <v>#N/A</v>
      </c>
      <c r="AC1003" s="3" t="e">
        <f t="shared" ca="1" si="111"/>
        <v>#N/A</v>
      </c>
    </row>
    <row r="1004" spans="8:29">
      <c r="H1004" t="e">
        <f t="shared" ca="1" si="105"/>
        <v>#N/A</v>
      </c>
      <c r="I1004" t="e">
        <f t="shared" ca="1" si="106"/>
        <v>#N/A</v>
      </c>
      <c r="J1004" t="e">
        <f ca="1"/>
        <v>#N/A</v>
      </c>
      <c r="K1004" t="e">
        <f ca="1"/>
        <v>#N/A</v>
      </c>
      <c r="L1004" t="e">
        <f ca="1"/>
        <v>#N/A</v>
      </c>
      <c r="M1004" t="e">
        <f ca="1"/>
        <v>#N/A</v>
      </c>
      <c r="N1004" t="e">
        <f ca="1"/>
        <v>#N/A</v>
      </c>
      <c r="O1004" t="e">
        <f ca="1"/>
        <v>#N/A</v>
      </c>
      <c r="P1004" t="e">
        <f ca="1"/>
        <v>#N/A</v>
      </c>
      <c r="Q1004" t="e">
        <f ca="1"/>
        <v>#N/A</v>
      </c>
      <c r="R1004" t="e">
        <f ca="1"/>
        <v>#N/A</v>
      </c>
      <c r="S1004" t="e">
        <f ca="1"/>
        <v>#N/A</v>
      </c>
      <c r="T1004" t="e">
        <f ca="1"/>
        <v>#N/A</v>
      </c>
      <c r="U1004" t="e">
        <f ca="1"/>
        <v>#N/A</v>
      </c>
      <c r="V1004" t="e">
        <f ca="1"/>
        <v>#N/A</v>
      </c>
      <c r="X1004" s="2">
        <f t="shared" ca="1" si="107"/>
        <v>0</v>
      </c>
      <c r="Y1004">
        <f t="shared" ca="1" si="108"/>
        <v>0</v>
      </c>
      <c r="AA1004" s="63" t="e">
        <f t="shared" ca="1" si="109"/>
        <v>#N/A</v>
      </c>
      <c r="AB1004" s="63" t="e">
        <f t="shared" ca="1" si="110"/>
        <v>#N/A</v>
      </c>
      <c r="AC1004" s="3" t="e">
        <f t="shared" ca="1" si="111"/>
        <v>#N/A</v>
      </c>
    </row>
  </sheetData>
  <mergeCells count="2">
    <mergeCell ref="D16:E16"/>
    <mergeCell ref="A5:B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AH1" workbookViewId="0">
      <selection activeCell="AR8" sqref="AR8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  <col min="39" max="39" width="15.85546875" customWidth="1"/>
  </cols>
  <sheetData>
    <row r="1" spans="1:99">
      <c r="AS1" s="30" t="s">
        <v>40</v>
      </c>
      <c r="AT1" s="52" t="s">
        <v>39</v>
      </c>
      <c r="AU1" s="52" t="s">
        <v>51</v>
      </c>
      <c r="AV1" s="52" t="s">
        <v>92</v>
      </c>
      <c r="AW1" s="52" t="s">
        <v>75</v>
      </c>
      <c r="AX1" s="52" t="s">
        <v>74</v>
      </c>
      <c r="AY1" s="52" t="s">
        <v>73</v>
      </c>
      <c r="AZ1" s="52" t="s">
        <v>46</v>
      </c>
      <c r="BA1" s="52" t="s">
        <v>59</v>
      </c>
      <c r="BB1" s="52" t="s">
        <v>11</v>
      </c>
      <c r="BC1" s="52" t="s">
        <v>71</v>
      </c>
      <c r="BD1" s="52" t="s">
        <v>47</v>
      </c>
      <c r="BE1" s="52" t="s">
        <v>78</v>
      </c>
      <c r="BF1" s="52" t="s">
        <v>58</v>
      </c>
      <c r="BG1" s="52" t="s">
        <v>80</v>
      </c>
      <c r="BH1" s="52" t="s">
        <v>33</v>
      </c>
      <c r="BI1" s="52" t="s">
        <v>70</v>
      </c>
      <c r="BJ1" s="52" t="s">
        <v>30</v>
      </c>
      <c r="BK1" s="52" t="s">
        <v>36</v>
      </c>
      <c r="BL1" s="52" t="s">
        <v>86</v>
      </c>
      <c r="BM1" s="52" t="s">
        <v>65</v>
      </c>
      <c r="BN1" s="52" t="s">
        <v>49</v>
      </c>
      <c r="BO1" s="52" t="s">
        <v>6</v>
      </c>
      <c r="BP1" s="52" t="s">
        <v>50</v>
      </c>
      <c r="BQ1" s="52" t="s">
        <v>53</v>
      </c>
      <c r="BR1" s="52" t="s">
        <v>44</v>
      </c>
      <c r="BS1" s="52" t="s">
        <v>55</v>
      </c>
      <c r="BT1" s="52" t="s">
        <v>32</v>
      </c>
      <c r="BU1" s="52" t="s">
        <v>7</v>
      </c>
      <c r="BV1" s="52" t="s">
        <v>57</v>
      </c>
      <c r="BW1" s="52" t="s">
        <v>89</v>
      </c>
      <c r="BX1" s="52" t="s">
        <v>52</v>
      </c>
      <c r="BY1" s="52" t="s">
        <v>54</v>
      </c>
      <c r="BZ1" s="52" t="s">
        <v>84</v>
      </c>
      <c r="CA1" s="52" t="s">
        <v>61</v>
      </c>
      <c r="CB1" s="52" t="s">
        <v>35</v>
      </c>
      <c r="CC1" s="52" t="s">
        <v>56</v>
      </c>
      <c r="CD1" s="52" t="s">
        <v>82</v>
      </c>
      <c r="CE1" s="52" t="s">
        <v>41</v>
      </c>
      <c r="CF1" s="52" t="s">
        <v>60</v>
      </c>
      <c r="CG1" s="52" t="s">
        <v>72</v>
      </c>
      <c r="CH1" s="52" t="s">
        <v>91</v>
      </c>
      <c r="CI1" s="52" t="s">
        <v>69</v>
      </c>
      <c r="CJ1" s="52" t="s">
        <v>83</v>
      </c>
      <c r="CK1" s="52" t="s">
        <v>48</v>
      </c>
      <c r="CL1" s="52" t="s">
        <v>34</v>
      </c>
      <c r="CM1" s="52" t="s">
        <v>93</v>
      </c>
      <c r="CN1" s="52" t="s">
        <v>90</v>
      </c>
      <c r="CO1" s="52" t="s">
        <v>43</v>
      </c>
      <c r="CP1" s="52" t="s">
        <v>28</v>
      </c>
      <c r="CQ1" s="53" t="s">
        <v>37</v>
      </c>
      <c r="CR1" s="1" t="s">
        <v>42</v>
      </c>
      <c r="CS1" t="s">
        <v>279</v>
      </c>
      <c r="CT1" t="s">
        <v>280</v>
      </c>
      <c r="CU1" t="s">
        <v>254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76</v>
      </c>
      <c r="AX2" t="s">
        <v>29</v>
      </c>
      <c r="AY2" t="s">
        <v>29</v>
      </c>
      <c r="AZ2" t="s">
        <v>29</v>
      </c>
      <c r="BA2" t="s">
        <v>259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87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66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62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258</v>
      </c>
      <c r="CS2" t="s">
        <v>253</v>
      </c>
      <c r="CT2" t="s">
        <v>253</v>
      </c>
      <c r="CU2" t="s">
        <v>253</v>
      </c>
    </row>
    <row r="3" spans="1:99">
      <c r="AS3" s="12"/>
      <c r="AW3" t="s">
        <v>77</v>
      </c>
      <c r="BA3" t="s">
        <v>255</v>
      </c>
      <c r="BO3" t="s">
        <v>88</v>
      </c>
      <c r="BU3" t="s">
        <v>67</v>
      </c>
      <c r="CQ3" s="13" t="s">
        <v>38</v>
      </c>
      <c r="CR3" t="s">
        <v>257</v>
      </c>
      <c r="CS3" t="s">
        <v>245</v>
      </c>
      <c r="CT3" t="s">
        <v>245</v>
      </c>
      <c r="CU3" t="s">
        <v>245</v>
      </c>
    </row>
    <row r="4" spans="1:99">
      <c r="AS4" s="12"/>
      <c r="BA4" t="s">
        <v>256</v>
      </c>
      <c r="BU4" t="s">
        <v>68</v>
      </c>
      <c r="CQ4" s="13"/>
      <c r="CR4" t="s">
        <v>29</v>
      </c>
      <c r="CS4" t="s">
        <v>246</v>
      </c>
      <c r="CT4" t="s">
        <v>246</v>
      </c>
      <c r="CU4" t="s">
        <v>246</v>
      </c>
    </row>
    <row r="5" spans="1:99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247</v>
      </c>
      <c r="CT5" t="s">
        <v>247</v>
      </c>
      <c r="CU5" t="s">
        <v>247</v>
      </c>
    </row>
    <row r="6" spans="1:99" ht="15.75" thickBot="1">
      <c r="AI6" t="s">
        <v>216</v>
      </c>
      <c r="AJ6" t="s">
        <v>218</v>
      </c>
      <c r="AM6" s="116" t="s">
        <v>264</v>
      </c>
      <c r="AN6">
        <v>5</v>
      </c>
      <c r="CS6" t="s">
        <v>248</v>
      </c>
      <c r="CT6" t="s">
        <v>248</v>
      </c>
      <c r="CU6" t="s">
        <v>248</v>
      </c>
    </row>
    <row r="7" spans="1:99">
      <c r="A7" s="45"/>
      <c r="B7" s="46"/>
      <c r="C7" s="46" t="s">
        <v>31</v>
      </c>
      <c r="D7" s="46" t="s">
        <v>45</v>
      </c>
      <c r="E7" s="46" t="s">
        <v>281</v>
      </c>
      <c r="F7" s="46" t="s">
        <v>18</v>
      </c>
      <c r="G7" s="47" t="s">
        <v>64</v>
      </c>
      <c r="H7" s="119" t="s">
        <v>8</v>
      </c>
      <c r="J7" s="30" t="s">
        <v>101</v>
      </c>
      <c r="L7" s="44" t="s">
        <v>102</v>
      </c>
      <c r="N7" s="41" t="s">
        <v>160</v>
      </c>
      <c r="P7" s="41" t="s">
        <v>161</v>
      </c>
      <c r="R7" s="41" t="s">
        <v>1</v>
      </c>
      <c r="U7" s="41" t="s">
        <v>3</v>
      </c>
      <c r="X7" s="111" t="s">
        <v>187</v>
      </c>
      <c r="Z7" s="111" t="s">
        <v>203</v>
      </c>
      <c r="AA7">
        <v>1.7</v>
      </c>
      <c r="AC7" t="s">
        <v>206</v>
      </c>
      <c r="AE7" t="s">
        <v>260</v>
      </c>
      <c r="AF7">
        <v>2</v>
      </c>
      <c r="AH7" t="s">
        <v>211</v>
      </c>
      <c r="AI7">
        <v>0.7</v>
      </c>
      <c r="AJ7">
        <v>0.76</v>
      </c>
      <c r="AM7" s="114" t="s">
        <v>265</v>
      </c>
      <c r="AN7">
        <v>15</v>
      </c>
      <c r="AP7" t="s">
        <v>243</v>
      </c>
      <c r="AR7" t="s">
        <v>284</v>
      </c>
      <c r="CS7" t="s">
        <v>249</v>
      </c>
      <c r="CT7" t="s">
        <v>249</v>
      </c>
      <c r="CU7" t="s">
        <v>249</v>
      </c>
    </row>
    <row r="8" spans="1:99">
      <c r="A8" s="48"/>
      <c r="B8" s="49"/>
      <c r="C8" s="49" t="s">
        <v>40</v>
      </c>
      <c r="D8" s="49" t="s">
        <v>39</v>
      </c>
      <c r="E8" s="49" t="s">
        <v>53</v>
      </c>
      <c r="F8" s="49" t="s">
        <v>59</v>
      </c>
      <c r="G8" s="50" t="s">
        <v>51</v>
      </c>
      <c r="H8" t="s">
        <v>279</v>
      </c>
      <c r="J8" s="12" t="s">
        <v>18</v>
      </c>
      <c r="L8" s="42" t="s">
        <v>19</v>
      </c>
      <c r="N8" s="42" t="s">
        <v>159</v>
      </c>
      <c r="P8" s="42" t="s">
        <v>168</v>
      </c>
      <c r="R8" s="42" t="s">
        <v>2</v>
      </c>
      <c r="S8">
        <v>1000</v>
      </c>
      <c r="U8" s="42" t="s">
        <v>180</v>
      </c>
      <c r="V8">
        <v>1</v>
      </c>
      <c r="X8" s="42" t="s">
        <v>188</v>
      </c>
      <c r="Z8" s="42" t="s">
        <v>194</v>
      </c>
      <c r="AA8">
        <v>1.35</v>
      </c>
      <c r="AC8" t="s">
        <v>210</v>
      </c>
      <c r="AE8" t="s">
        <v>261</v>
      </c>
      <c r="AF8">
        <v>3</v>
      </c>
      <c r="AH8" t="s">
        <v>66</v>
      </c>
      <c r="AI8">
        <v>1.1499999999999999</v>
      </c>
      <c r="AJ8">
        <v>1.22</v>
      </c>
      <c r="AM8" s="114" t="s">
        <v>266</v>
      </c>
      <c r="AN8">
        <v>17</v>
      </c>
      <c r="AP8" t="s">
        <v>227</v>
      </c>
      <c r="AR8" t="s">
        <v>272</v>
      </c>
      <c r="CS8" t="s">
        <v>250</v>
      </c>
      <c r="CT8" t="s">
        <v>250</v>
      </c>
      <c r="CU8" t="s">
        <v>250</v>
      </c>
    </row>
    <row r="9" spans="1:99" ht="15.75" thickBot="1">
      <c r="A9" s="12"/>
      <c r="C9" s="49" t="s">
        <v>39</v>
      </c>
      <c r="D9" s="49" t="s">
        <v>51</v>
      </c>
      <c r="E9" s="49" t="s">
        <v>55</v>
      </c>
      <c r="F9" s="49" t="s">
        <v>58</v>
      </c>
      <c r="G9" s="50" t="s">
        <v>92</v>
      </c>
      <c r="H9" t="s">
        <v>280</v>
      </c>
      <c r="J9" s="14" t="s">
        <v>20</v>
      </c>
      <c r="L9" s="42" t="s">
        <v>21</v>
      </c>
      <c r="N9" s="42" t="s">
        <v>103</v>
      </c>
      <c r="P9" s="42" t="s">
        <v>170</v>
      </c>
      <c r="R9" s="42" t="s">
        <v>104</v>
      </c>
      <c r="S9">
        <v>1</v>
      </c>
      <c r="U9" s="42" t="s">
        <v>181</v>
      </c>
      <c r="V9">
        <v>2</v>
      </c>
      <c r="X9" s="42" t="s">
        <v>190</v>
      </c>
      <c r="Z9" s="42" t="s">
        <v>193</v>
      </c>
      <c r="AA9">
        <v>1</v>
      </c>
      <c r="AE9" t="s">
        <v>262</v>
      </c>
      <c r="AH9" t="s">
        <v>212</v>
      </c>
      <c r="AI9">
        <v>1.1499999999999999</v>
      </c>
      <c r="AJ9">
        <v>1.2</v>
      </c>
      <c r="AM9" s="114" t="s">
        <v>267</v>
      </c>
      <c r="AN9">
        <v>20</v>
      </c>
      <c r="AR9" t="s">
        <v>273</v>
      </c>
      <c r="CS9" t="s">
        <v>251</v>
      </c>
      <c r="CT9" t="s">
        <v>251</v>
      </c>
      <c r="CU9" t="s">
        <v>251</v>
      </c>
    </row>
    <row r="10" spans="1:99" ht="15.75" thickBot="1">
      <c r="A10" s="12"/>
      <c r="C10" s="49" t="s">
        <v>33</v>
      </c>
      <c r="D10" s="49" t="s">
        <v>46</v>
      </c>
      <c r="E10" s="49" t="s">
        <v>54</v>
      </c>
      <c r="F10" s="49" t="s">
        <v>57</v>
      </c>
      <c r="G10" s="50" t="s">
        <v>75</v>
      </c>
      <c r="H10" t="s">
        <v>254</v>
      </c>
      <c r="L10" s="42" t="s">
        <v>22</v>
      </c>
      <c r="N10" s="42" t="s">
        <v>105</v>
      </c>
      <c r="P10" s="43" t="s">
        <v>169</v>
      </c>
      <c r="R10" s="43" t="s">
        <v>16</v>
      </c>
      <c r="S10">
        <v>1</v>
      </c>
      <c r="U10" s="43" t="s">
        <v>182</v>
      </c>
      <c r="V10">
        <v>3</v>
      </c>
      <c r="X10" s="43" t="s">
        <v>189</v>
      </c>
      <c r="Z10" s="42" t="s">
        <v>195</v>
      </c>
      <c r="AA10">
        <v>0.65</v>
      </c>
      <c r="AE10" t="s">
        <v>263</v>
      </c>
      <c r="AH10" t="s">
        <v>213</v>
      </c>
      <c r="AI10">
        <v>0.8</v>
      </c>
      <c r="AJ10">
        <v>0.83</v>
      </c>
      <c r="AM10" s="114" t="s">
        <v>282</v>
      </c>
      <c r="AN10">
        <v>16</v>
      </c>
      <c r="AR10" t="s">
        <v>274</v>
      </c>
      <c r="CS10" t="s">
        <v>252</v>
      </c>
      <c r="CT10" t="s">
        <v>252</v>
      </c>
      <c r="CU10" t="s">
        <v>252</v>
      </c>
    </row>
    <row r="11" spans="1:99" ht="15.75" thickBot="1">
      <c r="A11" s="12"/>
      <c r="C11" s="49" t="s">
        <v>36</v>
      </c>
      <c r="D11" s="49" t="s">
        <v>47</v>
      </c>
      <c r="E11" s="49" t="s">
        <v>35</v>
      </c>
      <c r="F11" s="49" t="s">
        <v>61</v>
      </c>
      <c r="G11" s="50" t="s">
        <v>74</v>
      </c>
      <c r="L11" s="42" t="s">
        <v>23</v>
      </c>
      <c r="N11" s="42" t="s">
        <v>106</v>
      </c>
      <c r="Z11" s="43" t="s">
        <v>204</v>
      </c>
      <c r="AA11">
        <v>0.3</v>
      </c>
      <c r="AH11" t="s">
        <v>214</v>
      </c>
      <c r="AI11">
        <v>1.17</v>
      </c>
      <c r="AJ11">
        <v>1.24</v>
      </c>
      <c r="AM11" s="114" t="s">
        <v>238</v>
      </c>
      <c r="AN11">
        <v>32</v>
      </c>
      <c r="AR11" t="s">
        <v>275</v>
      </c>
    </row>
    <row r="12" spans="1:99">
      <c r="A12" s="12"/>
      <c r="C12" s="49" t="s">
        <v>44</v>
      </c>
      <c r="D12" s="49" t="s">
        <v>30</v>
      </c>
      <c r="E12" s="49" t="s">
        <v>37</v>
      </c>
      <c r="F12" s="49" t="s">
        <v>35</v>
      </c>
      <c r="G12" s="50" t="s">
        <v>73</v>
      </c>
      <c r="L12" s="42" t="s">
        <v>24</v>
      </c>
      <c r="N12" s="42" t="s">
        <v>147</v>
      </c>
      <c r="AH12" t="s">
        <v>215</v>
      </c>
      <c r="AI12">
        <v>1.1599999999999999</v>
      </c>
      <c r="AJ12">
        <v>1.19</v>
      </c>
      <c r="AM12" s="114" t="s">
        <v>268</v>
      </c>
      <c r="AN12">
        <v>35</v>
      </c>
    </row>
    <row r="13" spans="1:99" ht="15.75" thickBot="1">
      <c r="A13" s="12"/>
      <c r="C13" s="49" t="s">
        <v>32</v>
      </c>
      <c r="D13" s="49" t="s">
        <v>49</v>
      </c>
      <c r="E13" s="49" t="s">
        <v>40</v>
      </c>
      <c r="F13" s="49" t="s">
        <v>56</v>
      </c>
      <c r="G13" s="50" t="s">
        <v>59</v>
      </c>
      <c r="L13" s="43" t="s">
        <v>107</v>
      </c>
      <c r="N13" s="43"/>
      <c r="AH13" t="s">
        <v>219</v>
      </c>
      <c r="AM13" s="114" t="s">
        <v>269</v>
      </c>
      <c r="AN13">
        <v>20</v>
      </c>
    </row>
    <row r="14" spans="1:99">
      <c r="A14" s="12"/>
      <c r="C14" s="49" t="s">
        <v>35</v>
      </c>
      <c r="D14" s="49" t="s">
        <v>50</v>
      </c>
      <c r="F14" s="49" t="s">
        <v>60</v>
      </c>
      <c r="G14" s="50" t="s">
        <v>11</v>
      </c>
      <c r="AM14" s="114" t="s">
        <v>270</v>
      </c>
      <c r="AN14">
        <v>18</v>
      </c>
    </row>
    <row r="15" spans="1:99">
      <c r="A15" s="12"/>
      <c r="C15" s="49" t="s">
        <v>41</v>
      </c>
      <c r="D15" s="49" t="s">
        <v>44</v>
      </c>
      <c r="F15" s="49" t="s">
        <v>63</v>
      </c>
      <c r="G15" s="50" t="s">
        <v>71</v>
      </c>
      <c r="AM15" s="114" t="s">
        <v>271</v>
      </c>
      <c r="AN15">
        <v>22</v>
      </c>
    </row>
    <row r="16" spans="1:99">
      <c r="A16" s="12"/>
      <c r="C16" s="49" t="s">
        <v>34</v>
      </c>
      <c r="D16" s="49" t="s">
        <v>32</v>
      </c>
      <c r="G16" s="50" t="s">
        <v>78</v>
      </c>
      <c r="AM16" s="114" t="s">
        <v>239</v>
      </c>
      <c r="AN16">
        <v>20</v>
      </c>
    </row>
    <row r="17" spans="1:40">
      <c r="A17" s="12"/>
      <c r="C17" s="49" t="s">
        <v>43</v>
      </c>
      <c r="D17" s="49" t="s">
        <v>52</v>
      </c>
      <c r="G17" s="50" t="s">
        <v>80</v>
      </c>
      <c r="AM17" s="114" t="s">
        <v>240</v>
      </c>
      <c r="AN17">
        <v>50</v>
      </c>
    </row>
    <row r="18" spans="1:40">
      <c r="A18" s="12"/>
      <c r="C18" s="49" t="s">
        <v>37</v>
      </c>
      <c r="D18" s="49" t="s">
        <v>48</v>
      </c>
      <c r="G18" s="50" t="s">
        <v>70</v>
      </c>
    </row>
    <row r="19" spans="1:40">
      <c r="A19" s="12"/>
      <c r="C19" s="49" t="s">
        <v>42</v>
      </c>
      <c r="D19" s="49" t="s">
        <v>42</v>
      </c>
      <c r="G19" s="50" t="s">
        <v>86</v>
      </c>
    </row>
    <row r="20" spans="1:40">
      <c r="A20" s="12"/>
      <c r="G20" s="50" t="s">
        <v>65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57</v>
      </c>
    </row>
    <row r="24" spans="1:40">
      <c r="A24" s="12"/>
      <c r="G24" s="50" t="s">
        <v>89</v>
      </c>
    </row>
    <row r="25" spans="1:40">
      <c r="A25" s="12"/>
      <c r="G25" s="50" t="s">
        <v>52</v>
      </c>
    </row>
    <row r="26" spans="1:40">
      <c r="A26" s="12"/>
      <c r="G26" s="50" t="s">
        <v>84</v>
      </c>
    </row>
    <row r="27" spans="1:40">
      <c r="A27" s="12"/>
      <c r="G27" s="50" t="s">
        <v>56</v>
      </c>
    </row>
    <row r="28" spans="1:40">
      <c r="A28" s="12"/>
      <c r="G28" s="50" t="s">
        <v>82</v>
      </c>
    </row>
    <row r="29" spans="1:40">
      <c r="A29" s="12"/>
      <c r="G29" s="50" t="s">
        <v>72</v>
      </c>
    </row>
    <row r="30" spans="1:40">
      <c r="A30" s="12"/>
      <c r="G30" s="50" t="s">
        <v>91</v>
      </c>
    </row>
    <row r="31" spans="1:40">
      <c r="A31" s="12"/>
      <c r="G31" s="50" t="s">
        <v>69</v>
      </c>
    </row>
    <row r="32" spans="1:40">
      <c r="A32" s="12"/>
      <c r="G32" s="50" t="s">
        <v>83</v>
      </c>
    </row>
    <row r="33" spans="1:7">
      <c r="A33" s="12"/>
      <c r="G33" s="50" t="s">
        <v>93</v>
      </c>
    </row>
    <row r="34" spans="1:7">
      <c r="A34" s="12"/>
      <c r="G34" s="50" t="s">
        <v>90</v>
      </c>
    </row>
    <row r="35" spans="1:7">
      <c r="A35" s="12"/>
      <c r="G35" s="50" t="s">
        <v>81</v>
      </c>
    </row>
    <row r="36" spans="1:7">
      <c r="A36" s="12"/>
      <c r="G36" s="50" t="s">
        <v>79</v>
      </c>
    </row>
    <row r="37" spans="1:7" ht="15.75" thickBot="1">
      <c r="A37" s="12"/>
      <c r="G37" s="51" t="s">
        <v>85</v>
      </c>
    </row>
    <row r="38" spans="1:7" ht="15.7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2" activePane="bottomRight" state="frozen"/>
      <selection pane="topRight" activeCell="G1" sqref="G1"/>
      <selection pane="bottomLeft" activeCell="A2" sqref="A2"/>
      <selection pane="bottomRight" activeCell="E106" sqref="E1:E106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  <col min="20" max="20" width="23.425781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Barley Fodder General</v>
      </c>
      <c r="B6">
        <v>7</v>
      </c>
      <c r="C6" t="str">
        <v>Fodder</v>
      </c>
      <c r="D6" t="str">
        <v>Cereal</v>
      </c>
      <c r="E6" t="str">
        <v>Barley</v>
      </c>
      <c r="F6" t="str">
        <v>General</v>
      </c>
      <c r="G6" t="str">
        <v>Poaceae</v>
      </c>
      <c r="H6" t="str">
        <v>Hordeum</v>
      </c>
      <c r="I6" t="str">
        <v>vulgure</v>
      </c>
      <c r="J6" t="str">
        <v/>
      </c>
      <c r="K6" t="str">
        <v>Hordeum vulgure</v>
      </c>
      <c r="L6" t="str">
        <v>vulgure</v>
      </c>
      <c r="M6" t="str">
        <v>Seed</v>
      </c>
      <c r="N6" t="str">
        <v>Jul</v>
      </c>
      <c r="O6" t="str">
        <v>EarlyReproductive</v>
      </c>
      <c r="P6" t="str">
        <v>Nov</v>
      </c>
      <c r="Q6">
        <v>8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1.2000000476837158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Maize Fodder General</v>
      </c>
      <c r="B7">
        <v>12</v>
      </c>
      <c r="C7" t="str">
        <v>Fodder</v>
      </c>
      <c r="D7" t="str">
        <v>Cereal</v>
      </c>
      <c r="E7" t="str">
        <v>Maize</v>
      </c>
      <c r="F7" t="str">
        <v>General</v>
      </c>
      <c r="G7" t="str">
        <v>Poaceae</v>
      </c>
      <c r="H7" t="str">
        <v>Zea</v>
      </c>
      <c r="I7" t="str">
        <v>mays</v>
      </c>
      <c r="J7" t="str">
        <v/>
      </c>
      <c r="K7" t="str">
        <v>Zea mays</v>
      </c>
      <c r="L7" t="str">
        <v>mays</v>
      </c>
      <c r="M7" t="str">
        <v>Seed</v>
      </c>
      <c r="N7" t="str">
        <v>Nov</v>
      </c>
      <c r="O7" t="str">
        <v>EarlyReproductive</v>
      </c>
      <c r="P7" t="str">
        <v>Feb</v>
      </c>
      <c r="Q7">
        <v>22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1.5</v>
      </c>
      <c r="AC7">
        <v>0.85000002384185791</v>
      </c>
      <c r="AD7">
        <v>1</v>
      </c>
      <c r="AE7">
        <v>0.89999997615814209</v>
      </c>
      <c r="AF7">
        <v>0.69999998807907104</v>
      </c>
      <c r="AG7">
        <v>0.82999998331069946</v>
      </c>
    </row>
    <row r="8" spans="1:33">
      <c r="A8" t="str">
        <v>Oat Fodder General</v>
      </c>
      <c r="B8">
        <v>0</v>
      </c>
      <c r="C8" t="str">
        <v>Fodder</v>
      </c>
      <c r="D8" t="str">
        <v>Cereal</v>
      </c>
      <c r="E8" t="str">
        <v>Oat</v>
      </c>
      <c r="F8" t="str">
        <v>General</v>
      </c>
      <c r="G8" t="str">
        <v>Poaceae</v>
      </c>
      <c r="H8" t="str">
        <v>Avena</v>
      </c>
      <c r="I8" t="str">
        <v>sativa</v>
      </c>
      <c r="J8" t="str">
        <v/>
      </c>
      <c r="K8" t="str">
        <v>Avena sativa</v>
      </c>
      <c r="L8" t="str">
        <v>sativa</v>
      </c>
      <c r="M8" t="str">
        <v>Seed</v>
      </c>
      <c r="N8" t="str">
        <v>Jul</v>
      </c>
      <c r="O8" t="str">
        <v>EarlyReproductive</v>
      </c>
      <c r="P8" t="str">
        <v>Nov</v>
      </c>
      <c r="Q8">
        <v>7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1.5</v>
      </c>
    </row>
    <row r="9" spans="1:33">
      <c r="A9" t="str">
        <v>Rye corn Fodder General</v>
      </c>
      <c r="B9">
        <v>9</v>
      </c>
      <c r="C9" t="str">
        <v>Fodder</v>
      </c>
      <c r="D9" t="str">
        <v>Cereal</v>
      </c>
      <c r="E9" t="str">
        <v>Rye corn</v>
      </c>
      <c r="F9" t="str">
        <v>General</v>
      </c>
      <c r="G9" t="str">
        <v>Poaceae</v>
      </c>
      <c r="H9" t="str">
        <v>Secale</v>
      </c>
      <c r="I9" t="str">
        <v>cereale</v>
      </c>
      <c r="J9" t="str">
        <v/>
      </c>
      <c r="K9" t="str">
        <v>Secale cereale</v>
      </c>
      <c r="L9" t="str">
        <v>cereale</v>
      </c>
      <c r="M9" t="str">
        <v>Seed</v>
      </c>
      <c r="N9" t="str">
        <v>Feb</v>
      </c>
      <c r="O9" t="str">
        <v>EarlyReproductive</v>
      </c>
      <c r="P9" t="str">
        <v>Sep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Wheat Fodder General</v>
      </c>
      <c r="B11">
        <v>10</v>
      </c>
      <c r="C11" t="str">
        <v>Fodder</v>
      </c>
      <c r="D11" t="str">
        <v>Cereal</v>
      </c>
      <c r="E11" t="str">
        <v>Wheat</v>
      </c>
      <c r="F11" t="str">
        <v>General</v>
      </c>
      <c r="G11" t="str">
        <v>Poaceae</v>
      </c>
      <c r="H11" t="str">
        <v>Triticum</v>
      </c>
      <c r="I11" t="str">
        <v>astevium</v>
      </c>
      <c r="J11" t="str">
        <v/>
      </c>
      <c r="K11" t="str">
        <v>Triticum astevium</v>
      </c>
      <c r="L11" t="str">
        <v>astevium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3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2.2000000476837158</v>
      </c>
    </row>
    <row r="13" spans="1:33">
      <c r="A13" t="str">
        <v>Pasture Regrowth</v>
      </c>
      <c r="B13">
        <v>0</v>
      </c>
      <c r="C13" t="str">
        <v>Fodder</v>
      </c>
      <c r="D13" t="str">
        <v>Grass</v>
      </c>
      <c r="E13" t="str">
        <v>Pasture</v>
      </c>
      <c r="F13" t="str">
        <v>General</v>
      </c>
      <c r="G13" t="str">
        <v/>
      </c>
      <c r="H13" t="str">
        <v/>
      </c>
      <c r="I13" t="str">
        <v/>
      </c>
      <c r="J13" t="str">
        <v/>
      </c>
      <c r="K13" t="str">
        <v/>
      </c>
      <c r="L13" t="str">
        <v/>
      </c>
      <c r="M13" t="str">
        <v>Seedling</v>
      </c>
      <c r="N13" t="str">
        <v>Apr</v>
      </c>
      <c r="O13" t="str">
        <v>EarlyReproductive</v>
      </c>
      <c r="P13" t="str">
        <v>Dec</v>
      </c>
      <c r="Q13">
        <v>3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0.69999998807907104</v>
      </c>
      <c r="Y13">
        <v>0</v>
      </c>
      <c r="Z13">
        <v>0</v>
      </c>
      <c r="AA13">
        <v>0.10000000149011612</v>
      </c>
      <c r="AB13">
        <v>0.89999997615814209</v>
      </c>
      <c r="AC13">
        <v>1</v>
      </c>
      <c r="AD13">
        <v>1.5</v>
      </c>
      <c r="AE13">
        <v>0.89999997615814209</v>
      </c>
      <c r="AF13">
        <v>1.8999999761581421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Rape Fodder General</v>
      </c>
      <c r="B15">
        <v>3</v>
      </c>
      <c r="C15" t="str">
        <v>Fodder</v>
      </c>
      <c r="D15" t="str">
        <v>Leafy brassica</v>
      </c>
      <c r="E15" t="str">
        <v>Rape</v>
      </c>
      <c r="F15" t="str">
        <v>General</v>
      </c>
      <c r="G15" t="str">
        <v>Brassicaceae</v>
      </c>
      <c r="H15" t="str">
        <v>Brassica</v>
      </c>
      <c r="I15" t="str">
        <v>napus</v>
      </c>
      <c r="J15" t="str">
        <v>napus</v>
      </c>
      <c r="K15" t="str">
        <v>Brassica napus napus</v>
      </c>
      <c r="L15" t="str">
        <v>napus napus</v>
      </c>
      <c r="M15" t="str">
        <v>Seed</v>
      </c>
      <c r="N15" t="str">
        <v>Oct</v>
      </c>
      <c r="O15" t="str">
        <v>EarlyReproductive</v>
      </c>
      <c r="P15" t="str">
        <v>Jan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0.77799999713897705</v>
      </c>
      <c r="Y15">
        <v>-0.12200000137090683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</v>
      </c>
      <c r="AG15">
        <v>2.5</v>
      </c>
    </row>
    <row r="16" spans="1:33">
      <c r="A16" t="str">
        <v>Turnip Fodder Leafy</v>
      </c>
      <c r="B16">
        <v>6</v>
      </c>
      <c r="C16" t="str">
        <v>Fodder</v>
      </c>
      <c r="D16" t="str">
        <v>Leafy brassica</v>
      </c>
      <c r="E16" t="str">
        <v>Turnip</v>
      </c>
      <c r="F16" t="str">
        <v>Leafy</v>
      </c>
      <c r="G16" t="str">
        <v>Brassicaceae</v>
      </c>
      <c r="H16" t="str">
        <v>Brassica</v>
      </c>
      <c r="I16" t="str">
        <v>rapa x napus</v>
      </c>
      <c r="J16" t="str">
        <v/>
      </c>
      <c r="K16" t="str">
        <v>Brassica rapa x napus</v>
      </c>
      <c r="L16" t="str">
        <v>rapa x napus</v>
      </c>
      <c r="M16" t="str">
        <v>Seed</v>
      </c>
      <c r="N16" t="str">
        <v>Oct</v>
      </c>
      <c r="O16" t="str">
        <v>Vegetative</v>
      </c>
      <c r="P16" t="str">
        <v>Mar</v>
      </c>
      <c r="Q16">
        <v>6</v>
      </c>
      <c r="R16" t="str">
        <v>t/ha</v>
      </c>
      <c r="S16" t="str">
        <v>Standing DM</v>
      </c>
      <c r="T16">
        <v>1</v>
      </c>
      <c r="U16" t="str">
        <v>Dry</v>
      </c>
      <c r="V16">
        <v>0</v>
      </c>
      <c r="W16">
        <v>0</v>
      </c>
      <c r="X16">
        <v>0.49000000953674316</v>
      </c>
      <c r="Y16">
        <v>-0.20999999344348907</v>
      </c>
      <c r="Z16">
        <v>0</v>
      </c>
      <c r="AA16">
        <v>0.10000000149011612</v>
      </c>
      <c r="AB16">
        <v>1.2000000476837158</v>
      </c>
      <c r="AC16">
        <v>1</v>
      </c>
      <c r="AD16">
        <v>2</v>
      </c>
      <c r="AE16">
        <v>0.80000001192092896</v>
      </c>
      <c r="AF16">
        <v>1.5</v>
      </c>
      <c r="AG16">
        <v>3.5</v>
      </c>
    </row>
    <row r="17" spans="1:33">
      <c r="A17" t="str">
        <v>Barley Grain General</v>
      </c>
      <c r="B17">
        <v>18</v>
      </c>
      <c r="C17" t="str">
        <v>Grain</v>
      </c>
      <c r="D17" t="str">
        <v>Cereal</v>
      </c>
      <c r="E17" t="str">
        <v>Barley</v>
      </c>
      <c r="F17" t="str">
        <v>General</v>
      </c>
      <c r="G17" t="str">
        <v>Poaceae</v>
      </c>
      <c r="H17" t="str">
        <v>Hordeum</v>
      </c>
      <c r="I17" t="str">
        <v>vulgure</v>
      </c>
      <c r="J17" t="str">
        <v/>
      </c>
      <c r="K17" t="str">
        <v>Hordeum vulgure</v>
      </c>
      <c r="L17" t="str">
        <v>vulgure</v>
      </c>
      <c r="M17" t="str">
        <v>Seed</v>
      </c>
      <c r="N17" t="str">
        <v>Sep</v>
      </c>
      <c r="O17" t="str">
        <v>Maturity</v>
      </c>
      <c r="P17" t="str">
        <v>Feb</v>
      </c>
      <c r="Q17">
        <v>10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0.46299999952316284</v>
      </c>
      <c r="Y17">
        <v>0.10000000149011612</v>
      </c>
      <c r="Z17">
        <v>13</v>
      </c>
      <c r="AA17">
        <v>0.10000000149011612</v>
      </c>
      <c r="AB17">
        <v>1.2000000476837158</v>
      </c>
      <c r="AC17">
        <v>1</v>
      </c>
      <c r="AD17">
        <v>1</v>
      </c>
      <c r="AE17">
        <v>0.89999997615814209</v>
      </c>
      <c r="AF17">
        <v>0.5</v>
      </c>
      <c r="AG17">
        <v>1.2000000476837158</v>
      </c>
    </row>
    <row r="18" spans="1:33">
      <c r="A18" t="str">
        <v>Maize Grain General</v>
      </c>
      <c r="B18">
        <v>25</v>
      </c>
      <c r="C18" t="str">
        <v>Grain</v>
      </c>
      <c r="D18" t="str">
        <v>Cereal</v>
      </c>
      <c r="E18" t="str">
        <v>Maize</v>
      </c>
      <c r="F18" t="str">
        <v>General</v>
      </c>
      <c r="G18" t="str">
        <v>Poaceae</v>
      </c>
      <c r="H18" t="str">
        <v>Zea</v>
      </c>
      <c r="I18" t="str">
        <v>mays</v>
      </c>
      <c r="J18" t="str">
        <v/>
      </c>
      <c r="K18" t="str">
        <v>Zea mays</v>
      </c>
      <c r="L18" t="str">
        <v>mays</v>
      </c>
      <c r="M18" t="str">
        <v>Seed</v>
      </c>
      <c r="N18" t="str">
        <v>Oct</v>
      </c>
      <c r="O18" t="str">
        <v>Maturity</v>
      </c>
      <c r="P18" t="str">
        <v>Apr</v>
      </c>
      <c r="Q18">
        <v>13.300000190734863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0.5</v>
      </c>
      <c r="Y18">
        <v>0</v>
      </c>
      <c r="Z18">
        <v>13</v>
      </c>
      <c r="AA18">
        <v>0.10000000149011612</v>
      </c>
      <c r="AB18">
        <v>1.5</v>
      </c>
      <c r="AC18">
        <v>0.85000002384185791</v>
      </c>
      <c r="AD18">
        <v>1</v>
      </c>
      <c r="AE18">
        <v>0.89999997615814209</v>
      </c>
      <c r="AF18">
        <v>0.69999998807907104</v>
      </c>
      <c r="AG18">
        <v>1.3999999761581421</v>
      </c>
    </row>
    <row r="19" spans="1:33">
      <c r="A19" t="str">
        <v>Oat Grain General</v>
      </c>
      <c r="B19">
        <v>13</v>
      </c>
      <c r="C19" t="str">
        <v>Grain</v>
      </c>
      <c r="D19" t="str">
        <v>Cereal</v>
      </c>
      <c r="E19" t="str">
        <v>Oat</v>
      </c>
      <c r="F19" t="str">
        <v>General</v>
      </c>
      <c r="G19" t="str">
        <v>Poaceae</v>
      </c>
      <c r="H19" t="str">
        <v>Avena</v>
      </c>
      <c r="I19" t="str">
        <v>sativa</v>
      </c>
      <c r="J19" t="str">
        <v/>
      </c>
      <c r="K19" t="str">
        <v>Avena sativa</v>
      </c>
      <c r="L19" t="str">
        <v>sativa</v>
      </c>
      <c r="M19" t="str">
        <v>Seed</v>
      </c>
      <c r="N19" t="str">
        <v>May</v>
      </c>
      <c r="O19" t="str">
        <v>Maturity</v>
      </c>
      <c r="P19" t="str">
        <v>Feb</v>
      </c>
      <c r="Q19">
        <v>8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0.40000000596046448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1.2999999523162842</v>
      </c>
    </row>
    <row r="20" spans="1:33">
      <c r="A20" t="str">
        <v>Sunflower Grain General</v>
      </c>
      <c r="B20">
        <v>17</v>
      </c>
      <c r="C20" t="str">
        <v>Grain</v>
      </c>
      <c r="D20" t="str">
        <v>Cereal</v>
      </c>
      <c r="E20" t="str">
        <v>Sunflower</v>
      </c>
      <c r="F20" t="str">
        <v>General</v>
      </c>
      <c r="G20" t="str">
        <v>Asteraceae</v>
      </c>
      <c r="H20" t="str">
        <v>Helianthus</v>
      </c>
      <c r="I20" t="str">
        <v>annus</v>
      </c>
      <c r="J20" t="str">
        <v/>
      </c>
      <c r="K20" t="str">
        <v>Helianthus annus</v>
      </c>
      <c r="L20" t="str">
        <v>annus</v>
      </c>
      <c r="M20" t="str">
        <v>Seed</v>
      </c>
      <c r="N20" t="str">
        <v>Oct</v>
      </c>
      <c r="O20" t="str">
        <v>Maturity</v>
      </c>
      <c r="P20" t="str">
        <v>Mar</v>
      </c>
      <c r="Q20">
        <v>3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0.30000001192092896</v>
      </c>
      <c r="Y20">
        <v>0.10000000149011612</v>
      </c>
      <c r="Z20">
        <v>8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1.2999999523162842</v>
      </c>
      <c r="AG20">
        <v>2.4000000953674316</v>
      </c>
    </row>
    <row r="21" spans="1:33">
      <c r="A21" t="str">
        <v>Wheat Grain Breed</v>
      </c>
      <c r="B21">
        <v>23</v>
      </c>
      <c r="C21" t="str">
        <v>Grain</v>
      </c>
      <c r="D21" t="str">
        <v>Cereal</v>
      </c>
      <c r="E21" t="str">
        <v>Wheat</v>
      </c>
      <c r="F21" t="str">
        <v>Bread</v>
      </c>
      <c r="G21" t="str">
        <v>Poaceae</v>
      </c>
      <c r="H21" t="str">
        <v>Triticum</v>
      </c>
      <c r="I21" t="str">
        <v>astevium</v>
      </c>
      <c r="J21" t="str">
        <v/>
      </c>
      <c r="K21" t="str">
        <v>Triticum astevium</v>
      </c>
      <c r="L21" t="str">
        <v>astevium</v>
      </c>
      <c r="M21" t="str">
        <v>Seed</v>
      </c>
      <c r="N21" t="str">
        <v>Apr</v>
      </c>
      <c r="O21" t="str">
        <v>Maturity</v>
      </c>
      <c r="P21" t="str">
        <v>Feb</v>
      </c>
      <c r="Q21">
        <v>10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0.41170001029968262</v>
      </c>
      <c r="Y21">
        <v>0.10000000149011612</v>
      </c>
      <c r="Z21">
        <v>13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0.89999997615814209</v>
      </c>
      <c r="AG21">
        <v>2.5</v>
      </c>
    </row>
    <row r="22" spans="1:33">
      <c r="A22" t="str">
        <v>Wheat Grain Feed</v>
      </c>
      <c r="B22">
        <v>24</v>
      </c>
      <c r="C22" t="str">
        <v>Grain</v>
      </c>
      <c r="D22" t="str">
        <v>Cereal</v>
      </c>
      <c r="E22" t="str">
        <v>Wheat</v>
      </c>
      <c r="F22" t="str">
        <v>Feed</v>
      </c>
      <c r="G22" t="str">
        <v>Poaceae</v>
      </c>
      <c r="H22" t="str">
        <v>Triticum</v>
      </c>
      <c r="I22" t="str">
        <v>astevium</v>
      </c>
      <c r="J22" t="str">
        <v/>
      </c>
      <c r="K22" t="str">
        <v>Triticum astevium</v>
      </c>
      <c r="L22" t="str">
        <v>astevium</v>
      </c>
      <c r="M22" t="str">
        <v>Seed</v>
      </c>
      <c r="N22" t="str">
        <v>Apr</v>
      </c>
      <c r="O22" t="str">
        <v>Maturity</v>
      </c>
      <c r="P22" t="str">
        <v>Feb</v>
      </c>
      <c r="Q22">
        <v>12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0.41170001029968262</v>
      </c>
      <c r="Y22">
        <v>0.10000000149011612</v>
      </c>
      <c r="Z22">
        <v>13</v>
      </c>
      <c r="AA22">
        <v>0.10000000149011612</v>
      </c>
      <c r="AB22">
        <v>1.5</v>
      </c>
      <c r="AC22">
        <v>1</v>
      </c>
      <c r="AD22">
        <v>1</v>
      </c>
      <c r="AE22">
        <v>0.89999997615814209</v>
      </c>
      <c r="AF22">
        <v>0.89999997615814209</v>
      </c>
      <c r="AG22">
        <v>2</v>
      </c>
    </row>
    <row r="23" spans="1:33">
      <c r="A23" t="str">
        <v>Canola Grain General</v>
      </c>
      <c r="B23">
        <v>14</v>
      </c>
      <c r="C23" t="str">
        <v>Grain</v>
      </c>
      <c r="D23" t="str">
        <v>Oilseed</v>
      </c>
      <c r="E23" t="str">
        <v>Canola</v>
      </c>
      <c r="F23" t="str">
        <v>General</v>
      </c>
      <c r="G23" t="str">
        <v>Brassicaceae</v>
      </c>
      <c r="H23" t="str">
        <v>Brassica</v>
      </c>
      <c r="I23" t="str">
        <v>napus</v>
      </c>
      <c r="J23" t="str">
        <v>napus</v>
      </c>
      <c r="K23" t="str">
        <v>Brassica napus napus</v>
      </c>
      <c r="L23" t="str">
        <v>napus napus</v>
      </c>
      <c r="M23" t="str">
        <v>Seed</v>
      </c>
      <c r="N23" t="str">
        <v>Apr</v>
      </c>
      <c r="O23" t="str">
        <v>LateReproductive</v>
      </c>
      <c r="P23" t="str">
        <v>Jan</v>
      </c>
      <c r="Q23">
        <v>4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0.27000001072883606</v>
      </c>
      <c r="Y23">
        <v>1.3000000268220901E-2</v>
      </c>
      <c r="Z23">
        <v>9</v>
      </c>
      <c r="AA23">
        <v>0.10000000149011612</v>
      </c>
      <c r="AB23">
        <v>1.2000000476837158</v>
      </c>
      <c r="AC23">
        <v>1</v>
      </c>
      <c r="AD23">
        <v>2</v>
      </c>
      <c r="AE23">
        <v>0.80000001192092896</v>
      </c>
      <c r="AF23">
        <v>1.1499999761581421</v>
      </c>
      <c r="AG23">
        <v>3.2200000286102295</v>
      </c>
    </row>
    <row r="24" spans="1:33">
      <c r="A24" t="str">
        <v>Hemp Grain General</v>
      </c>
      <c r="B24">
        <v>15</v>
      </c>
      <c r="C24" t="str">
        <v>Grain</v>
      </c>
      <c r="D24" t="str">
        <v>Oilseed</v>
      </c>
      <c r="E24" t="str">
        <v>Hemp</v>
      </c>
      <c r="F24" t="str">
        <v>General</v>
      </c>
      <c r="G24" t="str">
        <v>Cannabaceae</v>
      </c>
      <c r="H24" t="str">
        <v>Cannabis</v>
      </c>
      <c r="I24" t="str">
        <v>x</v>
      </c>
      <c r="J24" t="str">
        <v/>
      </c>
      <c r="K24" t="str">
        <v>Cannabis x</v>
      </c>
      <c r="L24" t="str">
        <v>x</v>
      </c>
      <c r="M24" t="str">
        <v>Seed</v>
      </c>
      <c r="N24" t="str">
        <v>Nov</v>
      </c>
      <c r="O24" t="str">
        <v>Maturity</v>
      </c>
      <c r="P24" t="str">
        <v>Mar</v>
      </c>
      <c r="Q24">
        <v>1.1499999761581421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0.10000000149011612</v>
      </c>
      <c r="Y24">
        <v>5.000000074505806E-2</v>
      </c>
      <c r="Z24">
        <v>9</v>
      </c>
      <c r="AA24">
        <v>0.10000000149011612</v>
      </c>
      <c r="AB24">
        <v>1.5</v>
      </c>
      <c r="AC24">
        <v>1</v>
      </c>
      <c r="AD24">
        <v>1</v>
      </c>
      <c r="AE24">
        <v>1</v>
      </c>
      <c r="AF24">
        <v>1</v>
      </c>
      <c r="AG24">
        <v>4</v>
      </c>
    </row>
    <row r="25" spans="1:33">
      <c r="A25" t="str">
        <v>Linseed Grain General</v>
      </c>
      <c r="B25">
        <v>20</v>
      </c>
      <c r="C25" t="str">
        <v>Grain</v>
      </c>
      <c r="D25" t="str">
        <v>Oilseed</v>
      </c>
      <c r="E25" t="str">
        <v>Linseed</v>
      </c>
      <c r="F25" t="str">
        <v>General</v>
      </c>
      <c r="G25" t="str">
        <v>Linaceae</v>
      </c>
      <c r="H25" t="str">
        <v>Linum</v>
      </c>
      <c r="I25" t="str">
        <v>usitatissimum</v>
      </c>
      <c r="J25" t="str">
        <v/>
      </c>
      <c r="K25" t="str">
        <v>Linum usitatissimum</v>
      </c>
      <c r="L25" t="str">
        <v>usitatissimum</v>
      </c>
      <c r="M25" t="str">
        <v>Seed</v>
      </c>
      <c r="N25" t="str">
        <v>Sep</v>
      </c>
      <c r="O25" t="str">
        <v>LateReproductive</v>
      </c>
      <c r="P25" t="str">
        <v>Mar</v>
      </c>
      <c r="Q25">
        <v>2.5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0.2083333283662796</v>
      </c>
      <c r="Y25">
        <v>0</v>
      </c>
      <c r="Z25">
        <v>9</v>
      </c>
      <c r="AA25">
        <v>0.10000000149011612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4.3000001907348633</v>
      </c>
    </row>
    <row r="26" spans="1:33">
      <c r="A26" t="str">
        <v>Bean Grain General</v>
      </c>
      <c r="B26">
        <v>21</v>
      </c>
      <c r="C26" t="str">
        <v>Grain</v>
      </c>
      <c r="D26" t="str">
        <v>Pulse</v>
      </c>
      <c r="E26" t="str">
        <v>Bean</v>
      </c>
      <c r="F26" t="str">
        <v>General</v>
      </c>
      <c r="G26" t="str">
        <v>Fabaceae</v>
      </c>
      <c r="H26" t="str">
        <v>Phaseolus</v>
      </c>
      <c r="I26" t="str">
        <v>vulgaris</v>
      </c>
      <c r="J26" t="str">
        <v/>
      </c>
      <c r="K26" t="str">
        <v>Phaseolus vulgaris</v>
      </c>
      <c r="L26" t="str">
        <v>vulgaris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Chickpea Grain General</v>
      </c>
      <c r="B27">
        <v>16</v>
      </c>
      <c r="C27" t="str">
        <v>Grain</v>
      </c>
      <c r="D27" t="str">
        <v>Pulse</v>
      </c>
      <c r="E27" t="str">
        <v>Chickpea</v>
      </c>
      <c r="F27" t="str">
        <v>General</v>
      </c>
      <c r="G27" t="str">
        <v>Fabaceae</v>
      </c>
      <c r="H27" t="str">
        <v>Cicer</v>
      </c>
      <c r="I27" t="str">
        <v>arietinum</v>
      </c>
      <c r="J27" t="str">
        <v/>
      </c>
      <c r="K27" t="str">
        <v>Cicer arietinum</v>
      </c>
      <c r="L27" t="str">
        <v>arietinum</v>
      </c>
      <c r="M27" t="str">
        <v>Seed</v>
      </c>
      <c r="N27" t="str">
        <v>Oct</v>
      </c>
      <c r="O27" t="str">
        <v>LateReproductive</v>
      </c>
      <c r="P27" t="str">
        <v>Mar</v>
      </c>
      <c r="Q27">
        <v>4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15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4.6999998092651367</v>
      </c>
    </row>
    <row r="28" spans="1:33">
      <c r="A28" t="str">
        <v>Lentil Grain General</v>
      </c>
      <c r="B28">
        <v>19</v>
      </c>
      <c r="C28" t="str">
        <v>Grain</v>
      </c>
      <c r="D28" t="str">
        <v>Pulse</v>
      </c>
      <c r="E28" t="str">
        <v>Lentil</v>
      </c>
      <c r="F28" t="str">
        <v>General</v>
      </c>
      <c r="G28" t="str">
        <v>Fabaceae</v>
      </c>
      <c r="H28" t="str">
        <v>Lens</v>
      </c>
      <c r="I28" t="str">
        <v>culinaris</v>
      </c>
      <c r="J28" t="str">
        <v/>
      </c>
      <c r="K28" t="str">
        <v>Lens culinaris</v>
      </c>
      <c r="L28" t="str">
        <v>culinaris</v>
      </c>
      <c r="M28" t="str">
        <v>Seed</v>
      </c>
      <c r="N28" t="str">
        <v>Oct</v>
      </c>
      <c r="O28" t="str">
        <v>Maturity</v>
      </c>
      <c r="P28" t="str">
        <v>Mar</v>
      </c>
      <c r="Q28">
        <v>3.5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1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Pea Grain General</v>
      </c>
      <c r="B29">
        <v>22</v>
      </c>
      <c r="C29" t="str">
        <v>Grain</v>
      </c>
      <c r="D29" t="str">
        <v>Pulse</v>
      </c>
      <c r="E29" t="str">
        <v>Pea</v>
      </c>
      <c r="F29" t="str">
        <v>General</v>
      </c>
      <c r="G29" t="str">
        <v>Fabaceae</v>
      </c>
      <c r="H29" t="str">
        <v>Pisum</v>
      </c>
      <c r="I29" t="str">
        <v>sativum</v>
      </c>
      <c r="J29" t="str">
        <v/>
      </c>
      <c r="K29" t="str">
        <v>Pisum sativum</v>
      </c>
      <c r="L29" t="str">
        <v>sativum</v>
      </c>
      <c r="M29" t="str">
        <v>Seed</v>
      </c>
      <c r="N29" t="str">
        <v>Oct</v>
      </c>
      <c r="O29" t="str">
        <v>Maturity</v>
      </c>
      <c r="P29" t="str">
        <v>Mar</v>
      </c>
      <c r="Q29">
        <v>5.5</v>
      </c>
      <c r="R29" t="str">
        <v>t/ha</v>
      </c>
      <c r="S29" t="str">
        <v>Saleable grain</v>
      </c>
      <c r="T29">
        <v>1</v>
      </c>
      <c r="U29" t="str">
        <v>Total</v>
      </c>
      <c r="V29">
        <v>0</v>
      </c>
      <c r="W29">
        <v>0</v>
      </c>
      <c r="X29">
        <v>0.30000001192092896</v>
      </c>
      <c r="Y29">
        <v>0</v>
      </c>
      <c r="Z29">
        <v>14</v>
      </c>
      <c r="AA29">
        <v>0.10000000149011612</v>
      </c>
      <c r="AB29">
        <v>0.69999998807907104</v>
      </c>
      <c r="AC29">
        <v>1</v>
      </c>
      <c r="AD29">
        <v>1</v>
      </c>
      <c r="AE29">
        <v>1.5</v>
      </c>
      <c r="AF29">
        <v>1.6000000238418579</v>
      </c>
      <c r="AG29">
        <v>3.5</v>
      </c>
    </row>
    <row r="30" spans="1:33">
      <c r="A30" t="str">
        <v>Lupin Green manure General</v>
      </c>
      <c r="B30">
        <v>74</v>
      </c>
      <c r="C30" t="str">
        <v>Green manure</v>
      </c>
      <c r="D30" t="str">
        <v>Green manure</v>
      </c>
      <c r="E30" t="str">
        <v>Lupin</v>
      </c>
      <c r="F30" t="str">
        <v>General</v>
      </c>
      <c r="G30" t="str">
        <v>Fabaceae</v>
      </c>
      <c r="H30" t="str">
        <v>Lupinus</v>
      </c>
      <c r="I30" t="str">
        <v>angustifolius</v>
      </c>
      <c r="J30" t="str">
        <v/>
      </c>
      <c r="K30" t="str">
        <v>Lupinus angustifolius</v>
      </c>
      <c r="L30" t="str">
        <v>angustifolius</v>
      </c>
      <c r="M30" t="str">
        <v>Seed</v>
      </c>
      <c r="N30" t="str">
        <v>Apr</v>
      </c>
      <c r="O30" t="str">
        <v>EarlyReproductive</v>
      </c>
      <c r="P30" t="str">
        <v>Sep</v>
      </c>
      <c r="Q30">
        <v>12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1.5</v>
      </c>
      <c r="AC30">
        <v>1</v>
      </c>
      <c r="AD30">
        <v>1</v>
      </c>
      <c r="AE30">
        <v>1.5</v>
      </c>
      <c r="AF30">
        <v>1.6000000238418579</v>
      </c>
      <c r="AG30">
        <v>1.6000000238418579</v>
      </c>
    </row>
    <row r="31" spans="1:33">
      <c r="A31" t="str">
        <v>Mustard Green manure General</v>
      </c>
      <c r="B31">
        <v>77</v>
      </c>
      <c r="C31" t="str">
        <v>Green manure</v>
      </c>
      <c r="D31" t="str">
        <v>Green manure</v>
      </c>
      <c r="E31" t="str">
        <v>Mustard</v>
      </c>
      <c r="F31" t="str">
        <v>General</v>
      </c>
      <c r="G31" t="str">
        <v>Brassicaceae</v>
      </c>
      <c r="H31" t="str">
        <v>Sinapis</v>
      </c>
      <c r="I31" t="str">
        <v>alba</v>
      </c>
      <c r="J31" t="str">
        <v/>
      </c>
      <c r="K31" t="str">
        <v>Sinapis alba</v>
      </c>
      <c r="L31" t="str">
        <v>alba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6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1.1000000238418579</v>
      </c>
      <c r="AE31">
        <v>0.80000001192092896</v>
      </c>
      <c r="AF31">
        <v>2</v>
      </c>
      <c r="AG31">
        <v>2</v>
      </c>
    </row>
    <row r="32" spans="1:33">
      <c r="A32" t="str">
        <v>Oat Green manure General</v>
      </c>
      <c r="B32">
        <v>71</v>
      </c>
      <c r="C32" t="str">
        <v>Green manure</v>
      </c>
      <c r="D32" t="str">
        <v>Green manure</v>
      </c>
      <c r="E32" t="str">
        <v>Oat</v>
      </c>
      <c r="F32" t="str">
        <v>General</v>
      </c>
      <c r="G32" t="str">
        <v>Poaceae</v>
      </c>
      <c r="H32" t="str">
        <v>Avena</v>
      </c>
      <c r="I32" t="str">
        <v>sativa</v>
      </c>
      <c r="J32" t="str">
        <v/>
      </c>
      <c r="K32" t="str">
        <v>Avena sativa</v>
      </c>
      <c r="L32" t="str">
        <v>sativa</v>
      </c>
      <c r="M32" t="str">
        <v>Seed</v>
      </c>
      <c r="N32" t="str">
        <v>Apr</v>
      </c>
      <c r="O32" t="str">
        <v>Maturity</v>
      </c>
      <c r="P32" t="str">
        <v>Sep</v>
      </c>
      <c r="Q32">
        <v>6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0.89999997615814209</v>
      </c>
      <c r="AF32">
        <v>1.5</v>
      </c>
      <c r="AG32">
        <v>1.5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Rape Green manure General</v>
      </c>
      <c r="B34">
        <v>72</v>
      </c>
      <c r="C34" t="str">
        <v>Green manure</v>
      </c>
      <c r="D34" t="str">
        <v>Green manure</v>
      </c>
      <c r="E34" t="str">
        <v>Rape</v>
      </c>
      <c r="F34" t="str">
        <v>General</v>
      </c>
      <c r="G34" t="str">
        <v>Brassicaceae</v>
      </c>
      <c r="H34" t="str">
        <v>Brassica</v>
      </c>
      <c r="I34" t="str">
        <v>napus</v>
      </c>
      <c r="J34" t="str">
        <v>napus</v>
      </c>
      <c r="K34" t="str">
        <v>Brassica napus napus</v>
      </c>
      <c r="L34" t="str">
        <v>napus napus</v>
      </c>
      <c r="M34" t="str">
        <v>Seed</v>
      </c>
      <c r="N34" t="str">
        <v>Apr</v>
      </c>
      <c r="O34" t="str">
        <v>LateReproductive</v>
      </c>
      <c r="P34" t="str">
        <v>Sep</v>
      </c>
      <c r="Q34">
        <v>4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1.2000000476837158</v>
      </c>
      <c r="AC34">
        <v>1</v>
      </c>
      <c r="AD34">
        <v>1.6000000238418579</v>
      </c>
      <c r="AE34">
        <v>0.80000001192092896</v>
      </c>
      <c r="AF34">
        <v>2.5</v>
      </c>
      <c r="AG34">
        <v>2.5</v>
      </c>
    </row>
    <row r="35" spans="1:33">
      <c r="A35" t="str">
        <v>Rye corn Green manure General</v>
      </c>
      <c r="B35">
        <v>76</v>
      </c>
      <c r="C35" t="str">
        <v>Green manure</v>
      </c>
      <c r="D35" t="str">
        <v>Green manure</v>
      </c>
      <c r="E35" t="str">
        <v>Rye corn</v>
      </c>
      <c r="F35" t="str">
        <v>General</v>
      </c>
      <c r="G35" t="str">
        <v>Poaceae</v>
      </c>
      <c r="H35" t="str">
        <v>Secale</v>
      </c>
      <c r="I35" t="str">
        <v>cereale</v>
      </c>
      <c r="J35" t="str">
        <v/>
      </c>
      <c r="K35" t="str">
        <v>Secale cereale</v>
      </c>
      <c r="L35" t="str">
        <v>cereale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8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1.5</v>
      </c>
      <c r="AC35">
        <v>1</v>
      </c>
      <c r="AD35">
        <v>1</v>
      </c>
      <c r="AE35">
        <v>0.89999997615814209</v>
      </c>
      <c r="AF35">
        <v>1.3999999761581421</v>
      </c>
      <c r="AG35">
        <v>1.3999999761581421</v>
      </c>
    </row>
    <row r="36" spans="1:33">
      <c r="A36" t="str">
        <v>Turnip Green manure General</v>
      </c>
      <c r="B36">
        <v>73</v>
      </c>
      <c r="C36" t="str">
        <v>Green manure</v>
      </c>
      <c r="D36" t="str">
        <v>Green manure</v>
      </c>
      <c r="E36" t="str">
        <v>Turnip</v>
      </c>
      <c r="F36" t="str">
        <v>General</v>
      </c>
      <c r="G36" t="str">
        <v>Brassicaceae</v>
      </c>
      <c r="H36" t="str">
        <v>Brassica</v>
      </c>
      <c r="I36" t="str">
        <v>rapa</v>
      </c>
      <c r="J36" t="str">
        <v>rapa</v>
      </c>
      <c r="K36" t="str">
        <v>Brassica rapa rapa</v>
      </c>
      <c r="L36" t="str">
        <v>rapa rapa</v>
      </c>
      <c r="M36" t="str">
        <v>Seed</v>
      </c>
      <c r="N36" t="str">
        <v>Apr</v>
      </c>
      <c r="O36" t="str">
        <v>EarlyReproductive</v>
      </c>
      <c r="P36" t="str">
        <v>Sep</v>
      </c>
      <c r="Q36">
        <v>8</v>
      </c>
      <c r="R36" t="str">
        <v>t/ha</v>
      </c>
      <c r="S36" t="str">
        <v>Standing DM</v>
      </c>
      <c r="T36">
        <v>1</v>
      </c>
      <c r="U36" t="str">
        <v>Dry</v>
      </c>
      <c r="V36">
        <v>0</v>
      </c>
      <c r="W36">
        <v>1</v>
      </c>
      <c r="X36">
        <v>1</v>
      </c>
      <c r="Y36">
        <v>0</v>
      </c>
      <c r="Z36">
        <v>0</v>
      </c>
      <c r="AA36">
        <v>0.10000000149011612</v>
      </c>
      <c r="AB36">
        <v>1.2000000476837158</v>
      </c>
      <c r="AC36">
        <v>1</v>
      </c>
      <c r="AD36">
        <v>2</v>
      </c>
      <c r="AE36">
        <v>0.80000001192092896</v>
      </c>
      <c r="AF36">
        <v>2</v>
      </c>
      <c r="AG36">
        <v>2</v>
      </c>
    </row>
    <row r="37" spans="1:33">
      <c r="A37" t="str">
        <v>Annual ryegrass Green manure General</v>
      </c>
      <c r="B37">
        <v>74</v>
      </c>
      <c r="C37" t="str">
        <v>Green manure</v>
      </c>
      <c r="D37" t="str">
        <v>Green manure</v>
      </c>
      <c r="E37" t="str">
        <v>Annual ryegrass</v>
      </c>
      <c r="F37" t="str">
        <v>General</v>
      </c>
      <c r="G37" t="str">
        <v>Poaceae</v>
      </c>
      <c r="H37" t="str">
        <v>Lolium</v>
      </c>
      <c r="I37" t="str">
        <v>multiflorum</v>
      </c>
      <c r="J37" t="str">
        <v/>
      </c>
      <c r="K37" t="str">
        <v>Lolium multiflorum</v>
      </c>
      <c r="L37" t="str">
        <v>multiflorum</v>
      </c>
      <c r="M37" t="str">
        <v>Seed</v>
      </c>
      <c r="N37" t="str">
        <v>Apr</v>
      </c>
      <c r="O37" t="str">
        <v>EarlyReproductive</v>
      </c>
      <c r="P37" t="str">
        <v>Dec</v>
      </c>
      <c r="Q37">
        <v>3</v>
      </c>
      <c r="R37" t="str">
        <v>t/ha</v>
      </c>
      <c r="S37" t="str">
        <v>Standing DM</v>
      </c>
      <c r="T37">
        <v>1</v>
      </c>
      <c r="U37" t="str">
        <v>Dry</v>
      </c>
      <c r="V37">
        <v>0</v>
      </c>
      <c r="W37">
        <v>0</v>
      </c>
      <c r="X37">
        <v>1</v>
      </c>
      <c r="Y37">
        <v>0</v>
      </c>
      <c r="Z37">
        <v>0</v>
      </c>
      <c r="AA37">
        <v>0.10000000149011612</v>
      </c>
      <c r="AB37">
        <v>0.89999997615814209</v>
      </c>
      <c r="AC37">
        <v>1</v>
      </c>
      <c r="AD37">
        <v>1.5</v>
      </c>
      <c r="AE37">
        <v>0.89999997615814209</v>
      </c>
      <c r="AF37">
        <v>2</v>
      </c>
      <c r="AG37">
        <v>2</v>
      </c>
    </row>
    <row r="38" spans="1:33">
      <c r="A38" t="str">
        <v>Early harvest Potato Agria</v>
      </c>
      <c r="B38">
        <v>86</v>
      </c>
      <c r="C38" t="str">
        <v>Potato</v>
      </c>
      <c r="D38" t="str">
        <v>Potato</v>
      </c>
      <c r="E38" t="str">
        <v>Early harvest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Aug</v>
      </c>
      <c r="O38" t="str">
        <v>MidReproductive</v>
      </c>
      <c r="P38" t="str">
        <v>Jan</v>
      </c>
      <c r="Q38">
        <v>60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0.85000002384185791</v>
      </c>
      <c r="Y38">
        <v>0</v>
      </c>
      <c r="Z38">
        <v>76</v>
      </c>
      <c r="AA38">
        <v>0.10000000149011612</v>
      </c>
      <c r="AB38">
        <v>0.69999998807907104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1.7999999523162842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1.7999999523162842</v>
      </c>
    </row>
    <row r="40" spans="1:33">
      <c r="A40" t="str">
        <v>Early harvest Potato Long (Group3)</v>
      </c>
      <c r="B40">
        <v>107</v>
      </c>
      <c r="C40" t="str">
        <v>Potato</v>
      </c>
      <c r="D40" t="str">
        <v>Potato</v>
      </c>
      <c r="E40" t="str">
        <v>Early harvest</v>
      </c>
      <c r="F40" t="str">
        <v>Long (Group3)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Aug</v>
      </c>
      <c r="O40" t="str">
        <v>MidReproductive</v>
      </c>
      <c r="P40" t="str">
        <v>Jan</v>
      </c>
      <c r="Q40">
        <v>60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0.85000002384185791</v>
      </c>
      <c r="Y40">
        <v>0</v>
      </c>
      <c r="Z40">
        <v>76</v>
      </c>
      <c r="AA40">
        <v>0.10000000149011612</v>
      </c>
      <c r="AB40">
        <v>0.69999998807907104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1.7999999523162842</v>
      </c>
    </row>
    <row r="41" spans="1:33">
      <c r="A41" t="str">
        <v>Early harvest Potato Medium (Group2)</v>
      </c>
      <c r="B41">
        <v>104</v>
      </c>
      <c r="C41" t="str">
        <v>Potato</v>
      </c>
      <c r="D41" t="str">
        <v>Potato</v>
      </c>
      <c r="E41" t="str">
        <v>Early harvest</v>
      </c>
      <c r="F41" t="str">
        <v>Medium (Group2)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Aug</v>
      </c>
      <c r="O41" t="str">
        <v>MidReproductive</v>
      </c>
      <c r="P41" t="str">
        <v>Jan</v>
      </c>
      <c r="Q41">
        <v>50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0.85000002384185791</v>
      </c>
      <c r="Y41">
        <v>0</v>
      </c>
      <c r="Z41">
        <v>76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1.7999999523162842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70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1.7999999523162842</v>
      </c>
    </row>
    <row r="43" spans="1:33">
      <c r="A43" t="str">
        <v>Early harvest Potato Nadine</v>
      </c>
      <c r="B43">
        <v>95</v>
      </c>
      <c r="C43" t="str">
        <v>Potato</v>
      </c>
      <c r="D43" t="str">
        <v>Potato</v>
      </c>
      <c r="E43" t="str">
        <v>Early harvest</v>
      </c>
      <c r="F43" t="str">
        <v>Nadine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Aug</v>
      </c>
      <c r="O43" t="str">
        <v>MidReproductive</v>
      </c>
      <c r="P43" t="str">
        <v>Jan</v>
      </c>
      <c r="Q43">
        <v>70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0.85000002384185791</v>
      </c>
      <c r="Y43">
        <v>0</v>
      </c>
      <c r="Z43">
        <v>76</v>
      </c>
      <c r="AA43">
        <v>0.10000000149011612</v>
      </c>
      <c r="AB43">
        <v>0.60000002384185791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1.7999999523162842</v>
      </c>
    </row>
    <row r="44" spans="1:33">
      <c r="A44" t="str">
        <v>Early harvest Potato RussetBurbank</v>
      </c>
      <c r="B44">
        <v>98</v>
      </c>
      <c r="C44" t="str">
        <v>Potato</v>
      </c>
      <c r="D44" t="str">
        <v>Potato</v>
      </c>
      <c r="E44" t="str">
        <v>Early harvest</v>
      </c>
      <c r="F44" t="str">
        <v>RussetBurbank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Aug</v>
      </c>
      <c r="O44" t="str">
        <v>MidReproductive</v>
      </c>
      <c r="P44" t="str">
        <v>Jan</v>
      </c>
      <c r="Q44">
        <v>60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0.85000002384185791</v>
      </c>
      <c r="Y44">
        <v>0</v>
      </c>
      <c r="Z44">
        <v>76</v>
      </c>
      <c r="AA44">
        <v>0.10000000149011612</v>
      </c>
      <c r="AB44">
        <v>0.69999998807907104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1.7999999523162842</v>
      </c>
    </row>
    <row r="45" spans="1:33">
      <c r="A45" t="str">
        <v>Early harvest Potato Short (Group1)</v>
      </c>
      <c r="B45">
        <v>101</v>
      </c>
      <c r="C45" t="str">
        <v>Potato</v>
      </c>
      <c r="D45" t="str">
        <v>Potato</v>
      </c>
      <c r="E45" t="str">
        <v>Early harvest</v>
      </c>
      <c r="F45" t="str">
        <v>Short (Group1)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40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0.5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1.7999999523162842</v>
      </c>
    </row>
    <row r="46" spans="1:33">
      <c r="A46" t="str">
        <v>Early harvest Potato Very Long (Group4)</v>
      </c>
      <c r="B46">
        <v>110</v>
      </c>
      <c r="C46" t="str">
        <v>Potato</v>
      </c>
      <c r="D46" t="str">
        <v>Potato</v>
      </c>
      <c r="E46" t="str">
        <v>Early harvest</v>
      </c>
      <c r="F46" t="str">
        <v>Very Long (Group4)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Aug</v>
      </c>
      <c r="O46" t="str">
        <v>MidReproductive</v>
      </c>
      <c r="P46" t="str">
        <v>Jan</v>
      </c>
      <c r="Q46">
        <v>70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76</v>
      </c>
      <c r="AA46">
        <v>0.10000000149011612</v>
      </c>
      <c r="AB46">
        <v>0.80000001192092896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1.7999999523162842</v>
      </c>
    </row>
    <row r="47" spans="1:33">
      <c r="A47" t="str">
        <v>GroundStore Potato Agria</v>
      </c>
      <c r="B47">
        <v>88</v>
      </c>
      <c r="C47" t="str">
        <v>Potato</v>
      </c>
      <c r="D47" t="str">
        <v>Potato</v>
      </c>
      <c r="E47" t="str">
        <v>GroundStore</v>
      </c>
      <c r="F47" t="str">
        <v>Agria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60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0.80000001192092896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1.7999999523162842</v>
      </c>
    </row>
    <row r="48" spans="1:33">
      <c r="A48" t="str">
        <v>GroundStore Potato Innovator</v>
      </c>
      <c r="B48">
        <v>91</v>
      </c>
      <c r="C48" t="str">
        <v>Potato</v>
      </c>
      <c r="D48" t="str">
        <v>Potato</v>
      </c>
      <c r="E48" t="str">
        <v>GroundStore</v>
      </c>
      <c r="F48" t="str">
        <v>Innovator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Oct</v>
      </c>
      <c r="O48" t="str">
        <v>Late</v>
      </c>
      <c r="P48" t="str">
        <v>June</v>
      </c>
      <c r="Q48">
        <v>70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0.92000001668930054</v>
      </c>
      <c r="Y48">
        <v>0</v>
      </c>
      <c r="Z48">
        <v>79</v>
      </c>
      <c r="AA48">
        <v>0.10000000149011612</v>
      </c>
      <c r="AB48">
        <v>0.60000002384185791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1.7999999523162842</v>
      </c>
    </row>
    <row r="49" spans="1:33">
      <c r="A49" t="str">
        <v>GroundStore Potato Long (Group3)</v>
      </c>
      <c r="B49">
        <v>109</v>
      </c>
      <c r="C49" t="str">
        <v>Potato</v>
      </c>
      <c r="D49" t="str">
        <v>Potato</v>
      </c>
      <c r="E49" t="str">
        <v>GroundStore</v>
      </c>
      <c r="F49" t="str">
        <v>Long (Group3)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Late</v>
      </c>
      <c r="P49" t="str">
        <v>June</v>
      </c>
      <c r="Q49">
        <v>70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1.7999999523162842</v>
      </c>
    </row>
    <row r="50" spans="1:33">
      <c r="A50" t="str">
        <v>GroundStore Potato Medium (Group2)</v>
      </c>
      <c r="B50">
        <v>106</v>
      </c>
      <c r="C50" t="str">
        <v>Potato</v>
      </c>
      <c r="D50" t="str">
        <v>Potato</v>
      </c>
      <c r="E50" t="str">
        <v>GroundStore</v>
      </c>
      <c r="F50" t="str">
        <v>Medium (Group2)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60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0.69999998807907104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1.7999999523162842</v>
      </c>
    </row>
    <row r="51" spans="1:33">
      <c r="A51" t="str">
        <v>GroundStore Potato Moonlight</v>
      </c>
      <c r="B51">
        <v>94</v>
      </c>
      <c r="C51" t="str">
        <v>Potato</v>
      </c>
      <c r="D51" t="str">
        <v>Potato</v>
      </c>
      <c r="E51" t="str">
        <v>GroundStore</v>
      </c>
      <c r="F51" t="str">
        <v>Moonlight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Oct</v>
      </c>
      <c r="O51" t="str">
        <v>Late</v>
      </c>
      <c r="P51" t="str">
        <v>June</v>
      </c>
      <c r="Q51">
        <v>80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0.92000001668930054</v>
      </c>
      <c r="Y51">
        <v>0</v>
      </c>
      <c r="Z51">
        <v>79</v>
      </c>
      <c r="AA51">
        <v>0.10000000149011612</v>
      </c>
      <c r="AB51">
        <v>0.80000001192092896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1.7999999523162842</v>
      </c>
    </row>
    <row r="52" spans="1:33">
      <c r="A52" t="str">
        <v>GroundStore Potato Nadine</v>
      </c>
      <c r="B52">
        <v>97</v>
      </c>
      <c r="C52" t="str">
        <v>Potato</v>
      </c>
      <c r="D52" t="str">
        <v>Potato</v>
      </c>
      <c r="E52" t="str">
        <v>GroundStore</v>
      </c>
      <c r="F52" t="str">
        <v>Nadine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Late</v>
      </c>
      <c r="P52" t="str">
        <v>June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0.69999998807907104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1.7999999523162842</v>
      </c>
    </row>
    <row r="53" spans="1:33">
      <c r="A53" t="str">
        <v>GroundStore Potato RussetBurbank</v>
      </c>
      <c r="B53">
        <v>100</v>
      </c>
      <c r="C53" t="str">
        <v>Potato</v>
      </c>
      <c r="D53" t="str">
        <v>Potato</v>
      </c>
      <c r="E53" t="str">
        <v>GroundStore</v>
      </c>
      <c r="F53" t="str">
        <v>RussetBurbank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70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0.80000001192092896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1.7999999523162842</v>
      </c>
    </row>
    <row r="54" spans="1:33">
      <c r="A54" t="str">
        <v>GroundStore Potato Short (Group1)</v>
      </c>
      <c r="B54">
        <v>103</v>
      </c>
      <c r="C54" t="str">
        <v>Potato</v>
      </c>
      <c r="D54" t="str">
        <v>Potato</v>
      </c>
      <c r="E54" t="str">
        <v>GroundStore</v>
      </c>
      <c r="F54" t="str">
        <v>Short (Group1)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Oct</v>
      </c>
      <c r="O54" t="str">
        <v>Late</v>
      </c>
      <c r="P54" t="str">
        <v>June</v>
      </c>
      <c r="Q54">
        <v>50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0.92000001668930054</v>
      </c>
      <c r="Y54">
        <v>0</v>
      </c>
      <c r="Z54">
        <v>79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1.7999999523162842</v>
      </c>
    </row>
    <row r="55" spans="1:33">
      <c r="A55" t="str">
        <v>GroundStore Potato Very Long (Group4)</v>
      </c>
      <c r="B55">
        <v>112</v>
      </c>
      <c r="C55" t="str">
        <v>Potato</v>
      </c>
      <c r="D55" t="str">
        <v>Potato</v>
      </c>
      <c r="E55" t="str">
        <v>GroundStore</v>
      </c>
      <c r="F55" t="str">
        <v>Very Long (Group4)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Late</v>
      </c>
      <c r="P55" t="str">
        <v>June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0.89999997615814209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1.7999999523162842</v>
      </c>
    </row>
    <row r="56" spans="1:33">
      <c r="A56" t="str">
        <v>Maturity harvest Potato Agria</v>
      </c>
      <c r="B56">
        <v>87</v>
      </c>
      <c r="C56" t="str">
        <v>Potato</v>
      </c>
      <c r="D56" t="str">
        <v>Potato</v>
      </c>
      <c r="E56" t="str">
        <v>Maturity harvest</v>
      </c>
      <c r="F56" t="str">
        <v>Agria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Maturity</v>
      </c>
      <c r="P56" t="str">
        <v>Apr</v>
      </c>
      <c r="Q56">
        <v>60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0.80000001192092896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1.7999999523162842</v>
      </c>
    </row>
    <row r="57" spans="1:33">
      <c r="A57" t="str">
        <v>Maturity harvest Potato Innovator</v>
      </c>
      <c r="B57">
        <v>90</v>
      </c>
      <c r="C57" t="str">
        <v>Potato</v>
      </c>
      <c r="D57" t="str">
        <v>Potato</v>
      </c>
      <c r="E57" t="str">
        <v>Maturity harvest</v>
      </c>
      <c r="F57" t="str">
        <v>Innovator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Oct</v>
      </c>
      <c r="O57" t="str">
        <v>Maturity</v>
      </c>
      <c r="P57" t="str">
        <v>Apr</v>
      </c>
      <c r="Q57">
        <v>70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0.92000001668930054</v>
      </c>
      <c r="Y57">
        <v>0</v>
      </c>
      <c r="Z57">
        <v>79</v>
      </c>
      <c r="AA57">
        <v>0.10000000149011612</v>
      </c>
      <c r="AB57">
        <v>0.60000002384185791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1.7999999523162842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70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1.7999999523162842</v>
      </c>
    </row>
    <row r="59" spans="1:33">
      <c r="A59" t="str">
        <v>Maturity harvest Potato Medium (Group2)</v>
      </c>
      <c r="B59">
        <v>105</v>
      </c>
      <c r="C59" t="str">
        <v>Potato</v>
      </c>
      <c r="D59" t="str">
        <v>Potato</v>
      </c>
      <c r="E59" t="str">
        <v>Maturity harvest</v>
      </c>
      <c r="F59" t="str">
        <v>Medium (Group2)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Maturity</v>
      </c>
      <c r="P59" t="str">
        <v>Apr</v>
      </c>
      <c r="Q59">
        <v>60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0.69999998807907104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1.7999999523162842</v>
      </c>
    </row>
    <row r="60" spans="1:33">
      <c r="A60" t="str">
        <v>Maturity harvest Potato Moonlight</v>
      </c>
      <c r="B60">
        <v>93</v>
      </c>
      <c r="C60" t="str">
        <v>Potato</v>
      </c>
      <c r="D60" t="str">
        <v>Potato</v>
      </c>
      <c r="E60" t="str">
        <v>Maturity harvest</v>
      </c>
      <c r="F60" t="str">
        <v>Moonlight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Oct</v>
      </c>
      <c r="O60" t="str">
        <v>Maturity</v>
      </c>
      <c r="P60" t="str">
        <v>Apr</v>
      </c>
      <c r="Q60">
        <v>80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0.92000001668930054</v>
      </c>
      <c r="Y60">
        <v>0</v>
      </c>
      <c r="Z60">
        <v>79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1.7999999523162842</v>
      </c>
    </row>
    <row r="61" spans="1:33">
      <c r="A61" t="str">
        <v>Maturity harvest Potato Nadine</v>
      </c>
      <c r="B61">
        <v>96</v>
      </c>
      <c r="C61" t="str">
        <v>Potato</v>
      </c>
      <c r="D61" t="str">
        <v>Potato</v>
      </c>
      <c r="E61" t="str">
        <v>Maturity harvest</v>
      </c>
      <c r="F61" t="str">
        <v>Nadine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0.69999998807907104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1.7999999523162842</v>
      </c>
    </row>
    <row r="62" spans="1:33">
      <c r="A62" t="str">
        <v>Maturity harvest Potato RussetBurbank</v>
      </c>
      <c r="B62">
        <v>99</v>
      </c>
      <c r="C62" t="str">
        <v>Potato</v>
      </c>
      <c r="D62" t="str">
        <v>Potato</v>
      </c>
      <c r="E62" t="str">
        <v>Maturity harvest</v>
      </c>
      <c r="F62" t="str">
        <v>RussetBurbank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Maturity</v>
      </c>
      <c r="P62" t="str">
        <v>Apr</v>
      </c>
      <c r="Q62">
        <v>70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0.80000001192092896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1.7999999523162842</v>
      </c>
    </row>
    <row r="63" spans="1:33">
      <c r="A63" t="str">
        <v>Maturity harvest Potato Short (Group1)</v>
      </c>
      <c r="B63">
        <v>102</v>
      </c>
      <c r="C63" t="str">
        <v>Potato</v>
      </c>
      <c r="D63" t="str">
        <v>Potato</v>
      </c>
      <c r="E63" t="str">
        <v>Maturity harvest</v>
      </c>
      <c r="F63" t="str">
        <v>Short (Group1)</v>
      </c>
      <c r="G63" t="str">
        <v>Solanaceae</v>
      </c>
      <c r="H63" t="str">
        <v>Solanum</v>
      </c>
      <c r="I63" t="str">
        <v>tuberosum</v>
      </c>
      <c r="J63" t="str">
        <v/>
      </c>
      <c r="K63" t="str">
        <v>Solanum  tuberosum</v>
      </c>
      <c r="L63" t="str">
        <v>tuberosum</v>
      </c>
      <c r="M63" t="str">
        <v>Seed</v>
      </c>
      <c r="N63" t="str">
        <v>Oct</v>
      </c>
      <c r="O63" t="str">
        <v>Maturity</v>
      </c>
      <c r="P63" t="str">
        <v>Apr</v>
      </c>
      <c r="Q63">
        <v>50</v>
      </c>
      <c r="R63" t="str">
        <v>t/ha</v>
      </c>
      <c r="S63" t="str">
        <v>Saleable product</v>
      </c>
      <c r="T63">
        <v>1</v>
      </c>
      <c r="U63" t="str">
        <v>Total</v>
      </c>
      <c r="V63">
        <v>0</v>
      </c>
      <c r="W63">
        <v>0</v>
      </c>
      <c r="X63">
        <v>0.92000001668930054</v>
      </c>
      <c r="Y63">
        <v>0</v>
      </c>
      <c r="Z63">
        <v>79</v>
      </c>
      <c r="AA63">
        <v>0.10000000149011612</v>
      </c>
      <c r="AB63">
        <v>0.60000002384185791</v>
      </c>
      <c r="AC63">
        <v>1</v>
      </c>
      <c r="AD63">
        <v>1.2000000476837158</v>
      </c>
      <c r="AE63">
        <v>0.89999997615814209</v>
      </c>
      <c r="AF63">
        <v>1.1499999761581421</v>
      </c>
      <c r="AG63">
        <v>1.7999999523162842</v>
      </c>
    </row>
    <row r="64" spans="1:33">
      <c r="A64" t="str">
        <v>Maturity harvest Potato Very Long (Group4)</v>
      </c>
      <c r="B64">
        <v>111</v>
      </c>
      <c r="C64" t="str">
        <v>Potato</v>
      </c>
      <c r="D64" t="str">
        <v>Potato</v>
      </c>
      <c r="E64" t="str">
        <v>Maturity harvest</v>
      </c>
      <c r="F64" t="str">
        <v>Very Long (Group4)</v>
      </c>
      <c r="G64" t="str">
        <v>Solanaceae</v>
      </c>
      <c r="H64" t="str">
        <v>Solanum</v>
      </c>
      <c r="I64" t="str">
        <v>tuberosum</v>
      </c>
      <c r="J64" t="str">
        <v/>
      </c>
      <c r="K64" t="str">
        <v>Solanum  tuberosum</v>
      </c>
      <c r="L64" t="str">
        <v>tuberosum</v>
      </c>
      <c r="M64" t="str">
        <v>Seed</v>
      </c>
      <c r="N64" t="str">
        <v>Oct</v>
      </c>
      <c r="O64" t="str">
        <v>Maturity</v>
      </c>
      <c r="P64" t="str">
        <v>Apr</v>
      </c>
      <c r="Q64">
        <v>80</v>
      </c>
      <c r="R64" t="str">
        <v>t/ha</v>
      </c>
      <c r="S64" t="str">
        <v>Saleable product</v>
      </c>
      <c r="T64">
        <v>1</v>
      </c>
      <c r="U64" t="str">
        <v>Total</v>
      </c>
      <c r="V64">
        <v>0</v>
      </c>
      <c r="W64">
        <v>0</v>
      </c>
      <c r="X64">
        <v>0.92000001668930054</v>
      </c>
      <c r="Y64">
        <v>0</v>
      </c>
      <c r="Z64">
        <v>79</v>
      </c>
      <c r="AA64">
        <v>0.10000000149011612</v>
      </c>
      <c r="AB64">
        <v>0.89999997615814209</v>
      </c>
      <c r="AC64">
        <v>1</v>
      </c>
      <c r="AD64">
        <v>1.2000000476837158</v>
      </c>
      <c r="AE64">
        <v>0.89999997615814209</v>
      </c>
      <c r="AF64">
        <v>1.1499999761581421</v>
      </c>
      <c r="AG64">
        <v>1.7999999523162842</v>
      </c>
    </row>
    <row r="65" spans="1:33">
      <c r="A65" t="str">
        <v>Rape Seed General</v>
      </c>
      <c r="B65">
        <v>27</v>
      </c>
      <c r="C65" t="str">
        <v>Seed</v>
      </c>
      <c r="D65" t="str">
        <v>Fodder</v>
      </c>
      <c r="E65" t="str">
        <v>Rape</v>
      </c>
      <c r="F65" t="str">
        <v>General</v>
      </c>
      <c r="G65" t="str">
        <v>Brassicaceae</v>
      </c>
      <c r="H65" t="str">
        <v>Brassica</v>
      </c>
      <c r="I65" t="str">
        <v>napus</v>
      </c>
      <c r="J65" t="str">
        <v>napus</v>
      </c>
      <c r="K65" t="str">
        <v>Brassica napus napus</v>
      </c>
      <c r="L65" t="str">
        <v>napus napus</v>
      </c>
      <c r="M65" t="str">
        <v>Seed</v>
      </c>
      <c r="N65" t="str">
        <v>Apr</v>
      </c>
      <c r="O65" t="str">
        <v>LateReproductive</v>
      </c>
      <c r="P65" t="str">
        <v>Feb</v>
      </c>
      <c r="Q65">
        <v>4</v>
      </c>
      <c r="R65" t="str">
        <v>t/ha</v>
      </c>
      <c r="S65" t="str">
        <v>Saleable seed</v>
      </c>
      <c r="T65">
        <v>1</v>
      </c>
      <c r="U65" t="str">
        <v>Total</v>
      </c>
      <c r="V65">
        <v>3</v>
      </c>
      <c r="W65">
        <v>0</v>
      </c>
      <c r="X65">
        <v>0.33000001311302185</v>
      </c>
      <c r="Y65">
        <v>7.9999998211860657E-2</v>
      </c>
      <c r="Z65">
        <v>10</v>
      </c>
      <c r="AA65">
        <v>0.10000000149011612</v>
      </c>
      <c r="AB65">
        <v>1.2000000476837158</v>
      </c>
      <c r="AC65">
        <v>1</v>
      </c>
      <c r="AD65">
        <v>1.6000000238418579</v>
      </c>
      <c r="AE65">
        <v>0.80000001192092896</v>
      </c>
      <c r="AF65">
        <v>1.7999999523162842</v>
      </c>
      <c r="AG65">
        <v>5</v>
      </c>
    </row>
    <row r="66" spans="1:33">
      <c r="A66" t="str">
        <v>Cocksfoot Seed General</v>
      </c>
      <c r="B66">
        <v>29</v>
      </c>
      <c r="C66" t="str">
        <v>Seed</v>
      </c>
      <c r="D66" t="str">
        <v>Forage</v>
      </c>
      <c r="E66" t="str">
        <v>Cocksfoot</v>
      </c>
      <c r="F66" t="str">
        <v>General</v>
      </c>
      <c r="G66" t="str">
        <v>Poaceae</v>
      </c>
      <c r="H66" t="str">
        <v>Dactylus</v>
      </c>
      <c r="I66" t="str">
        <v>glomerata</v>
      </c>
      <c r="J66" t="str">
        <v/>
      </c>
      <c r="K66" t="str">
        <v>Dactylus glomerata</v>
      </c>
      <c r="L66" t="str">
        <v>glomerata</v>
      </c>
      <c r="M66" t="str">
        <v>Seed</v>
      </c>
      <c r="N66" t="str">
        <v>Feb</v>
      </c>
      <c r="O66" t="str">
        <v>LateReproductive</v>
      </c>
      <c r="P66" t="str">
        <v>Jan</v>
      </c>
      <c r="Q66">
        <v>1</v>
      </c>
      <c r="R66" t="str">
        <v>t/ha</v>
      </c>
      <c r="S66" t="str">
        <v>Saleable seed</v>
      </c>
      <c r="T66">
        <v>1</v>
      </c>
      <c r="U66" t="str">
        <v>Total</v>
      </c>
      <c r="V66">
        <v>10</v>
      </c>
      <c r="W66">
        <v>0</v>
      </c>
      <c r="X66">
        <v>9.0000003576278687E-2</v>
      </c>
      <c r="Y66">
        <v>2.9999999329447746E-2</v>
      </c>
      <c r="Z66">
        <v>15</v>
      </c>
      <c r="AA66">
        <v>0.10000000149011612</v>
      </c>
      <c r="AB66">
        <v>1</v>
      </c>
      <c r="AC66">
        <v>1</v>
      </c>
      <c r="AD66">
        <v>0.80000001192092896</v>
      </c>
      <c r="AE66">
        <v>0.89999997615814209</v>
      </c>
      <c r="AF66">
        <v>1.2000000476837158</v>
      </c>
      <c r="AG66">
        <v>2</v>
      </c>
    </row>
    <row r="67" spans="1:33">
      <c r="A67" t="str">
        <v>Ryegrass Seed General</v>
      </c>
      <c r="B67">
        <v>31</v>
      </c>
      <c r="C67" t="str">
        <v>Seed</v>
      </c>
      <c r="D67" t="str">
        <v>Forage</v>
      </c>
      <c r="E67" t="str">
        <v>Ryegrass</v>
      </c>
      <c r="F67" t="str">
        <v>General</v>
      </c>
      <c r="G67" t="str">
        <v>Poaceae</v>
      </c>
      <c r="H67" t="str">
        <v>Lolium</v>
      </c>
      <c r="I67" t="str">
        <v>perenne</v>
      </c>
      <c r="J67" t="str">
        <v/>
      </c>
      <c r="K67" t="str">
        <v>Lolium perenne</v>
      </c>
      <c r="L67" t="str">
        <v>perenne</v>
      </c>
      <c r="M67" t="str">
        <v>Seed</v>
      </c>
      <c r="N67" t="str">
        <v>Apr</v>
      </c>
      <c r="O67" t="str">
        <v>LateReproductive</v>
      </c>
      <c r="P67" t="str">
        <v>Jan</v>
      </c>
      <c r="Q67">
        <v>2.0699999332427979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0</v>
      </c>
      <c r="X67">
        <v>0.15000000596046448</v>
      </c>
      <c r="Y67">
        <v>5.000000074505806E-2</v>
      </c>
      <c r="Z67">
        <v>14</v>
      </c>
      <c r="AA67">
        <v>0.10000000149011612</v>
      </c>
      <c r="AB67">
        <v>0.89999997615814209</v>
      </c>
      <c r="AC67">
        <v>1</v>
      </c>
      <c r="AD67">
        <v>1.5</v>
      </c>
      <c r="AE67">
        <v>0.89999997615814209</v>
      </c>
      <c r="AF67">
        <v>0.89999997615814209</v>
      </c>
      <c r="AG67">
        <v>1.8999999761581421</v>
      </c>
    </row>
    <row r="68" spans="1:33">
      <c r="A68" t="str">
        <v>Tall fescue Seed Turf</v>
      </c>
      <c r="B68">
        <v>85</v>
      </c>
      <c r="C68" t="str">
        <v>Seed</v>
      </c>
      <c r="D68" t="str">
        <v>Forage</v>
      </c>
      <c r="E68" t="str">
        <v>Tall fescue</v>
      </c>
      <c r="F68" t="str">
        <v>Turf</v>
      </c>
      <c r="G68" t="str">
        <v>Tall fescue Seed Turf</v>
      </c>
      <c r="H68" t="str">
        <v>Poaceae</v>
      </c>
      <c r="I68" t="str">
        <v>Festuca</v>
      </c>
      <c r="J68" t="str">
        <v>arundinacea</v>
      </c>
      <c r="K68" t="str">
        <v>x</v>
      </c>
      <c r="L68" t="str">
        <v>Festuca arundinacea</v>
      </c>
      <c r="M68" t="str">
        <v>Seed</v>
      </c>
      <c r="N68" t="str">
        <v>May</v>
      </c>
      <c r="O68" t="str">
        <v>LateReproductive</v>
      </c>
      <c r="P68" t="str">
        <v>Jan</v>
      </c>
      <c r="Q68">
        <v>3.7999999523162842</v>
      </c>
      <c r="R68" t="str">
        <v>t/ha</v>
      </c>
      <c r="S68" t="str">
        <v>Saleable seed</v>
      </c>
      <c r="T68">
        <v>1</v>
      </c>
      <c r="U68" t="str">
        <v>Total</v>
      </c>
      <c r="V68">
        <v>15</v>
      </c>
      <c r="W68">
        <v>0</v>
      </c>
      <c r="X68">
        <v>0.25</v>
      </c>
      <c r="Y68">
        <v>0.10000000149011612</v>
      </c>
      <c r="Z68">
        <v>14</v>
      </c>
      <c r="AA68">
        <v>0.10000000149011612</v>
      </c>
      <c r="AB68">
        <v>0.89999997615814209</v>
      </c>
      <c r="AC68">
        <v>1</v>
      </c>
      <c r="AD68">
        <v>0.69999998807907104</v>
      </c>
      <c r="AE68">
        <v>0.89999997615814209</v>
      </c>
      <c r="AF68">
        <v>1.5</v>
      </c>
      <c r="AG68">
        <v>2.5</v>
      </c>
    </row>
    <row r="69" spans="1:33">
      <c r="A69" t="str">
        <v>White clover Seed General</v>
      </c>
      <c r="B69">
        <v>33</v>
      </c>
      <c r="C69" t="str">
        <v>Seed</v>
      </c>
      <c r="D69" t="str">
        <v>Forage</v>
      </c>
      <c r="E69" t="str">
        <v>White clover</v>
      </c>
      <c r="F69" t="str">
        <v>General</v>
      </c>
      <c r="G69" t="str">
        <v>Fabaceae</v>
      </c>
      <c r="H69" t="str">
        <v>Trifolium</v>
      </c>
      <c r="I69" t="str">
        <v>repens</v>
      </c>
      <c r="J69" t="str">
        <v/>
      </c>
      <c r="K69" t="str">
        <v>Trifolium repens</v>
      </c>
      <c r="L69" t="str">
        <v>repens</v>
      </c>
      <c r="M69" t="str">
        <v>Seed</v>
      </c>
      <c r="N69" t="str">
        <v>Mar</v>
      </c>
      <c r="O69" t="str">
        <v>LateReproductive</v>
      </c>
      <c r="P69" t="str">
        <v>Feb</v>
      </c>
      <c r="Q69">
        <v>0.60000002384185791</v>
      </c>
      <c r="R69" t="str">
        <v>t/ha</v>
      </c>
      <c r="S69" t="str">
        <v>Saleable seed</v>
      </c>
      <c r="T69">
        <v>1</v>
      </c>
      <c r="U69" t="str">
        <v>Total</v>
      </c>
      <c r="V69">
        <v>20</v>
      </c>
      <c r="W69">
        <v>0</v>
      </c>
      <c r="X69">
        <v>0.15000000596046448</v>
      </c>
      <c r="Y69">
        <v>9.0000003576278687E-2</v>
      </c>
      <c r="Z69">
        <v>14</v>
      </c>
      <c r="AA69">
        <v>0.10000000149011612</v>
      </c>
      <c r="AB69">
        <v>0.89999997615814209</v>
      </c>
      <c r="AC69">
        <v>1</v>
      </c>
      <c r="AD69">
        <v>0.60000002384185791</v>
      </c>
      <c r="AE69">
        <v>1.5</v>
      </c>
      <c r="AF69">
        <v>4</v>
      </c>
      <c r="AG69">
        <v>3</v>
      </c>
    </row>
    <row r="70" spans="1:33">
      <c r="A70" t="str">
        <v>Pumpkin Seed General</v>
      </c>
      <c r="B70">
        <v>84</v>
      </c>
      <c r="C70" t="str">
        <v>Seed</v>
      </c>
      <c r="D70" t="str">
        <v>Fruit</v>
      </c>
      <c r="E70" t="str">
        <v>Pumpkin</v>
      </c>
      <c r="F70" t="str">
        <v>General</v>
      </c>
      <c r="G70" t="str">
        <v>Cucurbitaceae</v>
      </c>
      <c r="H70" t="str">
        <v>Cucurbita</v>
      </c>
      <c r="I70" t="str">
        <v>pepo</v>
      </c>
      <c r="J70" t="str">
        <v/>
      </c>
      <c r="K70" t="str">
        <v>Cucurbita pepo</v>
      </c>
      <c r="L70" t="str">
        <v>pepo</v>
      </c>
      <c r="M70" t="str">
        <v>Seed</v>
      </c>
      <c r="N70" t="str">
        <v>Oct</v>
      </c>
      <c r="O70" t="str">
        <v>LateReproductive</v>
      </c>
      <c r="P70" t="str">
        <v>Mar</v>
      </c>
      <c r="Q70">
        <v>0.80000001192092896</v>
      </c>
      <c r="R70" t="str">
        <v>t/ha</v>
      </c>
      <c r="S70" t="str">
        <v>Saleable product</v>
      </c>
      <c r="T70">
        <v>1</v>
      </c>
      <c r="U70" t="str">
        <v>Total</v>
      </c>
      <c r="V70">
        <v>0</v>
      </c>
      <c r="W70">
        <v>0</v>
      </c>
      <c r="X70">
        <v>0.10000000149011612</v>
      </c>
      <c r="Y70">
        <v>0</v>
      </c>
      <c r="Z70">
        <v>14</v>
      </c>
      <c r="AA70">
        <v>0.10000000149011612</v>
      </c>
      <c r="AB70">
        <v>0.80000001192092896</v>
      </c>
      <c r="AC70">
        <v>1</v>
      </c>
      <c r="AD70">
        <v>1</v>
      </c>
      <c r="AE70">
        <v>1</v>
      </c>
      <c r="AF70">
        <v>1.3999999761581421</v>
      </c>
      <c r="AG70">
        <v>2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Pak choi Seed General</v>
      </c>
      <c r="B72">
        <v>28</v>
      </c>
      <c r="C72" t="str">
        <v>Seed</v>
      </c>
      <c r="D72" t="str">
        <v>Vegetable</v>
      </c>
      <c r="E72" t="str">
        <v>Pak choi</v>
      </c>
      <c r="F72" t="str">
        <v>General</v>
      </c>
      <c r="G72" t="str">
        <v>Brassicaceae</v>
      </c>
      <c r="H72" t="str">
        <v>Brassica</v>
      </c>
      <c r="I72" t="str">
        <v>rapa</v>
      </c>
      <c r="J72" t="str">
        <v>chinensis</v>
      </c>
      <c r="K72" t="str">
        <v>Brassica rapa chinensis</v>
      </c>
      <c r="L72" t="str">
        <v>rapa chinensis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1.2999999523162842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0</v>
      </c>
      <c r="W72">
        <v>0</v>
      </c>
      <c r="X72">
        <v>0.24500000476837158</v>
      </c>
      <c r="Y72">
        <v>0.14000000059604645</v>
      </c>
      <c r="Z72">
        <v>8</v>
      </c>
      <c r="AA72">
        <v>0.10000000149011612</v>
      </c>
      <c r="AB72">
        <v>1.2000000476837158</v>
      </c>
      <c r="AC72">
        <v>0.85000002384185791</v>
      </c>
      <c r="AD72">
        <v>1.5</v>
      </c>
      <c r="AE72">
        <v>0.80000001192092896</v>
      </c>
      <c r="AF72">
        <v>1.1000000238418579</v>
      </c>
      <c r="AG72">
        <v>3.2000000476837158</v>
      </c>
    </row>
    <row r="73" spans="1:33">
      <c r="A73" t="str">
        <v>Radish Seed Open pollinated</v>
      </c>
      <c r="B73">
        <v>32</v>
      </c>
      <c r="C73" t="str">
        <v>Seed</v>
      </c>
      <c r="D73" t="str">
        <v>Vegetable</v>
      </c>
      <c r="E73" t="str">
        <v>Radish</v>
      </c>
      <c r="F73" t="str">
        <v>Open pollinated</v>
      </c>
      <c r="G73" t="str">
        <v>Brassicaceae</v>
      </c>
      <c r="H73" t="str">
        <v>Raphanus</v>
      </c>
      <c r="I73" t="str">
        <v>raphanistrum</v>
      </c>
      <c r="J73" t="str">
        <v>sativa</v>
      </c>
      <c r="K73" t="str">
        <v>Raphanus raphanistrum sativa</v>
      </c>
      <c r="L73" t="str">
        <v>raphanistrum sativa</v>
      </c>
      <c r="M73" t="str">
        <v>Seed</v>
      </c>
      <c r="N73" t="str">
        <v>Sep</v>
      </c>
      <c r="O73" t="str">
        <v>LateReproductive</v>
      </c>
      <c r="P73" t="str">
        <v>Feb</v>
      </c>
      <c r="Q73">
        <v>1.7999999523162842</v>
      </c>
      <c r="R73" t="str">
        <v>t/ha</v>
      </c>
      <c r="S73" t="str">
        <v>Saleable seed</v>
      </c>
      <c r="T73">
        <v>1</v>
      </c>
      <c r="U73" t="str">
        <v>Total</v>
      </c>
      <c r="V73">
        <v>30</v>
      </c>
      <c r="W73">
        <v>0</v>
      </c>
      <c r="X73">
        <v>0.17800000309944153</v>
      </c>
      <c r="Y73">
        <v>0.1080000028014183</v>
      </c>
      <c r="Z73">
        <v>10</v>
      </c>
      <c r="AA73">
        <v>0.10000000149011612</v>
      </c>
      <c r="AB73">
        <v>1.2000000476837158</v>
      </c>
      <c r="AC73">
        <v>0.85000002384185791</v>
      </c>
      <c r="AD73">
        <v>1.1000000238418579</v>
      </c>
      <c r="AE73">
        <v>0.80000001192092896</v>
      </c>
      <c r="AF73">
        <v>1.6000000238418579</v>
      </c>
      <c r="AG73">
        <v>4.5</v>
      </c>
    </row>
    <row r="74" spans="1:33">
      <c r="A74" t="str">
        <v>Red beet Seed General</v>
      </c>
      <c r="B74">
        <v>26</v>
      </c>
      <c r="C74" t="str">
        <v>Seed</v>
      </c>
      <c r="D74" t="str">
        <v>Vegetable</v>
      </c>
      <c r="E74" t="str">
        <v>Red beet</v>
      </c>
      <c r="F74" t="str">
        <v>General</v>
      </c>
      <c r="G74" t="str">
        <v>Amaranthaceae</v>
      </c>
      <c r="H74" t="str">
        <v>Beta</v>
      </c>
      <c r="I74" t="str">
        <v>vulgaris</v>
      </c>
      <c r="J74" t="str">
        <v>conditiva</v>
      </c>
      <c r="K74" t="str">
        <v>Beta vulgaris conditiva</v>
      </c>
      <c r="L74" t="str">
        <v>vulgaris conditiva</v>
      </c>
      <c r="M74" t="str">
        <v>Seed</v>
      </c>
      <c r="N74" t="str">
        <v>Apr</v>
      </c>
      <c r="O74" t="str">
        <v>LateReproductive</v>
      </c>
      <c r="P74" t="str">
        <v>Mar</v>
      </c>
      <c r="Q74">
        <v>1.2000000476837158</v>
      </c>
      <c r="R74" t="str">
        <v>t/ha</v>
      </c>
      <c r="S74" t="str">
        <v>Saleable seed</v>
      </c>
      <c r="T74">
        <v>1</v>
      </c>
      <c r="U74" t="str">
        <v>Total</v>
      </c>
      <c r="V74">
        <v>15</v>
      </c>
      <c r="W74">
        <v>0</v>
      </c>
      <c r="X74">
        <v>0.17000000178813934</v>
      </c>
      <c r="Y74">
        <v>7.0000000298023224E-2</v>
      </c>
      <c r="Z74">
        <v>15</v>
      </c>
      <c r="AA74">
        <v>0.10000000149011612</v>
      </c>
      <c r="AB74">
        <v>1.5</v>
      </c>
      <c r="AC74">
        <v>0.85000002384185791</v>
      </c>
      <c r="AD74">
        <v>0.80000001192092896</v>
      </c>
      <c r="AE74">
        <v>0.80000001192092896</v>
      </c>
      <c r="AF74">
        <v>1.7999999523162842</v>
      </c>
      <c r="AG74">
        <v>2.0999999046325684</v>
      </c>
    </row>
    <row r="75" spans="1:33">
      <c r="A75" t="str">
        <v>TestResidue05</v>
      </c>
      <c r="B75">
        <v>78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0.5</v>
      </c>
      <c r="AF75">
        <v>0.5</v>
      </c>
      <c r="AG75">
        <v>0.5</v>
      </c>
    </row>
    <row r="76" spans="1:33">
      <c r="A76" t="str">
        <v>TestResidue10</v>
      </c>
      <c r="B76">
        <v>79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1</v>
      </c>
      <c r="AF76">
        <v>1</v>
      </c>
      <c r="AG76">
        <v>1</v>
      </c>
    </row>
    <row r="77" spans="1:33">
      <c r="A77" t="str">
        <v>TestResidue15</v>
      </c>
      <c r="B77">
        <v>80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1.5</v>
      </c>
      <c r="AF77">
        <v>1.5</v>
      </c>
      <c r="AG77">
        <v>1.5</v>
      </c>
    </row>
    <row r="78" spans="1:33">
      <c r="A78" t="str">
        <v>TestResidue30</v>
      </c>
      <c r="B78">
        <v>81</v>
      </c>
      <c r="C78" t="str">
        <v>Testing</v>
      </c>
      <c r="D78" t="str">
        <v/>
      </c>
      <c r="E78" t="str">
        <v/>
      </c>
      <c r="F78" t="str">
        <v/>
      </c>
      <c r="G78" t="str">
        <v/>
      </c>
      <c r="H78" t="str">
        <v/>
      </c>
      <c r="I78" t="str">
        <v/>
      </c>
      <c r="J78" t="str">
        <v/>
      </c>
      <c r="K78" t="str">
        <v/>
      </c>
      <c r="L78" t="str">
        <v/>
      </c>
      <c r="M78" t="str">
        <v>Seed</v>
      </c>
      <c r="N78" t="str">
        <v>Apr</v>
      </c>
      <c r="O78" t="str">
        <v>Maturity</v>
      </c>
      <c r="P78" t="str">
        <v>Feb</v>
      </c>
      <c r="Q78">
        <v>12</v>
      </c>
      <c r="R78" t="str">
        <v>t/ha</v>
      </c>
      <c r="S78" t="str">
        <v>Saleable grain</v>
      </c>
      <c r="T78">
        <v>1</v>
      </c>
      <c r="U78" t="str">
        <v>Total</v>
      </c>
      <c r="V78">
        <v>0</v>
      </c>
      <c r="W78">
        <v>0</v>
      </c>
      <c r="X78">
        <v>0.5</v>
      </c>
      <c r="Y78">
        <v>0</v>
      </c>
      <c r="Z78">
        <v>15</v>
      </c>
      <c r="AA78">
        <v>0.10000000149011612</v>
      </c>
      <c r="AB78">
        <v>1.5</v>
      </c>
      <c r="AC78">
        <v>1</v>
      </c>
      <c r="AD78">
        <v>1</v>
      </c>
      <c r="AE78">
        <v>3</v>
      </c>
      <c r="AF78">
        <v>3</v>
      </c>
      <c r="AG78">
        <v>3</v>
      </c>
    </row>
    <row r="79" spans="1:33">
      <c r="A79" t="str">
        <v>TestResidue45</v>
      </c>
      <c r="B79">
        <v>82</v>
      </c>
      <c r="C79" t="str">
        <v>Testing</v>
      </c>
      <c r="D79" t="str">
        <v/>
      </c>
      <c r="E79" t="str">
        <v/>
      </c>
      <c r="F79" t="str">
        <v/>
      </c>
      <c r="G79" t="str">
        <v/>
      </c>
      <c r="H79" t="str">
        <v/>
      </c>
      <c r="I79" t="str">
        <v/>
      </c>
      <c r="J79" t="str">
        <v/>
      </c>
      <c r="K79" t="str">
        <v/>
      </c>
      <c r="L79" t="str">
        <v/>
      </c>
      <c r="M79" t="str">
        <v>Seed</v>
      </c>
      <c r="N79" t="str">
        <v>Apr</v>
      </c>
      <c r="O79" t="str">
        <v>Maturity</v>
      </c>
      <c r="P79" t="str">
        <v>Feb</v>
      </c>
      <c r="Q79">
        <v>12</v>
      </c>
      <c r="R79" t="str">
        <v>t/ha</v>
      </c>
      <c r="S79" t="str">
        <v>Saleable grain</v>
      </c>
      <c r="T79">
        <v>1</v>
      </c>
      <c r="U79" t="str">
        <v>Total</v>
      </c>
      <c r="V79">
        <v>0</v>
      </c>
      <c r="W79">
        <v>0</v>
      </c>
      <c r="X79">
        <v>0.5</v>
      </c>
      <c r="Y79">
        <v>0</v>
      </c>
      <c r="Z79">
        <v>15</v>
      </c>
      <c r="AA79">
        <v>0.10000000149011612</v>
      </c>
      <c r="AB79">
        <v>1.5</v>
      </c>
      <c r="AC79">
        <v>1</v>
      </c>
      <c r="AD79">
        <v>1</v>
      </c>
      <c r="AE79">
        <v>4.5</v>
      </c>
      <c r="AF79">
        <v>4.5</v>
      </c>
      <c r="AG79">
        <v>4.5</v>
      </c>
    </row>
    <row r="80" spans="1:33">
      <c r="A80" t="str">
        <v>Pumpkin Vegetable General</v>
      </c>
      <c r="B80">
        <v>55</v>
      </c>
      <c r="C80" t="str">
        <v>Vegetable</v>
      </c>
      <c r="D80" t="str">
        <v>Fruit</v>
      </c>
      <c r="E80" t="str">
        <v>Pumpkin</v>
      </c>
      <c r="F80" t="str">
        <v>General</v>
      </c>
      <c r="G80" t="str">
        <v>Cucurbitaceae</v>
      </c>
      <c r="H80" t="str">
        <v>Cucurbita</v>
      </c>
      <c r="I80" t="str">
        <v>pepo</v>
      </c>
      <c r="J80" t="str">
        <v/>
      </c>
      <c r="K80" t="str">
        <v>Cucurbita pepo</v>
      </c>
      <c r="L80" t="str">
        <v>pepo</v>
      </c>
      <c r="M80" t="str">
        <v>Seed</v>
      </c>
      <c r="N80" t="str">
        <v>Oct</v>
      </c>
      <c r="O80" t="str">
        <v>LateReproductive</v>
      </c>
      <c r="P80" t="str">
        <v>Mar</v>
      </c>
      <c r="Q80">
        <v>54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0.20000000298023224</v>
      </c>
      <c r="Z80">
        <v>81</v>
      </c>
      <c r="AA80">
        <v>0.10000000149011612</v>
      </c>
      <c r="AB80">
        <v>0.80000001192092896</v>
      </c>
      <c r="AC80">
        <v>1</v>
      </c>
      <c r="AD80">
        <v>1</v>
      </c>
      <c r="AE80">
        <v>1</v>
      </c>
      <c r="AF80">
        <v>2.2999999523162842</v>
      </c>
      <c r="AG80">
        <v>1.3999999761581421</v>
      </c>
    </row>
    <row r="81" spans="1:33">
      <c r="A81" t="str">
        <v>Rock melon Vegetable General</v>
      </c>
      <c r="B81">
        <v>53</v>
      </c>
      <c r="C81" t="str">
        <v>Vegetable</v>
      </c>
      <c r="D81" t="str">
        <v>Fruit</v>
      </c>
      <c r="E81" t="str">
        <v>Rock melon</v>
      </c>
      <c r="F81" t="str">
        <v>General</v>
      </c>
      <c r="G81" t="str">
        <v>Cucurbitaceae</v>
      </c>
      <c r="H81" t="str">
        <v>Cucumis</v>
      </c>
      <c r="I81" t="str">
        <v>melo</v>
      </c>
      <c r="J81" t="str">
        <v/>
      </c>
      <c r="K81" t="str">
        <v>Cucumis melo</v>
      </c>
      <c r="L81" t="str">
        <v>melo</v>
      </c>
      <c r="M81" t="str">
        <v>Seedling</v>
      </c>
      <c r="N81" t="str">
        <v>Oct</v>
      </c>
      <c r="O81" t="str">
        <v>LateReproductive</v>
      </c>
      <c r="P81" t="str">
        <v>Feb</v>
      </c>
      <c r="Q81">
        <v>80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0.69999998807907104</v>
      </c>
      <c r="Y81">
        <v>0.15000000596046448</v>
      </c>
      <c r="Z81">
        <v>95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2</v>
      </c>
      <c r="AG81">
        <v>2</v>
      </c>
    </row>
    <row r="82" spans="1:33">
      <c r="A82" t="str">
        <v>Squash Vegetable General</v>
      </c>
      <c r="B82">
        <v>54</v>
      </c>
      <c r="C82" t="str">
        <v>Vegetable</v>
      </c>
      <c r="D82" t="str">
        <v>Fruit</v>
      </c>
      <c r="E82" t="str">
        <v>Squash</v>
      </c>
      <c r="F82" t="str">
        <v>General</v>
      </c>
      <c r="G82" t="str">
        <v>Cucurbitaceae</v>
      </c>
      <c r="H82" t="str">
        <v>Cucurbita</v>
      </c>
      <c r="I82" t="str">
        <v>argyrosperma</v>
      </c>
      <c r="J82" t="str">
        <v/>
      </c>
      <c r="K82" t="str">
        <v>Cucurbita argyrosperma</v>
      </c>
      <c r="L82" t="str">
        <v>argyrosperma</v>
      </c>
      <c r="M82" t="str">
        <v>Seedling</v>
      </c>
      <c r="N82" t="str">
        <v>Oct</v>
      </c>
      <c r="O82" t="str">
        <v>Maturity</v>
      </c>
      <c r="P82" t="str">
        <v>Mar</v>
      </c>
      <c r="Q82">
        <v>22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0.68999999761581421</v>
      </c>
      <c r="Y82">
        <v>0.15000000596046448</v>
      </c>
      <c r="Z82">
        <v>70</v>
      </c>
      <c r="AA82">
        <v>0.10000000149011612</v>
      </c>
      <c r="AB82">
        <v>0.80000001192092896</v>
      </c>
      <c r="AC82">
        <v>0.93999999761581421</v>
      </c>
      <c r="AD82">
        <v>1</v>
      </c>
      <c r="AE82">
        <v>1</v>
      </c>
      <c r="AF82">
        <v>1.8999999761581421</v>
      </c>
      <c r="AG82">
        <v>1.5</v>
      </c>
    </row>
    <row r="83" spans="1:33">
      <c r="A83" t="str">
        <v>Sweetcorn Vegetable General</v>
      </c>
      <c r="B83">
        <v>70</v>
      </c>
      <c r="C83" t="str">
        <v>Vegetable</v>
      </c>
      <c r="D83" t="str">
        <v>Fruit</v>
      </c>
      <c r="E83" t="str">
        <v>Sweetcorn</v>
      </c>
      <c r="F83" t="str">
        <v>General</v>
      </c>
      <c r="G83" t="str">
        <v>Poaceae</v>
      </c>
      <c r="H83" t="str">
        <v>Zea</v>
      </c>
      <c r="I83" t="str">
        <v>mays</v>
      </c>
      <c r="J83" t="str">
        <v/>
      </c>
      <c r="K83" t="str">
        <v>Zea mays</v>
      </c>
      <c r="L83" t="str">
        <v>mays</v>
      </c>
      <c r="M83" t="str">
        <v>Seed</v>
      </c>
      <c r="N83" t="str">
        <v>Oct</v>
      </c>
      <c r="O83" t="str">
        <v>MidReproductive</v>
      </c>
      <c r="P83" t="str">
        <v>Feb</v>
      </c>
      <c r="Q83">
        <v>22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0.47999998927116394</v>
      </c>
      <c r="Y83">
        <v>0.15000000596046448</v>
      </c>
      <c r="Z83">
        <v>78</v>
      </c>
      <c r="AA83">
        <v>0.10000000149011612</v>
      </c>
      <c r="AB83">
        <v>1.5</v>
      </c>
      <c r="AC83">
        <v>0.75</v>
      </c>
      <c r="AD83">
        <v>1</v>
      </c>
      <c r="AE83">
        <v>0.89999997615814209</v>
      </c>
      <c r="AF83">
        <v>0.89999997615814209</v>
      </c>
      <c r="AG83">
        <v>1.3999999761581421</v>
      </c>
    </row>
    <row r="84" spans="1:33">
      <c r="A84" t="str">
        <v>Tomato Vegetable General</v>
      </c>
      <c r="B84">
        <v>67</v>
      </c>
      <c r="C84" t="str">
        <v>Vegetable</v>
      </c>
      <c r="D84" t="str">
        <v>Fruit</v>
      </c>
      <c r="E84" t="str">
        <v>Tomato</v>
      </c>
      <c r="F84" t="str">
        <v>General</v>
      </c>
      <c r="G84" t="str">
        <v>Solanaceae</v>
      </c>
      <c r="H84" t="str">
        <v>Solanum</v>
      </c>
      <c r="I84" t="str">
        <v>lycopersicum</v>
      </c>
      <c r="J84" t="str">
        <v/>
      </c>
      <c r="K84" t="str">
        <v>Solanum  lycopersicum</v>
      </c>
      <c r="L84" t="str">
        <v>lycopersicum</v>
      </c>
      <c r="M84" t="str">
        <v>Seedling</v>
      </c>
      <c r="N84" t="str">
        <v>Oct</v>
      </c>
      <c r="O84" t="str">
        <v>LateReproductive</v>
      </c>
      <c r="P84" t="str">
        <v>Apr</v>
      </c>
      <c r="Q84">
        <v>100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0.5</v>
      </c>
      <c r="Y84">
        <v>0.15000000596046448</v>
      </c>
      <c r="Z84">
        <v>95</v>
      </c>
      <c r="AA84">
        <v>0.10000000149011612</v>
      </c>
      <c r="AB84">
        <v>0.60000002384185791</v>
      </c>
      <c r="AC84">
        <v>1</v>
      </c>
      <c r="AD84">
        <v>1.2000000476837158</v>
      </c>
      <c r="AE84">
        <v>0.89999997615814209</v>
      </c>
      <c r="AF84">
        <v>2</v>
      </c>
      <c r="AG84">
        <v>2</v>
      </c>
    </row>
    <row r="85" spans="1:33">
      <c r="A85" t="str">
        <v>Water melon Vegetable General</v>
      </c>
      <c r="B85">
        <v>52</v>
      </c>
      <c r="C85" t="str">
        <v>Vegetable</v>
      </c>
      <c r="D85" t="str">
        <v>Fruit</v>
      </c>
      <c r="E85" t="str">
        <v>Water melon</v>
      </c>
      <c r="F85" t="str">
        <v>General</v>
      </c>
      <c r="G85" t="str">
        <v>Cucurbitaceae</v>
      </c>
      <c r="H85" t="str">
        <v>Cucumis</v>
      </c>
      <c r="I85" t="str">
        <v>lanatus</v>
      </c>
      <c r="J85" t="str">
        <v/>
      </c>
      <c r="K85" t="str">
        <v>Cucumis lanatus</v>
      </c>
      <c r="L85" t="str">
        <v>lanatus</v>
      </c>
      <c r="M85" t="str">
        <v>Seedling</v>
      </c>
      <c r="N85" t="str">
        <v>Oct</v>
      </c>
      <c r="O85" t="str">
        <v>LateReproductive</v>
      </c>
      <c r="P85" t="str">
        <v>Feb</v>
      </c>
      <c r="Q85">
        <v>120</v>
      </c>
      <c r="R85" t="str">
        <v>t/ha</v>
      </c>
      <c r="S85" t="str">
        <v>Saleable product</v>
      </c>
      <c r="T85">
        <v>1</v>
      </c>
      <c r="U85" t="str">
        <v>Total</v>
      </c>
      <c r="V85">
        <v>0</v>
      </c>
      <c r="W85">
        <v>0</v>
      </c>
      <c r="X85">
        <v>0.73000001907348633</v>
      </c>
      <c r="Y85">
        <v>0.18000000715255737</v>
      </c>
      <c r="Z85">
        <v>93</v>
      </c>
      <c r="AA85">
        <v>0.10000000149011612</v>
      </c>
      <c r="AB85">
        <v>0.80000001192092896</v>
      </c>
      <c r="AC85">
        <v>1</v>
      </c>
      <c r="AD85">
        <v>1</v>
      </c>
      <c r="AE85">
        <v>1</v>
      </c>
      <c r="AF85">
        <v>1.8999999761581421</v>
      </c>
      <c r="AG85">
        <v>1.3999999761581421</v>
      </c>
    </row>
    <row r="86" spans="1:33">
      <c r="A86" t="str">
        <v>Zucchini Vegetable General</v>
      </c>
      <c r="B86">
        <v>56</v>
      </c>
      <c r="C86" t="str">
        <v>Vegetable</v>
      </c>
      <c r="D86" t="str">
        <v>Fruit</v>
      </c>
      <c r="E86" t="str">
        <v>Zucchini</v>
      </c>
      <c r="F86" t="str">
        <v>General</v>
      </c>
      <c r="G86" t="str">
        <v>Cucurbitaceae</v>
      </c>
      <c r="H86" t="str">
        <v>Cucurbita</v>
      </c>
      <c r="I86" t="str">
        <v>pepo</v>
      </c>
      <c r="J86" t="str">
        <v/>
      </c>
      <c r="K86" t="str">
        <v>Cucurbita pepo</v>
      </c>
      <c r="L86" t="str">
        <v>pepo</v>
      </c>
      <c r="M86" t="str">
        <v>Seed</v>
      </c>
      <c r="N86" t="str">
        <v>Oct</v>
      </c>
      <c r="O86" t="str">
        <v>EarlyReproductive</v>
      </c>
      <c r="P86" t="str">
        <v>Jan</v>
      </c>
      <c r="Q86">
        <v>40</v>
      </c>
      <c r="R86" t="str">
        <v>t/ha</v>
      </c>
      <c r="S86" t="str">
        <v>Saleable product</v>
      </c>
      <c r="T86">
        <v>1</v>
      </c>
      <c r="U86" t="str">
        <v>Total</v>
      </c>
      <c r="V86">
        <v>0</v>
      </c>
      <c r="W86">
        <v>0</v>
      </c>
      <c r="X86">
        <v>0.40000000596046448</v>
      </c>
      <c r="Y86">
        <v>0.10000000149011612</v>
      </c>
      <c r="Z86">
        <v>95</v>
      </c>
      <c r="AA86">
        <v>0.10000000149011612</v>
      </c>
      <c r="AB86">
        <v>0.80000001192092896</v>
      </c>
      <c r="AC86">
        <v>0.85000002384185791</v>
      </c>
      <c r="AD86">
        <v>1</v>
      </c>
      <c r="AE86">
        <v>1</v>
      </c>
      <c r="AF86">
        <v>3.7999999523162842</v>
      </c>
      <c r="AG86">
        <v>3.2000000476837158</v>
      </c>
    </row>
    <row r="87" spans="1:33">
      <c r="A87" t="str">
        <v>Broccoli Vegetable Chinese cut</v>
      </c>
      <c r="B87">
        <v>47</v>
      </c>
      <c r="C87" t="str">
        <v>Vegetable</v>
      </c>
      <c r="D87" t="str">
        <v>Green</v>
      </c>
      <c r="E87" t="str">
        <v>Broccoli</v>
      </c>
      <c r="F87" t="str">
        <v>Chinese cut</v>
      </c>
      <c r="G87" t="str">
        <v>Brassicaceae</v>
      </c>
      <c r="H87" t="str">
        <v>Brassica</v>
      </c>
      <c r="I87" t="str">
        <v>oleracea</v>
      </c>
      <c r="J87" t="str">
        <v>italica</v>
      </c>
      <c r="K87" t="str">
        <v>Brassica oleracea italica</v>
      </c>
      <c r="L87" t="str">
        <v>oleracea italica</v>
      </c>
      <c r="M87" t="str">
        <v>Seedling</v>
      </c>
      <c r="N87" t="str">
        <v>May</v>
      </c>
      <c r="O87" t="str">
        <v>EarlyReproductive</v>
      </c>
      <c r="P87" t="str">
        <v>Sep</v>
      </c>
      <c r="Q87">
        <v>0.5</v>
      </c>
      <c r="R87" t="str">
        <v>kg/head</v>
      </c>
      <c r="S87" t="str">
        <v>Saleable product</v>
      </c>
      <c r="T87">
        <v>50000</v>
      </c>
      <c r="U87" t="str">
        <v>Total</v>
      </c>
      <c r="V87">
        <v>0</v>
      </c>
      <c r="W87">
        <v>0</v>
      </c>
      <c r="X87">
        <v>0.5</v>
      </c>
      <c r="Y87">
        <v>0.15000000596046448</v>
      </c>
      <c r="Z87">
        <v>89</v>
      </c>
      <c r="AA87">
        <v>0.10000000149011612</v>
      </c>
      <c r="AB87">
        <v>1.2000000476837158</v>
      </c>
      <c r="AC87">
        <v>1</v>
      </c>
      <c r="AD87">
        <v>2</v>
      </c>
      <c r="AE87">
        <v>0.80000001192092896</v>
      </c>
      <c r="AF87">
        <v>3</v>
      </c>
      <c r="AG87">
        <v>3.5999999046325684</v>
      </c>
    </row>
    <row r="88" spans="1:33">
      <c r="A88" t="str">
        <v>Broccoli Vegetable Head only</v>
      </c>
      <c r="B88">
        <v>46</v>
      </c>
      <c r="C88" t="str">
        <v>Vegetable</v>
      </c>
      <c r="D88" t="str">
        <v>Green</v>
      </c>
      <c r="E88" t="str">
        <v>Broccoli</v>
      </c>
      <c r="F88" t="str">
        <v>Head only</v>
      </c>
      <c r="G88" t="str">
        <v>Brassicaceae</v>
      </c>
      <c r="H88" t="str">
        <v>Brassica</v>
      </c>
      <c r="I88" t="str">
        <v>oleracea</v>
      </c>
      <c r="J88" t="str">
        <v>italica</v>
      </c>
      <c r="K88" t="str">
        <v>Brassica oleracea italica</v>
      </c>
      <c r="L88" t="str">
        <v>oleracea italica</v>
      </c>
      <c r="M88" t="str">
        <v>Seedling</v>
      </c>
      <c r="N88" t="str">
        <v>May</v>
      </c>
      <c r="O88" t="str">
        <v>EarlyReproductive</v>
      </c>
      <c r="P88" t="str">
        <v>Sep</v>
      </c>
      <c r="Q88">
        <v>0.30000001192092896</v>
      </c>
      <c r="R88" t="str">
        <v>kg/head</v>
      </c>
      <c r="S88" t="str">
        <v>Saleable product</v>
      </c>
      <c r="T88">
        <v>38000</v>
      </c>
      <c r="U88" t="str">
        <v>Total</v>
      </c>
      <c r="V88">
        <v>0</v>
      </c>
      <c r="W88">
        <v>0</v>
      </c>
      <c r="X88">
        <v>0.30000001192092896</v>
      </c>
      <c r="Y88">
        <v>0.15000000596046448</v>
      </c>
      <c r="Z88">
        <v>89</v>
      </c>
      <c r="AA88">
        <v>0.10000000149011612</v>
      </c>
      <c r="AB88">
        <v>1.2000000476837158</v>
      </c>
      <c r="AC88">
        <v>0.89999997615814209</v>
      </c>
      <c r="AD88">
        <v>2</v>
      </c>
      <c r="AE88">
        <v>0.80000001192092896</v>
      </c>
      <c r="AF88">
        <v>3.2000000476837158</v>
      </c>
      <c r="AG88">
        <v>4.5999999046325684</v>
      </c>
    </row>
    <row r="89" spans="1:33">
      <c r="A89" t="str">
        <v>Brussel sprout  Vegetable General</v>
      </c>
      <c r="B89">
        <v>45</v>
      </c>
      <c r="C89" t="str">
        <v>Vegetable</v>
      </c>
      <c r="D89" t="str">
        <v>Green</v>
      </c>
      <c r="E89" t="str">
        <v>Brussel sprout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gemmifera</v>
      </c>
      <c r="K89" t="str">
        <v>Brassica oleracea gemmifera</v>
      </c>
      <c r="L89" t="str">
        <v>oleracea gemmifera</v>
      </c>
      <c r="M89" t="str">
        <v>Seedling</v>
      </c>
      <c r="N89" t="str">
        <v>Nov</v>
      </c>
      <c r="O89" t="str">
        <v>EarlyReproductive</v>
      </c>
      <c r="P89" t="str">
        <v>Jun</v>
      </c>
      <c r="Q89">
        <v>0.30000001192092896</v>
      </c>
      <c r="R89" t="str">
        <v>kg/head</v>
      </c>
      <c r="S89" t="str">
        <v>Saleable product</v>
      </c>
      <c r="T89">
        <v>50000</v>
      </c>
      <c r="U89" t="str">
        <v>Total</v>
      </c>
      <c r="V89">
        <v>0</v>
      </c>
      <c r="W89">
        <v>0</v>
      </c>
      <c r="X89">
        <v>0.40000000596046448</v>
      </c>
      <c r="Y89">
        <v>0.10000000149011612</v>
      </c>
      <c r="Z89">
        <v>80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2.5999999046325684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1.6000000238418579</v>
      </c>
      <c r="R90" t="str">
        <v>kg/head</v>
      </c>
      <c r="S90" t="str">
        <v>Saleable product</v>
      </c>
      <c r="T90">
        <v>39000</v>
      </c>
      <c r="U90" t="str">
        <v>Total</v>
      </c>
      <c r="V90">
        <v>0</v>
      </c>
      <c r="W90">
        <v>0</v>
      </c>
      <c r="X90">
        <v>0.46000000834465027</v>
      </c>
      <c r="Y90">
        <v>0.11999999731779099</v>
      </c>
      <c r="Z90">
        <v>91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2.2999999523162842</v>
      </c>
      <c r="AG90">
        <v>2.2999999523162842</v>
      </c>
    </row>
    <row r="91" spans="1:33">
      <c r="A91" t="str">
        <v>Cauliflower Vegetable General</v>
      </c>
      <c r="B91">
        <v>43</v>
      </c>
      <c r="C91" t="str">
        <v>Vegetable</v>
      </c>
      <c r="D91" t="str">
        <v>Green</v>
      </c>
      <c r="E91" t="str">
        <v>Cauliflower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botrytis</v>
      </c>
      <c r="K91" t="str">
        <v>Brassica oleracea botrytis</v>
      </c>
      <c r="L91" t="str">
        <v>oleracea botrytis</v>
      </c>
      <c r="M91" t="str">
        <v>Seedling</v>
      </c>
      <c r="N91" t="str">
        <v>Sep</v>
      </c>
      <c r="O91" t="str">
        <v>EarlyReproductive</v>
      </c>
      <c r="P91" t="str">
        <v>Jan</v>
      </c>
      <c r="Q91">
        <v>1.2999999523162842</v>
      </c>
      <c r="R91" t="str">
        <v>kg/head</v>
      </c>
      <c r="S91" t="str">
        <v>Saleable product</v>
      </c>
      <c r="T91">
        <v>30000</v>
      </c>
      <c r="U91" t="str">
        <v>Total</v>
      </c>
      <c r="V91">
        <v>0</v>
      </c>
      <c r="W91">
        <v>0</v>
      </c>
      <c r="X91">
        <v>0.30000001192092896</v>
      </c>
      <c r="Y91">
        <v>0.15000000596046448</v>
      </c>
      <c r="Z91">
        <v>92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4.0999999046325684</v>
      </c>
    </row>
    <row r="92" spans="1:33">
      <c r="A92" t="str">
        <v>Celery Vegetable General</v>
      </c>
      <c r="B92">
        <v>40</v>
      </c>
      <c r="C92" t="str">
        <v>Vegetable</v>
      </c>
      <c r="D92" t="str">
        <v>Green</v>
      </c>
      <c r="E92" t="str">
        <v>Celery</v>
      </c>
      <c r="F92" t="str">
        <v>General</v>
      </c>
      <c r="G92" t="str">
        <v>Apiaceae</v>
      </c>
      <c r="H92" t="str">
        <v>Apium</v>
      </c>
      <c r="I92" t="str">
        <v>graveolens</v>
      </c>
      <c r="J92" t="str">
        <v/>
      </c>
      <c r="K92" t="str">
        <v>Apium graveolens</v>
      </c>
      <c r="L92" t="str">
        <v>graveolens</v>
      </c>
      <c r="M92" t="str">
        <v>Seedling</v>
      </c>
      <c r="N92" t="str">
        <v>Oct</v>
      </c>
      <c r="O92" t="str">
        <v>Vegetative</v>
      </c>
      <c r="P92" t="str">
        <v>Jan</v>
      </c>
      <c r="Q92">
        <v>0.69999998807907104</v>
      </c>
      <c r="R92" t="str">
        <v>kg/head</v>
      </c>
      <c r="S92" t="str">
        <v>Saleable product</v>
      </c>
      <c r="T92">
        <v>80000</v>
      </c>
      <c r="U92" t="str">
        <v>Total</v>
      </c>
      <c r="V92">
        <v>0</v>
      </c>
      <c r="W92">
        <v>0</v>
      </c>
      <c r="X92">
        <v>0.85000002384185791</v>
      </c>
      <c r="Y92">
        <v>0.20000000298023224</v>
      </c>
      <c r="Z92">
        <v>88</v>
      </c>
      <c r="AA92">
        <v>0.10000000149011612</v>
      </c>
      <c r="AB92">
        <v>1.2000000476837158</v>
      </c>
      <c r="AC92">
        <v>1</v>
      </c>
      <c r="AD92">
        <v>0.80000001192092896</v>
      </c>
      <c r="AE92">
        <v>0.89999997615814209</v>
      </c>
      <c r="AF92">
        <v>2.5</v>
      </c>
      <c r="AG92">
        <v>2.5</v>
      </c>
    </row>
    <row r="93" spans="1:33">
      <c r="A93" t="str">
        <v>Choy sum Vegetable General</v>
      </c>
      <c r="B93">
        <v>49</v>
      </c>
      <c r="C93" t="str">
        <v>Vegetable</v>
      </c>
      <c r="D93" t="str">
        <v>Green</v>
      </c>
      <c r="E93" t="str">
        <v>Choy sum</v>
      </c>
      <c r="F93" t="str">
        <v>General</v>
      </c>
      <c r="G93" t="str">
        <v>Brassicaceae</v>
      </c>
      <c r="H93" t="str">
        <v>Brassica</v>
      </c>
      <c r="I93" t="str">
        <v>rapa</v>
      </c>
      <c r="J93" t="str">
        <v>parachinensis</v>
      </c>
      <c r="K93" t="str">
        <v>Brassica rapa parachinensis</v>
      </c>
      <c r="L93" t="str">
        <v>rapa parachinensis</v>
      </c>
      <c r="M93" t="str">
        <v>Seedling</v>
      </c>
      <c r="N93" t="str">
        <v>May</v>
      </c>
      <c r="O93" t="str">
        <v>Vegetative</v>
      </c>
      <c r="P93" t="str">
        <v>Sep</v>
      </c>
      <c r="Q93">
        <v>0.20000000298023224</v>
      </c>
      <c r="R93" t="str">
        <v>kg/head</v>
      </c>
      <c r="S93" t="str">
        <v>Saleable product</v>
      </c>
      <c r="T93">
        <v>120000</v>
      </c>
      <c r="U93" t="str">
        <v>Total</v>
      </c>
      <c r="V93">
        <v>0</v>
      </c>
      <c r="W93">
        <v>0</v>
      </c>
      <c r="X93">
        <v>0.85000002384185791</v>
      </c>
      <c r="Y93">
        <v>0.20000000298023224</v>
      </c>
      <c r="Z93">
        <v>90</v>
      </c>
      <c r="AA93">
        <v>0.10000000149011612</v>
      </c>
      <c r="AB93">
        <v>1.2000000476837158</v>
      </c>
      <c r="AC93">
        <v>0.89999997615814209</v>
      </c>
      <c r="AD93">
        <v>2</v>
      </c>
      <c r="AE93">
        <v>0.80000001192092896</v>
      </c>
      <c r="AF93">
        <v>4.5</v>
      </c>
      <c r="AG93">
        <v>4.8000001907348633</v>
      </c>
    </row>
    <row r="94" spans="1:33">
      <c r="A94" t="str">
        <v>Coriander Vegetable General</v>
      </c>
      <c r="B94">
        <v>51</v>
      </c>
      <c r="C94" t="str">
        <v>Vegetable</v>
      </c>
      <c r="D94" t="str">
        <v>Green</v>
      </c>
      <c r="E94" t="str">
        <v>Coriander</v>
      </c>
      <c r="F94" t="str">
        <v>General</v>
      </c>
      <c r="G94" t="str">
        <v>Apiaceae</v>
      </c>
      <c r="H94" t="str">
        <v>Coriandrum</v>
      </c>
      <c r="I94" t="str">
        <v>sativum</v>
      </c>
      <c r="J94" t="str">
        <v/>
      </c>
      <c r="K94" t="str">
        <v>Coriandrum sativum</v>
      </c>
      <c r="L94" t="str">
        <v>sativum</v>
      </c>
      <c r="M94" t="str">
        <v>Seed</v>
      </c>
      <c r="N94" t="str">
        <v>May</v>
      </c>
      <c r="O94" t="str">
        <v>Vegetative</v>
      </c>
      <c r="P94" t="str">
        <v>Sep</v>
      </c>
      <c r="Q94">
        <v>0.30000001192092896</v>
      </c>
      <c r="R94" t="str">
        <v>kg/head</v>
      </c>
      <c r="S94" t="str">
        <v>Saleable product</v>
      </c>
      <c r="T94">
        <v>120000</v>
      </c>
      <c r="U94" t="str">
        <v>Total</v>
      </c>
      <c r="V94">
        <v>0</v>
      </c>
      <c r="W94">
        <v>0</v>
      </c>
      <c r="X94">
        <v>1</v>
      </c>
      <c r="Y94">
        <v>0</v>
      </c>
      <c r="Z94">
        <v>95</v>
      </c>
      <c r="AA94">
        <v>0.10000000149011612</v>
      </c>
      <c r="AB94">
        <v>1.2000000476837158</v>
      </c>
      <c r="AC94">
        <v>0.89999997615814209</v>
      </c>
      <c r="AD94">
        <v>0.80000001192092896</v>
      </c>
      <c r="AE94">
        <v>0.89999997615814209</v>
      </c>
      <c r="AF94">
        <v>4.6999998092651367</v>
      </c>
      <c r="AG94">
        <v>4.6999998092651367</v>
      </c>
    </row>
    <row r="95" spans="1:33">
      <c r="A95" t="str">
        <v>Leek Vegetable General</v>
      </c>
      <c r="B95">
        <v>34</v>
      </c>
      <c r="C95" t="str">
        <v>Vegetable</v>
      </c>
      <c r="D95" t="str">
        <v>Green</v>
      </c>
      <c r="E95" t="str">
        <v>Leek</v>
      </c>
      <c r="F95" t="str">
        <v>General</v>
      </c>
      <c r="G95" t="str">
        <v>Amaryllidaceae</v>
      </c>
      <c r="H95" t="str">
        <v>Allium</v>
      </c>
      <c r="I95" t="str">
        <v>ampeloprasum</v>
      </c>
      <c r="J95" t="str">
        <v/>
      </c>
      <c r="K95" t="str">
        <v>Allium ampeloprasum</v>
      </c>
      <c r="L95" t="str">
        <v>ampeloprasum</v>
      </c>
      <c r="M95" t="str">
        <v>Seedling</v>
      </c>
      <c r="N95" t="str">
        <v>Nov</v>
      </c>
      <c r="O95" t="str">
        <v>Vegetative</v>
      </c>
      <c r="P95" t="str">
        <v>May</v>
      </c>
      <c r="Q95">
        <v>0.5</v>
      </c>
      <c r="R95" t="str">
        <v>kg/head</v>
      </c>
      <c r="S95" t="str">
        <v>Saleable product</v>
      </c>
      <c r="T95">
        <v>50000</v>
      </c>
      <c r="U95" t="str">
        <v>Total</v>
      </c>
      <c r="V95">
        <v>0</v>
      </c>
      <c r="W95">
        <v>0</v>
      </c>
      <c r="X95">
        <v>0.64999997615814209</v>
      </c>
      <c r="Y95">
        <v>0.15000000596046448</v>
      </c>
      <c r="Z95">
        <v>89</v>
      </c>
      <c r="AA95">
        <v>0.10000000149011612</v>
      </c>
      <c r="AB95">
        <v>0.60000002384185791</v>
      </c>
      <c r="AC95">
        <v>0.75</v>
      </c>
      <c r="AD95">
        <v>0.60000002384185791</v>
      </c>
      <c r="AE95">
        <v>1</v>
      </c>
      <c r="AF95">
        <v>2.7000000476837158</v>
      </c>
      <c r="AG95">
        <v>2.7000000476837158</v>
      </c>
    </row>
    <row r="96" spans="1:33">
      <c r="A96" t="str">
        <v>Lettuce Vegetable Ice berg</v>
      </c>
      <c r="B96">
        <v>61</v>
      </c>
      <c r="C96" t="str">
        <v>Vegetable</v>
      </c>
      <c r="D96" t="str">
        <v>Green</v>
      </c>
      <c r="E96" t="str">
        <v>Lettuce</v>
      </c>
      <c r="F96" t="str">
        <v>Ice berg</v>
      </c>
      <c r="G96" t="str">
        <v>Asteraceae</v>
      </c>
      <c r="H96" t="str">
        <v>Lactuca</v>
      </c>
      <c r="I96" t="str">
        <v>sativa</v>
      </c>
      <c r="J96" t="str">
        <v/>
      </c>
      <c r="K96" t="str">
        <v>Lactuca sativa</v>
      </c>
      <c r="L96" t="str">
        <v>sativa</v>
      </c>
      <c r="M96" t="str">
        <v>Seedling</v>
      </c>
      <c r="N96" t="str">
        <v>Sep</v>
      </c>
      <c r="O96" t="str">
        <v>Vegetative</v>
      </c>
      <c r="P96" t="str">
        <v>Dec</v>
      </c>
      <c r="Q96">
        <v>0.89999997615814209</v>
      </c>
      <c r="R96" t="str">
        <v>kg/head</v>
      </c>
      <c r="S96" t="str">
        <v>Saleable product</v>
      </c>
      <c r="T96">
        <v>70000</v>
      </c>
      <c r="U96" t="str">
        <v>Total</v>
      </c>
      <c r="V96">
        <v>0</v>
      </c>
      <c r="W96">
        <v>0</v>
      </c>
      <c r="X96">
        <v>0.41999998688697815</v>
      </c>
      <c r="Y96">
        <v>0.10000000149011612</v>
      </c>
      <c r="Z96">
        <v>96</v>
      </c>
      <c r="AA96">
        <v>0.10000000149011612</v>
      </c>
      <c r="AB96">
        <v>1</v>
      </c>
      <c r="AC96">
        <v>0.94999998807907104</v>
      </c>
      <c r="AD96">
        <v>1</v>
      </c>
      <c r="AE96">
        <v>0.89999997615814209</v>
      </c>
      <c r="AF96">
        <v>3.5999999046325684</v>
      </c>
      <c r="AG96">
        <v>3.5</v>
      </c>
    </row>
    <row r="97" spans="1:33">
      <c r="A97" t="str">
        <v>Lettuce Vegetable Leafy-salad</v>
      </c>
      <c r="B97">
        <v>62</v>
      </c>
      <c r="C97" t="str">
        <v>Vegetable</v>
      </c>
      <c r="D97" t="str">
        <v>Green</v>
      </c>
      <c r="E97" t="str">
        <v>Lettuce</v>
      </c>
      <c r="F97" t="str">
        <v>Leafy-salad</v>
      </c>
      <c r="G97" t="str">
        <v>Asteraceae</v>
      </c>
      <c r="H97" t="str">
        <v>Lactuca</v>
      </c>
      <c r="I97" t="str">
        <v>sativa</v>
      </c>
      <c r="J97" t="str">
        <v/>
      </c>
      <c r="K97" t="str">
        <v>Lactuca sativa</v>
      </c>
      <c r="L97" t="str">
        <v>sativa</v>
      </c>
      <c r="M97" t="str">
        <v>Seedling</v>
      </c>
      <c r="N97" t="str">
        <v>Sep</v>
      </c>
      <c r="O97" t="str">
        <v>Vegetative</v>
      </c>
      <c r="P97" t="str">
        <v>Dec</v>
      </c>
      <c r="Q97">
        <v>0.30000001192092896</v>
      </c>
      <c r="R97" t="str">
        <v>kg/head</v>
      </c>
      <c r="S97" t="str">
        <v>Saleable product</v>
      </c>
      <c r="T97">
        <v>110000</v>
      </c>
      <c r="U97" t="str">
        <v>Total</v>
      </c>
      <c r="V97">
        <v>0</v>
      </c>
      <c r="W97">
        <v>0</v>
      </c>
      <c r="X97">
        <v>0.94999998807907104</v>
      </c>
      <c r="Y97">
        <v>5.000000074505806E-2</v>
      </c>
      <c r="Z97">
        <v>95</v>
      </c>
      <c r="AA97">
        <v>0.10000000149011612</v>
      </c>
      <c r="AB97">
        <v>1</v>
      </c>
      <c r="AC97">
        <v>0.89999997615814209</v>
      </c>
      <c r="AD97">
        <v>1</v>
      </c>
      <c r="AE97">
        <v>0.89999997615814209</v>
      </c>
      <c r="AF97">
        <v>1.8999999761581421</v>
      </c>
      <c r="AG97">
        <v>4</v>
      </c>
    </row>
    <row r="98" spans="1:33">
      <c r="A98" t="str">
        <v>Pak choi Vegetable General</v>
      </c>
      <c r="B98">
        <v>48</v>
      </c>
      <c r="C98" t="str">
        <v>Vegetable</v>
      </c>
      <c r="D98" t="str">
        <v>Green</v>
      </c>
      <c r="E98" t="str">
        <v>Pak choi</v>
      </c>
      <c r="F98" t="str">
        <v>General</v>
      </c>
      <c r="G98" t="str">
        <v>Brassicaceae</v>
      </c>
      <c r="H98" t="str">
        <v>Brassica</v>
      </c>
      <c r="I98" t="str">
        <v>rapa</v>
      </c>
      <c r="J98" t="str">
        <v>chinensis</v>
      </c>
      <c r="K98" t="str">
        <v>Brassica rapa chinensis</v>
      </c>
      <c r="L98" t="str">
        <v>rapa chinensis</v>
      </c>
      <c r="M98" t="str">
        <v>Seedling</v>
      </c>
      <c r="N98" t="str">
        <v>May</v>
      </c>
      <c r="O98" t="str">
        <v>Vegetative</v>
      </c>
      <c r="P98" t="str">
        <v>Aug</v>
      </c>
      <c r="Q98">
        <v>7.9999998211860657E-2</v>
      </c>
      <c r="R98" t="str">
        <v>kg/head</v>
      </c>
      <c r="S98" t="str">
        <v>Saleable product</v>
      </c>
      <c r="T98">
        <v>500000</v>
      </c>
      <c r="U98" t="str">
        <v>Total</v>
      </c>
      <c r="V98">
        <v>0</v>
      </c>
      <c r="W98">
        <v>0</v>
      </c>
      <c r="X98">
        <v>0.69999998807907104</v>
      </c>
      <c r="Y98">
        <v>0.15000000596046448</v>
      </c>
      <c r="Z98">
        <v>95</v>
      </c>
      <c r="AA98">
        <v>0.10000000149011612</v>
      </c>
      <c r="AB98">
        <v>1.2000000476837158</v>
      </c>
      <c r="AC98">
        <v>0.80000001192092896</v>
      </c>
      <c r="AD98">
        <v>1.5</v>
      </c>
      <c r="AE98">
        <v>0.80000001192092896</v>
      </c>
      <c r="AF98">
        <v>4.5</v>
      </c>
      <c r="AG98">
        <v>4.1999998092651367</v>
      </c>
    </row>
    <row r="99" spans="1:33">
      <c r="A99" t="str">
        <v>Parsley Vegetable General</v>
      </c>
      <c r="B99">
        <v>83</v>
      </c>
      <c r="C99" t="str">
        <v>Vegetable</v>
      </c>
      <c r="D99" t="str">
        <v>Green</v>
      </c>
      <c r="E99" t="str">
        <v>Parsley</v>
      </c>
      <c r="F99" t="str">
        <v>General</v>
      </c>
      <c r="G99" t="str">
        <v>Apiaceae</v>
      </c>
      <c r="H99" t="str">
        <v>Petroselinum</v>
      </c>
      <c r="I99" t="str">
        <v>crispum</v>
      </c>
      <c r="J99" t="str">
        <v/>
      </c>
      <c r="K99" t="str">
        <v>Petroselinum crispum</v>
      </c>
      <c r="L99" t="str">
        <v>crispum</v>
      </c>
      <c r="M99" t="str">
        <v>Seed</v>
      </c>
      <c r="N99" t="str">
        <v>May</v>
      </c>
      <c r="O99" t="str">
        <v>Vegetative</v>
      </c>
      <c r="P99" t="str">
        <v>Sep</v>
      </c>
      <c r="Q99">
        <v>0.30000001192092896</v>
      </c>
      <c r="R99" t="str">
        <v>kg/head</v>
      </c>
      <c r="S99" t="str">
        <v>Saleable product</v>
      </c>
      <c r="T99">
        <v>100000</v>
      </c>
      <c r="U99" t="str">
        <v>Total</v>
      </c>
      <c r="V99">
        <v>0</v>
      </c>
      <c r="W99">
        <v>0</v>
      </c>
      <c r="X99">
        <v>0.69999998807907104</v>
      </c>
      <c r="Y99">
        <v>0.15000000596046448</v>
      </c>
      <c r="Z99">
        <v>92</v>
      </c>
      <c r="AA99">
        <v>0.10000000149011612</v>
      </c>
      <c r="AB99">
        <v>1.5</v>
      </c>
      <c r="AC99">
        <v>0.80000001192092896</v>
      </c>
      <c r="AD99">
        <v>1</v>
      </c>
      <c r="AE99">
        <v>0.80000001192092896</v>
      </c>
      <c r="AF99">
        <v>4</v>
      </c>
      <c r="AG99">
        <v>4.5</v>
      </c>
    </row>
    <row r="100" spans="1:33">
      <c r="A100" t="str">
        <v>Silver beet Vegetable General</v>
      </c>
      <c r="B100">
        <v>41</v>
      </c>
      <c r="C100" t="str">
        <v>Vegetable</v>
      </c>
      <c r="D100" t="str">
        <v>Green</v>
      </c>
      <c r="E100" t="str">
        <v>Silver beet</v>
      </c>
      <c r="F100" t="str">
        <v>General</v>
      </c>
      <c r="G100" t="str">
        <v>Amaranthaceae</v>
      </c>
      <c r="H100" t="str">
        <v>Beta</v>
      </c>
      <c r="I100" t="str">
        <v>vulgaris</v>
      </c>
      <c r="J100" t="str">
        <v>cicla</v>
      </c>
      <c r="K100" t="str">
        <v>Beta vulgaris cicla</v>
      </c>
      <c r="L100" t="str">
        <v>vulgaris cicla</v>
      </c>
      <c r="M100" t="str">
        <v>Seedling</v>
      </c>
      <c r="N100" t="str">
        <v>Nov</v>
      </c>
      <c r="O100" t="str">
        <v>Vegetative</v>
      </c>
      <c r="P100" t="str">
        <v>May</v>
      </c>
      <c r="Q100">
        <v>0.60000002384185791</v>
      </c>
      <c r="R100" t="str">
        <v>kg/head</v>
      </c>
      <c r="S100" t="str">
        <v>Saleable product</v>
      </c>
      <c r="T100">
        <v>60000</v>
      </c>
      <c r="U100" t="str">
        <v>Total</v>
      </c>
      <c r="V100">
        <v>0</v>
      </c>
      <c r="W100">
        <v>0</v>
      </c>
      <c r="X100">
        <v>0.80000001192092896</v>
      </c>
      <c r="Y100">
        <v>0.20000000298023224</v>
      </c>
      <c r="Z100">
        <v>93</v>
      </c>
      <c r="AA100">
        <v>0.10000000149011612</v>
      </c>
      <c r="AB100">
        <v>1.5</v>
      </c>
      <c r="AC100">
        <v>0.75999999046325684</v>
      </c>
      <c r="AD100">
        <v>1</v>
      </c>
      <c r="AE100">
        <v>0.80000001192092896</v>
      </c>
      <c r="AF100">
        <v>2.5</v>
      </c>
      <c r="AG100">
        <v>3</v>
      </c>
    </row>
    <row r="101" spans="1:33">
      <c r="A101" t="str">
        <v>Spinach Vegetable General</v>
      </c>
      <c r="B101">
        <v>68</v>
      </c>
      <c r="C101" t="str">
        <v>Vegetable</v>
      </c>
      <c r="D101" t="str">
        <v>Green</v>
      </c>
      <c r="E101" t="str">
        <v>Spinach</v>
      </c>
      <c r="F101" t="str">
        <v>General</v>
      </c>
      <c r="G101" t="str">
        <v>Amaranthaceae</v>
      </c>
      <c r="H101" t="str">
        <v>Spinacia</v>
      </c>
      <c r="I101" t="str">
        <v>loeracea</v>
      </c>
      <c r="J101" t="str">
        <v/>
      </c>
      <c r="K101" t="str">
        <v>Spinacia loeracea</v>
      </c>
      <c r="L101" t="str">
        <v>loeracea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66000</v>
      </c>
      <c r="U101" t="str">
        <v>Total</v>
      </c>
      <c r="V101">
        <v>0</v>
      </c>
      <c r="W101">
        <v>0</v>
      </c>
      <c r="X101">
        <v>0.94999998807907104</v>
      </c>
      <c r="Y101">
        <v>5.000000074505806E-2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Spring onion Vegetable General</v>
      </c>
      <c r="B102">
        <v>38</v>
      </c>
      <c r="C102" t="str">
        <v>Vegetable</v>
      </c>
      <c r="D102" t="str">
        <v>Green</v>
      </c>
      <c r="E102" t="str">
        <v>Spring onion</v>
      </c>
      <c r="F102" t="str">
        <v>General</v>
      </c>
      <c r="G102" t="str">
        <v>Amaryllidaceae</v>
      </c>
      <c r="H102" t="str">
        <v>Allium</v>
      </c>
      <c r="I102" t="str">
        <v>fistulosum</v>
      </c>
      <c r="J102" t="str">
        <v/>
      </c>
      <c r="K102" t="str">
        <v>Allium fistulosum</v>
      </c>
      <c r="L102" t="str">
        <v>fistulosum</v>
      </c>
      <c r="M102" t="str">
        <v>Seed</v>
      </c>
      <c r="N102" t="str">
        <v>Feb</v>
      </c>
      <c r="O102" t="str">
        <v>Vegetative</v>
      </c>
      <c r="P102" t="str">
        <v>Sep</v>
      </c>
      <c r="Q102">
        <v>7.0000000298023224E-2</v>
      </c>
      <c r="R102" t="str">
        <v>kg/head</v>
      </c>
      <c r="S102" t="str">
        <v>Saleable product</v>
      </c>
      <c r="T102">
        <v>1400000</v>
      </c>
      <c r="U102" t="str">
        <v>Total</v>
      </c>
      <c r="V102">
        <v>0</v>
      </c>
      <c r="W102">
        <v>0</v>
      </c>
      <c r="X102">
        <v>1</v>
      </c>
      <c r="Y102">
        <v>0</v>
      </c>
      <c r="Z102">
        <v>90</v>
      </c>
      <c r="AA102">
        <v>0.10000000149011612</v>
      </c>
      <c r="AB102">
        <v>0.60000002384185791</v>
      </c>
      <c r="AC102">
        <v>0.75</v>
      </c>
      <c r="AD102">
        <v>0.60000002384185791</v>
      </c>
      <c r="AE102">
        <v>1</v>
      </c>
      <c r="AF102">
        <v>1.8999999761581421</v>
      </c>
      <c r="AG102">
        <v>1.8999999761581421</v>
      </c>
    </row>
    <row r="103" spans="1:33">
      <c r="A103" t="str">
        <v>Wong bok Vegetable General</v>
      </c>
      <c r="B103">
        <v>50</v>
      </c>
      <c r="C103" t="str">
        <v>Vegetable</v>
      </c>
      <c r="D103" t="str">
        <v>Green</v>
      </c>
      <c r="E103" t="str">
        <v>Wong bok</v>
      </c>
      <c r="F103" t="str">
        <v>General</v>
      </c>
      <c r="G103" t="str">
        <v>Brassicaceae</v>
      </c>
      <c r="H103" t="str">
        <v>Brassica</v>
      </c>
      <c r="I103" t="str">
        <v>rapa</v>
      </c>
      <c r="J103" t="str">
        <v>pekinensis</v>
      </c>
      <c r="K103" t="str">
        <v>Brassica rapa pekinensis</v>
      </c>
      <c r="L103" t="str">
        <v>rapa pekinensis</v>
      </c>
      <c r="M103" t="str">
        <v>Seedling</v>
      </c>
      <c r="N103" t="str">
        <v>Dec</v>
      </c>
      <c r="O103" t="str">
        <v>Vegetative</v>
      </c>
      <c r="P103" t="str">
        <v>Jun</v>
      </c>
      <c r="Q103">
        <v>0.5</v>
      </c>
      <c r="R103" t="str">
        <v>kg/head</v>
      </c>
      <c r="S103" t="str">
        <v>Saleable product</v>
      </c>
      <c r="T103">
        <v>60000</v>
      </c>
      <c r="U103" t="str">
        <v>Total</v>
      </c>
      <c r="V103">
        <v>0</v>
      </c>
      <c r="W103">
        <v>0</v>
      </c>
      <c r="X103">
        <v>0.80000001192092896</v>
      </c>
      <c r="Y103">
        <v>0.20000000298023224</v>
      </c>
      <c r="Z103">
        <v>90</v>
      </c>
      <c r="AA103">
        <v>0.10000000149011612</v>
      </c>
      <c r="AB103">
        <v>1.2000000476837158</v>
      </c>
      <c r="AC103">
        <v>0.89999997615814209</v>
      </c>
      <c r="AD103">
        <v>2</v>
      </c>
      <c r="AE103">
        <v>0.80000001192092896</v>
      </c>
      <c r="AF103">
        <v>3</v>
      </c>
      <c r="AG103">
        <v>3</v>
      </c>
    </row>
    <row r="104" spans="1:33">
      <c r="A104" t="str">
        <v>Bean Vegetable General</v>
      </c>
      <c r="B104">
        <v>65</v>
      </c>
      <c r="C104" t="str">
        <v>Vegetable</v>
      </c>
      <c r="D104" t="str">
        <v>Pulse</v>
      </c>
      <c r="E104" t="str">
        <v>Bean</v>
      </c>
      <c r="F104" t="str">
        <v>General</v>
      </c>
      <c r="G104" t="str">
        <v>Fabaceae</v>
      </c>
      <c r="H104" t="str">
        <v>Phaseolus</v>
      </c>
      <c r="I104" t="str">
        <v>vulgaris</v>
      </c>
      <c r="J104" t="str">
        <v/>
      </c>
      <c r="K104" t="str">
        <v>Phaseolus vulgaris</v>
      </c>
      <c r="L104" t="str">
        <v>vulgaris</v>
      </c>
      <c r="M104" t="str">
        <v>Seed</v>
      </c>
      <c r="N104" t="str">
        <v>Nov</v>
      </c>
      <c r="O104" t="str">
        <v>EarlyReproductive</v>
      </c>
      <c r="P104" t="str">
        <v>Mar</v>
      </c>
      <c r="Q104">
        <v>18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0.43999999761581421</v>
      </c>
      <c r="Y104">
        <v>7.0000000298023224E-2</v>
      </c>
      <c r="Z104">
        <v>89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2.5</v>
      </c>
      <c r="AG104">
        <v>2.7999999523162842</v>
      </c>
    </row>
    <row r="105" spans="1:33">
      <c r="A105" t="str">
        <v>Broad bean Vegetable General</v>
      </c>
      <c r="B105">
        <v>69</v>
      </c>
      <c r="C105" t="str">
        <v>Vegetable</v>
      </c>
      <c r="D105" t="str">
        <v>Pulse</v>
      </c>
      <c r="E105" t="str">
        <v>Broad bean</v>
      </c>
      <c r="F105" t="str">
        <v>General</v>
      </c>
      <c r="G105" t="str">
        <v>Fabaceae</v>
      </c>
      <c r="H105" t="str">
        <v>Vicia</v>
      </c>
      <c r="I105" t="str">
        <v>faba</v>
      </c>
      <c r="J105" t="str">
        <v/>
      </c>
      <c r="K105" t="str">
        <v>Vicia faba</v>
      </c>
      <c r="L105" t="str">
        <v>faba</v>
      </c>
      <c r="M105" t="str">
        <v>Seed</v>
      </c>
      <c r="N105" t="str">
        <v>May</v>
      </c>
      <c r="O105" t="str">
        <v>EarlyReproductive</v>
      </c>
      <c r="P105" t="str">
        <v>Nov</v>
      </c>
      <c r="Q105">
        <v>11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0.30000001192092896</v>
      </c>
      <c r="Y105">
        <v>5.000000074505806E-2</v>
      </c>
      <c r="Z105">
        <v>76</v>
      </c>
      <c r="AA105">
        <v>0.10000000149011612</v>
      </c>
      <c r="AB105">
        <v>1</v>
      </c>
      <c r="AC105">
        <v>0.89999997615814209</v>
      </c>
      <c r="AD105">
        <v>1</v>
      </c>
      <c r="AE105">
        <v>1.5</v>
      </c>
      <c r="AF105">
        <v>1.7000000476837158</v>
      </c>
      <c r="AG105">
        <v>4.4000000953674316</v>
      </c>
    </row>
    <row r="106" spans="1:33">
      <c r="A106" t="str">
        <v>Pea Vegetable General</v>
      </c>
      <c r="B106">
        <v>66</v>
      </c>
      <c r="C106" t="str">
        <v>Vegetable</v>
      </c>
      <c r="D106" t="str">
        <v>Pulse</v>
      </c>
      <c r="E106" t="str">
        <v>Pea</v>
      </c>
      <c r="F106" t="str">
        <v>General</v>
      </c>
      <c r="G106" t="str">
        <v>Fabaceae</v>
      </c>
      <c r="H106" t="str">
        <v>Pisum</v>
      </c>
      <c r="I106" t="str">
        <v>sativum</v>
      </c>
      <c r="J106" t="str">
        <v/>
      </c>
      <c r="K106" t="str">
        <v>Pisum sativum</v>
      </c>
      <c r="L106" t="str">
        <v>sativum</v>
      </c>
      <c r="M106" t="str">
        <v>Seed</v>
      </c>
      <c r="N106" t="str">
        <v>Aug</v>
      </c>
      <c r="O106" t="str">
        <v>EarlyReproductive</v>
      </c>
      <c r="P106" t="str">
        <v>Jan</v>
      </c>
      <c r="Q106">
        <v>10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0.34000000357627869</v>
      </c>
      <c r="Y106">
        <v>7.9999998211860657E-2</v>
      </c>
      <c r="Z106">
        <v>77</v>
      </c>
      <c r="AA106">
        <v>0.10000000149011612</v>
      </c>
      <c r="AB106">
        <v>0.69999998807907104</v>
      </c>
      <c r="AC106">
        <v>1</v>
      </c>
      <c r="AD106">
        <v>1</v>
      </c>
      <c r="AE106">
        <v>1.5</v>
      </c>
      <c r="AF106">
        <v>2.0999999046325684</v>
      </c>
      <c r="AG106">
        <v>4</v>
      </c>
    </row>
    <row r="107" spans="1:33">
      <c r="A107" t="str">
        <v>Carrot Vegetable Fresh</v>
      </c>
      <c r="B107">
        <v>59</v>
      </c>
      <c r="C107" t="str">
        <v>Vegetable</v>
      </c>
      <c r="D107" t="str">
        <v>Root</v>
      </c>
      <c r="E107" t="str">
        <v>Carrot</v>
      </c>
      <c r="F107" t="str">
        <v>Fresh</v>
      </c>
      <c r="G107" t="str">
        <v>Apiaceae</v>
      </c>
      <c r="H107" t="str">
        <v>Daucus</v>
      </c>
      <c r="I107" t="str">
        <v>carota</v>
      </c>
      <c r="J107" t="str">
        <v/>
      </c>
      <c r="K107" t="str">
        <v>Daucus carota</v>
      </c>
      <c r="L107" t="str">
        <v>carota</v>
      </c>
      <c r="M107" t="str">
        <v>Seed</v>
      </c>
      <c r="N107" t="str">
        <v>Oct</v>
      </c>
      <c r="O107" t="str">
        <v>EarlyReproductive</v>
      </c>
      <c r="P107" t="str">
        <v>Jun</v>
      </c>
      <c r="Q107">
        <v>100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7.0000000298023224E-2</v>
      </c>
      <c r="Z107">
        <v>89</v>
      </c>
      <c r="AA107">
        <v>0.10000000149011612</v>
      </c>
      <c r="AB107">
        <v>1.2000000476837158</v>
      </c>
      <c r="AC107">
        <v>0.89999997615814209</v>
      </c>
      <c r="AD107">
        <v>0.69999998807907104</v>
      </c>
      <c r="AE107">
        <v>0.89999997615814209</v>
      </c>
      <c r="AF107">
        <v>1.2000000476837158</v>
      </c>
      <c r="AG107">
        <v>1.5</v>
      </c>
    </row>
    <row r="108" spans="1:33">
      <c r="A108" t="str">
        <v>Carrot Vegetable Juicing</v>
      </c>
      <c r="B108">
        <v>57</v>
      </c>
      <c r="C108" t="str">
        <v>Vegetable</v>
      </c>
      <c r="D108" t="str">
        <v>Root</v>
      </c>
      <c r="E108" t="str">
        <v>Carrot</v>
      </c>
      <c r="F108" t="str">
        <v>Juicing</v>
      </c>
      <c r="G108" t="str">
        <v>Apiaceae</v>
      </c>
      <c r="H108" t="str">
        <v>Daucus</v>
      </c>
      <c r="I108" t="str">
        <v>carota</v>
      </c>
      <c r="J108" t="str">
        <v/>
      </c>
      <c r="K108" t="str">
        <v>Daucus carota</v>
      </c>
      <c r="L108" t="str">
        <v>carota</v>
      </c>
      <c r="M108" t="str">
        <v>Seed</v>
      </c>
      <c r="N108" t="str">
        <v>Oct</v>
      </c>
      <c r="O108" t="str">
        <v>EarlyReproductive</v>
      </c>
      <c r="P108" t="str">
        <v>Jun</v>
      </c>
      <c r="Q108">
        <v>130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0.86000001430511475</v>
      </c>
      <c r="Y108">
        <v>7.0000000298023224E-2</v>
      </c>
      <c r="Z108">
        <v>88</v>
      </c>
      <c r="AA108">
        <v>0.10000000149011612</v>
      </c>
      <c r="AB108">
        <v>1.2000000476837158</v>
      </c>
      <c r="AC108">
        <v>0.89999997615814209</v>
      </c>
      <c r="AD108">
        <v>0.69999998807907104</v>
      </c>
      <c r="AE108">
        <v>0.89999997615814209</v>
      </c>
      <c r="AF108">
        <v>1</v>
      </c>
      <c r="AG108">
        <v>1.3999999761581421</v>
      </c>
    </row>
    <row r="109" spans="1:33">
      <c r="A109" t="str">
        <v>Carrot Vegetable Processing</v>
      </c>
      <c r="B109">
        <v>58</v>
      </c>
      <c r="C109" t="str">
        <v>Vegetable</v>
      </c>
      <c r="D109" t="str">
        <v>Root</v>
      </c>
      <c r="E109" t="str">
        <v>Carrot</v>
      </c>
      <c r="F109" t="str">
        <v>Processing</v>
      </c>
      <c r="G109" t="str">
        <v>Apiaceae</v>
      </c>
      <c r="H109" t="str">
        <v>Daucus</v>
      </c>
      <c r="I109" t="str">
        <v>carota</v>
      </c>
      <c r="J109" t="str">
        <v/>
      </c>
      <c r="K109" t="str">
        <v>Daucus carota</v>
      </c>
      <c r="L109" t="str">
        <v>carota</v>
      </c>
      <c r="M109" t="str">
        <v>Seed</v>
      </c>
      <c r="N109" t="str">
        <v>Oct</v>
      </c>
      <c r="O109" t="str">
        <v>EarlyReproductive</v>
      </c>
      <c r="P109" t="str">
        <v>Jun</v>
      </c>
      <c r="Q109">
        <v>100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0.80000001192092896</v>
      </c>
      <c r="Y109">
        <v>7.0000000298023224E-2</v>
      </c>
      <c r="Z109">
        <v>88</v>
      </c>
      <c r="AA109">
        <v>0.10000000149011612</v>
      </c>
      <c r="AB109">
        <v>1.2000000476837158</v>
      </c>
      <c r="AC109">
        <v>0.89999997615814209</v>
      </c>
      <c r="AD109">
        <v>0.69999998807907104</v>
      </c>
      <c r="AE109">
        <v>0.89999997615814209</v>
      </c>
      <c r="AF109">
        <v>1.2999999523162842</v>
      </c>
      <c r="AG109">
        <v>1.6000000238418579</v>
      </c>
    </row>
    <row r="110" spans="1:33">
      <c r="A110" t="str">
        <v>Garlic Vegetable General</v>
      </c>
      <c r="B110">
        <v>39</v>
      </c>
      <c r="C110" t="str">
        <v>Vegetable</v>
      </c>
      <c r="D110" t="str">
        <v>Root</v>
      </c>
      <c r="E110" t="str">
        <v>Garlic</v>
      </c>
      <c r="F110" t="str">
        <v>General</v>
      </c>
      <c r="G110" t="str">
        <v>Amaryllidaceae</v>
      </c>
      <c r="H110" t="str">
        <v>Allium</v>
      </c>
      <c r="I110" t="str">
        <v>sativum</v>
      </c>
      <c r="J110" t="str">
        <v/>
      </c>
      <c r="K110" t="str">
        <v>Allium sativum</v>
      </c>
      <c r="L110" t="str">
        <v>sativum</v>
      </c>
      <c r="M110" t="str">
        <v>Seed</v>
      </c>
      <c r="N110" t="str">
        <v>Jun</v>
      </c>
      <c r="O110" t="str">
        <v>Vegetative</v>
      </c>
      <c r="P110" t="str">
        <v>Dec</v>
      </c>
      <c r="Q110">
        <v>50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0.87999999523162842</v>
      </c>
      <c r="Y110">
        <v>5.000000074505806E-2</v>
      </c>
      <c r="Z110">
        <v>87</v>
      </c>
      <c r="AA110">
        <v>0.10000000149011612</v>
      </c>
      <c r="AB110">
        <v>0.60000002384185791</v>
      </c>
      <c r="AC110">
        <v>0.69999998807907104</v>
      </c>
      <c r="AD110">
        <v>0.60000002384185791</v>
      </c>
      <c r="AE110">
        <v>1</v>
      </c>
      <c r="AF110">
        <v>1.3500000238418579</v>
      </c>
      <c r="AG110">
        <v>1.3999999761581421</v>
      </c>
    </row>
    <row r="111" spans="1:33">
      <c r="A111" t="str">
        <v>Kumara Vegetable General</v>
      </c>
      <c r="B111">
        <v>60</v>
      </c>
      <c r="C111" t="str">
        <v>Vegetable</v>
      </c>
      <c r="D111" t="str">
        <v>Root</v>
      </c>
      <c r="E111" t="str">
        <v>Kumara</v>
      </c>
      <c r="F111" t="str">
        <v>General</v>
      </c>
      <c r="G111" t="str">
        <v>Convolvulaceae</v>
      </c>
      <c r="H111" t="str">
        <v>Ipomoea</v>
      </c>
      <c r="I111" t="str">
        <v>batatas</v>
      </c>
      <c r="J111" t="str">
        <v/>
      </c>
      <c r="K111" t="str">
        <v>Ipomoea batatas</v>
      </c>
      <c r="L111" t="str">
        <v>batatas</v>
      </c>
      <c r="M111" t="str">
        <v>Seed</v>
      </c>
      <c r="N111" t="str">
        <v>Oct</v>
      </c>
      <c r="O111" t="str">
        <v>Maturity</v>
      </c>
      <c r="P111" t="str">
        <v>May</v>
      </c>
      <c r="Q111">
        <v>20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0.60000002384185791</v>
      </c>
      <c r="Y111">
        <v>5.000000074505806E-2</v>
      </c>
      <c r="Z111">
        <v>77.400001525878906</v>
      </c>
      <c r="AA111">
        <v>0.10000000149011612</v>
      </c>
      <c r="AB111">
        <v>0.89999997615814209</v>
      </c>
      <c r="AC111">
        <v>1</v>
      </c>
      <c r="AD111">
        <v>1</v>
      </c>
      <c r="AE111">
        <v>1</v>
      </c>
      <c r="AF111">
        <v>2</v>
      </c>
      <c r="AG111">
        <v>1.7999999523162842</v>
      </c>
    </row>
    <row r="112" spans="1:33">
      <c r="A112" t="str">
        <v>Onion Vegetable Brown</v>
      </c>
      <c r="B112">
        <v>35</v>
      </c>
      <c r="C112" t="str">
        <v>Vegetable</v>
      </c>
      <c r="D112" t="str">
        <v>Root</v>
      </c>
      <c r="E112" t="str">
        <v>Onion</v>
      </c>
      <c r="F112" t="str">
        <v>Brown</v>
      </c>
      <c r="G112" t="str">
        <v>Amaryllidaceae</v>
      </c>
      <c r="H112" t="str">
        <v>Allium</v>
      </c>
      <c r="I112" t="str">
        <v>cepa</v>
      </c>
      <c r="J112" t="str">
        <v/>
      </c>
      <c r="K112" t="str">
        <v>Allium cepa</v>
      </c>
      <c r="L112" t="str">
        <v>cepa</v>
      </c>
      <c r="M112" t="str">
        <v>Seed</v>
      </c>
      <c r="N112" t="str">
        <v>May</v>
      </c>
      <c r="O112" t="str">
        <v>Maturity</v>
      </c>
      <c r="P112" t="str">
        <v>Feb</v>
      </c>
      <c r="Q112">
        <v>65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0.87999999523162842</v>
      </c>
      <c r="Y112">
        <v>5.000000074505806E-2</v>
      </c>
      <c r="Z112">
        <v>87</v>
      </c>
      <c r="AA112">
        <v>0.10000000149011612</v>
      </c>
      <c r="AB112">
        <v>0.60000002384185791</v>
      </c>
      <c r="AC112">
        <v>0.80000001192092896</v>
      </c>
      <c r="AD112">
        <v>0.60000002384185791</v>
      </c>
      <c r="AE112">
        <v>1</v>
      </c>
      <c r="AF112">
        <v>1.3999999761581421</v>
      </c>
      <c r="AG112">
        <v>1.5</v>
      </c>
    </row>
    <row r="113" spans="1:33">
      <c r="A113" t="str">
        <v>Onion Vegetable Red</v>
      </c>
      <c r="B113">
        <v>36</v>
      </c>
      <c r="C113" t="str">
        <v>Vegetable</v>
      </c>
      <c r="D113" t="str">
        <v>Root</v>
      </c>
      <c r="E113" t="str">
        <v>Onion</v>
      </c>
      <c r="F113" t="str">
        <v>Red</v>
      </c>
      <c r="G113" t="str">
        <v>Amaryllidaceae</v>
      </c>
      <c r="H113" t="str">
        <v>Allium</v>
      </c>
      <c r="I113" t="str">
        <v>cepa</v>
      </c>
      <c r="J113" t="str">
        <v/>
      </c>
      <c r="K113" t="str">
        <v>Allium cepa</v>
      </c>
      <c r="L113" t="str">
        <v>cepa</v>
      </c>
      <c r="M113" t="str">
        <v>Seed</v>
      </c>
      <c r="N113" t="str">
        <v>May</v>
      </c>
      <c r="O113" t="str">
        <v>LateReproductive</v>
      </c>
      <c r="P113" t="str">
        <v>Apr</v>
      </c>
      <c r="Q113">
        <v>80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0.87999999523162842</v>
      </c>
      <c r="Y113">
        <v>5.000000074505806E-2</v>
      </c>
      <c r="Z113">
        <v>87</v>
      </c>
      <c r="AA113">
        <v>0.10000000149011612</v>
      </c>
      <c r="AB113">
        <v>0.60000002384185791</v>
      </c>
      <c r="AC113">
        <v>0.80000001192092896</v>
      </c>
      <c r="AD113">
        <v>0.60000002384185791</v>
      </c>
      <c r="AE113">
        <v>1</v>
      </c>
      <c r="AF113">
        <v>1.3999999761581421</v>
      </c>
      <c r="AG113">
        <v>1.5</v>
      </c>
    </row>
    <row r="114" spans="1:33">
      <c r="A114" t="str">
        <v>Onion Vegetable Shallot</v>
      </c>
      <c r="B114">
        <v>37</v>
      </c>
      <c r="C114" t="str">
        <v>Vegetable</v>
      </c>
      <c r="D114" t="str">
        <v>Root</v>
      </c>
      <c r="E114" t="str">
        <v>Onion</v>
      </c>
      <c r="F114" t="str">
        <v>Shallot</v>
      </c>
      <c r="G114" t="str">
        <v>Amaryllidaceae</v>
      </c>
      <c r="H114" t="str">
        <v>Allium</v>
      </c>
      <c r="I114" t="str">
        <v>cepa</v>
      </c>
      <c r="J114" t="str">
        <v/>
      </c>
      <c r="K114" t="str">
        <v>Allium cepa</v>
      </c>
      <c r="L114" t="str">
        <v>cepa</v>
      </c>
      <c r="M114" t="str">
        <v>Seed</v>
      </c>
      <c r="N114" t="str">
        <v>Apr</v>
      </c>
      <c r="O114" t="str">
        <v>Vegetative</v>
      </c>
      <c r="P114" t="str">
        <v>Dec</v>
      </c>
      <c r="Q114">
        <v>60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0.87999999523162842</v>
      </c>
      <c r="Y114">
        <v>5.000000074505806E-2</v>
      </c>
      <c r="Z114">
        <v>87</v>
      </c>
      <c r="AA114">
        <v>0.10000000149011612</v>
      </c>
      <c r="AB114">
        <v>0.60000002384185791</v>
      </c>
      <c r="AC114">
        <v>0.80000001192092896</v>
      </c>
      <c r="AD114">
        <v>0.60000002384185791</v>
      </c>
      <c r="AE114">
        <v>1</v>
      </c>
      <c r="AF114">
        <v>1.3999999761581421</v>
      </c>
      <c r="AG114">
        <v>1.5</v>
      </c>
    </row>
    <row r="115" spans="1:33">
      <c r="A115" t="str">
        <v>Parsnip Vegetable General</v>
      </c>
      <c r="B115">
        <v>64</v>
      </c>
      <c r="C115" t="str">
        <v>Vegetable</v>
      </c>
      <c r="D115" t="str">
        <v>Root</v>
      </c>
      <c r="E115" t="str">
        <v>Parsnip</v>
      </c>
      <c r="F115" t="str">
        <v>General</v>
      </c>
      <c r="G115" t="str">
        <v>Apiaceae</v>
      </c>
      <c r="H115" t="str">
        <v>Pastinaca</v>
      </c>
      <c r="I115" t="str">
        <v>sativa</v>
      </c>
      <c r="J115" t="str">
        <v/>
      </c>
      <c r="K115" t="str">
        <v>Pastinaca sativa</v>
      </c>
      <c r="L115" t="str">
        <v>sativa</v>
      </c>
      <c r="M115" t="str">
        <v>Seed</v>
      </c>
      <c r="N115" t="str">
        <v>Sep</v>
      </c>
      <c r="O115" t="str">
        <v>EarlyReproductive</v>
      </c>
      <c r="P115" t="str">
        <v>May</v>
      </c>
      <c r="Q115">
        <v>44</v>
      </c>
      <c r="R115" t="str">
        <v>t/ha</v>
      </c>
      <c r="S115" t="str">
        <v>Saleable product</v>
      </c>
      <c r="T115">
        <v>1</v>
      </c>
      <c r="U115" t="str">
        <v>Total</v>
      </c>
      <c r="V115">
        <v>0</v>
      </c>
      <c r="W115">
        <v>0</v>
      </c>
      <c r="X115">
        <v>0.94999998807907104</v>
      </c>
      <c r="Y115">
        <v>5.000000074505806E-2</v>
      </c>
      <c r="Z115">
        <v>83</v>
      </c>
      <c r="AA115">
        <v>0.10000000149011612</v>
      </c>
      <c r="AB115">
        <v>1.2000000476837158</v>
      </c>
      <c r="AC115">
        <v>0.94999998807907104</v>
      </c>
      <c r="AD115">
        <v>0.80000001192092896</v>
      </c>
      <c r="AE115">
        <v>0.89999997615814209</v>
      </c>
      <c r="AF115">
        <v>2</v>
      </c>
      <c r="AG115">
        <v>1.3500000238418579</v>
      </c>
    </row>
    <row r="116" spans="1:33">
      <c r="A116" t="str">
        <v>Red beet Vegetable General</v>
      </c>
      <c r="B116">
        <v>42</v>
      </c>
      <c r="C116" t="str">
        <v>Vegetable</v>
      </c>
      <c r="D116" t="str">
        <v>Root</v>
      </c>
      <c r="E116" t="str">
        <v>Red beet</v>
      </c>
      <c r="F116" t="str">
        <v>General</v>
      </c>
      <c r="G116" t="str">
        <v>Amaranthaceae</v>
      </c>
      <c r="H116" t="str">
        <v>Beta</v>
      </c>
      <c r="I116" t="str">
        <v>vulgaris</v>
      </c>
      <c r="J116" t="str">
        <v>conditiva</v>
      </c>
      <c r="K116" t="str">
        <v>Beta vulgaris conditiva</v>
      </c>
      <c r="L116" t="str">
        <v>vulgaris conditiva</v>
      </c>
      <c r="M116" t="str">
        <v>Seed</v>
      </c>
      <c r="N116" t="str">
        <v>Sep</v>
      </c>
      <c r="O116" t="str">
        <v>EarlyReproductive</v>
      </c>
      <c r="P116" t="str">
        <v>May</v>
      </c>
      <c r="Q116">
        <v>55</v>
      </c>
      <c r="R116" t="str">
        <v>t/ha</v>
      </c>
      <c r="S116" t="str">
        <v>Saleable product</v>
      </c>
      <c r="T116">
        <v>1</v>
      </c>
      <c r="U116" t="str">
        <v>Total</v>
      </c>
      <c r="V116">
        <v>0</v>
      </c>
      <c r="W116">
        <v>0</v>
      </c>
      <c r="X116">
        <v>0.81499999761581421</v>
      </c>
      <c r="Y116">
        <v>5.4999999701976776E-2</v>
      </c>
      <c r="Z116">
        <v>86</v>
      </c>
      <c r="AA116">
        <v>0.10000000149011612</v>
      </c>
      <c r="AB116">
        <v>1.5</v>
      </c>
      <c r="AC116">
        <v>0.94999998807907104</v>
      </c>
      <c r="AD116">
        <v>0.80000001192092896</v>
      </c>
      <c r="AE116">
        <v>0.80000001192092896</v>
      </c>
      <c r="AF116">
        <v>2</v>
      </c>
      <c r="AG116">
        <v>1.5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workbookViewId="0">
      <selection activeCell="I2" sqref="I2:M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0" t="s">
        <v>196</v>
      </c>
      <c r="B1" s="140"/>
      <c r="C1" s="140"/>
      <c r="D1" s="140"/>
      <c r="E1" s="140"/>
      <c r="F1" s="140"/>
      <c r="H1" s="140" t="s">
        <v>197</v>
      </c>
      <c r="I1" s="140"/>
      <c r="J1" s="140"/>
      <c r="K1" s="140"/>
      <c r="L1" s="140"/>
      <c r="M1" s="140"/>
      <c r="O1" s="140" t="s">
        <v>198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96</v>
      </c>
      <c r="B2" t="s">
        <v>97</v>
      </c>
      <c r="C2" t="s">
        <v>9</v>
      </c>
      <c r="D2" t="s">
        <v>98</v>
      </c>
      <c r="E2" t="s">
        <v>99</v>
      </c>
      <c r="F2" t="s">
        <v>10</v>
      </c>
      <c r="H2" t="s">
        <v>96</v>
      </c>
      <c r="I2" t="s">
        <v>97</v>
      </c>
      <c r="J2" t="s">
        <v>9</v>
      </c>
      <c r="K2" t="s">
        <v>98</v>
      </c>
      <c r="L2" t="s">
        <v>99</v>
      </c>
      <c r="M2" t="s">
        <v>10</v>
      </c>
      <c r="O2" t="s">
        <v>96</v>
      </c>
      <c r="P2" t="s">
        <v>97</v>
      </c>
      <c r="Q2" t="s">
        <v>9</v>
      </c>
      <c r="R2" t="s">
        <v>98</v>
      </c>
      <c r="S2" t="s">
        <v>99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157</vt:i4>
      </vt:variant>
    </vt:vector>
  </HeadingPairs>
  <TitlesOfParts>
    <vt:vector size="162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Brussel_sprout_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2026-03-29T23:08:08Z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